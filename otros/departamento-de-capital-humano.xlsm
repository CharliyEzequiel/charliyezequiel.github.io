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uario\Workspace\miweb\Ingeniería en sistemas\otros\"/>
    </mc:Choice>
  </mc:AlternateContent>
  <xr:revisionPtr revIDLastSave="0" documentId="13_ncr:1_{04CB0005-1ECB-459D-AAAA-21F80946E401}" xr6:coauthVersionLast="47" xr6:coauthVersionMax="47" xr10:uidLastSave="{00000000-0000-0000-0000-000000000000}"/>
  <bookViews>
    <workbookView xWindow="-120" yWindow="-120" windowWidth="29040" windowHeight="15840" xr2:uid="{C5B155C9-0734-44D6-94A4-18F5828A11D5}"/>
  </bookViews>
  <sheets>
    <sheet name="Inicio" sheetId="25" r:id="rId1"/>
    <sheet name="Extendido" sheetId="34" r:id="rId2"/>
    <sheet name="Nómina" sheetId="13" r:id="rId3"/>
    <sheet name="Documentos" sheetId="48" state="hidden" r:id="rId4"/>
    <sheet name="TABLAS" sheetId="47" r:id="rId5"/>
    <sheet name="TABLAS PARA REPORTES" sheetId="51" r:id="rId6"/>
    <sheet name="Reportes" sheetId="53" r:id="rId7"/>
    <sheet name="BDD" sheetId="22" r:id="rId8"/>
    <sheet name="BDD BAJAS" sheetId="36" r:id="rId9"/>
  </sheets>
  <definedNames>
    <definedName name="aver" localSheetId="4">FECH.CONS[FECHA DE CONSULTA:]</definedName>
    <definedName name="aver">FECH.CONS[FECHA DE CONSULTA:]</definedName>
    <definedName name="FECH.CONS." localSheetId="4">FECH.CONS[FECHA DE CONSULTA:]</definedName>
    <definedName name="FECH.CONS.">FECH.CONS[FECHA DE CONSULTA:]</definedName>
  </definedNames>
  <calcPr calcId="191029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15" i="47" l="1"/>
  <c r="E615" i="47"/>
  <c r="I615" i="47" s="1"/>
  <c r="G615" i="47"/>
  <c r="AL615" i="47" s="1"/>
  <c r="K615" i="47"/>
  <c r="C1025" i="47"/>
  <c r="C3" i="36"/>
  <c r="G10" i="36"/>
  <c r="G11" i="36"/>
  <c r="G13" i="36"/>
  <c r="G110" i="36"/>
  <c r="G23" i="36"/>
  <c r="G111" i="36"/>
  <c r="G14" i="36"/>
  <c r="G112" i="36"/>
  <c r="G113" i="36"/>
  <c r="G114" i="36"/>
  <c r="G115" i="36"/>
  <c r="G12" i="36"/>
  <c r="G25" i="36"/>
  <c r="G116" i="36"/>
  <c r="G26" i="36"/>
  <c r="G27" i="36"/>
  <c r="G28" i="36"/>
  <c r="G29" i="36"/>
  <c r="G30" i="36"/>
  <c r="G31" i="36"/>
  <c r="G15" i="36"/>
  <c r="G32" i="36"/>
  <c r="G33" i="36"/>
  <c r="G34" i="36"/>
  <c r="G35" i="36"/>
  <c r="G117" i="36"/>
  <c r="G36" i="36"/>
  <c r="G37" i="36"/>
  <c r="G38" i="36"/>
  <c r="G118" i="36"/>
  <c r="G39" i="36"/>
  <c r="G40" i="36"/>
  <c r="G41" i="36"/>
  <c r="G42" i="36"/>
  <c r="G43" i="36"/>
  <c r="G44" i="36"/>
  <c r="G119" i="36"/>
  <c r="G45" i="36"/>
  <c r="G46" i="36"/>
  <c r="G47" i="36"/>
  <c r="G48" i="36"/>
  <c r="G49" i="36"/>
  <c r="G50" i="36"/>
  <c r="G16" i="36"/>
  <c r="G51" i="36"/>
  <c r="G120" i="36"/>
  <c r="G121" i="36"/>
  <c r="G52" i="36"/>
  <c r="G122" i="36"/>
  <c r="G123" i="36"/>
  <c r="G53" i="36"/>
  <c r="G54" i="36"/>
  <c r="G55" i="36"/>
  <c r="G56" i="36"/>
  <c r="G57" i="36"/>
  <c r="G17" i="36"/>
  <c r="G124" i="36"/>
  <c r="G58" i="36"/>
  <c r="G125" i="36"/>
  <c r="G59" i="36"/>
  <c r="G18" i="36"/>
  <c r="G60" i="36"/>
  <c r="G61" i="36"/>
  <c r="G62" i="36"/>
  <c r="G63" i="36"/>
  <c r="G126" i="36"/>
  <c r="G64" i="36"/>
  <c r="G127" i="36"/>
  <c r="G65" i="36"/>
  <c r="G66" i="36"/>
  <c r="G67" i="36"/>
  <c r="G68" i="36"/>
  <c r="G69" i="36"/>
  <c r="G70" i="36"/>
  <c r="G71" i="36"/>
  <c r="G72" i="36"/>
  <c r="G73" i="36"/>
  <c r="G74" i="36"/>
  <c r="G75" i="36"/>
  <c r="G76" i="36"/>
  <c r="G77" i="36"/>
  <c r="G78" i="36"/>
  <c r="G128" i="36"/>
  <c r="G19" i="36"/>
  <c r="G129" i="36"/>
  <c r="G20" i="36"/>
  <c r="G21" i="36"/>
  <c r="G79" i="36"/>
  <c r="G80" i="36"/>
  <c r="G22" i="36"/>
  <c r="G81" i="36"/>
  <c r="G82" i="36"/>
  <c r="G83" i="36"/>
  <c r="G84" i="36"/>
  <c r="G85" i="36"/>
  <c r="G86" i="36"/>
  <c r="G87" i="36"/>
  <c r="G88" i="36"/>
  <c r="G89" i="36"/>
  <c r="G90" i="36"/>
  <c r="G91" i="36"/>
  <c r="G92" i="36"/>
  <c r="G130" i="36"/>
  <c r="G131" i="36"/>
  <c r="G93" i="36"/>
  <c r="G94" i="36"/>
  <c r="G95" i="36"/>
  <c r="G96" i="36"/>
  <c r="G132" i="36"/>
  <c r="G97" i="36"/>
  <c r="G133" i="36"/>
  <c r="G98" i="36"/>
  <c r="G99" i="36"/>
  <c r="G134" i="36"/>
  <c r="G100" i="36"/>
  <c r="G101" i="36"/>
  <c r="G102" i="36"/>
  <c r="G103" i="36"/>
  <c r="G104" i="36"/>
  <c r="G135" i="36"/>
  <c r="G105" i="36"/>
  <c r="G136" i="36"/>
  <c r="G106" i="36"/>
  <c r="G107" i="36"/>
  <c r="G108" i="36"/>
  <c r="G109" i="36"/>
  <c r="G137" i="36"/>
  <c r="G138" i="36"/>
  <c r="G139" i="36"/>
  <c r="G140" i="36"/>
  <c r="G141" i="36"/>
  <c r="G142" i="36"/>
  <c r="G143" i="36"/>
  <c r="G144" i="36"/>
  <c r="G145" i="36"/>
  <c r="G146" i="36"/>
  <c r="G147" i="36"/>
  <c r="G148" i="36"/>
  <c r="G149" i="36"/>
  <c r="G150" i="36"/>
  <c r="G151" i="36"/>
  <c r="G152" i="36"/>
  <c r="G24" i="36"/>
  <c r="G498" i="22"/>
  <c r="G1028" i="47" s="1"/>
  <c r="S1028" i="47" s="1"/>
  <c r="G497" i="22"/>
  <c r="G1513" i="47" s="1"/>
  <c r="G481" i="22"/>
  <c r="G1497" i="47" s="1"/>
  <c r="P1497" i="47" s="1"/>
  <c r="Q1497" i="47" s="1"/>
  <c r="J76" i="36"/>
  <c r="G1392" i="47"/>
  <c r="P1392" i="47" s="1"/>
  <c r="Q1392" i="47" s="1"/>
  <c r="G1025" i="47"/>
  <c r="G1030" i="47"/>
  <c r="L3" i="22" a="1"/>
  <c r="L3" i="22" s="1"/>
  <c r="G2" i="22"/>
  <c r="AE13" i="13"/>
  <c r="P1007" i="47"/>
  <c r="V5" i="22"/>
  <c r="X5" i="22"/>
  <c r="V9" i="22"/>
  <c r="V10" i="22"/>
  <c r="V11" i="22"/>
  <c r="V12" i="22"/>
  <c r="V13" i="22"/>
  <c r="V14" i="22"/>
  <c r="V15" i="22"/>
  <c r="V16" i="22"/>
  <c r="V17" i="22"/>
  <c r="V18" i="22"/>
  <c r="V19" i="22"/>
  <c r="V20" i="22"/>
  <c r="V21" i="22"/>
  <c r="V22" i="22"/>
  <c r="V23" i="22"/>
  <c r="V24" i="22"/>
  <c r="V25" i="22"/>
  <c r="V26" i="22"/>
  <c r="V27" i="22"/>
  <c r="V28" i="22"/>
  <c r="V29" i="22"/>
  <c r="V30" i="22"/>
  <c r="V31" i="22"/>
  <c r="V32" i="22"/>
  <c r="V33" i="22"/>
  <c r="V34" i="22"/>
  <c r="V35" i="22"/>
  <c r="V36" i="22"/>
  <c r="V37" i="22"/>
  <c r="V38" i="22"/>
  <c r="V39" i="22"/>
  <c r="V40" i="22"/>
  <c r="V41" i="22"/>
  <c r="V42" i="22"/>
  <c r="V43" i="22"/>
  <c r="V44" i="22"/>
  <c r="V45" i="22"/>
  <c r="V46" i="22"/>
  <c r="V47" i="22"/>
  <c r="V48" i="22"/>
  <c r="V49" i="22"/>
  <c r="V50" i="22"/>
  <c r="V51" i="22"/>
  <c r="V52" i="22"/>
  <c r="V53" i="22"/>
  <c r="V54" i="22"/>
  <c r="V55" i="22"/>
  <c r="V56" i="22"/>
  <c r="V57" i="22"/>
  <c r="V58" i="22"/>
  <c r="V59" i="22"/>
  <c r="V60" i="22"/>
  <c r="V61" i="22"/>
  <c r="V62" i="22"/>
  <c r="V63" i="22"/>
  <c r="V64" i="22"/>
  <c r="V65" i="22"/>
  <c r="V66" i="22"/>
  <c r="V67" i="22"/>
  <c r="V68" i="22"/>
  <c r="V69" i="22"/>
  <c r="V70" i="22"/>
  <c r="V71" i="22"/>
  <c r="V72" i="22"/>
  <c r="V73" i="22"/>
  <c r="V74" i="22"/>
  <c r="V75" i="22"/>
  <c r="V76" i="22"/>
  <c r="V77" i="22"/>
  <c r="V78" i="22"/>
  <c r="V79" i="22"/>
  <c r="V80" i="22"/>
  <c r="V81" i="22"/>
  <c r="V82" i="22"/>
  <c r="V83" i="22"/>
  <c r="V84" i="22"/>
  <c r="V85" i="22"/>
  <c r="V86" i="22"/>
  <c r="V87" i="22"/>
  <c r="V88" i="22"/>
  <c r="V89" i="22"/>
  <c r="V90" i="22"/>
  <c r="V91" i="22"/>
  <c r="V92" i="22"/>
  <c r="V93" i="22"/>
  <c r="V94" i="22"/>
  <c r="V95" i="22"/>
  <c r="V358" i="22"/>
  <c r="V375" i="22"/>
  <c r="V107" i="22"/>
  <c r="V288" i="22"/>
  <c r="V417" i="22"/>
  <c r="V199" i="22"/>
  <c r="V319" i="22"/>
  <c r="V477" i="22"/>
  <c r="V335" i="22"/>
  <c r="V348" i="22"/>
  <c r="V465" i="22"/>
  <c r="V352" i="22"/>
  <c r="V307" i="22"/>
  <c r="V448" i="22"/>
  <c r="V148" i="22"/>
  <c r="V491" i="22"/>
  <c r="V304" i="22"/>
  <c r="V137" i="22"/>
  <c r="V200" i="22"/>
  <c r="V308" i="22"/>
  <c r="V325" i="22"/>
  <c r="V166" i="22"/>
  <c r="V211" i="22"/>
  <c r="V359" i="22"/>
  <c r="V159" i="22"/>
  <c r="V338" i="22"/>
  <c r="V323" i="22"/>
  <c r="V247" i="22"/>
  <c r="V242" i="22"/>
  <c r="V309" i="22"/>
  <c r="V300" i="22"/>
  <c r="V471" i="22"/>
  <c r="V210" i="22"/>
  <c r="V274" i="22"/>
  <c r="V454" i="22"/>
  <c r="V480" i="22"/>
  <c r="V110" i="22"/>
  <c r="V368" i="22"/>
  <c r="V299" i="22"/>
  <c r="V116" i="22"/>
  <c r="V126" i="22"/>
  <c r="V329" i="22"/>
  <c r="V437" i="22"/>
  <c r="V104" i="22"/>
  <c r="V428" i="22"/>
  <c r="V394" i="22"/>
  <c r="V388" i="22"/>
  <c r="V379" i="22"/>
  <c r="V421" i="22"/>
  <c r="V461" i="22"/>
  <c r="V151" i="22"/>
  <c r="V261" i="22"/>
  <c r="V206" i="22"/>
  <c r="V415" i="22"/>
  <c r="V117" i="22"/>
  <c r="V168" i="22"/>
  <c r="V228" i="22"/>
  <c r="V238" i="22"/>
  <c r="V479" i="22"/>
  <c r="V135" i="22"/>
  <c r="V473" i="22"/>
  <c r="V105" i="22"/>
  <c r="V155" i="22"/>
  <c r="V289" i="22"/>
  <c r="V487" i="22"/>
  <c r="V98" i="22"/>
  <c r="V275" i="22"/>
  <c r="V122" i="22"/>
  <c r="V156" i="22"/>
  <c r="V490" i="22"/>
  <c r="V134" i="22"/>
  <c r="V469" i="22"/>
  <c r="V295" i="22"/>
  <c r="V254" i="22"/>
  <c r="V378" i="22"/>
  <c r="V314" i="22"/>
  <c r="V119" i="22"/>
  <c r="V398" i="22"/>
  <c r="V236" i="22"/>
  <c r="V232" i="22"/>
  <c r="V489" i="22"/>
  <c r="V482" i="22"/>
  <c r="V201" i="22"/>
  <c r="V212" i="22"/>
  <c r="V316" i="22"/>
  <c r="V423" i="22"/>
  <c r="V389" i="22"/>
  <c r="V334" i="22"/>
  <c r="V442" i="22"/>
  <c r="V125" i="22"/>
  <c r="V170" i="22"/>
  <c r="V340" i="22"/>
  <c r="V410" i="22"/>
  <c r="V306" i="22"/>
  <c r="V386" i="22"/>
  <c r="V233" i="22"/>
  <c r="V312" i="22"/>
  <c r="V187" i="22"/>
  <c r="V373" i="22"/>
  <c r="V100" i="22"/>
  <c r="V311" i="22"/>
  <c r="V284" i="22"/>
  <c r="V486" i="22"/>
  <c r="V129" i="22"/>
  <c r="V144" i="22"/>
  <c r="V256" i="22"/>
  <c r="V198" i="22"/>
  <c r="V177" i="22"/>
  <c r="V349" i="22"/>
  <c r="V498" i="22"/>
  <c r="V377" i="22"/>
  <c r="V252" i="22"/>
  <c r="V341" i="22"/>
  <c r="V383" i="22"/>
  <c r="V184" i="22"/>
  <c r="V290" i="22"/>
  <c r="V114" i="22"/>
  <c r="V161" i="22"/>
  <c r="V433" i="22"/>
  <c r="V176" i="22"/>
  <c r="V455" i="22"/>
  <c r="V141" i="22"/>
  <c r="V370" i="22"/>
  <c r="V402" i="22"/>
  <c r="V172" i="22"/>
  <c r="V303" i="22"/>
  <c r="V391" i="22"/>
  <c r="V219" i="22"/>
  <c r="V249" i="22"/>
  <c r="V431" i="22"/>
  <c r="V163" i="22"/>
  <c r="V260" i="22"/>
  <c r="V320" i="22"/>
  <c r="V162" i="22"/>
  <c r="V343" i="22"/>
  <c r="V435" i="22"/>
  <c r="V426" i="22"/>
  <c r="V456" i="22"/>
  <c r="V240" i="22"/>
  <c r="V381" i="22"/>
  <c r="V167" i="22"/>
  <c r="V346" i="22"/>
  <c r="V419" i="22"/>
  <c r="V409" i="22"/>
  <c r="V488" i="22"/>
  <c r="V322" i="22"/>
  <c r="V438" i="22"/>
  <c r="V422" i="22"/>
  <c r="V342" i="22"/>
  <c r="V449" i="22"/>
  <c r="V406" i="22"/>
  <c r="V424" i="22"/>
  <c r="V180" i="22"/>
  <c r="V138" i="22"/>
  <c r="V453" i="22"/>
  <c r="V157" i="22"/>
  <c r="V427" i="22"/>
  <c r="V202" i="22"/>
  <c r="V278" i="22"/>
  <c r="V413" i="22"/>
  <c r="V140" i="22"/>
  <c r="V101" i="22"/>
  <c r="V154" i="22"/>
  <c r="V193" i="22"/>
  <c r="V395" i="22"/>
  <c r="V158" i="22"/>
  <c r="V310" i="22"/>
  <c r="V264" i="22"/>
  <c r="V217" i="22"/>
  <c r="V222" i="22"/>
  <c r="V478" i="22"/>
  <c r="V497" i="22"/>
  <c r="V123" i="22"/>
  <c r="V181" i="22"/>
  <c r="V183" i="22"/>
  <c r="V220" i="22"/>
  <c r="V451" i="22"/>
  <c r="V169" i="22"/>
  <c r="V106" i="22"/>
  <c r="V356" i="22"/>
  <c r="V97" i="22"/>
  <c r="V120" i="22"/>
  <c r="V408" i="22"/>
  <c r="V330" i="22"/>
  <c r="V132" i="22"/>
  <c r="V239" i="22"/>
  <c r="V467" i="22"/>
  <c r="V412" i="22"/>
  <c r="V492" i="22"/>
  <c r="V457" i="22"/>
  <c r="V372" i="22"/>
  <c r="V276" i="22"/>
  <c r="V407" i="22"/>
  <c r="V326" i="22"/>
  <c r="V150" i="22"/>
  <c r="V205" i="22"/>
  <c r="V230" i="22"/>
  <c r="V136" i="22"/>
  <c r="V192" i="22"/>
  <c r="V189" i="22"/>
  <c r="V266" i="22"/>
  <c r="V185" i="22"/>
  <c r="V355" i="22"/>
  <c r="V171" i="22"/>
  <c r="V385" i="22"/>
  <c r="V462" i="22"/>
  <c r="V128" i="22"/>
  <c r="V237" i="22"/>
  <c r="V277" i="22"/>
  <c r="V147" i="22"/>
  <c r="V194" i="22"/>
  <c r="V145" i="22"/>
  <c r="V227" i="22"/>
  <c r="V111" i="22"/>
  <c r="V113" i="22"/>
  <c r="V127" i="22"/>
  <c r="V494" i="22"/>
  <c r="V400" i="22"/>
  <c r="V363" i="22"/>
  <c r="V186" i="22"/>
  <c r="V174" i="22"/>
  <c r="V380" i="22"/>
  <c r="V466" i="22"/>
  <c r="V384" i="22"/>
  <c r="V401" i="22"/>
  <c r="V447" i="22"/>
  <c r="V353" i="22"/>
  <c r="V444" i="22"/>
  <c r="V250" i="22"/>
  <c r="V354" i="22"/>
  <c r="V297" i="22"/>
  <c r="V124" i="22"/>
  <c r="V246" i="22"/>
  <c r="V347" i="22"/>
  <c r="V265" i="22"/>
  <c r="V390" i="22"/>
  <c r="V416" i="22"/>
  <c r="V218" i="22"/>
  <c r="V403" i="22"/>
  <c r="V339" i="22"/>
  <c r="V164" i="22"/>
  <c r="V362" i="22"/>
  <c r="V291" i="22"/>
  <c r="V226" i="22"/>
  <c r="V418" i="22"/>
  <c r="V458" i="22"/>
  <c r="V229" i="22"/>
  <c r="V279" i="22"/>
  <c r="V404" i="22"/>
  <c r="V443" i="22"/>
  <c r="V224" i="22"/>
  <c r="V430" i="22"/>
  <c r="V204" i="22"/>
  <c r="V445" i="22"/>
  <c r="V365" i="22"/>
  <c r="V131" i="22"/>
  <c r="V197" i="22"/>
  <c r="V459" i="22"/>
  <c r="V464" i="22"/>
  <c r="V243" i="22"/>
  <c r="V463" i="22"/>
  <c r="V103" i="22"/>
  <c r="V324" i="22"/>
  <c r="V367" i="22"/>
  <c r="V272" i="22"/>
  <c r="V484" i="22"/>
  <c r="V302" i="22"/>
  <c r="V393" i="22"/>
  <c r="V450" i="22"/>
  <c r="V216" i="22"/>
  <c r="V296" i="22"/>
  <c r="V262" i="22"/>
  <c r="V241" i="22"/>
  <c r="V399" i="22"/>
  <c r="V476" i="22"/>
  <c r="V287" i="22"/>
  <c r="V374" i="22"/>
  <c r="V405" i="22"/>
  <c r="V327" i="22"/>
  <c r="V244" i="22"/>
  <c r="V255" i="22"/>
  <c r="V99" i="22"/>
  <c r="V293" i="22"/>
  <c r="V434" i="22"/>
  <c r="V436" i="22"/>
  <c r="V221" i="22"/>
  <c r="V481" i="22"/>
  <c r="V485" i="22"/>
  <c r="V191" i="22"/>
  <c r="V173" i="22"/>
  <c r="V182" i="22"/>
  <c r="V364" i="22"/>
  <c r="V357" i="22"/>
  <c r="V470" i="22"/>
  <c r="V292" i="22"/>
  <c r="V446" i="22"/>
  <c r="V439" i="22"/>
  <c r="V152" i="22"/>
  <c r="V143" i="22"/>
  <c r="V258" i="22"/>
  <c r="V270" i="22"/>
  <c r="V214" i="22"/>
  <c r="V121" i="22"/>
  <c r="V350" i="22"/>
  <c r="V223" i="22"/>
  <c r="V248" i="22"/>
  <c r="V495" i="22"/>
  <c r="V317" i="22"/>
  <c r="V392" i="22"/>
  <c r="V468" i="22"/>
  <c r="V118" i="22"/>
  <c r="V179" i="22"/>
  <c r="V371" i="22"/>
  <c r="V441" i="22"/>
  <c r="V387" i="22"/>
  <c r="V282" i="22"/>
  <c r="V493" i="22"/>
  <c r="V361" i="22"/>
  <c r="V269" i="22"/>
  <c r="V337" i="22"/>
  <c r="V396" i="22"/>
  <c r="V429" i="22"/>
  <c r="V115" i="22"/>
  <c r="V209" i="22"/>
  <c r="V318" i="22"/>
  <c r="V273" i="22"/>
  <c r="V108" i="22"/>
  <c r="V253" i="22"/>
  <c r="V315" i="22"/>
  <c r="V231" i="22"/>
  <c r="V196" i="22"/>
  <c r="V285" i="22"/>
  <c r="V366" i="22"/>
  <c r="V142" i="22"/>
  <c r="V440" i="22"/>
  <c r="V234" i="22"/>
  <c r="V345" i="22"/>
  <c r="V133" i="22"/>
  <c r="V298" i="22"/>
  <c r="V213" i="22"/>
  <c r="V474" i="22"/>
  <c r="V496" i="22"/>
  <c r="V146" i="22"/>
  <c r="V208" i="22"/>
  <c r="V475" i="22"/>
  <c r="V301" i="22"/>
  <c r="V313" i="22"/>
  <c r="V160" i="22"/>
  <c r="V203" i="22"/>
  <c r="V294" i="22"/>
  <c r="V268" i="22"/>
  <c r="V139" i="22"/>
  <c r="V331" i="22"/>
  <c r="V165" i="22"/>
  <c r="V195" i="22"/>
  <c r="V102" i="22"/>
  <c r="V225" i="22"/>
  <c r="V178" i="22"/>
  <c r="V251" i="22"/>
  <c r="V149" i="22"/>
  <c r="V411" i="22"/>
  <c r="V112" i="22"/>
  <c r="V245" i="22"/>
  <c r="X245" i="22"/>
  <c r="V3" i="47"/>
  <c r="C1508" i="47"/>
  <c r="C1502" i="47"/>
  <c r="C1486" i="47"/>
  <c r="C1512" i="47"/>
  <c r="C1444" i="47"/>
  <c r="C1511" i="47"/>
  <c r="C1499" i="47"/>
  <c r="C1495" i="47"/>
  <c r="C1290" i="47"/>
  <c r="C1460" i="47"/>
  <c r="C1386" i="47"/>
  <c r="C1033" i="47"/>
  <c r="C1513" i="47"/>
  <c r="C1509" i="47"/>
  <c r="C1452" i="47"/>
  <c r="C1514" i="47"/>
  <c r="C1393" i="47"/>
  <c r="C1198" i="47"/>
  <c r="C1240" i="47"/>
  <c r="C1461" i="47"/>
  <c r="C1501" i="47"/>
  <c r="C1390" i="47"/>
  <c r="C1400" i="47"/>
  <c r="C1489" i="47"/>
  <c r="C1041" i="47"/>
  <c r="C1129" i="47"/>
  <c r="C1327" i="47"/>
  <c r="C1245" i="47"/>
  <c r="C1070" i="47"/>
  <c r="C1292" i="47"/>
  <c r="C1144" i="47"/>
  <c r="C1036" i="47"/>
  <c r="C1410" i="47"/>
  <c r="C1439" i="47"/>
  <c r="C1401" i="47"/>
  <c r="C1429" i="47"/>
  <c r="C1194" i="47"/>
  <c r="C1160" i="47"/>
  <c r="C1353" i="47"/>
  <c r="C1407" i="47"/>
  <c r="C1293" i="47"/>
  <c r="C1385" i="47"/>
  <c r="C1478" i="47"/>
  <c r="C1221" i="47"/>
  <c r="C1111" i="47"/>
  <c r="C1253" i="47"/>
  <c r="C1457" i="47"/>
  <c r="C1061" i="47"/>
  <c r="C1341" i="47"/>
  <c r="C1323" i="47"/>
  <c r="C1077" i="47"/>
  <c r="C1072" i="47"/>
  <c r="C1398" i="47"/>
  <c r="C1256" i="47"/>
  <c r="C1285" i="47"/>
  <c r="C1138" i="47"/>
  <c r="C1151" i="47"/>
  <c r="C1177" i="47"/>
  <c r="C1456" i="47"/>
  <c r="C1049" i="47"/>
  <c r="C1355" i="47"/>
  <c r="C1382" i="47"/>
  <c r="C1039" i="47"/>
  <c r="C1146" i="47"/>
  <c r="C1228" i="47"/>
  <c r="C1498" i="47"/>
  <c r="C1493" i="47"/>
  <c r="C1507" i="47"/>
  <c r="C1161" i="47"/>
  <c r="C1358" i="47"/>
  <c r="C1344" i="47"/>
  <c r="C1226" i="47"/>
  <c r="C1048" i="47"/>
  <c r="C1114" i="47"/>
  <c r="C1500" i="47"/>
  <c r="C1442" i="47"/>
  <c r="C1241" i="47"/>
  <c r="C1284" i="47"/>
  <c r="C1183" i="47"/>
  <c r="C1219" i="47"/>
  <c r="C1181" i="47"/>
  <c r="C1504" i="47"/>
  <c r="C1294" i="47"/>
  <c r="C1089" i="47"/>
  <c r="C1477" i="47"/>
  <c r="C1464" i="47"/>
  <c r="C1465" i="47"/>
  <c r="C1506" i="47"/>
  <c r="C1158" i="47"/>
  <c r="C1345" i="47"/>
  <c r="C1503" i="47"/>
  <c r="C1235" i="47"/>
  <c r="C1281" i="47"/>
  <c r="C1496" i="47"/>
  <c r="C1375" i="47"/>
  <c r="C1497" i="47"/>
  <c r="C1275" i="47"/>
  <c r="C1494" i="47"/>
  <c r="C1421" i="47"/>
  <c r="C1269" i="47"/>
  <c r="C1352" i="47"/>
  <c r="C1405" i="47"/>
  <c r="C1287" i="47"/>
  <c r="C1394" i="47"/>
  <c r="C1354" i="47"/>
  <c r="C1178" i="47"/>
  <c r="C1257" i="47"/>
  <c r="C1031" i="47"/>
  <c r="C1433" i="47"/>
  <c r="C1295" i="47"/>
  <c r="C1455" i="47"/>
  <c r="C1134" i="47"/>
  <c r="C1133" i="47"/>
  <c r="C1124" i="47"/>
  <c r="C1166" i="47"/>
  <c r="C1139" i="47"/>
  <c r="C1458" i="47"/>
  <c r="C1225" i="47"/>
  <c r="C1271" i="47"/>
  <c r="C1064" i="47"/>
  <c r="C1419" i="47"/>
  <c r="C1476" i="47"/>
  <c r="C1113" i="47"/>
  <c r="C1037" i="47"/>
  <c r="C1141" i="47"/>
  <c r="C1154" i="47"/>
  <c r="C1132" i="47"/>
  <c r="C1201" i="47"/>
  <c r="C1416" i="47"/>
  <c r="C1192" i="47"/>
  <c r="C1280" i="47"/>
  <c r="C1299" i="47"/>
  <c r="C1170" i="47"/>
  <c r="C1131" i="47"/>
  <c r="C1418" i="47"/>
  <c r="C1446" i="47"/>
  <c r="C1068" i="47"/>
  <c r="C1100" i="47"/>
  <c r="C1376" i="47"/>
  <c r="C1108" i="47"/>
  <c r="C1208" i="47"/>
  <c r="C1174" i="47"/>
  <c r="C1213" i="47"/>
  <c r="C1309" i="47"/>
  <c r="C1069" i="47"/>
  <c r="C1200" i="47"/>
  <c r="C1273" i="47"/>
  <c r="C1233" i="47"/>
  <c r="C1231" i="47"/>
  <c r="C1380" i="47"/>
  <c r="C1348" i="47"/>
  <c r="C1063" i="47"/>
  <c r="C1182" i="47"/>
  <c r="C1384" i="47"/>
  <c r="C1232" i="47"/>
  <c r="C1445" i="47"/>
  <c r="C1449" i="47"/>
  <c r="C1169" i="47"/>
  <c r="C1317" i="47"/>
  <c r="C1029" i="47"/>
  <c r="C1311" i="47"/>
  <c r="C1395" i="47"/>
  <c r="C1422" i="47"/>
  <c r="C1082" i="47"/>
  <c r="C1107" i="47"/>
  <c r="C1308" i="47"/>
  <c r="C1413" i="47"/>
  <c r="C1085" i="47"/>
  <c r="C1214" i="47"/>
  <c r="C1436" i="47"/>
  <c r="C1126" i="47"/>
  <c r="C1202" i="47"/>
  <c r="C1187" i="47"/>
  <c r="C1136" i="47"/>
  <c r="C1053" i="47"/>
  <c r="C1051" i="47"/>
  <c r="C1406" i="47"/>
  <c r="C1315" i="47"/>
  <c r="C1467" i="47"/>
  <c r="C1193" i="47"/>
  <c r="C1243" i="47"/>
  <c r="C1195" i="47"/>
  <c r="C1276" i="47"/>
  <c r="C1472" i="47"/>
  <c r="C1374" i="47"/>
  <c r="C1153" i="47"/>
  <c r="C1042" i="47"/>
  <c r="C1346" i="47"/>
  <c r="C1343" i="47"/>
  <c r="C1110" i="47"/>
  <c r="C1081" i="47"/>
  <c r="C1149" i="47"/>
  <c r="C1175" i="47"/>
  <c r="C1301" i="47"/>
  <c r="C1377" i="47"/>
  <c r="C1399" i="47"/>
  <c r="C1339" i="47"/>
  <c r="C1268" i="47"/>
  <c r="C1203" i="47"/>
  <c r="C1112" i="47"/>
  <c r="C1084" i="47"/>
  <c r="C1044" i="47"/>
  <c r="C1220" i="47"/>
  <c r="C1321" i="47"/>
  <c r="C1326" i="47"/>
  <c r="C1366" i="47"/>
  <c r="C1453" i="47"/>
  <c r="C1199" i="47"/>
  <c r="C1062" i="47"/>
  <c r="C1316" i="47"/>
  <c r="C1026" i="47"/>
  <c r="C1307" i="47"/>
  <c r="C1270" i="47"/>
  <c r="C1173" i="47"/>
  <c r="C1217" i="47"/>
  <c r="C1238" i="47"/>
  <c r="C1222" i="47"/>
  <c r="C1364" i="47"/>
  <c r="C1188" i="47"/>
  <c r="C1224" i="47"/>
  <c r="C1430" i="47"/>
  <c r="C1420" i="47"/>
  <c r="C1412" i="47"/>
  <c r="C1234" i="47"/>
  <c r="C1122" i="47"/>
  <c r="C1123" i="47"/>
  <c r="C1298" i="47"/>
  <c r="C1210" i="47"/>
  <c r="C1363" i="47"/>
  <c r="C1357" i="47"/>
  <c r="C1167" i="47"/>
  <c r="C1480" i="47"/>
  <c r="C1264" i="47"/>
  <c r="C1164" i="47"/>
  <c r="C1322" i="47"/>
  <c r="C1119" i="47"/>
  <c r="C1505" i="47"/>
  <c r="C1038" i="47"/>
  <c r="C1184" i="47"/>
  <c r="C1318" i="47"/>
  <c r="C1263" i="47"/>
  <c r="C1362" i="47"/>
  <c r="C1451" i="47"/>
  <c r="C1059" i="47"/>
  <c r="C1313" i="47"/>
  <c r="C1325" i="47"/>
  <c r="C1306" i="47"/>
  <c r="C1250" i="47"/>
  <c r="C1147" i="47"/>
  <c r="C1212" i="47"/>
  <c r="C1229" i="47"/>
  <c r="C1185" i="47"/>
  <c r="C1411" i="47"/>
  <c r="C1186" i="47"/>
  <c r="C1211" i="47"/>
  <c r="C1389" i="47"/>
  <c r="C1356" i="47"/>
  <c r="C1266" i="47"/>
  <c r="C1204" i="47"/>
  <c r="C1117" i="47"/>
  <c r="C1115" i="47"/>
  <c r="C1296" i="47"/>
  <c r="C1180" i="47"/>
  <c r="C1310" i="47"/>
  <c r="C1347" i="47"/>
  <c r="C1143" i="47"/>
  <c r="C1468" i="47"/>
  <c r="C1261" i="47"/>
  <c r="C1155" i="47"/>
  <c r="C1387" i="47"/>
  <c r="C1367" i="47"/>
  <c r="C1076" i="47"/>
  <c r="C1463" i="47"/>
  <c r="C1206" i="47"/>
  <c r="C1360" i="47"/>
  <c r="C1391" i="47"/>
  <c r="C1165" i="47"/>
  <c r="C1466" i="47"/>
  <c r="C1207" i="47"/>
  <c r="C1150" i="47"/>
  <c r="C1324" i="47"/>
  <c r="C1371" i="47"/>
  <c r="C1312" i="47"/>
  <c r="C1349" i="47"/>
  <c r="C1331" i="47"/>
  <c r="C1372" i="47"/>
  <c r="C1373" i="47"/>
  <c r="C1340" i="47"/>
  <c r="C1118" i="47"/>
  <c r="C1300" i="47"/>
  <c r="C1196" i="47"/>
  <c r="C1332" i="47"/>
  <c r="C1045" i="47"/>
  <c r="C1074" i="47"/>
  <c r="C1125" i="47"/>
  <c r="C1305" i="47"/>
  <c r="C1274" i="47"/>
  <c r="C1335" i="47"/>
  <c r="C1424" i="47"/>
  <c r="C1157" i="47"/>
  <c r="C1172" i="47"/>
  <c r="C1242" i="47"/>
  <c r="C1314" i="47"/>
  <c r="C1027" i="47"/>
  <c r="C1152" i="47"/>
  <c r="C1440" i="47"/>
  <c r="C1408" i="47"/>
  <c r="C1338" i="47"/>
  <c r="C1448" i="47"/>
  <c r="C1437" i="47"/>
  <c r="C1428" i="47"/>
  <c r="C1176" i="47"/>
  <c r="C1116" i="47"/>
  <c r="C1402" i="47"/>
  <c r="C1414" i="47"/>
  <c r="C1302" i="47"/>
  <c r="C1288" i="47"/>
  <c r="C1283" i="47"/>
  <c r="C1379" i="47"/>
  <c r="C1381" i="47"/>
  <c r="C1365" i="47"/>
  <c r="C1397" i="47"/>
  <c r="C1087" i="47"/>
  <c r="C1450" i="47"/>
  <c r="C1130" i="47"/>
  <c r="C1052" i="47"/>
  <c r="C1260" i="47"/>
  <c r="C1056" i="47"/>
  <c r="C1066" i="47"/>
  <c r="C1488" i="47"/>
  <c r="C1484" i="47"/>
  <c r="C1054" i="47"/>
  <c r="C1142" i="47"/>
  <c r="C1237" i="47"/>
  <c r="C1469" i="47"/>
  <c r="C1329" i="47"/>
  <c r="C1470" i="47"/>
  <c r="C1189" i="47"/>
  <c r="C1404" i="47"/>
  <c r="C1427" i="47"/>
  <c r="C1336" i="47"/>
  <c r="C1236" i="47"/>
  <c r="C1230" i="47"/>
  <c r="C1086" i="47"/>
  <c r="C1426" i="47"/>
  <c r="C1254" i="47"/>
  <c r="C1409" i="47"/>
  <c r="C1334" i="47"/>
  <c r="C1304" i="47"/>
  <c r="C1032" i="47"/>
  <c r="C1043" i="47"/>
  <c r="C1423" i="47"/>
  <c r="C1483" i="47"/>
  <c r="C1265" i="47"/>
  <c r="C1148" i="47"/>
  <c r="C1035" i="47"/>
  <c r="C1030" i="47"/>
  <c r="C1239" i="47"/>
  <c r="C1473" i="47"/>
  <c r="C1350" i="47"/>
  <c r="C1441" i="47"/>
  <c r="C1286" i="47"/>
  <c r="C1058" i="47"/>
  <c r="C1272" i="47"/>
  <c r="C1248" i="47"/>
  <c r="C1040" i="47"/>
  <c r="C1474" i="47"/>
  <c r="C1297" i="47"/>
  <c r="C1462" i="47"/>
  <c r="C1330" i="47"/>
  <c r="C1328" i="47"/>
  <c r="C1492" i="47"/>
  <c r="C1403" i="47"/>
  <c r="C1140" i="47"/>
  <c r="C1490" i="47"/>
  <c r="C1487" i="47"/>
  <c r="C1101" i="47"/>
  <c r="C1370" i="47"/>
  <c r="C1251" i="47"/>
  <c r="C1320" i="47"/>
  <c r="C1046" i="47"/>
  <c r="C1168" i="47"/>
  <c r="C1120" i="47"/>
  <c r="C1055" i="47"/>
  <c r="C1438" i="47"/>
  <c r="C1333" i="47"/>
  <c r="C1105" i="47"/>
  <c r="C1491" i="47"/>
  <c r="C1135" i="47"/>
  <c r="C1459" i="47"/>
  <c r="C1244" i="47"/>
  <c r="C1078" i="47"/>
  <c r="C1179" i="47"/>
  <c r="C1121" i="47"/>
  <c r="C1047" i="47"/>
  <c r="C1159" i="47"/>
  <c r="C1065" i="47"/>
  <c r="C1109" i="47"/>
  <c r="C1435" i="47"/>
  <c r="C1259" i="47"/>
  <c r="C1479" i="47"/>
  <c r="C1215" i="47"/>
  <c r="C1098" i="47"/>
  <c r="C1060" i="47"/>
  <c r="C1255" i="47"/>
  <c r="C1368" i="47"/>
  <c r="C1417" i="47"/>
  <c r="C1088" i="47"/>
  <c r="C1071" i="47"/>
  <c r="C1034" i="47"/>
  <c r="C1392" i="47"/>
  <c r="C1145" i="47"/>
  <c r="C1137" i="47"/>
  <c r="C1171" i="47"/>
  <c r="C1396" i="47"/>
  <c r="C1278" i="47"/>
  <c r="C1216" i="47"/>
  <c r="C1485" i="47"/>
  <c r="C1127" i="47"/>
  <c r="C1096" i="47"/>
  <c r="C1431" i="47"/>
  <c r="C1291" i="47"/>
  <c r="C1319" i="47"/>
  <c r="C1227" i="47"/>
  <c r="C1267" i="47"/>
  <c r="C1282" i="47"/>
  <c r="C1359" i="47"/>
  <c r="C1191" i="47"/>
  <c r="C1475" i="47"/>
  <c r="C1050" i="47"/>
  <c r="C1205" i="47"/>
  <c r="C1471" i="47"/>
  <c r="C1075" i="47"/>
  <c r="C1246" i="47"/>
  <c r="C1443" i="47"/>
  <c r="C1361" i="47"/>
  <c r="C1073" i="47"/>
  <c r="C1252" i="47"/>
  <c r="C1080" i="47"/>
  <c r="C1425" i="47"/>
  <c r="C1190" i="47"/>
  <c r="C1223" i="47"/>
  <c r="C1289" i="47"/>
  <c r="C1383" i="47"/>
  <c r="C1249" i="47"/>
  <c r="C1447" i="47"/>
  <c r="C1454" i="47"/>
  <c r="C1247" i="47"/>
  <c r="C1197" i="47"/>
  <c r="C1434" i="47"/>
  <c r="C1369" i="47"/>
  <c r="C1156" i="47"/>
  <c r="C1104" i="47"/>
  <c r="C1262" i="47"/>
  <c r="C1388" i="47"/>
  <c r="C1162" i="47"/>
  <c r="C1378" i="47"/>
  <c r="C1067" i="47"/>
  <c r="C1209" i="47"/>
  <c r="C1057" i="47"/>
  <c r="C1303" i="47"/>
  <c r="C1342" i="47"/>
  <c r="C1083" i="47"/>
  <c r="C1258" i="47"/>
  <c r="C1337" i="47"/>
  <c r="C1279" i="47"/>
  <c r="C1097" i="47"/>
  <c r="C1277" i="47"/>
  <c r="C1106" i="47"/>
  <c r="C1482" i="47"/>
  <c r="C1432" i="47"/>
  <c r="C1415" i="47"/>
  <c r="C1102" i="47"/>
  <c r="C1128" i="47"/>
  <c r="C1218" i="47"/>
  <c r="C1351" i="47"/>
  <c r="C1481" i="47"/>
  <c r="C1094" i="47"/>
  <c r="C1093" i="47"/>
  <c r="C1092" i="47"/>
  <c r="C1091" i="47"/>
  <c r="C1099" i="47"/>
  <c r="C1095" i="47"/>
  <c r="C1090" i="47"/>
  <c r="C1163" i="47"/>
  <c r="C1103" i="47"/>
  <c r="C1079" i="47"/>
  <c r="C1028" i="47"/>
  <c r="D1508" i="47"/>
  <c r="D1502" i="47"/>
  <c r="D1486" i="47"/>
  <c r="D1512" i="47"/>
  <c r="D1444" i="47"/>
  <c r="D1511" i="47"/>
  <c r="D1499" i="47"/>
  <c r="D1495" i="47"/>
  <c r="D1290" i="47"/>
  <c r="D1460" i="47"/>
  <c r="D1386" i="47"/>
  <c r="D1033" i="47"/>
  <c r="D1513" i="47"/>
  <c r="D1509" i="47"/>
  <c r="D1452" i="47"/>
  <c r="D1514" i="47"/>
  <c r="D1393" i="47"/>
  <c r="D1198" i="47"/>
  <c r="D1240" i="47"/>
  <c r="D1461" i="47"/>
  <c r="D1501" i="47"/>
  <c r="D1390" i="47"/>
  <c r="D1400" i="47"/>
  <c r="D1489" i="47"/>
  <c r="D1041" i="47"/>
  <c r="D1129" i="47"/>
  <c r="D1327" i="47"/>
  <c r="D1245" i="47"/>
  <c r="D1070" i="47"/>
  <c r="D1292" i="47"/>
  <c r="D1144" i="47"/>
  <c r="D1036" i="47"/>
  <c r="D1410" i="47"/>
  <c r="D1439" i="47"/>
  <c r="D1401" i="47"/>
  <c r="D1429" i="47"/>
  <c r="D1194" i="47"/>
  <c r="D1160" i="47"/>
  <c r="D1353" i="47"/>
  <c r="D1407" i="47"/>
  <c r="D1293" i="47"/>
  <c r="D1385" i="47"/>
  <c r="D1478" i="47"/>
  <c r="D1221" i="47"/>
  <c r="D1111" i="47"/>
  <c r="D1253" i="47"/>
  <c r="D1457" i="47"/>
  <c r="D1061" i="47"/>
  <c r="D1341" i="47"/>
  <c r="D1323" i="47"/>
  <c r="D1077" i="47"/>
  <c r="D1072" i="47"/>
  <c r="D1398" i="47"/>
  <c r="D1256" i="47"/>
  <c r="D1285" i="47"/>
  <c r="D1138" i="47"/>
  <c r="D1151" i="47"/>
  <c r="D1177" i="47"/>
  <c r="D1456" i="47"/>
  <c r="D1049" i="47"/>
  <c r="D1355" i="47"/>
  <c r="D1382" i="47"/>
  <c r="D1039" i="47"/>
  <c r="D1146" i="47"/>
  <c r="D1228" i="47"/>
  <c r="D1498" i="47"/>
  <c r="D1493" i="47"/>
  <c r="D1507" i="47"/>
  <c r="D1161" i="47"/>
  <c r="D1358" i="47"/>
  <c r="D1344" i="47"/>
  <c r="D1226" i="47"/>
  <c r="D1048" i="47"/>
  <c r="D1114" i="47"/>
  <c r="D1500" i="47"/>
  <c r="D1442" i="47"/>
  <c r="D1241" i="47"/>
  <c r="D1284" i="47"/>
  <c r="D1183" i="47"/>
  <c r="D1219" i="47"/>
  <c r="D1181" i="47"/>
  <c r="D1504" i="47"/>
  <c r="D1294" i="47"/>
  <c r="D1089" i="47"/>
  <c r="D1477" i="47"/>
  <c r="D1464" i="47"/>
  <c r="D1465" i="47"/>
  <c r="D1506" i="47"/>
  <c r="D1158" i="47"/>
  <c r="D1345" i="47"/>
  <c r="D1503" i="47"/>
  <c r="D1235" i="47"/>
  <c r="D1281" i="47"/>
  <c r="D1496" i="47"/>
  <c r="D1375" i="47"/>
  <c r="D1497" i="47"/>
  <c r="D1275" i="47"/>
  <c r="D1494" i="47"/>
  <c r="D1421" i="47"/>
  <c r="D1269" i="47"/>
  <c r="D1352" i="47"/>
  <c r="D1405" i="47"/>
  <c r="D1287" i="47"/>
  <c r="D1394" i="47"/>
  <c r="D1354" i="47"/>
  <c r="D1178" i="47"/>
  <c r="D1257" i="47"/>
  <c r="D1031" i="47"/>
  <c r="D1433" i="47"/>
  <c r="D1295" i="47"/>
  <c r="D1455" i="47"/>
  <c r="D1134" i="47"/>
  <c r="D1133" i="47"/>
  <c r="D1124" i="47"/>
  <c r="D1166" i="47"/>
  <c r="D1139" i="47"/>
  <c r="D1458" i="47"/>
  <c r="D1225" i="47"/>
  <c r="D1271" i="47"/>
  <c r="D1064" i="47"/>
  <c r="D1419" i="47"/>
  <c r="D1476" i="47"/>
  <c r="D1113" i="47"/>
  <c r="D1037" i="47"/>
  <c r="D1141" i="47"/>
  <c r="D1154" i="47"/>
  <c r="D1132" i="47"/>
  <c r="D1201" i="47"/>
  <c r="D1416" i="47"/>
  <c r="D1192" i="47"/>
  <c r="D1280" i="47"/>
  <c r="D1299" i="47"/>
  <c r="D1170" i="47"/>
  <c r="D1131" i="47"/>
  <c r="D1418" i="47"/>
  <c r="D1446" i="47"/>
  <c r="D1068" i="47"/>
  <c r="D1100" i="47"/>
  <c r="D1376" i="47"/>
  <c r="D1108" i="47"/>
  <c r="D1208" i="47"/>
  <c r="D1174" i="47"/>
  <c r="D1213" i="47"/>
  <c r="D1309" i="47"/>
  <c r="D1069" i="47"/>
  <c r="D1200" i="47"/>
  <c r="D1273" i="47"/>
  <c r="D1233" i="47"/>
  <c r="D1231" i="47"/>
  <c r="D1380" i="47"/>
  <c r="D1348" i="47"/>
  <c r="D1063" i="47"/>
  <c r="D1182" i="47"/>
  <c r="D1384" i="47"/>
  <c r="D1232" i="47"/>
  <c r="D1445" i="47"/>
  <c r="D1449" i="47"/>
  <c r="D1169" i="47"/>
  <c r="D1317" i="47"/>
  <c r="D1029" i="47"/>
  <c r="D1311" i="47"/>
  <c r="D1395" i="47"/>
  <c r="D1422" i="47"/>
  <c r="D1082" i="47"/>
  <c r="D1107" i="47"/>
  <c r="D1308" i="47"/>
  <c r="D1413" i="47"/>
  <c r="D1085" i="47"/>
  <c r="D1214" i="47"/>
  <c r="D1436" i="47"/>
  <c r="D1126" i="47"/>
  <c r="D1202" i="47"/>
  <c r="D1187" i="47"/>
  <c r="D1136" i="47"/>
  <c r="D1053" i="47"/>
  <c r="D1051" i="47"/>
  <c r="D1406" i="47"/>
  <c r="D1315" i="47"/>
  <c r="D1467" i="47"/>
  <c r="D1193" i="47"/>
  <c r="D1243" i="47"/>
  <c r="D1195" i="47"/>
  <c r="D1276" i="47"/>
  <c r="D1472" i="47"/>
  <c r="D1374" i="47"/>
  <c r="D1153" i="47"/>
  <c r="D1042" i="47"/>
  <c r="D1346" i="47"/>
  <c r="D1343" i="47"/>
  <c r="D1110" i="47"/>
  <c r="D1081" i="47"/>
  <c r="D1149" i="47"/>
  <c r="D1175" i="47"/>
  <c r="D1301" i="47"/>
  <c r="D1377" i="47"/>
  <c r="D1399" i="47"/>
  <c r="D1339" i="47"/>
  <c r="D1268" i="47"/>
  <c r="D1203" i="47"/>
  <c r="D1112" i="47"/>
  <c r="D1084" i="47"/>
  <c r="D1044" i="47"/>
  <c r="D1220" i="47"/>
  <c r="D1321" i="47"/>
  <c r="D1326" i="47"/>
  <c r="D1366" i="47"/>
  <c r="D1453" i="47"/>
  <c r="D1199" i="47"/>
  <c r="D1062" i="47"/>
  <c r="D1316" i="47"/>
  <c r="D1026" i="47"/>
  <c r="D1307" i="47"/>
  <c r="D1270" i="47"/>
  <c r="D1173" i="47"/>
  <c r="D1217" i="47"/>
  <c r="D1238" i="47"/>
  <c r="D1222" i="47"/>
  <c r="D1364" i="47"/>
  <c r="D1188" i="47"/>
  <c r="D1224" i="47"/>
  <c r="D1430" i="47"/>
  <c r="D1420" i="47"/>
  <c r="D1412" i="47"/>
  <c r="D1234" i="47"/>
  <c r="D1122" i="47"/>
  <c r="D1123" i="47"/>
  <c r="D1298" i="47"/>
  <c r="D1210" i="47"/>
  <c r="D1363" i="47"/>
  <c r="D1357" i="47"/>
  <c r="D1167" i="47"/>
  <c r="D1480" i="47"/>
  <c r="D1264" i="47"/>
  <c r="D1164" i="47"/>
  <c r="D1322" i="47"/>
  <c r="D1119" i="47"/>
  <c r="D1505" i="47"/>
  <c r="D1038" i="47"/>
  <c r="D1184" i="47"/>
  <c r="D1318" i="47"/>
  <c r="D1263" i="47"/>
  <c r="D1362" i="47"/>
  <c r="D1451" i="47"/>
  <c r="D1025" i="47"/>
  <c r="D1059" i="47"/>
  <c r="D1313" i="47"/>
  <c r="D1325" i="47"/>
  <c r="D1306" i="47"/>
  <c r="D1250" i="47"/>
  <c r="D1147" i="47"/>
  <c r="D1212" i="47"/>
  <c r="D1229" i="47"/>
  <c r="D1185" i="47"/>
  <c r="D1411" i="47"/>
  <c r="D1186" i="47"/>
  <c r="D1211" i="47"/>
  <c r="D1389" i="47"/>
  <c r="D1356" i="47"/>
  <c r="D1266" i="47"/>
  <c r="D1204" i="47"/>
  <c r="D1117" i="47"/>
  <c r="D1115" i="47"/>
  <c r="D1296" i="47"/>
  <c r="D1180" i="47"/>
  <c r="D1310" i="47"/>
  <c r="D1347" i="47"/>
  <c r="D1143" i="47"/>
  <c r="D1468" i="47"/>
  <c r="D1261" i="47"/>
  <c r="D1155" i="47"/>
  <c r="D1387" i="47"/>
  <c r="D1367" i="47"/>
  <c r="D1076" i="47"/>
  <c r="D1463" i="47"/>
  <c r="D1206" i="47"/>
  <c r="D1360" i="47"/>
  <c r="D1391" i="47"/>
  <c r="D1165" i="47"/>
  <c r="D1466" i="47"/>
  <c r="D1207" i="47"/>
  <c r="D1150" i="47"/>
  <c r="D1324" i="47"/>
  <c r="D1371" i="47"/>
  <c r="D1312" i="47"/>
  <c r="D1349" i="47"/>
  <c r="D1331" i="47"/>
  <c r="D1372" i="47"/>
  <c r="D1373" i="47"/>
  <c r="D1340" i="47"/>
  <c r="D1118" i="47"/>
  <c r="D1300" i="47"/>
  <c r="D1196" i="47"/>
  <c r="D1332" i="47"/>
  <c r="D1045" i="47"/>
  <c r="D1074" i="47"/>
  <c r="D1125" i="47"/>
  <c r="D1305" i="47"/>
  <c r="D1274" i="47"/>
  <c r="D1335" i="47"/>
  <c r="D1424" i="47"/>
  <c r="D1157" i="47"/>
  <c r="D1172" i="47"/>
  <c r="D1242" i="47"/>
  <c r="D1314" i="47"/>
  <c r="D1027" i="47"/>
  <c r="D1152" i="47"/>
  <c r="D1440" i="47"/>
  <c r="D1408" i="47"/>
  <c r="D1338" i="47"/>
  <c r="D1448" i="47"/>
  <c r="D1437" i="47"/>
  <c r="D1428" i="47"/>
  <c r="D1176" i="47"/>
  <c r="D1116" i="47"/>
  <c r="D1402" i="47"/>
  <c r="D1414" i="47"/>
  <c r="D1302" i="47"/>
  <c r="D1288" i="47"/>
  <c r="D1283" i="47"/>
  <c r="D1379" i="47"/>
  <c r="D1381" i="47"/>
  <c r="D1365" i="47"/>
  <c r="D1397" i="47"/>
  <c r="D1087" i="47"/>
  <c r="D1450" i="47"/>
  <c r="D1130" i="47"/>
  <c r="D1052" i="47"/>
  <c r="D1260" i="47"/>
  <c r="D1056" i="47"/>
  <c r="D1066" i="47"/>
  <c r="D1488" i="47"/>
  <c r="D1484" i="47"/>
  <c r="D1054" i="47"/>
  <c r="D1142" i="47"/>
  <c r="D1237" i="47"/>
  <c r="D1469" i="47"/>
  <c r="D1329" i="47"/>
  <c r="D1470" i="47"/>
  <c r="D1189" i="47"/>
  <c r="D1404" i="47"/>
  <c r="D1427" i="47"/>
  <c r="D1336" i="47"/>
  <c r="D1236" i="47"/>
  <c r="D1230" i="47"/>
  <c r="D1086" i="47"/>
  <c r="D1426" i="47"/>
  <c r="D1254" i="47"/>
  <c r="D1409" i="47"/>
  <c r="D1334" i="47"/>
  <c r="D1304" i="47"/>
  <c r="D1032" i="47"/>
  <c r="D1043" i="47"/>
  <c r="D1423" i="47"/>
  <c r="D1483" i="47"/>
  <c r="D1265" i="47"/>
  <c r="D1148" i="47"/>
  <c r="D1035" i="47"/>
  <c r="D1030" i="47"/>
  <c r="D1239" i="47"/>
  <c r="D1473" i="47"/>
  <c r="D1350" i="47"/>
  <c r="D1441" i="47"/>
  <c r="D1286" i="47"/>
  <c r="D1058" i="47"/>
  <c r="D1272" i="47"/>
  <c r="D1248" i="47"/>
  <c r="D1040" i="47"/>
  <c r="D1474" i="47"/>
  <c r="D1297" i="47"/>
  <c r="D1462" i="47"/>
  <c r="D1330" i="47"/>
  <c r="D1328" i="47"/>
  <c r="D1492" i="47"/>
  <c r="D1403" i="47"/>
  <c r="D1140" i="47"/>
  <c r="D1490" i="47"/>
  <c r="D1487" i="47"/>
  <c r="D1101" i="47"/>
  <c r="D1370" i="47"/>
  <c r="D1251" i="47"/>
  <c r="D1320" i="47"/>
  <c r="D1046" i="47"/>
  <c r="D1168" i="47"/>
  <c r="D1120" i="47"/>
  <c r="D1055" i="47"/>
  <c r="D1438" i="47"/>
  <c r="D1333" i="47"/>
  <c r="D1105" i="47"/>
  <c r="D1491" i="47"/>
  <c r="D1135" i="47"/>
  <c r="D1459" i="47"/>
  <c r="D1244" i="47"/>
  <c r="D1078" i="47"/>
  <c r="D1179" i="47"/>
  <c r="D1121" i="47"/>
  <c r="D1047" i="47"/>
  <c r="D1159" i="47"/>
  <c r="D1065" i="47"/>
  <c r="D1109" i="47"/>
  <c r="D1435" i="47"/>
  <c r="D1259" i="47"/>
  <c r="D1479" i="47"/>
  <c r="D1215" i="47"/>
  <c r="D1098" i="47"/>
  <c r="D1060" i="47"/>
  <c r="D1255" i="47"/>
  <c r="D1368" i="47"/>
  <c r="D1417" i="47"/>
  <c r="D1088" i="47"/>
  <c r="D1071" i="47"/>
  <c r="D1034" i="47"/>
  <c r="D1392" i="47"/>
  <c r="D1145" i="47"/>
  <c r="D1137" i="47"/>
  <c r="D1171" i="47"/>
  <c r="D1396" i="47"/>
  <c r="D1278" i="47"/>
  <c r="D1216" i="47"/>
  <c r="D1485" i="47"/>
  <c r="D1127" i="47"/>
  <c r="D1096" i="47"/>
  <c r="D1431" i="47"/>
  <c r="D1291" i="47"/>
  <c r="D1319" i="47"/>
  <c r="D1227" i="47"/>
  <c r="D1267" i="47"/>
  <c r="D1282" i="47"/>
  <c r="D1359" i="47"/>
  <c r="D1191" i="47"/>
  <c r="D1475" i="47"/>
  <c r="D1050" i="47"/>
  <c r="D1205" i="47"/>
  <c r="D1471" i="47"/>
  <c r="D1075" i="47"/>
  <c r="D1246" i="47"/>
  <c r="D1443" i="47"/>
  <c r="D1361" i="47"/>
  <c r="D1073" i="47"/>
  <c r="D1252" i="47"/>
  <c r="D1080" i="47"/>
  <c r="D1425" i="47"/>
  <c r="D1190" i="47"/>
  <c r="D1223" i="47"/>
  <c r="D1289" i="47"/>
  <c r="D1383" i="47"/>
  <c r="D1249" i="47"/>
  <c r="D1447" i="47"/>
  <c r="D1454" i="47"/>
  <c r="D1247" i="47"/>
  <c r="D1197" i="47"/>
  <c r="D1434" i="47"/>
  <c r="D1369" i="47"/>
  <c r="D1156" i="47"/>
  <c r="D1104" i="47"/>
  <c r="D1262" i="47"/>
  <c r="D1388" i="47"/>
  <c r="D1162" i="47"/>
  <c r="D1378" i="47"/>
  <c r="D1067" i="47"/>
  <c r="D1209" i="47"/>
  <c r="D1057" i="47"/>
  <c r="D1303" i="47"/>
  <c r="D1342" i="47"/>
  <c r="D1083" i="47"/>
  <c r="D1258" i="47"/>
  <c r="D1337" i="47"/>
  <c r="D1279" i="47"/>
  <c r="D1097" i="47"/>
  <c r="D1277" i="47"/>
  <c r="D1106" i="47"/>
  <c r="D1482" i="47"/>
  <c r="D1432" i="47"/>
  <c r="D1415" i="47"/>
  <c r="D1102" i="47"/>
  <c r="D1128" i="47"/>
  <c r="D1218" i="47"/>
  <c r="D1351" i="47"/>
  <c r="D1481" i="47"/>
  <c r="D1094" i="47"/>
  <c r="D1093" i="47"/>
  <c r="D1092" i="47"/>
  <c r="D1091" i="47"/>
  <c r="D1099" i="47"/>
  <c r="D1095" i="47"/>
  <c r="D1090" i="47"/>
  <c r="D1163" i="47"/>
  <c r="D1103" i="47"/>
  <c r="D1079" i="47"/>
  <c r="D1028" i="47"/>
  <c r="G1508" i="47"/>
  <c r="P1508" i="47" s="1"/>
  <c r="Q1508" i="47" s="1"/>
  <c r="G1502" i="47"/>
  <c r="P1502" i="47" s="1"/>
  <c r="Q1502" i="47" s="1"/>
  <c r="G1486" i="47"/>
  <c r="P1486" i="47" s="1"/>
  <c r="Q1486" i="47" s="1"/>
  <c r="G1512" i="47"/>
  <c r="G1444" i="47"/>
  <c r="P1444" i="47" s="1"/>
  <c r="Q1444" i="47" s="1"/>
  <c r="G1511" i="47"/>
  <c r="P1511" i="47" s="1"/>
  <c r="Q1511" i="47" s="1"/>
  <c r="G1499" i="47"/>
  <c r="P1499" i="47" s="1"/>
  <c r="Q1499" i="47" s="1"/>
  <c r="G1495" i="47"/>
  <c r="P1495" i="47" s="1"/>
  <c r="Q1495" i="47" s="1"/>
  <c r="G1290" i="47"/>
  <c r="P1290" i="47" s="1"/>
  <c r="Q1290" i="47" s="1"/>
  <c r="G1460" i="47"/>
  <c r="P1460" i="47" s="1"/>
  <c r="Q1460" i="47" s="1"/>
  <c r="G1386" i="47"/>
  <c r="P1386" i="47" s="1"/>
  <c r="Q1386" i="47" s="1"/>
  <c r="G1033" i="47"/>
  <c r="P1033" i="47" s="1"/>
  <c r="Q1033" i="47" s="1"/>
  <c r="G1509" i="47"/>
  <c r="P1509" i="47" s="1"/>
  <c r="Q1509" i="47" s="1"/>
  <c r="G1452" i="47"/>
  <c r="P1452" i="47" s="1"/>
  <c r="Q1452" i="47" s="1"/>
  <c r="G1393" i="47"/>
  <c r="P1393" i="47" s="1"/>
  <c r="Q1393" i="47" s="1"/>
  <c r="G1198" i="47"/>
  <c r="P1198" i="47" s="1"/>
  <c r="Q1198" i="47" s="1"/>
  <c r="G1240" i="47"/>
  <c r="P1240" i="47" s="1"/>
  <c r="Q1240" i="47" s="1"/>
  <c r="G1461" i="47"/>
  <c r="P1461" i="47" s="1"/>
  <c r="Q1461" i="47" s="1"/>
  <c r="G1501" i="47"/>
  <c r="P1501" i="47" s="1"/>
  <c r="Q1501" i="47" s="1"/>
  <c r="G1390" i="47"/>
  <c r="P1390" i="47" s="1"/>
  <c r="Q1390" i="47" s="1"/>
  <c r="G1400" i="47"/>
  <c r="P1400" i="47" s="1"/>
  <c r="Q1400" i="47" s="1"/>
  <c r="G1489" i="47"/>
  <c r="P1489" i="47" s="1"/>
  <c r="Q1489" i="47" s="1"/>
  <c r="G1041" i="47"/>
  <c r="P1041" i="47" s="1"/>
  <c r="Q1041" i="47" s="1"/>
  <c r="G1129" i="47"/>
  <c r="P1129" i="47" s="1"/>
  <c r="Q1129" i="47" s="1"/>
  <c r="G1327" i="47"/>
  <c r="P1327" i="47" s="1"/>
  <c r="Q1327" i="47" s="1"/>
  <c r="G1245" i="47"/>
  <c r="P1245" i="47" s="1"/>
  <c r="Q1245" i="47" s="1"/>
  <c r="G1070" i="47"/>
  <c r="P1070" i="47" s="1"/>
  <c r="Q1070" i="47" s="1"/>
  <c r="G1292" i="47"/>
  <c r="P1292" i="47" s="1"/>
  <c r="Q1292" i="47" s="1"/>
  <c r="G1144" i="47"/>
  <c r="P1144" i="47" s="1"/>
  <c r="Q1144" i="47" s="1"/>
  <c r="G1036" i="47"/>
  <c r="P1036" i="47" s="1"/>
  <c r="Q1036" i="47" s="1"/>
  <c r="G1410" i="47"/>
  <c r="P1410" i="47" s="1"/>
  <c r="Q1410" i="47" s="1"/>
  <c r="G1439" i="47"/>
  <c r="P1439" i="47" s="1"/>
  <c r="Q1439" i="47" s="1"/>
  <c r="G1401" i="47"/>
  <c r="P1401" i="47" s="1"/>
  <c r="Q1401" i="47" s="1"/>
  <c r="G1429" i="47"/>
  <c r="P1429" i="47" s="1"/>
  <c r="Q1429" i="47" s="1"/>
  <c r="G1194" i="47"/>
  <c r="P1194" i="47" s="1"/>
  <c r="Q1194" i="47" s="1"/>
  <c r="G1160" i="47"/>
  <c r="P1160" i="47" s="1"/>
  <c r="Q1160" i="47" s="1"/>
  <c r="G1353" i="47"/>
  <c r="P1353" i="47" s="1"/>
  <c r="Q1353" i="47" s="1"/>
  <c r="G1407" i="47"/>
  <c r="P1407" i="47" s="1"/>
  <c r="Q1407" i="47" s="1"/>
  <c r="G1293" i="47"/>
  <c r="P1293" i="47" s="1"/>
  <c r="Q1293" i="47" s="1"/>
  <c r="G1385" i="47"/>
  <c r="P1385" i="47" s="1"/>
  <c r="Q1385" i="47" s="1"/>
  <c r="G1478" i="47"/>
  <c r="P1478" i="47" s="1"/>
  <c r="Q1478" i="47" s="1"/>
  <c r="G1221" i="47"/>
  <c r="P1221" i="47" s="1"/>
  <c r="Q1221" i="47" s="1"/>
  <c r="G1111" i="47"/>
  <c r="P1111" i="47" s="1"/>
  <c r="Q1111" i="47" s="1"/>
  <c r="G1253" i="47"/>
  <c r="P1253" i="47" s="1"/>
  <c r="Q1253" i="47" s="1"/>
  <c r="G1457" i="47"/>
  <c r="P1457" i="47" s="1"/>
  <c r="Q1457" i="47" s="1"/>
  <c r="G1061" i="47"/>
  <c r="P1061" i="47" s="1"/>
  <c r="Q1061" i="47" s="1"/>
  <c r="G1341" i="47"/>
  <c r="P1341" i="47" s="1"/>
  <c r="Q1341" i="47" s="1"/>
  <c r="G1323" i="47"/>
  <c r="P1323" i="47" s="1"/>
  <c r="Q1323" i="47" s="1"/>
  <c r="G1077" i="47"/>
  <c r="P1077" i="47" s="1"/>
  <c r="Q1077" i="47" s="1"/>
  <c r="G1072" i="47"/>
  <c r="P1072" i="47" s="1"/>
  <c r="Q1072" i="47" s="1"/>
  <c r="G1398" i="47"/>
  <c r="P1398" i="47" s="1"/>
  <c r="Q1398" i="47" s="1"/>
  <c r="G1256" i="47"/>
  <c r="P1256" i="47" s="1"/>
  <c r="Q1256" i="47" s="1"/>
  <c r="G1285" i="47"/>
  <c r="P1285" i="47" s="1"/>
  <c r="Q1285" i="47" s="1"/>
  <c r="G1138" i="47"/>
  <c r="P1138" i="47" s="1"/>
  <c r="Q1138" i="47" s="1"/>
  <c r="G1151" i="47"/>
  <c r="P1151" i="47" s="1"/>
  <c r="Q1151" i="47" s="1"/>
  <c r="G1177" i="47"/>
  <c r="P1177" i="47" s="1"/>
  <c r="Q1177" i="47" s="1"/>
  <c r="G1456" i="47"/>
  <c r="P1456" i="47" s="1"/>
  <c r="Q1456" i="47" s="1"/>
  <c r="G1049" i="47"/>
  <c r="P1049" i="47" s="1"/>
  <c r="Q1049" i="47" s="1"/>
  <c r="G1355" i="47"/>
  <c r="P1355" i="47" s="1"/>
  <c r="Q1355" i="47" s="1"/>
  <c r="G1382" i="47"/>
  <c r="P1382" i="47" s="1"/>
  <c r="Q1382" i="47" s="1"/>
  <c r="G1039" i="47"/>
  <c r="P1039" i="47" s="1"/>
  <c r="Q1039" i="47" s="1"/>
  <c r="G1146" i="47"/>
  <c r="S1146" i="47" s="1"/>
  <c r="G1228" i="47"/>
  <c r="P1228" i="47" s="1"/>
  <c r="Q1228" i="47" s="1"/>
  <c r="G1498" i="47"/>
  <c r="P1498" i="47" s="1"/>
  <c r="Q1498" i="47" s="1"/>
  <c r="G1493" i="47"/>
  <c r="P1493" i="47" s="1"/>
  <c r="Q1493" i="47" s="1"/>
  <c r="G1507" i="47"/>
  <c r="P1507" i="47" s="1"/>
  <c r="Q1507" i="47" s="1"/>
  <c r="G1161" i="47"/>
  <c r="P1161" i="47" s="1"/>
  <c r="Q1161" i="47" s="1"/>
  <c r="G1358" i="47"/>
  <c r="P1358" i="47" s="1"/>
  <c r="Q1358" i="47" s="1"/>
  <c r="G1344" i="47"/>
  <c r="P1344" i="47" s="1"/>
  <c r="Q1344" i="47" s="1"/>
  <c r="G1226" i="47"/>
  <c r="P1226" i="47" s="1"/>
  <c r="Q1226" i="47" s="1"/>
  <c r="G1048" i="47"/>
  <c r="P1048" i="47" s="1"/>
  <c r="Q1048" i="47" s="1"/>
  <c r="G1114" i="47"/>
  <c r="P1114" i="47" s="1"/>
  <c r="Q1114" i="47" s="1"/>
  <c r="G1500" i="47"/>
  <c r="P1500" i="47" s="1"/>
  <c r="Q1500" i="47" s="1"/>
  <c r="G1442" i="47"/>
  <c r="P1442" i="47" s="1"/>
  <c r="Q1442" i="47" s="1"/>
  <c r="G1241" i="47"/>
  <c r="P1241" i="47" s="1"/>
  <c r="Q1241" i="47" s="1"/>
  <c r="G1284" i="47"/>
  <c r="P1284" i="47" s="1"/>
  <c r="Q1284" i="47" s="1"/>
  <c r="G1183" i="47"/>
  <c r="P1183" i="47" s="1"/>
  <c r="Q1183" i="47" s="1"/>
  <c r="G1219" i="47"/>
  <c r="P1219" i="47" s="1"/>
  <c r="Q1219" i="47" s="1"/>
  <c r="G1181" i="47"/>
  <c r="P1181" i="47" s="1"/>
  <c r="Q1181" i="47" s="1"/>
  <c r="G1504" i="47"/>
  <c r="P1504" i="47" s="1"/>
  <c r="Q1504" i="47" s="1"/>
  <c r="G1294" i="47"/>
  <c r="P1294" i="47" s="1"/>
  <c r="Q1294" i="47" s="1"/>
  <c r="G1089" i="47"/>
  <c r="G1477" i="47"/>
  <c r="P1477" i="47" s="1"/>
  <c r="Q1477" i="47" s="1"/>
  <c r="G1464" i="47"/>
  <c r="P1464" i="47" s="1"/>
  <c r="Q1464" i="47" s="1"/>
  <c r="G1465" i="47"/>
  <c r="G1506" i="47"/>
  <c r="P1506" i="47" s="1"/>
  <c r="Q1506" i="47" s="1"/>
  <c r="G1158" i="47"/>
  <c r="P1158" i="47" s="1"/>
  <c r="Q1158" i="47" s="1"/>
  <c r="G1345" i="47"/>
  <c r="P1345" i="47" s="1"/>
  <c r="Q1345" i="47" s="1"/>
  <c r="G1503" i="47"/>
  <c r="P1503" i="47" s="1"/>
  <c r="Q1503" i="47" s="1"/>
  <c r="G1235" i="47"/>
  <c r="P1235" i="47" s="1"/>
  <c r="Q1235" i="47" s="1"/>
  <c r="G1281" i="47"/>
  <c r="P1281" i="47" s="1"/>
  <c r="Q1281" i="47" s="1"/>
  <c r="G1496" i="47"/>
  <c r="P1496" i="47" s="1"/>
  <c r="Q1496" i="47" s="1"/>
  <c r="G1375" i="47"/>
  <c r="P1375" i="47" s="1"/>
  <c r="Q1375" i="47" s="1"/>
  <c r="G1275" i="47"/>
  <c r="P1275" i="47" s="1"/>
  <c r="Q1275" i="47" s="1"/>
  <c r="G1494" i="47"/>
  <c r="P1494" i="47" s="1"/>
  <c r="Q1494" i="47" s="1"/>
  <c r="G1421" i="47"/>
  <c r="P1421" i="47" s="1"/>
  <c r="Q1421" i="47" s="1"/>
  <c r="G1269" i="47"/>
  <c r="P1269" i="47" s="1"/>
  <c r="Q1269" i="47" s="1"/>
  <c r="G1352" i="47"/>
  <c r="P1352" i="47" s="1"/>
  <c r="Q1352" i="47" s="1"/>
  <c r="G1405" i="47"/>
  <c r="P1405" i="47" s="1"/>
  <c r="Q1405" i="47" s="1"/>
  <c r="G1287" i="47"/>
  <c r="P1287" i="47" s="1"/>
  <c r="Q1287" i="47" s="1"/>
  <c r="G1394" i="47"/>
  <c r="P1394" i="47" s="1"/>
  <c r="Q1394" i="47" s="1"/>
  <c r="G1354" i="47"/>
  <c r="P1354" i="47" s="1"/>
  <c r="Q1354" i="47" s="1"/>
  <c r="G1178" i="47"/>
  <c r="P1178" i="47" s="1"/>
  <c r="Q1178" i="47" s="1"/>
  <c r="G1257" i="47"/>
  <c r="P1257" i="47" s="1"/>
  <c r="Q1257" i="47" s="1"/>
  <c r="G1031" i="47"/>
  <c r="P1031" i="47" s="1"/>
  <c r="Q1031" i="47" s="1"/>
  <c r="G1433" i="47"/>
  <c r="P1433" i="47" s="1"/>
  <c r="Q1433" i="47" s="1"/>
  <c r="G1295" i="47"/>
  <c r="P1295" i="47" s="1"/>
  <c r="Q1295" i="47" s="1"/>
  <c r="G1455" i="47"/>
  <c r="P1455" i="47" s="1"/>
  <c r="Q1455" i="47" s="1"/>
  <c r="G1134" i="47"/>
  <c r="P1134" i="47" s="1"/>
  <c r="Q1134" i="47" s="1"/>
  <c r="G1133" i="47"/>
  <c r="P1133" i="47" s="1"/>
  <c r="Q1133" i="47" s="1"/>
  <c r="G1124" i="47"/>
  <c r="P1124" i="47" s="1"/>
  <c r="Q1124" i="47" s="1"/>
  <c r="G1166" i="47"/>
  <c r="P1166" i="47" s="1"/>
  <c r="Q1166" i="47" s="1"/>
  <c r="G1139" i="47"/>
  <c r="P1139" i="47" s="1"/>
  <c r="Q1139" i="47" s="1"/>
  <c r="G1458" i="47"/>
  <c r="P1458" i="47" s="1"/>
  <c r="Q1458" i="47" s="1"/>
  <c r="G1225" i="47"/>
  <c r="P1225" i="47" s="1"/>
  <c r="Q1225" i="47" s="1"/>
  <c r="G1271" i="47"/>
  <c r="P1271" i="47" s="1"/>
  <c r="Q1271" i="47" s="1"/>
  <c r="G1064" i="47"/>
  <c r="P1064" i="47" s="1"/>
  <c r="Q1064" i="47" s="1"/>
  <c r="G1419" i="47"/>
  <c r="P1419" i="47" s="1"/>
  <c r="Q1419" i="47" s="1"/>
  <c r="G1476" i="47"/>
  <c r="P1476" i="47" s="1"/>
  <c r="Q1476" i="47" s="1"/>
  <c r="G1113" i="47"/>
  <c r="P1113" i="47" s="1"/>
  <c r="Q1113" i="47" s="1"/>
  <c r="G1037" i="47"/>
  <c r="P1037" i="47" s="1"/>
  <c r="Q1037" i="47" s="1"/>
  <c r="G1141" i="47"/>
  <c r="P1141" i="47" s="1"/>
  <c r="Q1141" i="47" s="1"/>
  <c r="G1154" i="47"/>
  <c r="P1154" i="47" s="1"/>
  <c r="Q1154" i="47" s="1"/>
  <c r="G1132" i="47"/>
  <c r="P1132" i="47" s="1"/>
  <c r="Q1132" i="47" s="1"/>
  <c r="G1201" i="47"/>
  <c r="P1201" i="47" s="1"/>
  <c r="Q1201" i="47" s="1"/>
  <c r="G1192" i="47"/>
  <c r="P1192" i="47" s="1"/>
  <c r="Q1192" i="47" s="1"/>
  <c r="G1280" i="47"/>
  <c r="P1280" i="47" s="1"/>
  <c r="Q1280" i="47" s="1"/>
  <c r="G1299" i="47"/>
  <c r="P1299" i="47" s="1"/>
  <c r="Q1299" i="47" s="1"/>
  <c r="G1170" i="47"/>
  <c r="P1170" i="47" s="1"/>
  <c r="Q1170" i="47" s="1"/>
  <c r="G1131" i="47"/>
  <c r="P1131" i="47" s="1"/>
  <c r="Q1131" i="47" s="1"/>
  <c r="G1418" i="47"/>
  <c r="P1418" i="47" s="1"/>
  <c r="Q1418" i="47" s="1"/>
  <c r="G1446" i="47"/>
  <c r="P1446" i="47" s="1"/>
  <c r="Q1446" i="47" s="1"/>
  <c r="G1068" i="47"/>
  <c r="P1068" i="47" s="1"/>
  <c r="Q1068" i="47" s="1"/>
  <c r="G1100" i="47"/>
  <c r="P1100" i="47" s="1"/>
  <c r="Q1100" i="47" s="1"/>
  <c r="G1376" i="47"/>
  <c r="P1376" i="47" s="1"/>
  <c r="Q1376" i="47" s="1"/>
  <c r="G1108" i="47"/>
  <c r="P1108" i="47" s="1"/>
  <c r="Q1108" i="47" s="1"/>
  <c r="G1208" i="47"/>
  <c r="P1208" i="47" s="1"/>
  <c r="Q1208" i="47" s="1"/>
  <c r="G1174" i="47"/>
  <c r="P1174" i="47" s="1"/>
  <c r="Q1174" i="47" s="1"/>
  <c r="G1213" i="47"/>
  <c r="P1213" i="47" s="1"/>
  <c r="Q1213" i="47" s="1"/>
  <c r="G1309" i="47"/>
  <c r="P1309" i="47" s="1"/>
  <c r="Q1309" i="47" s="1"/>
  <c r="G1069" i="47"/>
  <c r="P1069" i="47" s="1"/>
  <c r="Q1069" i="47" s="1"/>
  <c r="G1200" i="47"/>
  <c r="P1200" i="47" s="1"/>
  <c r="Q1200" i="47" s="1"/>
  <c r="G1273" i="47"/>
  <c r="P1273" i="47" s="1"/>
  <c r="Q1273" i="47" s="1"/>
  <c r="G1233" i="47"/>
  <c r="P1233" i="47" s="1"/>
  <c r="Q1233" i="47" s="1"/>
  <c r="G1231" i="47"/>
  <c r="P1231" i="47" s="1"/>
  <c r="Q1231" i="47" s="1"/>
  <c r="G1380" i="47"/>
  <c r="P1380" i="47" s="1"/>
  <c r="Q1380" i="47" s="1"/>
  <c r="G1348" i="47"/>
  <c r="P1348" i="47" s="1"/>
  <c r="Q1348" i="47" s="1"/>
  <c r="G1063" i="47"/>
  <c r="P1063" i="47" s="1"/>
  <c r="Q1063" i="47" s="1"/>
  <c r="G1182" i="47"/>
  <c r="P1182" i="47" s="1"/>
  <c r="Q1182" i="47" s="1"/>
  <c r="G1384" i="47"/>
  <c r="P1384" i="47" s="1"/>
  <c r="Q1384" i="47" s="1"/>
  <c r="G1232" i="47"/>
  <c r="P1232" i="47" s="1"/>
  <c r="Q1232" i="47" s="1"/>
  <c r="G1445" i="47"/>
  <c r="P1445" i="47" s="1"/>
  <c r="Q1445" i="47" s="1"/>
  <c r="G1449" i="47"/>
  <c r="P1449" i="47" s="1"/>
  <c r="Q1449" i="47" s="1"/>
  <c r="G1169" i="47"/>
  <c r="P1169" i="47" s="1"/>
  <c r="Q1169" i="47" s="1"/>
  <c r="G1317" i="47"/>
  <c r="P1317" i="47" s="1"/>
  <c r="Q1317" i="47" s="1"/>
  <c r="G1029" i="47"/>
  <c r="P1029" i="47" s="1"/>
  <c r="Q1029" i="47" s="1"/>
  <c r="G1311" i="47"/>
  <c r="P1311" i="47" s="1"/>
  <c r="Q1311" i="47" s="1"/>
  <c r="G1395" i="47"/>
  <c r="P1395" i="47" s="1"/>
  <c r="Q1395" i="47" s="1"/>
  <c r="G1422" i="47"/>
  <c r="P1422" i="47" s="1"/>
  <c r="Q1422" i="47" s="1"/>
  <c r="G1082" i="47"/>
  <c r="P1082" i="47" s="1"/>
  <c r="Q1082" i="47" s="1"/>
  <c r="G1107" i="47"/>
  <c r="P1107" i="47" s="1"/>
  <c r="Q1107" i="47" s="1"/>
  <c r="G1308" i="47"/>
  <c r="P1308" i="47" s="1"/>
  <c r="Q1308" i="47" s="1"/>
  <c r="G1413" i="47"/>
  <c r="P1413" i="47" s="1"/>
  <c r="Q1413" i="47" s="1"/>
  <c r="G1085" i="47"/>
  <c r="P1085" i="47" s="1"/>
  <c r="Q1085" i="47" s="1"/>
  <c r="G1214" i="47"/>
  <c r="P1214" i="47" s="1"/>
  <c r="Q1214" i="47" s="1"/>
  <c r="G1436" i="47"/>
  <c r="P1436" i="47" s="1"/>
  <c r="Q1436" i="47" s="1"/>
  <c r="G1126" i="47"/>
  <c r="P1126" i="47" s="1"/>
  <c r="Q1126" i="47" s="1"/>
  <c r="G1202" i="47"/>
  <c r="P1202" i="47" s="1"/>
  <c r="Q1202" i="47" s="1"/>
  <c r="G1187" i="47"/>
  <c r="P1187" i="47" s="1"/>
  <c r="Q1187" i="47" s="1"/>
  <c r="G1136" i="47"/>
  <c r="P1136" i="47" s="1"/>
  <c r="Q1136" i="47" s="1"/>
  <c r="G1053" i="47"/>
  <c r="P1053" i="47" s="1"/>
  <c r="Q1053" i="47" s="1"/>
  <c r="G1051" i="47"/>
  <c r="P1051" i="47" s="1"/>
  <c r="Q1051" i="47" s="1"/>
  <c r="G1406" i="47"/>
  <c r="P1406" i="47" s="1"/>
  <c r="Q1406" i="47" s="1"/>
  <c r="G1315" i="47"/>
  <c r="P1315" i="47" s="1"/>
  <c r="Q1315" i="47" s="1"/>
  <c r="G1467" i="47"/>
  <c r="P1467" i="47" s="1"/>
  <c r="Q1467" i="47" s="1"/>
  <c r="G1193" i="47"/>
  <c r="P1193" i="47" s="1"/>
  <c r="Q1193" i="47" s="1"/>
  <c r="G1243" i="47"/>
  <c r="P1243" i="47" s="1"/>
  <c r="Q1243" i="47" s="1"/>
  <c r="G1195" i="47"/>
  <c r="P1195" i="47" s="1"/>
  <c r="Q1195" i="47" s="1"/>
  <c r="G1276" i="47"/>
  <c r="P1276" i="47" s="1"/>
  <c r="Q1276" i="47" s="1"/>
  <c r="G1472" i="47"/>
  <c r="P1472" i="47" s="1"/>
  <c r="Q1472" i="47" s="1"/>
  <c r="G1374" i="47"/>
  <c r="P1374" i="47" s="1"/>
  <c r="Q1374" i="47" s="1"/>
  <c r="G1153" i="47"/>
  <c r="P1153" i="47" s="1"/>
  <c r="Q1153" i="47" s="1"/>
  <c r="G1042" i="47"/>
  <c r="P1042" i="47" s="1"/>
  <c r="Q1042" i="47" s="1"/>
  <c r="G1346" i="47"/>
  <c r="P1346" i="47" s="1"/>
  <c r="Q1346" i="47" s="1"/>
  <c r="G1343" i="47"/>
  <c r="P1343" i="47" s="1"/>
  <c r="Q1343" i="47" s="1"/>
  <c r="G1110" i="47"/>
  <c r="P1110" i="47" s="1"/>
  <c r="Q1110" i="47" s="1"/>
  <c r="G1081" i="47"/>
  <c r="P1081" i="47" s="1"/>
  <c r="Q1081" i="47" s="1"/>
  <c r="G1149" i="47"/>
  <c r="P1149" i="47" s="1"/>
  <c r="Q1149" i="47" s="1"/>
  <c r="G1175" i="47"/>
  <c r="P1175" i="47" s="1"/>
  <c r="Q1175" i="47" s="1"/>
  <c r="G1301" i="47"/>
  <c r="P1301" i="47" s="1"/>
  <c r="Q1301" i="47" s="1"/>
  <c r="G1377" i="47"/>
  <c r="P1377" i="47" s="1"/>
  <c r="Q1377" i="47" s="1"/>
  <c r="G1399" i="47"/>
  <c r="P1399" i="47" s="1"/>
  <c r="Q1399" i="47" s="1"/>
  <c r="G1339" i="47"/>
  <c r="P1339" i="47" s="1"/>
  <c r="Q1339" i="47" s="1"/>
  <c r="G1268" i="47"/>
  <c r="P1268" i="47" s="1"/>
  <c r="Q1268" i="47" s="1"/>
  <c r="G1203" i="47"/>
  <c r="P1203" i="47" s="1"/>
  <c r="Q1203" i="47" s="1"/>
  <c r="G1112" i="47"/>
  <c r="P1112" i="47" s="1"/>
  <c r="Q1112" i="47" s="1"/>
  <c r="G1084" i="47"/>
  <c r="P1084" i="47" s="1"/>
  <c r="Q1084" i="47" s="1"/>
  <c r="G1044" i="47"/>
  <c r="P1044" i="47" s="1"/>
  <c r="Q1044" i="47" s="1"/>
  <c r="G1220" i="47"/>
  <c r="P1220" i="47" s="1"/>
  <c r="Q1220" i="47" s="1"/>
  <c r="G1321" i="47"/>
  <c r="P1321" i="47" s="1"/>
  <c r="Q1321" i="47" s="1"/>
  <c r="G1326" i="47"/>
  <c r="P1326" i="47" s="1"/>
  <c r="Q1326" i="47" s="1"/>
  <c r="G1366" i="47"/>
  <c r="P1366" i="47" s="1"/>
  <c r="Q1366" i="47" s="1"/>
  <c r="G1453" i="47"/>
  <c r="P1453" i="47" s="1"/>
  <c r="Q1453" i="47" s="1"/>
  <c r="G1199" i="47"/>
  <c r="P1199" i="47" s="1"/>
  <c r="Q1199" i="47" s="1"/>
  <c r="G1062" i="47"/>
  <c r="P1062" i="47" s="1"/>
  <c r="Q1062" i="47" s="1"/>
  <c r="G1316" i="47"/>
  <c r="P1316" i="47" s="1"/>
  <c r="Q1316" i="47" s="1"/>
  <c r="G1026" i="47"/>
  <c r="P1026" i="47" s="1"/>
  <c r="Q1026" i="47" s="1"/>
  <c r="G1307" i="47"/>
  <c r="P1307" i="47" s="1"/>
  <c r="Q1307" i="47" s="1"/>
  <c r="G1270" i="47"/>
  <c r="P1270" i="47" s="1"/>
  <c r="Q1270" i="47" s="1"/>
  <c r="G1173" i="47"/>
  <c r="P1173" i="47" s="1"/>
  <c r="Q1173" i="47" s="1"/>
  <c r="G1217" i="47"/>
  <c r="P1217" i="47" s="1"/>
  <c r="Q1217" i="47" s="1"/>
  <c r="G1238" i="47"/>
  <c r="P1238" i="47" s="1"/>
  <c r="Q1238" i="47" s="1"/>
  <c r="G1222" i="47"/>
  <c r="P1222" i="47" s="1"/>
  <c r="Q1222" i="47" s="1"/>
  <c r="G1364" i="47"/>
  <c r="P1364" i="47" s="1"/>
  <c r="Q1364" i="47" s="1"/>
  <c r="G1188" i="47"/>
  <c r="P1188" i="47" s="1"/>
  <c r="Q1188" i="47" s="1"/>
  <c r="G1224" i="47"/>
  <c r="P1224" i="47" s="1"/>
  <c r="Q1224" i="47" s="1"/>
  <c r="G1430" i="47"/>
  <c r="P1430" i="47" s="1"/>
  <c r="Q1430" i="47" s="1"/>
  <c r="G1412" i="47"/>
  <c r="P1412" i="47" s="1"/>
  <c r="Q1412" i="47" s="1"/>
  <c r="G1234" i="47"/>
  <c r="P1234" i="47" s="1"/>
  <c r="Q1234" i="47" s="1"/>
  <c r="G1122" i="47"/>
  <c r="P1122" i="47" s="1"/>
  <c r="Q1122" i="47" s="1"/>
  <c r="G1123" i="47"/>
  <c r="P1123" i="47" s="1"/>
  <c r="Q1123" i="47" s="1"/>
  <c r="G1298" i="47"/>
  <c r="P1298" i="47" s="1"/>
  <c r="Q1298" i="47" s="1"/>
  <c r="G1210" i="47"/>
  <c r="P1210" i="47" s="1"/>
  <c r="Q1210" i="47" s="1"/>
  <c r="G1363" i="47"/>
  <c r="P1363" i="47" s="1"/>
  <c r="Q1363" i="47" s="1"/>
  <c r="G1357" i="47"/>
  <c r="P1357" i="47" s="1"/>
  <c r="Q1357" i="47" s="1"/>
  <c r="G1167" i="47"/>
  <c r="P1167" i="47" s="1"/>
  <c r="Q1167" i="47" s="1"/>
  <c r="G1480" i="47"/>
  <c r="P1480" i="47" s="1"/>
  <c r="Q1480" i="47" s="1"/>
  <c r="G1264" i="47"/>
  <c r="P1264" i="47" s="1"/>
  <c r="Q1264" i="47" s="1"/>
  <c r="G1164" i="47"/>
  <c r="P1164" i="47" s="1"/>
  <c r="Q1164" i="47" s="1"/>
  <c r="G1322" i="47"/>
  <c r="P1322" i="47" s="1"/>
  <c r="Q1322" i="47" s="1"/>
  <c r="G1119" i="47"/>
  <c r="P1119" i="47" s="1"/>
  <c r="Q1119" i="47" s="1"/>
  <c r="G1505" i="47"/>
  <c r="P1505" i="47" s="1"/>
  <c r="Q1505" i="47" s="1"/>
  <c r="G1038" i="47"/>
  <c r="P1038" i="47" s="1"/>
  <c r="Q1038" i="47" s="1"/>
  <c r="G1184" i="47"/>
  <c r="P1184" i="47" s="1"/>
  <c r="Q1184" i="47" s="1"/>
  <c r="G1318" i="47"/>
  <c r="P1318" i="47" s="1"/>
  <c r="Q1318" i="47" s="1"/>
  <c r="G1263" i="47"/>
  <c r="P1263" i="47" s="1"/>
  <c r="Q1263" i="47" s="1"/>
  <c r="G1362" i="47"/>
  <c r="P1362" i="47" s="1"/>
  <c r="Q1362" i="47" s="1"/>
  <c r="G1451" i="47"/>
  <c r="P1451" i="47" s="1"/>
  <c r="Q1451" i="47" s="1"/>
  <c r="G1059" i="47"/>
  <c r="P1059" i="47" s="1"/>
  <c r="Q1059" i="47" s="1"/>
  <c r="G1313" i="47"/>
  <c r="P1313" i="47" s="1"/>
  <c r="Q1313" i="47" s="1"/>
  <c r="G1325" i="47"/>
  <c r="P1325" i="47" s="1"/>
  <c r="Q1325" i="47" s="1"/>
  <c r="G1306" i="47"/>
  <c r="P1306" i="47" s="1"/>
  <c r="Q1306" i="47" s="1"/>
  <c r="G1250" i="47"/>
  <c r="P1250" i="47" s="1"/>
  <c r="Q1250" i="47" s="1"/>
  <c r="G1147" i="47"/>
  <c r="P1147" i="47" s="1"/>
  <c r="Q1147" i="47" s="1"/>
  <c r="G1212" i="47"/>
  <c r="P1212" i="47" s="1"/>
  <c r="Q1212" i="47" s="1"/>
  <c r="G1229" i="47"/>
  <c r="P1229" i="47" s="1"/>
  <c r="Q1229" i="47" s="1"/>
  <c r="G1185" i="47"/>
  <c r="P1185" i="47" s="1"/>
  <c r="Q1185" i="47" s="1"/>
  <c r="G1411" i="47"/>
  <c r="P1411" i="47" s="1"/>
  <c r="Q1411" i="47" s="1"/>
  <c r="G1186" i="47"/>
  <c r="P1186" i="47" s="1"/>
  <c r="Q1186" i="47" s="1"/>
  <c r="G1211" i="47"/>
  <c r="P1211" i="47" s="1"/>
  <c r="Q1211" i="47" s="1"/>
  <c r="G1389" i="47"/>
  <c r="P1389" i="47" s="1"/>
  <c r="Q1389" i="47" s="1"/>
  <c r="G1356" i="47"/>
  <c r="P1356" i="47" s="1"/>
  <c r="Q1356" i="47" s="1"/>
  <c r="G1266" i="47"/>
  <c r="P1266" i="47" s="1"/>
  <c r="Q1266" i="47" s="1"/>
  <c r="G1204" i="47"/>
  <c r="P1204" i="47" s="1"/>
  <c r="Q1204" i="47" s="1"/>
  <c r="G1117" i="47"/>
  <c r="P1117" i="47" s="1"/>
  <c r="Q1117" i="47" s="1"/>
  <c r="G1115" i="47"/>
  <c r="P1115" i="47" s="1"/>
  <c r="Q1115" i="47" s="1"/>
  <c r="G1296" i="47"/>
  <c r="P1296" i="47" s="1"/>
  <c r="Q1296" i="47" s="1"/>
  <c r="G1180" i="47"/>
  <c r="P1180" i="47" s="1"/>
  <c r="Q1180" i="47" s="1"/>
  <c r="G1310" i="47"/>
  <c r="P1310" i="47" s="1"/>
  <c r="Q1310" i="47" s="1"/>
  <c r="G1347" i="47"/>
  <c r="P1347" i="47" s="1"/>
  <c r="Q1347" i="47" s="1"/>
  <c r="G1143" i="47"/>
  <c r="P1143" i="47" s="1"/>
  <c r="Q1143" i="47" s="1"/>
  <c r="G1468" i="47"/>
  <c r="P1468" i="47" s="1"/>
  <c r="Q1468" i="47" s="1"/>
  <c r="G1261" i="47"/>
  <c r="P1261" i="47" s="1"/>
  <c r="Q1261" i="47" s="1"/>
  <c r="G1155" i="47"/>
  <c r="P1155" i="47" s="1"/>
  <c r="Q1155" i="47" s="1"/>
  <c r="G1387" i="47"/>
  <c r="P1387" i="47" s="1"/>
  <c r="Q1387" i="47" s="1"/>
  <c r="G1367" i="47"/>
  <c r="P1367" i="47" s="1"/>
  <c r="Q1367" i="47" s="1"/>
  <c r="G1076" i="47"/>
  <c r="P1076" i="47" s="1"/>
  <c r="Q1076" i="47" s="1"/>
  <c r="G1463" i="47"/>
  <c r="P1463" i="47" s="1"/>
  <c r="Q1463" i="47" s="1"/>
  <c r="G1206" i="47"/>
  <c r="P1206" i="47" s="1"/>
  <c r="Q1206" i="47" s="1"/>
  <c r="G1360" i="47"/>
  <c r="P1360" i="47" s="1"/>
  <c r="Q1360" i="47" s="1"/>
  <c r="G1391" i="47"/>
  <c r="P1391" i="47" s="1"/>
  <c r="Q1391" i="47" s="1"/>
  <c r="G1165" i="47"/>
  <c r="P1165" i="47" s="1"/>
  <c r="Q1165" i="47" s="1"/>
  <c r="G1466" i="47"/>
  <c r="P1466" i="47" s="1"/>
  <c r="Q1466" i="47" s="1"/>
  <c r="G1207" i="47"/>
  <c r="P1207" i="47" s="1"/>
  <c r="Q1207" i="47" s="1"/>
  <c r="G1150" i="47"/>
  <c r="P1150" i="47" s="1"/>
  <c r="Q1150" i="47" s="1"/>
  <c r="G1324" i="47"/>
  <c r="P1324" i="47" s="1"/>
  <c r="Q1324" i="47" s="1"/>
  <c r="G1371" i="47"/>
  <c r="P1371" i="47" s="1"/>
  <c r="Q1371" i="47" s="1"/>
  <c r="G1312" i="47"/>
  <c r="P1312" i="47" s="1"/>
  <c r="Q1312" i="47" s="1"/>
  <c r="G1349" i="47"/>
  <c r="P1349" i="47" s="1"/>
  <c r="Q1349" i="47" s="1"/>
  <c r="G1331" i="47"/>
  <c r="P1331" i="47" s="1"/>
  <c r="Q1331" i="47" s="1"/>
  <c r="G1372" i="47"/>
  <c r="P1372" i="47" s="1"/>
  <c r="Q1372" i="47" s="1"/>
  <c r="G1373" i="47"/>
  <c r="P1373" i="47" s="1"/>
  <c r="Q1373" i="47" s="1"/>
  <c r="G1340" i="47"/>
  <c r="P1340" i="47" s="1"/>
  <c r="Q1340" i="47" s="1"/>
  <c r="G1118" i="47"/>
  <c r="P1118" i="47" s="1"/>
  <c r="Q1118" i="47" s="1"/>
  <c r="G1300" i="47"/>
  <c r="P1300" i="47" s="1"/>
  <c r="Q1300" i="47" s="1"/>
  <c r="G1196" i="47"/>
  <c r="P1196" i="47" s="1"/>
  <c r="Q1196" i="47" s="1"/>
  <c r="G1332" i="47"/>
  <c r="P1332" i="47" s="1"/>
  <c r="Q1332" i="47" s="1"/>
  <c r="G1045" i="47"/>
  <c r="P1045" i="47" s="1"/>
  <c r="Q1045" i="47" s="1"/>
  <c r="G1074" i="47"/>
  <c r="P1074" i="47" s="1"/>
  <c r="Q1074" i="47" s="1"/>
  <c r="G1125" i="47"/>
  <c r="P1125" i="47" s="1"/>
  <c r="Q1125" i="47" s="1"/>
  <c r="G1305" i="47"/>
  <c r="P1305" i="47" s="1"/>
  <c r="Q1305" i="47" s="1"/>
  <c r="G1274" i="47"/>
  <c r="P1274" i="47" s="1"/>
  <c r="Q1274" i="47" s="1"/>
  <c r="G1335" i="47"/>
  <c r="P1335" i="47" s="1"/>
  <c r="Q1335" i="47" s="1"/>
  <c r="G1424" i="47"/>
  <c r="P1424" i="47" s="1"/>
  <c r="Q1424" i="47" s="1"/>
  <c r="G1157" i="47"/>
  <c r="P1157" i="47" s="1"/>
  <c r="Q1157" i="47" s="1"/>
  <c r="G1172" i="47"/>
  <c r="P1172" i="47" s="1"/>
  <c r="Q1172" i="47" s="1"/>
  <c r="G1242" i="47"/>
  <c r="P1242" i="47" s="1"/>
  <c r="Q1242" i="47" s="1"/>
  <c r="G1314" i="47"/>
  <c r="P1314" i="47" s="1"/>
  <c r="Q1314" i="47" s="1"/>
  <c r="G1027" i="47"/>
  <c r="P1027" i="47" s="1"/>
  <c r="Q1027" i="47" s="1"/>
  <c r="G1152" i="47"/>
  <c r="P1152" i="47" s="1"/>
  <c r="Q1152" i="47" s="1"/>
  <c r="G1440" i="47"/>
  <c r="P1440" i="47" s="1"/>
  <c r="Q1440" i="47" s="1"/>
  <c r="G1408" i="47"/>
  <c r="P1408" i="47" s="1"/>
  <c r="Q1408" i="47" s="1"/>
  <c r="G1338" i="47"/>
  <c r="P1338" i="47" s="1"/>
  <c r="Q1338" i="47" s="1"/>
  <c r="G1448" i="47"/>
  <c r="P1448" i="47" s="1"/>
  <c r="Q1448" i="47" s="1"/>
  <c r="G1437" i="47"/>
  <c r="P1437" i="47" s="1"/>
  <c r="Q1437" i="47" s="1"/>
  <c r="G1428" i="47"/>
  <c r="P1428" i="47" s="1"/>
  <c r="Q1428" i="47" s="1"/>
  <c r="G1176" i="47"/>
  <c r="P1176" i="47" s="1"/>
  <c r="Q1176" i="47" s="1"/>
  <c r="G1116" i="47"/>
  <c r="P1116" i="47" s="1"/>
  <c r="Q1116" i="47" s="1"/>
  <c r="G1402" i="47"/>
  <c r="P1402" i="47" s="1"/>
  <c r="Q1402" i="47" s="1"/>
  <c r="G1414" i="47"/>
  <c r="P1414" i="47" s="1"/>
  <c r="Q1414" i="47" s="1"/>
  <c r="G1302" i="47"/>
  <c r="P1302" i="47" s="1"/>
  <c r="Q1302" i="47" s="1"/>
  <c r="G1288" i="47"/>
  <c r="P1288" i="47" s="1"/>
  <c r="Q1288" i="47" s="1"/>
  <c r="G1283" i="47"/>
  <c r="P1283" i="47" s="1"/>
  <c r="Q1283" i="47" s="1"/>
  <c r="G1379" i="47"/>
  <c r="P1379" i="47" s="1"/>
  <c r="Q1379" i="47" s="1"/>
  <c r="G1381" i="47"/>
  <c r="P1381" i="47" s="1"/>
  <c r="Q1381" i="47" s="1"/>
  <c r="G1365" i="47"/>
  <c r="P1365" i="47" s="1"/>
  <c r="Q1365" i="47" s="1"/>
  <c r="G1397" i="47"/>
  <c r="P1397" i="47" s="1"/>
  <c r="Q1397" i="47" s="1"/>
  <c r="G1087" i="47"/>
  <c r="P1087" i="47" s="1"/>
  <c r="Q1087" i="47" s="1"/>
  <c r="G1450" i="47"/>
  <c r="P1450" i="47" s="1"/>
  <c r="Q1450" i="47" s="1"/>
  <c r="G1130" i="47"/>
  <c r="P1130" i="47" s="1"/>
  <c r="Q1130" i="47" s="1"/>
  <c r="G1052" i="47"/>
  <c r="P1052" i="47" s="1"/>
  <c r="Q1052" i="47" s="1"/>
  <c r="G1260" i="47"/>
  <c r="P1260" i="47" s="1"/>
  <c r="Q1260" i="47" s="1"/>
  <c r="G1056" i="47"/>
  <c r="P1056" i="47" s="1"/>
  <c r="Q1056" i="47" s="1"/>
  <c r="G1066" i="47"/>
  <c r="P1066" i="47" s="1"/>
  <c r="Q1066" i="47" s="1"/>
  <c r="G1488" i="47"/>
  <c r="P1488" i="47" s="1"/>
  <c r="Q1488" i="47" s="1"/>
  <c r="G1484" i="47"/>
  <c r="P1484" i="47" s="1"/>
  <c r="Q1484" i="47" s="1"/>
  <c r="G1054" i="47"/>
  <c r="P1054" i="47" s="1"/>
  <c r="Q1054" i="47" s="1"/>
  <c r="G1142" i="47"/>
  <c r="P1142" i="47" s="1"/>
  <c r="Q1142" i="47" s="1"/>
  <c r="G1237" i="47"/>
  <c r="P1237" i="47" s="1"/>
  <c r="Q1237" i="47" s="1"/>
  <c r="G1469" i="47"/>
  <c r="P1469" i="47" s="1"/>
  <c r="Q1469" i="47" s="1"/>
  <c r="G1329" i="47"/>
  <c r="P1329" i="47" s="1"/>
  <c r="Q1329" i="47" s="1"/>
  <c r="G1470" i="47"/>
  <c r="P1470" i="47" s="1"/>
  <c r="Q1470" i="47" s="1"/>
  <c r="G1189" i="47"/>
  <c r="P1189" i="47" s="1"/>
  <c r="Q1189" i="47" s="1"/>
  <c r="G1404" i="47"/>
  <c r="P1404" i="47" s="1"/>
  <c r="Q1404" i="47" s="1"/>
  <c r="G1427" i="47"/>
  <c r="P1427" i="47" s="1"/>
  <c r="Q1427" i="47" s="1"/>
  <c r="G1336" i="47"/>
  <c r="P1336" i="47" s="1"/>
  <c r="Q1336" i="47" s="1"/>
  <c r="G1236" i="47"/>
  <c r="P1236" i="47" s="1"/>
  <c r="Q1236" i="47" s="1"/>
  <c r="G1230" i="47"/>
  <c r="P1230" i="47" s="1"/>
  <c r="Q1230" i="47" s="1"/>
  <c r="G1086" i="47"/>
  <c r="P1086" i="47" s="1"/>
  <c r="Q1086" i="47" s="1"/>
  <c r="G1426" i="47"/>
  <c r="P1426" i="47" s="1"/>
  <c r="Q1426" i="47" s="1"/>
  <c r="G1254" i="47"/>
  <c r="P1254" i="47" s="1"/>
  <c r="Q1254" i="47" s="1"/>
  <c r="G1409" i="47"/>
  <c r="P1409" i="47" s="1"/>
  <c r="Q1409" i="47" s="1"/>
  <c r="G1334" i="47"/>
  <c r="P1334" i="47" s="1"/>
  <c r="Q1334" i="47" s="1"/>
  <c r="G1304" i="47"/>
  <c r="P1304" i="47" s="1"/>
  <c r="Q1304" i="47" s="1"/>
  <c r="G1032" i="47"/>
  <c r="P1032" i="47" s="1"/>
  <c r="Q1032" i="47" s="1"/>
  <c r="G1043" i="47"/>
  <c r="P1043" i="47" s="1"/>
  <c r="Q1043" i="47" s="1"/>
  <c r="G1423" i="47"/>
  <c r="P1423" i="47" s="1"/>
  <c r="Q1423" i="47" s="1"/>
  <c r="G1483" i="47"/>
  <c r="P1483" i="47" s="1"/>
  <c r="Q1483" i="47" s="1"/>
  <c r="G1265" i="47"/>
  <c r="P1265" i="47" s="1"/>
  <c r="Q1265" i="47" s="1"/>
  <c r="G1148" i="47"/>
  <c r="P1148" i="47" s="1"/>
  <c r="Q1148" i="47" s="1"/>
  <c r="G1035" i="47"/>
  <c r="P1035" i="47" s="1"/>
  <c r="Q1035" i="47" s="1"/>
  <c r="G1239" i="47"/>
  <c r="P1239" i="47" s="1"/>
  <c r="Q1239" i="47" s="1"/>
  <c r="G1473" i="47"/>
  <c r="P1473" i="47" s="1"/>
  <c r="Q1473" i="47" s="1"/>
  <c r="G1350" i="47"/>
  <c r="P1350" i="47" s="1"/>
  <c r="Q1350" i="47" s="1"/>
  <c r="G1441" i="47"/>
  <c r="P1441" i="47" s="1"/>
  <c r="Q1441" i="47" s="1"/>
  <c r="G1286" i="47"/>
  <c r="P1286" i="47" s="1"/>
  <c r="Q1286" i="47" s="1"/>
  <c r="G1058" i="47"/>
  <c r="P1058" i="47" s="1"/>
  <c r="Q1058" i="47" s="1"/>
  <c r="G1272" i="47"/>
  <c r="P1272" i="47" s="1"/>
  <c r="Q1272" i="47" s="1"/>
  <c r="G1248" i="47"/>
  <c r="P1248" i="47" s="1"/>
  <c r="Q1248" i="47" s="1"/>
  <c r="G1040" i="47"/>
  <c r="P1040" i="47" s="1"/>
  <c r="Q1040" i="47" s="1"/>
  <c r="G1474" i="47"/>
  <c r="P1474" i="47" s="1"/>
  <c r="Q1474" i="47" s="1"/>
  <c r="G1297" i="47"/>
  <c r="P1297" i="47" s="1"/>
  <c r="Q1297" i="47" s="1"/>
  <c r="G1462" i="47"/>
  <c r="P1462" i="47" s="1"/>
  <c r="Q1462" i="47" s="1"/>
  <c r="G1330" i="47"/>
  <c r="P1330" i="47" s="1"/>
  <c r="Q1330" i="47" s="1"/>
  <c r="G1328" i="47"/>
  <c r="P1328" i="47" s="1"/>
  <c r="Q1328" i="47" s="1"/>
  <c r="G1492" i="47"/>
  <c r="P1492" i="47" s="1"/>
  <c r="Q1492" i="47" s="1"/>
  <c r="G1403" i="47"/>
  <c r="P1403" i="47" s="1"/>
  <c r="Q1403" i="47" s="1"/>
  <c r="G1140" i="47"/>
  <c r="P1140" i="47" s="1"/>
  <c r="Q1140" i="47" s="1"/>
  <c r="G1490" i="47"/>
  <c r="P1490" i="47" s="1"/>
  <c r="Q1490" i="47" s="1"/>
  <c r="G1487" i="47"/>
  <c r="P1487" i="47" s="1"/>
  <c r="Q1487" i="47" s="1"/>
  <c r="G1101" i="47"/>
  <c r="P1101" i="47" s="1"/>
  <c r="Q1101" i="47" s="1"/>
  <c r="G1370" i="47"/>
  <c r="P1370" i="47" s="1"/>
  <c r="Q1370" i="47" s="1"/>
  <c r="G1251" i="47"/>
  <c r="P1251" i="47" s="1"/>
  <c r="Q1251" i="47" s="1"/>
  <c r="G1320" i="47"/>
  <c r="P1320" i="47" s="1"/>
  <c r="Q1320" i="47" s="1"/>
  <c r="G1046" i="47"/>
  <c r="P1046" i="47" s="1"/>
  <c r="Q1046" i="47" s="1"/>
  <c r="G1168" i="47"/>
  <c r="P1168" i="47" s="1"/>
  <c r="Q1168" i="47" s="1"/>
  <c r="G1120" i="47"/>
  <c r="P1120" i="47" s="1"/>
  <c r="Q1120" i="47" s="1"/>
  <c r="G1055" i="47"/>
  <c r="P1055" i="47" s="1"/>
  <c r="Q1055" i="47" s="1"/>
  <c r="G1438" i="47"/>
  <c r="P1438" i="47" s="1"/>
  <c r="Q1438" i="47" s="1"/>
  <c r="G1333" i="47"/>
  <c r="P1333" i="47" s="1"/>
  <c r="Q1333" i="47" s="1"/>
  <c r="G1105" i="47"/>
  <c r="P1105" i="47" s="1"/>
  <c r="Q1105" i="47" s="1"/>
  <c r="G1491" i="47"/>
  <c r="P1491" i="47" s="1"/>
  <c r="Q1491" i="47" s="1"/>
  <c r="G1135" i="47"/>
  <c r="P1135" i="47" s="1"/>
  <c r="Q1135" i="47" s="1"/>
  <c r="G1459" i="47"/>
  <c r="P1459" i="47" s="1"/>
  <c r="Q1459" i="47" s="1"/>
  <c r="G1244" i="47"/>
  <c r="P1244" i="47" s="1"/>
  <c r="Q1244" i="47" s="1"/>
  <c r="G1078" i="47"/>
  <c r="P1078" i="47" s="1"/>
  <c r="Q1078" i="47" s="1"/>
  <c r="G1179" i="47"/>
  <c r="P1179" i="47" s="1"/>
  <c r="Q1179" i="47" s="1"/>
  <c r="G1121" i="47"/>
  <c r="P1121" i="47" s="1"/>
  <c r="Q1121" i="47" s="1"/>
  <c r="G1047" i="47"/>
  <c r="P1047" i="47" s="1"/>
  <c r="Q1047" i="47" s="1"/>
  <c r="G1159" i="47"/>
  <c r="P1159" i="47" s="1"/>
  <c r="Q1159" i="47" s="1"/>
  <c r="G1065" i="47"/>
  <c r="P1065" i="47" s="1"/>
  <c r="Q1065" i="47" s="1"/>
  <c r="G1109" i="47"/>
  <c r="P1109" i="47" s="1"/>
  <c r="Q1109" i="47" s="1"/>
  <c r="G1435" i="47"/>
  <c r="P1435" i="47" s="1"/>
  <c r="Q1435" i="47" s="1"/>
  <c r="G1259" i="47"/>
  <c r="P1259" i="47" s="1"/>
  <c r="Q1259" i="47" s="1"/>
  <c r="G1479" i="47"/>
  <c r="P1479" i="47" s="1"/>
  <c r="Q1479" i="47" s="1"/>
  <c r="G1215" i="47"/>
  <c r="P1215" i="47" s="1"/>
  <c r="Q1215" i="47" s="1"/>
  <c r="G1098" i="47"/>
  <c r="P1098" i="47" s="1"/>
  <c r="Q1098" i="47" s="1"/>
  <c r="G1060" i="47"/>
  <c r="P1060" i="47" s="1"/>
  <c r="Q1060" i="47" s="1"/>
  <c r="G1255" i="47"/>
  <c r="P1255" i="47" s="1"/>
  <c r="Q1255" i="47" s="1"/>
  <c r="G1368" i="47"/>
  <c r="P1368" i="47" s="1"/>
  <c r="Q1368" i="47" s="1"/>
  <c r="G1417" i="47"/>
  <c r="P1417" i="47" s="1"/>
  <c r="Q1417" i="47" s="1"/>
  <c r="G1088" i="47"/>
  <c r="P1088" i="47" s="1"/>
  <c r="Q1088" i="47" s="1"/>
  <c r="G1071" i="47"/>
  <c r="P1071" i="47" s="1"/>
  <c r="Q1071" i="47" s="1"/>
  <c r="G1034" i="47"/>
  <c r="P1034" i="47" s="1"/>
  <c r="Q1034" i="47" s="1"/>
  <c r="G1145" i="47"/>
  <c r="P1145" i="47" s="1"/>
  <c r="Q1145" i="47" s="1"/>
  <c r="G1137" i="47"/>
  <c r="P1137" i="47" s="1"/>
  <c r="Q1137" i="47" s="1"/>
  <c r="G1171" i="47"/>
  <c r="P1171" i="47" s="1"/>
  <c r="Q1171" i="47" s="1"/>
  <c r="G1396" i="47"/>
  <c r="P1396" i="47" s="1"/>
  <c r="Q1396" i="47" s="1"/>
  <c r="G1278" i="47"/>
  <c r="P1278" i="47" s="1"/>
  <c r="Q1278" i="47" s="1"/>
  <c r="G1216" i="47"/>
  <c r="P1216" i="47" s="1"/>
  <c r="Q1216" i="47" s="1"/>
  <c r="G1485" i="47"/>
  <c r="P1485" i="47" s="1"/>
  <c r="Q1485" i="47" s="1"/>
  <c r="G1127" i="47"/>
  <c r="P1127" i="47" s="1"/>
  <c r="Q1127" i="47" s="1"/>
  <c r="G1096" i="47"/>
  <c r="P1096" i="47" s="1"/>
  <c r="Q1096" i="47" s="1"/>
  <c r="G1431" i="47"/>
  <c r="P1431" i="47" s="1"/>
  <c r="Q1431" i="47" s="1"/>
  <c r="G1291" i="47"/>
  <c r="P1291" i="47" s="1"/>
  <c r="Q1291" i="47" s="1"/>
  <c r="G1319" i="47"/>
  <c r="P1319" i="47" s="1"/>
  <c r="Q1319" i="47" s="1"/>
  <c r="G1227" i="47"/>
  <c r="P1227" i="47" s="1"/>
  <c r="Q1227" i="47" s="1"/>
  <c r="G1267" i="47"/>
  <c r="P1267" i="47" s="1"/>
  <c r="Q1267" i="47" s="1"/>
  <c r="G1282" i="47"/>
  <c r="P1282" i="47" s="1"/>
  <c r="Q1282" i="47" s="1"/>
  <c r="G1359" i="47"/>
  <c r="P1359" i="47" s="1"/>
  <c r="Q1359" i="47" s="1"/>
  <c r="G1191" i="47"/>
  <c r="P1191" i="47" s="1"/>
  <c r="Q1191" i="47" s="1"/>
  <c r="G1475" i="47"/>
  <c r="P1475" i="47" s="1"/>
  <c r="Q1475" i="47" s="1"/>
  <c r="G1050" i="47"/>
  <c r="P1050" i="47" s="1"/>
  <c r="Q1050" i="47" s="1"/>
  <c r="G1205" i="47"/>
  <c r="P1205" i="47" s="1"/>
  <c r="Q1205" i="47" s="1"/>
  <c r="G1471" i="47"/>
  <c r="P1471" i="47" s="1"/>
  <c r="Q1471" i="47" s="1"/>
  <c r="G1075" i="47"/>
  <c r="P1075" i="47" s="1"/>
  <c r="Q1075" i="47" s="1"/>
  <c r="G1246" i="47"/>
  <c r="P1246" i="47" s="1"/>
  <c r="Q1246" i="47" s="1"/>
  <c r="G1443" i="47"/>
  <c r="P1443" i="47" s="1"/>
  <c r="Q1443" i="47" s="1"/>
  <c r="G1361" i="47"/>
  <c r="P1361" i="47" s="1"/>
  <c r="Q1361" i="47" s="1"/>
  <c r="G1073" i="47"/>
  <c r="P1073" i="47" s="1"/>
  <c r="Q1073" i="47" s="1"/>
  <c r="G1252" i="47"/>
  <c r="P1252" i="47" s="1"/>
  <c r="Q1252" i="47" s="1"/>
  <c r="G1080" i="47"/>
  <c r="P1080" i="47" s="1"/>
  <c r="Q1080" i="47" s="1"/>
  <c r="G1425" i="47"/>
  <c r="P1425" i="47" s="1"/>
  <c r="Q1425" i="47" s="1"/>
  <c r="G1190" i="47"/>
  <c r="P1190" i="47" s="1"/>
  <c r="Q1190" i="47" s="1"/>
  <c r="G1223" i="47"/>
  <c r="P1223" i="47" s="1"/>
  <c r="Q1223" i="47" s="1"/>
  <c r="G1289" i="47"/>
  <c r="P1289" i="47" s="1"/>
  <c r="Q1289" i="47" s="1"/>
  <c r="G1383" i="47"/>
  <c r="P1383" i="47" s="1"/>
  <c r="Q1383" i="47" s="1"/>
  <c r="G1249" i="47"/>
  <c r="P1249" i="47" s="1"/>
  <c r="Q1249" i="47" s="1"/>
  <c r="G1447" i="47"/>
  <c r="P1447" i="47" s="1"/>
  <c r="Q1447" i="47" s="1"/>
  <c r="G1454" i="47"/>
  <c r="P1454" i="47" s="1"/>
  <c r="Q1454" i="47" s="1"/>
  <c r="G1247" i="47"/>
  <c r="P1247" i="47" s="1"/>
  <c r="Q1247" i="47" s="1"/>
  <c r="G1197" i="47"/>
  <c r="P1197" i="47" s="1"/>
  <c r="Q1197" i="47" s="1"/>
  <c r="G1434" i="47"/>
  <c r="P1434" i="47" s="1"/>
  <c r="Q1434" i="47" s="1"/>
  <c r="G1369" i="47"/>
  <c r="P1369" i="47" s="1"/>
  <c r="Q1369" i="47" s="1"/>
  <c r="G1156" i="47"/>
  <c r="P1156" i="47" s="1"/>
  <c r="Q1156" i="47" s="1"/>
  <c r="G1104" i="47"/>
  <c r="P1104" i="47" s="1"/>
  <c r="Q1104" i="47" s="1"/>
  <c r="G1262" i="47"/>
  <c r="P1262" i="47" s="1"/>
  <c r="Q1262" i="47" s="1"/>
  <c r="G1388" i="47"/>
  <c r="P1388" i="47" s="1"/>
  <c r="Q1388" i="47" s="1"/>
  <c r="G1162" i="47"/>
  <c r="P1162" i="47" s="1"/>
  <c r="Q1162" i="47" s="1"/>
  <c r="G1378" i="47"/>
  <c r="P1378" i="47" s="1"/>
  <c r="Q1378" i="47" s="1"/>
  <c r="G1067" i="47"/>
  <c r="P1067" i="47" s="1"/>
  <c r="Q1067" i="47" s="1"/>
  <c r="G1209" i="47"/>
  <c r="P1209" i="47" s="1"/>
  <c r="Q1209" i="47" s="1"/>
  <c r="G1057" i="47"/>
  <c r="P1057" i="47" s="1"/>
  <c r="Q1057" i="47" s="1"/>
  <c r="G1303" i="47"/>
  <c r="P1303" i="47" s="1"/>
  <c r="Q1303" i="47" s="1"/>
  <c r="G1342" i="47"/>
  <c r="P1342" i="47" s="1"/>
  <c r="Q1342" i="47" s="1"/>
  <c r="G1083" i="47"/>
  <c r="P1083" i="47" s="1"/>
  <c r="Q1083" i="47" s="1"/>
  <c r="G1258" i="47"/>
  <c r="P1258" i="47" s="1"/>
  <c r="Q1258" i="47" s="1"/>
  <c r="G1337" i="47"/>
  <c r="P1337" i="47" s="1"/>
  <c r="Q1337" i="47" s="1"/>
  <c r="G1279" i="47"/>
  <c r="P1279" i="47" s="1"/>
  <c r="Q1279" i="47" s="1"/>
  <c r="G1097" i="47"/>
  <c r="P1097" i="47" s="1"/>
  <c r="Q1097" i="47" s="1"/>
  <c r="G1277" i="47"/>
  <c r="P1277" i="47" s="1"/>
  <c r="Q1277" i="47" s="1"/>
  <c r="G1106" i="47"/>
  <c r="P1106" i="47" s="1"/>
  <c r="Q1106" i="47" s="1"/>
  <c r="G1482" i="47"/>
  <c r="P1482" i="47" s="1"/>
  <c r="Q1482" i="47" s="1"/>
  <c r="G1432" i="47"/>
  <c r="P1432" i="47" s="1"/>
  <c r="Q1432" i="47" s="1"/>
  <c r="G1415" i="47"/>
  <c r="P1415" i="47" s="1"/>
  <c r="Q1415" i="47" s="1"/>
  <c r="G1102" i="47"/>
  <c r="P1102" i="47" s="1"/>
  <c r="Q1102" i="47" s="1"/>
  <c r="G1128" i="47"/>
  <c r="P1128" i="47" s="1"/>
  <c r="Q1128" i="47" s="1"/>
  <c r="G1218" i="47"/>
  <c r="P1218" i="47" s="1"/>
  <c r="Q1218" i="47" s="1"/>
  <c r="G1351" i="47"/>
  <c r="P1351" i="47" s="1"/>
  <c r="Q1351" i="47" s="1"/>
  <c r="G1481" i="47"/>
  <c r="P1481" i="47" s="1"/>
  <c r="Q1481" i="47" s="1"/>
  <c r="G1094" i="47"/>
  <c r="P1094" i="47" s="1"/>
  <c r="Q1094" i="47" s="1"/>
  <c r="G1093" i="47"/>
  <c r="P1093" i="47" s="1"/>
  <c r="Q1093" i="47" s="1"/>
  <c r="G1092" i="47"/>
  <c r="P1092" i="47" s="1"/>
  <c r="Q1092" i="47" s="1"/>
  <c r="G1091" i="47"/>
  <c r="P1091" i="47" s="1"/>
  <c r="Q1091" i="47" s="1"/>
  <c r="G1099" i="47"/>
  <c r="P1099" i="47" s="1"/>
  <c r="Q1099" i="47" s="1"/>
  <c r="G1095" i="47"/>
  <c r="P1095" i="47" s="1"/>
  <c r="Q1095" i="47" s="1"/>
  <c r="G1090" i="47"/>
  <c r="P1090" i="47" s="1"/>
  <c r="Q1090" i="47" s="1"/>
  <c r="G1163" i="47"/>
  <c r="P1163" i="47" s="1"/>
  <c r="Q1163" i="47" s="1"/>
  <c r="G1103" i="47"/>
  <c r="G1079" i="47"/>
  <c r="W6" i="47"/>
  <c r="V7" i="47" s="1"/>
  <c r="W7" i="47" s="1"/>
  <c r="D1510" i="47"/>
  <c r="G1510" i="47"/>
  <c r="P1510" i="47" s="1"/>
  <c r="Q1510" i="47" s="1"/>
  <c r="C1510" i="47"/>
  <c r="AB15" i="13"/>
  <c r="E126" i="47"/>
  <c r="I126" i="47" s="1"/>
  <c r="E329" i="22"/>
  <c r="F329" i="22"/>
  <c r="E26" i="13"/>
  <c r="G15" i="13"/>
  <c r="E190" i="47"/>
  <c r="I190" i="47" s="1"/>
  <c r="E484" i="47"/>
  <c r="I484" i="47" s="1"/>
  <c r="E370" i="47"/>
  <c r="I370" i="47" s="1"/>
  <c r="E538" i="47"/>
  <c r="I538" i="47" s="1"/>
  <c r="E593" i="47"/>
  <c r="I593" i="47" s="1"/>
  <c r="E597" i="47"/>
  <c r="I597" i="47" s="1"/>
  <c r="E607" i="47"/>
  <c r="I607" i="47" s="1"/>
  <c r="E335" i="47"/>
  <c r="I335" i="47" s="1"/>
  <c r="E274" i="47"/>
  <c r="I274" i="47" s="1"/>
  <c r="E533" i="47"/>
  <c r="I533" i="47" s="1"/>
  <c r="E367" i="47"/>
  <c r="I367" i="47" s="1"/>
  <c r="E219" i="47"/>
  <c r="I219" i="47" s="1"/>
  <c r="E392" i="47"/>
  <c r="I392" i="47" s="1"/>
  <c r="E417" i="47"/>
  <c r="I417" i="47" s="1"/>
  <c r="E366" i="47"/>
  <c r="I366" i="47" s="1"/>
  <c r="E278" i="47"/>
  <c r="I278" i="47" s="1"/>
  <c r="E612" i="47"/>
  <c r="I612" i="47" s="1"/>
  <c r="E383" i="47"/>
  <c r="I383" i="47" s="1"/>
  <c r="E510" i="47"/>
  <c r="I510" i="47" s="1"/>
  <c r="E315" i="47"/>
  <c r="I315" i="47" s="1"/>
  <c r="E525" i="47"/>
  <c r="I525" i="47" s="1"/>
  <c r="E599" i="47"/>
  <c r="I599" i="47" s="1"/>
  <c r="E589" i="47"/>
  <c r="I589" i="47" s="1"/>
  <c r="E488" i="47"/>
  <c r="I488" i="47" s="1"/>
  <c r="E427" i="47"/>
  <c r="I427" i="47" s="1"/>
  <c r="E276" i="47"/>
  <c r="I276" i="47" s="1"/>
  <c r="E489" i="47"/>
  <c r="I489" i="47" s="1"/>
  <c r="E269" i="47"/>
  <c r="I269" i="47" s="1"/>
  <c r="E449" i="47"/>
  <c r="I449" i="47" s="1"/>
  <c r="E300" i="47"/>
  <c r="I300" i="47" s="1"/>
  <c r="E513" i="47"/>
  <c r="I513" i="47" s="1"/>
  <c r="E423" i="47"/>
  <c r="I423" i="47" s="1"/>
  <c r="E221" i="47"/>
  <c r="I221" i="47" s="1"/>
  <c r="E344" i="47"/>
  <c r="I344" i="47" s="1"/>
  <c r="E362" i="47"/>
  <c r="I362" i="47" s="1"/>
  <c r="E432" i="47"/>
  <c r="I432" i="47" s="1"/>
  <c r="E141" i="47"/>
  <c r="I141" i="47" s="1"/>
  <c r="E584" i="47"/>
  <c r="I584" i="47" s="1"/>
  <c r="E189" i="47"/>
  <c r="I189" i="47" s="1"/>
  <c r="E188" i="47"/>
  <c r="I188" i="47" s="1"/>
  <c r="E252" i="47"/>
  <c r="I252" i="47" s="1"/>
  <c r="E480" i="47"/>
  <c r="I480" i="47" s="1"/>
  <c r="E192" i="47"/>
  <c r="I192" i="47" s="1"/>
  <c r="E349" i="47"/>
  <c r="I349" i="47" s="1"/>
  <c r="E399" i="47"/>
  <c r="I399" i="47" s="1"/>
  <c r="E582" i="47"/>
  <c r="I582" i="47" s="1"/>
  <c r="E149" i="47"/>
  <c r="I149" i="47" s="1"/>
  <c r="E194" i="47"/>
  <c r="I194" i="47" s="1"/>
  <c r="E493" i="47"/>
  <c r="I493" i="47" s="1"/>
  <c r="E568" i="47"/>
  <c r="I568" i="47" s="1"/>
  <c r="E255" i="47"/>
  <c r="I255" i="47" s="1"/>
  <c r="E594" i="47"/>
  <c r="I594" i="47" s="1"/>
  <c r="E409" i="47"/>
  <c r="I409" i="47" s="1"/>
  <c r="E258" i="47"/>
  <c r="I258" i="47" s="1"/>
  <c r="E469" i="47"/>
  <c r="I469" i="47" s="1"/>
  <c r="E598" i="47"/>
  <c r="I598" i="47" s="1"/>
  <c r="E505" i="47"/>
  <c r="I505" i="47" s="1"/>
  <c r="E202" i="47"/>
  <c r="I202" i="47" s="1"/>
  <c r="E363" i="47"/>
  <c r="I363" i="47" s="1"/>
  <c r="E531" i="47"/>
  <c r="I531" i="47" s="1"/>
  <c r="E560" i="47"/>
  <c r="I560" i="47" s="1"/>
  <c r="E382" i="47"/>
  <c r="I382" i="47" s="1"/>
  <c r="E536" i="47"/>
  <c r="I536" i="47" s="1"/>
  <c r="E261" i="47"/>
  <c r="I261" i="47" s="1"/>
  <c r="E562" i="47"/>
  <c r="I562" i="47" s="1"/>
  <c r="E577" i="47"/>
  <c r="I577" i="47" s="1"/>
  <c r="E574" i="47"/>
  <c r="I574" i="47" s="1"/>
  <c r="E289" i="47"/>
  <c r="I289" i="47" s="1"/>
  <c r="E338" i="47"/>
  <c r="I338" i="47" s="1"/>
  <c r="E253" i="47"/>
  <c r="I253" i="47" s="1"/>
  <c r="E241" i="47"/>
  <c r="I241" i="47" s="1"/>
  <c r="E377" i="47"/>
  <c r="I377" i="47" s="1"/>
  <c r="E285" i="47"/>
  <c r="I285" i="47" s="1"/>
  <c r="E490" i="47"/>
  <c r="I490" i="47" s="1"/>
  <c r="E472" i="47"/>
  <c r="I472" i="47" s="1"/>
  <c r="E187" i="47"/>
  <c r="I187" i="47" s="1"/>
  <c r="E298" i="47"/>
  <c r="I298" i="47" s="1"/>
  <c r="E130" i="47"/>
  <c r="I130" i="47" s="1"/>
  <c r="E422" i="47"/>
  <c r="I422" i="47" s="1"/>
  <c r="E478" i="47"/>
  <c r="I478" i="47" s="1"/>
  <c r="E609" i="47"/>
  <c r="I609" i="47" s="1"/>
  <c r="E586" i="47"/>
  <c r="I586" i="47" s="1"/>
  <c r="E517" i="47"/>
  <c r="I517" i="47" s="1"/>
  <c r="E345" i="47"/>
  <c r="I345" i="47" s="1"/>
  <c r="E262" i="47"/>
  <c r="I262" i="47" s="1"/>
  <c r="E186" i="47"/>
  <c r="I186" i="47" s="1"/>
  <c r="E229" i="47"/>
  <c r="I229" i="47" s="1"/>
  <c r="E293" i="47"/>
  <c r="I293" i="47" s="1"/>
  <c r="E354" i="47"/>
  <c r="I354" i="47" s="1"/>
  <c r="E575" i="47"/>
  <c r="I575" i="47" s="1"/>
  <c r="E267" i="47"/>
  <c r="I267" i="47" s="1"/>
  <c r="E200" i="47"/>
  <c r="I200" i="47" s="1"/>
  <c r="E283" i="47"/>
  <c r="I283" i="47" s="1"/>
  <c r="E376" i="47"/>
  <c r="I376" i="47" s="1"/>
  <c r="E222" i="47"/>
  <c r="I222" i="47" s="1"/>
  <c r="E317" i="47"/>
  <c r="I317" i="47" s="1"/>
  <c r="E549" i="47"/>
  <c r="I549" i="47" s="1"/>
  <c r="E308" i="47"/>
  <c r="I308" i="47" s="1"/>
  <c r="E185" i="47"/>
  <c r="I185" i="47" s="1"/>
  <c r="E467" i="47"/>
  <c r="I467" i="47" s="1"/>
  <c r="E532" i="47"/>
  <c r="I532" i="47" s="1"/>
  <c r="E387" i="47"/>
  <c r="I387" i="47" s="1"/>
  <c r="E322" i="47"/>
  <c r="I322" i="47" s="1"/>
  <c r="E326" i="47"/>
  <c r="I326" i="47" s="1"/>
  <c r="E273" i="47"/>
  <c r="I273" i="47" s="1"/>
  <c r="E233" i="47"/>
  <c r="I233" i="47" s="1"/>
  <c r="E220" i="47"/>
  <c r="I220" i="47" s="1"/>
  <c r="E407" i="47"/>
  <c r="I407" i="47" s="1"/>
  <c r="E465" i="47"/>
  <c r="I465" i="47" s="1"/>
  <c r="E418" i="47"/>
  <c r="I418" i="47" s="1"/>
  <c r="E390" i="47"/>
  <c r="I390" i="47" s="1"/>
  <c r="E585" i="47"/>
  <c r="I585" i="47" s="1"/>
  <c r="E336" i="47"/>
  <c r="I336" i="47" s="1"/>
  <c r="E245" i="47"/>
  <c r="I245" i="47" s="1"/>
  <c r="E184" i="47"/>
  <c r="I184" i="47" s="1"/>
  <c r="E183" i="47"/>
  <c r="I183" i="47" s="1"/>
  <c r="E613" i="47"/>
  <c r="I613" i="47" s="1"/>
  <c r="E601" i="47"/>
  <c r="I601" i="47" s="1"/>
  <c r="E321" i="47"/>
  <c r="I321" i="47" s="1"/>
  <c r="E215" i="47"/>
  <c r="I215" i="47" s="1"/>
  <c r="E266" i="47"/>
  <c r="I266" i="47" s="1"/>
  <c r="E371" i="47"/>
  <c r="I371" i="47" s="1"/>
  <c r="E385" i="47"/>
  <c r="I385" i="47" s="1"/>
  <c r="E337" i="47"/>
  <c r="I337" i="47" s="1"/>
  <c r="E596" i="47"/>
  <c r="I596" i="47" s="1"/>
  <c r="E369" i="47"/>
  <c r="I369" i="47" s="1"/>
  <c r="E127" i="47"/>
  <c r="I127" i="47" s="1"/>
  <c r="E312" i="47"/>
  <c r="I312" i="47" s="1"/>
  <c r="E284" i="47"/>
  <c r="I284" i="47" s="1"/>
  <c r="E388" i="47"/>
  <c r="I388" i="47" s="1"/>
  <c r="E226" i="47"/>
  <c r="I226" i="47" s="1"/>
  <c r="E496" i="47"/>
  <c r="I496" i="47" s="1"/>
  <c r="E129" i="47"/>
  <c r="I129" i="47" s="1"/>
  <c r="E203" i="47"/>
  <c r="I203" i="47" s="1"/>
  <c r="E360" i="47"/>
  <c r="I360" i="47" s="1"/>
  <c r="E365" i="47"/>
  <c r="I365" i="47" s="1"/>
  <c r="E515" i="47"/>
  <c r="I515" i="47" s="1"/>
  <c r="E238" i="47"/>
  <c r="I238" i="47" s="1"/>
  <c r="E135" i="47"/>
  <c r="I135" i="47" s="1"/>
  <c r="E425" i="47"/>
  <c r="I425" i="47" s="1"/>
  <c r="E464" i="47"/>
  <c r="I464" i="47" s="1"/>
  <c r="E134" i="47"/>
  <c r="I134" i="47" s="1"/>
  <c r="E240" i="47"/>
  <c r="I240" i="47" s="1"/>
  <c r="E247" i="47"/>
  <c r="I247" i="47" s="1"/>
  <c r="E318" i="47"/>
  <c r="I318" i="47" s="1"/>
  <c r="E372" i="47"/>
  <c r="I372" i="47" s="1"/>
  <c r="E182" i="47"/>
  <c r="I182" i="47" s="1"/>
  <c r="E216" i="47"/>
  <c r="I216" i="47" s="1"/>
  <c r="E519" i="47"/>
  <c r="I519" i="47" s="1"/>
  <c r="E302" i="47"/>
  <c r="I302" i="47" s="1"/>
  <c r="E520" i="47"/>
  <c r="I520" i="47" s="1"/>
  <c r="E379" i="47"/>
  <c r="I379" i="47" s="1"/>
  <c r="E567" i="47"/>
  <c r="I567" i="47" s="1"/>
  <c r="E209" i="47"/>
  <c r="I209" i="47" s="1"/>
  <c r="E395" i="47"/>
  <c r="I395" i="47" s="1"/>
  <c r="E411" i="47"/>
  <c r="I411" i="47" s="1"/>
  <c r="E445" i="47"/>
  <c r="I445" i="47" s="1"/>
  <c r="E461" i="47"/>
  <c r="I461" i="47" s="1"/>
  <c r="E521" i="47"/>
  <c r="I521" i="47" s="1"/>
  <c r="E581" i="47"/>
  <c r="I581" i="47" s="1"/>
  <c r="E139" i="47"/>
  <c r="I139" i="47" s="1"/>
  <c r="E570" i="47"/>
  <c r="I570" i="47" s="1"/>
  <c r="E491" i="47"/>
  <c r="I491" i="47" s="1"/>
  <c r="E459" i="47"/>
  <c r="I459" i="47" s="1"/>
  <c r="E239" i="47"/>
  <c r="I239" i="47" s="1"/>
  <c r="E257" i="47"/>
  <c r="I257" i="47" s="1"/>
  <c r="E516" i="47"/>
  <c r="I516" i="47" s="1"/>
  <c r="E217" i="47"/>
  <c r="I217" i="47" s="1"/>
  <c r="E514" i="47"/>
  <c r="I514" i="47" s="1"/>
  <c r="E331" i="47"/>
  <c r="I331" i="47" s="1"/>
  <c r="E436" i="47"/>
  <c r="I436" i="47" s="1"/>
  <c r="E373" i="47"/>
  <c r="I373" i="47" s="1"/>
  <c r="E256" i="47"/>
  <c r="I256" i="47" s="1"/>
  <c r="E353" i="47"/>
  <c r="I353" i="47" s="1"/>
  <c r="E342" i="47"/>
  <c r="I342" i="47" s="1"/>
  <c r="E314" i="47"/>
  <c r="I314" i="47" s="1"/>
  <c r="E332" i="47"/>
  <c r="I332" i="47" s="1"/>
  <c r="E260" i="47"/>
  <c r="I260" i="47" s="1"/>
  <c r="E397" i="47"/>
  <c r="I397" i="47" s="1"/>
  <c r="E268" i="47"/>
  <c r="I268" i="47" s="1"/>
  <c r="E131" i="47"/>
  <c r="I131" i="47" s="1"/>
  <c r="E389" i="47"/>
  <c r="I389" i="47" s="1"/>
  <c r="E146" i="47"/>
  <c r="I146" i="47" s="1"/>
  <c r="E438" i="47"/>
  <c r="I438" i="47" s="1"/>
  <c r="E470" i="47"/>
  <c r="I470" i="47" s="1"/>
  <c r="E475" i="47"/>
  <c r="I475" i="47" s="1"/>
  <c r="E378" i="47"/>
  <c r="I378" i="47" s="1"/>
  <c r="E474" i="47"/>
  <c r="I474" i="47" s="1"/>
  <c r="E431" i="47"/>
  <c r="I431" i="47" s="1"/>
  <c r="E237" i="47"/>
  <c r="I237" i="47" s="1"/>
  <c r="E592" i="47"/>
  <c r="I592" i="47" s="1"/>
  <c r="E503" i="47"/>
  <c r="I503" i="47" s="1"/>
  <c r="E497" i="47"/>
  <c r="I497" i="47" s="1"/>
  <c r="E483" i="47"/>
  <c r="I483" i="47" s="1"/>
  <c r="E181" i="47"/>
  <c r="I181" i="47" s="1"/>
  <c r="E249" i="47"/>
  <c r="I249" i="47" s="1"/>
  <c r="E481" i="47"/>
  <c r="I481" i="47" s="1"/>
  <c r="E143" i="47"/>
  <c r="I143" i="47" s="1"/>
  <c r="E307" i="47"/>
  <c r="I307" i="47" s="1"/>
  <c r="E442" i="47"/>
  <c r="I442" i="47" s="1"/>
  <c r="E299" i="47"/>
  <c r="I299" i="47" s="1"/>
  <c r="E494" i="47"/>
  <c r="I494" i="47" s="1"/>
  <c r="E251" i="47"/>
  <c r="I251" i="47" s="1"/>
  <c r="E458" i="47"/>
  <c r="I458" i="47" s="1"/>
  <c r="E463" i="47"/>
  <c r="I463" i="47" s="1"/>
  <c r="E492" i="47"/>
  <c r="I492" i="47" s="1"/>
  <c r="E561" i="47"/>
  <c r="I561" i="47" s="1"/>
  <c r="E180" i="47"/>
  <c r="I180" i="47" s="1"/>
  <c r="E400" i="47"/>
  <c r="I400" i="47" s="1"/>
  <c r="E437" i="47"/>
  <c r="I437" i="47" s="1"/>
  <c r="E576" i="47"/>
  <c r="I576" i="47" s="1"/>
  <c r="E404" i="47"/>
  <c r="I404" i="47" s="1"/>
  <c r="E606" i="47"/>
  <c r="I606" i="47" s="1"/>
  <c r="E421" i="47"/>
  <c r="I421" i="47" s="1"/>
  <c r="E518" i="47"/>
  <c r="I518" i="47" s="1"/>
  <c r="E140" i="47"/>
  <c r="I140" i="47" s="1"/>
  <c r="E151" i="47"/>
  <c r="I151" i="47" s="1"/>
  <c r="E393" i="47"/>
  <c r="I393" i="47" s="1"/>
  <c r="E527" i="47"/>
  <c r="I527" i="47" s="1"/>
  <c r="E343" i="47"/>
  <c r="I343" i="47" s="1"/>
  <c r="E507" i="47"/>
  <c r="I507" i="47" s="1"/>
  <c r="E128" i="47"/>
  <c r="I128" i="47" s="1"/>
  <c r="E543" i="47"/>
  <c r="I543" i="47" s="1"/>
  <c r="E348" i="47"/>
  <c r="I348" i="47" s="1"/>
  <c r="E571" i="47"/>
  <c r="I571" i="47" s="1"/>
  <c r="E232" i="47"/>
  <c r="I232" i="47" s="1"/>
  <c r="E334" i="47"/>
  <c r="I334" i="47" s="1"/>
  <c r="E320" i="47"/>
  <c r="I320" i="47" s="1"/>
  <c r="E479" i="47"/>
  <c r="I479" i="47" s="1"/>
  <c r="E279" i="47"/>
  <c r="I279" i="47" s="1"/>
  <c r="E410" i="47"/>
  <c r="I410" i="47" s="1"/>
  <c r="E275" i="47"/>
  <c r="I275" i="47" s="1"/>
  <c r="E327" i="47"/>
  <c r="I327" i="47" s="1"/>
  <c r="E508" i="47"/>
  <c r="I508" i="47" s="1"/>
  <c r="E546" i="47"/>
  <c r="I546" i="47" s="1"/>
  <c r="E583" i="47"/>
  <c r="I583" i="47" s="1"/>
  <c r="E408" i="47"/>
  <c r="I408" i="47" s="1"/>
  <c r="E441" i="47"/>
  <c r="I441" i="47" s="1"/>
  <c r="E197" i="47"/>
  <c r="I197" i="47" s="1"/>
  <c r="E179" i="47"/>
  <c r="I179" i="47" s="1"/>
  <c r="E281" i="47"/>
  <c r="I281" i="47" s="1"/>
  <c r="E271" i="47"/>
  <c r="I271" i="47" s="1"/>
  <c r="E402" i="47"/>
  <c r="I402" i="47" s="1"/>
  <c r="E434" i="47"/>
  <c r="I434" i="47" s="1"/>
  <c r="E553" i="47"/>
  <c r="I553" i="47" s="1"/>
  <c r="E406" i="47"/>
  <c r="I406" i="47" s="1"/>
  <c r="E234" i="47"/>
  <c r="I234" i="47" s="1"/>
  <c r="E380" i="47"/>
  <c r="I380" i="47" s="1"/>
  <c r="E566" i="47"/>
  <c r="I566" i="47" s="1"/>
  <c r="E206" i="47"/>
  <c r="I206" i="47" s="1"/>
  <c r="E545" i="47"/>
  <c r="I545" i="47" s="1"/>
  <c r="E306" i="47"/>
  <c r="I306" i="47" s="1"/>
  <c r="E462" i="47"/>
  <c r="I462" i="47" s="1"/>
  <c r="E364" i="47"/>
  <c r="I364" i="47" s="1"/>
  <c r="E288" i="47"/>
  <c r="I288" i="47" s="1"/>
  <c r="E595" i="47"/>
  <c r="I595" i="47" s="1"/>
  <c r="E556" i="47"/>
  <c r="I556" i="47" s="1"/>
  <c r="E355" i="47"/>
  <c r="I355" i="47" s="1"/>
  <c r="E265" i="47"/>
  <c r="I265" i="47" s="1"/>
  <c r="E178" i="47"/>
  <c r="I178" i="47" s="1"/>
  <c r="E499" i="47"/>
  <c r="I499" i="47" s="1"/>
  <c r="E155" i="47"/>
  <c r="I155" i="47" s="1"/>
  <c r="E477" i="47"/>
  <c r="I477" i="47" s="1"/>
  <c r="E412" i="47"/>
  <c r="I412" i="47" s="1"/>
  <c r="E324" i="47"/>
  <c r="I324" i="47" s="1"/>
  <c r="E144" i="47"/>
  <c r="I144" i="47" s="1"/>
  <c r="E176" i="47"/>
  <c r="I176" i="47" s="1"/>
  <c r="E175" i="47"/>
  <c r="I175" i="47" s="1"/>
  <c r="E452" i="47"/>
  <c r="I452" i="47" s="1"/>
  <c r="E565" i="47"/>
  <c r="I565" i="47" s="1"/>
  <c r="E429" i="47"/>
  <c r="I429" i="47" s="1"/>
  <c r="E509" i="47"/>
  <c r="I509" i="47" s="1"/>
  <c r="E495" i="47"/>
  <c r="I495" i="47" s="1"/>
  <c r="E319" i="47"/>
  <c r="I319" i="47" s="1"/>
  <c r="E523" i="47"/>
  <c r="I523" i="47" s="1"/>
  <c r="E428" i="47"/>
  <c r="I428" i="47" s="1"/>
  <c r="E156" i="47"/>
  <c r="I156" i="47" s="1"/>
  <c r="E381" i="47"/>
  <c r="I381" i="47" s="1"/>
  <c r="E555" i="47"/>
  <c r="I555" i="47" s="1"/>
  <c r="E170" i="47"/>
  <c r="I170" i="47" s="1"/>
  <c r="E341" i="47"/>
  <c r="I341" i="47" s="1"/>
  <c r="E351" i="47"/>
  <c r="I351" i="47" s="1"/>
  <c r="E263" i="47"/>
  <c r="I263" i="47" s="1"/>
  <c r="E386" i="47"/>
  <c r="I386" i="47" s="1"/>
  <c r="E199" i="47"/>
  <c r="I199" i="47" s="1"/>
  <c r="E174" i="47"/>
  <c r="I174" i="47" s="1"/>
  <c r="E291" i="47"/>
  <c r="I291" i="47" s="1"/>
  <c r="E384" i="47"/>
  <c r="I384" i="47" s="1"/>
  <c r="E254" i="47"/>
  <c r="I254" i="47" s="1"/>
  <c r="E588" i="47"/>
  <c r="I588" i="47" s="1"/>
  <c r="E325" i="47"/>
  <c r="I325" i="47" s="1"/>
  <c r="E212" i="47"/>
  <c r="I212" i="47" s="1"/>
  <c r="E213" i="47"/>
  <c r="I213" i="47" s="1"/>
  <c r="E270" i="47"/>
  <c r="I270" i="47" s="1"/>
  <c r="E173" i="47"/>
  <c r="I173" i="47" s="1"/>
  <c r="E557" i="47"/>
  <c r="I557" i="47" s="1"/>
  <c r="E541" i="47"/>
  <c r="I541" i="47" s="1"/>
  <c r="E280" i="47"/>
  <c r="I280" i="47" s="1"/>
  <c r="E329" i="47"/>
  <c r="I329" i="47" s="1"/>
  <c r="E172" i="47"/>
  <c r="I172" i="47" s="1"/>
  <c r="E201" i="47"/>
  <c r="I201" i="47" s="1"/>
  <c r="E205" i="47"/>
  <c r="I205" i="47" s="1"/>
  <c r="E522" i="47"/>
  <c r="I522" i="47" s="1"/>
  <c r="E333" i="47"/>
  <c r="I333" i="47" s="1"/>
  <c r="E524" i="47"/>
  <c r="I524" i="47" s="1"/>
  <c r="E451" i="47"/>
  <c r="I451" i="47" s="1"/>
  <c r="E368" i="47"/>
  <c r="I368" i="47" s="1"/>
  <c r="E328" i="47"/>
  <c r="I328" i="47" s="1"/>
  <c r="E290" i="47"/>
  <c r="I290" i="47" s="1"/>
  <c r="E551" i="47"/>
  <c r="I551" i="47" s="1"/>
  <c r="E579" i="47"/>
  <c r="I579" i="47" s="1"/>
  <c r="E450" i="47"/>
  <c r="I450" i="47" s="1"/>
  <c r="E147" i="47"/>
  <c r="I147" i="47" s="1"/>
  <c r="E137" i="47"/>
  <c r="I137" i="47" s="1"/>
  <c r="E196" i="47"/>
  <c r="I196" i="47" s="1"/>
  <c r="E468" i="47"/>
  <c r="I468" i="47" s="1"/>
  <c r="E171" i="47"/>
  <c r="I171" i="47" s="1"/>
  <c r="E415" i="47"/>
  <c r="I415" i="47" s="1"/>
  <c r="E145" i="47"/>
  <c r="I145" i="47" s="1"/>
  <c r="E236" i="47"/>
  <c r="I236" i="47" s="1"/>
  <c r="E548" i="47"/>
  <c r="I548" i="47" s="1"/>
  <c r="E207" i="47"/>
  <c r="I207" i="47" s="1"/>
  <c r="E590" i="47"/>
  <c r="I590" i="47" s="1"/>
  <c r="E456" i="47"/>
  <c r="I456" i="47" s="1"/>
  <c r="E482" i="47"/>
  <c r="I482" i="47" s="1"/>
  <c r="E529" i="47"/>
  <c r="I529" i="47" s="1"/>
  <c r="E303" i="47"/>
  <c r="I303" i="47" s="1"/>
  <c r="E413" i="47"/>
  <c r="I413" i="47" s="1"/>
  <c r="E591" i="47"/>
  <c r="I591" i="47" s="1"/>
  <c r="E177" i="47"/>
  <c r="I177" i="47" s="1"/>
  <c r="E391" i="47"/>
  <c r="I391" i="47" s="1"/>
  <c r="E526" i="47"/>
  <c r="I526" i="47" s="1"/>
  <c r="E136" i="47"/>
  <c r="I136" i="47" s="1"/>
  <c r="E316" i="47"/>
  <c r="I316" i="47" s="1"/>
  <c r="E235" i="47"/>
  <c r="I235" i="47" s="1"/>
  <c r="E414" i="47"/>
  <c r="I414" i="47" s="1"/>
  <c r="E537" i="47"/>
  <c r="I537" i="47" s="1"/>
  <c r="E433" i="47"/>
  <c r="I433" i="47" s="1"/>
  <c r="E242" i="47"/>
  <c r="I242" i="47" s="1"/>
  <c r="E487" i="47"/>
  <c r="I487" i="47" s="1"/>
  <c r="E214" i="47"/>
  <c r="I214" i="47" s="1"/>
  <c r="E313" i="47"/>
  <c r="I313" i="47" s="1"/>
  <c r="E424" i="47"/>
  <c r="I424" i="47" s="1"/>
  <c r="E439" i="47"/>
  <c r="I439" i="47" s="1"/>
  <c r="E580" i="47"/>
  <c r="I580" i="47" s="1"/>
  <c r="E603" i="47"/>
  <c r="I603" i="47" s="1"/>
  <c r="E297" i="47"/>
  <c r="I297" i="47" s="1"/>
  <c r="E498" i="47"/>
  <c r="I498" i="47" s="1"/>
  <c r="E287" i="47"/>
  <c r="I287" i="47" s="1"/>
  <c r="E292" i="47"/>
  <c r="I292" i="47" s="1"/>
  <c r="E169" i="47"/>
  <c r="I169" i="47" s="1"/>
  <c r="E142" i="47"/>
  <c r="I142" i="47" s="1"/>
  <c r="E547" i="47"/>
  <c r="I547" i="47" s="1"/>
  <c r="E500" i="47"/>
  <c r="I500" i="47" s="1"/>
  <c r="E430" i="47"/>
  <c r="I430" i="47" s="1"/>
  <c r="E228" i="47"/>
  <c r="I228" i="47" s="1"/>
  <c r="E448" i="47"/>
  <c r="I448" i="47" s="1"/>
  <c r="E211" i="47"/>
  <c r="I211" i="47" s="1"/>
  <c r="E572" i="47"/>
  <c r="I572" i="47" s="1"/>
  <c r="E259" i="47"/>
  <c r="I259" i="47" s="1"/>
  <c r="E419" i="47"/>
  <c r="I419" i="47" s="1"/>
  <c r="E608" i="47"/>
  <c r="I608" i="47" s="1"/>
  <c r="E471" i="47"/>
  <c r="I471" i="47" s="1"/>
  <c r="E330" i="47"/>
  <c r="I330" i="47" s="1"/>
  <c r="E564" i="47"/>
  <c r="I564" i="47" s="1"/>
  <c r="E133" i="47"/>
  <c r="I133" i="47" s="1"/>
  <c r="E161" i="47"/>
  <c r="I161" i="47" s="1"/>
  <c r="E132" i="47"/>
  <c r="I132" i="47" s="1"/>
  <c r="E168" i="47"/>
  <c r="I168" i="47" s="1"/>
  <c r="E563" i="47"/>
  <c r="I563" i="47" s="1"/>
  <c r="E296" i="47"/>
  <c r="I296" i="47" s="1"/>
  <c r="E550" i="47"/>
  <c r="I550" i="47" s="1"/>
  <c r="E375" i="47"/>
  <c r="I375" i="47" s="1"/>
  <c r="E244" i="47"/>
  <c r="I244" i="47" s="1"/>
  <c r="E587" i="47"/>
  <c r="I587" i="47" s="1"/>
  <c r="E191" i="47"/>
  <c r="I191" i="47" s="1"/>
  <c r="E552" i="47"/>
  <c r="I552" i="47" s="1"/>
  <c r="E405" i="47"/>
  <c r="I405" i="47" s="1"/>
  <c r="E264" i="47"/>
  <c r="I264" i="47" s="1"/>
  <c r="E359" i="47"/>
  <c r="I359" i="47" s="1"/>
  <c r="E225" i="47"/>
  <c r="I225" i="47" s="1"/>
  <c r="E282" i="47"/>
  <c r="I282" i="47" s="1"/>
  <c r="E193" i="47"/>
  <c r="I193" i="47" s="1"/>
  <c r="E195" i="47"/>
  <c r="I195" i="47" s="1"/>
  <c r="E559" i="47"/>
  <c r="I559" i="47" s="1"/>
  <c r="E295" i="47"/>
  <c r="I295" i="47" s="1"/>
  <c r="E352" i="47"/>
  <c r="I352" i="47" s="1"/>
  <c r="E224" i="47"/>
  <c r="I224" i="47" s="1"/>
  <c r="E272" i="47"/>
  <c r="I272" i="47" s="1"/>
  <c r="E466" i="47"/>
  <c r="I466" i="47" s="1"/>
  <c r="E460" i="47"/>
  <c r="I460" i="47" s="1"/>
  <c r="E420" i="47"/>
  <c r="I420" i="47" s="1"/>
  <c r="E157" i="47"/>
  <c r="I157" i="47" s="1"/>
  <c r="E167" i="47"/>
  <c r="I167" i="47" s="1"/>
  <c r="E166" i="47"/>
  <c r="I166" i="47" s="1"/>
  <c r="E230" i="47"/>
  <c r="I230" i="47" s="1"/>
  <c r="E198" i="47"/>
  <c r="I198" i="47" s="1"/>
  <c r="E374" i="47"/>
  <c r="I374" i="47" s="1"/>
  <c r="E614" i="47"/>
  <c r="I614" i="47" s="1"/>
  <c r="E396" i="47"/>
  <c r="I396" i="47" s="1"/>
  <c r="E150" i="47"/>
  <c r="I150" i="47" s="1"/>
  <c r="E138" i="47"/>
  <c r="I138" i="47" s="1"/>
  <c r="E506" i="47"/>
  <c r="I506" i="47" s="1"/>
  <c r="E165" i="47"/>
  <c r="I165" i="47" s="1"/>
  <c r="E346" i="47"/>
  <c r="I346" i="47" s="1"/>
  <c r="E347" i="47"/>
  <c r="I347" i="47" s="1"/>
  <c r="E512" i="47"/>
  <c r="I512" i="47" s="1"/>
  <c r="E210" i="47"/>
  <c r="I210" i="47" s="1"/>
  <c r="E248" i="47"/>
  <c r="I248" i="47" s="1"/>
  <c r="E277" i="47"/>
  <c r="I277" i="47" s="1"/>
  <c r="E486" i="47"/>
  <c r="I486" i="47" s="1"/>
  <c r="E231" i="47"/>
  <c r="I231" i="47" s="1"/>
  <c r="E164" i="47"/>
  <c r="I164" i="47" s="1"/>
  <c r="E455" i="47"/>
  <c r="I455" i="47" s="1"/>
  <c r="E152" i="47"/>
  <c r="I152" i="47" s="1"/>
  <c r="E163" i="47"/>
  <c r="I163" i="47" s="1"/>
  <c r="E323" i="47"/>
  <c r="I323" i="47" s="1"/>
  <c r="E530" i="47"/>
  <c r="I530" i="47" s="1"/>
  <c r="E286" i="47"/>
  <c r="I286" i="47" s="1"/>
  <c r="E605" i="47"/>
  <c r="I605" i="47" s="1"/>
  <c r="E569" i="47"/>
  <c r="I569" i="47" s="1"/>
  <c r="E534" i="47"/>
  <c r="I534" i="47" s="1"/>
  <c r="E600" i="47"/>
  <c r="I600" i="47" s="1"/>
  <c r="E457" i="47"/>
  <c r="I457" i="47" s="1"/>
  <c r="E243" i="47"/>
  <c r="I243" i="47" s="1"/>
  <c r="E542" i="47"/>
  <c r="I542" i="47" s="1"/>
  <c r="E339" i="47"/>
  <c r="I339" i="47" s="1"/>
  <c r="E250" i="47"/>
  <c r="I250" i="47" s="1"/>
  <c r="E473" i="47"/>
  <c r="I473" i="47" s="1"/>
  <c r="E446" i="47"/>
  <c r="I446" i="47" s="1"/>
  <c r="E611" i="47"/>
  <c r="I611" i="47" s="1"/>
  <c r="E544" i="47"/>
  <c r="I544" i="47" s="1"/>
  <c r="E394" i="47"/>
  <c r="I394" i="47" s="1"/>
  <c r="E309" i="47"/>
  <c r="I309" i="47" s="1"/>
  <c r="E162" i="47"/>
  <c r="I162" i="47" s="1"/>
  <c r="E502" i="47"/>
  <c r="I502" i="47" s="1"/>
  <c r="E558" i="47"/>
  <c r="I558" i="47" s="1"/>
  <c r="E305" i="47"/>
  <c r="I305" i="47" s="1"/>
  <c r="E218" i="47"/>
  <c r="I218" i="47" s="1"/>
  <c r="E340" i="47"/>
  <c r="I340" i="47" s="1"/>
  <c r="E535" i="47"/>
  <c r="I535" i="47" s="1"/>
  <c r="E403" i="47"/>
  <c r="I403" i="47" s="1"/>
  <c r="E398" i="47"/>
  <c r="I398" i="47" s="1"/>
  <c r="E401" i="47"/>
  <c r="I401" i="47" s="1"/>
  <c r="E511" i="47"/>
  <c r="I511" i="47" s="1"/>
  <c r="E246" i="47"/>
  <c r="I246" i="47" s="1"/>
  <c r="E501" i="47"/>
  <c r="I501" i="47" s="1"/>
  <c r="E539" i="47"/>
  <c r="I539" i="47" s="1"/>
  <c r="E554" i="47"/>
  <c r="I554" i="47" s="1"/>
  <c r="E301" i="47"/>
  <c r="I301" i="47" s="1"/>
  <c r="E227" i="47"/>
  <c r="I227" i="47" s="1"/>
  <c r="E160" i="47"/>
  <c r="I160" i="47" s="1"/>
  <c r="E361" i="47"/>
  <c r="I361" i="47" s="1"/>
  <c r="E350" i="47"/>
  <c r="I350" i="47" s="1"/>
  <c r="E447" i="47"/>
  <c r="I447" i="47" s="1"/>
  <c r="E453" i="47"/>
  <c r="I453" i="47" s="1"/>
  <c r="E485" i="47"/>
  <c r="I485" i="47" s="1"/>
  <c r="E444" i="47"/>
  <c r="I444" i="47" s="1"/>
  <c r="E153" i="47"/>
  <c r="I153" i="47" s="1"/>
  <c r="E476" i="47"/>
  <c r="I476" i="47" s="1"/>
  <c r="E578" i="47"/>
  <c r="I578" i="47" s="1"/>
  <c r="E610" i="47"/>
  <c r="I610" i="47" s="1"/>
  <c r="E443" i="47"/>
  <c r="I443" i="47" s="1"/>
  <c r="E294" i="47"/>
  <c r="I294" i="47" s="1"/>
  <c r="E304" i="47"/>
  <c r="I304" i="47" s="1"/>
  <c r="E159" i="47"/>
  <c r="I159" i="47" s="1"/>
  <c r="E311" i="47"/>
  <c r="I311" i="47" s="1"/>
  <c r="E158" i="47"/>
  <c r="I158" i="47" s="1"/>
  <c r="E223" i="47"/>
  <c r="I223" i="47" s="1"/>
  <c r="E154" i="47"/>
  <c r="I154" i="47" s="1"/>
  <c r="E504" i="47"/>
  <c r="I504" i="47" s="1"/>
  <c r="E358" i="47"/>
  <c r="I358" i="47" s="1"/>
  <c r="E204" i="47"/>
  <c r="I204" i="47" s="1"/>
  <c r="E426" i="47"/>
  <c r="I426" i="47" s="1"/>
  <c r="E148" i="47"/>
  <c r="I148" i="47" s="1"/>
  <c r="E416" i="47"/>
  <c r="I416" i="47" s="1"/>
  <c r="E604" i="47"/>
  <c r="I604" i="47" s="1"/>
  <c r="E310" i="47"/>
  <c r="I310" i="47" s="1"/>
  <c r="E573" i="47"/>
  <c r="I573" i="47" s="1"/>
  <c r="E356" i="47"/>
  <c r="I356" i="47" s="1"/>
  <c r="E435" i="47"/>
  <c r="I435" i="47" s="1"/>
  <c r="E540" i="47"/>
  <c r="I540" i="47" s="1"/>
  <c r="E602" i="47"/>
  <c r="I602" i="47" s="1"/>
  <c r="E528" i="47"/>
  <c r="I528" i="47" s="1"/>
  <c r="E357" i="47"/>
  <c r="I357" i="47" s="1"/>
  <c r="E454" i="47"/>
  <c r="I454" i="47" s="1"/>
  <c r="E440" i="47"/>
  <c r="I440" i="47" s="1"/>
  <c r="E208" i="47"/>
  <c r="I208" i="47" s="1"/>
  <c r="W62" i="34"/>
  <c r="O73" i="22"/>
  <c r="O131" i="22"/>
  <c r="O180" i="22"/>
  <c r="O214" i="22"/>
  <c r="O331" i="22"/>
  <c r="O102" i="22"/>
  <c r="O281" i="22"/>
  <c r="O455" i="22"/>
  <c r="O135" i="22"/>
  <c r="O439" i="22"/>
  <c r="O449" i="22"/>
  <c r="O319" i="22"/>
  <c r="O123" i="22"/>
  <c r="O205" i="22"/>
  <c r="O342" i="22"/>
  <c r="O289" i="22"/>
  <c r="O245" i="22"/>
  <c r="O158" i="22"/>
  <c r="O244" i="22"/>
  <c r="O311" i="22"/>
  <c r="O460" i="22"/>
  <c r="O178" i="22"/>
  <c r="O203" i="22"/>
  <c r="O243" i="22"/>
  <c r="O385" i="22"/>
  <c r="O105" i="22"/>
  <c r="O463" i="22"/>
  <c r="O117" i="22"/>
  <c r="O447" i="22"/>
  <c r="O423" i="22"/>
  <c r="O293" i="22"/>
  <c r="O266" i="22"/>
  <c r="O335" i="22"/>
  <c r="O431" i="22"/>
  <c r="O259" i="22"/>
  <c r="O147" i="22"/>
  <c r="O24" i="22"/>
  <c r="O475" i="22"/>
  <c r="O72" i="22"/>
  <c r="O71" i="22"/>
  <c r="O116" i="22"/>
  <c r="O445" i="22"/>
  <c r="O75" i="22"/>
  <c r="O343" i="22"/>
  <c r="O235" i="22"/>
  <c r="O146" i="22"/>
  <c r="O32" i="22"/>
  <c r="O77" i="22"/>
  <c r="O263" i="22"/>
  <c r="O231" i="22"/>
  <c r="O329" i="22"/>
  <c r="O328" i="22"/>
  <c r="O492" i="22"/>
  <c r="O428" i="22"/>
  <c r="O226" i="22"/>
  <c r="O225" i="22"/>
  <c r="O287" i="22"/>
  <c r="O85" i="22"/>
  <c r="O322" i="22"/>
  <c r="O397" i="22"/>
  <c r="O115" i="22"/>
  <c r="O395" i="22"/>
  <c r="O258" i="22"/>
  <c r="O388" i="22"/>
  <c r="O318" i="22"/>
  <c r="O298" i="22"/>
  <c r="O234" i="22"/>
  <c r="O378" i="22"/>
  <c r="O402" i="22"/>
  <c r="O286" i="22"/>
  <c r="O242" i="22"/>
  <c r="O413" i="22"/>
  <c r="O134" i="22"/>
  <c r="O103" i="22"/>
  <c r="O229" i="22"/>
  <c r="O70" i="22"/>
  <c r="O212" i="22"/>
  <c r="O13" i="22"/>
  <c r="O189" i="22"/>
  <c r="O430" i="22"/>
  <c r="O483" i="22"/>
  <c r="O301" i="22"/>
  <c r="O221" i="22"/>
  <c r="O163" i="22"/>
  <c r="O379" i="22"/>
  <c r="O69" i="22"/>
  <c r="O304" i="22"/>
  <c r="O236" i="22"/>
  <c r="O456" i="22"/>
  <c r="O345" i="22"/>
  <c r="O206" i="22"/>
  <c r="O83" i="22"/>
  <c r="O156" i="22"/>
  <c r="O278" i="22"/>
  <c r="O348" i="22"/>
  <c r="O486" i="22"/>
  <c r="O179" i="22"/>
  <c r="O306" i="22"/>
  <c r="O68" i="22"/>
  <c r="O362" i="22"/>
  <c r="O446" i="22"/>
  <c r="O280" i="22"/>
  <c r="O177" i="22"/>
  <c r="O252" i="22"/>
  <c r="O479" i="22"/>
  <c r="O325" i="22"/>
  <c r="O477" i="22"/>
  <c r="O467" i="22"/>
  <c r="O339" i="22"/>
  <c r="O230" i="22"/>
  <c r="O478" i="22"/>
  <c r="O414" i="22"/>
  <c r="O141" i="22"/>
  <c r="O210" i="22"/>
  <c r="O67" i="22"/>
  <c r="O66" i="22"/>
  <c r="O336" i="22"/>
  <c r="O305" i="22"/>
  <c r="O198" i="22"/>
  <c r="O107" i="22"/>
  <c r="O261" i="22"/>
  <c r="O138" i="22"/>
  <c r="O264" i="22"/>
  <c r="O370" i="22"/>
  <c r="O195" i="22"/>
  <c r="O424" i="22"/>
  <c r="O10" i="22"/>
  <c r="O187" i="22"/>
  <c r="O490" i="22"/>
  <c r="O369" i="22"/>
  <c r="O448" i="22"/>
  <c r="O302" i="22"/>
  <c r="O12" i="22"/>
  <c r="O86" i="22"/>
  <c r="O409" i="22"/>
  <c r="O422" i="22"/>
  <c r="O434" i="22"/>
  <c r="O338" i="22"/>
  <c r="O18" i="22"/>
  <c r="O355" i="22"/>
  <c r="O403" i="22"/>
  <c r="O17" i="22"/>
  <c r="O247" i="22"/>
  <c r="O454" i="22"/>
  <c r="O129" i="22"/>
  <c r="O453" i="22"/>
  <c r="O65" i="22"/>
  <c r="O288" i="22"/>
  <c r="O257" i="22"/>
  <c r="O334" i="22"/>
  <c r="O485" i="22"/>
  <c r="O101" i="22"/>
  <c r="O315" i="22"/>
  <c r="O92" i="22"/>
  <c r="O220" i="22"/>
  <c r="O372" i="22"/>
  <c r="O380" i="22"/>
  <c r="O390" i="22"/>
  <c r="O109" i="22"/>
  <c r="O496" i="22"/>
  <c r="O22" i="22"/>
  <c r="O285" i="22"/>
  <c r="O324" i="22"/>
  <c r="O332" i="22"/>
  <c r="O323" i="22"/>
  <c r="O104" i="22"/>
  <c r="O436" i="22"/>
  <c r="O417" i="22"/>
  <c r="O130" i="22"/>
  <c r="O114" i="22"/>
  <c r="O111" i="22"/>
  <c r="O157" i="22"/>
  <c r="O437" i="22"/>
  <c r="O426" i="22"/>
  <c r="O219" i="22"/>
  <c r="O100" i="22"/>
  <c r="O161" i="22"/>
  <c r="O351" i="22"/>
  <c r="O169" i="22"/>
  <c r="O415" i="22"/>
  <c r="O14" i="22"/>
  <c r="O222" i="22"/>
  <c r="O29" i="22"/>
  <c r="O127" i="22"/>
  <c r="O418" i="22"/>
  <c r="O443" i="22"/>
  <c r="O140" i="22"/>
  <c r="O404" i="22"/>
  <c r="O277" i="22"/>
  <c r="O159" i="22"/>
  <c r="O139" i="22"/>
  <c r="O399" i="22"/>
  <c r="O393" i="22"/>
  <c r="O452" i="22"/>
  <c r="O64" i="22"/>
  <c r="O110" i="22"/>
  <c r="O365" i="22"/>
  <c r="O26" i="22"/>
  <c r="O410" i="22"/>
  <c r="O363" i="22"/>
  <c r="O316" i="22"/>
  <c r="O272" i="22"/>
  <c r="O299" i="22"/>
  <c r="O347" i="22"/>
  <c r="O218" i="22"/>
  <c r="O367" i="22"/>
  <c r="O209" i="22"/>
  <c r="O63" i="22"/>
  <c r="O356" i="22"/>
  <c r="O113" i="22"/>
  <c r="O133" i="22"/>
  <c r="O330" i="22"/>
  <c r="O321" i="22"/>
  <c r="O192" i="22"/>
  <c r="O481" i="22"/>
  <c r="O23" i="22"/>
  <c r="O34" i="22"/>
  <c r="O181" i="22"/>
  <c r="O357" i="22"/>
  <c r="O249" i="22"/>
  <c r="O405" i="22"/>
  <c r="O11" i="22"/>
  <c r="O248" i="22"/>
  <c r="O162" i="22"/>
  <c r="O366" i="22"/>
  <c r="O308" i="22"/>
  <c r="O176" i="22"/>
  <c r="O256" i="22"/>
  <c r="O204" i="22"/>
  <c r="O487" i="22"/>
  <c r="O457" i="22"/>
  <c r="O473" i="22"/>
  <c r="O341" i="22"/>
  <c r="O283" i="22"/>
  <c r="O392" i="22"/>
  <c r="O208" i="22"/>
  <c r="O412" i="22"/>
  <c r="O400" i="22"/>
  <c r="O80" i="22"/>
  <c r="O62" i="22"/>
  <c r="O275" i="22"/>
  <c r="O228" i="22"/>
  <c r="O120" i="22"/>
  <c r="O145" i="22"/>
  <c r="O282" i="22"/>
  <c r="O239" i="22"/>
  <c r="O166" i="22"/>
  <c r="O154" i="22"/>
  <c r="O271" i="22"/>
  <c r="O89" i="22"/>
  <c r="O317" i="22"/>
  <c r="O340" i="22"/>
  <c r="O416" i="22"/>
  <c r="O438" i="22"/>
  <c r="O254" i="22"/>
  <c r="O165" i="22"/>
  <c r="O269" i="22"/>
  <c r="O240" i="22"/>
  <c r="O151" i="22"/>
  <c r="O61" i="22"/>
  <c r="O216" i="22"/>
  <c r="O38" i="22"/>
  <c r="O360" i="22"/>
  <c r="O9" i="22"/>
  <c r="O276" i="22"/>
  <c r="O498" i="22"/>
  <c r="O27" i="22"/>
  <c r="O59" i="22"/>
  <c r="O58" i="22"/>
  <c r="O250" i="22"/>
  <c r="O253" i="22"/>
  <c r="O128" i="22"/>
  <c r="O327" i="22"/>
  <c r="O484" i="22"/>
  <c r="O144" i="22"/>
  <c r="O173" i="22"/>
  <c r="O462" i="22"/>
  <c r="O39" i="22"/>
  <c r="O193" i="22"/>
  <c r="O361" i="22"/>
  <c r="O53" i="22"/>
  <c r="O391" i="22"/>
  <c r="O382" i="22"/>
  <c r="O421" i="22"/>
  <c r="O217" i="22"/>
  <c r="O82" i="22"/>
  <c r="O57" i="22"/>
  <c r="O119" i="22"/>
  <c r="O310" i="22"/>
  <c r="O126" i="22"/>
  <c r="O160" i="22"/>
  <c r="O377" i="22"/>
  <c r="O95" i="22"/>
  <c r="O358" i="22"/>
  <c r="O168" i="22"/>
  <c r="O56" i="22"/>
  <c r="O337" i="22"/>
  <c r="O350" i="22"/>
  <c r="O98" i="22"/>
  <c r="O184" i="22"/>
  <c r="O55" i="22"/>
  <c r="O84" i="22"/>
  <c r="O96" i="22"/>
  <c r="O88" i="22"/>
  <c r="O191" i="22"/>
  <c r="O433" i="22"/>
  <c r="O182" i="22"/>
  <c r="O444" i="22"/>
  <c r="O406" i="22"/>
  <c r="O383" i="22"/>
  <c r="O314" i="22"/>
  <c r="O441" i="22"/>
  <c r="O474" i="22"/>
  <c r="O353" i="22"/>
  <c r="O30" i="22"/>
  <c r="O20" i="22"/>
  <c r="O79" i="22"/>
  <c r="O291" i="22"/>
  <c r="O54" i="22"/>
  <c r="O150" i="22"/>
  <c r="O28" i="22"/>
  <c r="O359" i="22"/>
  <c r="O118" i="22"/>
  <c r="O90" i="22"/>
  <c r="O294" i="22"/>
  <c r="O124" i="22"/>
  <c r="O425" i="22"/>
  <c r="O292" i="22"/>
  <c r="O442" i="22"/>
  <c r="O407" i="22"/>
  <c r="O268" i="22"/>
  <c r="O60" i="22"/>
  <c r="O497" i="22"/>
  <c r="O364" i="22"/>
  <c r="O19" i="22"/>
  <c r="O284" i="22"/>
  <c r="O211" i="22"/>
  <c r="O326" i="22"/>
  <c r="O270" i="22"/>
  <c r="O194" i="22"/>
  <c r="O309" i="22"/>
  <c r="O464" i="22"/>
  <c r="O375" i="22"/>
  <c r="O373" i="22"/>
  <c r="O185" i="22"/>
  <c r="O494" i="22"/>
  <c r="O376" i="22"/>
  <c r="O411" i="22"/>
  <c r="O201" i="22"/>
  <c r="O450" i="22"/>
  <c r="O295" i="22"/>
  <c r="O398" i="22"/>
  <c r="O52" i="22"/>
  <c r="O25" i="22"/>
  <c r="O468" i="22"/>
  <c r="O296" i="22"/>
  <c r="O237" i="22"/>
  <c r="O491" i="22"/>
  <c r="O401" i="22"/>
  <c r="O94" i="22"/>
  <c r="O142" i="22"/>
  <c r="O394" i="22"/>
  <c r="O136" i="22"/>
  <c r="O432" i="22"/>
  <c r="O458" i="22"/>
  <c r="O290" i="22"/>
  <c r="O108" i="22"/>
  <c r="O16" i="22"/>
  <c r="O44" i="22"/>
  <c r="O15" i="22"/>
  <c r="O51" i="22"/>
  <c r="O273" i="22"/>
  <c r="O482" i="22"/>
  <c r="O371" i="22"/>
  <c r="O202" i="22"/>
  <c r="O471" i="22"/>
  <c r="O313" i="22"/>
  <c r="O74" i="22"/>
  <c r="O387" i="22"/>
  <c r="O132" i="22"/>
  <c r="O461" i="22"/>
  <c r="O419" i="22"/>
  <c r="O307" i="22"/>
  <c r="O122" i="22"/>
  <c r="O76" i="22"/>
  <c r="O78" i="22"/>
  <c r="O429" i="22"/>
  <c r="O489" i="22"/>
  <c r="O188" i="22"/>
  <c r="O352" i="22"/>
  <c r="O238" i="22"/>
  <c r="O164" i="22"/>
  <c r="O265" i="22"/>
  <c r="O267" i="22"/>
  <c r="O40" i="22"/>
  <c r="O50" i="22"/>
  <c r="O49" i="22"/>
  <c r="O137" i="22"/>
  <c r="O81" i="22"/>
  <c r="O427" i="22"/>
  <c r="O333" i="22"/>
  <c r="O451" i="22"/>
  <c r="O33" i="22"/>
  <c r="O21" i="22"/>
  <c r="O374" i="22"/>
  <c r="O48" i="22"/>
  <c r="O260" i="22"/>
  <c r="O320" i="22"/>
  <c r="O99" i="22"/>
  <c r="O93" i="22"/>
  <c r="O480" i="22"/>
  <c r="O155" i="22"/>
  <c r="O459" i="22"/>
  <c r="O200" i="22"/>
  <c r="O47" i="22"/>
  <c r="O190" i="22"/>
  <c r="O35" i="22"/>
  <c r="O46" i="22"/>
  <c r="O349" i="22"/>
  <c r="O420" i="22"/>
  <c r="O469" i="22"/>
  <c r="O153" i="22"/>
  <c r="O196" i="22"/>
  <c r="O152" i="22"/>
  <c r="O251" i="22"/>
  <c r="O246" i="22"/>
  <c r="O300" i="22"/>
  <c r="O223" i="22"/>
  <c r="O172" i="22"/>
  <c r="O368" i="22"/>
  <c r="O279" i="22"/>
  <c r="O466" i="22"/>
  <c r="O344" i="22"/>
  <c r="O495" i="22"/>
  <c r="O183" i="22"/>
  <c r="O386" i="22"/>
  <c r="O45" i="22"/>
  <c r="O241" i="22"/>
  <c r="O396" i="22"/>
  <c r="O170" i="22"/>
  <c r="O199" i="22"/>
  <c r="O303" i="22"/>
  <c r="O143" i="22"/>
  <c r="O408" i="22"/>
  <c r="O106" i="22"/>
  <c r="O97" i="22"/>
  <c r="O255" i="22"/>
  <c r="O274" i="22"/>
  <c r="O262" i="22"/>
  <c r="O215" i="22"/>
  <c r="O493" i="22"/>
  <c r="O389" i="22"/>
  <c r="O148" i="22"/>
  <c r="O43" i="22"/>
  <c r="O488" i="22"/>
  <c r="O435" i="22"/>
  <c r="O384" i="22"/>
  <c r="O354" i="22"/>
  <c r="O197" i="22"/>
  <c r="O174" i="22"/>
  <c r="O36" i="22"/>
  <c r="O224" i="22"/>
  <c r="O213" i="22"/>
  <c r="O207" i="22"/>
  <c r="O186" i="22"/>
  <c r="O232" i="22"/>
  <c r="O125" i="22"/>
  <c r="O42" i="22"/>
  <c r="O312" i="22"/>
  <c r="O41" i="22"/>
  <c r="O465" i="22"/>
  <c r="O37" i="22"/>
  <c r="O476" i="22"/>
  <c r="O346" i="22"/>
  <c r="O87" i="22"/>
  <c r="O171" i="22"/>
  <c r="O31" i="22"/>
  <c r="O472" i="22"/>
  <c r="O112" i="22"/>
  <c r="O233" i="22"/>
  <c r="O440" i="22"/>
  <c r="O381" i="22"/>
  <c r="O227" i="22"/>
  <c r="O121" i="22"/>
  <c r="O149" i="22"/>
  <c r="O470" i="22"/>
  <c r="O167" i="22"/>
  <c r="O297" i="22"/>
  <c r="O175" i="22"/>
  <c r="O91" i="22"/>
  <c r="I73" i="22"/>
  <c r="I131" i="22"/>
  <c r="I180" i="22"/>
  <c r="I214" i="22"/>
  <c r="I331" i="22"/>
  <c r="I102" i="22"/>
  <c r="I281" i="22"/>
  <c r="I455" i="22"/>
  <c r="I135" i="22"/>
  <c r="I439" i="22"/>
  <c r="I449" i="22"/>
  <c r="I319" i="22"/>
  <c r="I123" i="22"/>
  <c r="I205" i="22"/>
  <c r="I342" i="22"/>
  <c r="I289" i="22"/>
  <c r="I245" i="22"/>
  <c r="I158" i="22"/>
  <c r="I244" i="22"/>
  <c r="I311" i="22"/>
  <c r="I460" i="22"/>
  <c r="I178" i="22"/>
  <c r="I203" i="22"/>
  <c r="I243" i="22"/>
  <c r="I385" i="22"/>
  <c r="I105" i="22"/>
  <c r="I463" i="22"/>
  <c r="I117" i="22"/>
  <c r="I447" i="22"/>
  <c r="I423" i="22"/>
  <c r="I293" i="22"/>
  <c r="I266" i="22"/>
  <c r="I335" i="22"/>
  <c r="I431" i="22"/>
  <c r="I259" i="22"/>
  <c r="I147" i="22"/>
  <c r="I24" i="22"/>
  <c r="I475" i="22"/>
  <c r="I72" i="22"/>
  <c r="I71" i="22"/>
  <c r="I116" i="22"/>
  <c r="I445" i="22"/>
  <c r="I75" i="22"/>
  <c r="I343" i="22"/>
  <c r="I235" i="22"/>
  <c r="I146" i="22"/>
  <c r="I32" i="22"/>
  <c r="I77" i="22"/>
  <c r="I263" i="22"/>
  <c r="I231" i="22"/>
  <c r="I329" i="22"/>
  <c r="I328" i="22"/>
  <c r="I492" i="22"/>
  <c r="I428" i="22"/>
  <c r="I226" i="22"/>
  <c r="I225" i="22"/>
  <c r="I287" i="22"/>
  <c r="I85" i="22"/>
  <c r="I322" i="22"/>
  <c r="I397" i="22"/>
  <c r="I115" i="22"/>
  <c r="I395" i="22"/>
  <c r="I258" i="22"/>
  <c r="I388" i="22"/>
  <c r="I318" i="22"/>
  <c r="I298" i="22"/>
  <c r="I234" i="22"/>
  <c r="I378" i="22"/>
  <c r="I402" i="22"/>
  <c r="I286" i="22"/>
  <c r="I242" i="22"/>
  <c r="I413" i="22"/>
  <c r="I134" i="22"/>
  <c r="I103" i="22"/>
  <c r="I229" i="22"/>
  <c r="I70" i="22"/>
  <c r="I212" i="22"/>
  <c r="I13" i="22"/>
  <c r="I189" i="22"/>
  <c r="I430" i="22"/>
  <c r="I483" i="22"/>
  <c r="I301" i="22"/>
  <c r="I221" i="22"/>
  <c r="I163" i="22"/>
  <c r="I379" i="22"/>
  <c r="I69" i="22"/>
  <c r="I304" i="22"/>
  <c r="I236" i="22"/>
  <c r="I456" i="22"/>
  <c r="I345" i="22"/>
  <c r="I206" i="22"/>
  <c r="I83" i="22"/>
  <c r="I156" i="22"/>
  <c r="I278" i="22"/>
  <c r="I348" i="22"/>
  <c r="I486" i="22"/>
  <c r="I179" i="22"/>
  <c r="I306" i="22"/>
  <c r="I68" i="22"/>
  <c r="I362" i="22"/>
  <c r="I446" i="22"/>
  <c r="I280" i="22"/>
  <c r="I177" i="22"/>
  <c r="I252" i="22"/>
  <c r="I479" i="22"/>
  <c r="I325" i="22"/>
  <c r="I477" i="22"/>
  <c r="I467" i="22"/>
  <c r="I339" i="22"/>
  <c r="I230" i="22"/>
  <c r="I478" i="22"/>
  <c r="I414" i="22"/>
  <c r="I141" i="22"/>
  <c r="I210" i="22"/>
  <c r="I67" i="22"/>
  <c r="I66" i="22"/>
  <c r="I336" i="22"/>
  <c r="I305" i="22"/>
  <c r="I198" i="22"/>
  <c r="I107" i="22"/>
  <c r="I261" i="22"/>
  <c r="I138" i="22"/>
  <c r="I264" i="22"/>
  <c r="I370" i="22"/>
  <c r="I195" i="22"/>
  <c r="I424" i="22"/>
  <c r="I10" i="22"/>
  <c r="I187" i="22"/>
  <c r="I490" i="22"/>
  <c r="I369" i="22"/>
  <c r="I448" i="22"/>
  <c r="I302" i="22"/>
  <c r="I12" i="22"/>
  <c r="I86" i="22"/>
  <c r="I409" i="22"/>
  <c r="I422" i="22"/>
  <c r="I434" i="22"/>
  <c r="I338" i="22"/>
  <c r="I18" i="22"/>
  <c r="I355" i="22"/>
  <c r="I403" i="22"/>
  <c r="I17" i="22"/>
  <c r="I247" i="22"/>
  <c r="I454" i="22"/>
  <c r="I129" i="22"/>
  <c r="I453" i="22"/>
  <c r="I65" i="22"/>
  <c r="I288" i="22"/>
  <c r="I257" i="22"/>
  <c r="I334" i="22"/>
  <c r="I485" i="22"/>
  <c r="I101" i="22"/>
  <c r="I315" i="22"/>
  <c r="I92" i="22"/>
  <c r="I220" i="22"/>
  <c r="I372" i="22"/>
  <c r="I380" i="22"/>
  <c r="I390" i="22"/>
  <c r="I109" i="22"/>
  <c r="I496" i="22"/>
  <c r="I22" i="22"/>
  <c r="I285" i="22"/>
  <c r="I324" i="22"/>
  <c r="I332" i="22"/>
  <c r="I323" i="22"/>
  <c r="I104" i="22"/>
  <c r="I436" i="22"/>
  <c r="I417" i="22"/>
  <c r="I130" i="22"/>
  <c r="I114" i="22"/>
  <c r="I111" i="22"/>
  <c r="I157" i="22"/>
  <c r="I437" i="22"/>
  <c r="I426" i="22"/>
  <c r="I219" i="22"/>
  <c r="I100" i="22"/>
  <c r="I161" i="22"/>
  <c r="I351" i="22"/>
  <c r="I169" i="22"/>
  <c r="I415" i="22"/>
  <c r="I14" i="22"/>
  <c r="I222" i="22"/>
  <c r="I29" i="22"/>
  <c r="I127" i="22"/>
  <c r="I418" i="22"/>
  <c r="I443" i="22"/>
  <c r="I140" i="22"/>
  <c r="I404" i="22"/>
  <c r="I277" i="22"/>
  <c r="I159" i="22"/>
  <c r="I139" i="22"/>
  <c r="I399" i="22"/>
  <c r="I393" i="22"/>
  <c r="I452" i="22"/>
  <c r="I64" i="22"/>
  <c r="I110" i="22"/>
  <c r="I365" i="22"/>
  <c r="I26" i="22"/>
  <c r="I410" i="22"/>
  <c r="I363" i="22"/>
  <c r="I316" i="22"/>
  <c r="I272" i="22"/>
  <c r="I299" i="22"/>
  <c r="I347" i="22"/>
  <c r="I218" i="22"/>
  <c r="I367" i="22"/>
  <c r="I209" i="22"/>
  <c r="I63" i="22"/>
  <c r="I356" i="22"/>
  <c r="I113" i="22"/>
  <c r="I133" i="22"/>
  <c r="I330" i="22"/>
  <c r="I321" i="22"/>
  <c r="I192" i="22"/>
  <c r="I481" i="22"/>
  <c r="I23" i="22"/>
  <c r="I34" i="22"/>
  <c r="I181" i="22"/>
  <c r="I357" i="22"/>
  <c r="I249" i="22"/>
  <c r="I405" i="22"/>
  <c r="I11" i="22"/>
  <c r="I248" i="22"/>
  <c r="I162" i="22"/>
  <c r="I366" i="22"/>
  <c r="I308" i="22"/>
  <c r="I176" i="22"/>
  <c r="I256" i="22"/>
  <c r="I204" i="22"/>
  <c r="I487" i="22"/>
  <c r="I457" i="22"/>
  <c r="I473" i="22"/>
  <c r="I341" i="22"/>
  <c r="I283" i="22"/>
  <c r="I392" i="22"/>
  <c r="I208" i="22"/>
  <c r="I412" i="22"/>
  <c r="I400" i="22"/>
  <c r="I80" i="22"/>
  <c r="I62" i="22"/>
  <c r="I275" i="22"/>
  <c r="I228" i="22"/>
  <c r="I120" i="22"/>
  <c r="I145" i="22"/>
  <c r="I282" i="22"/>
  <c r="I239" i="22"/>
  <c r="I166" i="22"/>
  <c r="I154" i="22"/>
  <c r="I271" i="22"/>
  <c r="I89" i="22"/>
  <c r="I317" i="22"/>
  <c r="I340" i="22"/>
  <c r="I416" i="22"/>
  <c r="I438" i="22"/>
  <c r="I254" i="22"/>
  <c r="I165" i="22"/>
  <c r="I269" i="22"/>
  <c r="I240" i="22"/>
  <c r="I151" i="22"/>
  <c r="I61" i="22"/>
  <c r="I216" i="22"/>
  <c r="I38" i="22"/>
  <c r="I360" i="22"/>
  <c r="I9" i="22"/>
  <c r="I276" i="22"/>
  <c r="I498" i="22"/>
  <c r="I27" i="22"/>
  <c r="I59" i="22"/>
  <c r="I58" i="22"/>
  <c r="I250" i="22"/>
  <c r="I253" i="22"/>
  <c r="I128" i="22"/>
  <c r="I327" i="22"/>
  <c r="I484" i="22"/>
  <c r="I144" i="22"/>
  <c r="I173" i="22"/>
  <c r="I462" i="22"/>
  <c r="I39" i="22"/>
  <c r="I193" i="22"/>
  <c r="I361" i="22"/>
  <c r="I53" i="22"/>
  <c r="I391" i="22"/>
  <c r="I382" i="22"/>
  <c r="I421" i="22"/>
  <c r="I217" i="22"/>
  <c r="I82" i="22"/>
  <c r="I57" i="22"/>
  <c r="I119" i="22"/>
  <c r="I310" i="22"/>
  <c r="I126" i="22"/>
  <c r="I160" i="22"/>
  <c r="I377" i="22"/>
  <c r="I95" i="22"/>
  <c r="I358" i="22"/>
  <c r="I168" i="22"/>
  <c r="I56" i="22"/>
  <c r="I337" i="22"/>
  <c r="I350" i="22"/>
  <c r="I98" i="22"/>
  <c r="I184" i="22"/>
  <c r="I55" i="22"/>
  <c r="I84" i="22"/>
  <c r="I96" i="22"/>
  <c r="I88" i="22"/>
  <c r="I191" i="22"/>
  <c r="I433" i="22"/>
  <c r="I182" i="22"/>
  <c r="I444" i="22"/>
  <c r="I406" i="22"/>
  <c r="I383" i="22"/>
  <c r="I314" i="22"/>
  <c r="I441" i="22"/>
  <c r="I474" i="22"/>
  <c r="I353" i="22"/>
  <c r="I30" i="22"/>
  <c r="I20" i="22"/>
  <c r="I79" i="22"/>
  <c r="I291" i="22"/>
  <c r="I54" i="22"/>
  <c r="I150" i="22"/>
  <c r="I28" i="22"/>
  <c r="I359" i="22"/>
  <c r="I118" i="22"/>
  <c r="I90" i="22"/>
  <c r="I294" i="22"/>
  <c r="I124" i="22"/>
  <c r="I425" i="22"/>
  <c r="I292" i="22"/>
  <c r="I442" i="22"/>
  <c r="I407" i="22"/>
  <c r="I268" i="22"/>
  <c r="I60" i="22"/>
  <c r="I497" i="22"/>
  <c r="I364" i="22"/>
  <c r="I19" i="22"/>
  <c r="I284" i="22"/>
  <c r="I211" i="22"/>
  <c r="I326" i="22"/>
  <c r="I270" i="22"/>
  <c r="I194" i="22"/>
  <c r="I309" i="22"/>
  <c r="I464" i="22"/>
  <c r="I375" i="22"/>
  <c r="I373" i="22"/>
  <c r="I185" i="22"/>
  <c r="I494" i="22"/>
  <c r="I376" i="22"/>
  <c r="I411" i="22"/>
  <c r="I201" i="22"/>
  <c r="I450" i="22"/>
  <c r="I295" i="22"/>
  <c r="I398" i="22"/>
  <c r="I52" i="22"/>
  <c r="I25" i="22"/>
  <c r="I468" i="22"/>
  <c r="I296" i="22"/>
  <c r="I237" i="22"/>
  <c r="I491" i="22"/>
  <c r="I401" i="22"/>
  <c r="I94" i="22"/>
  <c r="I142" i="22"/>
  <c r="I394" i="22"/>
  <c r="I136" i="22"/>
  <c r="I432" i="22"/>
  <c r="I458" i="22"/>
  <c r="I290" i="22"/>
  <c r="I108" i="22"/>
  <c r="I16" i="22"/>
  <c r="I44" i="22"/>
  <c r="I15" i="22"/>
  <c r="I51" i="22"/>
  <c r="I273" i="22"/>
  <c r="I482" i="22"/>
  <c r="I371" i="22"/>
  <c r="I202" i="22"/>
  <c r="I471" i="22"/>
  <c r="I313" i="22"/>
  <c r="I74" i="22"/>
  <c r="I387" i="22"/>
  <c r="I132" i="22"/>
  <c r="I461" i="22"/>
  <c r="I419" i="22"/>
  <c r="I307" i="22"/>
  <c r="I122" i="22"/>
  <c r="I76" i="22"/>
  <c r="I78" i="22"/>
  <c r="I429" i="22"/>
  <c r="I489" i="22"/>
  <c r="I188" i="22"/>
  <c r="I352" i="22"/>
  <c r="I238" i="22"/>
  <c r="I164" i="22"/>
  <c r="I265" i="22"/>
  <c r="I267" i="22"/>
  <c r="I40" i="22"/>
  <c r="I50" i="22"/>
  <c r="I49" i="22"/>
  <c r="I137" i="22"/>
  <c r="I81" i="22"/>
  <c r="I427" i="22"/>
  <c r="I333" i="22"/>
  <c r="I451" i="22"/>
  <c r="I33" i="22"/>
  <c r="I21" i="22"/>
  <c r="I374" i="22"/>
  <c r="I48" i="22"/>
  <c r="I260" i="22"/>
  <c r="I320" i="22"/>
  <c r="I99" i="22"/>
  <c r="I93" i="22"/>
  <c r="I480" i="22"/>
  <c r="I155" i="22"/>
  <c r="I459" i="22"/>
  <c r="I200" i="22"/>
  <c r="I47" i="22"/>
  <c r="I190" i="22"/>
  <c r="I35" i="22"/>
  <c r="I46" i="22"/>
  <c r="I349" i="22"/>
  <c r="I420" i="22"/>
  <c r="I469" i="22"/>
  <c r="I153" i="22"/>
  <c r="I196" i="22"/>
  <c r="I152" i="22"/>
  <c r="I251" i="22"/>
  <c r="I246" i="22"/>
  <c r="I300" i="22"/>
  <c r="I223" i="22"/>
  <c r="I172" i="22"/>
  <c r="I368" i="22"/>
  <c r="I279" i="22"/>
  <c r="I466" i="22"/>
  <c r="I344" i="22"/>
  <c r="I495" i="22"/>
  <c r="I183" i="22"/>
  <c r="I386" i="22"/>
  <c r="I45" i="22"/>
  <c r="I241" i="22"/>
  <c r="I396" i="22"/>
  <c r="I170" i="22"/>
  <c r="I199" i="22"/>
  <c r="I303" i="22"/>
  <c r="I143" i="22"/>
  <c r="I408" i="22"/>
  <c r="I106" i="22"/>
  <c r="I97" i="22"/>
  <c r="I255" i="22"/>
  <c r="I274" i="22"/>
  <c r="I262" i="22"/>
  <c r="I215" i="22"/>
  <c r="I493" i="22"/>
  <c r="I389" i="22"/>
  <c r="I148" i="22"/>
  <c r="I43" i="22"/>
  <c r="I488" i="22"/>
  <c r="I435" i="22"/>
  <c r="I384" i="22"/>
  <c r="I354" i="22"/>
  <c r="I197" i="22"/>
  <c r="I174" i="22"/>
  <c r="I36" i="22"/>
  <c r="I224" i="22"/>
  <c r="I213" i="22"/>
  <c r="I207" i="22"/>
  <c r="I186" i="22"/>
  <c r="I232" i="22"/>
  <c r="I125" i="22"/>
  <c r="I42" i="22"/>
  <c r="I312" i="22"/>
  <c r="I41" i="22"/>
  <c r="I465" i="22"/>
  <c r="I37" i="22"/>
  <c r="I476" i="22"/>
  <c r="I346" i="22"/>
  <c r="I87" i="22"/>
  <c r="I171" i="22"/>
  <c r="I31" i="22"/>
  <c r="I472" i="22"/>
  <c r="I112" i="22"/>
  <c r="I233" i="22"/>
  <c r="I440" i="22"/>
  <c r="I381" i="22"/>
  <c r="I227" i="22"/>
  <c r="I121" i="22"/>
  <c r="I149" i="22"/>
  <c r="I470" i="22"/>
  <c r="I167" i="22"/>
  <c r="I297" i="22"/>
  <c r="I175" i="22"/>
  <c r="I91" i="22"/>
  <c r="S62" i="34"/>
  <c r="G190" i="47"/>
  <c r="AL190" i="47" s="1"/>
  <c r="G484" i="47"/>
  <c r="AL484" i="47" s="1"/>
  <c r="G370" i="47"/>
  <c r="AL370" i="47" s="1"/>
  <c r="G538" i="47"/>
  <c r="AL538" i="47" s="1"/>
  <c r="G593" i="47"/>
  <c r="AL593" i="47" s="1"/>
  <c r="G597" i="47"/>
  <c r="AL597" i="47" s="1"/>
  <c r="G607" i="47"/>
  <c r="AL607" i="47" s="1"/>
  <c r="G335" i="47"/>
  <c r="AL335" i="47" s="1"/>
  <c r="G274" i="47"/>
  <c r="AL274" i="47" s="1"/>
  <c r="G533" i="47"/>
  <c r="AL533" i="47" s="1"/>
  <c r="G367" i="47"/>
  <c r="AL367" i="47" s="1"/>
  <c r="G219" i="47"/>
  <c r="AL219" i="47" s="1"/>
  <c r="G392" i="47"/>
  <c r="AL392" i="47" s="1"/>
  <c r="G417" i="47"/>
  <c r="AL417" i="47" s="1"/>
  <c r="G366" i="47"/>
  <c r="AL366" i="47" s="1"/>
  <c r="G278" i="47"/>
  <c r="AL278" i="47" s="1"/>
  <c r="G612" i="47"/>
  <c r="AL612" i="47" s="1"/>
  <c r="G383" i="47"/>
  <c r="AL383" i="47" s="1"/>
  <c r="G510" i="47"/>
  <c r="AL510" i="47" s="1"/>
  <c r="G315" i="47"/>
  <c r="AL315" i="47" s="1"/>
  <c r="G525" i="47"/>
  <c r="AL525" i="47" s="1"/>
  <c r="G599" i="47"/>
  <c r="AL599" i="47" s="1"/>
  <c r="G589" i="47"/>
  <c r="AL589" i="47" s="1"/>
  <c r="G488" i="47"/>
  <c r="AL488" i="47" s="1"/>
  <c r="G427" i="47"/>
  <c r="AL427" i="47" s="1"/>
  <c r="G276" i="47"/>
  <c r="AL276" i="47" s="1"/>
  <c r="G489" i="47"/>
  <c r="AL489" i="47" s="1"/>
  <c r="G269" i="47"/>
  <c r="AL269" i="47" s="1"/>
  <c r="G449" i="47"/>
  <c r="AL449" i="47" s="1"/>
  <c r="G300" i="47"/>
  <c r="AL300" i="47" s="1"/>
  <c r="G513" i="47"/>
  <c r="AL513" i="47" s="1"/>
  <c r="G423" i="47"/>
  <c r="AL423" i="47" s="1"/>
  <c r="G221" i="47"/>
  <c r="AL221" i="47" s="1"/>
  <c r="G344" i="47"/>
  <c r="AL344" i="47" s="1"/>
  <c r="G362" i="47"/>
  <c r="AL362" i="47" s="1"/>
  <c r="G432" i="47"/>
  <c r="AL432" i="47" s="1"/>
  <c r="G141" i="47"/>
  <c r="AL141" i="47" s="1"/>
  <c r="G584" i="47"/>
  <c r="AL584" i="47" s="1"/>
  <c r="G189" i="47"/>
  <c r="AL189" i="47" s="1"/>
  <c r="G188" i="47"/>
  <c r="AL188" i="47" s="1"/>
  <c r="G252" i="47"/>
  <c r="AL252" i="47" s="1"/>
  <c r="G480" i="47"/>
  <c r="AL480" i="47" s="1"/>
  <c r="G192" i="47"/>
  <c r="AL192" i="47" s="1"/>
  <c r="G349" i="47"/>
  <c r="AL349" i="47" s="1"/>
  <c r="G399" i="47"/>
  <c r="AL399" i="47" s="1"/>
  <c r="G582" i="47"/>
  <c r="AL582" i="47" s="1"/>
  <c r="G149" i="47"/>
  <c r="AL149" i="47" s="1"/>
  <c r="G194" i="47"/>
  <c r="AL194" i="47" s="1"/>
  <c r="G493" i="47"/>
  <c r="AL493" i="47" s="1"/>
  <c r="G568" i="47"/>
  <c r="AL568" i="47" s="1"/>
  <c r="G255" i="47"/>
  <c r="AL255" i="47" s="1"/>
  <c r="G594" i="47"/>
  <c r="AL594" i="47" s="1"/>
  <c r="G409" i="47"/>
  <c r="AL409" i="47" s="1"/>
  <c r="G258" i="47"/>
  <c r="AL258" i="47" s="1"/>
  <c r="G469" i="47"/>
  <c r="AL469" i="47" s="1"/>
  <c r="G598" i="47"/>
  <c r="AL598" i="47" s="1"/>
  <c r="G505" i="47"/>
  <c r="AL505" i="47" s="1"/>
  <c r="G202" i="47"/>
  <c r="AL202" i="47" s="1"/>
  <c r="G363" i="47"/>
  <c r="AL363" i="47" s="1"/>
  <c r="G531" i="47"/>
  <c r="AL531" i="47" s="1"/>
  <c r="G560" i="47"/>
  <c r="AL560" i="47" s="1"/>
  <c r="G382" i="47"/>
  <c r="AL382" i="47" s="1"/>
  <c r="G536" i="47"/>
  <c r="AL536" i="47" s="1"/>
  <c r="G261" i="47"/>
  <c r="AL261" i="47" s="1"/>
  <c r="G562" i="47"/>
  <c r="AL562" i="47" s="1"/>
  <c r="G577" i="47"/>
  <c r="AL577" i="47" s="1"/>
  <c r="G574" i="47"/>
  <c r="AL574" i="47" s="1"/>
  <c r="G289" i="47"/>
  <c r="AL289" i="47" s="1"/>
  <c r="G338" i="47"/>
  <c r="AL338" i="47" s="1"/>
  <c r="G253" i="47"/>
  <c r="AL253" i="47" s="1"/>
  <c r="G241" i="47"/>
  <c r="AL241" i="47" s="1"/>
  <c r="G377" i="47"/>
  <c r="AL377" i="47" s="1"/>
  <c r="G285" i="47"/>
  <c r="AL285" i="47" s="1"/>
  <c r="G490" i="47"/>
  <c r="AL490" i="47" s="1"/>
  <c r="G472" i="47"/>
  <c r="AL472" i="47" s="1"/>
  <c r="G187" i="47"/>
  <c r="AL187" i="47" s="1"/>
  <c r="G298" i="47"/>
  <c r="AL298" i="47" s="1"/>
  <c r="G130" i="47"/>
  <c r="AL130" i="47" s="1"/>
  <c r="G422" i="47"/>
  <c r="AL422" i="47" s="1"/>
  <c r="G478" i="47"/>
  <c r="AL478" i="47" s="1"/>
  <c r="G609" i="47"/>
  <c r="AL609" i="47" s="1"/>
  <c r="G586" i="47"/>
  <c r="AL586" i="47" s="1"/>
  <c r="G517" i="47"/>
  <c r="AL517" i="47" s="1"/>
  <c r="G345" i="47"/>
  <c r="AL345" i="47" s="1"/>
  <c r="G262" i="47"/>
  <c r="AL262" i="47" s="1"/>
  <c r="G186" i="47"/>
  <c r="AL186" i="47" s="1"/>
  <c r="G229" i="47"/>
  <c r="AL229" i="47" s="1"/>
  <c r="G293" i="47"/>
  <c r="AL293" i="47" s="1"/>
  <c r="G354" i="47"/>
  <c r="AL354" i="47" s="1"/>
  <c r="G575" i="47"/>
  <c r="AL575" i="47" s="1"/>
  <c r="G267" i="47"/>
  <c r="AL267" i="47" s="1"/>
  <c r="G200" i="47"/>
  <c r="AL200" i="47" s="1"/>
  <c r="G283" i="47"/>
  <c r="AL283" i="47" s="1"/>
  <c r="G376" i="47"/>
  <c r="AL376" i="47" s="1"/>
  <c r="G222" i="47"/>
  <c r="AL222" i="47" s="1"/>
  <c r="G317" i="47"/>
  <c r="AL317" i="47" s="1"/>
  <c r="G549" i="47"/>
  <c r="AL549" i="47" s="1"/>
  <c r="G308" i="47"/>
  <c r="AL308" i="47" s="1"/>
  <c r="G185" i="47"/>
  <c r="AL185" i="47" s="1"/>
  <c r="G467" i="47"/>
  <c r="AL467" i="47" s="1"/>
  <c r="G532" i="47"/>
  <c r="AL532" i="47" s="1"/>
  <c r="G387" i="47"/>
  <c r="AL387" i="47" s="1"/>
  <c r="G322" i="47"/>
  <c r="AL322" i="47" s="1"/>
  <c r="G326" i="47"/>
  <c r="AL326" i="47" s="1"/>
  <c r="G273" i="47"/>
  <c r="AL273" i="47" s="1"/>
  <c r="G233" i="47"/>
  <c r="AL233" i="47" s="1"/>
  <c r="G220" i="47"/>
  <c r="AL220" i="47" s="1"/>
  <c r="G407" i="47"/>
  <c r="AL407" i="47" s="1"/>
  <c r="G465" i="47"/>
  <c r="AL465" i="47" s="1"/>
  <c r="G418" i="47"/>
  <c r="AL418" i="47" s="1"/>
  <c r="G390" i="47"/>
  <c r="AL390" i="47" s="1"/>
  <c r="G585" i="47"/>
  <c r="AL585" i="47" s="1"/>
  <c r="G336" i="47"/>
  <c r="AL336" i="47" s="1"/>
  <c r="G245" i="47"/>
  <c r="AL245" i="47" s="1"/>
  <c r="G184" i="47"/>
  <c r="AL184" i="47" s="1"/>
  <c r="G183" i="47"/>
  <c r="AL183" i="47" s="1"/>
  <c r="G613" i="47"/>
  <c r="AL613" i="47" s="1"/>
  <c r="G601" i="47"/>
  <c r="AL601" i="47" s="1"/>
  <c r="G321" i="47"/>
  <c r="AL321" i="47" s="1"/>
  <c r="G215" i="47"/>
  <c r="AL215" i="47" s="1"/>
  <c r="G266" i="47"/>
  <c r="AL266" i="47" s="1"/>
  <c r="G371" i="47"/>
  <c r="AL371" i="47" s="1"/>
  <c r="G385" i="47"/>
  <c r="AL385" i="47" s="1"/>
  <c r="G337" i="47"/>
  <c r="AL337" i="47" s="1"/>
  <c r="G596" i="47"/>
  <c r="AL596" i="47" s="1"/>
  <c r="G369" i="47"/>
  <c r="AL369" i="47" s="1"/>
  <c r="G127" i="47"/>
  <c r="AL127" i="47" s="1"/>
  <c r="G312" i="47"/>
  <c r="AL312" i="47" s="1"/>
  <c r="G284" i="47"/>
  <c r="AL284" i="47" s="1"/>
  <c r="G388" i="47"/>
  <c r="AL388" i="47" s="1"/>
  <c r="G226" i="47"/>
  <c r="AL226" i="47" s="1"/>
  <c r="G496" i="47"/>
  <c r="AL496" i="47" s="1"/>
  <c r="G129" i="47"/>
  <c r="AL129" i="47" s="1"/>
  <c r="G203" i="47"/>
  <c r="AL203" i="47" s="1"/>
  <c r="G360" i="47"/>
  <c r="AL360" i="47" s="1"/>
  <c r="G365" i="47"/>
  <c r="AL365" i="47" s="1"/>
  <c r="G515" i="47"/>
  <c r="AL515" i="47" s="1"/>
  <c r="G238" i="47"/>
  <c r="AL238" i="47" s="1"/>
  <c r="G135" i="47"/>
  <c r="AL135" i="47" s="1"/>
  <c r="G425" i="47"/>
  <c r="AL425" i="47" s="1"/>
  <c r="G464" i="47"/>
  <c r="AL464" i="47" s="1"/>
  <c r="G134" i="47"/>
  <c r="AL134" i="47" s="1"/>
  <c r="G240" i="47"/>
  <c r="AL240" i="47" s="1"/>
  <c r="G247" i="47"/>
  <c r="AL247" i="47" s="1"/>
  <c r="G318" i="47"/>
  <c r="AL318" i="47" s="1"/>
  <c r="G372" i="47"/>
  <c r="AL372" i="47" s="1"/>
  <c r="G182" i="47"/>
  <c r="AL182" i="47" s="1"/>
  <c r="G216" i="47"/>
  <c r="AL216" i="47" s="1"/>
  <c r="G519" i="47"/>
  <c r="AL519" i="47" s="1"/>
  <c r="G302" i="47"/>
  <c r="AL302" i="47" s="1"/>
  <c r="G520" i="47"/>
  <c r="AL520" i="47" s="1"/>
  <c r="G379" i="47"/>
  <c r="AL379" i="47" s="1"/>
  <c r="G567" i="47"/>
  <c r="AL567" i="47" s="1"/>
  <c r="G209" i="47"/>
  <c r="AL209" i="47" s="1"/>
  <c r="G395" i="47"/>
  <c r="AL395" i="47" s="1"/>
  <c r="G411" i="47"/>
  <c r="AL411" i="47" s="1"/>
  <c r="G445" i="47"/>
  <c r="AL445" i="47" s="1"/>
  <c r="G461" i="47"/>
  <c r="AL461" i="47" s="1"/>
  <c r="G521" i="47"/>
  <c r="AL521" i="47" s="1"/>
  <c r="G581" i="47"/>
  <c r="AL581" i="47" s="1"/>
  <c r="G139" i="47"/>
  <c r="AL139" i="47" s="1"/>
  <c r="G570" i="47"/>
  <c r="AL570" i="47" s="1"/>
  <c r="G491" i="47"/>
  <c r="AL491" i="47" s="1"/>
  <c r="G459" i="47"/>
  <c r="AL459" i="47" s="1"/>
  <c r="G239" i="47"/>
  <c r="AL239" i="47" s="1"/>
  <c r="G257" i="47"/>
  <c r="AL257" i="47" s="1"/>
  <c r="G516" i="47"/>
  <c r="AL516" i="47" s="1"/>
  <c r="G217" i="47"/>
  <c r="AL217" i="47" s="1"/>
  <c r="G514" i="47"/>
  <c r="AL514" i="47" s="1"/>
  <c r="G331" i="47"/>
  <c r="AL331" i="47" s="1"/>
  <c r="G436" i="47"/>
  <c r="AL436" i="47" s="1"/>
  <c r="G373" i="47"/>
  <c r="AL373" i="47" s="1"/>
  <c r="G256" i="47"/>
  <c r="AL256" i="47" s="1"/>
  <c r="G353" i="47"/>
  <c r="AL353" i="47" s="1"/>
  <c r="G342" i="47"/>
  <c r="AL342" i="47" s="1"/>
  <c r="G314" i="47"/>
  <c r="AL314" i="47" s="1"/>
  <c r="G332" i="47"/>
  <c r="AL332" i="47" s="1"/>
  <c r="G260" i="47"/>
  <c r="AL260" i="47" s="1"/>
  <c r="G397" i="47"/>
  <c r="AL397" i="47" s="1"/>
  <c r="G268" i="47"/>
  <c r="AL268" i="47" s="1"/>
  <c r="G131" i="47"/>
  <c r="AL131" i="47" s="1"/>
  <c r="G389" i="47"/>
  <c r="AL389" i="47" s="1"/>
  <c r="G146" i="47"/>
  <c r="AL146" i="47" s="1"/>
  <c r="G438" i="47"/>
  <c r="AL438" i="47" s="1"/>
  <c r="G470" i="47"/>
  <c r="AL470" i="47" s="1"/>
  <c r="G475" i="47"/>
  <c r="AL475" i="47" s="1"/>
  <c r="G378" i="47"/>
  <c r="AL378" i="47" s="1"/>
  <c r="G474" i="47"/>
  <c r="AL474" i="47" s="1"/>
  <c r="G431" i="47"/>
  <c r="AL431" i="47" s="1"/>
  <c r="G237" i="47"/>
  <c r="AL237" i="47" s="1"/>
  <c r="G592" i="47"/>
  <c r="AL592" i="47" s="1"/>
  <c r="G503" i="47"/>
  <c r="AL503" i="47" s="1"/>
  <c r="G497" i="47"/>
  <c r="AL497" i="47" s="1"/>
  <c r="G483" i="47"/>
  <c r="AL483" i="47" s="1"/>
  <c r="G181" i="47"/>
  <c r="AL181" i="47" s="1"/>
  <c r="G249" i="47"/>
  <c r="AL249" i="47" s="1"/>
  <c r="G481" i="47"/>
  <c r="AL481" i="47" s="1"/>
  <c r="G143" i="47"/>
  <c r="AL143" i="47" s="1"/>
  <c r="G307" i="47"/>
  <c r="AL307" i="47" s="1"/>
  <c r="G442" i="47"/>
  <c r="AL442" i="47" s="1"/>
  <c r="G299" i="47"/>
  <c r="AL299" i="47" s="1"/>
  <c r="G494" i="47"/>
  <c r="AL494" i="47" s="1"/>
  <c r="G251" i="47"/>
  <c r="AL251" i="47" s="1"/>
  <c r="G458" i="47"/>
  <c r="AL458" i="47" s="1"/>
  <c r="G463" i="47"/>
  <c r="AL463" i="47" s="1"/>
  <c r="G492" i="47"/>
  <c r="AL492" i="47" s="1"/>
  <c r="G561" i="47"/>
  <c r="AL561" i="47" s="1"/>
  <c r="G180" i="47"/>
  <c r="AL180" i="47" s="1"/>
  <c r="G400" i="47"/>
  <c r="AL400" i="47" s="1"/>
  <c r="G437" i="47"/>
  <c r="AL437" i="47" s="1"/>
  <c r="G576" i="47"/>
  <c r="AL576" i="47" s="1"/>
  <c r="G404" i="47"/>
  <c r="AL404" i="47" s="1"/>
  <c r="G606" i="47"/>
  <c r="AL606" i="47" s="1"/>
  <c r="G421" i="47"/>
  <c r="AL421" i="47" s="1"/>
  <c r="G518" i="47"/>
  <c r="AL518" i="47" s="1"/>
  <c r="G140" i="47"/>
  <c r="AL140" i="47" s="1"/>
  <c r="G151" i="47"/>
  <c r="AL151" i="47" s="1"/>
  <c r="G393" i="47"/>
  <c r="AL393" i="47" s="1"/>
  <c r="G527" i="47"/>
  <c r="AL527" i="47" s="1"/>
  <c r="G343" i="47"/>
  <c r="AL343" i="47" s="1"/>
  <c r="G507" i="47"/>
  <c r="AL507" i="47" s="1"/>
  <c r="G128" i="47"/>
  <c r="AL128" i="47" s="1"/>
  <c r="G543" i="47"/>
  <c r="AL543" i="47" s="1"/>
  <c r="G348" i="47"/>
  <c r="AL348" i="47" s="1"/>
  <c r="G571" i="47"/>
  <c r="AL571" i="47" s="1"/>
  <c r="G232" i="47"/>
  <c r="AL232" i="47" s="1"/>
  <c r="G334" i="47"/>
  <c r="AL334" i="47" s="1"/>
  <c r="G320" i="47"/>
  <c r="AL320" i="47" s="1"/>
  <c r="G479" i="47"/>
  <c r="AL479" i="47" s="1"/>
  <c r="G279" i="47"/>
  <c r="AL279" i="47" s="1"/>
  <c r="G410" i="47"/>
  <c r="AL410" i="47" s="1"/>
  <c r="G275" i="47"/>
  <c r="AL275" i="47" s="1"/>
  <c r="G327" i="47"/>
  <c r="AL327" i="47" s="1"/>
  <c r="G508" i="47"/>
  <c r="AL508" i="47" s="1"/>
  <c r="G546" i="47"/>
  <c r="AL546" i="47" s="1"/>
  <c r="G583" i="47"/>
  <c r="AL583" i="47" s="1"/>
  <c r="G408" i="47"/>
  <c r="AL408" i="47" s="1"/>
  <c r="G441" i="47"/>
  <c r="AL441" i="47" s="1"/>
  <c r="G197" i="47"/>
  <c r="AL197" i="47" s="1"/>
  <c r="G179" i="47"/>
  <c r="AL179" i="47" s="1"/>
  <c r="G281" i="47"/>
  <c r="AL281" i="47" s="1"/>
  <c r="G271" i="47"/>
  <c r="AL271" i="47" s="1"/>
  <c r="G402" i="47"/>
  <c r="AL402" i="47" s="1"/>
  <c r="G434" i="47"/>
  <c r="AL434" i="47" s="1"/>
  <c r="G553" i="47"/>
  <c r="AL553" i="47" s="1"/>
  <c r="G406" i="47"/>
  <c r="AL406" i="47" s="1"/>
  <c r="G234" i="47"/>
  <c r="AL234" i="47" s="1"/>
  <c r="G380" i="47"/>
  <c r="AL380" i="47" s="1"/>
  <c r="G566" i="47"/>
  <c r="AL566" i="47" s="1"/>
  <c r="G206" i="47"/>
  <c r="AL206" i="47" s="1"/>
  <c r="G545" i="47"/>
  <c r="AL545" i="47" s="1"/>
  <c r="G306" i="47"/>
  <c r="AL306" i="47" s="1"/>
  <c r="G462" i="47"/>
  <c r="AL462" i="47" s="1"/>
  <c r="G364" i="47"/>
  <c r="AL364" i="47" s="1"/>
  <c r="G288" i="47"/>
  <c r="AL288" i="47" s="1"/>
  <c r="G595" i="47"/>
  <c r="AL595" i="47" s="1"/>
  <c r="G556" i="47"/>
  <c r="AL556" i="47" s="1"/>
  <c r="G355" i="47"/>
  <c r="AL355" i="47" s="1"/>
  <c r="G265" i="47"/>
  <c r="AL265" i="47" s="1"/>
  <c r="G178" i="47"/>
  <c r="AL178" i="47" s="1"/>
  <c r="G499" i="47"/>
  <c r="AL499" i="47" s="1"/>
  <c r="G155" i="47"/>
  <c r="AL155" i="47" s="1"/>
  <c r="G477" i="47"/>
  <c r="AL477" i="47" s="1"/>
  <c r="G126" i="47"/>
  <c r="AL126" i="47" s="1"/>
  <c r="G412" i="47"/>
  <c r="AL412" i="47" s="1"/>
  <c r="G324" i="47"/>
  <c r="AL324" i="47" s="1"/>
  <c r="G144" i="47"/>
  <c r="AL144" i="47" s="1"/>
  <c r="G176" i="47"/>
  <c r="AL176" i="47" s="1"/>
  <c r="G175" i="47"/>
  <c r="AL175" i="47" s="1"/>
  <c r="G452" i="47"/>
  <c r="AL452" i="47" s="1"/>
  <c r="G565" i="47"/>
  <c r="AL565" i="47" s="1"/>
  <c r="G429" i="47"/>
  <c r="AL429" i="47" s="1"/>
  <c r="G509" i="47"/>
  <c r="AL509" i="47" s="1"/>
  <c r="G495" i="47"/>
  <c r="AL495" i="47" s="1"/>
  <c r="G319" i="47"/>
  <c r="AL319" i="47" s="1"/>
  <c r="G523" i="47"/>
  <c r="AL523" i="47" s="1"/>
  <c r="G428" i="47"/>
  <c r="AL428" i="47" s="1"/>
  <c r="G156" i="47"/>
  <c r="AL156" i="47" s="1"/>
  <c r="G381" i="47"/>
  <c r="AL381" i="47" s="1"/>
  <c r="G555" i="47"/>
  <c r="AL555" i="47" s="1"/>
  <c r="G170" i="47"/>
  <c r="AL170" i="47" s="1"/>
  <c r="G341" i="47"/>
  <c r="AL341" i="47" s="1"/>
  <c r="G351" i="47"/>
  <c r="AL351" i="47" s="1"/>
  <c r="G263" i="47"/>
  <c r="AL263" i="47" s="1"/>
  <c r="G386" i="47"/>
  <c r="AL386" i="47" s="1"/>
  <c r="G199" i="47"/>
  <c r="AL199" i="47" s="1"/>
  <c r="G174" i="47"/>
  <c r="AL174" i="47" s="1"/>
  <c r="G291" i="47"/>
  <c r="AL291" i="47" s="1"/>
  <c r="G384" i="47"/>
  <c r="AL384" i="47" s="1"/>
  <c r="G254" i="47"/>
  <c r="AL254" i="47" s="1"/>
  <c r="G588" i="47"/>
  <c r="AL588" i="47" s="1"/>
  <c r="G325" i="47"/>
  <c r="AL325" i="47" s="1"/>
  <c r="G212" i="47"/>
  <c r="AL212" i="47" s="1"/>
  <c r="G213" i="47"/>
  <c r="AL213" i="47" s="1"/>
  <c r="G270" i="47"/>
  <c r="AL270" i="47" s="1"/>
  <c r="G173" i="47"/>
  <c r="AL173" i="47" s="1"/>
  <c r="G557" i="47"/>
  <c r="AL557" i="47" s="1"/>
  <c r="G541" i="47"/>
  <c r="AL541" i="47" s="1"/>
  <c r="G280" i="47"/>
  <c r="AL280" i="47" s="1"/>
  <c r="G329" i="47"/>
  <c r="AL329" i="47" s="1"/>
  <c r="G172" i="47"/>
  <c r="AL172" i="47" s="1"/>
  <c r="G201" i="47"/>
  <c r="AL201" i="47" s="1"/>
  <c r="G205" i="47"/>
  <c r="AL205" i="47" s="1"/>
  <c r="G522" i="47"/>
  <c r="AL522" i="47" s="1"/>
  <c r="G333" i="47"/>
  <c r="AL333" i="47" s="1"/>
  <c r="G524" i="47"/>
  <c r="AL524" i="47" s="1"/>
  <c r="G451" i="47"/>
  <c r="AL451" i="47" s="1"/>
  <c r="G368" i="47"/>
  <c r="AL368" i="47" s="1"/>
  <c r="G328" i="47"/>
  <c r="AL328" i="47" s="1"/>
  <c r="G290" i="47"/>
  <c r="AL290" i="47" s="1"/>
  <c r="G551" i="47"/>
  <c r="AL551" i="47" s="1"/>
  <c r="G579" i="47"/>
  <c r="AL579" i="47" s="1"/>
  <c r="G450" i="47"/>
  <c r="AL450" i="47" s="1"/>
  <c r="G147" i="47"/>
  <c r="AL147" i="47" s="1"/>
  <c r="G137" i="47"/>
  <c r="AL137" i="47" s="1"/>
  <c r="G196" i="47"/>
  <c r="AL196" i="47" s="1"/>
  <c r="G468" i="47"/>
  <c r="AL468" i="47" s="1"/>
  <c r="G171" i="47"/>
  <c r="AL171" i="47" s="1"/>
  <c r="G415" i="47"/>
  <c r="AL415" i="47" s="1"/>
  <c r="G145" i="47"/>
  <c r="AL145" i="47" s="1"/>
  <c r="G236" i="47"/>
  <c r="AL236" i="47" s="1"/>
  <c r="G548" i="47"/>
  <c r="AL548" i="47" s="1"/>
  <c r="G207" i="47"/>
  <c r="AL207" i="47" s="1"/>
  <c r="G590" i="47"/>
  <c r="AL590" i="47" s="1"/>
  <c r="G456" i="47"/>
  <c r="AL456" i="47" s="1"/>
  <c r="G482" i="47"/>
  <c r="AL482" i="47" s="1"/>
  <c r="G529" i="47"/>
  <c r="AL529" i="47" s="1"/>
  <c r="G303" i="47"/>
  <c r="AL303" i="47" s="1"/>
  <c r="G413" i="47"/>
  <c r="AL413" i="47" s="1"/>
  <c r="G591" i="47"/>
  <c r="AL591" i="47" s="1"/>
  <c r="G177" i="47"/>
  <c r="AL177" i="47" s="1"/>
  <c r="G391" i="47"/>
  <c r="AL391" i="47" s="1"/>
  <c r="G526" i="47"/>
  <c r="AL526" i="47" s="1"/>
  <c r="G136" i="47"/>
  <c r="AL136" i="47" s="1"/>
  <c r="G316" i="47"/>
  <c r="AL316" i="47" s="1"/>
  <c r="G235" i="47"/>
  <c r="AL235" i="47" s="1"/>
  <c r="G414" i="47"/>
  <c r="AL414" i="47" s="1"/>
  <c r="G537" i="47"/>
  <c r="AL537" i="47" s="1"/>
  <c r="G433" i="47"/>
  <c r="AL433" i="47" s="1"/>
  <c r="G242" i="47"/>
  <c r="AL242" i="47" s="1"/>
  <c r="G487" i="47"/>
  <c r="AL487" i="47" s="1"/>
  <c r="G214" i="47"/>
  <c r="AL214" i="47" s="1"/>
  <c r="G313" i="47"/>
  <c r="AL313" i="47" s="1"/>
  <c r="G424" i="47"/>
  <c r="AL424" i="47" s="1"/>
  <c r="G439" i="47"/>
  <c r="AL439" i="47" s="1"/>
  <c r="G580" i="47"/>
  <c r="AL580" i="47" s="1"/>
  <c r="G603" i="47"/>
  <c r="AL603" i="47" s="1"/>
  <c r="G297" i="47"/>
  <c r="AL297" i="47" s="1"/>
  <c r="G498" i="47"/>
  <c r="AL498" i="47" s="1"/>
  <c r="G287" i="47"/>
  <c r="AL287" i="47" s="1"/>
  <c r="G292" i="47"/>
  <c r="AL292" i="47" s="1"/>
  <c r="G169" i="47"/>
  <c r="AL169" i="47" s="1"/>
  <c r="G142" i="47"/>
  <c r="AL142" i="47" s="1"/>
  <c r="G547" i="47"/>
  <c r="AL547" i="47" s="1"/>
  <c r="G500" i="47"/>
  <c r="AL500" i="47" s="1"/>
  <c r="G430" i="47"/>
  <c r="AL430" i="47" s="1"/>
  <c r="G228" i="47"/>
  <c r="AL228" i="47" s="1"/>
  <c r="G448" i="47"/>
  <c r="AL448" i="47" s="1"/>
  <c r="G211" i="47"/>
  <c r="AL211" i="47" s="1"/>
  <c r="G572" i="47"/>
  <c r="AL572" i="47" s="1"/>
  <c r="G259" i="47"/>
  <c r="AL259" i="47" s="1"/>
  <c r="G419" i="47"/>
  <c r="AL419" i="47" s="1"/>
  <c r="G608" i="47"/>
  <c r="AL608" i="47" s="1"/>
  <c r="G471" i="47"/>
  <c r="AL471" i="47" s="1"/>
  <c r="G330" i="47"/>
  <c r="AL330" i="47" s="1"/>
  <c r="G564" i="47"/>
  <c r="AL564" i="47" s="1"/>
  <c r="G133" i="47"/>
  <c r="AL133" i="47" s="1"/>
  <c r="G161" i="47"/>
  <c r="AL161" i="47" s="1"/>
  <c r="G132" i="47"/>
  <c r="AL132" i="47" s="1"/>
  <c r="G168" i="47"/>
  <c r="AL168" i="47" s="1"/>
  <c r="G563" i="47"/>
  <c r="AL563" i="47" s="1"/>
  <c r="G296" i="47"/>
  <c r="AL296" i="47" s="1"/>
  <c r="G550" i="47"/>
  <c r="AL550" i="47" s="1"/>
  <c r="G375" i="47"/>
  <c r="AL375" i="47" s="1"/>
  <c r="G244" i="47"/>
  <c r="AL244" i="47" s="1"/>
  <c r="G587" i="47"/>
  <c r="AL587" i="47" s="1"/>
  <c r="G191" i="47"/>
  <c r="AL191" i="47" s="1"/>
  <c r="G552" i="47"/>
  <c r="AL552" i="47" s="1"/>
  <c r="G405" i="47"/>
  <c r="AL405" i="47" s="1"/>
  <c r="G264" i="47"/>
  <c r="AL264" i="47" s="1"/>
  <c r="G359" i="47"/>
  <c r="AL359" i="47" s="1"/>
  <c r="G225" i="47"/>
  <c r="AL225" i="47" s="1"/>
  <c r="G282" i="47"/>
  <c r="AL282" i="47" s="1"/>
  <c r="G193" i="47"/>
  <c r="AL193" i="47" s="1"/>
  <c r="G195" i="47"/>
  <c r="AL195" i="47" s="1"/>
  <c r="G559" i="47"/>
  <c r="AL559" i="47" s="1"/>
  <c r="G295" i="47"/>
  <c r="AL295" i="47" s="1"/>
  <c r="G352" i="47"/>
  <c r="AL352" i="47" s="1"/>
  <c r="G224" i="47"/>
  <c r="AL224" i="47" s="1"/>
  <c r="G272" i="47"/>
  <c r="AL272" i="47" s="1"/>
  <c r="G466" i="47"/>
  <c r="AL466" i="47" s="1"/>
  <c r="G460" i="47"/>
  <c r="AL460" i="47" s="1"/>
  <c r="G420" i="47"/>
  <c r="AL420" i="47" s="1"/>
  <c r="G157" i="47"/>
  <c r="AL157" i="47" s="1"/>
  <c r="G167" i="47"/>
  <c r="AL167" i="47" s="1"/>
  <c r="G166" i="47"/>
  <c r="AL166" i="47" s="1"/>
  <c r="G230" i="47"/>
  <c r="AL230" i="47" s="1"/>
  <c r="G198" i="47"/>
  <c r="AL198" i="47" s="1"/>
  <c r="G374" i="47"/>
  <c r="AL374" i="47" s="1"/>
  <c r="G614" i="47"/>
  <c r="AL614" i="47" s="1"/>
  <c r="G396" i="47"/>
  <c r="AL396" i="47" s="1"/>
  <c r="G150" i="47"/>
  <c r="AL150" i="47" s="1"/>
  <c r="G138" i="47"/>
  <c r="AL138" i="47" s="1"/>
  <c r="G506" i="47"/>
  <c r="AL506" i="47" s="1"/>
  <c r="G165" i="47"/>
  <c r="AL165" i="47" s="1"/>
  <c r="G346" i="47"/>
  <c r="AL346" i="47" s="1"/>
  <c r="G347" i="47"/>
  <c r="AL347" i="47" s="1"/>
  <c r="G512" i="47"/>
  <c r="AL512" i="47" s="1"/>
  <c r="G210" i="47"/>
  <c r="AL210" i="47" s="1"/>
  <c r="G248" i="47"/>
  <c r="AL248" i="47" s="1"/>
  <c r="G277" i="47"/>
  <c r="AL277" i="47" s="1"/>
  <c r="G486" i="47"/>
  <c r="AL486" i="47" s="1"/>
  <c r="G231" i="47"/>
  <c r="AL231" i="47" s="1"/>
  <c r="G164" i="47"/>
  <c r="AL164" i="47" s="1"/>
  <c r="G455" i="47"/>
  <c r="AL455" i="47" s="1"/>
  <c r="G152" i="47"/>
  <c r="AL152" i="47" s="1"/>
  <c r="G163" i="47"/>
  <c r="AL163" i="47" s="1"/>
  <c r="G323" i="47"/>
  <c r="AL323" i="47" s="1"/>
  <c r="G530" i="47"/>
  <c r="AL530" i="47" s="1"/>
  <c r="G286" i="47"/>
  <c r="AL286" i="47" s="1"/>
  <c r="G605" i="47"/>
  <c r="AL605" i="47" s="1"/>
  <c r="G569" i="47"/>
  <c r="AL569" i="47" s="1"/>
  <c r="G534" i="47"/>
  <c r="AL534" i="47" s="1"/>
  <c r="G600" i="47"/>
  <c r="AL600" i="47" s="1"/>
  <c r="G457" i="47"/>
  <c r="AL457" i="47" s="1"/>
  <c r="G243" i="47"/>
  <c r="AL243" i="47" s="1"/>
  <c r="G542" i="47"/>
  <c r="AL542" i="47" s="1"/>
  <c r="G339" i="47"/>
  <c r="AL339" i="47" s="1"/>
  <c r="G250" i="47"/>
  <c r="AL250" i="47" s="1"/>
  <c r="G473" i="47"/>
  <c r="AL473" i="47" s="1"/>
  <c r="G446" i="47"/>
  <c r="AL446" i="47" s="1"/>
  <c r="G611" i="47"/>
  <c r="AL611" i="47" s="1"/>
  <c r="G544" i="47"/>
  <c r="AL544" i="47" s="1"/>
  <c r="G394" i="47"/>
  <c r="AL394" i="47" s="1"/>
  <c r="G309" i="47"/>
  <c r="AL309" i="47" s="1"/>
  <c r="G162" i="47"/>
  <c r="AL162" i="47" s="1"/>
  <c r="G502" i="47"/>
  <c r="AL502" i="47" s="1"/>
  <c r="G558" i="47"/>
  <c r="AL558" i="47" s="1"/>
  <c r="G305" i="47"/>
  <c r="AL305" i="47" s="1"/>
  <c r="G218" i="47"/>
  <c r="AL218" i="47" s="1"/>
  <c r="G340" i="47"/>
  <c r="AL340" i="47" s="1"/>
  <c r="G535" i="47"/>
  <c r="AL535" i="47" s="1"/>
  <c r="G403" i="47"/>
  <c r="AL403" i="47" s="1"/>
  <c r="G398" i="47"/>
  <c r="AL398" i="47" s="1"/>
  <c r="G401" i="47"/>
  <c r="AL401" i="47" s="1"/>
  <c r="G511" i="47"/>
  <c r="AL511" i="47" s="1"/>
  <c r="G246" i="47"/>
  <c r="AL246" i="47" s="1"/>
  <c r="G501" i="47"/>
  <c r="AL501" i="47" s="1"/>
  <c r="G539" i="47"/>
  <c r="AL539" i="47" s="1"/>
  <c r="G554" i="47"/>
  <c r="AL554" i="47" s="1"/>
  <c r="G301" i="47"/>
  <c r="AL301" i="47" s="1"/>
  <c r="G227" i="47"/>
  <c r="AL227" i="47" s="1"/>
  <c r="G160" i="47"/>
  <c r="AL160" i="47" s="1"/>
  <c r="G361" i="47"/>
  <c r="AL361" i="47" s="1"/>
  <c r="G350" i="47"/>
  <c r="AL350" i="47" s="1"/>
  <c r="G447" i="47"/>
  <c r="AL447" i="47" s="1"/>
  <c r="G453" i="47"/>
  <c r="AL453" i="47" s="1"/>
  <c r="G485" i="47"/>
  <c r="AL485" i="47" s="1"/>
  <c r="G444" i="47"/>
  <c r="AL444" i="47" s="1"/>
  <c r="G153" i="47"/>
  <c r="AL153" i="47" s="1"/>
  <c r="G476" i="47"/>
  <c r="AL476" i="47" s="1"/>
  <c r="G578" i="47"/>
  <c r="AL578" i="47" s="1"/>
  <c r="G610" i="47"/>
  <c r="AL610" i="47" s="1"/>
  <c r="G443" i="47"/>
  <c r="AL443" i="47" s="1"/>
  <c r="G294" i="47"/>
  <c r="AL294" i="47" s="1"/>
  <c r="G304" i="47"/>
  <c r="AL304" i="47" s="1"/>
  <c r="G159" i="47"/>
  <c r="AL159" i="47" s="1"/>
  <c r="G311" i="47"/>
  <c r="AL311" i="47" s="1"/>
  <c r="G158" i="47"/>
  <c r="AL158" i="47" s="1"/>
  <c r="G223" i="47"/>
  <c r="AL223" i="47" s="1"/>
  <c r="G154" i="47"/>
  <c r="AL154" i="47" s="1"/>
  <c r="G504" i="47"/>
  <c r="AL504" i="47" s="1"/>
  <c r="G358" i="47"/>
  <c r="AL358" i="47" s="1"/>
  <c r="G204" i="47"/>
  <c r="AL204" i="47" s="1"/>
  <c r="G426" i="47"/>
  <c r="AL426" i="47" s="1"/>
  <c r="G148" i="47"/>
  <c r="AL148" i="47" s="1"/>
  <c r="G416" i="47"/>
  <c r="AL416" i="47" s="1"/>
  <c r="G604" i="47"/>
  <c r="AL604" i="47" s="1"/>
  <c r="G310" i="47"/>
  <c r="AL310" i="47" s="1"/>
  <c r="G573" i="47"/>
  <c r="AL573" i="47" s="1"/>
  <c r="G356" i="47"/>
  <c r="AL356" i="47" s="1"/>
  <c r="G435" i="47"/>
  <c r="AL435" i="47" s="1"/>
  <c r="G540" i="47"/>
  <c r="AL540" i="47" s="1"/>
  <c r="G602" i="47"/>
  <c r="AL602" i="47" s="1"/>
  <c r="G528" i="47"/>
  <c r="AL528" i="47" s="1"/>
  <c r="G357" i="47"/>
  <c r="AL357" i="47" s="1"/>
  <c r="G454" i="47"/>
  <c r="AL454" i="47" s="1"/>
  <c r="G440" i="47"/>
  <c r="AL440" i="47" s="1"/>
  <c r="G208" i="47"/>
  <c r="AL208" i="47" s="1"/>
  <c r="D190" i="47"/>
  <c r="K190" i="47"/>
  <c r="K484" i="47"/>
  <c r="K370" i="47"/>
  <c r="K538" i="47"/>
  <c r="K593" i="47"/>
  <c r="K597" i="47"/>
  <c r="K607" i="47"/>
  <c r="K335" i="47"/>
  <c r="K274" i="47"/>
  <c r="K533" i="47"/>
  <c r="K367" i="47"/>
  <c r="K219" i="47"/>
  <c r="K392" i="47"/>
  <c r="K417" i="47"/>
  <c r="K366" i="47"/>
  <c r="K278" i="47"/>
  <c r="K612" i="47"/>
  <c r="K383" i="47"/>
  <c r="K510" i="47"/>
  <c r="K315" i="47"/>
  <c r="K525" i="47"/>
  <c r="K599" i="47"/>
  <c r="K589" i="47"/>
  <c r="K488" i="47"/>
  <c r="K427" i="47"/>
  <c r="K276" i="47"/>
  <c r="K489" i="47"/>
  <c r="K269" i="47"/>
  <c r="K449" i="47"/>
  <c r="K300" i="47"/>
  <c r="K513" i="47"/>
  <c r="K423" i="47"/>
  <c r="K221" i="47"/>
  <c r="K344" i="47"/>
  <c r="K362" i="47"/>
  <c r="K432" i="47"/>
  <c r="K141" i="47"/>
  <c r="K584" i="47"/>
  <c r="K189" i="47"/>
  <c r="K188" i="47"/>
  <c r="K252" i="47"/>
  <c r="K480" i="47"/>
  <c r="K192" i="47"/>
  <c r="K349" i="47"/>
  <c r="K399" i="47"/>
  <c r="K582" i="47"/>
  <c r="K149" i="47"/>
  <c r="K194" i="47"/>
  <c r="K493" i="47"/>
  <c r="K568" i="47"/>
  <c r="K255" i="47"/>
  <c r="K594" i="47"/>
  <c r="K409" i="47"/>
  <c r="K258" i="47"/>
  <c r="K469" i="47"/>
  <c r="K598" i="47"/>
  <c r="K505" i="47"/>
  <c r="K202" i="47"/>
  <c r="K363" i="47"/>
  <c r="K531" i="47"/>
  <c r="K560" i="47"/>
  <c r="K382" i="47"/>
  <c r="K536" i="47"/>
  <c r="K261" i="47"/>
  <c r="K562" i="47"/>
  <c r="K577" i="47"/>
  <c r="K574" i="47"/>
  <c r="K289" i="47"/>
  <c r="K338" i="47"/>
  <c r="K253" i="47"/>
  <c r="K241" i="47"/>
  <c r="K377" i="47"/>
  <c r="K285" i="47"/>
  <c r="K490" i="47"/>
  <c r="K472" i="47"/>
  <c r="K187" i="47"/>
  <c r="K298" i="47"/>
  <c r="K130" i="47"/>
  <c r="K422" i="47"/>
  <c r="K478" i="47"/>
  <c r="K609" i="47"/>
  <c r="K586" i="47"/>
  <c r="K517" i="47"/>
  <c r="K345" i="47"/>
  <c r="K262" i="47"/>
  <c r="K186" i="47"/>
  <c r="K229" i="47"/>
  <c r="K293" i="47"/>
  <c r="K354" i="47"/>
  <c r="K575" i="47"/>
  <c r="K267" i="47"/>
  <c r="K200" i="47"/>
  <c r="K283" i="47"/>
  <c r="K376" i="47"/>
  <c r="K222" i="47"/>
  <c r="K317" i="47"/>
  <c r="K549" i="47"/>
  <c r="K308" i="47"/>
  <c r="K185" i="47"/>
  <c r="K467" i="47"/>
  <c r="K532" i="47"/>
  <c r="K387" i="47"/>
  <c r="K322" i="47"/>
  <c r="K326" i="47"/>
  <c r="K273" i="47"/>
  <c r="K233" i="47"/>
  <c r="K220" i="47"/>
  <c r="K407" i="47"/>
  <c r="K465" i="47"/>
  <c r="K418" i="47"/>
  <c r="K390" i="47"/>
  <c r="K585" i="47"/>
  <c r="K336" i="47"/>
  <c r="K245" i="47"/>
  <c r="K184" i="47"/>
  <c r="K183" i="47"/>
  <c r="K613" i="47"/>
  <c r="K601" i="47"/>
  <c r="K321" i="47"/>
  <c r="K215" i="47"/>
  <c r="K266" i="47"/>
  <c r="K371" i="47"/>
  <c r="K385" i="47"/>
  <c r="K337" i="47"/>
  <c r="K596" i="47"/>
  <c r="K369" i="47"/>
  <c r="K127" i="47"/>
  <c r="K312" i="47"/>
  <c r="K284" i="47"/>
  <c r="K388" i="47"/>
  <c r="K226" i="47"/>
  <c r="K496" i="47"/>
  <c r="K129" i="47"/>
  <c r="K203" i="47"/>
  <c r="K360" i="47"/>
  <c r="K365" i="47"/>
  <c r="K515" i="47"/>
  <c r="K238" i="47"/>
  <c r="K135" i="47"/>
  <c r="K425" i="47"/>
  <c r="K464" i="47"/>
  <c r="K134" i="47"/>
  <c r="K240" i="47"/>
  <c r="K247" i="47"/>
  <c r="K318" i="47"/>
  <c r="K372" i="47"/>
  <c r="K182" i="47"/>
  <c r="K216" i="47"/>
  <c r="K519" i="47"/>
  <c r="K302" i="47"/>
  <c r="K520" i="47"/>
  <c r="K379" i="47"/>
  <c r="K567" i="47"/>
  <c r="K209" i="47"/>
  <c r="K395" i="47"/>
  <c r="K411" i="47"/>
  <c r="K445" i="47"/>
  <c r="K461" i="47"/>
  <c r="K521" i="47"/>
  <c r="K581" i="47"/>
  <c r="K139" i="47"/>
  <c r="K570" i="47"/>
  <c r="K491" i="47"/>
  <c r="K459" i="47"/>
  <c r="K239" i="47"/>
  <c r="K257" i="47"/>
  <c r="K516" i="47"/>
  <c r="K217" i="47"/>
  <c r="K514" i="47"/>
  <c r="K331" i="47"/>
  <c r="K436" i="47"/>
  <c r="K373" i="47"/>
  <c r="K256" i="47"/>
  <c r="K353" i="47"/>
  <c r="K342" i="47"/>
  <c r="K314" i="47"/>
  <c r="K332" i="47"/>
  <c r="K260" i="47"/>
  <c r="K397" i="47"/>
  <c r="K268" i="47"/>
  <c r="K131" i="47"/>
  <c r="K389" i="47"/>
  <c r="K146" i="47"/>
  <c r="K438" i="47"/>
  <c r="K470" i="47"/>
  <c r="K475" i="47"/>
  <c r="K378" i="47"/>
  <c r="K474" i="47"/>
  <c r="K431" i="47"/>
  <c r="K237" i="47"/>
  <c r="K592" i="47"/>
  <c r="K503" i="47"/>
  <c r="K497" i="47"/>
  <c r="K483" i="47"/>
  <c r="K181" i="47"/>
  <c r="K249" i="47"/>
  <c r="K481" i="47"/>
  <c r="K143" i="47"/>
  <c r="K307" i="47"/>
  <c r="K442" i="47"/>
  <c r="K299" i="47"/>
  <c r="K494" i="47"/>
  <c r="K251" i="47"/>
  <c r="K458" i="47"/>
  <c r="K463" i="47"/>
  <c r="K492" i="47"/>
  <c r="K561" i="47"/>
  <c r="K180" i="47"/>
  <c r="K400" i="47"/>
  <c r="K437" i="47"/>
  <c r="K576" i="47"/>
  <c r="K404" i="47"/>
  <c r="K606" i="47"/>
  <c r="K421" i="47"/>
  <c r="K518" i="47"/>
  <c r="K140" i="47"/>
  <c r="K151" i="47"/>
  <c r="K393" i="47"/>
  <c r="K527" i="47"/>
  <c r="K343" i="47"/>
  <c r="K507" i="47"/>
  <c r="K128" i="47"/>
  <c r="K543" i="47"/>
  <c r="K348" i="47"/>
  <c r="K571" i="47"/>
  <c r="K232" i="47"/>
  <c r="K334" i="47"/>
  <c r="K320" i="47"/>
  <c r="K479" i="47"/>
  <c r="K279" i="47"/>
  <c r="K410" i="47"/>
  <c r="K275" i="47"/>
  <c r="K327" i="47"/>
  <c r="K508" i="47"/>
  <c r="K546" i="47"/>
  <c r="K583" i="47"/>
  <c r="K408" i="47"/>
  <c r="K441" i="47"/>
  <c r="K197" i="47"/>
  <c r="K179" i="47"/>
  <c r="K281" i="47"/>
  <c r="K271" i="47"/>
  <c r="K402" i="47"/>
  <c r="K434" i="47"/>
  <c r="K553" i="47"/>
  <c r="K406" i="47"/>
  <c r="K234" i="47"/>
  <c r="K380" i="47"/>
  <c r="K566" i="47"/>
  <c r="K206" i="47"/>
  <c r="K545" i="47"/>
  <c r="K306" i="47"/>
  <c r="K462" i="47"/>
  <c r="K364" i="47"/>
  <c r="K288" i="47"/>
  <c r="K595" i="47"/>
  <c r="K556" i="47"/>
  <c r="K355" i="47"/>
  <c r="K265" i="47"/>
  <c r="K178" i="47"/>
  <c r="K499" i="47"/>
  <c r="K155" i="47"/>
  <c r="K477" i="47"/>
  <c r="K126" i="47"/>
  <c r="K412" i="47"/>
  <c r="K324" i="47"/>
  <c r="K144" i="47"/>
  <c r="K176" i="47"/>
  <c r="K175" i="47"/>
  <c r="K452" i="47"/>
  <c r="K565" i="47"/>
  <c r="K429" i="47"/>
  <c r="K509" i="47"/>
  <c r="K495" i="47"/>
  <c r="K319" i="47"/>
  <c r="K523" i="47"/>
  <c r="K428" i="47"/>
  <c r="K156" i="47"/>
  <c r="K381" i="47"/>
  <c r="K555" i="47"/>
  <c r="K170" i="47"/>
  <c r="K341" i="47"/>
  <c r="K351" i="47"/>
  <c r="K263" i="47"/>
  <c r="K386" i="47"/>
  <c r="K199" i="47"/>
  <c r="K174" i="47"/>
  <c r="K291" i="47"/>
  <c r="K384" i="47"/>
  <c r="K254" i="47"/>
  <c r="K588" i="47"/>
  <c r="K325" i="47"/>
  <c r="K212" i="47"/>
  <c r="K213" i="47"/>
  <c r="K270" i="47"/>
  <c r="K173" i="47"/>
  <c r="K557" i="47"/>
  <c r="K541" i="47"/>
  <c r="K280" i="47"/>
  <c r="K329" i="47"/>
  <c r="K172" i="47"/>
  <c r="K201" i="47"/>
  <c r="K205" i="47"/>
  <c r="K522" i="47"/>
  <c r="K333" i="47"/>
  <c r="K524" i="47"/>
  <c r="K451" i="47"/>
  <c r="K368" i="47"/>
  <c r="K328" i="47"/>
  <c r="K290" i="47"/>
  <c r="K551" i="47"/>
  <c r="K579" i="47"/>
  <c r="K450" i="47"/>
  <c r="K147" i="47"/>
  <c r="K137" i="47"/>
  <c r="K196" i="47"/>
  <c r="K468" i="47"/>
  <c r="K171" i="47"/>
  <c r="K415" i="47"/>
  <c r="K145" i="47"/>
  <c r="K236" i="47"/>
  <c r="K548" i="47"/>
  <c r="K207" i="47"/>
  <c r="K590" i="47"/>
  <c r="K456" i="47"/>
  <c r="K482" i="47"/>
  <c r="K529" i="47"/>
  <c r="K303" i="47"/>
  <c r="K413" i="47"/>
  <c r="K591" i="47"/>
  <c r="K177" i="47"/>
  <c r="K391" i="47"/>
  <c r="K526" i="47"/>
  <c r="K136" i="47"/>
  <c r="K316" i="47"/>
  <c r="K235" i="47"/>
  <c r="K414" i="47"/>
  <c r="K537" i="47"/>
  <c r="K433" i="47"/>
  <c r="K242" i="47"/>
  <c r="K487" i="47"/>
  <c r="K214" i="47"/>
  <c r="K313" i="47"/>
  <c r="K424" i="47"/>
  <c r="K439" i="47"/>
  <c r="K580" i="47"/>
  <c r="K603" i="47"/>
  <c r="K297" i="47"/>
  <c r="K498" i="47"/>
  <c r="K287" i="47"/>
  <c r="K292" i="47"/>
  <c r="K169" i="47"/>
  <c r="K142" i="47"/>
  <c r="K547" i="47"/>
  <c r="K500" i="47"/>
  <c r="K430" i="47"/>
  <c r="K228" i="47"/>
  <c r="K448" i="47"/>
  <c r="K211" i="47"/>
  <c r="K572" i="47"/>
  <c r="K259" i="47"/>
  <c r="K419" i="47"/>
  <c r="K608" i="47"/>
  <c r="K471" i="47"/>
  <c r="K330" i="47"/>
  <c r="K564" i="47"/>
  <c r="K133" i="47"/>
  <c r="K161" i="47"/>
  <c r="K132" i="47"/>
  <c r="K168" i="47"/>
  <c r="K563" i="47"/>
  <c r="K296" i="47"/>
  <c r="K550" i="47"/>
  <c r="K375" i="47"/>
  <c r="K244" i="47"/>
  <c r="K587" i="47"/>
  <c r="K191" i="47"/>
  <c r="K552" i="47"/>
  <c r="K405" i="47"/>
  <c r="K264" i="47"/>
  <c r="K359" i="47"/>
  <c r="K225" i="47"/>
  <c r="K282" i="47"/>
  <c r="K193" i="47"/>
  <c r="K195" i="47"/>
  <c r="K559" i="47"/>
  <c r="K295" i="47"/>
  <c r="K352" i="47"/>
  <c r="K224" i="47"/>
  <c r="K272" i="47"/>
  <c r="K466" i="47"/>
  <c r="K460" i="47"/>
  <c r="K420" i="47"/>
  <c r="K157" i="47"/>
  <c r="K167" i="47"/>
  <c r="K166" i="47"/>
  <c r="K230" i="47"/>
  <c r="K198" i="47"/>
  <c r="K374" i="47"/>
  <c r="K614" i="47"/>
  <c r="K396" i="47"/>
  <c r="K150" i="47"/>
  <c r="K138" i="47"/>
  <c r="K506" i="47"/>
  <c r="K165" i="47"/>
  <c r="K346" i="47"/>
  <c r="K347" i="47"/>
  <c r="K512" i="47"/>
  <c r="K210" i="47"/>
  <c r="K248" i="47"/>
  <c r="K277" i="47"/>
  <c r="K486" i="47"/>
  <c r="K231" i="47"/>
  <c r="K164" i="47"/>
  <c r="K455" i="47"/>
  <c r="K152" i="47"/>
  <c r="K163" i="47"/>
  <c r="K323" i="47"/>
  <c r="K530" i="47"/>
  <c r="K286" i="47"/>
  <c r="K605" i="47"/>
  <c r="K569" i="47"/>
  <c r="K534" i="47"/>
  <c r="K600" i="47"/>
  <c r="K457" i="47"/>
  <c r="K243" i="47"/>
  <c r="K542" i="47"/>
  <c r="K339" i="47"/>
  <c r="K250" i="47"/>
  <c r="K473" i="47"/>
  <c r="K446" i="47"/>
  <c r="K611" i="47"/>
  <c r="K544" i="47"/>
  <c r="K394" i="47"/>
  <c r="K309" i="47"/>
  <c r="K162" i="47"/>
  <c r="K502" i="47"/>
  <c r="K558" i="47"/>
  <c r="K305" i="47"/>
  <c r="K218" i="47"/>
  <c r="K340" i="47"/>
  <c r="K535" i="47"/>
  <c r="K403" i="47"/>
  <c r="K398" i="47"/>
  <c r="K401" i="47"/>
  <c r="K511" i="47"/>
  <c r="K246" i="47"/>
  <c r="K501" i="47"/>
  <c r="K539" i="47"/>
  <c r="K554" i="47"/>
  <c r="K301" i="47"/>
  <c r="K227" i="47"/>
  <c r="K160" i="47"/>
  <c r="K361" i="47"/>
  <c r="K350" i="47"/>
  <c r="K447" i="47"/>
  <c r="K453" i="47"/>
  <c r="K485" i="47"/>
  <c r="K444" i="47"/>
  <c r="K153" i="47"/>
  <c r="K476" i="47"/>
  <c r="K578" i="47"/>
  <c r="K610" i="47"/>
  <c r="K443" i="47"/>
  <c r="K294" i="47"/>
  <c r="K304" i="47"/>
  <c r="K159" i="47"/>
  <c r="K311" i="47"/>
  <c r="K158" i="47"/>
  <c r="K223" i="47"/>
  <c r="K154" i="47"/>
  <c r="K504" i="47"/>
  <c r="K358" i="47"/>
  <c r="K204" i="47"/>
  <c r="K426" i="47"/>
  <c r="K148" i="47"/>
  <c r="K416" i="47"/>
  <c r="K604" i="47"/>
  <c r="K310" i="47"/>
  <c r="K573" i="47"/>
  <c r="K356" i="47"/>
  <c r="K435" i="47"/>
  <c r="K540" i="47"/>
  <c r="K602" i="47"/>
  <c r="K528" i="47"/>
  <c r="K357" i="47"/>
  <c r="K454" i="47"/>
  <c r="K440" i="47"/>
  <c r="K208" i="47"/>
  <c r="J113" i="47"/>
  <c r="D484" i="47"/>
  <c r="D370" i="47"/>
  <c r="D538" i="47"/>
  <c r="D593" i="47"/>
  <c r="D597" i="47"/>
  <c r="D607" i="47"/>
  <c r="D335" i="47"/>
  <c r="D274" i="47"/>
  <c r="D533" i="47"/>
  <c r="D367" i="47"/>
  <c r="D219" i="47"/>
  <c r="D392" i="47"/>
  <c r="D417" i="47"/>
  <c r="D366" i="47"/>
  <c r="D278" i="47"/>
  <c r="D612" i="47"/>
  <c r="D383" i="47"/>
  <c r="D510" i="47"/>
  <c r="D315" i="47"/>
  <c r="D525" i="47"/>
  <c r="D599" i="47"/>
  <c r="D589" i="47"/>
  <c r="D488" i="47"/>
  <c r="D427" i="47"/>
  <c r="D276" i="47"/>
  <c r="D489" i="47"/>
  <c r="D269" i="47"/>
  <c r="D449" i="47"/>
  <c r="D300" i="47"/>
  <c r="D513" i="47"/>
  <c r="D423" i="47"/>
  <c r="D221" i="47"/>
  <c r="D344" i="47"/>
  <c r="D362" i="47"/>
  <c r="D432" i="47"/>
  <c r="D141" i="47"/>
  <c r="D584" i="47"/>
  <c r="D189" i="47"/>
  <c r="D188" i="47"/>
  <c r="D252" i="47"/>
  <c r="D480" i="47"/>
  <c r="D192" i="47"/>
  <c r="D349" i="47"/>
  <c r="D399" i="47"/>
  <c r="D582" i="47"/>
  <c r="D149" i="47"/>
  <c r="D194" i="47"/>
  <c r="D493" i="47"/>
  <c r="D568" i="47"/>
  <c r="D255" i="47"/>
  <c r="D594" i="47"/>
  <c r="D409" i="47"/>
  <c r="D258" i="47"/>
  <c r="D469" i="47"/>
  <c r="D598" i="47"/>
  <c r="D505" i="47"/>
  <c r="D202" i="47"/>
  <c r="D363" i="47"/>
  <c r="D531" i="47"/>
  <c r="D560" i="47"/>
  <c r="D382" i="47"/>
  <c r="D536" i="47"/>
  <c r="D261" i="47"/>
  <c r="D562" i="47"/>
  <c r="D577" i="47"/>
  <c r="D574" i="47"/>
  <c r="D289" i="47"/>
  <c r="D338" i="47"/>
  <c r="D253" i="47"/>
  <c r="D241" i="47"/>
  <c r="D377" i="47"/>
  <c r="D285" i="47"/>
  <c r="D490" i="47"/>
  <c r="D472" i="47"/>
  <c r="D187" i="47"/>
  <c r="D298" i="47"/>
  <c r="D130" i="47"/>
  <c r="D422" i="47"/>
  <c r="D478" i="47"/>
  <c r="D609" i="47"/>
  <c r="D586" i="47"/>
  <c r="D517" i="47"/>
  <c r="D345" i="47"/>
  <c r="D262" i="47"/>
  <c r="D186" i="47"/>
  <c r="D229" i="47"/>
  <c r="D293" i="47"/>
  <c r="D354" i="47"/>
  <c r="D575" i="47"/>
  <c r="D267" i="47"/>
  <c r="D200" i="47"/>
  <c r="D283" i="47"/>
  <c r="D376" i="47"/>
  <c r="D222" i="47"/>
  <c r="D317" i="47"/>
  <c r="D549" i="47"/>
  <c r="D308" i="47"/>
  <c r="D185" i="47"/>
  <c r="D467" i="47"/>
  <c r="D532" i="47"/>
  <c r="D387" i="47"/>
  <c r="D322" i="47"/>
  <c r="D326" i="47"/>
  <c r="D273" i="47"/>
  <c r="D233" i="47"/>
  <c r="D220" i="47"/>
  <c r="D407" i="47"/>
  <c r="D465" i="47"/>
  <c r="D418" i="47"/>
  <c r="D390" i="47"/>
  <c r="D585" i="47"/>
  <c r="D336" i="47"/>
  <c r="D245" i="47"/>
  <c r="D184" i="47"/>
  <c r="D183" i="47"/>
  <c r="D613" i="47"/>
  <c r="D601" i="47"/>
  <c r="D321" i="47"/>
  <c r="D215" i="47"/>
  <c r="D266" i="47"/>
  <c r="D371" i="47"/>
  <c r="D385" i="47"/>
  <c r="D337" i="47"/>
  <c r="D596" i="47"/>
  <c r="D369" i="47"/>
  <c r="D127" i="47"/>
  <c r="D312" i="47"/>
  <c r="D284" i="47"/>
  <c r="D388" i="47"/>
  <c r="D226" i="47"/>
  <c r="D496" i="47"/>
  <c r="D129" i="47"/>
  <c r="D203" i="47"/>
  <c r="D360" i="47"/>
  <c r="D365" i="47"/>
  <c r="D515" i="47"/>
  <c r="D238" i="47"/>
  <c r="D135" i="47"/>
  <c r="D425" i="47"/>
  <c r="D464" i="47"/>
  <c r="D134" i="47"/>
  <c r="D240" i="47"/>
  <c r="D247" i="47"/>
  <c r="D318" i="47"/>
  <c r="D372" i="47"/>
  <c r="D182" i="47"/>
  <c r="D216" i="47"/>
  <c r="D519" i="47"/>
  <c r="D302" i="47"/>
  <c r="D520" i="47"/>
  <c r="D379" i="47"/>
  <c r="D567" i="47"/>
  <c r="D209" i="47"/>
  <c r="D395" i="47"/>
  <c r="D411" i="47"/>
  <c r="D445" i="47"/>
  <c r="D461" i="47"/>
  <c r="D521" i="47"/>
  <c r="D581" i="47"/>
  <c r="D139" i="47"/>
  <c r="D570" i="47"/>
  <c r="D491" i="47"/>
  <c r="D459" i="47"/>
  <c r="D239" i="47"/>
  <c r="D257" i="47"/>
  <c r="D516" i="47"/>
  <c r="D217" i="47"/>
  <c r="D514" i="47"/>
  <c r="D331" i="47"/>
  <c r="D436" i="47"/>
  <c r="D373" i="47"/>
  <c r="D256" i="47"/>
  <c r="D353" i="47"/>
  <c r="D342" i="47"/>
  <c r="D314" i="47"/>
  <c r="D332" i="47"/>
  <c r="D260" i="47"/>
  <c r="D397" i="47"/>
  <c r="D268" i="47"/>
  <c r="D131" i="47"/>
  <c r="D389" i="47"/>
  <c r="D146" i="47"/>
  <c r="D438" i="47"/>
  <c r="D470" i="47"/>
  <c r="D475" i="47"/>
  <c r="D378" i="47"/>
  <c r="D474" i="47"/>
  <c r="D431" i="47"/>
  <c r="D237" i="47"/>
  <c r="D592" i="47"/>
  <c r="D503" i="47"/>
  <c r="D497" i="47"/>
  <c r="D483" i="47"/>
  <c r="D181" i="47"/>
  <c r="D249" i="47"/>
  <c r="D481" i="47"/>
  <c r="D143" i="47"/>
  <c r="D307" i="47"/>
  <c r="D442" i="47"/>
  <c r="D299" i="47"/>
  <c r="D494" i="47"/>
  <c r="D251" i="47"/>
  <c r="D458" i="47"/>
  <c r="D463" i="47"/>
  <c r="D492" i="47"/>
  <c r="D561" i="47"/>
  <c r="D180" i="47"/>
  <c r="D400" i="47"/>
  <c r="D437" i="47"/>
  <c r="D576" i="47"/>
  <c r="D404" i="47"/>
  <c r="D606" i="47"/>
  <c r="D421" i="47"/>
  <c r="D518" i="47"/>
  <c r="D140" i="47"/>
  <c r="D151" i="47"/>
  <c r="D393" i="47"/>
  <c r="D527" i="47"/>
  <c r="D343" i="47"/>
  <c r="D507" i="47"/>
  <c r="D128" i="47"/>
  <c r="D543" i="47"/>
  <c r="D348" i="47"/>
  <c r="D571" i="47"/>
  <c r="D232" i="47"/>
  <c r="D334" i="47"/>
  <c r="D320" i="47"/>
  <c r="D479" i="47"/>
  <c r="D279" i="47"/>
  <c r="D410" i="47"/>
  <c r="D275" i="47"/>
  <c r="D327" i="47"/>
  <c r="D508" i="47"/>
  <c r="D546" i="47"/>
  <c r="D583" i="47"/>
  <c r="D408" i="47"/>
  <c r="D441" i="47"/>
  <c r="D197" i="47"/>
  <c r="D179" i="47"/>
  <c r="D281" i="47"/>
  <c r="D271" i="47"/>
  <c r="D402" i="47"/>
  <c r="D434" i="47"/>
  <c r="D553" i="47"/>
  <c r="D406" i="47"/>
  <c r="D234" i="47"/>
  <c r="D380" i="47"/>
  <c r="D566" i="47"/>
  <c r="D206" i="47"/>
  <c r="D545" i="47"/>
  <c r="D306" i="47"/>
  <c r="D462" i="47"/>
  <c r="D364" i="47"/>
  <c r="D288" i="47"/>
  <c r="D595" i="47"/>
  <c r="D556" i="47"/>
  <c r="D355" i="47"/>
  <c r="D265" i="47"/>
  <c r="D178" i="47"/>
  <c r="D499" i="47"/>
  <c r="D155" i="47"/>
  <c r="D477" i="47"/>
  <c r="D126" i="47"/>
  <c r="D412" i="47"/>
  <c r="D324" i="47"/>
  <c r="D144" i="47"/>
  <c r="D176" i="47"/>
  <c r="D175" i="47"/>
  <c r="D452" i="47"/>
  <c r="D565" i="47"/>
  <c r="D429" i="47"/>
  <c r="D509" i="47"/>
  <c r="D495" i="47"/>
  <c r="D319" i="47"/>
  <c r="D523" i="47"/>
  <c r="D428" i="47"/>
  <c r="D156" i="47"/>
  <c r="D381" i="47"/>
  <c r="D555" i="47"/>
  <c r="D170" i="47"/>
  <c r="D341" i="47"/>
  <c r="D351" i="47"/>
  <c r="D263" i="47"/>
  <c r="D386" i="47"/>
  <c r="D199" i="47"/>
  <c r="D174" i="47"/>
  <c r="D291" i="47"/>
  <c r="D384" i="47"/>
  <c r="D254" i="47"/>
  <c r="D588" i="47"/>
  <c r="D325" i="47"/>
  <c r="D212" i="47"/>
  <c r="D213" i="47"/>
  <c r="D270" i="47"/>
  <c r="D173" i="47"/>
  <c r="D557" i="47"/>
  <c r="D541" i="47"/>
  <c r="D280" i="47"/>
  <c r="D329" i="47"/>
  <c r="D172" i="47"/>
  <c r="D201" i="47"/>
  <c r="D205" i="47"/>
  <c r="D522" i="47"/>
  <c r="D333" i="47"/>
  <c r="D524" i="47"/>
  <c r="D451" i="47"/>
  <c r="D368" i="47"/>
  <c r="D328" i="47"/>
  <c r="D290" i="47"/>
  <c r="D551" i="47"/>
  <c r="D579" i="47"/>
  <c r="D450" i="47"/>
  <c r="D147" i="47"/>
  <c r="D137" i="47"/>
  <c r="D196" i="47"/>
  <c r="D468" i="47"/>
  <c r="D171" i="47"/>
  <c r="D415" i="47"/>
  <c r="D145" i="47"/>
  <c r="D236" i="47"/>
  <c r="D548" i="47"/>
  <c r="D207" i="47"/>
  <c r="D590" i="47"/>
  <c r="D456" i="47"/>
  <c r="D482" i="47"/>
  <c r="D529" i="47"/>
  <c r="D303" i="47"/>
  <c r="D413" i="47"/>
  <c r="D591" i="47"/>
  <c r="D177" i="47"/>
  <c r="D391" i="47"/>
  <c r="D526" i="47"/>
  <c r="D136" i="47"/>
  <c r="D316" i="47"/>
  <c r="D235" i="47"/>
  <c r="D414" i="47"/>
  <c r="D537" i="47"/>
  <c r="D433" i="47"/>
  <c r="D242" i="47"/>
  <c r="D487" i="47"/>
  <c r="D214" i="47"/>
  <c r="D313" i="47"/>
  <c r="D424" i="47"/>
  <c r="D439" i="47"/>
  <c r="D580" i="47"/>
  <c r="D603" i="47"/>
  <c r="D297" i="47"/>
  <c r="D498" i="47"/>
  <c r="D287" i="47"/>
  <c r="D292" i="47"/>
  <c r="D169" i="47"/>
  <c r="D142" i="47"/>
  <c r="D547" i="47"/>
  <c r="D500" i="47"/>
  <c r="D430" i="47"/>
  <c r="D228" i="47"/>
  <c r="D448" i="47"/>
  <c r="D211" i="47"/>
  <c r="D572" i="47"/>
  <c r="D259" i="47"/>
  <c r="D419" i="47"/>
  <c r="D608" i="47"/>
  <c r="D471" i="47"/>
  <c r="D330" i="47"/>
  <c r="D564" i="47"/>
  <c r="D133" i="47"/>
  <c r="D161" i="47"/>
  <c r="D132" i="47"/>
  <c r="D168" i="47"/>
  <c r="D563" i="47"/>
  <c r="D296" i="47"/>
  <c r="D550" i="47"/>
  <c r="D375" i="47"/>
  <c r="D244" i="47"/>
  <c r="D587" i="47"/>
  <c r="D191" i="47"/>
  <c r="D552" i="47"/>
  <c r="D405" i="47"/>
  <c r="D264" i="47"/>
  <c r="D359" i="47"/>
  <c r="D225" i="47"/>
  <c r="D282" i="47"/>
  <c r="D193" i="47"/>
  <c r="D195" i="47"/>
  <c r="D559" i="47"/>
  <c r="D295" i="47"/>
  <c r="D352" i="47"/>
  <c r="D224" i="47"/>
  <c r="D272" i="47"/>
  <c r="D466" i="47"/>
  <c r="D460" i="47"/>
  <c r="D420" i="47"/>
  <c r="D157" i="47"/>
  <c r="D167" i="47"/>
  <c r="D166" i="47"/>
  <c r="D230" i="47"/>
  <c r="D198" i="47"/>
  <c r="D374" i="47"/>
  <c r="D614" i="47"/>
  <c r="D396" i="47"/>
  <c r="D150" i="47"/>
  <c r="D138" i="47"/>
  <c r="D506" i="47"/>
  <c r="D165" i="47"/>
  <c r="D346" i="47"/>
  <c r="D347" i="47"/>
  <c r="D512" i="47"/>
  <c r="D210" i="47"/>
  <c r="D248" i="47"/>
  <c r="D277" i="47"/>
  <c r="D486" i="47"/>
  <c r="D231" i="47"/>
  <c r="D164" i="47"/>
  <c r="D455" i="47"/>
  <c r="D152" i="47"/>
  <c r="D163" i="47"/>
  <c r="D323" i="47"/>
  <c r="D530" i="47"/>
  <c r="D286" i="47"/>
  <c r="D605" i="47"/>
  <c r="D569" i="47"/>
  <c r="D534" i="47"/>
  <c r="D600" i="47"/>
  <c r="D457" i="47"/>
  <c r="D243" i="47"/>
  <c r="D542" i="47"/>
  <c r="D339" i="47"/>
  <c r="D250" i="47"/>
  <c r="D473" i="47"/>
  <c r="D446" i="47"/>
  <c r="D611" i="47"/>
  <c r="D544" i="47"/>
  <c r="D394" i="47"/>
  <c r="D309" i="47"/>
  <c r="D162" i="47"/>
  <c r="D502" i="47"/>
  <c r="D558" i="47"/>
  <c r="D305" i="47"/>
  <c r="D218" i="47"/>
  <c r="D340" i="47"/>
  <c r="D535" i="47"/>
  <c r="D403" i="47"/>
  <c r="D398" i="47"/>
  <c r="D401" i="47"/>
  <c r="D511" i="47"/>
  <c r="D246" i="47"/>
  <c r="D501" i="47"/>
  <c r="D539" i="47"/>
  <c r="D554" i="47"/>
  <c r="D301" i="47"/>
  <c r="D227" i="47"/>
  <c r="D160" i="47"/>
  <c r="D361" i="47"/>
  <c r="D350" i="47"/>
  <c r="D447" i="47"/>
  <c r="D453" i="47"/>
  <c r="D485" i="47"/>
  <c r="D444" i="47"/>
  <c r="D153" i="47"/>
  <c r="D476" i="47"/>
  <c r="D578" i="47"/>
  <c r="D610" i="47"/>
  <c r="D443" i="47"/>
  <c r="D294" i="47"/>
  <c r="D304" i="47"/>
  <c r="D159" i="47"/>
  <c r="D311" i="47"/>
  <c r="D158" i="47"/>
  <c r="D223" i="47"/>
  <c r="D154" i="47"/>
  <c r="D504" i="47"/>
  <c r="D358" i="47"/>
  <c r="D204" i="47"/>
  <c r="D426" i="47"/>
  <c r="D148" i="47"/>
  <c r="D416" i="47"/>
  <c r="D604" i="47"/>
  <c r="D310" i="47"/>
  <c r="D573" i="47"/>
  <c r="D356" i="47"/>
  <c r="D435" i="47"/>
  <c r="D540" i="47"/>
  <c r="D602" i="47"/>
  <c r="D528" i="47"/>
  <c r="D357" i="47"/>
  <c r="D454" i="47"/>
  <c r="D440" i="47"/>
  <c r="D208" i="47"/>
  <c r="O59" i="34"/>
  <c r="H26" i="13"/>
  <c r="E96" i="22"/>
  <c r="F96" i="22"/>
  <c r="H96" i="22"/>
  <c r="AP96" i="22"/>
  <c r="AZ96" i="22"/>
  <c r="S117" i="47"/>
  <c r="S116" i="47"/>
  <c r="S115" i="47"/>
  <c r="S114" i="47"/>
  <c r="S113" i="47"/>
  <c r="S112" i="47"/>
  <c r="S111" i="47"/>
  <c r="S110" i="47"/>
  <c r="S109" i="47"/>
  <c r="S108" i="47"/>
  <c r="AH8" i="34"/>
  <c r="AD8" i="34"/>
  <c r="E333" i="22"/>
  <c r="F333" i="22"/>
  <c r="H333" i="22"/>
  <c r="AP333" i="22"/>
  <c r="AZ333" i="22"/>
  <c r="E336" i="22"/>
  <c r="F336" i="22"/>
  <c r="H336" i="22"/>
  <c r="U336" i="22" s="1"/>
  <c r="W336" i="22" s="1"/>
  <c r="Y336" i="22" s="1"/>
  <c r="AP336" i="22"/>
  <c r="AZ336" i="22"/>
  <c r="AC5" i="22"/>
  <c r="E245" i="22"/>
  <c r="F245" i="22"/>
  <c r="H245" i="22"/>
  <c r="U245" i="22" s="1"/>
  <c r="W245" i="22" s="1"/>
  <c r="Y245" i="22" s="1"/>
  <c r="AP245" i="22"/>
  <c r="AZ245" i="22"/>
  <c r="E1" i="51"/>
  <c r="C1" i="51"/>
  <c r="G1514" i="47" l="1"/>
  <c r="AG615" i="47"/>
  <c r="AH615" i="47" s="1"/>
  <c r="AI615" i="47" s="1"/>
  <c r="G1416" i="47"/>
  <c r="S1416" i="47" s="1"/>
  <c r="G1420" i="47"/>
  <c r="P1420" i="47" s="1"/>
  <c r="Q1420" i="47" s="1"/>
  <c r="S1026" i="47"/>
  <c r="S1025" i="47"/>
  <c r="S1279" i="47"/>
  <c r="S1311" i="47"/>
  <c r="S1448" i="47"/>
  <c r="S1338" i="47"/>
  <c r="S1034" i="47"/>
  <c r="S1121" i="47"/>
  <c r="S1275" i="47"/>
  <c r="S1148" i="47"/>
  <c r="S1138" i="47"/>
  <c r="S1239" i="47"/>
  <c r="S1501" i="47"/>
  <c r="S1180" i="47"/>
  <c r="S1055" i="47"/>
  <c r="S1303" i="47"/>
  <c r="S1456" i="47"/>
  <c r="S1468" i="47"/>
  <c r="S1186" i="47"/>
  <c r="S1287" i="47"/>
  <c r="S1223" i="47"/>
  <c r="S1360" i="47"/>
  <c r="S1426" i="47"/>
  <c r="S1476" i="47"/>
  <c r="S1312" i="47"/>
  <c r="S1071" i="47"/>
  <c r="S1226" i="47"/>
  <c r="S1259" i="47"/>
  <c r="S1471" i="47"/>
  <c r="S1246" i="47"/>
  <c r="S1039" i="47"/>
  <c r="S1250" i="47"/>
  <c r="S1285" i="47"/>
  <c r="S1286" i="47"/>
  <c r="S1332" i="47"/>
  <c r="S1461" i="47"/>
  <c r="S1318" i="47"/>
  <c r="S1357" i="47"/>
  <c r="S1036" i="47"/>
  <c r="S1052" i="47"/>
  <c r="S1206" i="47"/>
  <c r="S1216" i="47"/>
  <c r="S1094" i="47"/>
  <c r="S1089" i="47"/>
  <c r="S1394" i="47"/>
  <c r="S1161" i="47"/>
  <c r="S1319" i="47"/>
  <c r="S1170" i="47"/>
  <c r="S1328" i="47"/>
  <c r="S1373" i="47"/>
  <c r="S1066" i="47"/>
  <c r="S1087" i="47"/>
  <c r="S1500" i="47"/>
  <c r="S1201" i="47"/>
  <c r="S1292" i="47"/>
  <c r="S1268" i="47"/>
  <c r="S1038" i="47"/>
  <c r="S1069" i="47"/>
  <c r="S1182" i="47"/>
  <c r="S1143" i="47"/>
  <c r="S1248" i="47"/>
  <c r="S1035" i="47"/>
  <c r="S1296" i="47"/>
  <c r="S1326" i="47"/>
  <c r="S1237" i="47"/>
  <c r="S1313" i="47"/>
  <c r="S1241" i="47"/>
  <c r="S1059" i="47"/>
  <c r="S1196" i="47"/>
  <c r="S1195" i="47"/>
  <c r="S1049" i="47"/>
  <c r="S1058" i="47"/>
  <c r="S1211" i="47"/>
  <c r="S1190" i="47"/>
  <c r="S1378" i="47"/>
  <c r="S1380" i="47"/>
  <c r="S1300" i="47"/>
  <c r="S1447" i="47"/>
  <c r="S1374" i="47"/>
  <c r="S1381" i="47"/>
  <c r="S1367" i="47"/>
  <c r="S1090" i="47"/>
  <c r="S1029" i="47"/>
  <c r="S1438" i="47"/>
  <c r="S1407" i="47"/>
  <c r="S1493" i="47"/>
  <c r="S1436" i="47"/>
  <c r="S1249" i="47"/>
  <c r="S1126" i="47"/>
  <c r="S1433" i="47"/>
  <c r="S1083" i="47"/>
  <c r="S1156" i="47"/>
  <c r="S1253" i="47"/>
  <c r="S1356" i="47"/>
  <c r="S1172" i="47"/>
  <c r="S1331" i="47"/>
  <c r="S1469" i="47"/>
  <c r="S1232" i="47"/>
  <c r="S1423" i="47"/>
  <c r="S1041" i="47"/>
  <c r="S1329" i="47"/>
  <c r="S1330" i="47"/>
  <c r="S1444" i="47"/>
  <c r="S1105" i="47"/>
  <c r="S1283" i="47"/>
  <c r="S1149" i="47"/>
  <c r="S1486" i="47"/>
  <c r="S1108" i="47"/>
  <c r="S1189" i="47"/>
  <c r="S1291" i="47"/>
  <c r="S1446" i="47"/>
  <c r="S1317" i="47"/>
  <c r="S1075" i="47"/>
  <c r="S1040" i="47"/>
  <c r="S1452" i="47"/>
  <c r="S1157" i="47"/>
  <c r="S1347" i="47"/>
  <c r="S1472" i="47"/>
  <c r="S1410" i="47"/>
  <c r="S1234" i="47"/>
  <c r="S1391" i="47"/>
  <c r="S1379" i="47"/>
  <c r="S1098" i="47"/>
  <c r="S1430" i="47"/>
  <c r="S1293" i="47"/>
  <c r="S1445" i="47"/>
  <c r="S1361" i="47"/>
  <c r="S1477" i="47"/>
  <c r="S1351" i="47"/>
  <c r="S1110" i="47"/>
  <c r="S1181" i="47"/>
  <c r="S1227" i="47"/>
  <c r="S1220" i="47"/>
  <c r="S1107" i="47"/>
  <c r="S1159" i="47"/>
  <c r="S1510" i="47"/>
  <c r="S1193" i="47"/>
  <c r="S1398" i="47"/>
  <c r="S1301" i="47"/>
  <c r="S1509" i="47"/>
  <c r="S1484" i="47"/>
  <c r="S1487" i="47"/>
  <c r="S1174" i="47"/>
  <c r="S1503" i="47"/>
  <c r="S1349" i="47"/>
  <c r="S1419" i="47"/>
  <c r="S1462" i="47"/>
  <c r="S1158" i="47"/>
  <c r="S1150" i="47"/>
  <c r="S1081" i="47"/>
  <c r="S1188" i="47"/>
  <c r="S1212" i="47"/>
  <c r="S1060" i="47"/>
  <c r="S1507" i="47"/>
  <c r="S1152" i="47"/>
  <c r="S1441" i="47"/>
  <c r="S1281" i="47"/>
  <c r="S1198" i="47"/>
  <c r="S1395" i="47"/>
  <c r="S1481" i="47"/>
  <c r="S1315" i="47"/>
  <c r="S1322" i="47"/>
  <c r="S1088" i="47"/>
  <c r="S1254" i="47"/>
  <c r="S1339" i="47"/>
  <c r="S1224" i="47"/>
  <c r="S1144" i="47"/>
  <c r="S1421" i="47"/>
  <c r="S1385" i="47"/>
  <c r="S1365" i="47"/>
  <c r="S1104" i="47"/>
  <c r="S1460" i="47"/>
  <c r="S1431" i="47"/>
  <c r="S1082" i="47"/>
  <c r="S1384" i="47"/>
  <c r="S1061" i="47"/>
  <c r="S1175" i="47"/>
  <c r="S1032" i="47"/>
  <c r="S1485" i="47"/>
  <c r="S1344" i="47"/>
  <c r="S1199" i="47"/>
  <c r="S1244" i="47"/>
  <c r="S1141" i="47"/>
  <c r="S1337" i="47"/>
  <c r="S1387" i="47"/>
  <c r="S1135" i="47"/>
  <c r="S1261" i="47"/>
  <c r="S1124" i="47"/>
  <c r="S1269" i="47"/>
  <c r="S1377" i="47"/>
  <c r="S1496" i="47"/>
  <c r="S1497" i="47"/>
  <c r="S1459" i="47"/>
  <c r="S1166" i="47"/>
  <c r="S1505" i="47"/>
  <c r="S1400" i="47"/>
  <c r="S1119" i="47"/>
  <c r="S1342" i="47"/>
  <c r="S1263" i="47"/>
  <c r="S1164" i="47"/>
  <c r="S1504" i="47"/>
  <c r="S1118" i="47"/>
  <c r="S1085" i="47"/>
  <c r="S1439" i="47"/>
  <c r="S1173" i="47"/>
  <c r="S1037" i="47"/>
  <c r="S1194" i="47"/>
  <c r="S1353" i="47"/>
  <c r="S1045" i="47"/>
  <c r="S1264" i="47"/>
  <c r="S1511" i="47"/>
  <c r="S1405" i="47"/>
  <c r="S1176" i="47"/>
  <c r="S1435" i="47"/>
  <c r="S1295" i="47"/>
  <c r="S1044" i="47"/>
  <c r="S1171" i="47"/>
  <c r="S1048" i="47"/>
  <c r="S1297" i="47"/>
  <c r="S1070" i="47"/>
  <c r="S1219" i="47"/>
  <c r="S1402" i="47"/>
  <c r="S1178" i="47"/>
  <c r="S1074" i="47"/>
  <c r="S1474" i="47"/>
  <c r="S1455" i="47"/>
  <c r="S1131" i="47"/>
  <c r="S1280" i="47"/>
  <c r="S1294" i="47"/>
  <c r="S1495" i="47"/>
  <c r="S1115" i="47"/>
  <c r="S1128" i="47"/>
  <c r="S1257" i="47"/>
  <c r="S1147" i="47"/>
  <c r="S1209" i="47"/>
  <c r="S1132" i="47"/>
  <c r="S1442" i="47"/>
  <c r="S1388" i="47"/>
  <c r="S1364" i="47"/>
  <c r="S1415" i="47"/>
  <c r="S1368" i="47"/>
  <c r="S1116" i="47"/>
  <c r="S1390" i="47"/>
  <c r="S1302" i="47"/>
  <c r="S1352" i="47"/>
  <c r="S1235" i="47"/>
  <c r="S1270" i="47"/>
  <c r="S1129" i="47"/>
  <c r="S1251" i="47"/>
  <c r="S1142" i="47"/>
  <c r="S1100" i="47"/>
  <c r="S1401" i="47"/>
  <c r="S1314" i="47"/>
  <c r="S1274" i="47"/>
  <c r="S1310" i="47"/>
  <c r="S1240" i="47"/>
  <c r="S1362" i="47"/>
  <c r="S1050" i="47"/>
  <c r="S1204" i="47"/>
  <c r="S1168" i="47"/>
  <c r="S1492" i="47"/>
  <c r="S1080" i="47"/>
  <c r="S1324" i="47"/>
  <c r="S1383" i="47"/>
  <c r="S1093" i="47"/>
  <c r="S1187" i="47"/>
  <c r="S1027" i="47"/>
  <c r="S1366" i="47"/>
  <c r="S1133" i="47"/>
  <c r="S1425" i="47"/>
  <c r="S1470" i="47"/>
  <c r="S1169" i="47"/>
  <c r="S1103" i="47"/>
  <c r="S1273" i="47"/>
  <c r="S1449" i="47"/>
  <c r="S1099" i="47"/>
  <c r="S1307" i="47"/>
  <c r="S1370" i="47"/>
  <c r="S1076" i="47"/>
  <c r="S1375" i="47"/>
  <c r="S1109" i="47"/>
  <c r="S1233" i="47"/>
  <c r="S1266" i="47"/>
  <c r="S1260" i="47"/>
  <c r="S1424" i="47"/>
  <c r="S1095" i="47"/>
  <c r="S1053" i="47"/>
  <c r="S1467" i="47"/>
  <c r="S1396" i="47"/>
  <c r="S1056" i="47"/>
  <c r="S1033" i="47"/>
  <c r="S1404" i="47"/>
  <c r="S1466" i="47"/>
  <c r="S1499" i="47"/>
  <c r="S1403" i="47"/>
  <c r="S1042" i="47"/>
  <c r="S1077" i="47"/>
  <c r="S1340" i="47"/>
  <c r="S1450" i="47"/>
  <c r="S1457" i="47"/>
  <c r="S1068" i="47"/>
  <c r="S1242" i="47"/>
  <c r="S1072" i="47"/>
  <c r="S1411" i="47"/>
  <c r="S1162" i="47"/>
  <c r="S1420" i="47"/>
  <c r="S1165" i="47"/>
  <c r="S1414" i="47"/>
  <c r="S1409" i="47"/>
  <c r="S1346" i="47"/>
  <c r="S1054" i="47"/>
  <c r="S1185" i="47"/>
  <c r="S1335" i="47"/>
  <c r="S1153" i="47"/>
  <c r="S1151" i="47"/>
  <c r="S1112" i="47"/>
  <c r="S1114" i="47"/>
  <c r="S1043" i="47"/>
  <c r="S1422" i="47"/>
  <c r="S1432" i="47"/>
  <c r="S1412" i="47"/>
  <c r="S1305" i="47"/>
  <c r="S1343" i="47"/>
  <c r="S1062" i="47"/>
  <c r="S1167" i="47"/>
  <c r="S1284" i="47"/>
  <c r="S1369" i="47"/>
  <c r="S1359" i="47"/>
  <c r="S1205" i="47"/>
  <c r="S1458" i="47"/>
  <c r="S1160" i="47"/>
  <c r="S1489" i="47"/>
  <c r="S1200" i="47"/>
  <c r="S1267" i="47"/>
  <c r="S1073" i="47"/>
  <c r="S1096" i="47"/>
  <c r="S1506" i="47"/>
  <c r="S1258" i="47"/>
  <c r="S1111" i="47"/>
  <c r="S1065" i="47"/>
  <c r="S1309" i="47"/>
  <c r="S1217" i="47"/>
  <c r="S1252" i="47"/>
  <c r="S1376" i="47"/>
  <c r="S1031" i="47"/>
  <c r="S1127" i="47"/>
  <c r="S1278" i="47"/>
  <c r="S1197" i="47"/>
  <c r="S1243" i="47"/>
  <c r="S1229" i="47"/>
  <c r="S1238" i="47"/>
  <c r="S1272" i="47"/>
  <c r="S1179" i="47"/>
  <c r="S1290" i="47"/>
  <c r="S1508" i="47"/>
  <c r="S1177" i="47"/>
  <c r="S1399" i="47"/>
  <c r="S1208" i="47"/>
  <c r="S1125" i="47"/>
  <c r="S1454" i="47"/>
  <c r="S1236" i="47"/>
  <c r="S1498" i="47"/>
  <c r="S1333" i="47"/>
  <c r="S1120" i="47"/>
  <c r="S1092" i="47"/>
  <c r="S1479" i="47"/>
  <c r="S1480" i="47"/>
  <c r="S1304" i="47"/>
  <c r="S1145" i="47"/>
  <c r="S1490" i="47"/>
  <c r="S1488" i="47"/>
  <c r="S1354" i="47"/>
  <c r="S1155" i="47"/>
  <c r="S1494" i="47"/>
  <c r="S1228" i="47"/>
  <c r="S1321" i="47"/>
  <c r="S1514" i="47"/>
  <c r="S1350" i="47"/>
  <c r="S1372" i="47"/>
  <c r="S1336" i="47"/>
  <c r="S1453" i="47"/>
  <c r="S1465" i="47"/>
  <c r="S1122" i="47"/>
  <c r="S1130" i="47"/>
  <c r="S1363" i="47"/>
  <c r="S1207" i="47"/>
  <c r="S1046" i="47"/>
  <c r="S1502" i="47"/>
  <c r="S1437" i="47"/>
  <c r="S1393" i="47"/>
  <c r="S1334" i="47"/>
  <c r="S1298" i="47"/>
  <c r="S1289" i="47"/>
  <c r="S1051" i="47"/>
  <c r="S1134" i="47"/>
  <c r="S1451" i="47"/>
  <c r="S1271" i="47"/>
  <c r="S1117" i="47"/>
  <c r="S1247" i="47"/>
  <c r="S1512" i="47"/>
  <c r="S1434" i="47"/>
  <c r="S1299" i="47"/>
  <c r="S1483" i="47"/>
  <c r="S1136" i="47"/>
  <c r="S1389" i="47"/>
  <c r="S1482" i="47"/>
  <c r="S1218" i="47"/>
  <c r="S1101" i="47"/>
  <c r="S1327" i="47"/>
  <c r="S1140" i="47"/>
  <c r="S1429" i="47"/>
  <c r="S1102" i="47"/>
  <c r="S1473" i="47"/>
  <c r="S1079" i="47"/>
  <c r="S1123" i="47"/>
  <c r="S1057" i="47"/>
  <c r="S1086" i="47"/>
  <c r="S1478" i="47"/>
  <c r="S1139" i="47"/>
  <c r="S1406" i="47"/>
  <c r="S1358" i="47"/>
  <c r="S1047" i="47"/>
  <c r="S1464" i="47"/>
  <c r="S1221" i="47"/>
  <c r="S1341" i="47"/>
  <c r="S1475" i="47"/>
  <c r="S1282" i="47"/>
  <c r="S1084" i="47"/>
  <c r="S1320" i="47"/>
  <c r="S1463" i="47"/>
  <c r="S1265" i="47"/>
  <c r="S1230" i="47"/>
  <c r="S1192" i="47"/>
  <c r="S1513" i="47"/>
  <c r="S1078" i="47"/>
  <c r="S1491" i="47"/>
  <c r="S1106" i="47"/>
  <c r="S1316" i="47"/>
  <c r="S1255" i="47"/>
  <c r="S1210" i="47"/>
  <c r="S1202" i="47"/>
  <c r="S1443" i="47"/>
  <c r="S1371" i="47"/>
  <c r="S1154" i="47"/>
  <c r="S1397" i="47"/>
  <c r="S1163" i="47"/>
  <c r="S1137" i="47"/>
  <c r="S1245" i="47"/>
  <c r="S1288" i="47"/>
  <c r="S1064" i="47"/>
  <c r="S1276" i="47"/>
  <c r="S1417" i="47"/>
  <c r="S1348" i="47"/>
  <c r="S1306" i="47"/>
  <c r="S1214" i="47"/>
  <c r="S1225" i="47"/>
  <c r="S1091" i="47"/>
  <c r="S1308" i="47"/>
  <c r="S1440" i="47"/>
  <c r="S1215" i="47"/>
  <c r="S1386" i="47"/>
  <c r="S1183" i="47"/>
  <c r="S1203" i="47"/>
  <c r="S1191" i="47"/>
  <c r="S1323" i="47"/>
  <c r="S1277" i="47"/>
  <c r="S1408" i="47"/>
  <c r="S1231" i="47"/>
  <c r="S1222" i="47"/>
  <c r="S1256" i="47"/>
  <c r="S1113" i="47"/>
  <c r="S1428" i="47"/>
  <c r="S1325" i="47"/>
  <c r="S1262" i="47"/>
  <c r="S1345" i="47"/>
  <c r="S1184" i="47"/>
  <c r="S1067" i="47"/>
  <c r="S1427" i="47"/>
  <c r="S1413" i="47"/>
  <c r="S1355" i="47"/>
  <c r="S1418" i="47"/>
  <c r="S1097" i="47"/>
  <c r="S1382" i="47"/>
  <c r="S1213" i="47"/>
  <c r="S1063" i="47"/>
  <c r="S1392" i="47"/>
  <c r="S1030" i="47"/>
  <c r="S8" i="34"/>
  <c r="W8" i="34"/>
  <c r="Z245" i="22"/>
  <c r="Z336" i="22"/>
  <c r="AA329" i="22"/>
  <c r="AA336" i="22"/>
  <c r="AA96" i="22"/>
  <c r="AA245" i="22"/>
  <c r="U96" i="22"/>
  <c r="W96" i="22" s="1"/>
  <c r="AA333" i="22"/>
  <c r="U333" i="22"/>
  <c r="W333" i="22" s="1"/>
  <c r="V8" i="47"/>
  <c r="W8" i="47" s="1"/>
  <c r="V9" i="47" s="1"/>
  <c r="W9" i="47" s="1"/>
  <c r="AG473" i="47"/>
  <c r="AG346" i="47"/>
  <c r="AJ346" i="47" s="1"/>
  <c r="AG157" i="47"/>
  <c r="AG225" i="47"/>
  <c r="AH225" i="47" s="1"/>
  <c r="AI225" i="47" s="1"/>
  <c r="AG199" i="47"/>
  <c r="AG155" i="47"/>
  <c r="AG206" i="47"/>
  <c r="AG441" i="47"/>
  <c r="AG134" i="47"/>
  <c r="AJ134" i="47" s="1"/>
  <c r="AG601" i="47"/>
  <c r="AG233" i="47"/>
  <c r="AG376" i="47"/>
  <c r="AG323" i="47"/>
  <c r="AG495" i="47"/>
  <c r="AJ495" i="47" s="1"/>
  <c r="AG388" i="47"/>
  <c r="AG168" i="47"/>
  <c r="AG232" i="47"/>
  <c r="AJ232" i="47" s="1"/>
  <c r="AG586" i="47"/>
  <c r="AG448" i="47"/>
  <c r="AG421" i="47"/>
  <c r="AG253" i="47"/>
  <c r="AJ253" i="47" s="1"/>
  <c r="AG580" i="47"/>
  <c r="AG494" i="47"/>
  <c r="AJ494" i="47" s="1"/>
  <c r="AG202" i="47"/>
  <c r="AG604" i="47"/>
  <c r="AG136" i="47"/>
  <c r="AJ136" i="47" s="1"/>
  <c r="AG237" i="47"/>
  <c r="AG582" i="47"/>
  <c r="AG304" i="47"/>
  <c r="AG548" i="47"/>
  <c r="AG260" i="47"/>
  <c r="AG344" i="47"/>
  <c r="AG361" i="47"/>
  <c r="AG290" i="47"/>
  <c r="AG257" i="47"/>
  <c r="AG599" i="47"/>
  <c r="AG535" i="47"/>
  <c r="AG541" i="47"/>
  <c r="AJ541" i="47" s="1"/>
  <c r="AG209" i="47"/>
  <c r="AJ209" i="47" s="1"/>
  <c r="AG533" i="47"/>
  <c r="AG573" i="47"/>
  <c r="AG311" i="47"/>
  <c r="AG447" i="47"/>
  <c r="AG398" i="47"/>
  <c r="AG611" i="47"/>
  <c r="AG286" i="47"/>
  <c r="AJ286" i="47" s="1"/>
  <c r="AG512" i="47"/>
  <c r="AG166" i="47"/>
  <c r="AG193" i="47"/>
  <c r="AG296" i="47"/>
  <c r="AG572" i="47"/>
  <c r="AG297" i="47"/>
  <c r="AJ297" i="47" s="1"/>
  <c r="AG235" i="47"/>
  <c r="AG590" i="47"/>
  <c r="AG579" i="47"/>
  <c r="AG329" i="47"/>
  <c r="AG291" i="47"/>
  <c r="AG523" i="47"/>
  <c r="AJ523" i="47" s="1"/>
  <c r="AG126" i="47"/>
  <c r="AG306" i="47"/>
  <c r="AH306" i="47" s="1"/>
  <c r="AI306" i="47" s="1"/>
  <c r="AG179" i="47"/>
  <c r="AG320" i="47"/>
  <c r="AG140" i="47"/>
  <c r="AJ140" i="47" s="1"/>
  <c r="AG458" i="47"/>
  <c r="AG503" i="47"/>
  <c r="AJ503" i="47" s="1"/>
  <c r="AG268" i="47"/>
  <c r="AG217" i="47"/>
  <c r="AG411" i="47"/>
  <c r="AG247" i="47"/>
  <c r="AG496" i="47"/>
  <c r="AG215" i="47"/>
  <c r="AJ215" i="47" s="1"/>
  <c r="AG407" i="47"/>
  <c r="AJ407" i="47" s="1"/>
  <c r="AG317" i="47"/>
  <c r="AG345" i="47"/>
  <c r="AG377" i="47"/>
  <c r="AG531" i="47"/>
  <c r="AG194" i="47"/>
  <c r="AG432" i="47"/>
  <c r="AG488" i="47"/>
  <c r="AG219" i="47"/>
  <c r="AG310" i="47"/>
  <c r="AG159" i="47"/>
  <c r="AJ159" i="47" s="1"/>
  <c r="AG350" i="47"/>
  <c r="AG403" i="47"/>
  <c r="AG446" i="47"/>
  <c r="AG530" i="47"/>
  <c r="AH530" i="47" s="1"/>
  <c r="AI530" i="47" s="1"/>
  <c r="AG347" i="47"/>
  <c r="AG167" i="47"/>
  <c r="AG282" i="47"/>
  <c r="AG563" i="47"/>
  <c r="AH563" i="47" s="1"/>
  <c r="AI563" i="47" s="1"/>
  <c r="AG211" i="47"/>
  <c r="AG603" i="47"/>
  <c r="AG316" i="47"/>
  <c r="AG207" i="47"/>
  <c r="AJ207" i="47" s="1"/>
  <c r="AG551" i="47"/>
  <c r="AG280" i="47"/>
  <c r="AG174" i="47"/>
  <c r="AJ174" i="47" s="1"/>
  <c r="AG319" i="47"/>
  <c r="AG477" i="47"/>
  <c r="AH477" i="47" s="1"/>
  <c r="AI477" i="47" s="1"/>
  <c r="AG545" i="47"/>
  <c r="AG197" i="47"/>
  <c r="AH197" i="47" s="1"/>
  <c r="AI197" i="47" s="1"/>
  <c r="AG334" i="47"/>
  <c r="AG518" i="47"/>
  <c r="AG251" i="47"/>
  <c r="AH251" i="47" s="1"/>
  <c r="AI251" i="47" s="1"/>
  <c r="AG592" i="47"/>
  <c r="AG397" i="47"/>
  <c r="AG516" i="47"/>
  <c r="AG395" i="47"/>
  <c r="AG240" i="47"/>
  <c r="AG226" i="47"/>
  <c r="AG321" i="47"/>
  <c r="AH321" i="47" s="1"/>
  <c r="AI321" i="47" s="1"/>
  <c r="AG220" i="47"/>
  <c r="AH220" i="47" s="1"/>
  <c r="AI220" i="47" s="1"/>
  <c r="AG222" i="47"/>
  <c r="AH222" i="47" s="1"/>
  <c r="AI222" i="47" s="1"/>
  <c r="AG517" i="47"/>
  <c r="AG241" i="47"/>
  <c r="AH241" i="47" s="1"/>
  <c r="AI241" i="47" s="1"/>
  <c r="AG363" i="47"/>
  <c r="AG149" i="47"/>
  <c r="AJ149" i="47" s="1"/>
  <c r="AG362" i="47"/>
  <c r="AG589" i="47"/>
  <c r="AG367" i="47"/>
  <c r="AG208" i="47"/>
  <c r="AG416" i="47"/>
  <c r="AJ416" i="47" s="1"/>
  <c r="AG294" i="47"/>
  <c r="AG160" i="47"/>
  <c r="AG340" i="47"/>
  <c r="AG250" i="47"/>
  <c r="AJ250" i="47" s="1"/>
  <c r="AG163" i="47"/>
  <c r="AG165" i="47"/>
  <c r="AG420" i="47"/>
  <c r="AG359" i="47"/>
  <c r="AG132" i="47"/>
  <c r="AG228" i="47"/>
  <c r="AG439" i="47"/>
  <c r="AG526" i="47"/>
  <c r="AG236" i="47"/>
  <c r="AG328" i="47"/>
  <c r="AJ328" i="47" s="1"/>
  <c r="AG557" i="47"/>
  <c r="AJ557" i="47" s="1"/>
  <c r="AG386" i="47"/>
  <c r="AG509" i="47"/>
  <c r="AJ509" i="47" s="1"/>
  <c r="AG499" i="47"/>
  <c r="AG566" i="47"/>
  <c r="AG408" i="47"/>
  <c r="AJ408" i="47" s="1"/>
  <c r="AG571" i="47"/>
  <c r="AJ571" i="47" s="1"/>
  <c r="AG606" i="47"/>
  <c r="AG299" i="47"/>
  <c r="AG431" i="47"/>
  <c r="AJ431" i="47" s="1"/>
  <c r="AG332" i="47"/>
  <c r="AG239" i="47"/>
  <c r="AG567" i="47"/>
  <c r="AJ567" i="47" s="1"/>
  <c r="AG464" i="47"/>
  <c r="AG284" i="47"/>
  <c r="AG613" i="47"/>
  <c r="AH613" i="47" s="1"/>
  <c r="AI613" i="47" s="1"/>
  <c r="AG273" i="47"/>
  <c r="AG283" i="47"/>
  <c r="AH283" i="47" s="1"/>
  <c r="AI283" i="47" s="1"/>
  <c r="AG609" i="47"/>
  <c r="AG338" i="47"/>
  <c r="AG505" i="47"/>
  <c r="AJ505" i="47" s="1"/>
  <c r="AG399" i="47"/>
  <c r="AH399" i="47" s="1"/>
  <c r="AI399" i="47" s="1"/>
  <c r="AG221" i="47"/>
  <c r="AG525" i="47"/>
  <c r="AG274" i="47"/>
  <c r="AG440" i="47"/>
  <c r="AG148" i="47"/>
  <c r="AG443" i="47"/>
  <c r="AG227" i="47"/>
  <c r="AG218" i="47"/>
  <c r="AJ218" i="47" s="1"/>
  <c r="AG339" i="47"/>
  <c r="AG152" i="47"/>
  <c r="AG506" i="47"/>
  <c r="AJ506" i="47" s="1"/>
  <c r="AG460" i="47"/>
  <c r="AG264" i="47"/>
  <c r="AJ264" i="47" s="1"/>
  <c r="AG161" i="47"/>
  <c r="AG430" i="47"/>
  <c r="AG424" i="47"/>
  <c r="AG391" i="47"/>
  <c r="AG145" i="47"/>
  <c r="AJ145" i="47" s="1"/>
  <c r="AG368" i="47"/>
  <c r="AJ368" i="47" s="1"/>
  <c r="AG173" i="47"/>
  <c r="AG263" i="47"/>
  <c r="AJ263" i="47" s="1"/>
  <c r="AG429" i="47"/>
  <c r="AG178" i="47"/>
  <c r="AG380" i="47"/>
  <c r="AG583" i="47"/>
  <c r="AJ583" i="47" s="1"/>
  <c r="AG348" i="47"/>
  <c r="AG404" i="47"/>
  <c r="AJ404" i="47" s="1"/>
  <c r="AG442" i="47"/>
  <c r="AG474" i="47"/>
  <c r="AG314" i="47"/>
  <c r="AG459" i="47"/>
  <c r="AG379" i="47"/>
  <c r="AG425" i="47"/>
  <c r="AJ425" i="47" s="1"/>
  <c r="AG312" i="47"/>
  <c r="AG183" i="47"/>
  <c r="AJ183" i="47" s="1"/>
  <c r="AG326" i="47"/>
  <c r="AG200" i="47"/>
  <c r="AG478" i="47"/>
  <c r="AJ478" i="47" s="1"/>
  <c r="AG289" i="47"/>
  <c r="AJ289" i="47" s="1"/>
  <c r="AG598" i="47"/>
  <c r="AG349" i="47"/>
  <c r="AG423" i="47"/>
  <c r="AG315" i="47"/>
  <c r="AG335" i="47"/>
  <c r="AJ335" i="47" s="1"/>
  <c r="AG454" i="47"/>
  <c r="AG426" i="47"/>
  <c r="AG610" i="47"/>
  <c r="AG301" i="47"/>
  <c r="AJ301" i="47" s="1"/>
  <c r="AG305" i="47"/>
  <c r="AG542" i="47"/>
  <c r="AG455" i="47"/>
  <c r="AG138" i="47"/>
  <c r="AJ138" i="47" s="1"/>
  <c r="AG466" i="47"/>
  <c r="AG405" i="47"/>
  <c r="AG133" i="47"/>
  <c r="AG500" i="47"/>
  <c r="AJ500" i="47" s="1"/>
  <c r="AG313" i="47"/>
  <c r="AG177" i="47"/>
  <c r="AG415" i="47"/>
  <c r="AG451" i="47"/>
  <c r="AG270" i="47"/>
  <c r="AG351" i="47"/>
  <c r="AG565" i="47"/>
  <c r="AJ565" i="47" s="1"/>
  <c r="AG265" i="47"/>
  <c r="AJ265" i="47" s="1"/>
  <c r="AG234" i="47"/>
  <c r="AG546" i="47"/>
  <c r="AJ546" i="47" s="1"/>
  <c r="AG543" i="47"/>
  <c r="AG576" i="47"/>
  <c r="AJ576" i="47" s="1"/>
  <c r="AG307" i="47"/>
  <c r="AJ307" i="47" s="1"/>
  <c r="AG378" i="47"/>
  <c r="AG342" i="47"/>
  <c r="AG491" i="47"/>
  <c r="AG520" i="47"/>
  <c r="AG135" i="47"/>
  <c r="AG127" i="47"/>
  <c r="AG184" i="47"/>
  <c r="AJ184" i="47" s="1"/>
  <c r="AG322" i="47"/>
  <c r="AG267" i="47"/>
  <c r="AG422" i="47"/>
  <c r="AG574" i="47"/>
  <c r="AG469" i="47"/>
  <c r="AG192" i="47"/>
  <c r="AJ192" i="47" s="1"/>
  <c r="AG513" i="47"/>
  <c r="AJ513" i="47" s="1"/>
  <c r="AG510" i="47"/>
  <c r="AG607" i="47"/>
  <c r="AG357" i="47"/>
  <c r="AJ357" i="47" s="1"/>
  <c r="AG204" i="47"/>
  <c r="AJ204" i="47" s="1"/>
  <c r="AG578" i="47"/>
  <c r="AJ578" i="47" s="1"/>
  <c r="AG554" i="47"/>
  <c r="AG558" i="47"/>
  <c r="AG243" i="47"/>
  <c r="AG164" i="47"/>
  <c r="AJ164" i="47" s="1"/>
  <c r="AG150" i="47"/>
  <c r="AG272" i="47"/>
  <c r="AG552" i="47"/>
  <c r="AG564" i="47"/>
  <c r="AG547" i="47"/>
  <c r="AG214" i="47"/>
  <c r="AJ214" i="47" s="1"/>
  <c r="AG591" i="47"/>
  <c r="AG171" i="47"/>
  <c r="AG524" i="47"/>
  <c r="AH524" i="47" s="1"/>
  <c r="AI524" i="47" s="1"/>
  <c r="AG213" i="47"/>
  <c r="AG341" i="47"/>
  <c r="AH341" i="47" s="1"/>
  <c r="AI341" i="47" s="1"/>
  <c r="AG452" i="47"/>
  <c r="AG355" i="47"/>
  <c r="AG406" i="47"/>
  <c r="AJ406" i="47" s="1"/>
  <c r="AG508" i="47"/>
  <c r="AG128" i="47"/>
  <c r="AG437" i="47"/>
  <c r="AG143" i="47"/>
  <c r="AJ143" i="47" s="1"/>
  <c r="AG475" i="47"/>
  <c r="AG353" i="47"/>
  <c r="AG570" i="47"/>
  <c r="AG302" i="47"/>
  <c r="AJ302" i="47" s="1"/>
  <c r="AG238" i="47"/>
  <c r="AG369" i="47"/>
  <c r="AG245" i="47"/>
  <c r="AG387" i="47"/>
  <c r="AG575" i="47"/>
  <c r="AG130" i="47"/>
  <c r="AG577" i="47"/>
  <c r="AG258" i="47"/>
  <c r="AG480" i="47"/>
  <c r="AG300" i="47"/>
  <c r="AJ300" i="47" s="1"/>
  <c r="AG383" i="47"/>
  <c r="AG597" i="47"/>
  <c r="AJ597" i="47" s="1"/>
  <c r="AG528" i="47"/>
  <c r="AG358" i="47"/>
  <c r="AG476" i="47"/>
  <c r="AG539" i="47"/>
  <c r="AG502" i="47"/>
  <c r="AG457" i="47"/>
  <c r="AJ457" i="47" s="1"/>
  <c r="AG231" i="47"/>
  <c r="AG396" i="47"/>
  <c r="AJ396" i="47" s="1"/>
  <c r="AG224" i="47"/>
  <c r="AG191" i="47"/>
  <c r="AG330" i="47"/>
  <c r="AJ330" i="47" s="1"/>
  <c r="AG142" i="47"/>
  <c r="AG487" i="47"/>
  <c r="AJ487" i="47" s="1"/>
  <c r="AG413" i="47"/>
  <c r="AJ413" i="47" s="1"/>
  <c r="AG468" i="47"/>
  <c r="AG333" i="47"/>
  <c r="AG212" i="47"/>
  <c r="AG170" i="47"/>
  <c r="AG175" i="47"/>
  <c r="AG556" i="47"/>
  <c r="AJ556" i="47" s="1"/>
  <c r="AG553" i="47"/>
  <c r="AG327" i="47"/>
  <c r="AG507" i="47"/>
  <c r="AG400" i="47"/>
  <c r="AG481" i="47"/>
  <c r="AG470" i="47"/>
  <c r="AJ470" i="47" s="1"/>
  <c r="AG256" i="47"/>
  <c r="AG139" i="47"/>
  <c r="AG519" i="47"/>
  <c r="AG515" i="47"/>
  <c r="AG596" i="47"/>
  <c r="AG336" i="47"/>
  <c r="AG532" i="47"/>
  <c r="AG354" i="47"/>
  <c r="AJ354" i="47" s="1"/>
  <c r="AG298" i="47"/>
  <c r="AJ298" i="47" s="1"/>
  <c r="AG562" i="47"/>
  <c r="AG409" i="47"/>
  <c r="AG252" i="47"/>
  <c r="AH252" i="47" s="1"/>
  <c r="AI252" i="47" s="1"/>
  <c r="AG449" i="47"/>
  <c r="AJ449" i="47" s="1"/>
  <c r="AG612" i="47"/>
  <c r="AG593" i="47"/>
  <c r="AG602" i="47"/>
  <c r="AG504" i="47"/>
  <c r="AG153" i="47"/>
  <c r="AJ153" i="47" s="1"/>
  <c r="AG501" i="47"/>
  <c r="AG162" i="47"/>
  <c r="AG600" i="47"/>
  <c r="AG486" i="47"/>
  <c r="AJ486" i="47" s="1"/>
  <c r="AG614" i="47"/>
  <c r="AG352" i="47"/>
  <c r="AG587" i="47"/>
  <c r="AJ587" i="47" s="1"/>
  <c r="AG471" i="47"/>
  <c r="AG169" i="47"/>
  <c r="AG242" i="47"/>
  <c r="AG303" i="47"/>
  <c r="AJ303" i="47" s="1"/>
  <c r="AG196" i="47"/>
  <c r="AG522" i="47"/>
  <c r="AG325" i="47"/>
  <c r="AJ325" i="47" s="1"/>
  <c r="AG555" i="47"/>
  <c r="AG176" i="47"/>
  <c r="AG595" i="47"/>
  <c r="AJ595" i="47" s="1"/>
  <c r="AG434" i="47"/>
  <c r="AG275" i="47"/>
  <c r="AJ275" i="47" s="1"/>
  <c r="AG343" i="47"/>
  <c r="AG180" i="47"/>
  <c r="AG249" i="47"/>
  <c r="AJ249" i="47" s="1"/>
  <c r="AG438" i="47"/>
  <c r="AG373" i="47"/>
  <c r="AJ373" i="47" s="1"/>
  <c r="AG581" i="47"/>
  <c r="AG216" i="47"/>
  <c r="AG365" i="47"/>
  <c r="AG337" i="47"/>
  <c r="AG585" i="47"/>
  <c r="AG467" i="47"/>
  <c r="AG293" i="47"/>
  <c r="AG187" i="47"/>
  <c r="AG261" i="47"/>
  <c r="AG594" i="47"/>
  <c r="AG188" i="47"/>
  <c r="AG269" i="47"/>
  <c r="AG278" i="47"/>
  <c r="AJ278" i="47" s="1"/>
  <c r="AG538" i="47"/>
  <c r="AG540" i="47"/>
  <c r="AG154" i="47"/>
  <c r="AG444" i="47"/>
  <c r="AG246" i="47"/>
  <c r="AJ246" i="47" s="1"/>
  <c r="AG309" i="47"/>
  <c r="AG534" i="47"/>
  <c r="AG277" i="47"/>
  <c r="AG374" i="47"/>
  <c r="AG295" i="47"/>
  <c r="AJ295" i="47" s="1"/>
  <c r="AG244" i="47"/>
  <c r="AG608" i="47"/>
  <c r="AG292" i="47"/>
  <c r="AG433" i="47"/>
  <c r="AJ433" i="47" s="1"/>
  <c r="AG529" i="47"/>
  <c r="AG137" i="47"/>
  <c r="AG205" i="47"/>
  <c r="AG588" i="47"/>
  <c r="AG381" i="47"/>
  <c r="AG144" i="47"/>
  <c r="AJ144" i="47" s="1"/>
  <c r="AG288" i="47"/>
  <c r="AG402" i="47"/>
  <c r="AG410" i="47"/>
  <c r="AG527" i="47"/>
  <c r="AJ527" i="47" s="1"/>
  <c r="AG561" i="47"/>
  <c r="AG181" i="47"/>
  <c r="AJ181" i="47" s="1"/>
  <c r="AG146" i="47"/>
  <c r="AG436" i="47"/>
  <c r="AJ436" i="47" s="1"/>
  <c r="AG521" i="47"/>
  <c r="AG182" i="47"/>
  <c r="AG360" i="47"/>
  <c r="AG385" i="47"/>
  <c r="AG390" i="47"/>
  <c r="AG185" i="47"/>
  <c r="AG229" i="47"/>
  <c r="AG472" i="47"/>
  <c r="AG536" i="47"/>
  <c r="AG255" i="47"/>
  <c r="AJ255" i="47" s="1"/>
  <c r="AG189" i="47"/>
  <c r="AG489" i="47"/>
  <c r="AG366" i="47"/>
  <c r="AG370" i="47"/>
  <c r="AG435" i="47"/>
  <c r="AJ435" i="47" s="1"/>
  <c r="AG223" i="47"/>
  <c r="AG485" i="47"/>
  <c r="AG511" i="47"/>
  <c r="AG394" i="47"/>
  <c r="AH394" i="47" s="1"/>
  <c r="AI394" i="47" s="1"/>
  <c r="AG569" i="47"/>
  <c r="AG248" i="47"/>
  <c r="AG198" i="47"/>
  <c r="AG559" i="47"/>
  <c r="AJ559" i="47" s="1"/>
  <c r="AG375" i="47"/>
  <c r="AG419" i="47"/>
  <c r="AG287" i="47"/>
  <c r="AJ287" i="47" s="1"/>
  <c r="AG537" i="47"/>
  <c r="AJ537" i="47" s="1"/>
  <c r="AG482" i="47"/>
  <c r="AJ482" i="47" s="1"/>
  <c r="AG147" i="47"/>
  <c r="AJ147" i="47" s="1"/>
  <c r="AG201" i="47"/>
  <c r="AG254" i="47"/>
  <c r="AG156" i="47"/>
  <c r="AG324" i="47"/>
  <c r="AG364" i="47"/>
  <c r="AJ364" i="47" s="1"/>
  <c r="AG271" i="47"/>
  <c r="AJ271" i="47" s="1"/>
  <c r="AG279" i="47"/>
  <c r="AG393" i="47"/>
  <c r="AG492" i="47"/>
  <c r="AG483" i="47"/>
  <c r="AJ483" i="47" s="1"/>
  <c r="AG389" i="47"/>
  <c r="AJ389" i="47" s="1"/>
  <c r="AG331" i="47"/>
  <c r="AG461" i="47"/>
  <c r="AJ461" i="47" s="1"/>
  <c r="AG372" i="47"/>
  <c r="AG203" i="47"/>
  <c r="AG371" i="47"/>
  <c r="AG418" i="47"/>
  <c r="AG308" i="47"/>
  <c r="AG186" i="47"/>
  <c r="AG490" i="47"/>
  <c r="AG382" i="47"/>
  <c r="AG568" i="47"/>
  <c r="AG584" i="47"/>
  <c r="AG276" i="47"/>
  <c r="AG417" i="47"/>
  <c r="AG484" i="47"/>
  <c r="AJ484" i="47" s="1"/>
  <c r="AG356" i="47"/>
  <c r="AJ356" i="47" s="1"/>
  <c r="AG158" i="47"/>
  <c r="AG453" i="47"/>
  <c r="AJ453" i="47" s="1"/>
  <c r="AG401" i="47"/>
  <c r="AG544" i="47"/>
  <c r="AG605" i="47"/>
  <c r="AG210" i="47"/>
  <c r="AG230" i="47"/>
  <c r="AG195" i="47"/>
  <c r="AG550" i="47"/>
  <c r="AG259" i="47"/>
  <c r="AJ259" i="47" s="1"/>
  <c r="AG498" i="47"/>
  <c r="AG414" i="47"/>
  <c r="AG456" i="47"/>
  <c r="AJ456" i="47" s="1"/>
  <c r="AG450" i="47"/>
  <c r="AJ450" i="47" s="1"/>
  <c r="AG172" i="47"/>
  <c r="AG384" i="47"/>
  <c r="AG428" i="47"/>
  <c r="AG412" i="47"/>
  <c r="AG462" i="47"/>
  <c r="AG281" i="47"/>
  <c r="AG479" i="47"/>
  <c r="AG151" i="47"/>
  <c r="AG463" i="47"/>
  <c r="AG497" i="47"/>
  <c r="AG131" i="47"/>
  <c r="AG514" i="47"/>
  <c r="AG445" i="47"/>
  <c r="AG318" i="47"/>
  <c r="AG129" i="47"/>
  <c r="AG266" i="47"/>
  <c r="AG465" i="47"/>
  <c r="AG549" i="47"/>
  <c r="AG262" i="47"/>
  <c r="AJ262" i="47" s="1"/>
  <c r="AG285" i="47"/>
  <c r="AG560" i="47"/>
  <c r="AG493" i="47"/>
  <c r="AG141" i="47"/>
  <c r="AJ141" i="47" s="1"/>
  <c r="AG427" i="47"/>
  <c r="AG392" i="47"/>
  <c r="AG190" i="47"/>
  <c r="AJ190" i="47" s="1"/>
  <c r="AR96" i="22"/>
  <c r="AR333" i="22"/>
  <c r="AR336" i="22"/>
  <c r="AR245" i="22"/>
  <c r="AJ615" i="47" l="1"/>
  <c r="AK615" i="47" s="1"/>
  <c r="AM615" i="47" s="1"/>
  <c r="Y333" i="22"/>
  <c r="Z333" i="22" s="1"/>
  <c r="Y96" i="22"/>
  <c r="Z96" i="22" s="1"/>
  <c r="AH140" i="47"/>
  <c r="AI140" i="47" s="1"/>
  <c r="AH583" i="47"/>
  <c r="AI583" i="47" s="1"/>
  <c r="AK583" i="47" s="1"/>
  <c r="AM583" i="47" s="1"/>
  <c r="AH264" i="47"/>
  <c r="AI264" i="47" s="1"/>
  <c r="AK264" i="47" s="1"/>
  <c r="AM264" i="47" s="1"/>
  <c r="AH209" i="47"/>
  <c r="AI209" i="47" s="1"/>
  <c r="AK209" i="47" s="1"/>
  <c r="AN209" i="47" s="1"/>
  <c r="AJ321" i="47"/>
  <c r="AK321" i="47" s="1"/>
  <c r="AM321" i="47" s="1"/>
  <c r="AJ197" i="47"/>
  <c r="AK197" i="47" s="1"/>
  <c r="AM197" i="47" s="1"/>
  <c r="AH404" i="47"/>
  <c r="AI404" i="47" s="1"/>
  <c r="AK404" i="47" s="1"/>
  <c r="AM404" i="47" s="1"/>
  <c r="V10" i="47"/>
  <c r="W10" i="47" s="1"/>
  <c r="V11" i="47" s="1"/>
  <c r="AH301" i="47"/>
  <c r="AI301" i="47" s="1"/>
  <c r="AK301" i="47" s="1"/>
  <c r="AM301" i="47" s="1"/>
  <c r="AH431" i="47"/>
  <c r="AI431" i="47" s="1"/>
  <c r="AK431" i="47" s="1"/>
  <c r="AM431" i="47" s="1"/>
  <c r="AH136" i="47"/>
  <c r="AI136" i="47" s="1"/>
  <c r="AK136" i="47" s="1"/>
  <c r="AN136" i="47" s="1"/>
  <c r="AH495" i="47"/>
  <c r="AI495" i="47" s="1"/>
  <c r="AK495" i="47" s="1"/>
  <c r="AH541" i="47"/>
  <c r="AI541" i="47" s="1"/>
  <c r="AK541" i="47" s="1"/>
  <c r="AM541" i="47" s="1"/>
  <c r="AH346" i="47"/>
  <c r="AI346" i="47" s="1"/>
  <c r="AK346" i="47" s="1"/>
  <c r="AN346" i="47" s="1"/>
  <c r="AJ222" i="47"/>
  <c r="AK222" i="47" s="1"/>
  <c r="AM222" i="47" s="1"/>
  <c r="AJ530" i="47"/>
  <c r="AK530" i="47" s="1"/>
  <c r="AM530" i="47" s="1"/>
  <c r="AH537" i="47"/>
  <c r="AI537" i="47" s="1"/>
  <c r="AK537" i="47" s="1"/>
  <c r="AM537" i="47" s="1"/>
  <c r="AH389" i="47"/>
  <c r="AI389" i="47" s="1"/>
  <c r="AK389" i="47" s="1"/>
  <c r="AM389" i="47" s="1"/>
  <c r="AH482" i="47"/>
  <c r="AI482" i="47" s="1"/>
  <c r="AK482" i="47" s="1"/>
  <c r="AM482" i="47" s="1"/>
  <c r="AH144" i="47"/>
  <c r="AI144" i="47" s="1"/>
  <c r="AK144" i="47" s="1"/>
  <c r="AM144" i="47" s="1"/>
  <c r="AH513" i="47"/>
  <c r="AI513" i="47" s="1"/>
  <c r="AK513" i="47" s="1"/>
  <c r="AM513" i="47" s="1"/>
  <c r="AH435" i="47"/>
  <c r="AI435" i="47" s="1"/>
  <c r="AK435" i="47" s="1"/>
  <c r="AM435" i="47" s="1"/>
  <c r="AH406" i="47"/>
  <c r="AI406" i="47" s="1"/>
  <c r="AK406" i="47" s="1"/>
  <c r="AM406" i="47" s="1"/>
  <c r="AH192" i="47"/>
  <c r="AI192" i="47" s="1"/>
  <c r="AK192" i="47" s="1"/>
  <c r="AM192" i="47" s="1"/>
  <c r="AJ241" i="47"/>
  <c r="AK241" i="47" s="1"/>
  <c r="AM241" i="47" s="1"/>
  <c r="AH567" i="47"/>
  <c r="AI567" i="47" s="1"/>
  <c r="AK567" i="47" s="1"/>
  <c r="AM567" i="47" s="1"/>
  <c r="AH557" i="47"/>
  <c r="AI557" i="47" s="1"/>
  <c r="AK557" i="47" s="1"/>
  <c r="AM557" i="47" s="1"/>
  <c r="AH330" i="47"/>
  <c r="AI330" i="47" s="1"/>
  <c r="AK330" i="47" s="1"/>
  <c r="AM330" i="47" s="1"/>
  <c r="AH503" i="47"/>
  <c r="AI503" i="47" s="1"/>
  <c r="AK503" i="47" s="1"/>
  <c r="AM503" i="47" s="1"/>
  <c r="AH509" i="47"/>
  <c r="AI509" i="47" s="1"/>
  <c r="AK509" i="47" s="1"/>
  <c r="AN509" i="47" s="1"/>
  <c r="AH232" i="47"/>
  <c r="AI232" i="47" s="1"/>
  <c r="AK232" i="47" s="1"/>
  <c r="AN232" i="47" s="1"/>
  <c r="AH289" i="47"/>
  <c r="AI289" i="47" s="1"/>
  <c r="AK289" i="47" s="1"/>
  <c r="AM289" i="47" s="1"/>
  <c r="AH303" i="47"/>
  <c r="AI303" i="47" s="1"/>
  <c r="AK303" i="47" s="1"/>
  <c r="AM303" i="47" s="1"/>
  <c r="AH145" i="47"/>
  <c r="AI145" i="47" s="1"/>
  <c r="AK145" i="47" s="1"/>
  <c r="AM145" i="47" s="1"/>
  <c r="AJ251" i="47"/>
  <c r="AK251" i="47" s="1"/>
  <c r="AM251" i="47" s="1"/>
  <c r="AH457" i="47"/>
  <c r="AI457" i="47" s="1"/>
  <c r="AK457" i="47" s="1"/>
  <c r="AM457" i="47" s="1"/>
  <c r="AK140" i="47"/>
  <c r="AM140" i="47" s="1"/>
  <c r="AH483" i="47"/>
  <c r="AI483" i="47" s="1"/>
  <c r="AK483" i="47" s="1"/>
  <c r="AM483" i="47" s="1"/>
  <c r="AH249" i="47"/>
  <c r="AI249" i="47" s="1"/>
  <c r="AK249" i="47" s="1"/>
  <c r="AM249" i="47" s="1"/>
  <c r="AH147" i="47"/>
  <c r="AI147" i="47" s="1"/>
  <c r="AK147" i="47" s="1"/>
  <c r="AM147" i="47" s="1"/>
  <c r="AH287" i="47"/>
  <c r="AI287" i="47" s="1"/>
  <c r="AK287" i="47" s="1"/>
  <c r="AM287" i="47" s="1"/>
  <c r="AH523" i="47"/>
  <c r="AI523" i="47" s="1"/>
  <c r="AK523" i="47" s="1"/>
  <c r="AM523" i="47" s="1"/>
  <c r="AH159" i="47"/>
  <c r="AI159" i="47" s="1"/>
  <c r="AK159" i="47" s="1"/>
  <c r="AM159" i="47" s="1"/>
  <c r="AH487" i="47"/>
  <c r="AI487" i="47" s="1"/>
  <c r="AK487" i="47" s="1"/>
  <c r="AM487" i="47" s="1"/>
  <c r="AH218" i="47"/>
  <c r="AI218" i="47" s="1"/>
  <c r="AK218" i="47" s="1"/>
  <c r="AM218" i="47" s="1"/>
  <c r="AJ283" i="47"/>
  <c r="AK283" i="47" s="1"/>
  <c r="AM283" i="47" s="1"/>
  <c r="AH207" i="47"/>
  <c r="AI207" i="47" s="1"/>
  <c r="AK207" i="47" s="1"/>
  <c r="AM207" i="47" s="1"/>
  <c r="AH408" i="47"/>
  <c r="AI408" i="47" s="1"/>
  <c r="AK408" i="47" s="1"/>
  <c r="AM408" i="47" s="1"/>
  <c r="AH286" i="47"/>
  <c r="AI286" i="47" s="1"/>
  <c r="AK286" i="47" s="1"/>
  <c r="AM286" i="47" s="1"/>
  <c r="AH335" i="47"/>
  <c r="AI335" i="47" s="1"/>
  <c r="AK335" i="47" s="1"/>
  <c r="AM335" i="47" s="1"/>
  <c r="AJ220" i="47"/>
  <c r="AK220" i="47" s="1"/>
  <c r="AM220" i="47" s="1"/>
  <c r="AH373" i="47"/>
  <c r="AI373" i="47" s="1"/>
  <c r="AK373" i="47" s="1"/>
  <c r="AM373" i="47" s="1"/>
  <c r="AH478" i="47"/>
  <c r="AI478" i="47" s="1"/>
  <c r="AK478" i="47" s="1"/>
  <c r="AM478" i="47" s="1"/>
  <c r="AH143" i="47"/>
  <c r="AI143" i="47" s="1"/>
  <c r="AK143" i="47" s="1"/>
  <c r="AM143" i="47" s="1"/>
  <c r="AH214" i="47"/>
  <c r="AI214" i="47" s="1"/>
  <c r="AK214" i="47" s="1"/>
  <c r="AM214" i="47" s="1"/>
  <c r="AH328" i="47"/>
  <c r="AI328" i="47" s="1"/>
  <c r="AK328" i="47" s="1"/>
  <c r="AM328" i="47" s="1"/>
  <c r="AH578" i="47"/>
  <c r="AI578" i="47" s="1"/>
  <c r="AK578" i="47" s="1"/>
  <c r="AM578" i="47" s="1"/>
  <c r="AH325" i="47"/>
  <c r="AI325" i="47" s="1"/>
  <c r="AK325" i="47" s="1"/>
  <c r="AN325" i="47" s="1"/>
  <c r="AH153" i="47"/>
  <c r="AI153" i="47" s="1"/>
  <c r="AK153" i="47" s="1"/>
  <c r="AM153" i="47" s="1"/>
  <c r="AH357" i="47"/>
  <c r="AI357" i="47" s="1"/>
  <c r="AK357" i="47" s="1"/>
  <c r="AM357" i="47" s="1"/>
  <c r="AH354" i="47"/>
  <c r="AI354" i="47" s="1"/>
  <c r="AK354" i="47" s="1"/>
  <c r="AM354" i="47" s="1"/>
  <c r="AJ563" i="47"/>
  <c r="AK563" i="47" s="1"/>
  <c r="AM563" i="47" s="1"/>
  <c r="AH556" i="47"/>
  <c r="AI556" i="47" s="1"/>
  <c r="AK556" i="47" s="1"/>
  <c r="AM556" i="47" s="1"/>
  <c r="AJ225" i="47"/>
  <c r="AK225" i="47" s="1"/>
  <c r="AM225" i="47" s="1"/>
  <c r="AH184" i="47"/>
  <c r="AI184" i="47" s="1"/>
  <c r="AK184" i="47" s="1"/>
  <c r="AM184" i="47" s="1"/>
  <c r="AH259" i="47"/>
  <c r="AI259" i="47" s="1"/>
  <c r="AK259" i="47" s="1"/>
  <c r="AM259" i="47" s="1"/>
  <c r="AH527" i="47"/>
  <c r="AI527" i="47" s="1"/>
  <c r="AK527" i="47" s="1"/>
  <c r="AM527" i="47" s="1"/>
  <c r="AH396" i="47"/>
  <c r="AI396" i="47" s="1"/>
  <c r="AK396" i="47" s="1"/>
  <c r="AM396" i="47" s="1"/>
  <c r="AH265" i="47"/>
  <c r="AI265" i="47" s="1"/>
  <c r="AK265" i="47" s="1"/>
  <c r="AM265" i="47" s="1"/>
  <c r="AH138" i="47"/>
  <c r="AI138" i="47" s="1"/>
  <c r="AK138" i="47" s="1"/>
  <c r="AM138" i="47" s="1"/>
  <c r="AH461" i="47"/>
  <c r="AI461" i="47" s="1"/>
  <c r="AK461" i="47" s="1"/>
  <c r="AM461" i="47" s="1"/>
  <c r="AH295" i="47"/>
  <c r="AI295" i="47" s="1"/>
  <c r="AK295" i="47" s="1"/>
  <c r="AN295" i="47" s="1"/>
  <c r="AH300" i="47"/>
  <c r="AI300" i="47" s="1"/>
  <c r="AK300" i="47" s="1"/>
  <c r="AM300" i="47" s="1"/>
  <c r="AH484" i="47"/>
  <c r="AI484" i="47" s="1"/>
  <c r="AK484" i="47" s="1"/>
  <c r="AM484" i="47" s="1"/>
  <c r="AJ394" i="47"/>
  <c r="AK394" i="47" s="1"/>
  <c r="AM394" i="47" s="1"/>
  <c r="AH565" i="47"/>
  <c r="AI565" i="47" s="1"/>
  <c r="AK565" i="47" s="1"/>
  <c r="AM565" i="47" s="1"/>
  <c r="AH149" i="47"/>
  <c r="AI149" i="47" s="1"/>
  <c r="AK149" i="47" s="1"/>
  <c r="AH204" i="47"/>
  <c r="AI204" i="47" s="1"/>
  <c r="AK204" i="47" s="1"/>
  <c r="AM204" i="47" s="1"/>
  <c r="AH250" i="47"/>
  <c r="AI250" i="47" s="1"/>
  <c r="AK250" i="47" s="1"/>
  <c r="AM250" i="47" s="1"/>
  <c r="AH364" i="47"/>
  <c r="AI364" i="47" s="1"/>
  <c r="AK364" i="47" s="1"/>
  <c r="AM364" i="47" s="1"/>
  <c r="AJ613" i="47"/>
  <c r="AK613" i="47" s="1"/>
  <c r="AM613" i="47" s="1"/>
  <c r="AH450" i="47"/>
  <c r="AI450" i="47" s="1"/>
  <c r="AK450" i="47" s="1"/>
  <c r="AM450" i="47" s="1"/>
  <c r="AJ524" i="47"/>
  <c r="AK524" i="47" s="1"/>
  <c r="AM524" i="47" s="1"/>
  <c r="AH271" i="47"/>
  <c r="AI271" i="47" s="1"/>
  <c r="AK271" i="47" s="1"/>
  <c r="AM271" i="47" s="1"/>
  <c r="AH453" i="47"/>
  <c r="AI453" i="47" s="1"/>
  <c r="AK453" i="47" s="1"/>
  <c r="AM453" i="47" s="1"/>
  <c r="AH298" i="47"/>
  <c r="AI298" i="47" s="1"/>
  <c r="AK298" i="47" s="1"/>
  <c r="AM298" i="47" s="1"/>
  <c r="AH215" i="47"/>
  <c r="AI215" i="47" s="1"/>
  <c r="AK215" i="47" s="1"/>
  <c r="AM215" i="47" s="1"/>
  <c r="AH246" i="47"/>
  <c r="AI246" i="47" s="1"/>
  <c r="AK246" i="47" s="1"/>
  <c r="AM246" i="47" s="1"/>
  <c r="AH141" i="47"/>
  <c r="AI141" i="47" s="1"/>
  <c r="AK141" i="47" s="1"/>
  <c r="AM141" i="47" s="1"/>
  <c r="AH576" i="47"/>
  <c r="AI576" i="47" s="1"/>
  <c r="AK576" i="47" s="1"/>
  <c r="AM576" i="47" s="1"/>
  <c r="AH368" i="47"/>
  <c r="AI368" i="47" s="1"/>
  <c r="AK368" i="47" s="1"/>
  <c r="AM368" i="47" s="1"/>
  <c r="AH253" i="47"/>
  <c r="AI253" i="47" s="1"/>
  <c r="AK253" i="47" s="1"/>
  <c r="AM253" i="47" s="1"/>
  <c r="AH456" i="47"/>
  <c r="AI456" i="47" s="1"/>
  <c r="AK456" i="47" s="1"/>
  <c r="AM456" i="47" s="1"/>
  <c r="AH559" i="47"/>
  <c r="AI559" i="47" s="1"/>
  <c r="AK559" i="47" s="1"/>
  <c r="AM559" i="47" s="1"/>
  <c r="AH546" i="47"/>
  <c r="AI546" i="47" s="1"/>
  <c r="AK546" i="47" s="1"/>
  <c r="AM546" i="47" s="1"/>
  <c r="AH134" i="47"/>
  <c r="AI134" i="47" s="1"/>
  <c r="AK134" i="47" s="1"/>
  <c r="AM134" i="47" s="1"/>
  <c r="AH494" i="47"/>
  <c r="AI494" i="47" s="1"/>
  <c r="AK494" i="47" s="1"/>
  <c r="AM494" i="47" s="1"/>
  <c r="AH500" i="47"/>
  <c r="AI500" i="47" s="1"/>
  <c r="AK500" i="47" s="1"/>
  <c r="AM500" i="47" s="1"/>
  <c r="AH470" i="47"/>
  <c r="AI470" i="47" s="1"/>
  <c r="AK470" i="47" s="1"/>
  <c r="AM470" i="47" s="1"/>
  <c r="AH571" i="47"/>
  <c r="AI571" i="47" s="1"/>
  <c r="AK571" i="47" s="1"/>
  <c r="AM571" i="47" s="1"/>
  <c r="AH587" i="47"/>
  <c r="AI587" i="47" s="1"/>
  <c r="AK587" i="47" s="1"/>
  <c r="AM587" i="47" s="1"/>
  <c r="AH174" i="47"/>
  <c r="AI174" i="47" s="1"/>
  <c r="AK174" i="47" s="1"/>
  <c r="AM174" i="47" s="1"/>
  <c r="AH436" i="47"/>
  <c r="AI436" i="47" s="1"/>
  <c r="AK436" i="47" s="1"/>
  <c r="AM436" i="47" s="1"/>
  <c r="AH449" i="47"/>
  <c r="AI449" i="47" s="1"/>
  <c r="AK449" i="47" s="1"/>
  <c r="AM449" i="47" s="1"/>
  <c r="AH505" i="47"/>
  <c r="AI505" i="47" s="1"/>
  <c r="AK505" i="47" s="1"/>
  <c r="AH275" i="47"/>
  <c r="AI275" i="47" s="1"/>
  <c r="AK275" i="47" s="1"/>
  <c r="AM275" i="47" s="1"/>
  <c r="AH183" i="47"/>
  <c r="AI183" i="47" s="1"/>
  <c r="AK183" i="47" s="1"/>
  <c r="AM183" i="47" s="1"/>
  <c r="AJ341" i="47"/>
  <c r="AK341" i="47" s="1"/>
  <c r="AH255" i="47"/>
  <c r="AI255" i="47" s="1"/>
  <c r="AK255" i="47" s="1"/>
  <c r="AM255" i="47" s="1"/>
  <c r="AH595" i="47"/>
  <c r="AI595" i="47" s="1"/>
  <c r="AK595" i="47" s="1"/>
  <c r="AM595" i="47" s="1"/>
  <c r="AH181" i="47"/>
  <c r="AI181" i="47" s="1"/>
  <c r="AK181" i="47" s="1"/>
  <c r="AN181" i="47" s="1"/>
  <c r="AJ306" i="47"/>
  <c r="AK306" i="47" s="1"/>
  <c r="AH433" i="47"/>
  <c r="AI433" i="47" s="1"/>
  <c r="AK433" i="47" s="1"/>
  <c r="AM433" i="47" s="1"/>
  <c r="AH356" i="47"/>
  <c r="AI356" i="47" s="1"/>
  <c r="AK356" i="47" s="1"/>
  <c r="AM356" i="47" s="1"/>
  <c r="AH307" i="47"/>
  <c r="AI307" i="47" s="1"/>
  <c r="AK307" i="47" s="1"/>
  <c r="AM307" i="47" s="1"/>
  <c r="AH425" i="47"/>
  <c r="AI425" i="47" s="1"/>
  <c r="AK425" i="47" s="1"/>
  <c r="AM425" i="47" s="1"/>
  <c r="AJ252" i="47"/>
  <c r="AK252" i="47" s="1"/>
  <c r="AH413" i="47"/>
  <c r="AI413" i="47" s="1"/>
  <c r="AK413" i="47" s="1"/>
  <c r="AM413" i="47" s="1"/>
  <c r="AH263" i="47"/>
  <c r="AI263" i="47" s="1"/>
  <c r="AK263" i="47" s="1"/>
  <c r="AM263" i="47" s="1"/>
  <c r="AH164" i="47"/>
  <c r="AI164" i="47" s="1"/>
  <c r="AK164" i="47" s="1"/>
  <c r="AM164" i="47" s="1"/>
  <c r="AJ477" i="47"/>
  <c r="AK477" i="47" s="1"/>
  <c r="AH262" i="47"/>
  <c r="AI262" i="47" s="1"/>
  <c r="AK262" i="47" s="1"/>
  <c r="AM262" i="47" s="1"/>
  <c r="AJ399" i="47"/>
  <c r="AK399" i="47" s="1"/>
  <c r="AM399" i="47" s="1"/>
  <c r="AH506" i="47"/>
  <c r="AI506" i="47" s="1"/>
  <c r="AK506" i="47" s="1"/>
  <c r="AM506" i="47" s="1"/>
  <c r="AH486" i="47"/>
  <c r="AI486" i="47" s="1"/>
  <c r="AK486" i="47" s="1"/>
  <c r="AM486" i="47" s="1"/>
  <c r="AH597" i="47"/>
  <c r="AI597" i="47" s="1"/>
  <c r="AK597" i="47" s="1"/>
  <c r="AM597" i="47" s="1"/>
  <c r="AH297" i="47"/>
  <c r="AI297" i="47" s="1"/>
  <c r="AK297" i="47" s="1"/>
  <c r="AM297" i="47" s="1"/>
  <c r="AH302" i="47"/>
  <c r="AI302" i="47" s="1"/>
  <c r="AK302" i="47" s="1"/>
  <c r="AM302" i="47" s="1"/>
  <c r="AH190" i="47"/>
  <c r="AH416" i="47"/>
  <c r="AI416" i="47" s="1"/>
  <c r="AK416" i="47" s="1"/>
  <c r="AM416" i="47" s="1"/>
  <c r="AH407" i="47"/>
  <c r="AI407" i="47" s="1"/>
  <c r="AK407" i="47" s="1"/>
  <c r="AM407" i="47" s="1"/>
  <c r="AM346" i="47"/>
  <c r="AN192" i="47"/>
  <c r="AM495" i="47"/>
  <c r="AN495" i="47"/>
  <c r="AH318" i="47"/>
  <c r="AI318" i="47" s="1"/>
  <c r="AJ318" i="47"/>
  <c r="AH185" i="47"/>
  <c r="AI185" i="47" s="1"/>
  <c r="AJ185" i="47"/>
  <c r="AH612" i="47"/>
  <c r="AI612" i="47" s="1"/>
  <c r="AJ612" i="47"/>
  <c r="AH469" i="47"/>
  <c r="AI469" i="47" s="1"/>
  <c r="AJ469" i="47"/>
  <c r="AH526" i="47"/>
  <c r="AI526" i="47" s="1"/>
  <c r="AJ526" i="47"/>
  <c r="AH445" i="47"/>
  <c r="AI445" i="47" s="1"/>
  <c r="AJ445" i="47"/>
  <c r="AH172" i="47"/>
  <c r="AI172" i="47" s="1"/>
  <c r="AJ172" i="47"/>
  <c r="AH417" i="47"/>
  <c r="AI417" i="47" s="1"/>
  <c r="AJ417" i="47"/>
  <c r="AH331" i="47"/>
  <c r="AI331" i="47" s="1"/>
  <c r="AJ331" i="47"/>
  <c r="AH569" i="47"/>
  <c r="AI569" i="47" s="1"/>
  <c r="AJ569" i="47"/>
  <c r="AH390" i="47"/>
  <c r="AI390" i="47" s="1"/>
  <c r="AJ390" i="47"/>
  <c r="AH205" i="47"/>
  <c r="AI205" i="47" s="1"/>
  <c r="AJ205" i="47"/>
  <c r="AH540" i="47"/>
  <c r="AI540" i="47" s="1"/>
  <c r="AJ540" i="47"/>
  <c r="AH337" i="47"/>
  <c r="AI337" i="47" s="1"/>
  <c r="AJ337" i="47"/>
  <c r="AH242" i="47"/>
  <c r="AI242" i="47" s="1"/>
  <c r="AJ242" i="47"/>
  <c r="AH409" i="47"/>
  <c r="AI409" i="47" s="1"/>
  <c r="AJ409" i="47"/>
  <c r="AH327" i="47"/>
  <c r="AI327" i="47" s="1"/>
  <c r="AJ327" i="47"/>
  <c r="AH539" i="47"/>
  <c r="AI539" i="47" s="1"/>
  <c r="AJ539" i="47"/>
  <c r="AH369" i="47"/>
  <c r="AI369" i="47" s="1"/>
  <c r="AJ369" i="47"/>
  <c r="AH591" i="47"/>
  <c r="AI591" i="47" s="1"/>
  <c r="AJ591" i="47"/>
  <c r="AH574" i="47"/>
  <c r="AI574" i="47" s="1"/>
  <c r="AJ574" i="47"/>
  <c r="AH351" i="47"/>
  <c r="AI351" i="47" s="1"/>
  <c r="AJ351" i="47"/>
  <c r="AH610" i="47"/>
  <c r="AI610" i="47" s="1"/>
  <c r="AJ610" i="47"/>
  <c r="AH314" i="47"/>
  <c r="AI314" i="47" s="1"/>
  <c r="AJ314" i="47"/>
  <c r="AH460" i="47"/>
  <c r="AI460" i="47" s="1"/>
  <c r="AJ460" i="47"/>
  <c r="AH273" i="47"/>
  <c r="AI273" i="47" s="1"/>
  <c r="AJ273" i="47"/>
  <c r="AH439" i="47"/>
  <c r="AI439" i="47" s="1"/>
  <c r="AJ439" i="47"/>
  <c r="AH599" i="47"/>
  <c r="AI599" i="47" s="1"/>
  <c r="AJ599" i="47"/>
  <c r="AH421" i="47"/>
  <c r="AI421" i="47" s="1"/>
  <c r="AJ421" i="47"/>
  <c r="AH473" i="47"/>
  <c r="AI473" i="47" s="1"/>
  <c r="AJ473" i="47"/>
  <c r="AH395" i="47"/>
  <c r="AI395" i="47" s="1"/>
  <c r="AJ395" i="47"/>
  <c r="AH211" i="47"/>
  <c r="AI211" i="47" s="1"/>
  <c r="AJ211" i="47"/>
  <c r="AH217" i="47"/>
  <c r="AI217" i="47" s="1"/>
  <c r="AJ217" i="47"/>
  <c r="AH377" i="47"/>
  <c r="AI377" i="47" s="1"/>
  <c r="AJ377" i="47"/>
  <c r="AH247" i="47"/>
  <c r="AI247" i="47" s="1"/>
  <c r="AJ247" i="47"/>
  <c r="AH235" i="47"/>
  <c r="AI235" i="47" s="1"/>
  <c r="AJ235" i="47"/>
  <c r="AH154" i="47"/>
  <c r="AI154" i="47" s="1"/>
  <c r="AJ154" i="47"/>
  <c r="AH507" i="47"/>
  <c r="AI507" i="47" s="1"/>
  <c r="AJ507" i="47"/>
  <c r="AH234" i="47"/>
  <c r="AI234" i="47" s="1"/>
  <c r="AJ234" i="47"/>
  <c r="AH161" i="47"/>
  <c r="AI161" i="47" s="1"/>
  <c r="AJ161" i="47"/>
  <c r="AH533" i="47"/>
  <c r="AI533" i="47" s="1"/>
  <c r="AJ533" i="47"/>
  <c r="AH240" i="47"/>
  <c r="AI240" i="47" s="1"/>
  <c r="AJ240" i="47"/>
  <c r="AH219" i="47"/>
  <c r="AI219" i="47" s="1"/>
  <c r="AJ219" i="47"/>
  <c r="AH514" i="47"/>
  <c r="AI514" i="47" s="1"/>
  <c r="AJ514" i="47"/>
  <c r="AH414" i="47"/>
  <c r="AI414" i="47" s="1"/>
  <c r="AJ414" i="47"/>
  <c r="AH276" i="47"/>
  <c r="AI276" i="47" s="1"/>
  <c r="AJ276" i="47"/>
  <c r="AH492" i="47"/>
  <c r="AI492" i="47" s="1"/>
  <c r="AJ492" i="47"/>
  <c r="AH511" i="47"/>
  <c r="AI511" i="47" s="1"/>
  <c r="AJ511" i="47"/>
  <c r="AH385" i="47"/>
  <c r="AI385" i="47" s="1"/>
  <c r="AJ385" i="47"/>
  <c r="AH137" i="47"/>
  <c r="AI137" i="47" s="1"/>
  <c r="AJ137" i="47"/>
  <c r="AH311" i="47"/>
  <c r="AI311" i="47" s="1"/>
  <c r="AJ311" i="47"/>
  <c r="AH365" i="47"/>
  <c r="AI365" i="47" s="1"/>
  <c r="AJ365" i="47"/>
  <c r="AH169" i="47"/>
  <c r="AI169" i="47" s="1"/>
  <c r="AJ169" i="47"/>
  <c r="AH562" i="47"/>
  <c r="AI562" i="47" s="1"/>
  <c r="AJ562" i="47"/>
  <c r="AH553" i="47"/>
  <c r="AI553" i="47" s="1"/>
  <c r="AJ553" i="47"/>
  <c r="AH476" i="47"/>
  <c r="AI476" i="47" s="1"/>
  <c r="AJ476" i="47"/>
  <c r="AH238" i="47"/>
  <c r="AI238" i="47" s="1"/>
  <c r="AJ238" i="47"/>
  <c r="AH547" i="47"/>
  <c r="AI547" i="47" s="1"/>
  <c r="AJ547" i="47"/>
  <c r="AH422" i="47"/>
  <c r="AI422" i="47" s="1"/>
  <c r="AJ422" i="47"/>
  <c r="AH270" i="47"/>
  <c r="AI270" i="47" s="1"/>
  <c r="AJ270" i="47"/>
  <c r="AH426" i="47"/>
  <c r="AI426" i="47" s="1"/>
  <c r="AJ426" i="47"/>
  <c r="AH474" i="47"/>
  <c r="AI474" i="47" s="1"/>
  <c r="AJ474" i="47"/>
  <c r="AH152" i="47"/>
  <c r="AI152" i="47" s="1"/>
  <c r="AJ152" i="47"/>
  <c r="AH284" i="47"/>
  <c r="AI284" i="47" s="1"/>
  <c r="AJ284" i="47"/>
  <c r="AH228" i="47"/>
  <c r="AI228" i="47" s="1"/>
  <c r="AJ228" i="47"/>
  <c r="AH344" i="47"/>
  <c r="AI344" i="47" s="1"/>
  <c r="AJ344" i="47"/>
  <c r="AH441" i="47"/>
  <c r="AI441" i="47" s="1"/>
  <c r="AJ441" i="47"/>
  <c r="AH535" i="47"/>
  <c r="AI535" i="47" s="1"/>
  <c r="AJ535" i="47"/>
  <c r="AH516" i="47"/>
  <c r="AI516" i="47" s="1"/>
  <c r="AJ516" i="47"/>
  <c r="AH282" i="47"/>
  <c r="AI282" i="47" s="1"/>
  <c r="AJ282" i="47"/>
  <c r="AH579" i="47"/>
  <c r="AI579" i="47" s="1"/>
  <c r="AJ579" i="47"/>
  <c r="AH320" i="47"/>
  <c r="AI320" i="47" s="1"/>
  <c r="AJ320" i="47"/>
  <c r="AH291" i="47"/>
  <c r="AI291" i="47" s="1"/>
  <c r="AJ291" i="47"/>
  <c r="AH392" i="47"/>
  <c r="AI392" i="47" s="1"/>
  <c r="AJ392" i="47"/>
  <c r="AH131" i="47"/>
  <c r="AI131" i="47" s="1"/>
  <c r="AJ131" i="47"/>
  <c r="AH498" i="47"/>
  <c r="AI498" i="47" s="1"/>
  <c r="AJ498" i="47"/>
  <c r="AH584" i="47"/>
  <c r="AI584" i="47" s="1"/>
  <c r="AJ584" i="47"/>
  <c r="AH393" i="47"/>
  <c r="AI393" i="47" s="1"/>
  <c r="AJ393" i="47"/>
  <c r="AH485" i="47"/>
  <c r="AI485" i="47" s="1"/>
  <c r="AJ485" i="47"/>
  <c r="AH360" i="47"/>
  <c r="AI360" i="47" s="1"/>
  <c r="AJ360" i="47"/>
  <c r="AH529" i="47"/>
  <c r="AI529" i="47" s="1"/>
  <c r="AJ529" i="47"/>
  <c r="AH538" i="47"/>
  <c r="AI538" i="47" s="1"/>
  <c r="AJ538" i="47"/>
  <c r="AH216" i="47"/>
  <c r="AI216" i="47" s="1"/>
  <c r="AJ216" i="47"/>
  <c r="AH471" i="47"/>
  <c r="AI471" i="47" s="1"/>
  <c r="AJ471" i="47"/>
  <c r="AH532" i="47"/>
  <c r="AI532" i="47" s="1"/>
  <c r="AJ532" i="47"/>
  <c r="AH175" i="47"/>
  <c r="AI175" i="47" s="1"/>
  <c r="AJ175" i="47"/>
  <c r="AH358" i="47"/>
  <c r="AI358" i="47" s="1"/>
  <c r="AJ358" i="47"/>
  <c r="AH570" i="47"/>
  <c r="AI570" i="47" s="1"/>
  <c r="AJ570" i="47"/>
  <c r="AH564" i="47"/>
  <c r="AI564" i="47" s="1"/>
  <c r="AJ564" i="47"/>
  <c r="AH267" i="47"/>
  <c r="AI267" i="47" s="1"/>
  <c r="AJ267" i="47"/>
  <c r="AH451" i="47"/>
  <c r="AI451" i="47" s="1"/>
  <c r="AJ451" i="47"/>
  <c r="AH454" i="47"/>
  <c r="AI454" i="47" s="1"/>
  <c r="AJ454" i="47"/>
  <c r="AH442" i="47"/>
  <c r="AI442" i="47" s="1"/>
  <c r="AJ442" i="47"/>
  <c r="AH339" i="47"/>
  <c r="AI339" i="47" s="1"/>
  <c r="AJ339" i="47"/>
  <c r="AH464" i="47"/>
  <c r="AI464" i="47" s="1"/>
  <c r="AJ464" i="47"/>
  <c r="AH132" i="47"/>
  <c r="AI132" i="47" s="1"/>
  <c r="AJ132" i="47"/>
  <c r="AH582" i="47"/>
  <c r="AI582" i="47" s="1"/>
  <c r="AJ582" i="47"/>
  <c r="AH206" i="47"/>
  <c r="AI206" i="47" s="1"/>
  <c r="AJ206" i="47"/>
  <c r="AH361" i="47"/>
  <c r="AI361" i="47" s="1"/>
  <c r="AJ361" i="47"/>
  <c r="AH397" i="47"/>
  <c r="AI397" i="47" s="1"/>
  <c r="AJ397" i="47"/>
  <c r="AH167" i="47"/>
  <c r="AI167" i="47" s="1"/>
  <c r="AJ167" i="47"/>
  <c r="AH573" i="47"/>
  <c r="AI573" i="47" s="1"/>
  <c r="AJ573" i="47"/>
  <c r="AH193" i="47"/>
  <c r="AI193" i="47" s="1"/>
  <c r="AJ193" i="47"/>
  <c r="AH398" i="47"/>
  <c r="AI398" i="47" s="1"/>
  <c r="AJ398" i="47"/>
  <c r="AH248" i="47"/>
  <c r="AI248" i="47" s="1"/>
  <c r="AJ248" i="47"/>
  <c r="AH502" i="47"/>
  <c r="AI502" i="47" s="1"/>
  <c r="AJ502" i="47"/>
  <c r="AH427" i="47"/>
  <c r="AI427" i="47" s="1"/>
  <c r="AJ427" i="47"/>
  <c r="AH497" i="47"/>
  <c r="AI497" i="47" s="1"/>
  <c r="AJ497" i="47"/>
  <c r="AH550" i="47"/>
  <c r="AI550" i="47" s="1"/>
  <c r="AJ550" i="47"/>
  <c r="AH568" i="47"/>
  <c r="AI568" i="47" s="1"/>
  <c r="AJ568" i="47"/>
  <c r="AH279" i="47"/>
  <c r="AI279" i="47" s="1"/>
  <c r="AJ279" i="47"/>
  <c r="AH223" i="47"/>
  <c r="AI223" i="47" s="1"/>
  <c r="AJ223" i="47"/>
  <c r="AH182" i="47"/>
  <c r="AI182" i="47" s="1"/>
  <c r="AJ182" i="47"/>
  <c r="AH292" i="47"/>
  <c r="AI292" i="47" s="1"/>
  <c r="AJ292" i="47"/>
  <c r="AH278" i="47"/>
  <c r="AI278" i="47" s="1"/>
  <c r="AH581" i="47"/>
  <c r="AI581" i="47" s="1"/>
  <c r="AJ581" i="47"/>
  <c r="AH352" i="47"/>
  <c r="AI352" i="47" s="1"/>
  <c r="AJ352" i="47"/>
  <c r="AH336" i="47"/>
  <c r="AI336" i="47" s="1"/>
  <c r="AJ336" i="47"/>
  <c r="AH170" i="47"/>
  <c r="AI170" i="47" s="1"/>
  <c r="AJ170" i="47"/>
  <c r="AH528" i="47"/>
  <c r="AI528" i="47" s="1"/>
  <c r="AJ528" i="47"/>
  <c r="AH353" i="47"/>
  <c r="AI353" i="47" s="1"/>
  <c r="AJ353" i="47"/>
  <c r="AH552" i="47"/>
  <c r="AI552" i="47" s="1"/>
  <c r="AJ552" i="47"/>
  <c r="AH322" i="47"/>
  <c r="AI322" i="47" s="1"/>
  <c r="AJ322" i="47"/>
  <c r="AH415" i="47"/>
  <c r="AI415" i="47" s="1"/>
  <c r="AJ415" i="47"/>
  <c r="AH315" i="47"/>
  <c r="AI315" i="47" s="1"/>
  <c r="AJ315" i="47"/>
  <c r="AH348" i="47"/>
  <c r="AI348" i="47" s="1"/>
  <c r="AJ348" i="47"/>
  <c r="AH227" i="47"/>
  <c r="AI227" i="47" s="1"/>
  <c r="AJ227" i="47"/>
  <c r="AH239" i="47"/>
  <c r="AI239" i="47" s="1"/>
  <c r="AJ239" i="47"/>
  <c r="AH359" i="47"/>
  <c r="AI359" i="47" s="1"/>
  <c r="AJ359" i="47"/>
  <c r="AH202" i="47"/>
  <c r="AI202" i="47" s="1"/>
  <c r="AJ202" i="47"/>
  <c r="AH155" i="47"/>
  <c r="AI155" i="47" s="1"/>
  <c r="AJ155" i="47"/>
  <c r="AH304" i="47"/>
  <c r="AI304" i="47" s="1"/>
  <c r="AJ304" i="47"/>
  <c r="AH592" i="47"/>
  <c r="AI592" i="47" s="1"/>
  <c r="AJ592" i="47"/>
  <c r="AH347" i="47"/>
  <c r="AI347" i="47" s="1"/>
  <c r="AJ347" i="47"/>
  <c r="AH488" i="47"/>
  <c r="AI488" i="47" s="1"/>
  <c r="AJ488" i="47"/>
  <c r="AH345" i="47"/>
  <c r="AI345" i="47" s="1"/>
  <c r="AJ345" i="47"/>
  <c r="AH493" i="47"/>
  <c r="AI493" i="47" s="1"/>
  <c r="AJ493" i="47"/>
  <c r="AH463" i="47"/>
  <c r="AI463" i="47" s="1"/>
  <c r="AJ463" i="47"/>
  <c r="AH195" i="47"/>
  <c r="AI195" i="47" s="1"/>
  <c r="AJ195" i="47"/>
  <c r="AH382" i="47"/>
  <c r="AI382" i="47" s="1"/>
  <c r="AJ382" i="47"/>
  <c r="AH324" i="47"/>
  <c r="AI324" i="47" s="1"/>
  <c r="AJ324" i="47"/>
  <c r="AH370" i="47"/>
  <c r="AI370" i="47" s="1"/>
  <c r="AJ370" i="47"/>
  <c r="AH521" i="47"/>
  <c r="AI521" i="47" s="1"/>
  <c r="AJ521" i="47"/>
  <c r="AH608" i="47"/>
  <c r="AI608" i="47" s="1"/>
  <c r="AJ608" i="47"/>
  <c r="AH269" i="47"/>
  <c r="AI269" i="47" s="1"/>
  <c r="AJ269" i="47"/>
  <c r="AH438" i="47"/>
  <c r="AI438" i="47" s="1"/>
  <c r="AJ438" i="47"/>
  <c r="AH614" i="47"/>
  <c r="AI614" i="47" s="1"/>
  <c r="AJ614" i="47"/>
  <c r="AH596" i="47"/>
  <c r="AI596" i="47" s="1"/>
  <c r="AJ596" i="47"/>
  <c r="AH212" i="47"/>
  <c r="AI212" i="47" s="1"/>
  <c r="AJ212" i="47"/>
  <c r="AH383" i="47"/>
  <c r="AI383" i="47" s="1"/>
  <c r="AJ383" i="47"/>
  <c r="AH475" i="47"/>
  <c r="AI475" i="47" s="1"/>
  <c r="AJ475" i="47"/>
  <c r="AH272" i="47"/>
  <c r="AI272" i="47" s="1"/>
  <c r="AJ272" i="47"/>
  <c r="AH127" i="47"/>
  <c r="AI127" i="47" s="1"/>
  <c r="AJ127" i="47"/>
  <c r="AH177" i="47"/>
  <c r="AI177" i="47" s="1"/>
  <c r="AJ177" i="47"/>
  <c r="AH423" i="47"/>
  <c r="AI423" i="47" s="1"/>
  <c r="AJ423" i="47"/>
  <c r="AH380" i="47"/>
  <c r="AI380" i="47" s="1"/>
  <c r="AJ380" i="47"/>
  <c r="AH443" i="47"/>
  <c r="AI443" i="47" s="1"/>
  <c r="AJ443" i="47"/>
  <c r="AH332" i="47"/>
  <c r="AI332" i="47" s="1"/>
  <c r="AJ332" i="47"/>
  <c r="AH420" i="47"/>
  <c r="AI420" i="47" s="1"/>
  <c r="AJ420" i="47"/>
  <c r="AH586" i="47"/>
  <c r="AI586" i="47" s="1"/>
  <c r="AJ586" i="47"/>
  <c r="AH199" i="47"/>
  <c r="AI199" i="47" s="1"/>
  <c r="AJ199" i="47"/>
  <c r="AH604" i="47"/>
  <c r="AI604" i="47" s="1"/>
  <c r="AJ604" i="47"/>
  <c r="AH518" i="47"/>
  <c r="AI518" i="47" s="1"/>
  <c r="AJ518" i="47"/>
  <c r="AH446" i="47"/>
  <c r="AI446" i="47" s="1"/>
  <c r="AJ446" i="47"/>
  <c r="AH268" i="47"/>
  <c r="AI268" i="47" s="1"/>
  <c r="AJ268" i="47"/>
  <c r="AH179" i="47"/>
  <c r="AI179" i="47" s="1"/>
  <c r="AJ179" i="47"/>
  <c r="AH560" i="47"/>
  <c r="AI560" i="47" s="1"/>
  <c r="AJ560" i="47"/>
  <c r="AH151" i="47"/>
  <c r="AI151" i="47" s="1"/>
  <c r="AJ151" i="47"/>
  <c r="AH230" i="47"/>
  <c r="AI230" i="47" s="1"/>
  <c r="AJ230" i="47"/>
  <c r="AH490" i="47"/>
  <c r="AI490" i="47" s="1"/>
  <c r="AJ490" i="47"/>
  <c r="AH156" i="47"/>
  <c r="AI156" i="47" s="1"/>
  <c r="AJ156" i="47"/>
  <c r="AH366" i="47"/>
  <c r="AI366" i="47" s="1"/>
  <c r="AJ366" i="47"/>
  <c r="AH146" i="47"/>
  <c r="AI146" i="47" s="1"/>
  <c r="AJ146" i="47"/>
  <c r="AH244" i="47"/>
  <c r="AI244" i="47" s="1"/>
  <c r="AJ244" i="47"/>
  <c r="AH188" i="47"/>
  <c r="AI188" i="47" s="1"/>
  <c r="AJ188" i="47"/>
  <c r="AH180" i="47"/>
  <c r="AI180" i="47" s="1"/>
  <c r="AJ180" i="47"/>
  <c r="AH600" i="47"/>
  <c r="AI600" i="47" s="1"/>
  <c r="AJ600" i="47"/>
  <c r="AH515" i="47"/>
  <c r="AI515" i="47" s="1"/>
  <c r="AJ515" i="47"/>
  <c r="AH333" i="47"/>
  <c r="AI333" i="47" s="1"/>
  <c r="AJ333" i="47"/>
  <c r="AH480" i="47"/>
  <c r="AI480" i="47" s="1"/>
  <c r="AJ480" i="47"/>
  <c r="AH437" i="47"/>
  <c r="AI437" i="47" s="1"/>
  <c r="AJ437" i="47"/>
  <c r="AH150" i="47"/>
  <c r="AI150" i="47" s="1"/>
  <c r="AJ150" i="47"/>
  <c r="AH135" i="47"/>
  <c r="AI135" i="47" s="1"/>
  <c r="AJ135" i="47"/>
  <c r="AH313" i="47"/>
  <c r="AI313" i="47" s="1"/>
  <c r="AJ313" i="47"/>
  <c r="AH349" i="47"/>
  <c r="AI349" i="47" s="1"/>
  <c r="AJ349" i="47"/>
  <c r="AH178" i="47"/>
  <c r="AI178" i="47" s="1"/>
  <c r="AJ178" i="47"/>
  <c r="AH148" i="47"/>
  <c r="AI148" i="47" s="1"/>
  <c r="AJ148" i="47"/>
  <c r="AH299" i="47"/>
  <c r="AI299" i="47" s="1"/>
  <c r="AJ299" i="47"/>
  <c r="AH165" i="47"/>
  <c r="AI165" i="47" s="1"/>
  <c r="AJ165" i="47"/>
  <c r="AH376" i="47"/>
  <c r="AI376" i="47" s="1"/>
  <c r="AJ376" i="47"/>
  <c r="AH290" i="47"/>
  <c r="AI290" i="47" s="1"/>
  <c r="AJ290" i="47"/>
  <c r="AH367" i="47"/>
  <c r="AI367" i="47" s="1"/>
  <c r="AJ367" i="47"/>
  <c r="AH334" i="47"/>
  <c r="AI334" i="47" s="1"/>
  <c r="AJ334" i="47"/>
  <c r="AH403" i="47"/>
  <c r="AI403" i="47" s="1"/>
  <c r="AJ403" i="47"/>
  <c r="AH590" i="47"/>
  <c r="AI590" i="47" s="1"/>
  <c r="AJ590" i="47"/>
  <c r="AH166" i="47"/>
  <c r="AI166" i="47" s="1"/>
  <c r="AJ166" i="47"/>
  <c r="AH372" i="47"/>
  <c r="AI372" i="47" s="1"/>
  <c r="AJ372" i="47"/>
  <c r="AH585" i="47"/>
  <c r="AI585" i="47" s="1"/>
  <c r="AJ585" i="47"/>
  <c r="AH171" i="47"/>
  <c r="AI171" i="47" s="1"/>
  <c r="AJ171" i="47"/>
  <c r="AH459" i="47"/>
  <c r="AI459" i="47" s="1"/>
  <c r="AJ459" i="47"/>
  <c r="AH237" i="47"/>
  <c r="AI237" i="47" s="1"/>
  <c r="AJ237" i="47"/>
  <c r="AH285" i="47"/>
  <c r="AI285" i="47" s="1"/>
  <c r="AJ285" i="47"/>
  <c r="AH479" i="47"/>
  <c r="AI479" i="47" s="1"/>
  <c r="AJ479" i="47"/>
  <c r="AH210" i="47"/>
  <c r="AI210" i="47" s="1"/>
  <c r="AJ210" i="47"/>
  <c r="AH186" i="47"/>
  <c r="AI186" i="47" s="1"/>
  <c r="AJ186" i="47"/>
  <c r="AH254" i="47"/>
  <c r="AI254" i="47" s="1"/>
  <c r="AJ254" i="47"/>
  <c r="AH489" i="47"/>
  <c r="AI489" i="47" s="1"/>
  <c r="AJ489" i="47"/>
  <c r="AH561" i="47"/>
  <c r="AI561" i="47" s="1"/>
  <c r="AJ561" i="47"/>
  <c r="AH374" i="47"/>
  <c r="AI374" i="47" s="1"/>
  <c r="AJ374" i="47"/>
  <c r="AH594" i="47"/>
  <c r="AI594" i="47" s="1"/>
  <c r="AJ594" i="47"/>
  <c r="AH343" i="47"/>
  <c r="AI343" i="47" s="1"/>
  <c r="AJ343" i="47"/>
  <c r="AH162" i="47"/>
  <c r="AI162" i="47" s="1"/>
  <c r="AJ162" i="47"/>
  <c r="AH519" i="47"/>
  <c r="AI519" i="47" s="1"/>
  <c r="AJ519" i="47"/>
  <c r="AH468" i="47"/>
  <c r="AI468" i="47" s="1"/>
  <c r="AJ468" i="47"/>
  <c r="AH258" i="47"/>
  <c r="AI258" i="47" s="1"/>
  <c r="AJ258" i="47"/>
  <c r="AH128" i="47"/>
  <c r="AI128" i="47" s="1"/>
  <c r="AJ128" i="47"/>
  <c r="AH243" i="47"/>
  <c r="AI243" i="47" s="1"/>
  <c r="AJ243" i="47"/>
  <c r="AH520" i="47"/>
  <c r="AI520" i="47" s="1"/>
  <c r="AJ520" i="47"/>
  <c r="AH133" i="47"/>
  <c r="AI133" i="47" s="1"/>
  <c r="AJ133" i="47"/>
  <c r="AH598" i="47"/>
  <c r="AI598" i="47" s="1"/>
  <c r="AJ598" i="47"/>
  <c r="AH429" i="47"/>
  <c r="AI429" i="47" s="1"/>
  <c r="AJ429" i="47"/>
  <c r="AH440" i="47"/>
  <c r="AI440" i="47" s="1"/>
  <c r="AJ440" i="47"/>
  <c r="AH606" i="47"/>
  <c r="AI606" i="47" s="1"/>
  <c r="AJ606" i="47"/>
  <c r="AH163" i="47"/>
  <c r="AI163" i="47" s="1"/>
  <c r="AJ163" i="47"/>
  <c r="AH233" i="47"/>
  <c r="AI233" i="47" s="1"/>
  <c r="AJ233" i="47"/>
  <c r="AH548" i="47"/>
  <c r="AI548" i="47" s="1"/>
  <c r="AJ548" i="47"/>
  <c r="AH589" i="47"/>
  <c r="AI589" i="47" s="1"/>
  <c r="AJ589" i="47"/>
  <c r="AH545" i="47"/>
  <c r="AI545" i="47" s="1"/>
  <c r="AJ545" i="47"/>
  <c r="AH350" i="47"/>
  <c r="AI350" i="47" s="1"/>
  <c r="AJ350" i="47"/>
  <c r="AH432" i="47"/>
  <c r="AI432" i="47" s="1"/>
  <c r="AJ432" i="47"/>
  <c r="AH317" i="47"/>
  <c r="AI317" i="47" s="1"/>
  <c r="AJ317" i="47"/>
  <c r="AH384" i="47"/>
  <c r="AI384" i="47" s="1"/>
  <c r="AJ384" i="47"/>
  <c r="AH588" i="47"/>
  <c r="AI588" i="47" s="1"/>
  <c r="AJ588" i="47"/>
  <c r="AH245" i="47"/>
  <c r="AI245" i="47" s="1"/>
  <c r="AJ245" i="47"/>
  <c r="AH305" i="47"/>
  <c r="AI305" i="47" s="1"/>
  <c r="AJ305" i="47"/>
  <c r="AH609" i="47"/>
  <c r="AI609" i="47" s="1"/>
  <c r="AJ609" i="47"/>
  <c r="AH323" i="47"/>
  <c r="AI323" i="47" s="1"/>
  <c r="AJ323" i="47"/>
  <c r="AH603" i="47"/>
  <c r="AI603" i="47" s="1"/>
  <c r="AJ603" i="47"/>
  <c r="AH296" i="47"/>
  <c r="AI296" i="47" s="1"/>
  <c r="AJ296" i="47"/>
  <c r="AH549" i="47"/>
  <c r="AI549" i="47" s="1"/>
  <c r="AJ549" i="47"/>
  <c r="AH281" i="47"/>
  <c r="AI281" i="47" s="1"/>
  <c r="AJ281" i="47"/>
  <c r="AH605" i="47"/>
  <c r="AI605" i="47" s="1"/>
  <c r="AJ605" i="47"/>
  <c r="AH308" i="47"/>
  <c r="AI308" i="47" s="1"/>
  <c r="AJ308" i="47"/>
  <c r="AH201" i="47"/>
  <c r="AI201" i="47" s="1"/>
  <c r="AJ201" i="47"/>
  <c r="AH189" i="47"/>
  <c r="AI189" i="47" s="1"/>
  <c r="AJ189" i="47"/>
  <c r="AH410" i="47"/>
  <c r="AI410" i="47" s="1"/>
  <c r="AJ410" i="47"/>
  <c r="AH277" i="47"/>
  <c r="AI277" i="47" s="1"/>
  <c r="AJ277" i="47"/>
  <c r="AH261" i="47"/>
  <c r="AI261" i="47" s="1"/>
  <c r="AJ261" i="47"/>
  <c r="AH434" i="47"/>
  <c r="AI434" i="47" s="1"/>
  <c r="AJ434" i="47"/>
  <c r="AH501" i="47"/>
  <c r="AI501" i="47" s="1"/>
  <c r="AJ501" i="47"/>
  <c r="AH139" i="47"/>
  <c r="AI139" i="47" s="1"/>
  <c r="AJ139" i="47"/>
  <c r="AH142" i="47"/>
  <c r="AI142" i="47" s="1"/>
  <c r="AJ142" i="47"/>
  <c r="AH577" i="47"/>
  <c r="AI577" i="47" s="1"/>
  <c r="AJ577" i="47"/>
  <c r="AH508" i="47"/>
  <c r="AI508" i="47" s="1"/>
  <c r="AJ508" i="47"/>
  <c r="AH558" i="47"/>
  <c r="AI558" i="47" s="1"/>
  <c r="AJ558" i="47"/>
  <c r="AH491" i="47"/>
  <c r="AI491" i="47" s="1"/>
  <c r="AJ491" i="47"/>
  <c r="AH405" i="47"/>
  <c r="AI405" i="47" s="1"/>
  <c r="AJ405" i="47"/>
  <c r="AH200" i="47"/>
  <c r="AI200" i="47" s="1"/>
  <c r="AJ200" i="47"/>
  <c r="AH173" i="47"/>
  <c r="AI173" i="47" s="1"/>
  <c r="AJ173" i="47"/>
  <c r="AH274" i="47"/>
  <c r="AI274" i="47" s="1"/>
  <c r="AJ274" i="47"/>
  <c r="AH566" i="47"/>
  <c r="AI566" i="47" s="1"/>
  <c r="AJ566" i="47"/>
  <c r="AH340" i="47"/>
  <c r="AI340" i="47" s="1"/>
  <c r="AJ340" i="47"/>
  <c r="AH601" i="47"/>
  <c r="AI601" i="47" s="1"/>
  <c r="AJ601" i="47"/>
  <c r="AH580" i="47"/>
  <c r="AI580" i="47" s="1"/>
  <c r="AJ580" i="47"/>
  <c r="AH362" i="47"/>
  <c r="AI362" i="47" s="1"/>
  <c r="AJ362" i="47"/>
  <c r="AH319" i="47"/>
  <c r="AI319" i="47" s="1"/>
  <c r="AJ319" i="47"/>
  <c r="AH310" i="47"/>
  <c r="AI310" i="47" s="1"/>
  <c r="AJ310" i="47"/>
  <c r="AH194" i="47"/>
  <c r="AI194" i="47" s="1"/>
  <c r="AJ194" i="47"/>
  <c r="AH512" i="47"/>
  <c r="AI512" i="47" s="1"/>
  <c r="AJ512" i="47"/>
  <c r="AH465" i="47"/>
  <c r="AI465" i="47" s="1"/>
  <c r="AJ465" i="47"/>
  <c r="AH462" i="47"/>
  <c r="AI462" i="47" s="1"/>
  <c r="AJ462" i="47"/>
  <c r="AH544" i="47"/>
  <c r="AI544" i="47" s="1"/>
  <c r="AJ544" i="47"/>
  <c r="AH418" i="47"/>
  <c r="AI418" i="47" s="1"/>
  <c r="AJ418" i="47"/>
  <c r="AH419" i="47"/>
  <c r="AI419" i="47" s="1"/>
  <c r="AJ419" i="47"/>
  <c r="AH536" i="47"/>
  <c r="AI536" i="47" s="1"/>
  <c r="AJ536" i="47"/>
  <c r="AH402" i="47"/>
  <c r="AI402" i="47" s="1"/>
  <c r="AJ402" i="47"/>
  <c r="AH534" i="47"/>
  <c r="AI534" i="47" s="1"/>
  <c r="AJ534" i="47"/>
  <c r="AH187" i="47"/>
  <c r="AI187" i="47" s="1"/>
  <c r="AJ187" i="47"/>
  <c r="AH176" i="47"/>
  <c r="AI176" i="47" s="1"/>
  <c r="AJ176" i="47"/>
  <c r="AH504" i="47"/>
  <c r="AI504" i="47" s="1"/>
  <c r="AJ504" i="47"/>
  <c r="AH256" i="47"/>
  <c r="AI256" i="47" s="1"/>
  <c r="AJ256" i="47"/>
  <c r="AH191" i="47"/>
  <c r="AI191" i="47" s="1"/>
  <c r="AJ191" i="47"/>
  <c r="AH130" i="47"/>
  <c r="AI130" i="47" s="1"/>
  <c r="AJ130" i="47"/>
  <c r="AH355" i="47"/>
  <c r="AI355" i="47" s="1"/>
  <c r="AJ355" i="47"/>
  <c r="AH554" i="47"/>
  <c r="AI554" i="47" s="1"/>
  <c r="AJ554" i="47"/>
  <c r="AH342" i="47"/>
  <c r="AI342" i="47" s="1"/>
  <c r="AJ342" i="47"/>
  <c r="AH466" i="47"/>
  <c r="AI466" i="47" s="1"/>
  <c r="AJ466" i="47"/>
  <c r="AH326" i="47"/>
  <c r="AI326" i="47" s="1"/>
  <c r="AJ326" i="47"/>
  <c r="AH391" i="47"/>
  <c r="AI391" i="47" s="1"/>
  <c r="AJ391" i="47"/>
  <c r="AH525" i="47"/>
  <c r="AI525" i="47" s="1"/>
  <c r="AJ525" i="47"/>
  <c r="AH499" i="47"/>
  <c r="AI499" i="47" s="1"/>
  <c r="AJ499" i="47"/>
  <c r="AH160" i="47"/>
  <c r="AI160" i="47" s="1"/>
  <c r="AJ160" i="47"/>
  <c r="AH388" i="47"/>
  <c r="AI388" i="47" s="1"/>
  <c r="AJ388" i="47"/>
  <c r="AH448" i="47"/>
  <c r="AI448" i="47" s="1"/>
  <c r="AJ448" i="47"/>
  <c r="AH363" i="47"/>
  <c r="AI363" i="47" s="1"/>
  <c r="AJ363" i="47"/>
  <c r="AH280" i="47"/>
  <c r="AI280" i="47" s="1"/>
  <c r="AJ280" i="47"/>
  <c r="AH411" i="47"/>
  <c r="AI411" i="47" s="1"/>
  <c r="AJ411" i="47"/>
  <c r="AH458" i="47"/>
  <c r="AI458" i="47" s="1"/>
  <c r="AJ458" i="47"/>
  <c r="AH126" i="47"/>
  <c r="AI126" i="47" s="1"/>
  <c r="AJ126" i="47"/>
  <c r="AH196" i="47"/>
  <c r="AI196" i="47" s="1"/>
  <c r="AJ196" i="47"/>
  <c r="AH266" i="47"/>
  <c r="AI266" i="47" s="1"/>
  <c r="AJ266" i="47"/>
  <c r="AH412" i="47"/>
  <c r="AI412" i="47" s="1"/>
  <c r="AJ412" i="47"/>
  <c r="AH401" i="47"/>
  <c r="AI401" i="47" s="1"/>
  <c r="AJ401" i="47"/>
  <c r="AH371" i="47"/>
  <c r="AI371" i="47" s="1"/>
  <c r="AJ371" i="47"/>
  <c r="AH375" i="47"/>
  <c r="AI375" i="47" s="1"/>
  <c r="AJ375" i="47"/>
  <c r="AH472" i="47"/>
  <c r="AI472" i="47" s="1"/>
  <c r="AJ472" i="47"/>
  <c r="AH288" i="47"/>
  <c r="AI288" i="47" s="1"/>
  <c r="AJ288" i="47"/>
  <c r="AH309" i="47"/>
  <c r="AI309" i="47" s="1"/>
  <c r="AJ309" i="47"/>
  <c r="AH293" i="47"/>
  <c r="AI293" i="47" s="1"/>
  <c r="AJ293" i="47"/>
  <c r="AH555" i="47"/>
  <c r="AI555" i="47" s="1"/>
  <c r="AJ555" i="47"/>
  <c r="AH602" i="47"/>
  <c r="AI602" i="47" s="1"/>
  <c r="AJ602" i="47"/>
  <c r="AH481" i="47"/>
  <c r="AI481" i="47" s="1"/>
  <c r="AJ481" i="47"/>
  <c r="AH224" i="47"/>
  <c r="AI224" i="47" s="1"/>
  <c r="AJ224" i="47"/>
  <c r="AH575" i="47"/>
  <c r="AI575" i="47" s="1"/>
  <c r="AJ575" i="47"/>
  <c r="AH452" i="47"/>
  <c r="AI452" i="47" s="1"/>
  <c r="AJ452" i="47"/>
  <c r="AH607" i="47"/>
  <c r="AI607" i="47" s="1"/>
  <c r="AJ607" i="47"/>
  <c r="AH378" i="47"/>
  <c r="AI378" i="47" s="1"/>
  <c r="AJ378" i="47"/>
  <c r="AH455" i="47"/>
  <c r="AI455" i="47" s="1"/>
  <c r="AJ455" i="47"/>
  <c r="AH312" i="47"/>
  <c r="AI312" i="47" s="1"/>
  <c r="AJ312" i="47"/>
  <c r="AH424" i="47"/>
  <c r="AI424" i="47" s="1"/>
  <c r="AJ424" i="47"/>
  <c r="AH221" i="47"/>
  <c r="AI221" i="47" s="1"/>
  <c r="AJ221" i="47"/>
  <c r="AH386" i="47"/>
  <c r="AI386" i="47" s="1"/>
  <c r="AJ386" i="47"/>
  <c r="AH294" i="47"/>
  <c r="AI294" i="47" s="1"/>
  <c r="AJ294" i="47"/>
  <c r="AH257" i="47"/>
  <c r="AI257" i="47" s="1"/>
  <c r="AJ257" i="47"/>
  <c r="AH168" i="47"/>
  <c r="AI168" i="47" s="1"/>
  <c r="AJ168" i="47"/>
  <c r="AH517" i="47"/>
  <c r="AI517" i="47" s="1"/>
  <c r="AJ517" i="47"/>
  <c r="AH551" i="47"/>
  <c r="AI551" i="47" s="1"/>
  <c r="AJ551" i="47"/>
  <c r="AH329" i="47"/>
  <c r="AI329" i="47" s="1"/>
  <c r="AJ329" i="47"/>
  <c r="AH572" i="47"/>
  <c r="AI572" i="47" s="1"/>
  <c r="AJ572" i="47"/>
  <c r="AH496" i="47"/>
  <c r="AI496" i="47" s="1"/>
  <c r="AJ496" i="47"/>
  <c r="AH129" i="47"/>
  <c r="AI129" i="47" s="1"/>
  <c r="AJ129" i="47"/>
  <c r="AH428" i="47"/>
  <c r="AI428" i="47" s="1"/>
  <c r="AJ428" i="47"/>
  <c r="AH158" i="47"/>
  <c r="AI158" i="47" s="1"/>
  <c r="AJ158" i="47"/>
  <c r="AH203" i="47"/>
  <c r="AI203" i="47" s="1"/>
  <c r="AJ203" i="47"/>
  <c r="AH198" i="47"/>
  <c r="AI198" i="47" s="1"/>
  <c r="AJ198" i="47"/>
  <c r="AH229" i="47"/>
  <c r="AI229" i="47" s="1"/>
  <c r="AJ229" i="47"/>
  <c r="AH381" i="47"/>
  <c r="AI381" i="47" s="1"/>
  <c r="AJ381" i="47"/>
  <c r="AH444" i="47"/>
  <c r="AI444" i="47" s="1"/>
  <c r="AJ444" i="47"/>
  <c r="AH467" i="47"/>
  <c r="AI467" i="47" s="1"/>
  <c r="AJ467" i="47"/>
  <c r="AH522" i="47"/>
  <c r="AI522" i="47" s="1"/>
  <c r="AJ522" i="47"/>
  <c r="AH593" i="47"/>
  <c r="AI593" i="47" s="1"/>
  <c r="AJ593" i="47"/>
  <c r="AH400" i="47"/>
  <c r="AI400" i="47" s="1"/>
  <c r="AJ400" i="47"/>
  <c r="AH231" i="47"/>
  <c r="AI231" i="47" s="1"/>
  <c r="AJ231" i="47"/>
  <c r="AH387" i="47"/>
  <c r="AI387" i="47" s="1"/>
  <c r="AJ387" i="47"/>
  <c r="AH213" i="47"/>
  <c r="AI213" i="47" s="1"/>
  <c r="AJ213" i="47"/>
  <c r="AH510" i="47"/>
  <c r="AI510" i="47" s="1"/>
  <c r="AJ510" i="47"/>
  <c r="AH543" i="47"/>
  <c r="AI543" i="47" s="1"/>
  <c r="AJ543" i="47"/>
  <c r="AH542" i="47"/>
  <c r="AI542" i="47" s="1"/>
  <c r="AJ542" i="47"/>
  <c r="AH379" i="47"/>
  <c r="AI379" i="47" s="1"/>
  <c r="AJ379" i="47"/>
  <c r="AH430" i="47"/>
  <c r="AI430" i="47" s="1"/>
  <c r="AJ430" i="47"/>
  <c r="AH338" i="47"/>
  <c r="AI338" i="47" s="1"/>
  <c r="AJ338" i="47"/>
  <c r="AH236" i="47"/>
  <c r="AI236" i="47" s="1"/>
  <c r="AJ236" i="47"/>
  <c r="AH208" i="47"/>
  <c r="AI208" i="47" s="1"/>
  <c r="AJ208" i="47"/>
  <c r="AH260" i="47"/>
  <c r="AI260" i="47" s="1"/>
  <c r="AJ260" i="47"/>
  <c r="AH157" i="47"/>
  <c r="AI157" i="47" s="1"/>
  <c r="AJ157" i="47"/>
  <c r="AH226" i="47"/>
  <c r="AI226" i="47" s="1"/>
  <c r="AJ226" i="47"/>
  <c r="AH316" i="47"/>
  <c r="AI316" i="47" s="1"/>
  <c r="AJ316" i="47"/>
  <c r="AH447" i="47"/>
  <c r="AI447" i="47" s="1"/>
  <c r="AJ447" i="47"/>
  <c r="AH531" i="47"/>
  <c r="AI531" i="47" s="1"/>
  <c r="AJ531" i="47"/>
  <c r="AH611" i="47"/>
  <c r="AI611" i="47" s="1"/>
  <c r="AJ611" i="47"/>
  <c r="AN615" i="47" l="1"/>
  <c r="AN264" i="47"/>
  <c r="AM209" i="47"/>
  <c r="AN321" i="47"/>
  <c r="AN404" i="47"/>
  <c r="AN583" i="47"/>
  <c r="AN513" i="47"/>
  <c r="AN301" i="47"/>
  <c r="AN431" i="47"/>
  <c r="AN408" i="47"/>
  <c r="AN541" i="47"/>
  <c r="AM136" i="47"/>
  <c r="AM295" i="47"/>
  <c r="W11" i="47"/>
  <c r="V12" i="47"/>
  <c r="W12" i="47" s="1"/>
  <c r="V13" i="47" s="1"/>
  <c r="W13" i="47" s="1"/>
  <c r="AN537" i="47"/>
  <c r="AM509" i="47"/>
  <c r="AM232" i="47"/>
  <c r="AN482" i="47"/>
  <c r="AN144" i="47"/>
  <c r="AN249" i="47"/>
  <c r="AN140" i="47"/>
  <c r="AN357" i="47"/>
  <c r="AN567" i="47"/>
  <c r="AN330" i="47"/>
  <c r="AN147" i="47"/>
  <c r="AN503" i="47"/>
  <c r="AN406" i="47"/>
  <c r="AN557" i="47"/>
  <c r="AN335" i="47"/>
  <c r="AN483" i="47"/>
  <c r="AN494" i="47"/>
  <c r="AN184" i="47"/>
  <c r="AN389" i="47"/>
  <c r="AN289" i="47"/>
  <c r="AN303" i="47"/>
  <c r="AN457" i="47"/>
  <c r="AN364" i="47"/>
  <c r="AN255" i="47"/>
  <c r="AN578" i="47"/>
  <c r="AN145" i="47"/>
  <c r="AN265" i="47"/>
  <c r="AN218" i="47"/>
  <c r="AN143" i="47"/>
  <c r="AN204" i="47"/>
  <c r="AN246" i="47"/>
  <c r="AN214" i="47"/>
  <c r="AN527" i="47"/>
  <c r="AN576" i="47"/>
  <c r="AN435" i="47"/>
  <c r="AN141" i="47"/>
  <c r="AN500" i="47"/>
  <c r="AN328" i="47"/>
  <c r="AN250" i="47"/>
  <c r="AM325" i="47"/>
  <c r="AN263" i="47"/>
  <c r="AN138" i="47"/>
  <c r="AN407" i="47"/>
  <c r="AN302" i="47"/>
  <c r="AN461" i="47"/>
  <c r="AN396" i="47"/>
  <c r="AN153" i="47"/>
  <c r="AN571" i="47"/>
  <c r="AM181" i="47"/>
  <c r="AN300" i="47"/>
  <c r="AN286" i="47"/>
  <c r="AN354" i="47"/>
  <c r="AN487" i="47"/>
  <c r="AN298" i="47"/>
  <c r="AN456" i="47"/>
  <c r="AN449" i="47"/>
  <c r="AN399" i="47"/>
  <c r="AN215" i="47"/>
  <c r="AN565" i="47"/>
  <c r="AN478" i="47"/>
  <c r="AN559" i="47"/>
  <c r="AN373" i="47"/>
  <c r="AN394" i="47"/>
  <c r="AN271" i="47"/>
  <c r="AN484" i="47"/>
  <c r="AM149" i="47"/>
  <c r="AN149" i="47"/>
  <c r="AN164" i="47"/>
  <c r="AN563" i="47"/>
  <c r="AN556" i="47"/>
  <c r="AN453" i="47"/>
  <c r="AN225" i="47"/>
  <c r="AN595" i="47"/>
  <c r="AN470" i="47"/>
  <c r="AN613" i="47"/>
  <c r="AN287" i="47"/>
  <c r="AN450" i="47"/>
  <c r="AK391" i="47"/>
  <c r="AM391" i="47" s="1"/>
  <c r="AK534" i="47"/>
  <c r="AM534" i="47" s="1"/>
  <c r="AK362" i="47"/>
  <c r="AM362" i="47" s="1"/>
  <c r="AK363" i="47"/>
  <c r="AM363" i="47" s="1"/>
  <c r="AK130" i="47"/>
  <c r="AM130" i="47" s="1"/>
  <c r="AK462" i="47"/>
  <c r="AM462" i="47" s="1"/>
  <c r="AK173" i="47"/>
  <c r="AN173" i="47" s="1"/>
  <c r="AN283" i="47"/>
  <c r="AN207" i="47"/>
  <c r="AN546" i="47"/>
  <c r="AN307" i="47"/>
  <c r="AK427" i="47"/>
  <c r="AM427" i="47" s="1"/>
  <c r="AK167" i="47"/>
  <c r="AM167" i="47" s="1"/>
  <c r="AK464" i="47"/>
  <c r="AM464" i="47" s="1"/>
  <c r="AK564" i="47"/>
  <c r="AM564" i="47" s="1"/>
  <c r="AK216" i="47"/>
  <c r="AM216" i="47" s="1"/>
  <c r="AK584" i="47"/>
  <c r="AN584" i="47" s="1"/>
  <c r="AK579" i="47"/>
  <c r="AM579" i="47" s="1"/>
  <c r="AN262" i="47"/>
  <c r="AN241" i="47"/>
  <c r="AN436" i="47"/>
  <c r="AN253" i="47"/>
  <c r="AN433" i="47"/>
  <c r="AN368" i="47"/>
  <c r="AK550" i="47"/>
  <c r="AM550" i="47" s="1"/>
  <c r="AK193" i="47"/>
  <c r="AM193" i="47" s="1"/>
  <c r="AK582" i="47"/>
  <c r="AM582" i="47" s="1"/>
  <c r="AK451" i="47"/>
  <c r="AM451" i="47" s="1"/>
  <c r="AK532" i="47"/>
  <c r="AN532" i="47" s="1"/>
  <c r="AN523" i="47"/>
  <c r="AN524" i="47"/>
  <c r="AN134" i="47"/>
  <c r="AN259" i="47"/>
  <c r="AN486" i="47"/>
  <c r="AN275" i="47"/>
  <c r="AN425" i="47"/>
  <c r="AN183" i="47"/>
  <c r="AM505" i="47"/>
  <c r="AN505" i="47"/>
  <c r="AN197" i="47"/>
  <c r="AN416" i="47"/>
  <c r="AN297" i="47"/>
  <c r="AN413" i="47"/>
  <c r="AM306" i="47"/>
  <c r="AN306" i="47"/>
  <c r="AM341" i="47"/>
  <c r="AN341" i="47"/>
  <c r="AN587" i="47"/>
  <c r="AN356" i="47"/>
  <c r="AM477" i="47"/>
  <c r="AN477" i="47"/>
  <c r="AM252" i="47"/>
  <c r="AN252" i="47"/>
  <c r="AK418" i="47"/>
  <c r="AM418" i="47" s="1"/>
  <c r="AK310" i="47"/>
  <c r="AM310" i="47" s="1"/>
  <c r="AN597" i="47"/>
  <c r="AN506" i="47"/>
  <c r="AK554" i="47"/>
  <c r="AM554" i="47" s="1"/>
  <c r="AN220" i="47"/>
  <c r="AK176" i="47"/>
  <c r="AM176" i="47" s="1"/>
  <c r="AK411" i="47"/>
  <c r="AM411" i="47" s="1"/>
  <c r="AK182" i="47"/>
  <c r="AM182" i="47" s="1"/>
  <c r="AK512" i="47"/>
  <c r="AM512" i="47" s="1"/>
  <c r="AK601" i="47"/>
  <c r="AM601" i="47" s="1"/>
  <c r="AK405" i="47"/>
  <c r="AM405" i="47" s="1"/>
  <c r="AK139" i="47"/>
  <c r="AM139" i="47" s="1"/>
  <c r="AK189" i="47"/>
  <c r="AM189" i="47" s="1"/>
  <c r="AK296" i="47"/>
  <c r="AM296" i="47" s="1"/>
  <c r="AK588" i="47"/>
  <c r="AM588" i="47" s="1"/>
  <c r="AK589" i="47"/>
  <c r="AM589" i="47" s="1"/>
  <c r="AK429" i="47"/>
  <c r="AM429" i="47" s="1"/>
  <c r="AK258" i="47"/>
  <c r="AM258" i="47" s="1"/>
  <c r="AK374" i="47"/>
  <c r="AM374" i="47" s="1"/>
  <c r="AK479" i="47"/>
  <c r="AM479" i="47" s="1"/>
  <c r="AK372" i="47"/>
  <c r="AM372" i="47" s="1"/>
  <c r="AK290" i="47"/>
  <c r="AM290" i="47" s="1"/>
  <c r="AK349" i="47"/>
  <c r="AM349" i="47" s="1"/>
  <c r="AK333" i="47"/>
  <c r="AN333" i="47" s="1"/>
  <c r="AK499" i="47"/>
  <c r="AN499" i="47" s="1"/>
  <c r="AK485" i="47"/>
  <c r="AM485" i="47" s="1"/>
  <c r="AK291" i="47"/>
  <c r="AM291" i="47" s="1"/>
  <c r="AK441" i="47"/>
  <c r="AM441" i="47" s="1"/>
  <c r="AK426" i="47"/>
  <c r="AM426" i="47" s="1"/>
  <c r="AK553" i="47"/>
  <c r="AM553" i="47" s="1"/>
  <c r="AK385" i="47"/>
  <c r="AM385" i="47" s="1"/>
  <c r="AK219" i="47"/>
  <c r="AM219" i="47" s="1"/>
  <c r="AK154" i="47"/>
  <c r="AM154" i="47" s="1"/>
  <c r="AK395" i="47"/>
  <c r="AM395" i="47" s="1"/>
  <c r="AK460" i="47"/>
  <c r="AM460" i="47" s="1"/>
  <c r="AK369" i="47"/>
  <c r="AM369" i="47" s="1"/>
  <c r="AK540" i="47"/>
  <c r="AM540" i="47" s="1"/>
  <c r="AI190" i="47"/>
  <c r="AK190" i="47" s="1"/>
  <c r="AK577" i="47"/>
  <c r="AM577" i="47" s="1"/>
  <c r="AK277" i="47"/>
  <c r="AM277" i="47" s="1"/>
  <c r="AK281" i="47"/>
  <c r="AM281" i="47" s="1"/>
  <c r="AK305" i="47"/>
  <c r="AM305" i="47" s="1"/>
  <c r="AK350" i="47"/>
  <c r="AM350" i="47" s="1"/>
  <c r="AK606" i="47"/>
  <c r="AM606" i="47" s="1"/>
  <c r="AK243" i="47"/>
  <c r="AM243" i="47" s="1"/>
  <c r="AK343" i="47"/>
  <c r="AM343" i="47" s="1"/>
  <c r="AK186" i="47"/>
  <c r="AM186" i="47" s="1"/>
  <c r="AK171" i="47"/>
  <c r="AM171" i="47" s="1"/>
  <c r="AK334" i="47"/>
  <c r="AM334" i="47" s="1"/>
  <c r="AK148" i="47"/>
  <c r="AM148" i="47" s="1"/>
  <c r="AK437" i="47"/>
  <c r="AM437" i="47" s="1"/>
  <c r="AK188" i="47"/>
  <c r="AM188" i="47" s="1"/>
  <c r="AK230" i="47"/>
  <c r="AM230" i="47" s="1"/>
  <c r="AK518" i="47"/>
  <c r="AM518" i="47" s="1"/>
  <c r="AK443" i="47"/>
  <c r="AM443" i="47" s="1"/>
  <c r="AK475" i="47"/>
  <c r="AM475" i="47" s="1"/>
  <c r="AK269" i="47"/>
  <c r="AM269" i="47" s="1"/>
  <c r="AK195" i="47"/>
  <c r="AM195" i="47" s="1"/>
  <c r="AK592" i="47"/>
  <c r="AM592" i="47" s="1"/>
  <c r="AK227" i="47"/>
  <c r="AM227" i="47" s="1"/>
  <c r="AK353" i="47"/>
  <c r="AM353" i="47" s="1"/>
  <c r="AN251" i="47"/>
  <c r="AN530" i="47"/>
  <c r="AK228" i="47"/>
  <c r="AN228" i="47" s="1"/>
  <c r="AK422" i="47"/>
  <c r="AN422" i="47" s="1"/>
  <c r="AN222" i="47"/>
  <c r="AK146" i="47"/>
  <c r="AM146" i="47" s="1"/>
  <c r="AK560" i="47"/>
  <c r="AM560" i="47" s="1"/>
  <c r="AK199" i="47"/>
  <c r="AM199" i="47" s="1"/>
  <c r="AK423" i="47"/>
  <c r="AM423" i="47" s="1"/>
  <c r="AK212" i="47"/>
  <c r="AM212" i="47" s="1"/>
  <c r="AK521" i="47"/>
  <c r="AM521" i="47" s="1"/>
  <c r="AK493" i="47"/>
  <c r="AM493" i="47" s="1"/>
  <c r="AK155" i="47"/>
  <c r="AM155" i="47" s="1"/>
  <c r="AK315" i="47"/>
  <c r="AM315" i="47" s="1"/>
  <c r="AK170" i="47"/>
  <c r="AM170" i="47" s="1"/>
  <c r="AK566" i="47"/>
  <c r="AN566" i="47" s="1"/>
  <c r="AK558" i="47"/>
  <c r="AM558" i="47" s="1"/>
  <c r="AK434" i="47"/>
  <c r="AM434" i="47" s="1"/>
  <c r="AK308" i="47"/>
  <c r="AM308" i="47" s="1"/>
  <c r="AK323" i="47"/>
  <c r="AM323" i="47" s="1"/>
  <c r="AK317" i="47"/>
  <c r="AM317" i="47" s="1"/>
  <c r="AK233" i="47"/>
  <c r="AM233" i="47" s="1"/>
  <c r="AK133" i="47"/>
  <c r="AM133" i="47" s="1"/>
  <c r="AK519" i="47"/>
  <c r="AM519" i="47" s="1"/>
  <c r="AK489" i="47"/>
  <c r="AM489" i="47" s="1"/>
  <c r="AK237" i="47"/>
  <c r="AM237" i="47" s="1"/>
  <c r="AK590" i="47"/>
  <c r="AM590" i="47" s="1"/>
  <c r="AK165" i="47"/>
  <c r="AM165" i="47" s="1"/>
  <c r="AK135" i="47"/>
  <c r="AM135" i="47" s="1"/>
  <c r="AK600" i="47"/>
  <c r="AM600" i="47" s="1"/>
  <c r="AN159" i="47"/>
  <c r="AK278" i="47"/>
  <c r="AM278" i="47" s="1"/>
  <c r="AK280" i="47"/>
  <c r="AM280" i="47" s="1"/>
  <c r="AK525" i="47"/>
  <c r="AM525" i="47" s="1"/>
  <c r="AK355" i="47"/>
  <c r="AM355" i="47" s="1"/>
  <c r="AK187" i="47"/>
  <c r="AM187" i="47" s="1"/>
  <c r="AK544" i="47"/>
  <c r="AM544" i="47" s="1"/>
  <c r="AK319" i="47"/>
  <c r="AN319" i="47" s="1"/>
  <c r="AK274" i="47"/>
  <c r="AM274" i="47" s="1"/>
  <c r="AK508" i="47"/>
  <c r="AM508" i="47" s="1"/>
  <c r="AK261" i="47"/>
  <c r="AM261" i="47" s="1"/>
  <c r="AK605" i="47"/>
  <c r="AM605" i="47" s="1"/>
  <c r="AK609" i="47"/>
  <c r="AM609" i="47" s="1"/>
  <c r="AK432" i="47"/>
  <c r="AN432" i="47" s="1"/>
  <c r="AK163" i="47"/>
  <c r="AM163" i="47" s="1"/>
  <c r="AK520" i="47"/>
  <c r="AN520" i="47" s="1"/>
  <c r="AK162" i="47"/>
  <c r="AM162" i="47" s="1"/>
  <c r="AK254" i="47"/>
  <c r="AM254" i="47" s="1"/>
  <c r="AK459" i="47"/>
  <c r="AM459" i="47" s="1"/>
  <c r="AK403" i="47"/>
  <c r="AN403" i="47" s="1"/>
  <c r="AK299" i="47"/>
  <c r="AM299" i="47" s="1"/>
  <c r="AK150" i="47"/>
  <c r="AM150" i="47" s="1"/>
  <c r="AK180" i="47"/>
  <c r="AM180" i="47" s="1"/>
  <c r="AK490" i="47"/>
  <c r="AM490" i="47" s="1"/>
  <c r="AK446" i="47"/>
  <c r="AM446" i="47" s="1"/>
  <c r="AK332" i="47"/>
  <c r="AM332" i="47" s="1"/>
  <c r="AK272" i="47"/>
  <c r="AM272" i="47" s="1"/>
  <c r="AK438" i="47"/>
  <c r="AM438" i="47" s="1"/>
  <c r="AK382" i="47"/>
  <c r="AM382" i="47" s="1"/>
  <c r="AK347" i="47"/>
  <c r="AM347" i="47" s="1"/>
  <c r="AK239" i="47"/>
  <c r="AM239" i="47" s="1"/>
  <c r="AK552" i="47"/>
  <c r="AM552" i="47" s="1"/>
  <c r="AK581" i="47"/>
  <c r="AM581" i="47" s="1"/>
  <c r="AK568" i="47"/>
  <c r="AM568" i="47" s="1"/>
  <c r="AK398" i="47"/>
  <c r="AM398" i="47" s="1"/>
  <c r="AK206" i="47"/>
  <c r="AM206" i="47" s="1"/>
  <c r="AK454" i="47"/>
  <c r="AM454" i="47" s="1"/>
  <c r="AN174" i="47"/>
  <c r="AK126" i="47"/>
  <c r="AM126" i="47" s="1"/>
  <c r="AK388" i="47"/>
  <c r="AM388" i="47" s="1"/>
  <c r="AK466" i="47"/>
  <c r="AN466" i="47" s="1"/>
  <c r="AK256" i="47"/>
  <c r="AM256" i="47" s="1"/>
  <c r="AK536" i="47"/>
  <c r="AM536" i="47" s="1"/>
  <c r="AK156" i="47"/>
  <c r="AM156" i="47" s="1"/>
  <c r="AK268" i="47"/>
  <c r="AN268" i="47" s="1"/>
  <c r="AK420" i="47"/>
  <c r="AM420" i="47" s="1"/>
  <c r="AK127" i="47"/>
  <c r="AM127" i="47" s="1"/>
  <c r="AK614" i="47"/>
  <c r="AN614" i="47" s="1"/>
  <c r="AK324" i="47"/>
  <c r="AM324" i="47" s="1"/>
  <c r="AK488" i="47"/>
  <c r="AM488" i="47" s="1"/>
  <c r="AK359" i="47"/>
  <c r="AM359" i="47" s="1"/>
  <c r="AK322" i="47"/>
  <c r="AN322" i="47" s="1"/>
  <c r="AK352" i="47"/>
  <c r="AM352" i="47" s="1"/>
  <c r="AK279" i="47"/>
  <c r="AN279" i="47" s="1"/>
  <c r="AK248" i="47"/>
  <c r="AM248" i="47" s="1"/>
  <c r="AK361" i="47"/>
  <c r="AM361" i="47" s="1"/>
  <c r="AK442" i="47"/>
  <c r="AM442" i="47" s="1"/>
  <c r="AK358" i="47"/>
  <c r="AN358" i="47" s="1"/>
  <c r="AK529" i="47"/>
  <c r="AM529" i="47" s="1"/>
  <c r="AK131" i="47"/>
  <c r="AM131" i="47" s="1"/>
  <c r="AK516" i="47"/>
  <c r="AM516" i="47" s="1"/>
  <c r="AK152" i="47"/>
  <c r="AM152" i="47" s="1"/>
  <c r="AK458" i="47"/>
  <c r="AK160" i="47"/>
  <c r="AK342" i="47"/>
  <c r="AK504" i="47"/>
  <c r="AK419" i="47"/>
  <c r="AK194" i="47"/>
  <c r="AK340" i="47"/>
  <c r="AK491" i="47"/>
  <c r="AK501" i="47"/>
  <c r="AK201" i="47"/>
  <c r="AK603" i="47"/>
  <c r="AK384" i="47"/>
  <c r="AK548" i="47"/>
  <c r="AK598" i="47"/>
  <c r="AK468" i="47"/>
  <c r="AK561" i="47"/>
  <c r="AK285" i="47"/>
  <c r="AK166" i="47"/>
  <c r="AK376" i="47"/>
  <c r="AK313" i="47"/>
  <c r="AK515" i="47"/>
  <c r="AK366" i="47"/>
  <c r="AK179" i="47"/>
  <c r="AK586" i="47"/>
  <c r="AK177" i="47"/>
  <c r="AK596" i="47"/>
  <c r="AK370" i="47"/>
  <c r="AK345" i="47"/>
  <c r="AK202" i="47"/>
  <c r="AK415" i="47"/>
  <c r="AK336" i="47"/>
  <c r="AK223" i="47"/>
  <c r="AK502" i="47"/>
  <c r="AK397" i="47"/>
  <c r="AK339" i="47"/>
  <c r="AK570" i="47"/>
  <c r="AK538" i="47"/>
  <c r="AK498" i="47"/>
  <c r="AK282" i="47"/>
  <c r="AK284" i="47"/>
  <c r="AK547" i="47"/>
  <c r="AK365" i="47"/>
  <c r="AK276" i="47"/>
  <c r="AK161" i="47"/>
  <c r="AK377" i="47"/>
  <c r="AK599" i="47"/>
  <c r="AK351" i="47"/>
  <c r="AK409" i="47"/>
  <c r="AK569" i="47"/>
  <c r="AK469" i="47"/>
  <c r="AK238" i="47"/>
  <c r="AK311" i="47"/>
  <c r="AK414" i="47"/>
  <c r="AK234" i="47"/>
  <c r="AK217" i="47"/>
  <c r="AK172" i="47"/>
  <c r="AK318" i="47"/>
  <c r="AK611" i="47"/>
  <c r="AK260" i="47"/>
  <c r="AK542" i="47"/>
  <c r="AK400" i="47"/>
  <c r="AK229" i="47"/>
  <c r="AK496" i="47"/>
  <c r="AK257" i="47"/>
  <c r="AK455" i="47"/>
  <c r="AK481" i="47"/>
  <c r="AK472" i="47"/>
  <c r="AK175" i="47"/>
  <c r="AK360" i="47"/>
  <c r="AK392" i="47"/>
  <c r="AK535" i="47"/>
  <c r="AK474" i="47"/>
  <c r="AK169" i="47"/>
  <c r="AK492" i="47"/>
  <c r="AK533" i="47"/>
  <c r="AK247" i="47"/>
  <c r="AK421" i="47"/>
  <c r="AK610" i="47"/>
  <c r="AK327" i="47"/>
  <c r="AK390" i="47"/>
  <c r="AK476" i="47"/>
  <c r="AK137" i="47"/>
  <c r="AK514" i="47"/>
  <c r="AK507" i="47"/>
  <c r="AK211" i="47"/>
  <c r="AK273" i="47"/>
  <c r="AK591" i="47"/>
  <c r="AK337" i="47"/>
  <c r="AK417" i="47"/>
  <c r="AK185" i="47"/>
  <c r="AK196" i="47"/>
  <c r="AK448" i="47"/>
  <c r="AK326" i="47"/>
  <c r="AK191" i="47"/>
  <c r="AK402" i="47"/>
  <c r="AK465" i="47"/>
  <c r="AK580" i="47"/>
  <c r="AK200" i="47"/>
  <c r="AK142" i="47"/>
  <c r="AK410" i="47"/>
  <c r="AK549" i="47"/>
  <c r="AK245" i="47"/>
  <c r="AK545" i="47"/>
  <c r="AK440" i="47"/>
  <c r="AK128" i="47"/>
  <c r="AK594" i="47"/>
  <c r="AK210" i="47"/>
  <c r="AK585" i="47"/>
  <c r="AK367" i="47"/>
  <c r="AK178" i="47"/>
  <c r="AK480" i="47"/>
  <c r="AK244" i="47"/>
  <c r="AK151" i="47"/>
  <c r="AK604" i="47"/>
  <c r="AK380" i="47"/>
  <c r="AK383" i="47"/>
  <c r="AK608" i="47"/>
  <c r="AK463" i="47"/>
  <c r="AK304" i="47"/>
  <c r="AK348" i="47"/>
  <c r="AK528" i="47"/>
  <c r="AK292" i="47"/>
  <c r="AK497" i="47"/>
  <c r="AK573" i="47"/>
  <c r="AK132" i="47"/>
  <c r="AK267" i="47"/>
  <c r="AK471" i="47"/>
  <c r="AK393" i="47"/>
  <c r="AK320" i="47"/>
  <c r="AK344" i="47"/>
  <c r="AK270" i="47"/>
  <c r="AK562" i="47"/>
  <c r="AK511" i="47"/>
  <c r="AK240" i="47"/>
  <c r="AK235" i="47"/>
  <c r="AK473" i="47"/>
  <c r="AK314" i="47"/>
  <c r="AK539" i="47"/>
  <c r="AK205" i="47"/>
  <c r="AK445" i="47"/>
  <c r="AK531" i="47"/>
  <c r="AK208" i="47"/>
  <c r="AK543" i="47"/>
  <c r="AK593" i="47"/>
  <c r="AK198" i="47"/>
  <c r="AK572" i="47"/>
  <c r="AK294" i="47"/>
  <c r="AK378" i="47"/>
  <c r="AK602" i="47"/>
  <c r="AK375" i="47"/>
  <c r="AK526" i="47"/>
  <c r="AK447" i="47"/>
  <c r="AK236" i="47"/>
  <c r="AK510" i="47"/>
  <c r="AK522" i="47"/>
  <c r="AK203" i="47"/>
  <c r="AK329" i="47"/>
  <c r="AK386" i="47"/>
  <c r="AK607" i="47"/>
  <c r="AK555" i="47"/>
  <c r="AK371" i="47"/>
  <c r="AK316" i="47"/>
  <c r="AK338" i="47"/>
  <c r="AK213" i="47"/>
  <c r="AK467" i="47"/>
  <c r="AK158" i="47"/>
  <c r="AK551" i="47"/>
  <c r="AK221" i="47"/>
  <c r="AK452" i="47"/>
  <c r="AK293" i="47"/>
  <c r="AK401" i="47"/>
  <c r="AK439" i="47"/>
  <c r="AK574" i="47"/>
  <c r="AK242" i="47"/>
  <c r="AK331" i="47"/>
  <c r="AK612" i="47"/>
  <c r="AK226" i="47"/>
  <c r="AK430" i="47"/>
  <c r="AK387" i="47"/>
  <c r="AK444" i="47"/>
  <c r="AK428" i="47"/>
  <c r="AK517" i="47"/>
  <c r="AK424" i="47"/>
  <c r="AK575" i="47"/>
  <c r="AK309" i="47"/>
  <c r="AK412" i="47"/>
  <c r="AK157" i="47"/>
  <c r="AK379" i="47"/>
  <c r="AK231" i="47"/>
  <c r="AK381" i="47"/>
  <c r="AK129" i="47"/>
  <c r="AK168" i="47"/>
  <c r="AK312" i="47"/>
  <c r="AK224" i="47"/>
  <c r="AK288" i="47"/>
  <c r="AK266" i="47"/>
  <c r="V14" i="47" l="1"/>
  <c r="W14" i="47" s="1"/>
  <c r="V15" i="47" s="1"/>
  <c r="AN170" i="47"/>
  <c r="AN305" i="47"/>
  <c r="AN518" i="47"/>
  <c r="AN243" i="47"/>
  <c r="AM432" i="47"/>
  <c r="AN130" i="47"/>
  <c r="AM584" i="47"/>
  <c r="AM532" i="47"/>
  <c r="AN146" i="47"/>
  <c r="AN420" i="47"/>
  <c r="AN171" i="47"/>
  <c r="AN540" i="47"/>
  <c r="AN395" i="47"/>
  <c r="AN536" i="47"/>
  <c r="AN269" i="47"/>
  <c r="AN464" i="47"/>
  <c r="AN534" i="47"/>
  <c r="AN193" i="47"/>
  <c r="AN479" i="47"/>
  <c r="AN349" i="47"/>
  <c r="AM228" i="47"/>
  <c r="AN405" i="47"/>
  <c r="AN332" i="47"/>
  <c r="AN139" i="47"/>
  <c r="AN167" i="47"/>
  <c r="AN550" i="47"/>
  <c r="AN391" i="47"/>
  <c r="AN553" i="47"/>
  <c r="AN423" i="47"/>
  <c r="AM319" i="47"/>
  <c r="AN227" i="47"/>
  <c r="AM403" i="47"/>
  <c r="AN606" i="47"/>
  <c r="AM520" i="47"/>
  <c r="AM358" i="47"/>
  <c r="AN163" i="47"/>
  <c r="AN493" i="47"/>
  <c r="AN451" i="47"/>
  <c r="AN475" i="47"/>
  <c r="AN350" i="47"/>
  <c r="AN363" i="47"/>
  <c r="AN182" i="47"/>
  <c r="AN582" i="47"/>
  <c r="AN443" i="47"/>
  <c r="AN438" i="47"/>
  <c r="AN374" i="47"/>
  <c r="AN362" i="47"/>
  <c r="AN272" i="47"/>
  <c r="AN519" i="47"/>
  <c r="AN258" i="47"/>
  <c r="AN154" i="47"/>
  <c r="AN525" i="47"/>
  <c r="AN216" i="47"/>
  <c r="AN219" i="47"/>
  <c r="AN280" i="47"/>
  <c r="AN564" i="47"/>
  <c r="AN317" i="47"/>
  <c r="AM173" i="47"/>
  <c r="AN195" i="47"/>
  <c r="AN343" i="47"/>
  <c r="AN152" i="47"/>
  <c r="AN579" i="47"/>
  <c r="AN462" i="47"/>
  <c r="AN460" i="47"/>
  <c r="AN590" i="47"/>
  <c r="AN427" i="47"/>
  <c r="AN361" i="47"/>
  <c r="AN176" i="47"/>
  <c r="AM466" i="47"/>
  <c r="AM268" i="47"/>
  <c r="AN426" i="47"/>
  <c r="AN188" i="47"/>
  <c r="AN156" i="47"/>
  <c r="AN155" i="47"/>
  <c r="AN277" i="47"/>
  <c r="AN588" i="47"/>
  <c r="AN437" i="47"/>
  <c r="AM499" i="47"/>
  <c r="AN296" i="47"/>
  <c r="AN261" i="47"/>
  <c r="AN577" i="47"/>
  <c r="AN180" i="47"/>
  <c r="AN323" i="47"/>
  <c r="AN308" i="47"/>
  <c r="AN310" i="47"/>
  <c r="AN398" i="47"/>
  <c r="AM333" i="47"/>
  <c r="AN189" i="47"/>
  <c r="AN554" i="47"/>
  <c r="AN148" i="47"/>
  <c r="AN600" i="47"/>
  <c r="AN434" i="47"/>
  <c r="AN212" i="47"/>
  <c r="AN508" i="47"/>
  <c r="AN150" i="47"/>
  <c r="AN418" i="47"/>
  <c r="AN568" i="47"/>
  <c r="AN315" i="47"/>
  <c r="AN454" i="47"/>
  <c r="AN446" i="47"/>
  <c r="AN609" i="47"/>
  <c r="AM422" i="47"/>
  <c r="AN233" i="47"/>
  <c r="AN589" i="47"/>
  <c r="AN290" i="47"/>
  <c r="AM566" i="47"/>
  <c r="AN369" i="47"/>
  <c r="AN165" i="47"/>
  <c r="AN601" i="47"/>
  <c r="AN429" i="47"/>
  <c r="AN334" i="47"/>
  <c r="AN355" i="47"/>
  <c r="AN441" i="47"/>
  <c r="AN552" i="47"/>
  <c r="AN291" i="47"/>
  <c r="AN278" i="47"/>
  <c r="AM279" i="47"/>
  <c r="AN237" i="47"/>
  <c r="AN353" i="47"/>
  <c r="AN382" i="47"/>
  <c r="AN359" i="47"/>
  <c r="AN489" i="47"/>
  <c r="AN199" i="47"/>
  <c r="AN411" i="47"/>
  <c r="AN560" i="47"/>
  <c r="AN162" i="47"/>
  <c r="AN459" i="47"/>
  <c r="AM322" i="47"/>
  <c r="AN521" i="47"/>
  <c r="AN126" i="47"/>
  <c r="AN281" i="47"/>
  <c r="AN230" i="47"/>
  <c r="AN385" i="47"/>
  <c r="AN239" i="47"/>
  <c r="AN544" i="47"/>
  <c r="AN558" i="47"/>
  <c r="AN372" i="47"/>
  <c r="AN512" i="47"/>
  <c r="AN135" i="47"/>
  <c r="AM190" i="47"/>
  <c r="AN190" i="47"/>
  <c r="AN299" i="47"/>
  <c r="AN592" i="47"/>
  <c r="AN186" i="47"/>
  <c r="AN581" i="47"/>
  <c r="AN388" i="47"/>
  <c r="AN274" i="47"/>
  <c r="AN352" i="47"/>
  <c r="AN133" i="47"/>
  <c r="AN485" i="47"/>
  <c r="AN488" i="47"/>
  <c r="AN529" i="47"/>
  <c r="AN442" i="47"/>
  <c r="AM614" i="47"/>
  <c r="AN127" i="47"/>
  <c r="AN187" i="47"/>
  <c r="AN254" i="47"/>
  <c r="AN347" i="47"/>
  <c r="AN516" i="47"/>
  <c r="AN131" i="47"/>
  <c r="AN206" i="47"/>
  <c r="AN490" i="47"/>
  <c r="AN605" i="47"/>
  <c r="AN256" i="47"/>
  <c r="AN324" i="47"/>
  <c r="AN248" i="47"/>
  <c r="AM314" i="47"/>
  <c r="AN314" i="47"/>
  <c r="AM473" i="47"/>
  <c r="AN473" i="47"/>
  <c r="AM179" i="47"/>
  <c r="AN179" i="47"/>
  <c r="AM288" i="47"/>
  <c r="AN288" i="47"/>
  <c r="AM424" i="47"/>
  <c r="AN424" i="47"/>
  <c r="AM401" i="47"/>
  <c r="AN401" i="47"/>
  <c r="AM607" i="47"/>
  <c r="AN607" i="47"/>
  <c r="AM294" i="47"/>
  <c r="AN294" i="47"/>
  <c r="AM235" i="47"/>
  <c r="AN235" i="47"/>
  <c r="AM497" i="47"/>
  <c r="AN497" i="47"/>
  <c r="AM480" i="47"/>
  <c r="AN480" i="47"/>
  <c r="AM142" i="47"/>
  <c r="AN142" i="47"/>
  <c r="AM591" i="47"/>
  <c r="AN591" i="47"/>
  <c r="AM533" i="47"/>
  <c r="AN533" i="47"/>
  <c r="AM229" i="47"/>
  <c r="AN229" i="47"/>
  <c r="AM599" i="47"/>
  <c r="AN599" i="47"/>
  <c r="AM397" i="47"/>
  <c r="AN397" i="47"/>
  <c r="AM366" i="47"/>
  <c r="AN366" i="47"/>
  <c r="AM201" i="47"/>
  <c r="AN201" i="47"/>
  <c r="AM417" i="47"/>
  <c r="AN417" i="47"/>
  <c r="AM575" i="47"/>
  <c r="AN575" i="47"/>
  <c r="AM573" i="47"/>
  <c r="AN573" i="47"/>
  <c r="AM247" i="47"/>
  <c r="AN247" i="47"/>
  <c r="AM339" i="47"/>
  <c r="AN339" i="47"/>
  <c r="AM224" i="47"/>
  <c r="AN224" i="47"/>
  <c r="AM517" i="47"/>
  <c r="AN517" i="47"/>
  <c r="AM293" i="47"/>
  <c r="AN293" i="47"/>
  <c r="AM386" i="47"/>
  <c r="AN386" i="47"/>
  <c r="AM572" i="47"/>
  <c r="AN572" i="47"/>
  <c r="AM240" i="47"/>
  <c r="AN240" i="47"/>
  <c r="AM292" i="47"/>
  <c r="AN292" i="47"/>
  <c r="AM178" i="47"/>
  <c r="AN178" i="47"/>
  <c r="AM200" i="47"/>
  <c r="AN200" i="47"/>
  <c r="AM273" i="47"/>
  <c r="AN273" i="47"/>
  <c r="AM492" i="47"/>
  <c r="AN492" i="47"/>
  <c r="AM400" i="47"/>
  <c r="AN400" i="47"/>
  <c r="AM377" i="47"/>
  <c r="AN377" i="47"/>
  <c r="AM502" i="47"/>
  <c r="AN502" i="47"/>
  <c r="AM515" i="47"/>
  <c r="AN515" i="47"/>
  <c r="AM501" i="47"/>
  <c r="AN501" i="47"/>
  <c r="AM371" i="47"/>
  <c r="AN371" i="47"/>
  <c r="AM555" i="47"/>
  <c r="AN555" i="47"/>
  <c r="AM337" i="47"/>
  <c r="AN337" i="47"/>
  <c r="AM603" i="47"/>
  <c r="AN603" i="47"/>
  <c r="AM312" i="47"/>
  <c r="AN312" i="47"/>
  <c r="AM428" i="47"/>
  <c r="AN428" i="47"/>
  <c r="AM452" i="47"/>
  <c r="AN452" i="47"/>
  <c r="AM329" i="47"/>
  <c r="AN329" i="47"/>
  <c r="AM198" i="47"/>
  <c r="AN198" i="47"/>
  <c r="AM511" i="47"/>
  <c r="AN511" i="47"/>
  <c r="AM528" i="47"/>
  <c r="AN528" i="47"/>
  <c r="AM367" i="47"/>
  <c r="AN367" i="47"/>
  <c r="AM580" i="47"/>
  <c r="AN580" i="47"/>
  <c r="AM211" i="47"/>
  <c r="AN211" i="47"/>
  <c r="AM169" i="47"/>
  <c r="AN169" i="47"/>
  <c r="AM542" i="47"/>
  <c r="AN542" i="47"/>
  <c r="AM161" i="47"/>
  <c r="AN161" i="47"/>
  <c r="AM223" i="47"/>
  <c r="AN223" i="47"/>
  <c r="AM313" i="47"/>
  <c r="AN313" i="47"/>
  <c r="AM491" i="47"/>
  <c r="AN491" i="47"/>
  <c r="AM132" i="47"/>
  <c r="AN132" i="47"/>
  <c r="AM384" i="47"/>
  <c r="AN384" i="47"/>
  <c r="AM378" i="47"/>
  <c r="AN378" i="47"/>
  <c r="AM410" i="47"/>
  <c r="AN410" i="47"/>
  <c r="AM496" i="47"/>
  <c r="AN496" i="47"/>
  <c r="AM168" i="47"/>
  <c r="AN168" i="47"/>
  <c r="AM444" i="47"/>
  <c r="AN444" i="47"/>
  <c r="AM221" i="47"/>
  <c r="AN221" i="47"/>
  <c r="AM203" i="47"/>
  <c r="AN203" i="47"/>
  <c r="AM593" i="47"/>
  <c r="AN593" i="47"/>
  <c r="AM562" i="47"/>
  <c r="AN562" i="47"/>
  <c r="AM348" i="47"/>
  <c r="AN348" i="47"/>
  <c r="AM585" i="47"/>
  <c r="AN585" i="47"/>
  <c r="AM465" i="47"/>
  <c r="AN465" i="47"/>
  <c r="AM507" i="47"/>
  <c r="AN507" i="47"/>
  <c r="AM474" i="47"/>
  <c r="AN474" i="47"/>
  <c r="AM260" i="47"/>
  <c r="AN260" i="47"/>
  <c r="AM276" i="47"/>
  <c r="AN276" i="47"/>
  <c r="AM336" i="47"/>
  <c r="AN336" i="47"/>
  <c r="AM376" i="47"/>
  <c r="AN376" i="47"/>
  <c r="AM340" i="47"/>
  <c r="AN340" i="47"/>
  <c r="AM151" i="47"/>
  <c r="AN151" i="47"/>
  <c r="AM311" i="47"/>
  <c r="AN311" i="47"/>
  <c r="AM586" i="47"/>
  <c r="AN586" i="47"/>
  <c r="AM439" i="47"/>
  <c r="AN439" i="47"/>
  <c r="AM351" i="47"/>
  <c r="AN351" i="47"/>
  <c r="AM129" i="47"/>
  <c r="AN129" i="47"/>
  <c r="AM387" i="47"/>
  <c r="AN387" i="47"/>
  <c r="AM551" i="47"/>
  <c r="AN551" i="47"/>
  <c r="AM522" i="47"/>
  <c r="AN522" i="47"/>
  <c r="AM543" i="47"/>
  <c r="AN543" i="47"/>
  <c r="AM270" i="47"/>
  <c r="AN270" i="47"/>
  <c r="AM304" i="47"/>
  <c r="AN304" i="47"/>
  <c r="AM210" i="47"/>
  <c r="AN210" i="47"/>
  <c r="AM402" i="47"/>
  <c r="AN402" i="47"/>
  <c r="AM514" i="47"/>
  <c r="AN514" i="47"/>
  <c r="AM535" i="47"/>
  <c r="AN535" i="47"/>
  <c r="AM611" i="47"/>
  <c r="AN611" i="47"/>
  <c r="AM365" i="47"/>
  <c r="AN365" i="47"/>
  <c r="AM415" i="47"/>
  <c r="AN415" i="47"/>
  <c r="AM166" i="47"/>
  <c r="AN166" i="47"/>
  <c r="AM194" i="47"/>
  <c r="AN194" i="47"/>
  <c r="AM381" i="47"/>
  <c r="AN381" i="47"/>
  <c r="AM430" i="47"/>
  <c r="AN430" i="47"/>
  <c r="AM158" i="47"/>
  <c r="AN158" i="47"/>
  <c r="AM510" i="47"/>
  <c r="AN510" i="47"/>
  <c r="AM208" i="47"/>
  <c r="AN208" i="47"/>
  <c r="AM344" i="47"/>
  <c r="AN344" i="47"/>
  <c r="AM463" i="47"/>
  <c r="AN463" i="47"/>
  <c r="AM594" i="47"/>
  <c r="AN594" i="47"/>
  <c r="AM191" i="47"/>
  <c r="AN191" i="47"/>
  <c r="AM137" i="47"/>
  <c r="AN137" i="47"/>
  <c r="AM392" i="47"/>
  <c r="AN392" i="47"/>
  <c r="AM318" i="47"/>
  <c r="AN318" i="47"/>
  <c r="AM547" i="47"/>
  <c r="AN547" i="47"/>
  <c r="AM202" i="47"/>
  <c r="AN202" i="47"/>
  <c r="AM285" i="47"/>
  <c r="AN285" i="47"/>
  <c r="AM419" i="47"/>
  <c r="AN419" i="47"/>
  <c r="AM574" i="47"/>
  <c r="AN574" i="47"/>
  <c r="AM238" i="47"/>
  <c r="AN238" i="47"/>
  <c r="AM231" i="47"/>
  <c r="AN231" i="47"/>
  <c r="AM226" i="47"/>
  <c r="AN226" i="47"/>
  <c r="AM467" i="47"/>
  <c r="AN467" i="47"/>
  <c r="AM236" i="47"/>
  <c r="AN236" i="47"/>
  <c r="AM531" i="47"/>
  <c r="AN531" i="47"/>
  <c r="AM320" i="47"/>
  <c r="AN320" i="47"/>
  <c r="AM608" i="47"/>
  <c r="AN608" i="47"/>
  <c r="AM128" i="47"/>
  <c r="AN128" i="47"/>
  <c r="AM326" i="47"/>
  <c r="AN326" i="47"/>
  <c r="AM476" i="47"/>
  <c r="AN476" i="47"/>
  <c r="AM360" i="47"/>
  <c r="AN360" i="47"/>
  <c r="AM172" i="47"/>
  <c r="AN172" i="47"/>
  <c r="AM284" i="47"/>
  <c r="AN284" i="47"/>
  <c r="AM345" i="47"/>
  <c r="AN345" i="47"/>
  <c r="AM561" i="47"/>
  <c r="AN561" i="47"/>
  <c r="AM504" i="47"/>
  <c r="AN504" i="47"/>
  <c r="AM549" i="47"/>
  <c r="AN549" i="47"/>
  <c r="AM409" i="47"/>
  <c r="AN409" i="47"/>
  <c r="AM266" i="47"/>
  <c r="AN266" i="47"/>
  <c r="AM379" i="47"/>
  <c r="AN379" i="47"/>
  <c r="AM612" i="47"/>
  <c r="AN612" i="47"/>
  <c r="AM213" i="47"/>
  <c r="AN213" i="47"/>
  <c r="AM447" i="47"/>
  <c r="AN447" i="47"/>
  <c r="AM445" i="47"/>
  <c r="AN445" i="47"/>
  <c r="AM393" i="47"/>
  <c r="AN393" i="47"/>
  <c r="AM383" i="47"/>
  <c r="AN383" i="47"/>
  <c r="AM440" i="47"/>
  <c r="AN440" i="47"/>
  <c r="AM448" i="47"/>
  <c r="AN448" i="47"/>
  <c r="AM390" i="47"/>
  <c r="AN390" i="47"/>
  <c r="AM175" i="47"/>
  <c r="AN175" i="47"/>
  <c r="AM472" i="47"/>
  <c r="AN472" i="47"/>
  <c r="AM217" i="47"/>
  <c r="AN217" i="47"/>
  <c r="AM282" i="47"/>
  <c r="AN282" i="47"/>
  <c r="AM370" i="47"/>
  <c r="AN370" i="47"/>
  <c r="AM468" i="47"/>
  <c r="AN468" i="47"/>
  <c r="AM342" i="47"/>
  <c r="AN342" i="47"/>
  <c r="AM309" i="47"/>
  <c r="AN309" i="47"/>
  <c r="AM157" i="47"/>
  <c r="AN157" i="47"/>
  <c r="AM331" i="47"/>
  <c r="AN331" i="47"/>
  <c r="AM338" i="47"/>
  <c r="AN338" i="47"/>
  <c r="AM526" i="47"/>
  <c r="AN526" i="47"/>
  <c r="AM205" i="47"/>
  <c r="AN205" i="47"/>
  <c r="AM471" i="47"/>
  <c r="AN471" i="47"/>
  <c r="AM380" i="47"/>
  <c r="AN380" i="47"/>
  <c r="AM545" i="47"/>
  <c r="AN545" i="47"/>
  <c r="AM196" i="47"/>
  <c r="AN196" i="47"/>
  <c r="AM327" i="47"/>
  <c r="AN327" i="47"/>
  <c r="AM481" i="47"/>
  <c r="AN481" i="47"/>
  <c r="AM234" i="47"/>
  <c r="AN234" i="47"/>
  <c r="AM469" i="47"/>
  <c r="AN469" i="47"/>
  <c r="AM498" i="47"/>
  <c r="AN498" i="47"/>
  <c r="AM596" i="47"/>
  <c r="AN596" i="47"/>
  <c r="AM598" i="47"/>
  <c r="AN598" i="47"/>
  <c r="AM160" i="47"/>
  <c r="AN160" i="47"/>
  <c r="AM602" i="47"/>
  <c r="AN602" i="47"/>
  <c r="AM421" i="47"/>
  <c r="AN421" i="47"/>
  <c r="AM257" i="47"/>
  <c r="AN257" i="47"/>
  <c r="AM570" i="47"/>
  <c r="AN570" i="47"/>
  <c r="AM244" i="47"/>
  <c r="AN244" i="47"/>
  <c r="AM412" i="47"/>
  <c r="AN412" i="47"/>
  <c r="AM242" i="47"/>
  <c r="AN242" i="47"/>
  <c r="AM316" i="47"/>
  <c r="AN316" i="47"/>
  <c r="AM375" i="47"/>
  <c r="AN375" i="47"/>
  <c r="AM539" i="47"/>
  <c r="AN539" i="47"/>
  <c r="AM267" i="47"/>
  <c r="AN267" i="47"/>
  <c r="AM604" i="47"/>
  <c r="AN604" i="47"/>
  <c r="AM245" i="47"/>
  <c r="AN245" i="47"/>
  <c r="AM185" i="47"/>
  <c r="AN185" i="47"/>
  <c r="AM610" i="47"/>
  <c r="AN610" i="47"/>
  <c r="AM455" i="47"/>
  <c r="AN455" i="47"/>
  <c r="AM414" i="47"/>
  <c r="AN414" i="47"/>
  <c r="AM569" i="47"/>
  <c r="AN569" i="47"/>
  <c r="AM538" i="47"/>
  <c r="AN538" i="47"/>
  <c r="AM177" i="47"/>
  <c r="AN177" i="47"/>
  <c r="AM548" i="47"/>
  <c r="AN548" i="47"/>
  <c r="AM458" i="47"/>
  <c r="AN458" i="47"/>
  <c r="V16" i="47" l="1"/>
  <c r="W16" i="47" s="1"/>
  <c r="V17" i="47" s="1"/>
  <c r="W15" i="47"/>
  <c r="E344" i="22"/>
  <c r="F344" i="22"/>
  <c r="H344" i="22"/>
  <c r="AP344" i="22"/>
  <c r="AZ344" i="22"/>
  <c r="W17" i="47" l="1"/>
  <c r="U344" i="22"/>
  <c r="W344" i="22" s="1"/>
  <c r="AA344" i="22"/>
  <c r="V18" i="47"/>
  <c r="W18" i="47" s="1"/>
  <c r="AR344" i="22"/>
  <c r="AE19" i="13"/>
  <c r="AB18" i="13"/>
  <c r="AE14" i="13"/>
  <c r="AB14" i="13"/>
  <c r="AE10" i="13"/>
  <c r="AB10" i="13"/>
  <c r="F83" i="34"/>
  <c r="F29" i="34"/>
  <c r="Y344" i="22" l="1"/>
  <c r="Z344" i="22" s="1"/>
  <c r="V19" i="47"/>
  <c r="W19" i="47" s="1"/>
  <c r="AB19" i="13"/>
  <c r="E207" i="22"/>
  <c r="F207" i="22"/>
  <c r="H207" i="22"/>
  <c r="AP207" i="22"/>
  <c r="AZ207" i="22"/>
  <c r="E483" i="22"/>
  <c r="F483" i="22"/>
  <c r="H483" i="22"/>
  <c r="AP483" i="22"/>
  <c r="AZ483" i="22"/>
  <c r="E432" i="22"/>
  <c r="F432" i="22"/>
  <c r="H432" i="22"/>
  <c r="AP432" i="22"/>
  <c r="AZ432" i="22"/>
  <c r="E281" i="22"/>
  <c r="F281" i="22"/>
  <c r="H281" i="22"/>
  <c r="U281" i="22" s="1"/>
  <c r="W281" i="22" s="1"/>
  <c r="AP281" i="22"/>
  <c r="AZ281" i="22"/>
  <c r="E321" i="22"/>
  <c r="F321" i="22"/>
  <c r="H321" i="22"/>
  <c r="U321" i="22" s="1"/>
  <c r="W321" i="22" s="1"/>
  <c r="AP321" i="22"/>
  <c r="AZ321" i="22"/>
  <c r="N56" i="34"/>
  <c r="N29" i="34"/>
  <c r="R44" i="34"/>
  <c r="O8" i="34"/>
  <c r="J8" i="34"/>
  <c r="F8" i="34"/>
  <c r="B8" i="34"/>
  <c r="Y281" i="22" l="1"/>
  <c r="Y321" i="22"/>
  <c r="Z321" i="22" s="1"/>
  <c r="V20" i="47"/>
  <c r="W20" i="47" s="1"/>
  <c r="V21" i="47" s="1"/>
  <c r="V22" i="47" s="1"/>
  <c r="W22" i="47" s="1"/>
  <c r="V23" i="47" s="1"/>
  <c r="W32" i="47" s="1"/>
  <c r="AA321" i="22"/>
  <c r="U483" i="22"/>
  <c r="W483" i="22" s="1"/>
  <c r="AA483" i="22"/>
  <c r="Z281" i="22"/>
  <c r="AA281" i="22"/>
  <c r="U207" i="22"/>
  <c r="W207" i="22" s="1"/>
  <c r="U432" i="22"/>
  <c r="W432" i="22" s="1"/>
  <c r="AA207" i="22"/>
  <c r="AA432" i="22"/>
  <c r="AR207" i="22"/>
  <c r="AR483" i="22"/>
  <c r="AR432" i="22"/>
  <c r="AR281" i="22"/>
  <c r="AR321" i="22"/>
  <c r="AE53" i="34"/>
  <c r="AI53" i="34"/>
  <c r="AI50" i="34"/>
  <c r="AE50" i="34"/>
  <c r="AJ47" i="34"/>
  <c r="AF47" i="34"/>
  <c r="AH44" i="34"/>
  <c r="AD44" i="34"/>
  <c r="AQ5" i="22"/>
  <c r="AO5" i="22"/>
  <c r="AN5" i="22"/>
  <c r="AM5" i="22"/>
  <c r="AL5" i="22"/>
  <c r="AK5" i="22"/>
  <c r="AI5" i="22"/>
  <c r="AH5" i="22"/>
  <c r="AG5" i="22"/>
  <c r="AF5" i="22"/>
  <c r="AE5" i="22"/>
  <c r="AD5" i="22"/>
  <c r="AB5" i="22"/>
  <c r="T5" i="22"/>
  <c r="N5" i="22"/>
  <c r="M5" i="22"/>
  <c r="K5" i="22"/>
  <c r="J5" i="22"/>
  <c r="G5" i="22"/>
  <c r="D5" i="22"/>
  <c r="E153" i="22"/>
  <c r="F153" i="22"/>
  <c r="H153" i="22"/>
  <c r="U153" i="22" s="1"/>
  <c r="W153" i="22" s="1"/>
  <c r="AP153" i="22"/>
  <c r="AZ153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F42" i="22"/>
  <c r="F43" i="22"/>
  <c r="F44" i="22"/>
  <c r="F45" i="22"/>
  <c r="F46" i="22"/>
  <c r="F47" i="22"/>
  <c r="F48" i="22"/>
  <c r="F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65" i="22"/>
  <c r="F66" i="22"/>
  <c r="F67" i="22"/>
  <c r="F68" i="22"/>
  <c r="F69" i="22"/>
  <c r="F70" i="22"/>
  <c r="F71" i="22"/>
  <c r="F72" i="22"/>
  <c r="F73" i="22"/>
  <c r="F74" i="22"/>
  <c r="F75" i="22"/>
  <c r="F76" i="22"/>
  <c r="F77" i="22"/>
  <c r="F78" i="22"/>
  <c r="F79" i="22"/>
  <c r="F80" i="22"/>
  <c r="F81" i="22"/>
  <c r="F82" i="22"/>
  <c r="F83" i="22"/>
  <c r="F84" i="22"/>
  <c r="F85" i="22"/>
  <c r="F86" i="22"/>
  <c r="F87" i="22"/>
  <c r="F88" i="22"/>
  <c r="F89" i="22"/>
  <c r="F90" i="22"/>
  <c r="F91" i="22"/>
  <c r="F92" i="22"/>
  <c r="F93" i="22"/>
  <c r="F94" i="22"/>
  <c r="F95" i="22"/>
  <c r="F358" i="22"/>
  <c r="F375" i="22"/>
  <c r="F107" i="22"/>
  <c r="F288" i="22"/>
  <c r="F417" i="22"/>
  <c r="F199" i="22"/>
  <c r="F319" i="22"/>
  <c r="F477" i="22"/>
  <c r="F335" i="22"/>
  <c r="F348" i="22"/>
  <c r="F465" i="22"/>
  <c r="F352" i="22"/>
  <c r="F307" i="22"/>
  <c r="F448" i="22"/>
  <c r="F148" i="22"/>
  <c r="F491" i="22"/>
  <c r="F304" i="22"/>
  <c r="F137" i="22"/>
  <c r="F200" i="22"/>
  <c r="F308" i="22"/>
  <c r="F325" i="22"/>
  <c r="F166" i="22"/>
  <c r="F211" i="22"/>
  <c r="F359" i="22"/>
  <c r="F159" i="22"/>
  <c r="F338" i="22"/>
  <c r="F323" i="22"/>
  <c r="F247" i="22"/>
  <c r="F242" i="22"/>
  <c r="F309" i="22"/>
  <c r="F300" i="22"/>
  <c r="F471" i="22"/>
  <c r="F210" i="22"/>
  <c r="F274" i="22"/>
  <c r="F454" i="22"/>
  <c r="F480" i="22"/>
  <c r="F110" i="22"/>
  <c r="F368" i="22"/>
  <c r="F299" i="22"/>
  <c r="F116" i="22"/>
  <c r="F286" i="22"/>
  <c r="F126" i="22"/>
  <c r="F437" i="22"/>
  <c r="F104" i="22"/>
  <c r="F428" i="22"/>
  <c r="F394" i="22"/>
  <c r="F351" i="22"/>
  <c r="F388" i="22"/>
  <c r="F379" i="22"/>
  <c r="F421" i="22"/>
  <c r="F461" i="22"/>
  <c r="F151" i="22"/>
  <c r="F261" i="22"/>
  <c r="F206" i="22"/>
  <c r="F415" i="22"/>
  <c r="F117" i="22"/>
  <c r="F168" i="22"/>
  <c r="F228" i="22"/>
  <c r="F238" i="22"/>
  <c r="F479" i="22"/>
  <c r="F135" i="22"/>
  <c r="F473" i="22"/>
  <c r="F105" i="22"/>
  <c r="F155" i="22"/>
  <c r="F289" i="22"/>
  <c r="F487" i="22"/>
  <c r="F98" i="22"/>
  <c r="F275" i="22"/>
  <c r="F122" i="22"/>
  <c r="F156" i="22"/>
  <c r="F490" i="22"/>
  <c r="F134" i="22"/>
  <c r="F469" i="22"/>
  <c r="F295" i="22"/>
  <c r="F254" i="22"/>
  <c r="F378" i="22"/>
  <c r="F314" i="22"/>
  <c r="F119" i="22"/>
  <c r="F398" i="22"/>
  <c r="F236" i="22"/>
  <c r="F232" i="22"/>
  <c r="F489" i="22"/>
  <c r="F482" i="22"/>
  <c r="F201" i="22"/>
  <c r="F212" i="22"/>
  <c r="F316" i="22"/>
  <c r="F423" i="22"/>
  <c r="F389" i="22"/>
  <c r="F334" i="22"/>
  <c r="F442" i="22"/>
  <c r="F125" i="22"/>
  <c r="F170" i="22"/>
  <c r="F340" i="22"/>
  <c r="F410" i="22"/>
  <c r="F306" i="22"/>
  <c r="F386" i="22"/>
  <c r="F233" i="22"/>
  <c r="F312" i="22"/>
  <c r="F187" i="22"/>
  <c r="F373" i="22"/>
  <c r="F100" i="22"/>
  <c r="F311" i="22"/>
  <c r="F284" i="22"/>
  <c r="F486" i="22"/>
  <c r="F129" i="22"/>
  <c r="F144" i="22"/>
  <c r="F256" i="22"/>
  <c r="F198" i="22"/>
  <c r="F177" i="22"/>
  <c r="F349" i="22"/>
  <c r="F498" i="22"/>
  <c r="F377" i="22"/>
  <c r="F252" i="22"/>
  <c r="F341" i="22"/>
  <c r="F383" i="22"/>
  <c r="F184" i="22"/>
  <c r="F290" i="22"/>
  <c r="F114" i="22"/>
  <c r="F161" i="22"/>
  <c r="F433" i="22"/>
  <c r="F176" i="22"/>
  <c r="F455" i="22"/>
  <c r="F141" i="22"/>
  <c r="F370" i="22"/>
  <c r="F402" i="22"/>
  <c r="F172" i="22"/>
  <c r="F303" i="22"/>
  <c r="F391" i="22"/>
  <c r="F219" i="22"/>
  <c r="F249" i="22"/>
  <c r="F431" i="22"/>
  <c r="F163" i="22"/>
  <c r="F260" i="22"/>
  <c r="F320" i="22"/>
  <c r="F162" i="22"/>
  <c r="F343" i="22"/>
  <c r="F435" i="22"/>
  <c r="F382" i="22"/>
  <c r="F188" i="22"/>
  <c r="F426" i="22"/>
  <c r="F456" i="22"/>
  <c r="F240" i="22"/>
  <c r="F381" i="22"/>
  <c r="F167" i="22"/>
  <c r="F346" i="22"/>
  <c r="F419" i="22"/>
  <c r="F409" i="22"/>
  <c r="F488" i="22"/>
  <c r="F259" i="22"/>
  <c r="F322" i="22"/>
  <c r="F438" i="22"/>
  <c r="F422" i="22"/>
  <c r="F342" i="22"/>
  <c r="F449" i="22"/>
  <c r="F406" i="22"/>
  <c r="F424" i="22"/>
  <c r="F180" i="22"/>
  <c r="F138" i="22"/>
  <c r="F453" i="22"/>
  <c r="F157" i="22"/>
  <c r="F427" i="22"/>
  <c r="F202" i="22"/>
  <c r="F278" i="22"/>
  <c r="F413" i="22"/>
  <c r="F140" i="22"/>
  <c r="F101" i="22"/>
  <c r="F154" i="22"/>
  <c r="F193" i="22"/>
  <c r="F395" i="22"/>
  <c r="F158" i="22"/>
  <c r="F310" i="22"/>
  <c r="F264" i="22"/>
  <c r="F217" i="22"/>
  <c r="F280" i="22"/>
  <c r="F369" i="22"/>
  <c r="F222" i="22"/>
  <c r="F478" i="22"/>
  <c r="F497" i="22"/>
  <c r="F123" i="22"/>
  <c r="F181" i="22"/>
  <c r="F183" i="22"/>
  <c r="F220" i="22"/>
  <c r="F451" i="22"/>
  <c r="F169" i="22"/>
  <c r="F106" i="22"/>
  <c r="F235" i="22"/>
  <c r="F356" i="22"/>
  <c r="F97" i="22"/>
  <c r="F120" i="22"/>
  <c r="F408" i="22"/>
  <c r="F330" i="22"/>
  <c r="F132" i="22"/>
  <c r="F239" i="22"/>
  <c r="F467" i="22"/>
  <c r="F412" i="22"/>
  <c r="F492" i="22"/>
  <c r="F457" i="22"/>
  <c r="F372" i="22"/>
  <c r="F276" i="22"/>
  <c r="F407" i="22"/>
  <c r="F326" i="22"/>
  <c r="F150" i="22"/>
  <c r="F472" i="22"/>
  <c r="F205" i="22"/>
  <c r="F230" i="22"/>
  <c r="F136" i="22"/>
  <c r="F267" i="22"/>
  <c r="F192" i="22"/>
  <c r="F189" i="22"/>
  <c r="F266" i="22"/>
  <c r="F185" i="22"/>
  <c r="F355" i="22"/>
  <c r="F171" i="22"/>
  <c r="F385" i="22"/>
  <c r="F462" i="22"/>
  <c r="F128" i="22"/>
  <c r="F237" i="22"/>
  <c r="F277" i="22"/>
  <c r="F147" i="22"/>
  <c r="F194" i="22"/>
  <c r="F145" i="22"/>
  <c r="F227" i="22"/>
  <c r="F111" i="22"/>
  <c r="F113" i="22"/>
  <c r="F127" i="22"/>
  <c r="F494" i="22"/>
  <c r="F175" i="22"/>
  <c r="F400" i="22"/>
  <c r="F363" i="22"/>
  <c r="F186" i="22"/>
  <c r="F174" i="22"/>
  <c r="F380" i="22"/>
  <c r="F466" i="22"/>
  <c r="F384" i="22"/>
  <c r="F401" i="22"/>
  <c r="F447" i="22"/>
  <c r="F353" i="22"/>
  <c r="F444" i="22"/>
  <c r="F250" i="22"/>
  <c r="F354" i="22"/>
  <c r="F297" i="22"/>
  <c r="F190" i="22"/>
  <c r="F124" i="22"/>
  <c r="F246" i="22"/>
  <c r="F347" i="22"/>
  <c r="F332" i="22"/>
  <c r="F265" i="22"/>
  <c r="F390" i="22"/>
  <c r="F416" i="22"/>
  <c r="F218" i="22"/>
  <c r="F403" i="22"/>
  <c r="F339" i="22"/>
  <c r="F164" i="22"/>
  <c r="F362" i="22"/>
  <c r="F291" i="22"/>
  <c r="F226" i="22"/>
  <c r="F418" i="22"/>
  <c r="F458" i="22"/>
  <c r="F229" i="22"/>
  <c r="F279" i="22"/>
  <c r="F404" i="22"/>
  <c r="F443" i="22"/>
  <c r="F224" i="22"/>
  <c r="F360" i="22"/>
  <c r="F430" i="22"/>
  <c r="F204" i="22"/>
  <c r="F445" i="22"/>
  <c r="F365" i="22"/>
  <c r="F425" i="22"/>
  <c r="F452" i="22"/>
  <c r="F131" i="22"/>
  <c r="F197" i="22"/>
  <c r="F459" i="22"/>
  <c r="F464" i="22"/>
  <c r="F243" i="22"/>
  <c r="F463" i="22"/>
  <c r="F103" i="22"/>
  <c r="F324" i="22"/>
  <c r="F367" i="22"/>
  <c r="F263" i="22"/>
  <c r="F272" i="22"/>
  <c r="F484" i="22"/>
  <c r="F302" i="22"/>
  <c r="F393" i="22"/>
  <c r="F450" i="22"/>
  <c r="F216" i="22"/>
  <c r="F296" i="22"/>
  <c r="F262" i="22"/>
  <c r="F241" i="22"/>
  <c r="F399" i="22"/>
  <c r="F476" i="22"/>
  <c r="F287" i="22"/>
  <c r="F374" i="22"/>
  <c r="F405" i="22"/>
  <c r="F283" i="22"/>
  <c r="F327" i="22"/>
  <c r="F244" i="22"/>
  <c r="F255" i="22"/>
  <c r="F99" i="22"/>
  <c r="F293" i="22"/>
  <c r="F130" i="22"/>
  <c r="F434" i="22"/>
  <c r="F436" i="22"/>
  <c r="F221" i="22"/>
  <c r="F481" i="22"/>
  <c r="F257" i="22"/>
  <c r="F485" i="22"/>
  <c r="F109" i="22"/>
  <c r="F191" i="22"/>
  <c r="F173" i="22"/>
  <c r="F182" i="22"/>
  <c r="F460" i="22"/>
  <c r="F364" i="22"/>
  <c r="F357" i="22"/>
  <c r="F470" i="22"/>
  <c r="F292" i="22"/>
  <c r="F420" i="22"/>
  <c r="F397" i="22"/>
  <c r="F446" i="22"/>
  <c r="F439" i="22"/>
  <c r="F152" i="22"/>
  <c r="F143" i="22"/>
  <c r="F258" i="22"/>
  <c r="F270" i="22"/>
  <c r="F214" i="22"/>
  <c r="F215" i="22"/>
  <c r="F121" i="22"/>
  <c r="F350" i="22"/>
  <c r="F223" i="22"/>
  <c r="F248" i="22"/>
  <c r="F495" i="22"/>
  <c r="F317" i="22"/>
  <c r="F392" i="22"/>
  <c r="F468" i="22"/>
  <c r="F118" i="22"/>
  <c r="F179" i="22"/>
  <c r="F371" i="22"/>
  <c r="F441" i="22"/>
  <c r="F387" i="22"/>
  <c r="F282" i="22"/>
  <c r="F493" i="22"/>
  <c r="F361" i="22"/>
  <c r="F269" i="22"/>
  <c r="F337" i="22"/>
  <c r="F396" i="22"/>
  <c r="F429" i="22"/>
  <c r="F115" i="22"/>
  <c r="F209" i="22"/>
  <c r="F318" i="22"/>
  <c r="F273" i="22"/>
  <c r="F108" i="22"/>
  <c r="F253" i="22"/>
  <c r="F271" i="22"/>
  <c r="F315" i="22"/>
  <c r="F231" i="22"/>
  <c r="F196" i="22"/>
  <c r="F285" i="22"/>
  <c r="F366" i="22"/>
  <c r="F142" i="22"/>
  <c r="F440" i="22"/>
  <c r="F234" i="22"/>
  <c r="F345" i="22"/>
  <c r="F133" i="22"/>
  <c r="F298" i="22"/>
  <c r="F213" i="22"/>
  <c r="F474" i="22"/>
  <c r="F376" i="22"/>
  <c r="F496" i="22"/>
  <c r="F146" i="22"/>
  <c r="F208" i="22"/>
  <c r="F475" i="22"/>
  <c r="F414" i="22"/>
  <c r="F301" i="22"/>
  <c r="F313" i="22"/>
  <c r="F160" i="22"/>
  <c r="F203" i="22"/>
  <c r="F294" i="22"/>
  <c r="F268" i="22"/>
  <c r="F139" i="22"/>
  <c r="F331" i="22"/>
  <c r="F328" i="22"/>
  <c r="F165" i="22"/>
  <c r="F195" i="22"/>
  <c r="F102" i="22"/>
  <c r="F225" i="22"/>
  <c r="F178" i="22"/>
  <c r="F251" i="22"/>
  <c r="F305" i="22"/>
  <c r="F149" i="22"/>
  <c r="F411" i="22"/>
  <c r="F112" i="22"/>
  <c r="V71" i="34"/>
  <c r="Z71" i="34" s="1"/>
  <c r="U5" i="34"/>
  <c r="N83" i="34"/>
  <c r="H78" i="22"/>
  <c r="E60" i="22"/>
  <c r="E52" i="22"/>
  <c r="H52" i="22"/>
  <c r="E73" i="22"/>
  <c r="E131" i="22"/>
  <c r="E180" i="22"/>
  <c r="E214" i="22"/>
  <c r="E331" i="22"/>
  <c r="E102" i="22"/>
  <c r="E455" i="22"/>
  <c r="E135" i="22"/>
  <c r="E439" i="22"/>
  <c r="E449" i="22"/>
  <c r="E319" i="22"/>
  <c r="E123" i="22"/>
  <c r="E205" i="22"/>
  <c r="E342" i="22"/>
  <c r="E289" i="22"/>
  <c r="E158" i="22"/>
  <c r="E244" i="22"/>
  <c r="E311" i="22"/>
  <c r="E460" i="22"/>
  <c r="E178" i="22"/>
  <c r="E203" i="22"/>
  <c r="E243" i="22"/>
  <c r="E385" i="22"/>
  <c r="E105" i="22"/>
  <c r="E463" i="22"/>
  <c r="E117" i="22"/>
  <c r="E447" i="22"/>
  <c r="E423" i="22"/>
  <c r="E293" i="22"/>
  <c r="E266" i="22"/>
  <c r="E335" i="22"/>
  <c r="E431" i="22"/>
  <c r="E259" i="22"/>
  <c r="E147" i="22"/>
  <c r="E24" i="22"/>
  <c r="E475" i="22"/>
  <c r="E72" i="22"/>
  <c r="E71" i="22"/>
  <c r="E116" i="22"/>
  <c r="E445" i="22"/>
  <c r="E75" i="22"/>
  <c r="E343" i="22"/>
  <c r="E235" i="22"/>
  <c r="E146" i="22"/>
  <c r="E32" i="22"/>
  <c r="E77" i="22"/>
  <c r="E263" i="22"/>
  <c r="E231" i="22"/>
  <c r="E328" i="22"/>
  <c r="E492" i="22"/>
  <c r="E428" i="22"/>
  <c r="E226" i="22"/>
  <c r="E225" i="22"/>
  <c r="E287" i="22"/>
  <c r="E85" i="22"/>
  <c r="E322" i="22"/>
  <c r="E397" i="22"/>
  <c r="E115" i="22"/>
  <c r="E395" i="22"/>
  <c r="E258" i="22"/>
  <c r="E388" i="22"/>
  <c r="E318" i="22"/>
  <c r="E298" i="22"/>
  <c r="E234" i="22"/>
  <c r="E378" i="22"/>
  <c r="E402" i="22"/>
  <c r="E286" i="22"/>
  <c r="E242" i="22"/>
  <c r="E413" i="22"/>
  <c r="E134" i="22"/>
  <c r="E103" i="22"/>
  <c r="E229" i="22"/>
  <c r="E70" i="22"/>
  <c r="E212" i="22"/>
  <c r="E13" i="22"/>
  <c r="E189" i="22"/>
  <c r="E430" i="22"/>
  <c r="E301" i="22"/>
  <c r="E221" i="22"/>
  <c r="E163" i="22"/>
  <c r="E379" i="22"/>
  <c r="E69" i="22"/>
  <c r="E304" i="22"/>
  <c r="E236" i="22"/>
  <c r="E456" i="22"/>
  <c r="E345" i="22"/>
  <c r="E206" i="22"/>
  <c r="E83" i="22"/>
  <c r="E156" i="22"/>
  <c r="E278" i="22"/>
  <c r="E348" i="22"/>
  <c r="E486" i="22"/>
  <c r="E179" i="22"/>
  <c r="E306" i="22"/>
  <c r="E68" i="22"/>
  <c r="E362" i="22"/>
  <c r="E446" i="22"/>
  <c r="E280" i="22"/>
  <c r="E177" i="22"/>
  <c r="E252" i="22"/>
  <c r="E479" i="22"/>
  <c r="E325" i="22"/>
  <c r="E477" i="22"/>
  <c r="E467" i="22"/>
  <c r="E339" i="22"/>
  <c r="E230" i="22"/>
  <c r="E478" i="22"/>
  <c r="E414" i="22"/>
  <c r="E141" i="22"/>
  <c r="E210" i="22"/>
  <c r="E67" i="22"/>
  <c r="E66" i="22"/>
  <c r="E305" i="22"/>
  <c r="E198" i="22"/>
  <c r="E107" i="22"/>
  <c r="E261" i="22"/>
  <c r="E138" i="22"/>
  <c r="E264" i="22"/>
  <c r="E370" i="22"/>
  <c r="E195" i="22"/>
  <c r="E424" i="22"/>
  <c r="E10" i="22"/>
  <c r="E187" i="22"/>
  <c r="E490" i="22"/>
  <c r="E369" i="22"/>
  <c r="E448" i="22"/>
  <c r="E302" i="22"/>
  <c r="E12" i="22"/>
  <c r="E86" i="22"/>
  <c r="E409" i="22"/>
  <c r="E422" i="22"/>
  <c r="E434" i="22"/>
  <c r="E338" i="22"/>
  <c r="E18" i="22"/>
  <c r="E355" i="22"/>
  <c r="E403" i="22"/>
  <c r="E17" i="22"/>
  <c r="E247" i="22"/>
  <c r="E454" i="22"/>
  <c r="E129" i="22"/>
  <c r="E453" i="22"/>
  <c r="E65" i="22"/>
  <c r="E288" i="22"/>
  <c r="E257" i="22"/>
  <c r="E334" i="22"/>
  <c r="E485" i="22"/>
  <c r="E101" i="22"/>
  <c r="E315" i="22"/>
  <c r="E92" i="22"/>
  <c r="E220" i="22"/>
  <c r="E372" i="22"/>
  <c r="E380" i="22"/>
  <c r="E390" i="22"/>
  <c r="E109" i="22"/>
  <c r="E496" i="22"/>
  <c r="E22" i="22"/>
  <c r="E285" i="22"/>
  <c r="E324" i="22"/>
  <c r="E332" i="22"/>
  <c r="E323" i="22"/>
  <c r="E104" i="22"/>
  <c r="E436" i="22"/>
  <c r="E417" i="22"/>
  <c r="E130" i="22"/>
  <c r="E114" i="22"/>
  <c r="E111" i="22"/>
  <c r="E157" i="22"/>
  <c r="E437" i="22"/>
  <c r="E426" i="22"/>
  <c r="E219" i="22"/>
  <c r="E100" i="22"/>
  <c r="E161" i="22"/>
  <c r="E351" i="22"/>
  <c r="E169" i="22"/>
  <c r="E415" i="22"/>
  <c r="E14" i="22"/>
  <c r="E222" i="22"/>
  <c r="E29" i="22"/>
  <c r="E127" i="22"/>
  <c r="E418" i="22"/>
  <c r="E443" i="22"/>
  <c r="E140" i="22"/>
  <c r="E404" i="22"/>
  <c r="E277" i="22"/>
  <c r="E159" i="22"/>
  <c r="E139" i="22"/>
  <c r="E399" i="22"/>
  <c r="E393" i="22"/>
  <c r="E452" i="22"/>
  <c r="E64" i="22"/>
  <c r="E110" i="22"/>
  <c r="E365" i="22"/>
  <c r="E26" i="22"/>
  <c r="E410" i="22"/>
  <c r="E363" i="22"/>
  <c r="E316" i="22"/>
  <c r="E272" i="22"/>
  <c r="E299" i="22"/>
  <c r="E347" i="22"/>
  <c r="E218" i="22"/>
  <c r="E367" i="22"/>
  <c r="E209" i="22"/>
  <c r="E63" i="22"/>
  <c r="E356" i="22"/>
  <c r="E113" i="22"/>
  <c r="E133" i="22"/>
  <c r="E330" i="22"/>
  <c r="E192" i="22"/>
  <c r="E481" i="22"/>
  <c r="E23" i="22"/>
  <c r="E34" i="22"/>
  <c r="E181" i="22"/>
  <c r="E357" i="22"/>
  <c r="E249" i="22"/>
  <c r="E405" i="22"/>
  <c r="E11" i="22"/>
  <c r="E248" i="22"/>
  <c r="E162" i="22"/>
  <c r="E366" i="22"/>
  <c r="E308" i="22"/>
  <c r="E176" i="22"/>
  <c r="E256" i="22"/>
  <c r="E204" i="22"/>
  <c r="E487" i="22"/>
  <c r="E457" i="22"/>
  <c r="E473" i="22"/>
  <c r="E341" i="22"/>
  <c r="E283" i="22"/>
  <c r="E392" i="22"/>
  <c r="E208" i="22"/>
  <c r="E412" i="22"/>
  <c r="E400" i="22"/>
  <c r="E80" i="22"/>
  <c r="E62" i="22"/>
  <c r="E275" i="22"/>
  <c r="E228" i="22"/>
  <c r="E120" i="22"/>
  <c r="E145" i="22"/>
  <c r="E282" i="22"/>
  <c r="E239" i="22"/>
  <c r="E166" i="22"/>
  <c r="E154" i="22"/>
  <c r="E271" i="22"/>
  <c r="E89" i="22"/>
  <c r="E317" i="22"/>
  <c r="E340" i="22"/>
  <c r="E416" i="22"/>
  <c r="E438" i="22"/>
  <c r="E254" i="22"/>
  <c r="E165" i="22"/>
  <c r="E269" i="22"/>
  <c r="E240" i="22"/>
  <c r="E151" i="22"/>
  <c r="E61" i="22"/>
  <c r="E216" i="22"/>
  <c r="E38" i="22"/>
  <c r="E360" i="22"/>
  <c r="E9" i="22"/>
  <c r="E276" i="22"/>
  <c r="E498" i="22"/>
  <c r="E1028" i="47" s="1"/>
  <c r="E27" i="22"/>
  <c r="E59" i="22"/>
  <c r="E58" i="22"/>
  <c r="E250" i="22"/>
  <c r="E253" i="22"/>
  <c r="E128" i="22"/>
  <c r="E327" i="22"/>
  <c r="E484" i="22"/>
  <c r="E144" i="22"/>
  <c r="E173" i="22"/>
  <c r="E462" i="22"/>
  <c r="E39" i="22"/>
  <c r="E193" i="22"/>
  <c r="E361" i="22"/>
  <c r="E53" i="22"/>
  <c r="E391" i="22"/>
  <c r="E382" i="22"/>
  <c r="E421" i="22"/>
  <c r="E217" i="22"/>
  <c r="E82" i="22"/>
  <c r="E57" i="22"/>
  <c r="E119" i="22"/>
  <c r="E310" i="22"/>
  <c r="E126" i="22"/>
  <c r="E160" i="22"/>
  <c r="E377" i="22"/>
  <c r="E95" i="22"/>
  <c r="E358" i="22"/>
  <c r="E168" i="22"/>
  <c r="E56" i="22"/>
  <c r="E337" i="22"/>
  <c r="E350" i="22"/>
  <c r="E98" i="22"/>
  <c r="E184" i="22"/>
  <c r="E55" i="22"/>
  <c r="E84" i="22"/>
  <c r="E88" i="22"/>
  <c r="E191" i="22"/>
  <c r="E433" i="22"/>
  <c r="E182" i="22"/>
  <c r="E444" i="22"/>
  <c r="E406" i="22"/>
  <c r="E383" i="22"/>
  <c r="E314" i="22"/>
  <c r="E441" i="22"/>
  <c r="E474" i="22"/>
  <c r="E353" i="22"/>
  <c r="E30" i="22"/>
  <c r="E20" i="22"/>
  <c r="E79" i="22"/>
  <c r="E1095" i="47" s="1"/>
  <c r="E291" i="22"/>
  <c r="E54" i="22"/>
  <c r="E150" i="22"/>
  <c r="E28" i="22"/>
  <c r="E359" i="22"/>
  <c r="E118" i="22"/>
  <c r="E90" i="22"/>
  <c r="E294" i="22"/>
  <c r="E124" i="22"/>
  <c r="E425" i="22"/>
  <c r="E292" i="22"/>
  <c r="E442" i="22"/>
  <c r="E407" i="22"/>
  <c r="E268" i="22"/>
  <c r="E497" i="22"/>
  <c r="E364" i="22"/>
  <c r="E19" i="22"/>
  <c r="E284" i="22"/>
  <c r="E211" i="22"/>
  <c r="E326" i="22"/>
  <c r="E270" i="22"/>
  <c r="E194" i="22"/>
  <c r="E309" i="22"/>
  <c r="E464" i="22"/>
  <c r="E375" i="22"/>
  <c r="E373" i="22"/>
  <c r="E185" i="22"/>
  <c r="E494" i="22"/>
  <c r="E376" i="22"/>
  <c r="E411" i="22"/>
  <c r="E201" i="22"/>
  <c r="E450" i="22"/>
  <c r="E295" i="22"/>
  <c r="E398" i="22"/>
  <c r="E25" i="22"/>
  <c r="E468" i="22"/>
  <c r="E296" i="22"/>
  <c r="E237" i="22"/>
  <c r="E491" i="22"/>
  <c r="E1093" i="47" s="1"/>
  <c r="E401" i="22"/>
  <c r="E94" i="22"/>
  <c r="E142" i="22"/>
  <c r="E394" i="22"/>
  <c r="E136" i="22"/>
  <c r="E458" i="22"/>
  <c r="E290" i="22"/>
  <c r="E108" i="22"/>
  <c r="E16" i="22"/>
  <c r="E44" i="22"/>
  <c r="E15" i="22"/>
  <c r="E51" i="22"/>
  <c r="E273" i="22"/>
  <c r="E482" i="22"/>
  <c r="E371" i="22"/>
  <c r="E202" i="22"/>
  <c r="E471" i="22"/>
  <c r="E313" i="22"/>
  <c r="E74" i="22"/>
  <c r="E387" i="22"/>
  <c r="E132" i="22"/>
  <c r="E461" i="22"/>
  <c r="E419" i="22"/>
  <c r="E307" i="22"/>
  <c r="E122" i="22"/>
  <c r="E76" i="22"/>
  <c r="E1092" i="47" s="1"/>
  <c r="E78" i="22"/>
  <c r="E429" i="22"/>
  <c r="E489" i="22"/>
  <c r="E188" i="22"/>
  <c r="E352" i="22"/>
  <c r="E238" i="22"/>
  <c r="E164" i="22"/>
  <c r="E265" i="22"/>
  <c r="E267" i="22"/>
  <c r="E40" i="22"/>
  <c r="E50" i="22"/>
  <c r="E49" i="22"/>
  <c r="E137" i="22"/>
  <c r="E81" i="22"/>
  <c r="E427" i="22"/>
  <c r="E451" i="22"/>
  <c r="E33" i="22"/>
  <c r="E21" i="22"/>
  <c r="E374" i="22"/>
  <c r="E48" i="22"/>
  <c r="E260" i="22"/>
  <c r="E320" i="22"/>
  <c r="E99" i="22"/>
  <c r="E93" i="22"/>
  <c r="E480" i="22"/>
  <c r="E155" i="22"/>
  <c r="E459" i="22"/>
  <c r="E200" i="22"/>
  <c r="E47" i="22"/>
  <c r="E190" i="22"/>
  <c r="E35" i="22"/>
  <c r="E46" i="22"/>
  <c r="E349" i="22"/>
  <c r="E420" i="22"/>
  <c r="E469" i="22"/>
  <c r="E196" i="22"/>
  <c r="E152" i="22"/>
  <c r="E251" i="22"/>
  <c r="E246" i="22"/>
  <c r="E300" i="22"/>
  <c r="E223" i="22"/>
  <c r="E172" i="22"/>
  <c r="E368" i="22"/>
  <c r="E279" i="22"/>
  <c r="E466" i="22"/>
  <c r="E495" i="22"/>
  <c r="E1163" i="47" s="1"/>
  <c r="E183" i="22"/>
  <c r="E386" i="22"/>
  <c r="E45" i="22"/>
  <c r="E241" i="22"/>
  <c r="E396" i="22"/>
  <c r="E170" i="22"/>
  <c r="E199" i="22"/>
  <c r="E303" i="22"/>
  <c r="E143" i="22"/>
  <c r="E408" i="22"/>
  <c r="E106" i="22"/>
  <c r="E97" i="22"/>
  <c r="E255" i="22"/>
  <c r="E274" i="22"/>
  <c r="E262" i="22"/>
  <c r="E215" i="22"/>
  <c r="E493" i="22"/>
  <c r="E389" i="22"/>
  <c r="E148" i="22"/>
  <c r="E43" i="22"/>
  <c r="E488" i="22"/>
  <c r="E435" i="22"/>
  <c r="E384" i="22"/>
  <c r="E354" i="22"/>
  <c r="E197" i="22"/>
  <c r="E174" i="22"/>
  <c r="E36" i="22"/>
  <c r="E224" i="22"/>
  <c r="E213" i="22"/>
  <c r="E186" i="22"/>
  <c r="E232" i="22"/>
  <c r="E125" i="22"/>
  <c r="E42" i="22"/>
  <c r="E312" i="22"/>
  <c r="E41" i="22"/>
  <c r="E465" i="22"/>
  <c r="E37" i="22"/>
  <c r="E476" i="22"/>
  <c r="E346" i="22"/>
  <c r="E87" i="22"/>
  <c r="E171" i="22"/>
  <c r="E31" i="22"/>
  <c r="E472" i="22"/>
  <c r="E112" i="22"/>
  <c r="E233" i="22"/>
  <c r="E440" i="22"/>
  <c r="E381" i="22"/>
  <c r="E227" i="22"/>
  <c r="E121" i="22"/>
  <c r="E149" i="22"/>
  <c r="E470" i="22"/>
  <c r="E167" i="22"/>
  <c r="E297" i="22"/>
  <c r="E175" i="22"/>
  <c r="E91" i="22"/>
  <c r="W50" i="34"/>
  <c r="S50" i="34"/>
  <c r="O50" i="34"/>
  <c r="M50" i="34"/>
  <c r="K50" i="34"/>
  <c r="I50" i="34"/>
  <c r="G50" i="34"/>
  <c r="H53" i="34"/>
  <c r="E53" i="34"/>
  <c r="B53" i="34"/>
  <c r="S35" i="34"/>
  <c r="S32" i="34"/>
  <c r="R71" i="34"/>
  <c r="AH68" i="34"/>
  <c r="AL65" i="34"/>
  <c r="AH65" i="34"/>
  <c r="AD65" i="34"/>
  <c r="AA65" i="34"/>
  <c r="Z65" i="34"/>
  <c r="AH62" i="34"/>
  <c r="AD62" i="34"/>
  <c r="M62" i="34"/>
  <c r="AD59" i="34"/>
  <c r="L5" i="22"/>
  <c r="V44" i="34"/>
  <c r="Z44" i="34" s="1"/>
  <c r="AH41" i="34"/>
  <c r="AL38" i="34"/>
  <c r="AH38" i="34"/>
  <c r="AD38" i="34"/>
  <c r="AH35" i="34"/>
  <c r="AD35" i="34"/>
  <c r="W35" i="34"/>
  <c r="M35" i="34"/>
  <c r="AD32" i="34"/>
  <c r="H24" i="22"/>
  <c r="H72" i="22"/>
  <c r="H298" i="22"/>
  <c r="U298" i="22" s="1"/>
  <c r="W298" i="22" s="1"/>
  <c r="H68" i="22"/>
  <c r="H65" i="22"/>
  <c r="H56" i="22"/>
  <c r="H440" i="22"/>
  <c r="U440" i="22" s="1"/>
  <c r="W440" i="22" s="1"/>
  <c r="H105" i="22"/>
  <c r="H329" i="22"/>
  <c r="U329" i="22" s="1"/>
  <c r="W329" i="22" s="1"/>
  <c r="H271" i="22"/>
  <c r="U271" i="22" s="1"/>
  <c r="W271" i="22" s="1"/>
  <c r="H79" i="22"/>
  <c r="H1095" i="47" s="1"/>
  <c r="T1095" i="47" s="1"/>
  <c r="H44" i="22"/>
  <c r="H51" i="22"/>
  <c r="H149" i="22"/>
  <c r="U149" i="22" s="1"/>
  <c r="W149" i="22" s="1"/>
  <c r="H131" i="22"/>
  <c r="U131" i="22" s="1"/>
  <c r="W131" i="22" s="1"/>
  <c r="H180" i="22"/>
  <c r="H449" i="22"/>
  <c r="H342" i="22"/>
  <c r="H460" i="22"/>
  <c r="U460" i="22" s="1"/>
  <c r="W460" i="22" s="1"/>
  <c r="H266" i="22"/>
  <c r="U266" i="22" s="1"/>
  <c r="W266" i="22" s="1"/>
  <c r="H231" i="22"/>
  <c r="U231" i="22" s="1"/>
  <c r="W231" i="22" s="1"/>
  <c r="H115" i="22"/>
  <c r="U115" i="22" s="1"/>
  <c r="W115" i="22" s="1"/>
  <c r="H234" i="22"/>
  <c r="U234" i="22" s="1"/>
  <c r="W234" i="22" s="1"/>
  <c r="H242" i="22"/>
  <c r="H134" i="22"/>
  <c r="H189" i="22"/>
  <c r="U189" i="22" s="1"/>
  <c r="W189" i="22" s="1"/>
  <c r="H69" i="22"/>
  <c r="H236" i="22"/>
  <c r="H479" i="22"/>
  <c r="H325" i="22"/>
  <c r="H138" i="22"/>
  <c r="H424" i="22"/>
  <c r="H422" i="22"/>
  <c r="H355" i="22"/>
  <c r="U355" i="22" s="1"/>
  <c r="W355" i="22" s="1"/>
  <c r="H453" i="22"/>
  <c r="H390" i="22"/>
  <c r="U390" i="22" s="1"/>
  <c r="W390" i="22" s="1"/>
  <c r="H323" i="22"/>
  <c r="H157" i="22"/>
  <c r="H452" i="22"/>
  <c r="U452" i="22" s="1"/>
  <c r="W452" i="22" s="1"/>
  <c r="H365" i="22"/>
  <c r="U365" i="22" s="1"/>
  <c r="W365" i="22" s="1"/>
  <c r="H299" i="22"/>
  <c r="H63" i="22"/>
  <c r="H192" i="22"/>
  <c r="U192" i="22" s="1"/>
  <c r="W192" i="22" s="1"/>
  <c r="H357" i="22"/>
  <c r="U357" i="22" s="1"/>
  <c r="W357" i="22" s="1"/>
  <c r="H366" i="22"/>
  <c r="U366" i="22" s="1"/>
  <c r="W366" i="22" s="1"/>
  <c r="H341" i="22"/>
  <c r="H228" i="22"/>
  <c r="H89" i="22"/>
  <c r="H438" i="22"/>
  <c r="H254" i="22"/>
  <c r="H60" i="22"/>
  <c r="H59" i="22"/>
  <c r="H57" i="22"/>
  <c r="H168" i="22"/>
  <c r="H433" i="22"/>
  <c r="H182" i="22"/>
  <c r="U182" i="22" s="1"/>
  <c r="W182" i="22" s="1"/>
  <c r="H406" i="22"/>
  <c r="H20" i="22"/>
  <c r="H425" i="22"/>
  <c r="U425" i="22" s="1"/>
  <c r="W425" i="22" s="1"/>
  <c r="H364" i="22"/>
  <c r="U364" i="22" s="1"/>
  <c r="W364" i="22" s="1"/>
  <c r="H464" i="22"/>
  <c r="U464" i="22" s="1"/>
  <c r="W464" i="22" s="1"/>
  <c r="H185" i="22"/>
  <c r="U185" i="22" s="1"/>
  <c r="W185" i="22" s="1"/>
  <c r="H201" i="22"/>
  <c r="H461" i="22"/>
  <c r="H40" i="22"/>
  <c r="H459" i="22"/>
  <c r="U459" i="22" s="1"/>
  <c r="W459" i="22" s="1"/>
  <c r="H196" i="22"/>
  <c r="U196" i="22" s="1"/>
  <c r="W196" i="22" s="1"/>
  <c r="H172" i="22"/>
  <c r="H274" i="22"/>
  <c r="H148" i="22"/>
  <c r="H197" i="22"/>
  <c r="U197" i="22" s="1"/>
  <c r="W197" i="22" s="1"/>
  <c r="H31" i="22"/>
  <c r="H331" i="22"/>
  <c r="U331" i="22" s="1"/>
  <c r="W331" i="22" s="1"/>
  <c r="H116" i="22"/>
  <c r="H328" i="22"/>
  <c r="U328" i="22" s="1"/>
  <c r="W328" i="22" s="1"/>
  <c r="H179" i="22"/>
  <c r="U179" i="22" s="1"/>
  <c r="W179" i="22" s="1"/>
  <c r="H467" i="22"/>
  <c r="H210" i="22"/>
  <c r="H139" i="22"/>
  <c r="U139" i="22" s="1"/>
  <c r="W139" i="22" s="1"/>
  <c r="H363" i="22"/>
  <c r="U363" i="22" s="1"/>
  <c r="W363" i="22" s="1"/>
  <c r="H412" i="22"/>
  <c r="H400" i="22"/>
  <c r="U400" i="22" s="1"/>
  <c r="W400" i="22" s="1"/>
  <c r="H239" i="22"/>
  <c r="H118" i="22"/>
  <c r="U118" i="22" s="1"/>
  <c r="W118" i="22" s="1"/>
  <c r="H468" i="22"/>
  <c r="U468" i="22" s="1"/>
  <c r="W468" i="22" s="1"/>
  <c r="H251" i="22"/>
  <c r="U251" i="22" s="1"/>
  <c r="W251" i="22" s="1"/>
  <c r="H255" i="22"/>
  <c r="U255" i="22" s="1"/>
  <c r="W255" i="22" s="1"/>
  <c r="H42" i="22"/>
  <c r="H175" i="22"/>
  <c r="U175" i="22" s="1"/>
  <c r="W175" i="22" s="1"/>
  <c r="H455" i="22"/>
  <c r="H135" i="22"/>
  <c r="H439" i="22"/>
  <c r="U439" i="22" s="1"/>
  <c r="W439" i="22" s="1"/>
  <c r="H319" i="22"/>
  <c r="H158" i="22"/>
  <c r="H311" i="22"/>
  <c r="H243" i="22"/>
  <c r="U243" i="22" s="1"/>
  <c r="W243" i="22" s="1"/>
  <c r="H385" i="22"/>
  <c r="U385" i="22" s="1"/>
  <c r="W385" i="22" s="1"/>
  <c r="H463" i="22"/>
  <c r="U463" i="22" s="1"/>
  <c r="W463" i="22" s="1"/>
  <c r="H423" i="22"/>
  <c r="H431" i="22"/>
  <c r="H263" i="22"/>
  <c r="U263" i="22" s="1"/>
  <c r="W263" i="22" s="1"/>
  <c r="H428" i="22"/>
  <c r="H397" i="22"/>
  <c r="U397" i="22" s="1"/>
  <c r="W397" i="22" s="1"/>
  <c r="H395" i="22"/>
  <c r="H402" i="22"/>
  <c r="H413" i="22"/>
  <c r="H103" i="22"/>
  <c r="U103" i="22" s="1"/>
  <c r="W103" i="22" s="1"/>
  <c r="H70" i="22"/>
  <c r="H379" i="22"/>
  <c r="H304" i="22"/>
  <c r="H345" i="22"/>
  <c r="U345" i="22" s="1"/>
  <c r="W345" i="22" s="1"/>
  <c r="H278" i="22"/>
  <c r="H446" i="22"/>
  <c r="U446" i="22" s="1"/>
  <c r="W446" i="22" s="1"/>
  <c r="H177" i="22"/>
  <c r="H339" i="22"/>
  <c r="U339" i="22" s="1"/>
  <c r="W339" i="22" s="1"/>
  <c r="H141" i="22"/>
  <c r="H264" i="22"/>
  <c r="H302" i="22"/>
  <c r="U302" i="22" s="1"/>
  <c r="W302" i="22" s="1"/>
  <c r="H338" i="22"/>
  <c r="H247" i="22"/>
  <c r="H101" i="22"/>
  <c r="H92" i="22"/>
  <c r="H324" i="22"/>
  <c r="U324" i="22" s="1"/>
  <c r="W324" i="22" s="1"/>
  <c r="H351" i="22"/>
  <c r="H418" i="22"/>
  <c r="U418" i="22" s="1"/>
  <c r="W418" i="22" s="1"/>
  <c r="H140" i="22"/>
  <c r="H277" i="22"/>
  <c r="U277" i="22" s="1"/>
  <c r="W277" i="22" s="1"/>
  <c r="H64" i="22"/>
  <c r="H272" i="22"/>
  <c r="U272" i="22" s="1"/>
  <c r="W272" i="22" s="1"/>
  <c r="H218" i="22"/>
  <c r="U218" i="22" s="1"/>
  <c r="W218" i="22" s="1"/>
  <c r="H367" i="22"/>
  <c r="U367" i="22" s="1"/>
  <c r="W367" i="22" s="1"/>
  <c r="H256" i="22"/>
  <c r="H275" i="22"/>
  <c r="H154" i="22"/>
  <c r="H128" i="22"/>
  <c r="U128" i="22" s="1"/>
  <c r="W128" i="22" s="1"/>
  <c r="H484" i="22"/>
  <c r="U484" i="22" s="1"/>
  <c r="W484" i="22" s="1"/>
  <c r="H462" i="22"/>
  <c r="U462" i="22" s="1"/>
  <c r="W462" i="22" s="1"/>
  <c r="H193" i="22"/>
  <c r="H310" i="22"/>
  <c r="H474" i="22"/>
  <c r="U474" i="22" s="1"/>
  <c r="W474" i="22" s="1"/>
  <c r="H291" i="22"/>
  <c r="U291" i="22" s="1"/>
  <c r="W291" i="22" s="1"/>
  <c r="H292" i="22"/>
  <c r="U292" i="22" s="1"/>
  <c r="W292" i="22" s="1"/>
  <c r="H376" i="22"/>
  <c r="U376" i="22" s="1"/>
  <c r="W376" i="22" s="1"/>
  <c r="H237" i="22"/>
  <c r="U237" i="22" s="1"/>
  <c r="W237" i="22" s="1"/>
  <c r="H142" i="22"/>
  <c r="U142" i="22" s="1"/>
  <c r="W142" i="22" s="1"/>
  <c r="H290" i="22"/>
  <c r="H482" i="22"/>
  <c r="H202" i="22"/>
  <c r="H164" i="22"/>
  <c r="U164" i="22" s="1"/>
  <c r="W164" i="22" s="1"/>
  <c r="H427" i="22"/>
  <c r="H260" i="22"/>
  <c r="H420" i="22"/>
  <c r="U420" i="22" s="1"/>
  <c r="W420" i="22" s="1"/>
  <c r="H152" i="22"/>
  <c r="U152" i="22" s="1"/>
  <c r="W152" i="22" s="1"/>
  <c r="H246" i="22"/>
  <c r="U246" i="22" s="1"/>
  <c r="W246" i="22" s="1"/>
  <c r="H213" i="22"/>
  <c r="U213" i="22" s="1"/>
  <c r="W213" i="22" s="1"/>
  <c r="H171" i="22"/>
  <c r="U171" i="22" s="1"/>
  <c r="W171" i="22" s="1"/>
  <c r="H470" i="22"/>
  <c r="U470" i="22" s="1"/>
  <c r="W470" i="22" s="1"/>
  <c r="H297" i="22"/>
  <c r="U297" i="22" s="1"/>
  <c r="W297" i="22" s="1"/>
  <c r="H306" i="22"/>
  <c r="H67" i="22"/>
  <c r="H18" i="22"/>
  <c r="H62" i="22"/>
  <c r="H151" i="22"/>
  <c r="H83" i="22"/>
  <c r="H73" i="22"/>
  <c r="H214" i="22"/>
  <c r="U214" i="22" s="1"/>
  <c r="W214" i="22" s="1"/>
  <c r="H123" i="22"/>
  <c r="H117" i="22"/>
  <c r="H147" i="22"/>
  <c r="U147" i="22" s="1"/>
  <c r="W147" i="22" s="1"/>
  <c r="H146" i="22"/>
  <c r="U146" i="22" s="1"/>
  <c r="W146" i="22" s="1"/>
  <c r="H85" i="22"/>
  <c r="H258" i="22"/>
  <c r="U258" i="22" s="1"/>
  <c r="W258" i="22" s="1"/>
  <c r="H318" i="22"/>
  <c r="U318" i="22" s="1"/>
  <c r="W318" i="22" s="1"/>
  <c r="H156" i="22"/>
  <c r="H280" i="22"/>
  <c r="H252" i="22"/>
  <c r="H478" i="22"/>
  <c r="H66" i="22"/>
  <c r="H305" i="22"/>
  <c r="U305" i="22" s="1"/>
  <c r="W305" i="22" s="1"/>
  <c r="H198" i="22"/>
  <c r="H107" i="22"/>
  <c r="H187" i="22"/>
  <c r="H490" i="22"/>
  <c r="H369" i="22"/>
  <c r="H454" i="22"/>
  <c r="H288" i="22"/>
  <c r="H315" i="22"/>
  <c r="U315" i="22" s="1"/>
  <c r="W315" i="22" s="1"/>
  <c r="H496" i="22"/>
  <c r="H111" i="22"/>
  <c r="U111" i="22" s="1"/>
  <c r="W111" i="22" s="1"/>
  <c r="H437" i="22"/>
  <c r="H426" i="22"/>
  <c r="H219" i="22"/>
  <c r="H161" i="22"/>
  <c r="H415" i="22"/>
  <c r="H222" i="22"/>
  <c r="H399" i="22"/>
  <c r="U399" i="22" s="1"/>
  <c r="W399" i="22" s="1"/>
  <c r="H393" i="22"/>
  <c r="U393" i="22" s="1"/>
  <c r="W393" i="22" s="1"/>
  <c r="H347" i="22"/>
  <c r="U347" i="22" s="1"/>
  <c r="W347" i="22" s="1"/>
  <c r="H209" i="22"/>
  <c r="U209" i="22" s="1"/>
  <c r="W209" i="22" s="1"/>
  <c r="H34" i="22"/>
  <c r="H181" i="22"/>
  <c r="H308" i="22"/>
  <c r="H487" i="22"/>
  <c r="H473" i="22"/>
  <c r="H208" i="22"/>
  <c r="U208" i="22" s="1"/>
  <c r="W208" i="22" s="1"/>
  <c r="H80" i="22"/>
  <c r="H145" i="22"/>
  <c r="U145" i="22" s="1"/>
  <c r="W145" i="22" s="1"/>
  <c r="H166" i="22"/>
  <c r="H340" i="22"/>
  <c r="H216" i="22"/>
  <c r="U216" i="22" s="1"/>
  <c r="W216" i="22" s="1"/>
  <c r="H498" i="22"/>
  <c r="H27" i="22"/>
  <c r="H58" i="22"/>
  <c r="H253" i="22"/>
  <c r="U253" i="22" s="1"/>
  <c r="W253" i="22" s="1"/>
  <c r="H53" i="22"/>
  <c r="H391" i="22"/>
  <c r="H217" i="22"/>
  <c r="H82" i="22"/>
  <c r="H119" i="22"/>
  <c r="H126" i="22"/>
  <c r="H95" i="22"/>
  <c r="H55" i="22"/>
  <c r="H88" i="22"/>
  <c r="H444" i="22"/>
  <c r="U444" i="22" s="1"/>
  <c r="W444" i="22" s="1"/>
  <c r="H314" i="22"/>
  <c r="H54" i="22"/>
  <c r="H28" i="22"/>
  <c r="H90" i="22"/>
  <c r="H497" i="22"/>
  <c r="H284" i="22"/>
  <c r="H270" i="22"/>
  <c r="U270" i="22" s="1"/>
  <c r="W270" i="22" s="1"/>
  <c r="H194" i="22"/>
  <c r="U194" i="22" s="1"/>
  <c r="W194" i="22" s="1"/>
  <c r="H309" i="22"/>
  <c r="H450" i="22"/>
  <c r="U450" i="22" s="1"/>
  <c r="W450" i="22" s="1"/>
  <c r="H296" i="22"/>
  <c r="U296" i="22" s="1"/>
  <c r="W296" i="22" s="1"/>
  <c r="H491" i="22"/>
  <c r="H273" i="22"/>
  <c r="U273" i="22" s="1"/>
  <c r="W273" i="22" s="1"/>
  <c r="H265" i="22"/>
  <c r="U265" i="22" s="1"/>
  <c r="W265" i="22" s="1"/>
  <c r="H50" i="22"/>
  <c r="H21" i="22"/>
  <c r="H93" i="22"/>
  <c r="H47" i="22"/>
  <c r="H35" i="22"/>
  <c r="H46" i="22"/>
  <c r="H300" i="22"/>
  <c r="H368" i="22"/>
  <c r="H183" i="22"/>
  <c r="H386" i="22"/>
  <c r="H241" i="22"/>
  <c r="U241" i="22" s="1"/>
  <c r="W241" i="22" s="1"/>
  <c r="H143" i="22"/>
  <c r="U143" i="22" s="1"/>
  <c r="W143" i="22" s="1"/>
  <c r="H262" i="22"/>
  <c r="U262" i="22" s="1"/>
  <c r="W262" i="22" s="1"/>
  <c r="H215" i="22"/>
  <c r="U215" i="22" s="1"/>
  <c r="W215" i="22" s="1"/>
  <c r="H389" i="22"/>
  <c r="H43" i="22"/>
  <c r="H488" i="22"/>
  <c r="H224" i="22"/>
  <c r="U224" i="22" s="1"/>
  <c r="W224" i="22" s="1"/>
  <c r="H125" i="22"/>
  <c r="H41" i="22"/>
  <c r="H465" i="22"/>
  <c r="H37" i="22"/>
  <c r="H112" i="22"/>
  <c r="U112" i="22" s="1"/>
  <c r="W112" i="22" s="1"/>
  <c r="H381" i="22"/>
  <c r="H227" i="22"/>
  <c r="U227" i="22" s="1"/>
  <c r="W227" i="22" s="1"/>
  <c r="H121" i="22"/>
  <c r="U121" i="22" s="1"/>
  <c r="W121" i="22" s="1"/>
  <c r="H261" i="22"/>
  <c r="H200" i="22"/>
  <c r="H102" i="22"/>
  <c r="U102" i="22" s="1"/>
  <c r="W102" i="22" s="1"/>
  <c r="H205" i="22"/>
  <c r="H293" i="22"/>
  <c r="U293" i="22" s="1"/>
  <c r="W293" i="22" s="1"/>
  <c r="H225" i="22"/>
  <c r="U225" i="22" s="1"/>
  <c r="W225" i="22" s="1"/>
  <c r="H221" i="22"/>
  <c r="U221" i="22" s="1"/>
  <c r="W221" i="22" s="1"/>
  <c r="H230" i="22"/>
  <c r="H195" i="22"/>
  <c r="U195" i="22" s="1"/>
  <c r="W195" i="22" s="1"/>
  <c r="H434" i="22"/>
  <c r="U434" i="22" s="1"/>
  <c r="W434" i="22" s="1"/>
  <c r="H485" i="22"/>
  <c r="U485" i="22" s="1"/>
  <c r="W485" i="22" s="1"/>
  <c r="H372" i="22"/>
  <c r="H380" i="22"/>
  <c r="U380" i="22" s="1"/>
  <c r="W380" i="22" s="1"/>
  <c r="H109" i="22"/>
  <c r="U109" i="22" s="1"/>
  <c r="W109" i="22" s="1"/>
  <c r="H436" i="22"/>
  <c r="U436" i="22" s="1"/>
  <c r="W436" i="22" s="1"/>
  <c r="H130" i="22"/>
  <c r="U130" i="22" s="1"/>
  <c r="W130" i="22" s="1"/>
  <c r="H481" i="22"/>
  <c r="U481" i="22" s="1"/>
  <c r="W481" i="22" s="1"/>
  <c r="H457" i="22"/>
  <c r="H282" i="22"/>
  <c r="U282" i="22" s="1"/>
  <c r="W282" i="22" s="1"/>
  <c r="H276" i="22"/>
  <c r="H361" i="22"/>
  <c r="U361" i="22" s="1"/>
  <c r="W361" i="22" s="1"/>
  <c r="H337" i="22"/>
  <c r="U337" i="22" s="1"/>
  <c r="W337" i="22" s="1"/>
  <c r="H191" i="22"/>
  <c r="U191" i="22" s="1"/>
  <c r="W191" i="22" s="1"/>
  <c r="H441" i="22"/>
  <c r="U441" i="22" s="1"/>
  <c r="W441" i="22" s="1"/>
  <c r="H150" i="22"/>
  <c r="H407" i="22"/>
  <c r="H326" i="22"/>
  <c r="H136" i="22"/>
  <c r="H371" i="22"/>
  <c r="U371" i="22" s="1"/>
  <c r="W371" i="22" s="1"/>
  <c r="H387" i="22"/>
  <c r="U387" i="22" s="1"/>
  <c r="W387" i="22" s="1"/>
  <c r="H466" i="22"/>
  <c r="U466" i="22" s="1"/>
  <c r="W466" i="22" s="1"/>
  <c r="H396" i="22"/>
  <c r="U396" i="22" s="1"/>
  <c r="W396" i="22" s="1"/>
  <c r="H493" i="22"/>
  <c r="U493" i="22" s="1"/>
  <c r="W493" i="22" s="1"/>
  <c r="H384" i="22"/>
  <c r="U384" i="22" s="1"/>
  <c r="W384" i="22" s="1"/>
  <c r="H174" i="22"/>
  <c r="U174" i="22" s="1"/>
  <c r="W174" i="22" s="1"/>
  <c r="H186" i="22"/>
  <c r="U186" i="22" s="1"/>
  <c r="W186" i="22" s="1"/>
  <c r="H388" i="22"/>
  <c r="H378" i="22"/>
  <c r="H163" i="22"/>
  <c r="H362" i="22"/>
  <c r="U362" i="22" s="1"/>
  <c r="W362" i="22" s="1"/>
  <c r="H370" i="22"/>
  <c r="H403" i="22"/>
  <c r="U403" i="22" s="1"/>
  <c r="W403" i="22" s="1"/>
  <c r="H334" i="22"/>
  <c r="H332" i="22"/>
  <c r="U332" i="22" s="1"/>
  <c r="W332" i="22" s="1"/>
  <c r="H114" i="22"/>
  <c r="H100" i="22"/>
  <c r="H98" i="22"/>
  <c r="H458" i="22"/>
  <c r="U458" i="22" s="1"/>
  <c r="W458" i="22" s="1"/>
  <c r="H238" i="22"/>
  <c r="H349" i="22"/>
  <c r="H354" i="22"/>
  <c r="U354" i="22" s="1"/>
  <c r="W354" i="22" s="1"/>
  <c r="H435" i="22"/>
  <c r="H269" i="22"/>
  <c r="U269" i="22" s="1"/>
  <c r="W269" i="22" s="1"/>
  <c r="H206" i="22"/>
  <c r="H486" i="22"/>
  <c r="H104" i="22"/>
  <c r="H316" i="22"/>
  <c r="H398" i="22"/>
  <c r="H122" i="22"/>
  <c r="H170" i="22"/>
  <c r="H475" i="22"/>
  <c r="U475" i="22" s="1"/>
  <c r="W475" i="22" s="1"/>
  <c r="H235" i="22"/>
  <c r="H287" i="22"/>
  <c r="U287" i="22" s="1"/>
  <c r="W287" i="22" s="1"/>
  <c r="H301" i="22"/>
  <c r="U301" i="22" s="1"/>
  <c r="W301" i="22" s="1"/>
  <c r="H414" i="22"/>
  <c r="U414" i="22" s="1"/>
  <c r="W414" i="22" s="1"/>
  <c r="H220" i="22"/>
  <c r="H169" i="22"/>
  <c r="H127" i="22"/>
  <c r="U127" i="22" s="1"/>
  <c r="W127" i="22" s="1"/>
  <c r="H356" i="22"/>
  <c r="H113" i="22"/>
  <c r="U113" i="22" s="1"/>
  <c r="W113" i="22" s="1"/>
  <c r="H248" i="22"/>
  <c r="U248" i="22" s="1"/>
  <c r="W248" i="22" s="1"/>
  <c r="H160" i="22"/>
  <c r="U160" i="22" s="1"/>
  <c r="W160" i="22" s="1"/>
  <c r="H350" i="22"/>
  <c r="U350" i="22" s="1"/>
  <c r="W350" i="22" s="1"/>
  <c r="H313" i="22"/>
  <c r="U313" i="22" s="1"/>
  <c r="W313" i="22" s="1"/>
  <c r="H451" i="22"/>
  <c r="H374" i="22"/>
  <c r="U374" i="22" s="1"/>
  <c r="W374" i="22" s="1"/>
  <c r="H223" i="22"/>
  <c r="U223" i="22" s="1"/>
  <c r="W223" i="22" s="1"/>
  <c r="H495" i="22"/>
  <c r="H106" i="22"/>
  <c r="H97" i="22"/>
  <c r="H476" i="22"/>
  <c r="U476" i="22" s="1"/>
  <c r="W476" i="22" s="1"/>
  <c r="H81" i="22"/>
  <c r="H410" i="22"/>
  <c r="H259" i="22"/>
  <c r="H226" i="22"/>
  <c r="U226" i="22" s="1"/>
  <c r="W226" i="22" s="1"/>
  <c r="H212" i="22"/>
  <c r="H129" i="22"/>
  <c r="H443" i="22"/>
  <c r="U443" i="22" s="1"/>
  <c r="W443" i="22" s="1"/>
  <c r="H249" i="22"/>
  <c r="H204" i="22"/>
  <c r="U204" i="22" s="1"/>
  <c r="W204" i="22" s="1"/>
  <c r="H240" i="22"/>
  <c r="H377" i="22"/>
  <c r="H358" i="22"/>
  <c r="H353" i="22"/>
  <c r="U353" i="22" s="1"/>
  <c r="W353" i="22" s="1"/>
  <c r="H411" i="22"/>
  <c r="U411" i="22" s="1"/>
  <c r="W411" i="22" s="1"/>
  <c r="H295" i="22"/>
  <c r="H108" i="22"/>
  <c r="U108" i="22" s="1"/>
  <c r="W108" i="22" s="1"/>
  <c r="H471" i="22"/>
  <c r="H419" i="22"/>
  <c r="H49" i="22"/>
  <c r="H137" i="22"/>
  <c r="H190" i="22"/>
  <c r="U190" i="22" s="1"/>
  <c r="W190" i="22" s="1"/>
  <c r="H45" i="22"/>
  <c r="H312" i="22"/>
  <c r="H188" i="22"/>
  <c r="H492" i="22"/>
  <c r="H229" i="22"/>
  <c r="U229" i="22" s="1"/>
  <c r="W229" i="22" s="1"/>
  <c r="H165" i="22"/>
  <c r="U165" i="22" s="1"/>
  <c r="W165" i="22" s="1"/>
  <c r="H320" i="22"/>
  <c r="H99" i="22"/>
  <c r="U99" i="22" s="1"/>
  <c r="W99" i="22" s="1"/>
  <c r="H176" i="22"/>
  <c r="H178" i="22"/>
  <c r="U178" i="22" s="1"/>
  <c r="W178" i="22" s="1"/>
  <c r="H447" i="22"/>
  <c r="U447" i="22" s="1"/>
  <c r="W447" i="22" s="1"/>
  <c r="H173" i="22"/>
  <c r="U173" i="22" s="1"/>
  <c r="W173" i="22" s="1"/>
  <c r="H429" i="22"/>
  <c r="U429" i="22" s="1"/>
  <c r="W429" i="22" s="1"/>
  <c r="H267" i="22"/>
  <c r="H211" i="22"/>
  <c r="H456" i="22"/>
  <c r="H404" i="22"/>
  <c r="U404" i="22" s="1"/>
  <c r="W404" i="22" s="1"/>
  <c r="H489" i="22"/>
  <c r="H244" i="22"/>
  <c r="U244" i="22" s="1"/>
  <c r="W244" i="22" s="1"/>
  <c r="H203" i="22"/>
  <c r="U203" i="22" s="1"/>
  <c r="W203" i="22" s="1"/>
  <c r="H330" i="22"/>
  <c r="H405" i="22"/>
  <c r="U405" i="22" s="1"/>
  <c r="W405" i="22" s="1"/>
  <c r="H283" i="22"/>
  <c r="U283" i="22" s="1"/>
  <c r="W283" i="22" s="1"/>
  <c r="H392" i="22"/>
  <c r="U392" i="22" s="1"/>
  <c r="W392" i="22" s="1"/>
  <c r="H120" i="22"/>
  <c r="H317" i="22"/>
  <c r="U317" i="22" s="1"/>
  <c r="W317" i="22" s="1"/>
  <c r="H327" i="22"/>
  <c r="U327" i="22" s="1"/>
  <c r="W327" i="22" s="1"/>
  <c r="H294" i="22"/>
  <c r="U294" i="22" s="1"/>
  <c r="W294" i="22" s="1"/>
  <c r="H268" i="22"/>
  <c r="U268" i="22" s="1"/>
  <c r="W268" i="22" s="1"/>
  <c r="H494" i="22"/>
  <c r="H132" i="22"/>
  <c r="H408" i="22"/>
  <c r="H289" i="22"/>
  <c r="H71" i="22"/>
  <c r="H448" i="22"/>
  <c r="H285" i="22"/>
  <c r="U285" i="22" s="1"/>
  <c r="W285" i="22" s="1"/>
  <c r="H29" i="22"/>
  <c r="H110" i="22"/>
  <c r="H133" i="22"/>
  <c r="U133" i="22" s="1"/>
  <c r="W133" i="22" s="1"/>
  <c r="H61" i="22"/>
  <c r="H250" i="22"/>
  <c r="U250" i="22" s="1"/>
  <c r="W250" i="22" s="1"/>
  <c r="H421" i="22"/>
  <c r="H383" i="22"/>
  <c r="H442" i="22"/>
  <c r="H373" i="22"/>
  <c r="H307" i="22"/>
  <c r="H48" i="22"/>
  <c r="H360" i="22"/>
  <c r="U360" i="22" s="1"/>
  <c r="W360" i="22" s="1"/>
  <c r="H167" i="22"/>
  <c r="H257" i="22"/>
  <c r="U257" i="22" s="1"/>
  <c r="W257" i="22" s="1"/>
  <c r="H401" i="22"/>
  <c r="U401" i="22" s="1"/>
  <c r="W401" i="22" s="1"/>
  <c r="H472" i="22"/>
  <c r="H409" i="22"/>
  <c r="H286" i="22"/>
  <c r="H359" i="22"/>
  <c r="H162" i="22"/>
  <c r="H144" i="22"/>
  <c r="H124" i="22"/>
  <c r="U124" i="22" s="1"/>
  <c r="W124" i="22" s="1"/>
  <c r="H155" i="22"/>
  <c r="H303" i="22"/>
  <c r="H232" i="22"/>
  <c r="H38" i="22"/>
  <c r="H469" i="22"/>
  <c r="H430" i="22"/>
  <c r="U430" i="22" s="1"/>
  <c r="W430" i="22" s="1"/>
  <c r="H346" i="22"/>
  <c r="H36" i="22"/>
  <c r="H86" i="22"/>
  <c r="H382" i="22"/>
  <c r="H279" i="22"/>
  <c r="U279" i="22" s="1"/>
  <c r="W279" i="22" s="1"/>
  <c r="H416" i="22"/>
  <c r="U416" i="22" s="1"/>
  <c r="W416" i="22" s="1"/>
  <c r="H184" i="22"/>
  <c r="H159" i="22"/>
  <c r="H26" i="22"/>
  <c r="H343" i="22"/>
  <c r="H445" i="22"/>
  <c r="U445" i="22" s="1"/>
  <c r="W445" i="22" s="1"/>
  <c r="H17" i="22"/>
  <c r="H32" i="22"/>
  <c r="H39" i="22"/>
  <c r="H87" i="22"/>
  <c r="H94" i="22"/>
  <c r="H76" i="22"/>
  <c r="H1092" i="47" s="1"/>
  <c r="T1092" i="47" s="1"/>
  <c r="H30" i="22"/>
  <c r="H335" i="22"/>
  <c r="H233" i="22"/>
  <c r="H14" i="22"/>
  <c r="H33" i="22"/>
  <c r="H394" i="22"/>
  <c r="H199" i="22"/>
  <c r="H477" i="22"/>
  <c r="H91" i="22"/>
  <c r="H348" i="22"/>
  <c r="H75" i="22"/>
  <c r="H417" i="22"/>
  <c r="H322" i="22"/>
  <c r="H375" i="22"/>
  <c r="H480" i="22"/>
  <c r="H352" i="22"/>
  <c r="H84" i="22"/>
  <c r="H77" i="22"/>
  <c r="H74" i="22"/>
  <c r="H16" i="22"/>
  <c r="H10" i="22"/>
  <c r="H23" i="22"/>
  <c r="H9" i="22"/>
  <c r="U9" i="22" s="1"/>
  <c r="W9" i="22" s="1"/>
  <c r="H22" i="22"/>
  <c r="H11" i="22"/>
  <c r="H19" i="22"/>
  <c r="H13" i="22"/>
  <c r="U13" i="22" s="1"/>
  <c r="H25" i="22"/>
  <c r="H12" i="22"/>
  <c r="H15" i="22"/>
  <c r="Q69" i="22"/>
  <c r="Q437" i="22"/>
  <c r="Q488" i="22"/>
  <c r="Q373" i="22"/>
  <c r="Q446" i="22"/>
  <c r="Q60" i="22"/>
  <c r="R14" i="34" s="1"/>
  <c r="Q384" i="22"/>
  <c r="Q326" i="22"/>
  <c r="Q412" i="22"/>
  <c r="Q100" i="22"/>
  <c r="Q164" i="22"/>
  <c r="D23" i="34"/>
  <c r="AA11" i="34"/>
  <c r="Z11" i="34"/>
  <c r="AE353" i="22"/>
  <c r="AZ218" i="22"/>
  <c r="AZ494" i="22"/>
  <c r="AZ313" i="22"/>
  <c r="AZ360" i="22"/>
  <c r="AZ331" i="22"/>
  <c r="AZ99" i="22"/>
  <c r="AZ452" i="22"/>
  <c r="AZ215" i="22"/>
  <c r="AZ268" i="22"/>
  <c r="AZ365" i="22"/>
  <c r="AZ139" i="22"/>
  <c r="AZ255" i="22"/>
  <c r="AZ231" i="22"/>
  <c r="AZ425" i="22"/>
  <c r="AZ147" i="22"/>
  <c r="AZ339" i="22"/>
  <c r="AZ150" i="22"/>
  <c r="AZ141" i="22"/>
  <c r="AZ421" i="22"/>
  <c r="AZ50" i="22"/>
  <c r="AZ286" i="22"/>
  <c r="AZ68" i="22"/>
  <c r="AZ442" i="22"/>
  <c r="AZ199" i="22"/>
  <c r="AZ433" i="22"/>
  <c r="AZ323" i="22"/>
  <c r="AZ51" i="22"/>
  <c r="AZ284" i="22"/>
  <c r="AZ307" i="22"/>
  <c r="AZ386" i="22"/>
  <c r="AZ288" i="22"/>
  <c r="AZ402" i="22"/>
  <c r="AZ473" i="22"/>
  <c r="AZ359" i="22"/>
  <c r="AZ75" i="22"/>
  <c r="AZ11" i="22"/>
  <c r="AZ78" i="22"/>
  <c r="AZ155" i="22"/>
  <c r="AZ79" i="22"/>
  <c r="AZ88" i="22"/>
  <c r="AZ48" i="22"/>
  <c r="AZ431" i="22"/>
  <c r="AZ469" i="22"/>
  <c r="AZ110" i="22"/>
  <c r="AZ87" i="22"/>
  <c r="AZ148" i="22"/>
  <c r="AZ10" i="22"/>
  <c r="AZ401" i="22"/>
  <c r="AZ247" i="22"/>
  <c r="AZ163" i="22"/>
  <c r="AZ377" i="22"/>
  <c r="AZ166" i="22"/>
  <c r="AZ80" i="22"/>
  <c r="AZ275" i="22"/>
  <c r="AZ455" i="22"/>
  <c r="AZ94" i="22"/>
  <c r="AZ46" i="22"/>
  <c r="AZ82" i="22"/>
  <c r="AZ249" i="22"/>
  <c r="AZ119" i="22"/>
  <c r="AZ454" i="22"/>
  <c r="AZ417" i="22"/>
  <c r="AZ116" i="22"/>
  <c r="AZ260" i="22"/>
  <c r="AZ16" i="22"/>
  <c r="AZ398" i="22"/>
  <c r="AZ81" i="22"/>
  <c r="AZ477" i="22"/>
  <c r="AZ308" i="22"/>
  <c r="AZ177" i="22"/>
  <c r="AZ161" i="22"/>
  <c r="AZ89" i="22"/>
  <c r="AZ312" i="22"/>
  <c r="AZ479" i="22"/>
  <c r="AZ471" i="22"/>
  <c r="AZ92" i="22"/>
  <c r="AZ295" i="22"/>
  <c r="AZ343" i="22"/>
  <c r="AZ437" i="22"/>
  <c r="AZ43" i="22"/>
  <c r="AZ91" i="22"/>
  <c r="AZ40" i="22"/>
  <c r="AZ24" i="22"/>
  <c r="AZ415" i="22"/>
  <c r="AZ212" i="22"/>
  <c r="AZ338" i="22"/>
  <c r="AZ53" i="22"/>
  <c r="AZ151" i="22"/>
  <c r="AZ21" i="22"/>
  <c r="AZ348" i="22"/>
  <c r="AZ162" i="22"/>
  <c r="AZ168" i="22"/>
  <c r="AZ167" i="22"/>
  <c r="AZ17" i="22"/>
  <c r="AZ98" i="22"/>
  <c r="AZ299" i="22"/>
  <c r="AZ73" i="22"/>
  <c r="AZ236" i="22"/>
  <c r="AZ319" i="22"/>
  <c r="AZ406" i="22"/>
  <c r="AZ256" i="22"/>
  <c r="AZ27" i="22"/>
  <c r="AZ482" i="22"/>
  <c r="AZ90" i="22"/>
  <c r="AZ15" i="22"/>
  <c r="AZ180" i="22"/>
  <c r="AZ132" i="22"/>
  <c r="AZ60" i="22"/>
  <c r="AZ322" i="22"/>
  <c r="AZ183" i="22"/>
  <c r="AZ233" i="22"/>
  <c r="AZ126" i="22"/>
  <c r="AZ19" i="22"/>
  <c r="AZ492" i="22"/>
  <c r="AZ424" i="22"/>
  <c r="AZ303" i="22"/>
  <c r="AZ300" i="22"/>
  <c r="AZ334" i="22"/>
  <c r="AZ352" i="22"/>
  <c r="AZ351" i="22"/>
  <c r="AZ41" i="22"/>
  <c r="AZ159" i="22"/>
  <c r="AZ382" i="22"/>
  <c r="AZ394" i="22"/>
  <c r="AZ219" i="22"/>
  <c r="AZ310" i="22"/>
  <c r="AZ104" i="22"/>
  <c r="AZ170" i="22"/>
  <c r="AZ57" i="22"/>
  <c r="AZ140" i="22"/>
  <c r="AZ201" i="22"/>
  <c r="AZ30" i="22"/>
  <c r="AZ85" i="22"/>
  <c r="AZ457" i="22"/>
  <c r="AZ145" i="22"/>
  <c r="AZ497" i="22"/>
  <c r="AZ369" i="22"/>
  <c r="AZ206" i="22"/>
  <c r="AZ138" i="22"/>
  <c r="AZ489" i="22"/>
  <c r="AZ70" i="22"/>
  <c r="AZ480" i="22"/>
  <c r="AZ491" i="22"/>
  <c r="AZ329" i="22"/>
  <c r="AZ428" i="22"/>
  <c r="AZ383" i="22"/>
  <c r="AZ238" i="22"/>
  <c r="AZ95" i="22"/>
  <c r="AZ54" i="22"/>
  <c r="AZ388" i="22"/>
  <c r="AZ235" i="22"/>
  <c r="AZ314" i="22"/>
  <c r="AZ86" i="22"/>
  <c r="AZ410" i="22"/>
  <c r="AZ356" i="22"/>
  <c r="AZ47" i="22"/>
  <c r="AZ127" i="22"/>
  <c r="AZ154" i="22"/>
  <c r="AZ188" i="22"/>
  <c r="AZ478" i="22"/>
  <c r="AZ64" i="22"/>
  <c r="AZ465" i="22"/>
  <c r="AZ134" i="22"/>
  <c r="AZ198" i="22"/>
  <c r="AZ304" i="22"/>
  <c r="AZ106" i="22"/>
  <c r="AZ97" i="22"/>
  <c r="AZ228" i="22"/>
  <c r="AZ290" i="22"/>
  <c r="AZ38" i="22"/>
  <c r="AZ413" i="22"/>
  <c r="AZ280" i="22"/>
  <c r="AZ342" i="22"/>
  <c r="AZ42" i="22"/>
  <c r="AZ117" i="22"/>
  <c r="AZ330" i="22"/>
  <c r="AZ26" i="22"/>
  <c r="AZ381" i="22"/>
  <c r="AZ210" i="22"/>
  <c r="AZ59" i="22"/>
  <c r="AZ176" i="22"/>
  <c r="AZ62" i="22"/>
  <c r="AZ124" i="22"/>
  <c r="AZ56" i="22"/>
  <c r="AZ36" i="22"/>
  <c r="AZ105" i="22"/>
  <c r="AZ341" i="22"/>
  <c r="AZ408" i="22"/>
  <c r="AZ276" i="22"/>
  <c r="AZ74" i="22"/>
  <c r="AZ29" i="22"/>
  <c r="AZ114" i="22"/>
  <c r="AZ66" i="22"/>
  <c r="AZ200" i="22"/>
  <c r="AZ45" i="22"/>
  <c r="AZ320" i="22"/>
  <c r="AZ202" i="22"/>
  <c r="AZ370" i="22"/>
  <c r="AZ77" i="22"/>
  <c r="AZ461" i="22"/>
  <c r="AZ44" i="22"/>
  <c r="AZ61" i="22"/>
  <c r="AZ426" i="22"/>
  <c r="AZ34" i="22"/>
  <c r="AZ274" i="22"/>
  <c r="AZ220" i="22"/>
  <c r="AZ368" i="22"/>
  <c r="AZ211" i="22"/>
  <c r="AZ113" i="22"/>
  <c r="AZ239" i="22"/>
  <c r="AZ169" i="22"/>
  <c r="AZ125" i="22"/>
  <c r="AZ25" i="22"/>
  <c r="AZ490" i="22"/>
  <c r="AZ305" i="22"/>
  <c r="AZ272" i="22"/>
  <c r="AZ149" i="22"/>
  <c r="AZ364" i="22"/>
  <c r="AZ484" i="22"/>
  <c r="AZ411" i="22"/>
  <c r="AZ213" i="22"/>
  <c r="AZ302" i="22"/>
  <c r="AZ112" i="22"/>
  <c r="AZ246" i="22"/>
  <c r="AZ474" i="22"/>
  <c r="AZ393" i="22"/>
  <c r="AZ357" i="22"/>
  <c r="AZ376" i="22"/>
  <c r="AZ450" i="22"/>
  <c r="AZ216" i="22"/>
  <c r="AZ496" i="22"/>
  <c r="AZ470" i="22"/>
  <c r="AZ129" i="22"/>
  <c r="AZ262" i="22"/>
  <c r="AZ146" i="22"/>
  <c r="AZ241" i="22"/>
  <c r="AZ420" i="22"/>
  <c r="AZ397" i="22"/>
  <c r="AZ476" i="22"/>
  <c r="AZ33" i="22"/>
  <c r="AZ387" i="22"/>
  <c r="AZ282" i="22"/>
  <c r="AZ493" i="22"/>
  <c r="AZ361" i="22"/>
  <c r="AZ269" i="22"/>
  <c r="AZ337" i="22"/>
  <c r="AZ226" i="22"/>
  <c r="AZ49" i="22"/>
  <c r="AZ396" i="22"/>
  <c r="AZ418" i="22"/>
  <c r="AZ429" i="22"/>
  <c r="AZ335" i="22"/>
  <c r="AZ458" i="22"/>
  <c r="AZ209" i="22"/>
  <c r="AZ229" i="22"/>
  <c r="AZ318" i="22"/>
  <c r="AZ279" i="22"/>
  <c r="AZ487" i="22"/>
  <c r="AZ144" i="22"/>
  <c r="AZ158" i="22"/>
  <c r="AZ72" i="22"/>
  <c r="AZ20" i="22"/>
  <c r="AZ316" i="22"/>
  <c r="AZ232" i="22"/>
  <c r="AZ13" i="22"/>
  <c r="AZ332" i="22"/>
  <c r="AZ171" i="22"/>
  <c r="AZ259" i="22"/>
  <c r="AZ467" i="22"/>
  <c r="AZ278" i="22"/>
  <c r="AZ363" i="22"/>
  <c r="AZ264" i="22"/>
  <c r="AZ174" i="22"/>
  <c r="AZ372" i="22"/>
  <c r="AZ222" i="22"/>
  <c r="AZ395" i="22"/>
  <c r="AZ217" i="22"/>
  <c r="AZ120" i="22"/>
  <c r="AZ412" i="22"/>
  <c r="AZ346" i="22"/>
  <c r="AZ419" i="22"/>
  <c r="AZ179" i="22"/>
  <c r="AZ178" i="22"/>
  <c r="AZ182" i="22"/>
  <c r="AZ157" i="22"/>
  <c r="AZ133" i="22"/>
  <c r="AZ103" i="22"/>
  <c r="AZ427" i="22"/>
  <c r="AZ407" i="22"/>
  <c r="AZ326" i="22"/>
  <c r="AZ451" i="22"/>
  <c r="AZ250" i="22"/>
  <c r="AZ391" i="22"/>
  <c r="AZ160" i="22"/>
  <c r="AZ374" i="22"/>
  <c r="AZ185" i="22"/>
  <c r="AZ108" i="22"/>
  <c r="AZ267" i="22"/>
  <c r="AZ350" i="22"/>
  <c r="AZ328" i="22"/>
  <c r="AZ131" i="22"/>
  <c r="AZ448" i="22"/>
  <c r="AZ453" i="22"/>
  <c r="AZ414" i="22"/>
  <c r="AZ287" i="22"/>
  <c r="AZ273" i="22"/>
  <c r="AZ205" i="22"/>
  <c r="AZ443" i="22"/>
  <c r="AZ118" i="22"/>
  <c r="AZ345" i="22"/>
  <c r="AZ463" i="22"/>
  <c r="AZ192" i="22"/>
  <c r="AZ486" i="22"/>
  <c r="AZ449" i="22"/>
  <c r="AZ143" i="22"/>
  <c r="AZ405" i="22"/>
  <c r="AZ204" i="22"/>
  <c r="AZ35" i="22"/>
  <c r="AZ362" i="22"/>
  <c r="AZ165" i="22"/>
  <c r="AZ196" i="22"/>
  <c r="AZ197" i="22"/>
  <c r="AZ488" i="22"/>
  <c r="AZ468" i="22"/>
  <c r="AZ173" i="22"/>
  <c r="AZ128" i="22"/>
  <c r="AZ234" i="22"/>
  <c r="AZ301" i="22"/>
  <c r="AZ353" i="22"/>
  <c r="AZ385" i="22"/>
  <c r="AZ446" i="22"/>
  <c r="AZ475" i="22"/>
  <c r="AZ224" i="22"/>
  <c r="AZ472" i="22"/>
  <c r="AZ404" i="22"/>
  <c r="AZ101" i="22"/>
  <c r="AZ283" i="22"/>
  <c r="AZ271" i="22"/>
  <c r="AZ441" i="22"/>
  <c r="AZ466" i="22"/>
  <c r="AZ251" i="22"/>
  <c r="AZ460" i="22"/>
  <c r="AZ423" i="22"/>
  <c r="AZ263" i="22"/>
  <c r="AZ208" i="22"/>
  <c r="AZ324" i="22"/>
  <c r="AZ289" i="22"/>
  <c r="AZ367" i="22"/>
  <c r="AZ135" i="22"/>
  <c r="AZ390" i="22"/>
  <c r="AZ403" i="22"/>
  <c r="AZ384" i="22"/>
  <c r="AZ389" i="22"/>
  <c r="AZ187" i="22"/>
  <c r="AZ31" i="22"/>
  <c r="AZ434" i="22"/>
  <c r="AZ285" i="22"/>
  <c r="AZ392" i="22"/>
  <c r="AZ191" i="22"/>
  <c r="AZ93" i="22"/>
  <c r="AZ258" i="22"/>
  <c r="AZ327" i="22"/>
  <c r="AZ297" i="22"/>
  <c r="AZ248" i="22"/>
  <c r="AZ195" i="22"/>
  <c r="AZ436" i="22"/>
  <c r="AZ317" i="22"/>
  <c r="AZ109" i="22"/>
  <c r="AZ270" i="22"/>
  <c r="AZ203" i="22"/>
  <c r="AZ244" i="22"/>
  <c r="AZ265" i="22"/>
  <c r="AZ315" i="22"/>
  <c r="AZ175" i="22"/>
  <c r="AZ107" i="22"/>
  <c r="AZ291" i="22"/>
  <c r="AZ52" i="22"/>
  <c r="AZ164" i="22"/>
  <c r="AZ498" i="22"/>
  <c r="AZ190" i="22"/>
  <c r="AZ63" i="22"/>
  <c r="AZ325" i="22"/>
  <c r="AZ221" i="22"/>
  <c r="AZ366" i="22"/>
  <c r="AZ23" i="22"/>
  <c r="AZ243" i="22"/>
  <c r="AZ214" i="22"/>
  <c r="AZ294" i="22"/>
  <c r="AZ445" i="22"/>
  <c r="AZ400" i="22"/>
  <c r="AZ495" i="22"/>
  <c r="AZ481" i="22"/>
  <c r="AZ142" i="22"/>
  <c r="AZ464" i="22"/>
  <c r="AZ102" i="22"/>
  <c r="AZ440" i="22"/>
  <c r="AZ237" i="22"/>
  <c r="AZ189" i="22"/>
  <c r="AZ121" i="22"/>
  <c r="AZ137" i="22"/>
  <c r="AZ83" i="22"/>
  <c r="AZ306" i="22"/>
  <c r="AZ156" i="22"/>
  <c r="AZ172" i="22"/>
  <c r="AZ28" i="22"/>
  <c r="AZ193" i="22"/>
  <c r="AZ37" i="22"/>
  <c r="AZ358" i="22"/>
  <c r="AZ379" i="22"/>
  <c r="AZ242" i="22"/>
  <c r="AZ456" i="22"/>
  <c r="AZ100" i="22"/>
  <c r="AZ84" i="22"/>
  <c r="AZ375" i="22"/>
  <c r="AZ261" i="22"/>
  <c r="AZ9" i="22"/>
  <c r="AZ39" i="22"/>
  <c r="AZ18" i="22"/>
  <c r="AZ22" i="22"/>
  <c r="AZ14" i="22"/>
  <c r="AZ378" i="22"/>
  <c r="AZ254" i="22"/>
  <c r="AZ71" i="22"/>
  <c r="AZ184" i="22"/>
  <c r="AZ32" i="22"/>
  <c r="AZ76" i="22"/>
  <c r="AZ349" i="22"/>
  <c r="AZ122" i="22"/>
  <c r="AZ67" i="22"/>
  <c r="AZ240" i="22"/>
  <c r="AZ69" i="22"/>
  <c r="AZ355" i="22"/>
  <c r="AZ277" i="22"/>
  <c r="AZ438" i="22"/>
  <c r="AZ111" i="22"/>
  <c r="AZ422" i="22"/>
  <c r="AZ416" i="22"/>
  <c r="AZ296" i="22"/>
  <c r="AZ292" i="22"/>
  <c r="AZ399" i="22"/>
  <c r="AZ354" i="22"/>
  <c r="AZ123" i="22"/>
  <c r="AZ430" i="22"/>
  <c r="AZ293" i="22"/>
  <c r="AZ347" i="22"/>
  <c r="AZ130" i="22"/>
  <c r="AZ152" i="22"/>
  <c r="AZ230" i="22"/>
  <c r="AZ298" i="22"/>
  <c r="AZ371" i="22"/>
  <c r="AZ227" i="22"/>
  <c r="AZ459" i="22"/>
  <c r="AZ194" i="22"/>
  <c r="AZ225" i="22"/>
  <c r="AZ485" i="22"/>
  <c r="AZ444" i="22"/>
  <c r="AZ257" i="22"/>
  <c r="AZ266" i="22"/>
  <c r="AZ462" i="22"/>
  <c r="AZ55" i="22"/>
  <c r="AZ309" i="22"/>
  <c r="AZ252" i="22"/>
  <c r="AZ409" i="22"/>
  <c r="AZ373" i="22"/>
  <c r="AZ447" i="22"/>
  <c r="AZ65" i="22"/>
  <c r="AZ58" i="22"/>
  <c r="AZ12" i="22"/>
  <c r="AZ311" i="22"/>
  <c r="AZ435" i="22"/>
  <c r="AZ340" i="22"/>
  <c r="AZ181" i="22"/>
  <c r="AZ115" i="22"/>
  <c r="AZ186" i="22"/>
  <c r="AZ380" i="22"/>
  <c r="AZ136" i="22"/>
  <c r="AZ439" i="22"/>
  <c r="AZ253" i="22"/>
  <c r="AZ223" i="22"/>
  <c r="B23" i="34"/>
  <c r="AD5" i="34"/>
  <c r="K17" i="34"/>
  <c r="AP395" i="22"/>
  <c r="AP298" i="22"/>
  <c r="AP84" i="22"/>
  <c r="AP20" i="22"/>
  <c r="AP291" i="22"/>
  <c r="AP199" i="22"/>
  <c r="AP178" i="22"/>
  <c r="AP146" i="22"/>
  <c r="AP301" i="22"/>
  <c r="AP252" i="22"/>
  <c r="AP477" i="22"/>
  <c r="AP210" i="22"/>
  <c r="AP195" i="22"/>
  <c r="AP220" i="22"/>
  <c r="AP415" i="22"/>
  <c r="AP145" i="22"/>
  <c r="AP360" i="22"/>
  <c r="AP253" i="22"/>
  <c r="AP391" i="22"/>
  <c r="AP350" i="22"/>
  <c r="AP441" i="22"/>
  <c r="AP150" i="22"/>
  <c r="AP73" i="22"/>
  <c r="AP131" i="22"/>
  <c r="AP180" i="22"/>
  <c r="AP214" i="22"/>
  <c r="AP331" i="22"/>
  <c r="AP102" i="22"/>
  <c r="AP455" i="22"/>
  <c r="AP135" i="22"/>
  <c r="AP439" i="22"/>
  <c r="AP449" i="22"/>
  <c r="AP319" i="22"/>
  <c r="AP123" i="22"/>
  <c r="AP205" i="22"/>
  <c r="AP342" i="22"/>
  <c r="AP289" i="22"/>
  <c r="AP158" i="22"/>
  <c r="AP244" i="22"/>
  <c r="AP311" i="22"/>
  <c r="AP460" i="22"/>
  <c r="AP203" i="22"/>
  <c r="AP243" i="22"/>
  <c r="AP385" i="22"/>
  <c r="AP105" i="22"/>
  <c r="AP463" i="22"/>
  <c r="AP117" i="22"/>
  <c r="AP447" i="22"/>
  <c r="AP423" i="22"/>
  <c r="AP293" i="22"/>
  <c r="AP266" i="22"/>
  <c r="AP335" i="22"/>
  <c r="AP431" i="22"/>
  <c r="AP259" i="22"/>
  <c r="AP147" i="22"/>
  <c r="AP24" i="22"/>
  <c r="AP475" i="22"/>
  <c r="AP72" i="22"/>
  <c r="AP71" i="22"/>
  <c r="AP116" i="22"/>
  <c r="AP445" i="22"/>
  <c r="AP75" i="22"/>
  <c r="AP343" i="22"/>
  <c r="AP235" i="22"/>
  <c r="AP32" i="22"/>
  <c r="AP77" i="22"/>
  <c r="AP263" i="22"/>
  <c r="AP231" i="22"/>
  <c r="AP329" i="22"/>
  <c r="AP328" i="22"/>
  <c r="AP492" i="22"/>
  <c r="AP428" i="22"/>
  <c r="AP226" i="22"/>
  <c r="AP225" i="22"/>
  <c r="AP287" i="22"/>
  <c r="AP85" i="22"/>
  <c r="AP322" i="22"/>
  <c r="AP397" i="22"/>
  <c r="AP115" i="22"/>
  <c r="AP258" i="22"/>
  <c r="AP388" i="22"/>
  <c r="AP318" i="22"/>
  <c r="AP234" i="22"/>
  <c r="AP378" i="22"/>
  <c r="AP402" i="22"/>
  <c r="AP286" i="22"/>
  <c r="AP242" i="22"/>
  <c r="AP413" i="22"/>
  <c r="AP134" i="22"/>
  <c r="AP103" i="22"/>
  <c r="AP229" i="22"/>
  <c r="AP70" i="22"/>
  <c r="AP212" i="22"/>
  <c r="AP13" i="22"/>
  <c r="AP189" i="22"/>
  <c r="AP430" i="22"/>
  <c r="AP221" i="22"/>
  <c r="AP163" i="22"/>
  <c r="AP379" i="22"/>
  <c r="AP69" i="22"/>
  <c r="AP304" i="22"/>
  <c r="AP236" i="22"/>
  <c r="AP456" i="22"/>
  <c r="AP345" i="22"/>
  <c r="AP206" i="22"/>
  <c r="AP83" i="22"/>
  <c r="AP156" i="22"/>
  <c r="AP278" i="22"/>
  <c r="AP348" i="22"/>
  <c r="AP486" i="22"/>
  <c r="AP179" i="22"/>
  <c r="AP306" i="22"/>
  <c r="AP68" i="22"/>
  <c r="AP362" i="22"/>
  <c r="AP446" i="22"/>
  <c r="AP280" i="22"/>
  <c r="AP177" i="22"/>
  <c r="AP479" i="22"/>
  <c r="AP325" i="22"/>
  <c r="AP467" i="22"/>
  <c r="AP339" i="22"/>
  <c r="AP230" i="22"/>
  <c r="AP478" i="22"/>
  <c r="AP414" i="22"/>
  <c r="AP141" i="22"/>
  <c r="AP67" i="22"/>
  <c r="AP66" i="22"/>
  <c r="AP305" i="22"/>
  <c r="AP198" i="22"/>
  <c r="AP107" i="22"/>
  <c r="AP261" i="22"/>
  <c r="AP138" i="22"/>
  <c r="AP264" i="22"/>
  <c r="AP370" i="22"/>
  <c r="AP424" i="22"/>
  <c r="AP10" i="22"/>
  <c r="AP187" i="22"/>
  <c r="AP490" i="22"/>
  <c r="AP369" i="22"/>
  <c r="AP448" i="22"/>
  <c r="AP302" i="22"/>
  <c r="AP12" i="22"/>
  <c r="AP86" i="22"/>
  <c r="AP409" i="22"/>
  <c r="AP422" i="22"/>
  <c r="AP434" i="22"/>
  <c r="AP338" i="22"/>
  <c r="AP18" i="22"/>
  <c r="AP355" i="22"/>
  <c r="AP403" i="22"/>
  <c r="AP17" i="22"/>
  <c r="AP247" i="22"/>
  <c r="AP454" i="22"/>
  <c r="AP129" i="22"/>
  <c r="AP453" i="22"/>
  <c r="AP65" i="22"/>
  <c r="AP288" i="22"/>
  <c r="AP257" i="22"/>
  <c r="AP334" i="22"/>
  <c r="AP485" i="22"/>
  <c r="AP101" i="22"/>
  <c r="AP315" i="22"/>
  <c r="AP92" i="22"/>
  <c r="AP372" i="22"/>
  <c r="AP380" i="22"/>
  <c r="AP390" i="22"/>
  <c r="AP109" i="22"/>
  <c r="AP496" i="22"/>
  <c r="AP22" i="22"/>
  <c r="AP285" i="22"/>
  <c r="AP324" i="22"/>
  <c r="AP332" i="22"/>
  <c r="AP323" i="22"/>
  <c r="AP104" i="22"/>
  <c r="AP436" i="22"/>
  <c r="AP417" i="22"/>
  <c r="AP130" i="22"/>
  <c r="AP114" i="22"/>
  <c r="AP111" i="22"/>
  <c r="AP157" i="22"/>
  <c r="AP437" i="22"/>
  <c r="AP426" i="22"/>
  <c r="AP219" i="22"/>
  <c r="AP100" i="22"/>
  <c r="AP161" i="22"/>
  <c r="AP351" i="22"/>
  <c r="AP169" i="22"/>
  <c r="AP14" i="22"/>
  <c r="AP222" i="22"/>
  <c r="AP29" i="22"/>
  <c r="AP127" i="22"/>
  <c r="AP418" i="22"/>
  <c r="AP443" i="22"/>
  <c r="AP140" i="22"/>
  <c r="AP404" i="22"/>
  <c r="AP277" i="22"/>
  <c r="AP159" i="22"/>
  <c r="AP139" i="22"/>
  <c r="AP399" i="22"/>
  <c r="AP393" i="22"/>
  <c r="AP452" i="22"/>
  <c r="AP64" i="22"/>
  <c r="AP110" i="22"/>
  <c r="AP365" i="22"/>
  <c r="AP26" i="22"/>
  <c r="AP410" i="22"/>
  <c r="AP363" i="22"/>
  <c r="AP316" i="22"/>
  <c r="AP272" i="22"/>
  <c r="AP299" i="22"/>
  <c r="AP347" i="22"/>
  <c r="AP218" i="22"/>
  <c r="AP367" i="22"/>
  <c r="AP209" i="22"/>
  <c r="AP63" i="22"/>
  <c r="AP356" i="22"/>
  <c r="AP113" i="22"/>
  <c r="AP133" i="22"/>
  <c r="AP330" i="22"/>
  <c r="AP192" i="22"/>
  <c r="AP481" i="22"/>
  <c r="AP23" i="22"/>
  <c r="AP34" i="22"/>
  <c r="AP181" i="22"/>
  <c r="AP357" i="22"/>
  <c r="AP249" i="22"/>
  <c r="AP405" i="22"/>
  <c r="AP11" i="22"/>
  <c r="AP248" i="22"/>
  <c r="AP162" i="22"/>
  <c r="AP366" i="22"/>
  <c r="AP308" i="22"/>
  <c r="AP176" i="22"/>
  <c r="AP256" i="22"/>
  <c r="AP204" i="22"/>
  <c r="AP487" i="22"/>
  <c r="AP457" i="22"/>
  <c r="AP473" i="22"/>
  <c r="AP341" i="22"/>
  <c r="AP283" i="22"/>
  <c r="AP392" i="22"/>
  <c r="AP208" i="22"/>
  <c r="AP412" i="22"/>
  <c r="AP400" i="22"/>
  <c r="AP80" i="22"/>
  <c r="AP62" i="22"/>
  <c r="AP275" i="22"/>
  <c r="AP228" i="22"/>
  <c r="AP120" i="22"/>
  <c r="AP282" i="22"/>
  <c r="AP239" i="22"/>
  <c r="AP166" i="22"/>
  <c r="AP154" i="22"/>
  <c r="AP271" i="22"/>
  <c r="AP89" i="22"/>
  <c r="AP317" i="22"/>
  <c r="AP340" i="22"/>
  <c r="AP416" i="22"/>
  <c r="AP438" i="22"/>
  <c r="AP254" i="22"/>
  <c r="AP165" i="22"/>
  <c r="AP269" i="22"/>
  <c r="AP240" i="22"/>
  <c r="AP151" i="22"/>
  <c r="AP61" i="22"/>
  <c r="AP216" i="22"/>
  <c r="AP60" i="22"/>
  <c r="AP38" i="22"/>
  <c r="AP9" i="22"/>
  <c r="AP276" i="22"/>
  <c r="AP498" i="22"/>
  <c r="AP27" i="22"/>
  <c r="AP59" i="22"/>
  <c r="AP58" i="22"/>
  <c r="AP250" i="22"/>
  <c r="AP128" i="22"/>
  <c r="AP327" i="22"/>
  <c r="AP484" i="22"/>
  <c r="AP144" i="22"/>
  <c r="AP173" i="22"/>
  <c r="AP462" i="22"/>
  <c r="AP39" i="22"/>
  <c r="AP193" i="22"/>
  <c r="AP361" i="22"/>
  <c r="AP53" i="22"/>
  <c r="AP382" i="22"/>
  <c r="AP421" i="22"/>
  <c r="AP217" i="22"/>
  <c r="AP82" i="22"/>
  <c r="AP57" i="22"/>
  <c r="AP119" i="22"/>
  <c r="AP310" i="22"/>
  <c r="AP126" i="22"/>
  <c r="AP160" i="22"/>
  <c r="AP377" i="22"/>
  <c r="AP95" i="22"/>
  <c r="AP358" i="22"/>
  <c r="AP168" i="22"/>
  <c r="AP56" i="22"/>
  <c r="AP337" i="22"/>
  <c r="AP98" i="22"/>
  <c r="AP184" i="22"/>
  <c r="AP55" i="22"/>
  <c r="AP88" i="22"/>
  <c r="AP191" i="22"/>
  <c r="AP433" i="22"/>
  <c r="AP182" i="22"/>
  <c r="AP444" i="22"/>
  <c r="AP406" i="22"/>
  <c r="AP383" i="22"/>
  <c r="AP314" i="22"/>
  <c r="AP474" i="22"/>
  <c r="AP353" i="22"/>
  <c r="AP30" i="22"/>
  <c r="AP79" i="22"/>
  <c r="AP54" i="22"/>
  <c r="AP28" i="22"/>
  <c r="AP359" i="22"/>
  <c r="AP118" i="22"/>
  <c r="AP90" i="22"/>
  <c r="AP294" i="22"/>
  <c r="AP124" i="22"/>
  <c r="AP425" i="22"/>
  <c r="AP292" i="22"/>
  <c r="AP442" i="22"/>
  <c r="AP407" i="22"/>
  <c r="AP268" i="22"/>
  <c r="AP497" i="22"/>
  <c r="AP364" i="22"/>
  <c r="AP19" i="22"/>
  <c r="AP284" i="22"/>
  <c r="AP211" i="22"/>
  <c r="AP326" i="22"/>
  <c r="AP270" i="22"/>
  <c r="AP194" i="22"/>
  <c r="AP309" i="22"/>
  <c r="AP464" i="22"/>
  <c r="AP375" i="22"/>
  <c r="AP373" i="22"/>
  <c r="AP185" i="22"/>
  <c r="AP494" i="22"/>
  <c r="AP376" i="22"/>
  <c r="AP411" i="22"/>
  <c r="AP201" i="22"/>
  <c r="AP450" i="22"/>
  <c r="AP295" i="22"/>
  <c r="AP398" i="22"/>
  <c r="AP52" i="22"/>
  <c r="AP25" i="22"/>
  <c r="AP468" i="22"/>
  <c r="AP296" i="22"/>
  <c r="AP237" i="22"/>
  <c r="AP491" i="22"/>
  <c r="AP401" i="22"/>
  <c r="AP94" i="22"/>
  <c r="AP142" i="22"/>
  <c r="AP394" i="22"/>
  <c r="AP136" i="22"/>
  <c r="AP458" i="22"/>
  <c r="AP290" i="22"/>
  <c r="AP108" i="22"/>
  <c r="AP16" i="22"/>
  <c r="AP44" i="22"/>
  <c r="AP15" i="22"/>
  <c r="AP51" i="22"/>
  <c r="AP273" i="22"/>
  <c r="AP482" i="22"/>
  <c r="AP371" i="22"/>
  <c r="AP202" i="22"/>
  <c r="AP471" i="22"/>
  <c r="AP313" i="22"/>
  <c r="AP74" i="22"/>
  <c r="AP387" i="22"/>
  <c r="AP132" i="22"/>
  <c r="AP461" i="22"/>
  <c r="AP419" i="22"/>
  <c r="AP307" i="22"/>
  <c r="AP122" i="22"/>
  <c r="AP76" i="22"/>
  <c r="AP78" i="22"/>
  <c r="AP429" i="22"/>
  <c r="AP489" i="22"/>
  <c r="AP188" i="22"/>
  <c r="AP352" i="22"/>
  <c r="AP238" i="22"/>
  <c r="AP164" i="22"/>
  <c r="AP265" i="22"/>
  <c r="AP267" i="22"/>
  <c r="AP40" i="22"/>
  <c r="AP50" i="22"/>
  <c r="AP49" i="22"/>
  <c r="AP137" i="22"/>
  <c r="AP81" i="22"/>
  <c r="AP427" i="22"/>
  <c r="AP451" i="22"/>
  <c r="AP33" i="22"/>
  <c r="AP21" i="22"/>
  <c r="AP374" i="22"/>
  <c r="AP48" i="22"/>
  <c r="AP260" i="22"/>
  <c r="AP320" i="22"/>
  <c r="AP99" i="22"/>
  <c r="AP93" i="22"/>
  <c r="AP480" i="22"/>
  <c r="AP155" i="22"/>
  <c r="AP459" i="22"/>
  <c r="AP200" i="22"/>
  <c r="AP47" i="22"/>
  <c r="AP190" i="22"/>
  <c r="AP35" i="22"/>
  <c r="AP46" i="22"/>
  <c r="AP349" i="22"/>
  <c r="AP420" i="22"/>
  <c r="AP469" i="22"/>
  <c r="AP196" i="22"/>
  <c r="AP152" i="22"/>
  <c r="AP251" i="22"/>
  <c r="AP246" i="22"/>
  <c r="AP300" i="22"/>
  <c r="AP223" i="22"/>
  <c r="AP172" i="22"/>
  <c r="AP368" i="22"/>
  <c r="AP279" i="22"/>
  <c r="AP466" i="22"/>
  <c r="AP495" i="22"/>
  <c r="AP183" i="22"/>
  <c r="AP386" i="22"/>
  <c r="AP45" i="22"/>
  <c r="AP241" i="22"/>
  <c r="AP396" i="22"/>
  <c r="AP170" i="22"/>
  <c r="AP303" i="22"/>
  <c r="AP143" i="22"/>
  <c r="AP408" i="22"/>
  <c r="AP106" i="22"/>
  <c r="AP97" i="22"/>
  <c r="AP255" i="22"/>
  <c r="AP274" i="22"/>
  <c r="AP262" i="22"/>
  <c r="AP215" i="22"/>
  <c r="AP493" i="22"/>
  <c r="AP389" i="22"/>
  <c r="AP148" i="22"/>
  <c r="AP43" i="22"/>
  <c r="AP488" i="22"/>
  <c r="AP435" i="22"/>
  <c r="AP384" i="22"/>
  <c r="AP354" i="22"/>
  <c r="AP197" i="22"/>
  <c r="AP174" i="22"/>
  <c r="AP36" i="22"/>
  <c r="AP224" i="22"/>
  <c r="AP213" i="22"/>
  <c r="AP186" i="22"/>
  <c r="AP232" i="22"/>
  <c r="AP125" i="22"/>
  <c r="AP42" i="22"/>
  <c r="AP312" i="22"/>
  <c r="AP41" i="22"/>
  <c r="AP465" i="22"/>
  <c r="AP37" i="22"/>
  <c r="AP476" i="22"/>
  <c r="AP346" i="22"/>
  <c r="AP87" i="22"/>
  <c r="AP171" i="22"/>
  <c r="AP31" i="22"/>
  <c r="AP472" i="22"/>
  <c r="AP112" i="22"/>
  <c r="AP233" i="22"/>
  <c r="AP440" i="22"/>
  <c r="AP381" i="22"/>
  <c r="AP227" i="22"/>
  <c r="AP121" i="22"/>
  <c r="AP149" i="22"/>
  <c r="AP470" i="22"/>
  <c r="AP167" i="22"/>
  <c r="AP297" i="22"/>
  <c r="AP175" i="22"/>
  <c r="AP91" i="22"/>
  <c r="J10" i="36"/>
  <c r="J17" i="36"/>
  <c r="J111" i="36"/>
  <c r="J112" i="36"/>
  <c r="J13" i="36"/>
  <c r="J14" i="36"/>
  <c r="J115" i="36"/>
  <c r="J110" i="36"/>
  <c r="J146" i="36"/>
  <c r="J28" i="36"/>
  <c r="J102" i="36"/>
  <c r="J93" i="36"/>
  <c r="J15" i="36"/>
  <c r="J53" i="36"/>
  <c r="J11" i="36"/>
  <c r="J63" i="36"/>
  <c r="J23" i="36"/>
  <c r="J92" i="36"/>
  <c r="J113" i="36"/>
  <c r="J12" i="36"/>
  <c r="J114" i="36"/>
  <c r="J69" i="36"/>
  <c r="J83" i="36"/>
  <c r="J57" i="36"/>
  <c r="J95" i="36"/>
  <c r="J135" i="36"/>
  <c r="J73" i="36"/>
  <c r="J147" i="36"/>
  <c r="J117" i="36"/>
  <c r="J33" i="36"/>
  <c r="J81" i="36"/>
  <c r="J61" i="36"/>
  <c r="J66" i="36"/>
  <c r="J104" i="36"/>
  <c r="J50" i="36"/>
  <c r="J62" i="36"/>
  <c r="J144" i="36"/>
  <c r="J32" i="36"/>
  <c r="J56" i="36"/>
  <c r="J78" i="36"/>
  <c r="J40" i="36"/>
  <c r="J133" i="36"/>
  <c r="J149" i="36"/>
  <c r="J16" i="36"/>
  <c r="J34" i="36"/>
  <c r="J151" i="36"/>
  <c r="J58" i="36"/>
  <c r="J18" i="36"/>
  <c r="J140" i="36"/>
  <c r="J130" i="36"/>
  <c r="J139" i="36"/>
  <c r="J148" i="36"/>
  <c r="J26" i="36"/>
  <c r="J49" i="36"/>
  <c r="J54" i="36"/>
  <c r="J107" i="36"/>
  <c r="J39" i="36"/>
  <c r="J55" i="36"/>
  <c r="J65" i="36"/>
  <c r="J72" i="36"/>
  <c r="J51" i="36"/>
  <c r="J80" i="36"/>
  <c r="J125" i="36"/>
  <c r="J86" i="36"/>
  <c r="J68" i="36"/>
  <c r="J27" i="36"/>
  <c r="J122" i="36"/>
  <c r="J101" i="36"/>
  <c r="J36" i="36"/>
  <c r="J103" i="36"/>
  <c r="J25" i="36"/>
  <c r="J30" i="36"/>
  <c r="J77" i="36"/>
  <c r="J85" i="36"/>
  <c r="J152" i="36"/>
  <c r="J59" i="36"/>
  <c r="J46" i="36"/>
  <c r="J89" i="36"/>
  <c r="J75" i="36"/>
  <c r="J145" i="36"/>
  <c r="J150" i="36"/>
  <c r="J118" i="36"/>
  <c r="J123" i="36"/>
  <c r="J90" i="36"/>
  <c r="J128" i="36"/>
  <c r="J98" i="36"/>
  <c r="J136" i="36"/>
  <c r="J131" i="36"/>
  <c r="J124" i="36"/>
  <c r="J41" i="36"/>
  <c r="J52" i="36"/>
  <c r="J116" i="36"/>
  <c r="J121" i="36"/>
  <c r="J126" i="36"/>
  <c r="J24" i="36"/>
  <c r="J119" i="36"/>
  <c r="J67" i="36"/>
  <c r="J84" i="36"/>
  <c r="J44" i="36"/>
  <c r="J106" i="36"/>
  <c r="J70" i="36"/>
  <c r="J42" i="36"/>
  <c r="J20" i="36"/>
  <c r="J71" i="36"/>
  <c r="J87" i="36"/>
  <c r="J142" i="36"/>
  <c r="J91" i="36"/>
  <c r="J134" i="36"/>
  <c r="J94" i="36"/>
  <c r="J109" i="36"/>
  <c r="J38" i="36"/>
  <c r="J29" i="36"/>
  <c r="J21" i="36"/>
  <c r="J35" i="36"/>
  <c r="J37" i="36"/>
  <c r="J132" i="36"/>
  <c r="J96" i="36"/>
  <c r="J64" i="36"/>
  <c r="J100" i="36"/>
  <c r="J105" i="36"/>
  <c r="J48" i="36"/>
  <c r="J74" i="36"/>
  <c r="J127" i="36"/>
  <c r="J99" i="36"/>
  <c r="J120" i="36"/>
  <c r="J129" i="36"/>
  <c r="J79" i="36"/>
  <c r="J138" i="36"/>
  <c r="J141" i="36"/>
  <c r="J43" i="36"/>
  <c r="J88" i="36"/>
  <c r="J108" i="36"/>
  <c r="J60" i="36"/>
  <c r="J45" i="36"/>
  <c r="J143" i="36"/>
  <c r="J97" i="36"/>
  <c r="J19" i="36"/>
  <c r="J82" i="36"/>
  <c r="J31" i="36"/>
  <c r="J22" i="36"/>
  <c r="J137" i="36"/>
  <c r="J47" i="36"/>
  <c r="AL8" i="34" s="1"/>
  <c r="AD41" i="34"/>
  <c r="V14" i="34"/>
  <c r="Z14" i="34"/>
  <c r="AA5" i="34"/>
  <c r="Y20" i="34"/>
  <c r="O11" i="34"/>
  <c r="X5" i="34"/>
  <c r="O5" i="34"/>
  <c r="AB8" i="13" s="1"/>
  <c r="AB25" i="13" s="1"/>
  <c r="K14" i="34"/>
  <c r="E14" i="34"/>
  <c r="B14" i="34"/>
  <c r="L11" i="34"/>
  <c r="E1099" i="47" l="1"/>
  <c r="E1079" i="47"/>
  <c r="E1090" i="47"/>
  <c r="E1091" i="47"/>
  <c r="E1416" i="47"/>
  <c r="K1416" i="47" s="1"/>
  <c r="E1103" i="47"/>
  <c r="O1103" i="47" s="1"/>
  <c r="H1091" i="47"/>
  <c r="T1091" i="47" s="1"/>
  <c r="H1079" i="47"/>
  <c r="T1079" i="47" s="1"/>
  <c r="H1093" i="47"/>
  <c r="T1093" i="47" s="1"/>
  <c r="H1028" i="47"/>
  <c r="T1028" i="47" s="1"/>
  <c r="K1090" i="47"/>
  <c r="O1090" i="47"/>
  <c r="K1163" i="47"/>
  <c r="O1163" i="47"/>
  <c r="K1079" i="47"/>
  <c r="O1079" i="47"/>
  <c r="K1103" i="47"/>
  <c r="K1028" i="47"/>
  <c r="O1028" i="47"/>
  <c r="H1099" i="47"/>
  <c r="T1099" i="47" s="1"/>
  <c r="U494" i="22"/>
  <c r="W494" i="22" s="1"/>
  <c r="Y494" i="22" s="1"/>
  <c r="Z494" i="22" s="1"/>
  <c r="H611" i="47" s="1"/>
  <c r="H1090" i="47"/>
  <c r="T1090" i="47" s="1"/>
  <c r="U496" i="22"/>
  <c r="W496" i="22" s="1"/>
  <c r="Y496" i="22" s="1"/>
  <c r="Z496" i="22" s="1"/>
  <c r="H613" i="47" s="1"/>
  <c r="H1103" i="47"/>
  <c r="T1103" i="47" s="1"/>
  <c r="U495" i="22"/>
  <c r="W495" i="22" s="1"/>
  <c r="I1163" i="47" s="1"/>
  <c r="H1163" i="47"/>
  <c r="T1163" i="47" s="1"/>
  <c r="AD68" i="34"/>
  <c r="AL35" i="34"/>
  <c r="AL62" i="34"/>
  <c r="W21" i="47"/>
  <c r="Y460" i="22"/>
  <c r="Y360" i="22"/>
  <c r="Y285" i="22"/>
  <c r="Z285" i="22" s="1"/>
  <c r="I1289" i="47"/>
  <c r="Y392" i="22"/>
  <c r="Z392" i="22" s="1"/>
  <c r="I1127" i="47"/>
  <c r="Y173" i="22"/>
  <c r="Z173" i="22" s="1"/>
  <c r="I1159" i="47"/>
  <c r="Y190" i="22"/>
  <c r="Z190" i="22" s="1"/>
  <c r="Y204" i="22"/>
  <c r="Z204" i="22" s="1"/>
  <c r="Y403" i="22"/>
  <c r="Z403" i="22" s="1"/>
  <c r="Y387" i="22"/>
  <c r="I1267" i="47"/>
  <c r="Y225" i="22"/>
  <c r="Z225" i="22" s="1"/>
  <c r="Y450" i="22"/>
  <c r="Z450" i="22" s="1"/>
  <c r="Y216" i="22"/>
  <c r="Z216" i="22" s="1"/>
  <c r="Y347" i="22"/>
  <c r="Z347" i="22" s="1"/>
  <c r="Y459" i="22"/>
  <c r="Z459" i="22" s="1"/>
  <c r="Y339" i="22"/>
  <c r="Z339" i="22" s="1"/>
  <c r="Y283" i="22"/>
  <c r="Z283" i="22" s="1"/>
  <c r="Y447" i="22"/>
  <c r="Z447" i="22" s="1"/>
  <c r="Y223" i="22"/>
  <c r="Z223" i="22" s="1"/>
  <c r="I1396" i="47"/>
  <c r="Y414" i="22"/>
  <c r="Y269" i="22"/>
  <c r="Z269" i="22" s="1"/>
  <c r="I1475" i="47"/>
  <c r="Y371" i="22"/>
  <c r="Y481" i="22"/>
  <c r="Z481" i="22" s="1"/>
  <c r="Y293" i="22"/>
  <c r="Z293" i="22" s="1"/>
  <c r="I1333" i="47"/>
  <c r="Y393" i="22"/>
  <c r="Z393" i="22" s="1"/>
  <c r="Y318" i="22"/>
  <c r="Z318" i="22" s="1"/>
  <c r="Y164" i="22"/>
  <c r="Z164" i="22" s="1"/>
  <c r="Y462" i="22"/>
  <c r="Z462" i="22" s="1"/>
  <c r="Y418" i="22"/>
  <c r="Z418" i="22" s="1"/>
  <c r="I1230" i="47"/>
  <c r="Y446" i="22"/>
  <c r="Z446" i="22" s="1"/>
  <c r="Y263" i="22"/>
  <c r="Z263" i="22" s="1"/>
  <c r="Y175" i="22"/>
  <c r="Z175" i="22" s="1"/>
  <c r="Y139" i="22"/>
  <c r="Z139" i="22" s="1"/>
  <c r="Y416" i="22"/>
  <c r="Z416" i="22" s="1"/>
  <c r="Y124" i="22"/>
  <c r="Z124" i="22" s="1"/>
  <c r="Y405" i="22"/>
  <c r="Z405" i="22" s="1"/>
  <c r="Y178" i="22"/>
  <c r="Z178" i="22" s="1"/>
  <c r="I1415" i="47"/>
  <c r="Y443" i="22"/>
  <c r="Z443" i="22" s="1"/>
  <c r="I1334" i="47"/>
  <c r="Y374" i="22"/>
  <c r="Z374" i="22" s="1"/>
  <c r="Y301" i="22"/>
  <c r="Z301" i="22" s="1"/>
  <c r="Y362" i="22"/>
  <c r="Z362" i="22" s="1"/>
  <c r="I1427" i="47"/>
  <c r="Y130" i="22"/>
  <c r="Z130" i="22" s="1"/>
  <c r="Y224" i="22"/>
  <c r="Z224" i="22" s="1"/>
  <c r="Y194" i="22"/>
  <c r="Z194" i="22" s="1"/>
  <c r="Y399" i="22"/>
  <c r="Z399" i="22" s="1"/>
  <c r="Y258" i="22"/>
  <c r="Z258" i="22" s="1"/>
  <c r="Y484" i="22"/>
  <c r="Z484" i="22" s="1"/>
  <c r="I1297" i="47"/>
  <c r="Y179" i="22"/>
  <c r="Z179" i="22" s="1"/>
  <c r="Y365" i="22"/>
  <c r="Y483" i="22"/>
  <c r="Z483" i="22" s="1"/>
  <c r="Y296" i="22"/>
  <c r="Z296" i="22" s="1"/>
  <c r="I1403" i="47"/>
  <c r="Y397" i="22"/>
  <c r="Z397" i="22" s="1"/>
  <c r="Y279" i="22"/>
  <c r="Z279" i="22" s="1"/>
  <c r="Y287" i="22"/>
  <c r="Z287" i="22" s="1"/>
  <c r="I1370" i="47"/>
  <c r="Y354" i="22"/>
  <c r="Y436" i="22"/>
  <c r="Z436" i="22" s="1"/>
  <c r="Y102" i="22"/>
  <c r="Z102" i="22" s="1"/>
  <c r="Y270" i="22"/>
  <c r="Y145" i="22"/>
  <c r="Z145" i="22" s="1"/>
  <c r="Y128" i="22"/>
  <c r="Z128" i="22" s="1"/>
  <c r="I1242" i="47"/>
  <c r="Y324" i="22"/>
  <c r="Z324" i="22" s="1"/>
  <c r="Y345" i="22"/>
  <c r="Z345" i="22" s="1"/>
  <c r="Y255" i="22"/>
  <c r="Z255" i="22" s="1"/>
  <c r="Y328" i="22"/>
  <c r="Z328" i="22" s="1"/>
  <c r="Y452" i="22"/>
  <c r="Z452" i="22" s="1"/>
  <c r="Y131" i="22"/>
  <c r="Z131" i="22" s="1"/>
  <c r="Y298" i="22"/>
  <c r="Z298" i="22" s="1"/>
  <c r="I1434" i="47"/>
  <c r="Y282" i="22"/>
  <c r="Z282" i="22" s="1"/>
  <c r="I1282" i="47"/>
  <c r="Y9" i="22"/>
  <c r="Z9" i="22" s="1"/>
  <c r="Y203" i="22"/>
  <c r="Z203" i="22" s="1"/>
  <c r="Y99" i="22"/>
  <c r="Z99" i="22" s="1"/>
  <c r="Y313" i="22"/>
  <c r="Z313" i="22" s="1"/>
  <c r="Y109" i="22"/>
  <c r="Z109" i="22" s="1"/>
  <c r="Y146" i="22"/>
  <c r="Z146" i="22" s="1"/>
  <c r="Y297" i="22"/>
  <c r="Z297" i="22" s="1"/>
  <c r="I1260" i="47"/>
  <c r="Y463" i="22"/>
  <c r="Z463" i="22" s="1"/>
  <c r="I1286" i="47"/>
  <c r="Y251" i="22"/>
  <c r="Z251" i="22" s="1"/>
  <c r="Y185" i="22"/>
  <c r="Z185" i="22" s="1"/>
  <c r="I1274" i="47"/>
  <c r="Y189" i="22"/>
  <c r="Z189" i="22" s="1"/>
  <c r="I1125" i="47"/>
  <c r="Y149" i="22"/>
  <c r="Z149" i="22" s="1"/>
  <c r="Y244" i="22"/>
  <c r="Z244" i="22" s="1"/>
  <c r="Y108" i="22"/>
  <c r="Z108" i="22" s="1"/>
  <c r="Y226" i="22"/>
  <c r="Z226" i="22" s="1"/>
  <c r="Y350" i="22"/>
  <c r="Z350" i="22" s="1"/>
  <c r="Y475" i="22"/>
  <c r="Z475" i="22" s="1"/>
  <c r="Y380" i="22"/>
  <c r="Z380" i="22" s="1"/>
  <c r="Y208" i="22"/>
  <c r="Z208" i="22" s="1"/>
  <c r="I1162" i="47"/>
  <c r="Y147" i="22"/>
  <c r="Z147" i="22" s="1"/>
  <c r="Y470" i="22"/>
  <c r="Z470" i="22" s="1"/>
  <c r="I1479" i="47"/>
  <c r="Y142" i="22"/>
  <c r="Z142" i="22" s="1"/>
  <c r="Y385" i="22"/>
  <c r="Z385" i="22" s="1"/>
  <c r="Y468" i="22"/>
  <c r="Z468" i="22" s="1"/>
  <c r="Y331" i="22"/>
  <c r="Z331" i="22" s="1"/>
  <c r="I1279" i="47"/>
  <c r="Y464" i="22"/>
  <c r="Z464" i="22" s="1"/>
  <c r="Y315" i="22"/>
  <c r="Z315" i="22" s="1"/>
  <c r="I1176" i="47"/>
  <c r="Y165" i="22"/>
  <c r="Z165" i="22" s="1"/>
  <c r="Y160" i="22"/>
  <c r="Z160" i="22" s="1"/>
  <c r="I1303" i="47"/>
  <c r="Y458" i="22"/>
  <c r="Z458" i="22" s="1"/>
  <c r="Y186" i="22"/>
  <c r="Z186" i="22" s="1"/>
  <c r="Y441" i="22"/>
  <c r="Z441" i="22" s="1"/>
  <c r="Y121" i="22"/>
  <c r="Z121" i="22" s="1"/>
  <c r="I1137" i="47"/>
  <c r="Y215" i="22"/>
  <c r="Z215" i="22" s="1"/>
  <c r="Y171" i="22"/>
  <c r="Z171" i="22" s="1"/>
  <c r="Y237" i="22"/>
  <c r="Z237" i="22" s="1"/>
  <c r="I1314" i="47"/>
  <c r="Y243" i="22"/>
  <c r="Z243" i="22" s="1"/>
  <c r="I1441" i="47"/>
  <c r="Y118" i="22"/>
  <c r="Z118" i="22" s="1"/>
  <c r="Y364" i="22"/>
  <c r="Z364" i="22" s="1"/>
  <c r="Y390" i="22"/>
  <c r="Z390" i="22" s="1"/>
  <c r="Y429" i="22"/>
  <c r="Z429" i="22" s="1"/>
  <c r="Y209" i="22"/>
  <c r="Z209" i="22" s="1"/>
  <c r="Y440" i="22"/>
  <c r="Z440" i="22" s="1"/>
  <c r="Y250" i="22"/>
  <c r="Z250" i="22" s="1"/>
  <c r="Y268" i="22"/>
  <c r="Z268" i="22" s="1"/>
  <c r="Y404" i="22"/>
  <c r="Z404" i="22" s="1"/>
  <c r="I1409" i="47"/>
  <c r="Y229" i="22"/>
  <c r="Z229" i="22" s="1"/>
  <c r="Y411" i="22"/>
  <c r="Z411" i="22" s="1"/>
  <c r="Y248" i="22"/>
  <c r="Z248" i="22" s="1"/>
  <c r="I1278" i="47"/>
  <c r="Y174" i="22"/>
  <c r="Z174" i="22" s="1"/>
  <c r="Y191" i="22"/>
  <c r="Z191" i="22" s="1"/>
  <c r="Y485" i="22"/>
  <c r="Z485" i="22" s="1"/>
  <c r="Y227" i="22"/>
  <c r="Z227" i="22" s="1"/>
  <c r="Y262" i="22"/>
  <c r="Z262" i="22" s="1"/>
  <c r="Y305" i="22"/>
  <c r="Y213" i="22"/>
  <c r="Z213" i="22" s="1"/>
  <c r="Y376" i="22"/>
  <c r="Z376" i="22" s="1"/>
  <c r="Y367" i="22"/>
  <c r="Z367" i="22" s="1"/>
  <c r="Y103" i="22"/>
  <c r="Z103" i="22" s="1"/>
  <c r="Y197" i="22"/>
  <c r="Z197" i="22" s="1"/>
  <c r="I1239" i="47"/>
  <c r="Y425" i="22"/>
  <c r="Z425" i="22" s="1"/>
  <c r="Y234" i="22"/>
  <c r="Z234" i="22" s="1"/>
  <c r="Y432" i="22"/>
  <c r="Z432" i="22" s="1"/>
  <c r="Y221" i="22"/>
  <c r="Z221" i="22" s="1"/>
  <c r="I1459" i="47"/>
  <c r="Y277" i="22"/>
  <c r="Z277" i="22" s="1"/>
  <c r="Y153" i="22"/>
  <c r="Z153" i="22" s="1"/>
  <c r="Y430" i="22"/>
  <c r="Y294" i="22"/>
  <c r="Z294" i="22" s="1"/>
  <c r="Y353" i="22"/>
  <c r="Z353" i="22" s="1"/>
  <c r="Y113" i="22"/>
  <c r="Z113" i="22" s="1"/>
  <c r="Y384" i="22"/>
  <c r="Z384" i="22" s="1"/>
  <c r="Y337" i="22"/>
  <c r="Z337" i="22" s="1"/>
  <c r="Y434" i="22"/>
  <c r="Z434" i="22" s="1"/>
  <c r="Y143" i="22"/>
  <c r="Z143" i="22" s="1"/>
  <c r="Y265" i="22"/>
  <c r="Z265" i="22" s="1"/>
  <c r="Y253" i="22"/>
  <c r="Z253" i="22" s="1"/>
  <c r="Y214" i="22"/>
  <c r="Z214" i="22" s="1"/>
  <c r="I1392" i="47"/>
  <c r="Y246" i="22"/>
  <c r="Z246" i="22" s="1"/>
  <c r="Y292" i="22"/>
  <c r="Z292" i="22" s="1"/>
  <c r="Y218" i="22"/>
  <c r="Z218" i="22" s="1"/>
  <c r="Y302" i="22"/>
  <c r="Z302" i="22" s="1"/>
  <c r="I1462" i="47"/>
  <c r="Y400" i="22"/>
  <c r="Z400" i="22" s="1"/>
  <c r="Y355" i="22"/>
  <c r="Z355" i="22" s="1"/>
  <c r="Y115" i="22"/>
  <c r="Z115" i="22" s="1"/>
  <c r="Y271" i="22"/>
  <c r="Z271" i="22" s="1"/>
  <c r="Y192" i="22"/>
  <c r="Z192" i="22" s="1"/>
  <c r="Y445" i="22"/>
  <c r="Z445" i="22" s="1"/>
  <c r="Y401" i="22"/>
  <c r="Z401" i="22" s="1"/>
  <c r="Y133" i="22"/>
  <c r="Z133" i="22" s="1"/>
  <c r="Y327" i="22"/>
  <c r="Z327" i="22" s="1"/>
  <c r="Y476" i="22"/>
  <c r="Z476" i="22" s="1"/>
  <c r="Y493" i="22"/>
  <c r="Z493" i="22" s="1"/>
  <c r="Y361" i="22"/>
  <c r="Z361" i="22" s="1"/>
  <c r="I1191" i="47"/>
  <c r="Y195" i="22"/>
  <c r="Z195" i="22" s="1"/>
  <c r="Y112" i="22"/>
  <c r="Z112" i="22" s="1"/>
  <c r="Y241" i="22"/>
  <c r="Z241" i="22" s="1"/>
  <c r="I1490" i="47"/>
  <c r="Y273" i="22"/>
  <c r="Z273" i="22" s="1"/>
  <c r="Y111" i="22"/>
  <c r="Z111" i="22" s="1"/>
  <c r="I1448" i="47"/>
  <c r="Y152" i="22"/>
  <c r="Z152" i="22" s="1"/>
  <c r="I1417" i="47"/>
  <c r="Y291" i="22"/>
  <c r="Z291" i="22" s="1"/>
  <c r="Y272" i="22"/>
  <c r="Z272" i="22" s="1"/>
  <c r="I1474" i="47"/>
  <c r="Y366" i="22"/>
  <c r="Z366" i="22" s="1"/>
  <c r="I1383" i="47"/>
  <c r="Y231" i="22"/>
  <c r="Z231" i="22" s="1"/>
  <c r="I1190" i="47"/>
  <c r="Y329" i="22"/>
  <c r="Z329" i="22" s="1"/>
  <c r="I1416" i="47"/>
  <c r="Y207" i="22"/>
  <c r="Z207" i="22" s="1"/>
  <c r="Y466" i="22"/>
  <c r="Z466" i="22" s="1"/>
  <c r="I1379" i="47"/>
  <c r="Y196" i="22"/>
  <c r="Z196" i="22" s="1"/>
  <c r="I1223" i="47"/>
  <c r="Y257" i="22"/>
  <c r="Z257" i="22" s="1"/>
  <c r="Y317" i="22"/>
  <c r="Z317" i="22" s="1"/>
  <c r="Y127" i="22"/>
  <c r="Z127" i="22" s="1"/>
  <c r="Y332" i="22"/>
  <c r="Z332" i="22" s="1"/>
  <c r="Y396" i="22"/>
  <c r="Z396" i="22" s="1"/>
  <c r="I1205" i="47"/>
  <c r="Y444" i="22"/>
  <c r="Z444" i="22" s="1"/>
  <c r="I1450" i="47"/>
  <c r="I1262" i="47"/>
  <c r="Y420" i="22"/>
  <c r="Z420" i="22" s="1"/>
  <c r="Y474" i="22"/>
  <c r="Z474" i="22" s="1"/>
  <c r="Y439" i="22"/>
  <c r="Z439" i="22" s="1"/>
  <c r="Y363" i="22"/>
  <c r="Z363" i="22" s="1"/>
  <c r="Y182" i="22"/>
  <c r="Z182" i="22" s="1"/>
  <c r="Y357" i="22"/>
  <c r="Z357" i="22" s="1"/>
  <c r="I1259" i="47"/>
  <c r="Y266" i="22"/>
  <c r="Z266" i="22" s="1"/>
  <c r="W23" i="47"/>
  <c r="V32" i="47"/>
  <c r="W13" i="22"/>
  <c r="H1513" i="47"/>
  <c r="T1513" i="47" s="1"/>
  <c r="U22" i="22"/>
  <c r="W22" i="22" s="1"/>
  <c r="H1503" i="47"/>
  <c r="T1503" i="47" s="1"/>
  <c r="U417" i="22"/>
  <c r="W417" i="22" s="1"/>
  <c r="H1493" i="47"/>
  <c r="T1493" i="47" s="1"/>
  <c r="U76" i="22"/>
  <c r="W76" i="22" s="1"/>
  <c r="I1092" i="47" s="1"/>
  <c r="U1092" i="47" s="1"/>
  <c r="H1175" i="47"/>
  <c r="T1175" i="47" s="1"/>
  <c r="U144" i="22"/>
  <c r="W144" i="22" s="1"/>
  <c r="H1042" i="47"/>
  <c r="T1042" i="47" s="1"/>
  <c r="U373" i="22"/>
  <c r="W373" i="22" s="1"/>
  <c r="I1140" i="47" s="1"/>
  <c r="H1063" i="47"/>
  <c r="T1063" i="47" s="1"/>
  <c r="U289" i="22"/>
  <c r="W289" i="22" s="1"/>
  <c r="H1165" i="47"/>
  <c r="T1165" i="47" s="1"/>
  <c r="U330" i="22"/>
  <c r="W330" i="22" s="1"/>
  <c r="I1189" i="47" s="1"/>
  <c r="H1199" i="47"/>
  <c r="T1199" i="47" s="1"/>
  <c r="U176" i="22"/>
  <c r="W176" i="22" s="1"/>
  <c r="H1264" i="47"/>
  <c r="T1264" i="47" s="1"/>
  <c r="U419" i="22"/>
  <c r="W419" i="22" s="1"/>
  <c r="I1435" i="47" s="1"/>
  <c r="H1149" i="47"/>
  <c r="T1149" i="47" s="1"/>
  <c r="U129" i="22"/>
  <c r="W129" i="22" s="1"/>
  <c r="H1155" i="47"/>
  <c r="T1155" i="47" s="1"/>
  <c r="U451" i="22"/>
  <c r="W451" i="22" s="1"/>
  <c r="I1247" i="47" s="1"/>
  <c r="H1188" i="47"/>
  <c r="T1188" i="47" s="1"/>
  <c r="U163" i="22"/>
  <c r="W163" i="22" s="1"/>
  <c r="H1373" i="47"/>
  <c r="T1373" i="47" s="1"/>
  <c r="U326" i="22"/>
  <c r="W326" i="22" s="1"/>
  <c r="I1329" i="47" s="1"/>
  <c r="H1322" i="47"/>
  <c r="T1322" i="47" s="1"/>
  <c r="U488" i="22"/>
  <c r="W488" i="22" s="1"/>
  <c r="H1129" i="47"/>
  <c r="T1129" i="47" s="1"/>
  <c r="U35" i="22"/>
  <c r="W35" i="22" s="1"/>
  <c r="H1107" i="47"/>
  <c r="T1107" i="47" s="1"/>
  <c r="U119" i="22"/>
  <c r="W119" i="22" s="1"/>
  <c r="I1135" i="47" s="1"/>
  <c r="H1296" i="47"/>
  <c r="T1296" i="47" s="1"/>
  <c r="U222" i="22"/>
  <c r="W222" i="22" s="1"/>
  <c r="H1169" i="47"/>
  <c r="T1169" i="47" s="1"/>
  <c r="U490" i="22"/>
  <c r="W490" i="22" s="1"/>
  <c r="H1442" i="47"/>
  <c r="T1442" i="47" s="1"/>
  <c r="U85" i="22"/>
  <c r="W85" i="22" s="1"/>
  <c r="I1101" i="47" s="1"/>
  <c r="H1195" i="47"/>
  <c r="T1195" i="47" s="1"/>
  <c r="U306" i="22"/>
  <c r="W306" i="22" s="1"/>
  <c r="I1381" i="47" s="1"/>
  <c r="H1436" i="47"/>
  <c r="T1436" i="47" s="1"/>
  <c r="U482" i="22"/>
  <c r="W482" i="22" s="1"/>
  <c r="H1136" i="47"/>
  <c r="T1136" i="47" s="1"/>
  <c r="U423" i="22"/>
  <c r="W423" i="22" s="1"/>
  <c r="H1126" i="47"/>
  <c r="T1126" i="47" s="1"/>
  <c r="U201" i="22"/>
  <c r="W201" i="22" s="1"/>
  <c r="H1077" i="47"/>
  <c r="T1077" i="47" s="1"/>
  <c r="U60" i="22"/>
  <c r="W60" i="22" s="1"/>
  <c r="H1049" i="47"/>
  <c r="T1049" i="47" s="1"/>
  <c r="U69" i="22"/>
  <c r="W69" i="22" s="1"/>
  <c r="AA227" i="22"/>
  <c r="E1275" i="47"/>
  <c r="K1275" i="47" s="1"/>
  <c r="AA465" i="22"/>
  <c r="Z354" i="22"/>
  <c r="AA354" i="22"/>
  <c r="E1206" i="47"/>
  <c r="K1206" i="47" s="1"/>
  <c r="AA97" i="22"/>
  <c r="AA495" i="22"/>
  <c r="AA420" i="22"/>
  <c r="E1430" i="47"/>
  <c r="AA320" i="22"/>
  <c r="E1144" i="47"/>
  <c r="K1144" i="47" s="1"/>
  <c r="AA40" i="22"/>
  <c r="E1421" i="47"/>
  <c r="K1421" i="47" s="1"/>
  <c r="AA307" i="22"/>
  <c r="E1385" i="47"/>
  <c r="K1385" i="47" s="1"/>
  <c r="AA51" i="22"/>
  <c r="E1405" i="47"/>
  <c r="K1405" i="47" s="1"/>
  <c r="AA491" i="22"/>
  <c r="AA185" i="22"/>
  <c r="E1310" i="47"/>
  <c r="AA497" i="22"/>
  <c r="E1340" i="47"/>
  <c r="K1340" i="47" s="1"/>
  <c r="AA150" i="22"/>
  <c r="AA444" i="22"/>
  <c r="E1309" i="47"/>
  <c r="K1309" i="47" s="1"/>
  <c r="AA168" i="22"/>
  <c r="E1122" i="47"/>
  <c r="K1122" i="47" s="1"/>
  <c r="AA382" i="22"/>
  <c r="AA253" i="22"/>
  <c r="E1376" i="47"/>
  <c r="AA151" i="22"/>
  <c r="E1031" i="47"/>
  <c r="K1031" i="47" s="1"/>
  <c r="AA166" i="22"/>
  <c r="AA392" i="22"/>
  <c r="AA248" i="22"/>
  <c r="AA113" i="22"/>
  <c r="E1393" i="47"/>
  <c r="AA26" i="22"/>
  <c r="AA443" i="22"/>
  <c r="E1298" i="47"/>
  <c r="K1298" i="47" s="1"/>
  <c r="AA426" i="22"/>
  <c r="AA285" i="22"/>
  <c r="E1051" i="47"/>
  <c r="K1051" i="47" s="1"/>
  <c r="AA334" i="22"/>
  <c r="E1134" i="47"/>
  <c r="O1134" i="47" s="1"/>
  <c r="AA338" i="22"/>
  <c r="E1451" i="47"/>
  <c r="AA424" i="22"/>
  <c r="E1316" i="47"/>
  <c r="K1316" i="47" s="1"/>
  <c r="AA141" i="22"/>
  <c r="AA446" i="22"/>
  <c r="E1210" i="47"/>
  <c r="K1210" i="47" s="1"/>
  <c r="AA456" i="22"/>
  <c r="E1355" i="47"/>
  <c r="K1355" i="47" s="1"/>
  <c r="AA70" i="22"/>
  <c r="E1418" i="47"/>
  <c r="K1418" i="47" s="1"/>
  <c r="AA388" i="22"/>
  <c r="AA328" i="22"/>
  <c r="E1039" i="47"/>
  <c r="K1039" i="47" s="1"/>
  <c r="AA72" i="22"/>
  <c r="AA463" i="22"/>
  <c r="E1300" i="47"/>
  <c r="K1300" i="47" s="1"/>
  <c r="AA205" i="22"/>
  <c r="E1146" i="47"/>
  <c r="AA73" i="22"/>
  <c r="H1498" i="47"/>
  <c r="T1498" i="47" s="1"/>
  <c r="U75" i="22"/>
  <c r="W75" i="22" s="1"/>
  <c r="H1477" i="47"/>
  <c r="T1477" i="47" s="1"/>
  <c r="U94" i="22"/>
  <c r="W94" i="22" s="1"/>
  <c r="H1122" i="47"/>
  <c r="T1122" i="47" s="1"/>
  <c r="U382" i="22"/>
  <c r="W382" i="22" s="1"/>
  <c r="H1420" i="47"/>
  <c r="T1420" i="47" s="1"/>
  <c r="U162" i="22"/>
  <c r="W162" i="22" s="1"/>
  <c r="H1406" i="47"/>
  <c r="T1406" i="47" s="1"/>
  <c r="U442" i="22"/>
  <c r="W442" i="22" s="1"/>
  <c r="H1391" i="47"/>
  <c r="T1391" i="47" s="1"/>
  <c r="U408" i="22"/>
  <c r="W408" i="22" s="1"/>
  <c r="H1225" i="47"/>
  <c r="T1225" i="47" s="1"/>
  <c r="U471" i="22"/>
  <c r="W471" i="22" s="1"/>
  <c r="H1202" i="47"/>
  <c r="T1202" i="47" s="1"/>
  <c r="U212" i="22"/>
  <c r="W212" i="22" s="1"/>
  <c r="H1076" i="47"/>
  <c r="T1076" i="47" s="1"/>
  <c r="U235" i="22"/>
  <c r="W235" i="22" s="1"/>
  <c r="H1339" i="47"/>
  <c r="T1339" i="47" s="1"/>
  <c r="U349" i="22"/>
  <c r="W349" i="22" s="1"/>
  <c r="H1422" i="47"/>
  <c r="T1422" i="47" s="1"/>
  <c r="U378" i="22"/>
  <c r="W378" i="22" s="1"/>
  <c r="H1372" i="47"/>
  <c r="T1372" i="47" s="1"/>
  <c r="U407" i="22"/>
  <c r="W407" i="22" s="1"/>
  <c r="H1354" i="47"/>
  <c r="T1354" i="47" s="1"/>
  <c r="U200" i="22"/>
  <c r="W200" i="22" s="1"/>
  <c r="H1439" i="47"/>
  <c r="T1439" i="47" s="1"/>
  <c r="U43" i="22"/>
  <c r="W43" i="22" s="1"/>
  <c r="H1160" i="47"/>
  <c r="T1160" i="47" s="1"/>
  <c r="U47" i="22"/>
  <c r="W47" i="22" s="1"/>
  <c r="H1110" i="47"/>
  <c r="T1110" i="47" s="1"/>
  <c r="U284" i="22"/>
  <c r="W284" i="22" s="1"/>
  <c r="H1048" i="47"/>
  <c r="T1048" i="47" s="1"/>
  <c r="U82" i="22"/>
  <c r="W82" i="22" s="1"/>
  <c r="I1098" i="47" s="1"/>
  <c r="H1344" i="47"/>
  <c r="T1344" i="47" s="1"/>
  <c r="U80" i="22"/>
  <c r="W80" i="22" s="1"/>
  <c r="I1096" i="47" s="1"/>
  <c r="H1174" i="47"/>
  <c r="T1174" i="47" s="1"/>
  <c r="U415" i="22"/>
  <c r="W415" i="22" s="1"/>
  <c r="H1153" i="47"/>
  <c r="T1153" i="47" s="1"/>
  <c r="U187" i="22"/>
  <c r="W187" i="22" s="1"/>
  <c r="H1321" i="47"/>
  <c r="T1321" i="47" s="1"/>
  <c r="U290" i="22"/>
  <c r="W290" i="22" s="1"/>
  <c r="H1411" i="47"/>
  <c r="T1411" i="47" s="1"/>
  <c r="U154" i="22"/>
  <c r="W154" i="22" s="1"/>
  <c r="H1294" i="47"/>
  <c r="T1294" i="47" s="1"/>
  <c r="U92" i="22"/>
  <c r="W92" i="22" s="1"/>
  <c r="H1287" i="47"/>
  <c r="T1287" i="47" s="1"/>
  <c r="U304" i="22"/>
  <c r="W304" i="22" s="1"/>
  <c r="I1320" i="47" s="1"/>
  <c r="H1154" i="47"/>
  <c r="T1154" i="47" s="1"/>
  <c r="U116" i="22"/>
  <c r="W116" i="22" s="1"/>
  <c r="H1395" i="47"/>
  <c r="T1395" i="47" s="1"/>
  <c r="U254" i="22"/>
  <c r="W254" i="22" s="1"/>
  <c r="H1325" i="47"/>
  <c r="T1325" i="47" s="1"/>
  <c r="U157" i="22"/>
  <c r="W157" i="22" s="1"/>
  <c r="H1039" i="47"/>
  <c r="T1039" i="47" s="1"/>
  <c r="U72" i="22"/>
  <c r="W72" i="22" s="1"/>
  <c r="E1357" i="47"/>
  <c r="K1357" i="47" s="1"/>
  <c r="AA381" i="22"/>
  <c r="E1036" i="47"/>
  <c r="K1036" i="47" s="1"/>
  <c r="AA41" i="22"/>
  <c r="AA384" i="22"/>
  <c r="E1367" i="47"/>
  <c r="O1367" i="47" s="1"/>
  <c r="AA106" i="22"/>
  <c r="AA466" i="22"/>
  <c r="E1339" i="47"/>
  <c r="AA349" i="22"/>
  <c r="E1224" i="47"/>
  <c r="O1224" i="47" s="1"/>
  <c r="AA260" i="22"/>
  <c r="E1045" i="47"/>
  <c r="K1045" i="47" s="1"/>
  <c r="AA267" i="22"/>
  <c r="E1264" i="47"/>
  <c r="K1264" i="47" s="1"/>
  <c r="AA419" i="22"/>
  <c r="E1511" i="47"/>
  <c r="O1511" i="47" s="1"/>
  <c r="AA15" i="22"/>
  <c r="AA237" i="22"/>
  <c r="E1042" i="47"/>
  <c r="K1042" i="47" s="1"/>
  <c r="AA373" i="22"/>
  <c r="AA268" i="22"/>
  <c r="E1111" i="47"/>
  <c r="K1111" i="47" s="1"/>
  <c r="AA54" i="22"/>
  <c r="AA182" i="22"/>
  <c r="E1465" i="47"/>
  <c r="K1465" i="47" s="1"/>
  <c r="AA358" i="22"/>
  <c r="E1217" i="47"/>
  <c r="K1217" i="47" s="1"/>
  <c r="AA391" i="22"/>
  <c r="AA250" i="22"/>
  <c r="E1363" i="47"/>
  <c r="K1363" i="47" s="1"/>
  <c r="AA240" i="22"/>
  <c r="E1207" i="47"/>
  <c r="K1207" i="47" s="1"/>
  <c r="AA239" i="22"/>
  <c r="F1255" i="47" s="1"/>
  <c r="M1255" i="47" s="1"/>
  <c r="AA283" i="22"/>
  <c r="E1502" i="47"/>
  <c r="K1502" i="47" s="1"/>
  <c r="AA11" i="22"/>
  <c r="E1463" i="47"/>
  <c r="K1463" i="47" s="1"/>
  <c r="AA356" i="22"/>
  <c r="Z365" i="22"/>
  <c r="AA365" i="22"/>
  <c r="AA418" i="22"/>
  <c r="E1192" i="47"/>
  <c r="K1192" i="47" s="1"/>
  <c r="AA437" i="22"/>
  <c r="E1513" i="47"/>
  <c r="AA22" i="22"/>
  <c r="AA257" i="22"/>
  <c r="AA434" i="22"/>
  <c r="AA195" i="22"/>
  <c r="Z414" i="22"/>
  <c r="AA414" i="22"/>
  <c r="F1067" i="47" s="1"/>
  <c r="M1067" i="47" s="1"/>
  <c r="AA362" i="22"/>
  <c r="E1413" i="47"/>
  <c r="K1413" i="47" s="1"/>
  <c r="AA236" i="22"/>
  <c r="AA229" i="22"/>
  <c r="AA258" i="22"/>
  <c r="AA231" i="22"/>
  <c r="AA475" i="22"/>
  <c r="F1378" i="47" s="1"/>
  <c r="M1378" i="47" s="1"/>
  <c r="E1380" i="47"/>
  <c r="K1380" i="47" s="1"/>
  <c r="AA105" i="22"/>
  <c r="E1347" i="47"/>
  <c r="K1347" i="47" s="1"/>
  <c r="AA123" i="22"/>
  <c r="H1478" i="47"/>
  <c r="T1478" i="47" s="1"/>
  <c r="U52" i="22"/>
  <c r="W52" i="22" s="1"/>
  <c r="H1509" i="47"/>
  <c r="T1509" i="47" s="1"/>
  <c r="U23" i="22"/>
  <c r="W23" i="22" s="1"/>
  <c r="H1497" i="47"/>
  <c r="T1497" i="47" s="1"/>
  <c r="U348" i="22"/>
  <c r="W348" i="22" s="1"/>
  <c r="H1284" i="47"/>
  <c r="T1284" i="47" s="1"/>
  <c r="U87" i="22"/>
  <c r="W87" i="22" s="1"/>
  <c r="H1241" i="47"/>
  <c r="T1241" i="47" s="1"/>
  <c r="U86" i="22"/>
  <c r="W86" i="22" s="1"/>
  <c r="H1295" i="47"/>
  <c r="T1295" i="47" s="1"/>
  <c r="U359" i="22"/>
  <c r="W359" i="22" s="1"/>
  <c r="H1044" i="47"/>
  <c r="T1044" i="47" s="1"/>
  <c r="U383" i="22"/>
  <c r="W383" i="22" s="1"/>
  <c r="H1466" i="47"/>
  <c r="T1466" i="47" s="1"/>
  <c r="U132" i="22"/>
  <c r="W132" i="22" s="1"/>
  <c r="I1148" i="47" s="1"/>
  <c r="H1430" i="47"/>
  <c r="T1430" i="47" s="1"/>
  <c r="U320" i="22"/>
  <c r="W320" i="22" s="1"/>
  <c r="I1336" i="47" s="1"/>
  <c r="H1200" i="47"/>
  <c r="T1200" i="47" s="1"/>
  <c r="U238" i="22"/>
  <c r="W238" i="22" s="1"/>
  <c r="H1418" i="47"/>
  <c r="T1418" i="47" s="1"/>
  <c r="U388" i="22"/>
  <c r="W388" i="22" s="1"/>
  <c r="I1404" i="47" s="1"/>
  <c r="H1340" i="47"/>
  <c r="T1340" i="47" s="1"/>
  <c r="U150" i="22"/>
  <c r="W150" i="22" s="1"/>
  <c r="H1108" i="47"/>
  <c r="T1108" i="47" s="1"/>
  <c r="U261" i="22"/>
  <c r="W261" i="22" s="1"/>
  <c r="H1053" i="47"/>
  <c r="T1053" i="47" s="1"/>
  <c r="U389" i="22"/>
  <c r="W389" i="22" s="1"/>
  <c r="H1089" i="47"/>
  <c r="T1089" i="47" s="1"/>
  <c r="U93" i="22"/>
  <c r="W93" i="22" s="1"/>
  <c r="I1109" i="47" s="1"/>
  <c r="H1310" i="47"/>
  <c r="T1310" i="47" s="1"/>
  <c r="U497" i="22"/>
  <c r="W497" i="22" s="1"/>
  <c r="H1204" i="47"/>
  <c r="T1204" i="47" s="1"/>
  <c r="U217" i="22"/>
  <c r="W217" i="22" s="1"/>
  <c r="H1366" i="47"/>
  <c r="T1366" i="47" s="1"/>
  <c r="U161" i="22"/>
  <c r="W161" i="22" s="1"/>
  <c r="H1158" i="47"/>
  <c r="T1158" i="47" s="1"/>
  <c r="U107" i="22"/>
  <c r="W107" i="22" s="1"/>
  <c r="H1232" i="47"/>
  <c r="T1232" i="47" s="1"/>
  <c r="U275" i="22"/>
  <c r="W275" i="22" s="1"/>
  <c r="H1185" i="47"/>
  <c r="T1185" i="47" s="1"/>
  <c r="U101" i="22"/>
  <c r="W101" i="22" s="1"/>
  <c r="H1446" i="47"/>
  <c r="T1446" i="47" s="1"/>
  <c r="U379" i="22"/>
  <c r="W379" i="22" s="1"/>
  <c r="H1038" i="47"/>
  <c r="T1038" i="47" s="1"/>
  <c r="U438" i="22"/>
  <c r="W438" i="22" s="1"/>
  <c r="I1454" i="47" s="1"/>
  <c r="H1133" i="47"/>
  <c r="T1133" i="47" s="1"/>
  <c r="U323" i="22"/>
  <c r="W323" i="22" s="1"/>
  <c r="I1237" i="47" s="1"/>
  <c r="H1317" i="47"/>
  <c r="T1317" i="47" s="1"/>
  <c r="U134" i="22"/>
  <c r="W134" i="22" s="1"/>
  <c r="H1385" i="47"/>
  <c r="T1385" i="47" s="1"/>
  <c r="U51" i="22"/>
  <c r="W51" i="22" s="1"/>
  <c r="I1067" i="47" s="1"/>
  <c r="H1452" i="47"/>
  <c r="T1452" i="47" s="1"/>
  <c r="U24" i="22"/>
  <c r="W24" i="22" s="1"/>
  <c r="I1040" i="47" s="1"/>
  <c r="AA440" i="22"/>
  <c r="E1374" i="47"/>
  <c r="K1374" i="47" s="1"/>
  <c r="AA312" i="22"/>
  <c r="E1234" i="47"/>
  <c r="K1234" i="47" s="1"/>
  <c r="AA435" i="22"/>
  <c r="E1391" i="47"/>
  <c r="O1391" i="47" s="1"/>
  <c r="AA408" i="22"/>
  <c r="AA279" i="22"/>
  <c r="E1194" i="47"/>
  <c r="K1194" i="47" s="1"/>
  <c r="AA46" i="22"/>
  <c r="E1353" i="47"/>
  <c r="K1353" i="47" s="1"/>
  <c r="AA48" i="22"/>
  <c r="AA265" i="22"/>
  <c r="E1100" i="47"/>
  <c r="K1100" i="47" s="1"/>
  <c r="AA461" i="22"/>
  <c r="E1401" i="47"/>
  <c r="O1401" i="47" s="1"/>
  <c r="AA44" i="22"/>
  <c r="AA296" i="22"/>
  <c r="E1506" i="47"/>
  <c r="K1506" i="47" s="1"/>
  <c r="AA375" i="22"/>
  <c r="E1372" i="47"/>
  <c r="K1372" i="47" s="1"/>
  <c r="AA407" i="22"/>
  <c r="AA291" i="22"/>
  <c r="E1453" i="47"/>
  <c r="AA433" i="22"/>
  <c r="E1464" i="47"/>
  <c r="K1464" i="47" s="1"/>
  <c r="AA95" i="22"/>
  <c r="E1221" i="47"/>
  <c r="O1221" i="47" s="1"/>
  <c r="AA53" i="22"/>
  <c r="E1341" i="47"/>
  <c r="K1341" i="47" s="1"/>
  <c r="AA58" i="22"/>
  <c r="AA269" i="22"/>
  <c r="AA282" i="22"/>
  <c r="E1084" i="47"/>
  <c r="K1084" i="47" s="1"/>
  <c r="AA341" i="22"/>
  <c r="AA405" i="22"/>
  <c r="E1256" i="47"/>
  <c r="K1256" i="47" s="1"/>
  <c r="AA63" i="22"/>
  <c r="E1113" i="47"/>
  <c r="K1113" i="47" s="1"/>
  <c r="AA110" i="22"/>
  <c r="AA127" i="22"/>
  <c r="E1325" i="47"/>
  <c r="K1325" i="47" s="1"/>
  <c r="AA157" i="22"/>
  <c r="AA496" i="22"/>
  <c r="E1345" i="47"/>
  <c r="O1345" i="47" s="1"/>
  <c r="AA288" i="22"/>
  <c r="E1184" i="47"/>
  <c r="K1184" i="47" s="1"/>
  <c r="AA422" i="22"/>
  <c r="E1026" i="47"/>
  <c r="K1026" i="47" s="1"/>
  <c r="AA370" i="22"/>
  <c r="E1180" i="47"/>
  <c r="K1180" i="47" s="1"/>
  <c r="AA478" i="22"/>
  <c r="E1456" i="47"/>
  <c r="K1456" i="47" s="1"/>
  <c r="AA68" i="22"/>
  <c r="E1287" i="47"/>
  <c r="K1287" i="47" s="1"/>
  <c r="AA304" i="22"/>
  <c r="AA103" i="22"/>
  <c r="E1211" i="47"/>
  <c r="K1211" i="47" s="1"/>
  <c r="AA395" i="22"/>
  <c r="AA263" i="22"/>
  <c r="E1452" i="47"/>
  <c r="K1452" i="47" s="1"/>
  <c r="AA24" i="22"/>
  <c r="AA385" i="22"/>
  <c r="E1281" i="47"/>
  <c r="O1281" i="47" s="1"/>
  <c r="AA319" i="22"/>
  <c r="E1478" i="47"/>
  <c r="K1478" i="47" s="1"/>
  <c r="AA52" i="22"/>
  <c r="H1508" i="47"/>
  <c r="T1508" i="47" s="1"/>
  <c r="U10" i="22"/>
  <c r="W10" i="22" s="1"/>
  <c r="H1504" i="47"/>
  <c r="T1504" i="47" s="1"/>
  <c r="U91" i="22"/>
  <c r="W91" i="22" s="1"/>
  <c r="H1292" i="47"/>
  <c r="T1292" i="47" s="1"/>
  <c r="U39" i="22"/>
  <c r="W39" i="22" s="1"/>
  <c r="H1327" i="47"/>
  <c r="T1327" i="47" s="1"/>
  <c r="U36" i="22"/>
  <c r="W36" i="22" s="1"/>
  <c r="I1052" i="47" s="1"/>
  <c r="H1132" i="47"/>
  <c r="T1132" i="47" s="1"/>
  <c r="U286" i="22"/>
  <c r="W286" i="22" s="1"/>
  <c r="I1302" i="47" s="1"/>
  <c r="H1068" i="47"/>
  <c r="T1068" i="47" s="1"/>
  <c r="U421" i="22"/>
  <c r="W421" i="22" s="1"/>
  <c r="H1214" i="47"/>
  <c r="T1214" i="47" s="1"/>
  <c r="U489" i="22"/>
  <c r="W489" i="22" s="1"/>
  <c r="H1311" i="47"/>
  <c r="T1311" i="47" s="1"/>
  <c r="U295" i="22"/>
  <c r="W295" i="22" s="1"/>
  <c r="H1119" i="47"/>
  <c r="T1119" i="47" s="1"/>
  <c r="U259" i="22"/>
  <c r="W259" i="22" s="1"/>
  <c r="H1467" i="47"/>
  <c r="T1467" i="47" s="1"/>
  <c r="U170" i="22"/>
  <c r="W170" i="22" s="1"/>
  <c r="H1349" i="47"/>
  <c r="T1349" i="47" s="1"/>
  <c r="U372" i="22"/>
  <c r="W372" i="22" s="1"/>
  <c r="H1033" i="47"/>
  <c r="T1033" i="47" s="1"/>
  <c r="U21" i="22"/>
  <c r="W21" i="22" s="1"/>
  <c r="H1181" i="47"/>
  <c r="T1181" i="47" s="1"/>
  <c r="U90" i="22"/>
  <c r="W90" i="22" s="1"/>
  <c r="I1106" i="47" s="1"/>
  <c r="H1217" i="47"/>
  <c r="T1217" i="47" s="1"/>
  <c r="U391" i="22"/>
  <c r="W391" i="22" s="1"/>
  <c r="H1231" i="47"/>
  <c r="T1231" i="47" s="1"/>
  <c r="U473" i="22"/>
  <c r="W473" i="22" s="1"/>
  <c r="H1238" i="47"/>
  <c r="T1238" i="47" s="1"/>
  <c r="U219" i="22"/>
  <c r="W219" i="22" s="1"/>
  <c r="H1377" i="47"/>
  <c r="T1377" i="47" s="1"/>
  <c r="U198" i="22"/>
  <c r="W198" i="22" s="1"/>
  <c r="H1213" i="47"/>
  <c r="T1213" i="47" s="1"/>
  <c r="U117" i="22"/>
  <c r="W117" i="22" s="1"/>
  <c r="H1301" i="47"/>
  <c r="T1301" i="47" s="1"/>
  <c r="U256" i="22"/>
  <c r="W256" i="22" s="1"/>
  <c r="I1272" i="47" s="1"/>
  <c r="H1124" i="47"/>
  <c r="T1124" i="47" s="1"/>
  <c r="U247" i="22"/>
  <c r="W247" i="22" s="1"/>
  <c r="H1355" i="47"/>
  <c r="T1355" i="47" s="1"/>
  <c r="U70" i="22"/>
  <c r="W70" i="22" s="1"/>
  <c r="I1086" i="47" s="1"/>
  <c r="H1390" i="47"/>
  <c r="T1390" i="47" s="1"/>
  <c r="U31" i="22"/>
  <c r="W31" i="22" s="1"/>
  <c r="H1219" i="47"/>
  <c r="T1219" i="47" s="1"/>
  <c r="U89" i="22"/>
  <c r="W89" i="22" s="1"/>
  <c r="I1105" i="47" s="1"/>
  <c r="H1166" i="47"/>
  <c r="T1166" i="47" s="1"/>
  <c r="U242" i="22"/>
  <c r="W242" i="22" s="1"/>
  <c r="H1401" i="47"/>
  <c r="T1401" i="47" s="1"/>
  <c r="U44" i="22"/>
  <c r="W44" i="22" s="1"/>
  <c r="I1060" i="47" s="1"/>
  <c r="E1472" i="47"/>
  <c r="K1472" i="47" s="1"/>
  <c r="AA233" i="22"/>
  <c r="E1410" i="47"/>
  <c r="K1410" i="47" s="1"/>
  <c r="AA42" i="22"/>
  <c r="F1058" i="47" s="1"/>
  <c r="M1058" i="47" s="1"/>
  <c r="E1322" i="47"/>
  <c r="K1322" i="47" s="1"/>
  <c r="AA488" i="22"/>
  <c r="AA143" i="22"/>
  <c r="E1037" i="47"/>
  <c r="K1037" i="47" s="1"/>
  <c r="AA368" i="22"/>
  <c r="E1129" i="47"/>
  <c r="K1129" i="47" s="1"/>
  <c r="AA35" i="22"/>
  <c r="AA374" i="22"/>
  <c r="AA164" i="22"/>
  <c r="E1466" i="47"/>
  <c r="K1466" i="47" s="1"/>
  <c r="AA132" i="22"/>
  <c r="E1499" i="47"/>
  <c r="K1499" i="47" s="1"/>
  <c r="AA16" i="22"/>
  <c r="AA468" i="22"/>
  <c r="AA464" i="22"/>
  <c r="E1406" i="47"/>
  <c r="K1406" i="47" s="1"/>
  <c r="AA442" i="22"/>
  <c r="E1358" i="47"/>
  <c r="K1358" i="47" s="1"/>
  <c r="AA79" i="22"/>
  <c r="F1095" i="47" s="1"/>
  <c r="M1095" i="47" s="1"/>
  <c r="AA191" i="22"/>
  <c r="E1203" i="47"/>
  <c r="K1203" i="47" s="1"/>
  <c r="AA377" i="22"/>
  <c r="AA361" i="22"/>
  <c r="E1323" i="47"/>
  <c r="K1323" i="47" s="1"/>
  <c r="AA59" i="22"/>
  <c r="AA165" i="22"/>
  <c r="AA145" i="22"/>
  <c r="E1231" i="47"/>
  <c r="K1231" i="47" s="1"/>
  <c r="AA473" i="22"/>
  <c r="E1222" i="47"/>
  <c r="K1222" i="47" s="1"/>
  <c r="AA249" i="22"/>
  <c r="AA209" i="22"/>
  <c r="E1285" i="47"/>
  <c r="O1285" i="47" s="1"/>
  <c r="AA64" i="22"/>
  <c r="E1461" i="47"/>
  <c r="K1461" i="47" s="1"/>
  <c r="AA29" i="22"/>
  <c r="AA111" i="22"/>
  <c r="AA109" i="22"/>
  <c r="E1138" i="47"/>
  <c r="K1138" i="47" s="1"/>
  <c r="AA65" i="22"/>
  <c r="E1164" i="47"/>
  <c r="K1164" i="47" s="1"/>
  <c r="AA409" i="22"/>
  <c r="F1425" i="47" s="1"/>
  <c r="M1425" i="47" s="1"/>
  <c r="E1266" i="47"/>
  <c r="K1266" i="47" s="1"/>
  <c r="AA264" i="22"/>
  <c r="E1196" i="47"/>
  <c r="K1196" i="47" s="1"/>
  <c r="AA230" i="22"/>
  <c r="E1195" i="47"/>
  <c r="K1195" i="47" s="1"/>
  <c r="AA306" i="22"/>
  <c r="E1049" i="47"/>
  <c r="K1049" i="47" s="1"/>
  <c r="AA69" i="22"/>
  <c r="E1317" i="47"/>
  <c r="K1317" i="47" s="1"/>
  <c r="AA134" i="22"/>
  <c r="AA115" i="22"/>
  <c r="E1507" i="47"/>
  <c r="K1507" i="47" s="1"/>
  <c r="AA77" i="22"/>
  <c r="AA147" i="22"/>
  <c r="AA243" i="22"/>
  <c r="E1263" i="47"/>
  <c r="K1263" i="47" s="1"/>
  <c r="AA449" i="22"/>
  <c r="E1077" i="47"/>
  <c r="K1077" i="47" s="1"/>
  <c r="AA60" i="22"/>
  <c r="H1499" i="47"/>
  <c r="T1499" i="47" s="1"/>
  <c r="U16" i="22"/>
  <c r="W16" i="22" s="1"/>
  <c r="I1032" i="47" s="1"/>
  <c r="H1496" i="47"/>
  <c r="T1496" i="47" s="1"/>
  <c r="U477" i="22"/>
  <c r="W477" i="22" s="1"/>
  <c r="H1400" i="47"/>
  <c r="T1400" i="47" s="1"/>
  <c r="U32" i="22"/>
  <c r="W32" i="22" s="1"/>
  <c r="H1480" i="47"/>
  <c r="T1480" i="47" s="1"/>
  <c r="U346" i="22"/>
  <c r="W346" i="22" s="1"/>
  <c r="H1164" i="47"/>
  <c r="T1164" i="47" s="1"/>
  <c r="U409" i="22"/>
  <c r="W409" i="22" s="1"/>
  <c r="H1243" i="47"/>
  <c r="T1243" i="47" s="1"/>
  <c r="U410" i="22"/>
  <c r="W410" i="22" s="1"/>
  <c r="I1426" i="47" s="1"/>
  <c r="H1445" i="47"/>
  <c r="T1445" i="47" s="1"/>
  <c r="U122" i="22"/>
  <c r="W122" i="22" s="1"/>
  <c r="H1384" i="47"/>
  <c r="T1384" i="47" s="1"/>
  <c r="U98" i="22"/>
  <c r="W98" i="22" s="1"/>
  <c r="H1293" i="47"/>
  <c r="T1293" i="47" s="1"/>
  <c r="U50" i="22"/>
  <c r="W50" i="22" s="1"/>
  <c r="I1066" i="47" s="1"/>
  <c r="H1240" i="47"/>
  <c r="T1240" i="47" s="1"/>
  <c r="U28" i="22"/>
  <c r="W28" i="22" s="1"/>
  <c r="H1221" i="47"/>
  <c r="T1221" i="47" s="1"/>
  <c r="U53" i="22"/>
  <c r="W53" i="22" s="1"/>
  <c r="H1182" i="47"/>
  <c r="T1182" i="47" s="1"/>
  <c r="U487" i="22"/>
  <c r="W487" i="22" s="1"/>
  <c r="I1128" i="47" s="1"/>
  <c r="H1298" i="47"/>
  <c r="T1298" i="47" s="1"/>
  <c r="U426" i="22"/>
  <c r="W426" i="22" s="1"/>
  <c r="H1347" i="47"/>
  <c r="T1347" i="47" s="1"/>
  <c r="U123" i="22"/>
  <c r="W123" i="22" s="1"/>
  <c r="H1134" i="47"/>
  <c r="T1134" i="47" s="1"/>
  <c r="U338" i="22"/>
  <c r="W338" i="22" s="1"/>
  <c r="H1343" i="47"/>
  <c r="T1343" i="47" s="1"/>
  <c r="U311" i="22"/>
  <c r="W311" i="22" s="1"/>
  <c r="H1207" i="47"/>
  <c r="T1207" i="47" s="1"/>
  <c r="U239" i="22"/>
  <c r="W239" i="22" s="1"/>
  <c r="H1069" i="47"/>
  <c r="T1069" i="47" s="1"/>
  <c r="U228" i="22"/>
  <c r="W228" i="22" s="1"/>
  <c r="I1244" i="47" s="1"/>
  <c r="H1313" i="47"/>
  <c r="T1313" i="47" s="1"/>
  <c r="U453" i="22"/>
  <c r="W453" i="22" s="1"/>
  <c r="H1358" i="47"/>
  <c r="T1358" i="47" s="1"/>
  <c r="U79" i="22"/>
  <c r="W79" i="22" s="1"/>
  <c r="I1095" i="47" s="1"/>
  <c r="U1095" i="47" s="1"/>
  <c r="AA112" i="22"/>
  <c r="F1128" i="47" s="1"/>
  <c r="M1128" i="47" s="1"/>
  <c r="E1315" i="47"/>
  <c r="K1315" i="47" s="1"/>
  <c r="AA125" i="22"/>
  <c r="E1439" i="47"/>
  <c r="AA43" i="22"/>
  <c r="E1173" i="47"/>
  <c r="K1173" i="47" s="1"/>
  <c r="AA303" i="22"/>
  <c r="E1270" i="47"/>
  <c r="K1270" i="47" s="1"/>
  <c r="AA172" i="22"/>
  <c r="AA190" i="22"/>
  <c r="E1033" i="47"/>
  <c r="K1033" i="47" s="1"/>
  <c r="AA21" i="22"/>
  <c r="E1200" i="47"/>
  <c r="K1200" i="47" s="1"/>
  <c r="AA238" i="22"/>
  <c r="Z387" i="22"/>
  <c r="AA387" i="22"/>
  <c r="AA108" i="22"/>
  <c r="E1514" i="47"/>
  <c r="K1514" i="47" s="1"/>
  <c r="AA25" i="22"/>
  <c r="E1139" i="47"/>
  <c r="K1139" i="47" s="1"/>
  <c r="AA309" i="22"/>
  <c r="AA292" i="22"/>
  <c r="E1386" i="47"/>
  <c r="K1386" i="47" s="1"/>
  <c r="AA20" i="22"/>
  <c r="E1183" i="47"/>
  <c r="K1183" i="47" s="1"/>
  <c r="AA88" i="22"/>
  <c r="AA160" i="22"/>
  <c r="E1186" i="47"/>
  <c r="K1186" i="47" s="1"/>
  <c r="AA193" i="22"/>
  <c r="E1198" i="47"/>
  <c r="K1198" i="47" s="1"/>
  <c r="AA27" i="22"/>
  <c r="E1395" i="47"/>
  <c r="K1395" i="47" s="1"/>
  <c r="AA254" i="22"/>
  <c r="E1360" i="47"/>
  <c r="K1360" i="47" s="1"/>
  <c r="AA120" i="22"/>
  <c r="E1312" i="47"/>
  <c r="K1312" i="47" s="1"/>
  <c r="AA457" i="22"/>
  <c r="AA357" i="22"/>
  <c r="AA367" i="22"/>
  <c r="AA452" i="22"/>
  <c r="E1296" i="47"/>
  <c r="K1296" i="47" s="1"/>
  <c r="AA222" i="22"/>
  <c r="E1326" i="47"/>
  <c r="K1326" i="47" s="1"/>
  <c r="AA114" i="22"/>
  <c r="AA390" i="22"/>
  <c r="E1313" i="47"/>
  <c r="K1313" i="47" s="1"/>
  <c r="AA453" i="22"/>
  <c r="E1241" i="47"/>
  <c r="O1241" i="47" s="1"/>
  <c r="AA86" i="22"/>
  <c r="E1059" i="47"/>
  <c r="K1059" i="47" s="1"/>
  <c r="AA138" i="22"/>
  <c r="AA339" i="22"/>
  <c r="AA179" i="22"/>
  <c r="E1446" i="47"/>
  <c r="K1446" i="47" s="1"/>
  <c r="AA379" i="22"/>
  <c r="E1212" i="47"/>
  <c r="K1212" i="47" s="1"/>
  <c r="AA413" i="22"/>
  <c r="AA397" i="22"/>
  <c r="F1060" i="47" s="1"/>
  <c r="M1060" i="47" s="1"/>
  <c r="E1400" i="47"/>
  <c r="K1400" i="47" s="1"/>
  <c r="AA32" i="22"/>
  <c r="E1119" i="47"/>
  <c r="O1119" i="47" s="1"/>
  <c r="AA259" i="22"/>
  <c r="AA203" i="22"/>
  <c r="AA439" i="22"/>
  <c r="H1161" i="47"/>
  <c r="T1161" i="47" s="1"/>
  <c r="U78" i="22"/>
  <c r="W78" i="22" s="1"/>
  <c r="I1094" i="47" s="1"/>
  <c r="H1228" i="47"/>
  <c r="T1228" i="47" s="1"/>
  <c r="U74" i="22"/>
  <c r="W74" i="22" s="1"/>
  <c r="H1235" i="47"/>
  <c r="T1235" i="47" s="1"/>
  <c r="U199" i="22"/>
  <c r="W199" i="22" s="1"/>
  <c r="I1215" i="47" s="1"/>
  <c r="H1495" i="47"/>
  <c r="T1495" i="47" s="1"/>
  <c r="U17" i="22"/>
  <c r="W17" i="22" s="1"/>
  <c r="H1118" i="47"/>
  <c r="T1118" i="47" s="1"/>
  <c r="U472" i="22"/>
  <c r="W472" i="22" s="1"/>
  <c r="I1337" i="47" s="1"/>
  <c r="H1072" i="47"/>
  <c r="T1072" i="47" s="1"/>
  <c r="U61" i="22"/>
  <c r="W61" i="22" s="1"/>
  <c r="H1210" i="47"/>
  <c r="T1210" i="47" s="1"/>
  <c r="U456" i="22"/>
  <c r="W456" i="22" s="1"/>
  <c r="I1369" i="47" s="1"/>
  <c r="H1371" i="47"/>
  <c r="T1371" i="47" s="1"/>
  <c r="U492" i="22"/>
  <c r="W492" i="22" s="1"/>
  <c r="H1226" i="47"/>
  <c r="T1226" i="47" s="1"/>
  <c r="U81" i="22"/>
  <c r="W81" i="22" s="1"/>
  <c r="I1097" i="47" s="1"/>
  <c r="H1308" i="47"/>
  <c r="T1308" i="47" s="1"/>
  <c r="U398" i="22"/>
  <c r="W398" i="22" s="1"/>
  <c r="H1346" i="47"/>
  <c r="T1346" i="47" s="1"/>
  <c r="U100" i="22"/>
  <c r="W100" i="22" s="1"/>
  <c r="H1357" i="47"/>
  <c r="T1357" i="47" s="1"/>
  <c r="U381" i="22"/>
  <c r="W381" i="22" s="1"/>
  <c r="I1168" i="47" s="1"/>
  <c r="H1111" i="47"/>
  <c r="T1111" i="47" s="1"/>
  <c r="U54" i="22"/>
  <c r="W54" i="22" s="1"/>
  <c r="H1178" i="47"/>
  <c r="T1178" i="47" s="1"/>
  <c r="U308" i="22"/>
  <c r="W308" i="22" s="1"/>
  <c r="H1192" i="47"/>
  <c r="T1192" i="47" s="1"/>
  <c r="U437" i="22"/>
  <c r="W437" i="22" s="1"/>
  <c r="H1151" i="47"/>
  <c r="T1151" i="47" s="1"/>
  <c r="U66" i="22"/>
  <c r="W66" i="22" s="1"/>
  <c r="H1212" i="47"/>
  <c r="T1212" i="47" s="1"/>
  <c r="U413" i="22"/>
  <c r="W413" i="22" s="1"/>
  <c r="I1145" i="47" s="1"/>
  <c r="H1389" i="47"/>
  <c r="T1389" i="47" s="1"/>
  <c r="U158" i="22"/>
  <c r="W158" i="22" s="1"/>
  <c r="H1352" i="47"/>
  <c r="T1352" i="47" s="1"/>
  <c r="U148" i="22"/>
  <c r="W148" i="22" s="1"/>
  <c r="H1386" i="47"/>
  <c r="T1386" i="47" s="1"/>
  <c r="U20" i="22"/>
  <c r="W20" i="22" s="1"/>
  <c r="H1084" i="47"/>
  <c r="T1084" i="47" s="1"/>
  <c r="U341" i="22"/>
  <c r="W341" i="22" s="1"/>
  <c r="E1504" i="47"/>
  <c r="K1504" i="47" s="1"/>
  <c r="AA91" i="22"/>
  <c r="E1118" i="47"/>
  <c r="K1118" i="47" s="1"/>
  <c r="AA472" i="22"/>
  <c r="E1085" i="47"/>
  <c r="K1085" i="47" s="1"/>
  <c r="AA232" i="22"/>
  <c r="E1352" i="47"/>
  <c r="K1352" i="47" s="1"/>
  <c r="AA148" i="22"/>
  <c r="E1235" i="47"/>
  <c r="K1235" i="47" s="1"/>
  <c r="AA199" i="22"/>
  <c r="AA223" i="22"/>
  <c r="E1160" i="47"/>
  <c r="K1160" i="47" s="1"/>
  <c r="AA47" i="22"/>
  <c r="E1489" i="47"/>
  <c r="K1489" i="47" s="1"/>
  <c r="AA33" i="22"/>
  <c r="E1494" i="47"/>
  <c r="K1494" i="47" s="1"/>
  <c r="AA352" i="22"/>
  <c r="F1368" i="47" s="1"/>
  <c r="M1368" i="47" s="1"/>
  <c r="E1228" i="47"/>
  <c r="K1228" i="47" s="1"/>
  <c r="AA74" i="22"/>
  <c r="E1321" i="47"/>
  <c r="O1321" i="47" s="1"/>
  <c r="AA290" i="22"/>
  <c r="E1308" i="47"/>
  <c r="K1308" i="47" s="1"/>
  <c r="AA398" i="22"/>
  <c r="AA194" i="22"/>
  <c r="AA425" i="22"/>
  <c r="E1501" i="47"/>
  <c r="K1501" i="47" s="1"/>
  <c r="AA30" i="22"/>
  <c r="F1046" i="47" s="1"/>
  <c r="M1046" i="47" s="1"/>
  <c r="E1500" i="47"/>
  <c r="K1500" i="47" s="1"/>
  <c r="AA84" i="22"/>
  <c r="E1201" i="47"/>
  <c r="K1201" i="47" s="1"/>
  <c r="AA126" i="22"/>
  <c r="E1292" i="47"/>
  <c r="K1292" i="47" s="1"/>
  <c r="AA39" i="22"/>
  <c r="E1268" i="47"/>
  <c r="K1268" i="47" s="1"/>
  <c r="AA498" i="22"/>
  <c r="E1038" i="47"/>
  <c r="K1038" i="47" s="1"/>
  <c r="AA438" i="22"/>
  <c r="E1069" i="47"/>
  <c r="K1069" i="47" s="1"/>
  <c r="AA228" i="22"/>
  <c r="E1182" i="47"/>
  <c r="K1182" i="47" s="1"/>
  <c r="AA487" i="22"/>
  <c r="E1143" i="47"/>
  <c r="K1143" i="47" s="1"/>
  <c r="AA181" i="22"/>
  <c r="AA218" i="22"/>
  <c r="AA393" i="22"/>
  <c r="E1444" i="47"/>
  <c r="O1444" i="47" s="1"/>
  <c r="AA14" i="22"/>
  <c r="AA130" i="22"/>
  <c r="AA380" i="22"/>
  <c r="F1283" i="47" s="1"/>
  <c r="M1283" i="47" s="1"/>
  <c r="E1149" i="47"/>
  <c r="K1149" i="47" s="1"/>
  <c r="AA129" i="22"/>
  <c r="E1486" i="47"/>
  <c r="K1486" i="47" s="1"/>
  <c r="AA12" i="22"/>
  <c r="E1108" i="47"/>
  <c r="K1108" i="47" s="1"/>
  <c r="AA261" i="22"/>
  <c r="E1150" i="47"/>
  <c r="K1150" i="47" s="1"/>
  <c r="AA467" i="22"/>
  <c r="E1081" i="47"/>
  <c r="K1081" i="47" s="1"/>
  <c r="AA486" i="22"/>
  <c r="E1188" i="47"/>
  <c r="K1188" i="47" s="1"/>
  <c r="AA163" i="22"/>
  <c r="E1166" i="47"/>
  <c r="K1166" i="47" s="1"/>
  <c r="AA242" i="22"/>
  <c r="E1505" i="47"/>
  <c r="O1505" i="47" s="1"/>
  <c r="AA322" i="22"/>
  <c r="AA146" i="22"/>
  <c r="E1364" i="47"/>
  <c r="K1364" i="47" s="1"/>
  <c r="AA431" i="22"/>
  <c r="AA178" i="22"/>
  <c r="E1233" i="47"/>
  <c r="K1233" i="47" s="1"/>
  <c r="AA135" i="22"/>
  <c r="H1511" i="47"/>
  <c r="T1511" i="47" s="1"/>
  <c r="U15" i="22"/>
  <c r="W15" i="22" s="1"/>
  <c r="H1507" i="47"/>
  <c r="T1507" i="47" s="1"/>
  <c r="U77" i="22"/>
  <c r="W77" i="22" s="1"/>
  <c r="H1170" i="47"/>
  <c r="T1170" i="47" s="1"/>
  <c r="U394" i="22"/>
  <c r="W394" i="22" s="1"/>
  <c r="H1029" i="47"/>
  <c r="T1029" i="47" s="1"/>
  <c r="U469" i="22"/>
  <c r="W469" i="22" s="1"/>
  <c r="H1433" i="47"/>
  <c r="T1433" i="47" s="1"/>
  <c r="U211" i="22"/>
  <c r="W211" i="22" s="1"/>
  <c r="H1123" i="47"/>
  <c r="T1123" i="47" s="1"/>
  <c r="U188" i="22"/>
  <c r="W188" i="22" s="1"/>
  <c r="H1465" i="47"/>
  <c r="T1465" i="47" s="1"/>
  <c r="U358" i="22"/>
  <c r="W358" i="22" s="1"/>
  <c r="H1463" i="47"/>
  <c r="T1463" i="47" s="1"/>
  <c r="U356" i="22"/>
  <c r="W356" i="22" s="1"/>
  <c r="H1187" i="47"/>
  <c r="T1187" i="47" s="1"/>
  <c r="U316" i="22"/>
  <c r="W316" i="22" s="1"/>
  <c r="H1326" i="47"/>
  <c r="T1326" i="47" s="1"/>
  <c r="U114" i="22"/>
  <c r="W114" i="22" s="1"/>
  <c r="I1130" i="47" s="1"/>
  <c r="H1082" i="47"/>
  <c r="T1082" i="47" s="1"/>
  <c r="U314" i="22"/>
  <c r="W314" i="22" s="1"/>
  <c r="H1341" i="47"/>
  <c r="T1341" i="47" s="1"/>
  <c r="U58" i="22"/>
  <c r="W58" i="22" s="1"/>
  <c r="I1074" i="47" s="1"/>
  <c r="H1143" i="47"/>
  <c r="T1143" i="47" s="1"/>
  <c r="U181" i="22"/>
  <c r="W181" i="22" s="1"/>
  <c r="I1197" i="47" s="1"/>
  <c r="H1180" i="47"/>
  <c r="T1180" i="47" s="1"/>
  <c r="U478" i="22"/>
  <c r="W478" i="22" s="1"/>
  <c r="I1482" i="47" s="1"/>
  <c r="H1146" i="47"/>
  <c r="T1146" i="47" s="1"/>
  <c r="U73" i="22"/>
  <c r="W73" i="22" s="1"/>
  <c r="I1146" i="47" s="1"/>
  <c r="H1266" i="47"/>
  <c r="T1266" i="47" s="1"/>
  <c r="U264" i="22"/>
  <c r="W264" i="22" s="1"/>
  <c r="H1307" i="47"/>
  <c r="T1307" i="47" s="1"/>
  <c r="U402" i="22"/>
  <c r="W402" i="22" s="1"/>
  <c r="H1281" i="47"/>
  <c r="T1281" i="47" s="1"/>
  <c r="U319" i="22"/>
  <c r="W319" i="22" s="1"/>
  <c r="I1484" i="47" s="1"/>
  <c r="H1324" i="47"/>
  <c r="T1324" i="47" s="1"/>
  <c r="U412" i="22"/>
  <c r="W412" i="22" s="1"/>
  <c r="H1064" i="47"/>
  <c r="T1064" i="47" s="1"/>
  <c r="U274" i="22"/>
  <c r="W274" i="22" s="1"/>
  <c r="H1362" i="47"/>
  <c r="T1362" i="47" s="1"/>
  <c r="U406" i="22"/>
  <c r="W406" i="22" s="1"/>
  <c r="H1184" i="47"/>
  <c r="T1184" i="47" s="1"/>
  <c r="U422" i="22"/>
  <c r="W422" i="22" s="1"/>
  <c r="I1438" i="47" s="1"/>
  <c r="AA175" i="22"/>
  <c r="E1390" i="47"/>
  <c r="K1390" i="47" s="1"/>
  <c r="AA31" i="22"/>
  <c r="AA186" i="22"/>
  <c r="E1053" i="47"/>
  <c r="K1053" i="47" s="1"/>
  <c r="AA389" i="22"/>
  <c r="E1467" i="47"/>
  <c r="K1467" i="47" s="1"/>
  <c r="AA170" i="22"/>
  <c r="E1458" i="47"/>
  <c r="K1458" i="47" s="1"/>
  <c r="AA300" i="22"/>
  <c r="E1354" i="47"/>
  <c r="K1354" i="47" s="1"/>
  <c r="AA200" i="22"/>
  <c r="E1155" i="47"/>
  <c r="K1155" i="47" s="1"/>
  <c r="AA451" i="22"/>
  <c r="E1123" i="47"/>
  <c r="K1123" i="47" s="1"/>
  <c r="AA188" i="22"/>
  <c r="AA313" i="22"/>
  <c r="F1057" i="47" s="1"/>
  <c r="M1057" i="47" s="1"/>
  <c r="AA458" i="22"/>
  <c r="F1086" i="47" s="1"/>
  <c r="M1086" i="47" s="1"/>
  <c r="E1311" i="47"/>
  <c r="K1311" i="47" s="1"/>
  <c r="AA295" i="22"/>
  <c r="AA270" i="22"/>
  <c r="Z270" i="22"/>
  <c r="AA124" i="22"/>
  <c r="AA353" i="22"/>
  <c r="E1253" i="47"/>
  <c r="K1253" i="47" s="1"/>
  <c r="AA55" i="22"/>
  <c r="E1356" i="47"/>
  <c r="K1356" i="47" s="1"/>
  <c r="AA310" i="22"/>
  <c r="AA462" i="22"/>
  <c r="E1331" i="47"/>
  <c r="K1331" i="47" s="1"/>
  <c r="AA276" i="22"/>
  <c r="AA416" i="22"/>
  <c r="F1469" i="47" s="1"/>
  <c r="M1469" i="47" s="1"/>
  <c r="E1232" i="47"/>
  <c r="K1232" i="47" s="1"/>
  <c r="AA275" i="22"/>
  <c r="AA204" i="22"/>
  <c r="E1041" i="47"/>
  <c r="K1041" i="47" s="1"/>
  <c r="AA34" i="22"/>
  <c r="AA347" i="22"/>
  <c r="F1484" i="47" s="1"/>
  <c r="M1484" i="47" s="1"/>
  <c r="AA399" i="22"/>
  <c r="E1174" i="47"/>
  <c r="K1174" i="47" s="1"/>
  <c r="AA415" i="22"/>
  <c r="E1503" i="47"/>
  <c r="K1503" i="47" s="1"/>
  <c r="AA417" i="22"/>
  <c r="E1349" i="47"/>
  <c r="K1349" i="47" s="1"/>
  <c r="AA372" i="22"/>
  <c r="E1419" i="47"/>
  <c r="K1419" i="47" s="1"/>
  <c r="AA454" i="22"/>
  <c r="AA302" i="22"/>
  <c r="E1158" i="47"/>
  <c r="K1158" i="47" s="1"/>
  <c r="AA107" i="22"/>
  <c r="E1496" i="47"/>
  <c r="K1496" i="47" s="1"/>
  <c r="AA477" i="22"/>
  <c r="E1497" i="47"/>
  <c r="K1497" i="47" s="1"/>
  <c r="AA348" i="22"/>
  <c r="AA221" i="22"/>
  <c r="F1237" i="47" s="1"/>
  <c r="M1237" i="47" s="1"/>
  <c r="E1132" i="47"/>
  <c r="K1132" i="47" s="1"/>
  <c r="AA286" i="22"/>
  <c r="E1442" i="47"/>
  <c r="K1442" i="47" s="1"/>
  <c r="AA85" i="22"/>
  <c r="E1076" i="47"/>
  <c r="K1076" i="47" s="1"/>
  <c r="AA235" i="22"/>
  <c r="E1375" i="47"/>
  <c r="O1375" i="47" s="1"/>
  <c r="AA335" i="22"/>
  <c r="Z460" i="22"/>
  <c r="AA460" i="22"/>
  <c r="E1062" i="47"/>
  <c r="K1062" i="47" s="1"/>
  <c r="AA455" i="22"/>
  <c r="F1471" i="47" s="1"/>
  <c r="M1471" i="47" s="1"/>
  <c r="H1486" i="47"/>
  <c r="T1486" i="47" s="1"/>
  <c r="U12" i="22"/>
  <c r="W12" i="22" s="1"/>
  <c r="H1500" i="47"/>
  <c r="T1500" i="47" s="1"/>
  <c r="U84" i="22"/>
  <c r="W84" i="22" s="1"/>
  <c r="H1489" i="47"/>
  <c r="T1489" i="47" s="1"/>
  <c r="U33" i="22"/>
  <c r="W33" i="22" s="1"/>
  <c r="H1412" i="47"/>
  <c r="T1412" i="47" s="1"/>
  <c r="U343" i="22"/>
  <c r="W343" i="22" s="1"/>
  <c r="H1070" i="47"/>
  <c r="T1070" i="47" s="1"/>
  <c r="U38" i="22"/>
  <c r="W38" i="22" s="1"/>
  <c r="H1113" i="47"/>
  <c r="T1113" i="47" s="1"/>
  <c r="U110" i="22"/>
  <c r="W110" i="22" s="1"/>
  <c r="H1045" i="47"/>
  <c r="T1045" i="47" s="1"/>
  <c r="U267" i="22"/>
  <c r="W267" i="22" s="1"/>
  <c r="I1283" i="47" s="1"/>
  <c r="H1374" i="47"/>
  <c r="T1374" i="47" s="1"/>
  <c r="U312" i="22"/>
  <c r="W312" i="22" s="1"/>
  <c r="H1203" i="47"/>
  <c r="T1203" i="47" s="1"/>
  <c r="U377" i="22"/>
  <c r="W377" i="22" s="1"/>
  <c r="H1206" i="47"/>
  <c r="T1206" i="47" s="1"/>
  <c r="U97" i="22"/>
  <c r="W97" i="22" s="1"/>
  <c r="H1280" i="47"/>
  <c r="T1280" i="47" s="1"/>
  <c r="U104" i="22"/>
  <c r="W104" i="22" s="1"/>
  <c r="I1120" i="47" s="1"/>
  <c r="H1331" i="47"/>
  <c r="T1331" i="47" s="1"/>
  <c r="U276" i="22"/>
  <c r="W276" i="22" s="1"/>
  <c r="H1196" i="47"/>
  <c r="T1196" i="47" s="1"/>
  <c r="U230" i="22"/>
  <c r="W230" i="22" s="1"/>
  <c r="I1246" i="47" s="1"/>
  <c r="H1245" i="47"/>
  <c r="T1245" i="47" s="1"/>
  <c r="U37" i="22"/>
  <c r="W37" i="22" s="1"/>
  <c r="H1276" i="47"/>
  <c r="T1276" i="47" s="1"/>
  <c r="U386" i="22"/>
  <c r="W386" i="22" s="1"/>
  <c r="I1491" i="47" s="1"/>
  <c r="H1405" i="47"/>
  <c r="T1405" i="47" s="1"/>
  <c r="U491" i="22"/>
  <c r="W491" i="22" s="1"/>
  <c r="H1198" i="47"/>
  <c r="T1198" i="47" s="1"/>
  <c r="U27" i="22"/>
  <c r="W27" i="22" s="1"/>
  <c r="H1041" i="47"/>
  <c r="T1041" i="47" s="1"/>
  <c r="U34" i="22"/>
  <c r="W34" i="22" s="1"/>
  <c r="H1112" i="47"/>
  <c r="T1112" i="47" s="1"/>
  <c r="U252" i="22"/>
  <c r="W252" i="22" s="1"/>
  <c r="H1114" i="47"/>
  <c r="T1114" i="47" s="1"/>
  <c r="U83" i="22"/>
  <c r="W83" i="22" s="1"/>
  <c r="I1099" i="47" s="1"/>
  <c r="U1099" i="47" s="1"/>
  <c r="H1285" i="47"/>
  <c r="T1285" i="47" s="1"/>
  <c r="U64" i="22"/>
  <c r="W64" i="22" s="1"/>
  <c r="H1316" i="47"/>
  <c r="T1316" i="47" s="1"/>
  <c r="U141" i="22"/>
  <c r="W141" i="22" s="1"/>
  <c r="H1211" i="47"/>
  <c r="T1211" i="47" s="1"/>
  <c r="U395" i="22"/>
  <c r="W395" i="22" s="1"/>
  <c r="H1270" i="47"/>
  <c r="T1270" i="47" s="1"/>
  <c r="U172" i="22"/>
  <c r="W172" i="22" s="1"/>
  <c r="H1451" i="47"/>
  <c r="T1451" i="47" s="1"/>
  <c r="U424" i="22"/>
  <c r="W424" i="22" s="1"/>
  <c r="I1440" i="47" s="1"/>
  <c r="H1380" i="47"/>
  <c r="T1380" i="47" s="1"/>
  <c r="U105" i="22"/>
  <c r="W105" i="22" s="1"/>
  <c r="I1121" i="47" s="1"/>
  <c r="AA297" i="22"/>
  <c r="AA171" i="22"/>
  <c r="AA213" i="22"/>
  <c r="AA493" i="22"/>
  <c r="AA396" i="22"/>
  <c r="AA246" i="22"/>
  <c r="AA459" i="22"/>
  <c r="E1306" i="47"/>
  <c r="K1306" i="47" s="1"/>
  <c r="AA427" i="22"/>
  <c r="E1214" i="47"/>
  <c r="K1214" i="47" s="1"/>
  <c r="AA489" i="22"/>
  <c r="E1225" i="47"/>
  <c r="K1225" i="47" s="1"/>
  <c r="AA471" i="22"/>
  <c r="E1332" i="47"/>
  <c r="O1332" i="47" s="1"/>
  <c r="AA136" i="22"/>
  <c r="AA450" i="22"/>
  <c r="E1373" i="47"/>
  <c r="K1373" i="47" s="1"/>
  <c r="AA326" i="22"/>
  <c r="AA294" i="22"/>
  <c r="AA474" i="22"/>
  <c r="E1220" i="47"/>
  <c r="K1220" i="47" s="1"/>
  <c r="AA184" i="22"/>
  <c r="E1107" i="47"/>
  <c r="K1107" i="47" s="1"/>
  <c r="AA119" i="22"/>
  <c r="AA173" i="22"/>
  <c r="F1159" i="47" s="1"/>
  <c r="M1159" i="47" s="1"/>
  <c r="AA9" i="22"/>
  <c r="E1193" i="47"/>
  <c r="K1193" i="47" s="1"/>
  <c r="AA340" i="22"/>
  <c r="E1398" i="47"/>
  <c r="O1398" i="47" s="1"/>
  <c r="AA62" i="22"/>
  <c r="E1301" i="47"/>
  <c r="K1301" i="47" s="1"/>
  <c r="AA256" i="22"/>
  <c r="E1509" i="47"/>
  <c r="O1509" i="47" s="1"/>
  <c r="AA23" i="22"/>
  <c r="E1141" i="47"/>
  <c r="K1141" i="47" s="1"/>
  <c r="AA299" i="22"/>
  <c r="AA139" i="22"/>
  <c r="E1387" i="47"/>
  <c r="K1387" i="47" s="1"/>
  <c r="AA169" i="22"/>
  <c r="AA436" i="22"/>
  <c r="E1261" i="47"/>
  <c r="K1261" i="47" s="1"/>
  <c r="AA220" i="22"/>
  <c r="E1124" i="47"/>
  <c r="K1124" i="47" s="1"/>
  <c r="AA247" i="22"/>
  <c r="E1269" i="47"/>
  <c r="K1269" i="47" s="1"/>
  <c r="AA448" i="22"/>
  <c r="E1377" i="47"/>
  <c r="K1377" i="47" s="1"/>
  <c r="AA198" i="22"/>
  <c r="E1257" i="47"/>
  <c r="K1257" i="47" s="1"/>
  <c r="AA325" i="22"/>
  <c r="E1147" i="47"/>
  <c r="K1147" i="47" s="1"/>
  <c r="AA278" i="22"/>
  <c r="AA301" i="22"/>
  <c r="E1307" i="47"/>
  <c r="K1307" i="47" s="1"/>
  <c r="AA402" i="22"/>
  <c r="AA287" i="22"/>
  <c r="E1412" i="47"/>
  <c r="K1412" i="47" s="1"/>
  <c r="AA343" i="22"/>
  <c r="AA266" i="22"/>
  <c r="E1343" i="47"/>
  <c r="O1343" i="47" s="1"/>
  <c r="AA311" i="22"/>
  <c r="AA102" i="22"/>
  <c r="F1482" i="47" s="1"/>
  <c r="M1482" i="47" s="1"/>
  <c r="H1514" i="47"/>
  <c r="T1514" i="47" s="1"/>
  <c r="U25" i="22"/>
  <c r="W25" i="22" s="1"/>
  <c r="H1494" i="47"/>
  <c r="T1494" i="47" s="1"/>
  <c r="U352" i="22"/>
  <c r="W352" i="22" s="1"/>
  <c r="H1444" i="47"/>
  <c r="T1444" i="47" s="1"/>
  <c r="U14" i="22"/>
  <c r="W14" i="22" s="1"/>
  <c r="H1393" i="47"/>
  <c r="T1393" i="47" s="1"/>
  <c r="U26" i="22"/>
  <c r="W26" i="22" s="1"/>
  <c r="H1085" i="47"/>
  <c r="T1085" i="47" s="1"/>
  <c r="U232" i="22"/>
  <c r="W232" i="22" s="1"/>
  <c r="I1248" i="47" s="1"/>
  <c r="H1167" i="47"/>
  <c r="T1167" i="47" s="1"/>
  <c r="U167" i="22"/>
  <c r="W167" i="22" s="1"/>
  <c r="H1461" i="47"/>
  <c r="T1461" i="47" s="1"/>
  <c r="U29" i="22"/>
  <c r="W29" i="22" s="1"/>
  <c r="H1360" i="47"/>
  <c r="T1360" i="47" s="1"/>
  <c r="U120" i="22"/>
  <c r="W120" i="22" s="1"/>
  <c r="H1429" i="47"/>
  <c r="T1429" i="47" s="1"/>
  <c r="U45" i="22"/>
  <c r="W45" i="22" s="1"/>
  <c r="H1363" i="47"/>
  <c r="T1363" i="47" s="1"/>
  <c r="U240" i="22"/>
  <c r="W240" i="22" s="1"/>
  <c r="H1367" i="47"/>
  <c r="T1367" i="47" s="1"/>
  <c r="U106" i="22"/>
  <c r="W106" i="22" s="1"/>
  <c r="H1387" i="47"/>
  <c r="T1387" i="47" s="1"/>
  <c r="U169" i="22"/>
  <c r="W169" i="22" s="1"/>
  <c r="H1081" i="47"/>
  <c r="T1081" i="47" s="1"/>
  <c r="U486" i="22"/>
  <c r="W486" i="22" s="1"/>
  <c r="H1051" i="47"/>
  <c r="T1051" i="47" s="1"/>
  <c r="U334" i="22"/>
  <c r="W334" i="22" s="1"/>
  <c r="I1350" i="47" s="1"/>
  <c r="H1275" i="47"/>
  <c r="T1275" i="47" s="1"/>
  <c r="U465" i="22"/>
  <c r="W465" i="22" s="1"/>
  <c r="I1378" i="47" s="1"/>
  <c r="H1468" i="47"/>
  <c r="T1468" i="47" s="1"/>
  <c r="U183" i="22"/>
  <c r="W183" i="22" s="1"/>
  <c r="H1183" i="47"/>
  <c r="T1183" i="47" s="1"/>
  <c r="U88" i="22"/>
  <c r="W88" i="22" s="1"/>
  <c r="I1104" i="47" s="1"/>
  <c r="H1268" i="47"/>
  <c r="T1268" i="47" s="1"/>
  <c r="U498" i="22"/>
  <c r="W498" i="22" s="1"/>
  <c r="H1117" i="47"/>
  <c r="T1117" i="47" s="1"/>
  <c r="U280" i="22"/>
  <c r="W280" i="22" s="1"/>
  <c r="H1376" i="47"/>
  <c r="T1376" i="47" s="1"/>
  <c r="U151" i="22"/>
  <c r="W151" i="22" s="1"/>
  <c r="H1224" i="47"/>
  <c r="T1224" i="47" s="1"/>
  <c r="U260" i="22"/>
  <c r="W260" i="22" s="1"/>
  <c r="H1356" i="47"/>
  <c r="T1356" i="47" s="1"/>
  <c r="U310" i="22"/>
  <c r="W310" i="22" s="1"/>
  <c r="H1233" i="47"/>
  <c r="T1233" i="47" s="1"/>
  <c r="U135" i="22"/>
  <c r="W135" i="22" s="1"/>
  <c r="H1453" i="47"/>
  <c r="T1453" i="47" s="1"/>
  <c r="U433" i="22"/>
  <c r="W433" i="22" s="1"/>
  <c r="H1059" i="47"/>
  <c r="T1059" i="47" s="1"/>
  <c r="U138" i="22"/>
  <c r="W138" i="22" s="1"/>
  <c r="E1167" i="47"/>
  <c r="K1167" i="47" s="1"/>
  <c r="AA167" i="22"/>
  <c r="E1284" i="47"/>
  <c r="K1284" i="47" s="1"/>
  <c r="AA87" i="22"/>
  <c r="AA224" i="22"/>
  <c r="AA215" i="22"/>
  <c r="AA241" i="22"/>
  <c r="F1490" i="47" s="1"/>
  <c r="M1490" i="47" s="1"/>
  <c r="AA251" i="22"/>
  <c r="E1348" i="47"/>
  <c r="K1348" i="47" s="1"/>
  <c r="AA155" i="22"/>
  <c r="E1226" i="47"/>
  <c r="K1226" i="47" s="1"/>
  <c r="AA81" i="22"/>
  <c r="AA429" i="22"/>
  <c r="E1250" i="47"/>
  <c r="K1250" i="47" s="1"/>
  <c r="AA202" i="22"/>
  <c r="E1170" i="47"/>
  <c r="K1170" i="47" s="1"/>
  <c r="AA394" i="22"/>
  <c r="E1126" i="47"/>
  <c r="K1126" i="47" s="1"/>
  <c r="AA201" i="22"/>
  <c r="E1433" i="47"/>
  <c r="K1433" i="47" s="1"/>
  <c r="AA211" i="22"/>
  <c r="E1181" i="47"/>
  <c r="K1181" i="47" s="1"/>
  <c r="AA90" i="22"/>
  <c r="AA441" i="22"/>
  <c r="E1384" i="47"/>
  <c r="K1384" i="47" s="1"/>
  <c r="AA98" i="22"/>
  <c r="E1061" i="47"/>
  <c r="O1061" i="47" s="1"/>
  <c r="AA57" i="22"/>
  <c r="E1175" i="47"/>
  <c r="K1175" i="47" s="1"/>
  <c r="AA144" i="22"/>
  <c r="Z360" i="22"/>
  <c r="AA360" i="22"/>
  <c r="AA317" i="22"/>
  <c r="E1344" i="47"/>
  <c r="K1344" i="47" s="1"/>
  <c r="AA80" i="22"/>
  <c r="E1199" i="47"/>
  <c r="K1199" i="47" s="1"/>
  <c r="AA176" i="22"/>
  <c r="AA481" i="22"/>
  <c r="AA272" i="22"/>
  <c r="E1455" i="47"/>
  <c r="K1455" i="47" s="1"/>
  <c r="AA159" i="22"/>
  <c r="E1131" i="47"/>
  <c r="K1131" i="47" s="1"/>
  <c r="AA351" i="22"/>
  <c r="E1280" i="47"/>
  <c r="K1280" i="47" s="1"/>
  <c r="AA104" i="22"/>
  <c r="E1294" i="47"/>
  <c r="K1294" i="47" s="1"/>
  <c r="AA92" i="22"/>
  <c r="E1495" i="47"/>
  <c r="K1495" i="47" s="1"/>
  <c r="AA17" i="22"/>
  <c r="E1115" i="47"/>
  <c r="K1115" i="47" s="1"/>
  <c r="AA369" i="22"/>
  <c r="Z305" i="22"/>
  <c r="AA305" i="22"/>
  <c r="E1273" i="47"/>
  <c r="K1273" i="47" s="1"/>
  <c r="AA479" i="22"/>
  <c r="E1449" i="47"/>
  <c r="O1449" i="47" s="1"/>
  <c r="AA156" i="22"/>
  <c r="Z430" i="22"/>
  <c r="AA430" i="22"/>
  <c r="F1043" i="47" s="1"/>
  <c r="M1043" i="47" s="1"/>
  <c r="E1422" i="47"/>
  <c r="K1422" i="47" s="1"/>
  <c r="AA378" i="22"/>
  <c r="AA225" i="22"/>
  <c r="E1498" i="47"/>
  <c r="K1498" i="47" s="1"/>
  <c r="AA75" i="22"/>
  <c r="AA293" i="22"/>
  <c r="AA244" i="22"/>
  <c r="AA331" i="22"/>
  <c r="F1279" i="47" s="1"/>
  <c r="M1279" i="47" s="1"/>
  <c r="H1476" i="47"/>
  <c r="T1476" i="47" s="1"/>
  <c r="U480" i="22"/>
  <c r="W480" i="22" s="1"/>
  <c r="H1472" i="47"/>
  <c r="T1472" i="47" s="1"/>
  <c r="U233" i="22"/>
  <c r="W233" i="22" s="1"/>
  <c r="I1249" i="47" s="1"/>
  <c r="H1455" i="47"/>
  <c r="T1455" i="47" s="1"/>
  <c r="U159" i="22"/>
  <c r="W159" i="22" s="1"/>
  <c r="H1173" i="47"/>
  <c r="T1173" i="47" s="1"/>
  <c r="U303" i="22"/>
  <c r="W303" i="22" s="1"/>
  <c r="I1288" i="47" s="1"/>
  <c r="H1261" i="47"/>
  <c r="T1261" i="47" s="1"/>
  <c r="U220" i="22"/>
  <c r="W220" i="22" s="1"/>
  <c r="H1208" i="47"/>
  <c r="T1208" i="47" s="1"/>
  <c r="U206" i="22"/>
  <c r="W206" i="22" s="1"/>
  <c r="H1312" i="47"/>
  <c r="T1312" i="47" s="1"/>
  <c r="U457" i="22"/>
  <c r="W457" i="22" s="1"/>
  <c r="H1036" i="47"/>
  <c r="T1036" i="47" s="1"/>
  <c r="U41" i="22"/>
  <c r="W41" i="22" s="1"/>
  <c r="H1037" i="47"/>
  <c r="T1037" i="47" s="1"/>
  <c r="U368" i="22"/>
  <c r="W368" i="22" s="1"/>
  <c r="H1253" i="47"/>
  <c r="T1253" i="47" s="1"/>
  <c r="U55" i="22"/>
  <c r="W55" i="22" s="1"/>
  <c r="I1071" i="47" s="1"/>
  <c r="H1345" i="47"/>
  <c r="T1345" i="47" s="1"/>
  <c r="U288" i="22"/>
  <c r="W288" i="22" s="1"/>
  <c r="I1408" i="47" s="1"/>
  <c r="H1449" i="47"/>
  <c r="T1449" i="47" s="1"/>
  <c r="U156" i="22"/>
  <c r="W156" i="22" s="1"/>
  <c r="H1398" i="47"/>
  <c r="T1398" i="47" s="1"/>
  <c r="U62" i="22"/>
  <c r="W62" i="22" s="1"/>
  <c r="H1306" i="47"/>
  <c r="T1306" i="47" s="1"/>
  <c r="U427" i="22"/>
  <c r="W427" i="22" s="1"/>
  <c r="I1443" i="47" s="1"/>
  <c r="H1186" i="47"/>
  <c r="T1186" i="47" s="1"/>
  <c r="U193" i="22"/>
  <c r="W193" i="22" s="1"/>
  <c r="I1209" i="47" s="1"/>
  <c r="H1229" i="47"/>
  <c r="T1229" i="47" s="1"/>
  <c r="U140" i="22"/>
  <c r="W140" i="22" s="1"/>
  <c r="H1399" i="47"/>
  <c r="T1399" i="47" s="1"/>
  <c r="U177" i="22"/>
  <c r="W177" i="22" s="1"/>
  <c r="H1299" i="47"/>
  <c r="T1299" i="47" s="1"/>
  <c r="U428" i="22"/>
  <c r="W428" i="22" s="1"/>
  <c r="H1062" i="47"/>
  <c r="T1062" i="47" s="1"/>
  <c r="U455" i="22"/>
  <c r="W455" i="22" s="1"/>
  <c r="I1471" i="47" s="1"/>
  <c r="H1271" i="47"/>
  <c r="T1271" i="47" s="1"/>
  <c r="U210" i="22"/>
  <c r="W210" i="22" s="1"/>
  <c r="H1309" i="47"/>
  <c r="T1309" i="47" s="1"/>
  <c r="U168" i="22"/>
  <c r="W168" i="22" s="1"/>
  <c r="H1256" i="47"/>
  <c r="T1256" i="47" s="1"/>
  <c r="U63" i="22"/>
  <c r="W63" i="22" s="1"/>
  <c r="H1257" i="47"/>
  <c r="T1257" i="47" s="1"/>
  <c r="U325" i="22"/>
  <c r="W325" i="22" s="1"/>
  <c r="H1318" i="47"/>
  <c r="T1318" i="47" s="1"/>
  <c r="U342" i="22"/>
  <c r="W342" i="22" s="1"/>
  <c r="H1457" i="47"/>
  <c r="T1457" i="47" s="1"/>
  <c r="U56" i="22"/>
  <c r="W56" i="22" s="1"/>
  <c r="AA470" i="22"/>
  <c r="E1480" i="47"/>
  <c r="K1480" i="47" s="1"/>
  <c r="AA346" i="22"/>
  <c r="E1327" i="47"/>
  <c r="K1327" i="47" s="1"/>
  <c r="AA36" i="22"/>
  <c r="F1052" i="47" s="1"/>
  <c r="M1052" i="47" s="1"/>
  <c r="AA262" i="22"/>
  <c r="F1140" i="47" s="1"/>
  <c r="M1140" i="47" s="1"/>
  <c r="E1429" i="47"/>
  <c r="K1429" i="47" s="1"/>
  <c r="AA45" i="22"/>
  <c r="AA152" i="22"/>
  <c r="E1476" i="47"/>
  <c r="K1476" i="47" s="1"/>
  <c r="AA480" i="22"/>
  <c r="E1394" i="47"/>
  <c r="K1394" i="47" s="1"/>
  <c r="AA137" i="22"/>
  <c r="E1161" i="47"/>
  <c r="K1161" i="47" s="1"/>
  <c r="AA78" i="22"/>
  <c r="Z371" i="22"/>
  <c r="AA371" i="22"/>
  <c r="AA142" i="22"/>
  <c r="F1249" i="47" s="1"/>
  <c r="M1249" i="47" s="1"/>
  <c r="AA411" i="22"/>
  <c r="F1351" i="47" s="1"/>
  <c r="M1351" i="47" s="1"/>
  <c r="E1110" i="47"/>
  <c r="K1110" i="47" s="1"/>
  <c r="AA284" i="22"/>
  <c r="AA118" i="22"/>
  <c r="E1082" i="47"/>
  <c r="K1082" i="47" s="1"/>
  <c r="AA314" i="22"/>
  <c r="AA350" i="22"/>
  <c r="E1048" i="47"/>
  <c r="O1048" i="47" s="1"/>
  <c r="AA82" i="22"/>
  <c r="AA484" i="22"/>
  <c r="E1070" i="47"/>
  <c r="K1070" i="47" s="1"/>
  <c r="AA38" i="22"/>
  <c r="E1219" i="47"/>
  <c r="K1219" i="47" s="1"/>
  <c r="AA89" i="22"/>
  <c r="F1105" i="47" s="1"/>
  <c r="M1105" i="47" s="1"/>
  <c r="AA400" i="22"/>
  <c r="E1178" i="47"/>
  <c r="K1178" i="47" s="1"/>
  <c r="AA308" i="22"/>
  <c r="AA192" i="22"/>
  <c r="E1187" i="47"/>
  <c r="K1187" i="47" s="1"/>
  <c r="AA316" i="22"/>
  <c r="AA277" i="22"/>
  <c r="F1027" i="47" s="1"/>
  <c r="M1027" i="47" s="1"/>
  <c r="E1366" i="47"/>
  <c r="K1366" i="47" s="1"/>
  <c r="AA161" i="22"/>
  <c r="E1133" i="47"/>
  <c r="K1133" i="47" s="1"/>
  <c r="AA323" i="22"/>
  <c r="AA315" i="22"/>
  <c r="AA403" i="22"/>
  <c r="F1470" i="47" s="1"/>
  <c r="M1470" i="47" s="1"/>
  <c r="E1169" i="47"/>
  <c r="K1169" i="47" s="1"/>
  <c r="AA490" i="22"/>
  <c r="E1151" i="47"/>
  <c r="K1151" i="47" s="1"/>
  <c r="AA66" i="22"/>
  <c r="E1112" i="47"/>
  <c r="K1112" i="47" s="1"/>
  <c r="AA252" i="22"/>
  <c r="E1114" i="47"/>
  <c r="K1114" i="47" s="1"/>
  <c r="AA83" i="22"/>
  <c r="AA189" i="22"/>
  <c r="F1125" i="47" s="1"/>
  <c r="M1125" i="47" s="1"/>
  <c r="AA234" i="22"/>
  <c r="F1454" i="47" s="1"/>
  <c r="M1454" i="47" s="1"/>
  <c r="AA226" i="22"/>
  <c r="F1236" i="47" s="1"/>
  <c r="M1236" i="47" s="1"/>
  <c r="AA445" i="22"/>
  <c r="F1483" i="47" s="1"/>
  <c r="M1483" i="47" s="1"/>
  <c r="E1136" i="47"/>
  <c r="K1136" i="47" s="1"/>
  <c r="AA423" i="22"/>
  <c r="E1389" i="47"/>
  <c r="K1389" i="47" s="1"/>
  <c r="AA158" i="22"/>
  <c r="AA214" i="22"/>
  <c r="H1460" i="47"/>
  <c r="T1460" i="47" s="1"/>
  <c r="U19" i="22"/>
  <c r="W19" i="22" s="1"/>
  <c r="I1035" i="47" s="1"/>
  <c r="H1506" i="47"/>
  <c r="T1506" i="47" s="1"/>
  <c r="U375" i="22"/>
  <c r="W375" i="22" s="1"/>
  <c r="I1487" i="47" s="1"/>
  <c r="H1375" i="47"/>
  <c r="T1375" i="47" s="1"/>
  <c r="U335" i="22"/>
  <c r="W335" i="22" s="1"/>
  <c r="H1220" i="47"/>
  <c r="T1220" i="47" s="1"/>
  <c r="U184" i="22"/>
  <c r="W184" i="22" s="1"/>
  <c r="H1348" i="47"/>
  <c r="T1348" i="47" s="1"/>
  <c r="U155" i="22"/>
  <c r="W155" i="22" s="1"/>
  <c r="H1353" i="47"/>
  <c r="T1353" i="47" s="1"/>
  <c r="U48" i="22"/>
  <c r="W48" i="22" s="1"/>
  <c r="H1269" i="47"/>
  <c r="T1269" i="47" s="1"/>
  <c r="U448" i="22"/>
  <c r="W448" i="22" s="1"/>
  <c r="H1394" i="47"/>
  <c r="T1394" i="47" s="1"/>
  <c r="U137" i="22"/>
  <c r="W137" i="22" s="1"/>
  <c r="H1222" i="47"/>
  <c r="T1222" i="47" s="1"/>
  <c r="U249" i="22"/>
  <c r="W249" i="22" s="1"/>
  <c r="I1265" i="47" s="1"/>
  <c r="H1026" i="47"/>
  <c r="T1026" i="47" s="1"/>
  <c r="U370" i="22"/>
  <c r="W370" i="22" s="1"/>
  <c r="I1492" i="47" s="1"/>
  <c r="H1315" i="47"/>
  <c r="T1315" i="47" s="1"/>
  <c r="U125" i="22"/>
  <c r="W125" i="22" s="1"/>
  <c r="H1458" i="47"/>
  <c r="T1458" i="47" s="1"/>
  <c r="U300" i="22"/>
  <c r="W300" i="22" s="1"/>
  <c r="H1139" i="47"/>
  <c r="T1139" i="47" s="1"/>
  <c r="U309" i="22"/>
  <c r="W309" i="22" s="1"/>
  <c r="H1464" i="47"/>
  <c r="T1464" i="47" s="1"/>
  <c r="U95" i="22"/>
  <c r="W95" i="22" s="1"/>
  <c r="H1193" i="47"/>
  <c r="T1193" i="47" s="1"/>
  <c r="U340" i="22"/>
  <c r="W340" i="22" s="1"/>
  <c r="H1419" i="47"/>
  <c r="T1419" i="47" s="1"/>
  <c r="U454" i="22"/>
  <c r="W454" i="22" s="1"/>
  <c r="I1470" i="47" s="1"/>
  <c r="H1290" i="47"/>
  <c r="T1290" i="47" s="1"/>
  <c r="U18" i="22"/>
  <c r="W18" i="22" s="1"/>
  <c r="H1150" i="47"/>
  <c r="T1150" i="47" s="1"/>
  <c r="U467" i="22"/>
  <c r="W467" i="22" s="1"/>
  <c r="H1144" i="47"/>
  <c r="T1144" i="47" s="1"/>
  <c r="U40" i="22"/>
  <c r="W40" i="22" s="1"/>
  <c r="H1061" i="47"/>
  <c r="T1061" i="47" s="1"/>
  <c r="U57" i="22"/>
  <c r="W57" i="22" s="1"/>
  <c r="I1073" i="47" s="1"/>
  <c r="H1141" i="47"/>
  <c r="T1141" i="47" s="1"/>
  <c r="U299" i="22"/>
  <c r="W299" i="22" s="1"/>
  <c r="H1273" i="47"/>
  <c r="T1273" i="47" s="1"/>
  <c r="U479" i="22"/>
  <c r="W479" i="22" s="1"/>
  <c r="I1432" i="47" s="1"/>
  <c r="H1263" i="47"/>
  <c r="T1263" i="47" s="1"/>
  <c r="U449" i="22"/>
  <c r="W449" i="22" s="1"/>
  <c r="H1138" i="47"/>
  <c r="T1138" i="47" s="1"/>
  <c r="U65" i="22"/>
  <c r="W65" i="22" s="1"/>
  <c r="AA149" i="22"/>
  <c r="F1218" i="47" s="1"/>
  <c r="M1218" i="47" s="1"/>
  <c r="AA476" i="22"/>
  <c r="AA174" i="22"/>
  <c r="E1064" i="47"/>
  <c r="K1064" i="47" s="1"/>
  <c r="AA274" i="22"/>
  <c r="E1276" i="47"/>
  <c r="K1276" i="47" s="1"/>
  <c r="AA386" i="22"/>
  <c r="AA196" i="22"/>
  <c r="F1223" i="47" s="1"/>
  <c r="M1223" i="47" s="1"/>
  <c r="E1089" i="47"/>
  <c r="O1089" i="47" s="1"/>
  <c r="AA93" i="22"/>
  <c r="E1407" i="47"/>
  <c r="K1407" i="47" s="1"/>
  <c r="AA49" i="22"/>
  <c r="F1065" i="47" s="1"/>
  <c r="M1065" i="47" s="1"/>
  <c r="E1493" i="47"/>
  <c r="K1493" i="47" s="1"/>
  <c r="AA76" i="22"/>
  <c r="F1092" i="47" s="1"/>
  <c r="M1092" i="47" s="1"/>
  <c r="E1436" i="47"/>
  <c r="O1436" i="47" s="1"/>
  <c r="AA482" i="22"/>
  <c r="E1477" i="47"/>
  <c r="K1477" i="47" s="1"/>
  <c r="AA94" i="22"/>
  <c r="AA376" i="22"/>
  <c r="E1460" i="47"/>
  <c r="K1460" i="47" s="1"/>
  <c r="AA19" i="22"/>
  <c r="E1295" i="47"/>
  <c r="K1295" i="47" s="1"/>
  <c r="AA359" i="22"/>
  <c r="E1044" i="47"/>
  <c r="K1044" i="47" s="1"/>
  <c r="AA383" i="22"/>
  <c r="AA337" i="22"/>
  <c r="F1050" i="47" s="1"/>
  <c r="M1050" i="47" s="1"/>
  <c r="E1204" i="47"/>
  <c r="K1204" i="47" s="1"/>
  <c r="AA217" i="22"/>
  <c r="AA327" i="22"/>
  <c r="AA216" i="22"/>
  <c r="F1492" i="47" s="1"/>
  <c r="M1492" i="47" s="1"/>
  <c r="AA271" i="22"/>
  <c r="F1080" i="47" s="1"/>
  <c r="M1080" i="47" s="1"/>
  <c r="E1324" i="47"/>
  <c r="K1324" i="47" s="1"/>
  <c r="AA412" i="22"/>
  <c r="AA366" i="22"/>
  <c r="E1165" i="47"/>
  <c r="K1165" i="47" s="1"/>
  <c r="AA330" i="22"/>
  <c r="AA363" i="22"/>
  <c r="F1414" i="47" s="1"/>
  <c r="M1414" i="47" s="1"/>
  <c r="AA404" i="22"/>
  <c r="F1409" i="47" s="1"/>
  <c r="M1409" i="47" s="1"/>
  <c r="E1346" i="47"/>
  <c r="K1346" i="47" s="1"/>
  <c r="AA100" i="22"/>
  <c r="AA332" i="22"/>
  <c r="E1185" i="47"/>
  <c r="K1185" i="47" s="1"/>
  <c r="AA101" i="22"/>
  <c r="AA355" i="22"/>
  <c r="F1335" i="47" s="1"/>
  <c r="M1335" i="47" s="1"/>
  <c r="E1153" i="47"/>
  <c r="O1153" i="47" s="1"/>
  <c r="AA187" i="22"/>
  <c r="E1177" i="47"/>
  <c r="O1177" i="47" s="1"/>
  <c r="AA67" i="22"/>
  <c r="E1399" i="47"/>
  <c r="K1399" i="47" s="1"/>
  <c r="AA177" i="22"/>
  <c r="E1208" i="47"/>
  <c r="K1208" i="47" s="1"/>
  <c r="AA206" i="22"/>
  <c r="AA13" i="22"/>
  <c r="AA298" i="22"/>
  <c r="F1434" i="47" s="1"/>
  <c r="M1434" i="47" s="1"/>
  <c r="E1299" i="47"/>
  <c r="K1299" i="47" s="1"/>
  <c r="AA428" i="22"/>
  <c r="E1154" i="47"/>
  <c r="O1154" i="47" s="1"/>
  <c r="AA116" i="22"/>
  <c r="AA447" i="22"/>
  <c r="F1397" i="47" s="1"/>
  <c r="M1397" i="47" s="1"/>
  <c r="E1063" i="47"/>
  <c r="K1063" i="47" s="1"/>
  <c r="AA289" i="22"/>
  <c r="E1025" i="47"/>
  <c r="K1025" i="47" s="1"/>
  <c r="AA180" i="22"/>
  <c r="AA153" i="22"/>
  <c r="F1094" i="47" s="1"/>
  <c r="M1094" i="47" s="1"/>
  <c r="H1502" i="47"/>
  <c r="T1502" i="47" s="1"/>
  <c r="U11" i="22"/>
  <c r="W11" i="22" s="1"/>
  <c r="I1027" i="47" s="1"/>
  <c r="H1505" i="47"/>
  <c r="T1505" i="47" s="1"/>
  <c r="U322" i="22"/>
  <c r="W322" i="22" s="1"/>
  <c r="H1501" i="47"/>
  <c r="T1501" i="47" s="1"/>
  <c r="U30" i="22"/>
  <c r="W30" i="22" s="1"/>
  <c r="I1046" i="47" s="1"/>
  <c r="H1421" i="47"/>
  <c r="T1421" i="47" s="1"/>
  <c r="U307" i="22"/>
  <c r="W307" i="22" s="1"/>
  <c r="H1382" i="47"/>
  <c r="T1382" i="47" s="1"/>
  <c r="U71" i="22"/>
  <c r="W71" i="22" s="1"/>
  <c r="H1407" i="47"/>
  <c r="T1407" i="47" s="1"/>
  <c r="U49" i="22"/>
  <c r="W49" i="22" s="1"/>
  <c r="H1234" i="47"/>
  <c r="T1234" i="47" s="1"/>
  <c r="U435" i="22"/>
  <c r="W435" i="22" s="1"/>
  <c r="I1361" i="47" s="1"/>
  <c r="H1332" i="47"/>
  <c r="T1332" i="47" s="1"/>
  <c r="U136" i="22"/>
  <c r="W136" i="22" s="1"/>
  <c r="H1300" i="47"/>
  <c r="T1300" i="47" s="1"/>
  <c r="U205" i="22"/>
  <c r="W205" i="22" s="1"/>
  <c r="H1194" i="47"/>
  <c r="T1194" i="47" s="1"/>
  <c r="U46" i="22"/>
  <c r="W46" i="22" s="1"/>
  <c r="H1201" i="47"/>
  <c r="T1201" i="47" s="1"/>
  <c r="U126" i="22"/>
  <c r="W126" i="22" s="1"/>
  <c r="H1031" i="47"/>
  <c r="T1031" i="47" s="1"/>
  <c r="U166" i="22"/>
  <c r="W166" i="22" s="1"/>
  <c r="H1115" i="47"/>
  <c r="T1115" i="47" s="1"/>
  <c r="U369" i="22"/>
  <c r="W369" i="22" s="1"/>
  <c r="H1177" i="47"/>
  <c r="T1177" i="47" s="1"/>
  <c r="U67" i="22"/>
  <c r="W67" i="22" s="1"/>
  <c r="I1083" i="47" s="1"/>
  <c r="H1250" i="47"/>
  <c r="T1250" i="47" s="1"/>
  <c r="U202" i="22"/>
  <c r="W202" i="22" s="1"/>
  <c r="H1131" i="47"/>
  <c r="T1131" i="47" s="1"/>
  <c r="U351" i="22"/>
  <c r="W351" i="22" s="1"/>
  <c r="H1147" i="47"/>
  <c r="T1147" i="47" s="1"/>
  <c r="U278" i="22"/>
  <c r="W278" i="22" s="1"/>
  <c r="H1364" i="47"/>
  <c r="T1364" i="47" s="1"/>
  <c r="U431" i="22"/>
  <c r="W431" i="22" s="1"/>
  <c r="I1447" i="47" s="1"/>
  <c r="H1410" i="47"/>
  <c r="T1410" i="47" s="1"/>
  <c r="U42" i="22"/>
  <c r="W42" i="22" s="1"/>
  <c r="I1058" i="47" s="1"/>
  <c r="H1100" i="47"/>
  <c r="T1100" i="47" s="1"/>
  <c r="U461" i="22"/>
  <c r="W461" i="22" s="1"/>
  <c r="H1323" i="47"/>
  <c r="T1323" i="47" s="1"/>
  <c r="U59" i="22"/>
  <c r="W59" i="22" s="1"/>
  <c r="I1075" i="47" s="1"/>
  <c r="H1413" i="47"/>
  <c r="T1413" i="47" s="1"/>
  <c r="U236" i="22"/>
  <c r="W236" i="22" s="1"/>
  <c r="I1252" i="47" s="1"/>
  <c r="H1025" i="47"/>
  <c r="T1025" i="47" s="1"/>
  <c r="U180" i="22"/>
  <c r="W180" i="22" s="1"/>
  <c r="H1456" i="47"/>
  <c r="T1456" i="47" s="1"/>
  <c r="U68" i="22"/>
  <c r="W68" i="22" s="1"/>
  <c r="AA121" i="22"/>
  <c r="F1137" i="47" s="1"/>
  <c r="M1137" i="47" s="1"/>
  <c r="E1245" i="47"/>
  <c r="K1245" i="47" s="1"/>
  <c r="AA37" i="22"/>
  <c r="AA197" i="22"/>
  <c r="F1239" i="47" s="1"/>
  <c r="M1239" i="47" s="1"/>
  <c r="AA255" i="22"/>
  <c r="F1055" i="47" s="1"/>
  <c r="M1055" i="47" s="1"/>
  <c r="E1468" i="47"/>
  <c r="K1468" i="47" s="1"/>
  <c r="AA183" i="22"/>
  <c r="E1029" i="47"/>
  <c r="K1029" i="47" s="1"/>
  <c r="AA469" i="22"/>
  <c r="AA99" i="22"/>
  <c r="F1438" i="47" s="1"/>
  <c r="M1438" i="47" s="1"/>
  <c r="E1293" i="47"/>
  <c r="K1293" i="47" s="1"/>
  <c r="AA50" i="22"/>
  <c r="E1445" i="47"/>
  <c r="K1445" i="47" s="1"/>
  <c r="AA122" i="22"/>
  <c r="AA273" i="22"/>
  <c r="AA401" i="22"/>
  <c r="AA494" i="22"/>
  <c r="AA364" i="22"/>
  <c r="F1435" i="47" s="1"/>
  <c r="M1435" i="47" s="1"/>
  <c r="E1240" i="47"/>
  <c r="K1240" i="47" s="1"/>
  <c r="AA28" i="22"/>
  <c r="E1362" i="47"/>
  <c r="K1362" i="47" s="1"/>
  <c r="AA406" i="22"/>
  <c r="E1457" i="47"/>
  <c r="K1457" i="47" s="1"/>
  <c r="AA56" i="22"/>
  <c r="E1068" i="47"/>
  <c r="K1068" i="47" s="1"/>
  <c r="AA421" i="22"/>
  <c r="AA128" i="22"/>
  <c r="E1072" i="47"/>
  <c r="K1072" i="47" s="1"/>
  <c r="AA61" i="22"/>
  <c r="E1411" i="47"/>
  <c r="O1411" i="47" s="1"/>
  <c r="AA154" i="22"/>
  <c r="AA208" i="22"/>
  <c r="E1420" i="47"/>
  <c r="K1420" i="47" s="1"/>
  <c r="AA162" i="22"/>
  <c r="AA133" i="22"/>
  <c r="F1197" i="47" s="1"/>
  <c r="M1197" i="47" s="1"/>
  <c r="E1243" i="47"/>
  <c r="K1243" i="47" s="1"/>
  <c r="AA410" i="22"/>
  <c r="F1426" i="47" s="1"/>
  <c r="M1426" i="47" s="1"/>
  <c r="E1229" i="47"/>
  <c r="K1229" i="47" s="1"/>
  <c r="AA140" i="22"/>
  <c r="E1238" i="47"/>
  <c r="K1238" i="47" s="1"/>
  <c r="AA219" i="22"/>
  <c r="AA324" i="22"/>
  <c r="F1272" i="47" s="1"/>
  <c r="M1272" i="47" s="1"/>
  <c r="AA485" i="22"/>
  <c r="F1179" i="47" s="1"/>
  <c r="M1179" i="47" s="1"/>
  <c r="E1290" i="47"/>
  <c r="K1290" i="47" s="1"/>
  <c r="AA18" i="22"/>
  <c r="E1508" i="47"/>
  <c r="K1508" i="47" s="1"/>
  <c r="AA10" i="22"/>
  <c r="E1271" i="47"/>
  <c r="K1271" i="47" s="1"/>
  <c r="AA210" i="22"/>
  <c r="E1117" i="47"/>
  <c r="O1117" i="47" s="1"/>
  <c r="AA280" i="22"/>
  <c r="AA345" i="22"/>
  <c r="F1247" i="47" s="1"/>
  <c r="M1247" i="47" s="1"/>
  <c r="E1202" i="47"/>
  <c r="O1202" i="47" s="1"/>
  <c r="AA212" i="22"/>
  <c r="AA318" i="22"/>
  <c r="E1371" i="47"/>
  <c r="K1371" i="47" s="1"/>
  <c r="AA492" i="22"/>
  <c r="F1091" i="47" s="1"/>
  <c r="M1091" i="47" s="1"/>
  <c r="E1382" i="47"/>
  <c r="O1382" i="47" s="1"/>
  <c r="AA71" i="22"/>
  <c r="F1087" i="47" s="1"/>
  <c r="M1087" i="47" s="1"/>
  <c r="E1213" i="47"/>
  <c r="K1213" i="47" s="1"/>
  <c r="AA117" i="22"/>
  <c r="E1318" i="47"/>
  <c r="K1318" i="47" s="1"/>
  <c r="AA342" i="22"/>
  <c r="AA131" i="22"/>
  <c r="F1030" i="47" s="1"/>
  <c r="M1030" i="47" s="1"/>
  <c r="E1381" i="47"/>
  <c r="F1379" i="47"/>
  <c r="M1379" i="47" s="1"/>
  <c r="E1379" i="47"/>
  <c r="K1339" i="47"/>
  <c r="O1339" i="47"/>
  <c r="E1314" i="47"/>
  <c r="E1258" i="47"/>
  <c r="E1065" i="47"/>
  <c r="F1130" i="47"/>
  <c r="M1130" i="47" s="1"/>
  <c r="E1130" i="47"/>
  <c r="E1046" i="47"/>
  <c r="F1265" i="47"/>
  <c r="M1265" i="47" s="1"/>
  <c r="E1265" i="47"/>
  <c r="F1230" i="47"/>
  <c r="M1230" i="47" s="1"/>
  <c r="E1230" i="47"/>
  <c r="K1513" i="47"/>
  <c r="O1513" i="47"/>
  <c r="F1078" i="47"/>
  <c r="M1078" i="47" s="1"/>
  <c r="E1078" i="47"/>
  <c r="E1491" i="47"/>
  <c r="F1106" i="47"/>
  <c r="M1106" i="47" s="1"/>
  <c r="E1106" i="47"/>
  <c r="E1067" i="47"/>
  <c r="F1427" i="47"/>
  <c r="M1427" i="47" s="1"/>
  <c r="E1427" i="47"/>
  <c r="E1426" i="47"/>
  <c r="F1071" i="47"/>
  <c r="M1071" i="47" s="1"/>
  <c r="E1071" i="47"/>
  <c r="E1190" i="47"/>
  <c r="E1378" i="47"/>
  <c r="E1447" i="47"/>
  <c r="K1391" i="47"/>
  <c r="F1254" i="47"/>
  <c r="M1254" i="47" s="1"/>
  <c r="E1254" i="47"/>
  <c r="F1142" i="47"/>
  <c r="M1142" i="47" s="1"/>
  <c r="E1142" i="47"/>
  <c r="F1403" i="47"/>
  <c r="M1403" i="47" s="1"/>
  <c r="E1403" i="47"/>
  <c r="F1336" i="47"/>
  <c r="M1336" i="47" s="1"/>
  <c r="E1336" i="47"/>
  <c r="K1453" i="47"/>
  <c r="O1453" i="47"/>
  <c r="E1475" i="47"/>
  <c r="F1282" i="47"/>
  <c r="M1282" i="47" s="1"/>
  <c r="E1282" i="47"/>
  <c r="F1320" i="47"/>
  <c r="M1320" i="47" s="1"/>
  <c r="E1320" i="47"/>
  <c r="E1428" i="47"/>
  <c r="F1262" i="47"/>
  <c r="M1262" i="47" s="1"/>
  <c r="E1262" i="47"/>
  <c r="K1345" i="47"/>
  <c r="E1058" i="47"/>
  <c r="F1040" i="47"/>
  <c r="M1040" i="47" s="1"/>
  <c r="E1040" i="47"/>
  <c r="E1157" i="47"/>
  <c r="K1281" i="47"/>
  <c r="F1088" i="47"/>
  <c r="M1088" i="47" s="1"/>
  <c r="E1088" i="47"/>
  <c r="E1251" i="47"/>
  <c r="F1404" i="47"/>
  <c r="M1404" i="47" s="1"/>
  <c r="E1404" i="47"/>
  <c r="F1096" i="47"/>
  <c r="M1096" i="47" s="1"/>
  <c r="E1096" i="47"/>
  <c r="F1350" i="47"/>
  <c r="M1350" i="47" s="1"/>
  <c r="E1350" i="47"/>
  <c r="F1047" i="47"/>
  <c r="M1047" i="47" s="1"/>
  <c r="E1047" i="47"/>
  <c r="F1191" i="47"/>
  <c r="M1191" i="47" s="1"/>
  <c r="E1191" i="47"/>
  <c r="E1277" i="47"/>
  <c r="F1408" i="47"/>
  <c r="M1408" i="47" s="1"/>
  <c r="E1408" i="47"/>
  <c r="E1246" i="47"/>
  <c r="F1448" i="47"/>
  <c r="M1448" i="47" s="1"/>
  <c r="E1448" i="47"/>
  <c r="F1121" i="47"/>
  <c r="M1121" i="47" s="1"/>
  <c r="E1121" i="47"/>
  <c r="E1075" i="47"/>
  <c r="F1152" i="47"/>
  <c r="M1152" i="47" s="1"/>
  <c r="E1152" i="47"/>
  <c r="F1441" i="47"/>
  <c r="M1441" i="47" s="1"/>
  <c r="E1441" i="47"/>
  <c r="K1091" i="47"/>
  <c r="O1091" i="47"/>
  <c r="F1481" i="47"/>
  <c r="M1481" i="47" s="1"/>
  <c r="E1481" i="47"/>
  <c r="K1439" i="47"/>
  <c r="O1439" i="47"/>
  <c r="E1056" i="47"/>
  <c r="F1267" i="47"/>
  <c r="M1267" i="47" s="1"/>
  <c r="E1267" i="47"/>
  <c r="F1073" i="47"/>
  <c r="M1073" i="47" s="1"/>
  <c r="E1073" i="47"/>
  <c r="F1215" i="47"/>
  <c r="M1215" i="47" s="1"/>
  <c r="E1215" i="47"/>
  <c r="F1303" i="47"/>
  <c r="M1303" i="47" s="1"/>
  <c r="E1303" i="47"/>
  <c r="E1259" i="47"/>
  <c r="E1248" i="47"/>
  <c r="E1035" i="47"/>
  <c r="E1237" i="47"/>
  <c r="F1189" i="47"/>
  <c r="M1189" i="47" s="1"/>
  <c r="E1189" i="47"/>
  <c r="F1291" i="47"/>
  <c r="M1291" i="47" s="1"/>
  <c r="E1291" i="47"/>
  <c r="E1060" i="47"/>
  <c r="F1342" i="47"/>
  <c r="M1342" i="47" s="1"/>
  <c r="E1342" i="47"/>
  <c r="E1368" i="47"/>
  <c r="F1396" i="47"/>
  <c r="M1396" i="47" s="1"/>
  <c r="E1396" i="47"/>
  <c r="E1440" i="47"/>
  <c r="E1148" i="47"/>
  <c r="O1069" i="47"/>
  <c r="E1329" i="47"/>
  <c r="E1330" i="47"/>
  <c r="E1105" i="47"/>
  <c r="E1283" i="47"/>
  <c r="F1388" i="47"/>
  <c r="M1388" i="47" s="1"/>
  <c r="E1388" i="47"/>
  <c r="F1415" i="47"/>
  <c r="M1415" i="47" s="1"/>
  <c r="E1415" i="47"/>
  <c r="K1093" i="47"/>
  <c r="O1093" i="47"/>
  <c r="F1116" i="47"/>
  <c r="M1116" i="47" s="1"/>
  <c r="E1116" i="47"/>
  <c r="F1302" i="47"/>
  <c r="M1302" i="47" s="1"/>
  <c r="E1302" i="47"/>
  <c r="E1057" i="47"/>
  <c r="E1086" i="47"/>
  <c r="E1034" i="47"/>
  <c r="E1066" i="47"/>
  <c r="E1087" i="47"/>
  <c r="F1172" i="47"/>
  <c r="M1172" i="47" s="1"/>
  <c r="E1172" i="47"/>
  <c r="E1469" i="47"/>
  <c r="F1423" i="47"/>
  <c r="M1423" i="47" s="1"/>
  <c r="E1423" i="47"/>
  <c r="E1484" i="47"/>
  <c r="F1487" i="47"/>
  <c r="M1487" i="47" s="1"/>
  <c r="E1487" i="47"/>
  <c r="O1419" i="47"/>
  <c r="F1462" i="47"/>
  <c r="M1462" i="47" s="1"/>
  <c r="E1462" i="47"/>
  <c r="F1459" i="47"/>
  <c r="M1459" i="47" s="1"/>
  <c r="E1459" i="47"/>
  <c r="E1109" i="47"/>
  <c r="E1260" i="47"/>
  <c r="E1424" i="47"/>
  <c r="E1369" i="47"/>
  <c r="F1359" i="47"/>
  <c r="M1359" i="47" s="1"/>
  <c r="E1359" i="47"/>
  <c r="F1205" i="47"/>
  <c r="M1205" i="47" s="1"/>
  <c r="E1205" i="47"/>
  <c r="E1488" i="47"/>
  <c r="E1473" i="47"/>
  <c r="E1328" i="47"/>
  <c r="E1083" i="47"/>
  <c r="F1156" i="47"/>
  <c r="M1156" i="47" s="1"/>
  <c r="E1156" i="47"/>
  <c r="E1159" i="47"/>
  <c r="F1337" i="47"/>
  <c r="M1337" i="47" s="1"/>
  <c r="E1337" i="47"/>
  <c r="F1135" i="47"/>
  <c r="M1135" i="47" s="1"/>
  <c r="E1135" i="47"/>
  <c r="F1209" i="47"/>
  <c r="M1209" i="47" s="1"/>
  <c r="E1209" i="47"/>
  <c r="E1370" i="47"/>
  <c r="E1305" i="47"/>
  <c r="E1482" i="47"/>
  <c r="K1095" i="47"/>
  <c r="O1095" i="47"/>
  <c r="F1304" i="47"/>
  <c r="M1304" i="47" s="1"/>
  <c r="E1304" i="47"/>
  <c r="E1145" i="47"/>
  <c r="E1490" i="47"/>
  <c r="E1102" i="47"/>
  <c r="E1471" i="47"/>
  <c r="F1227" i="47"/>
  <c r="M1227" i="47" s="1"/>
  <c r="E1227" i="47"/>
  <c r="F1032" i="47"/>
  <c r="M1032" i="47" s="1"/>
  <c r="E1032" i="47"/>
  <c r="E1485" i="47"/>
  <c r="E1244" i="47"/>
  <c r="F1474" i="47"/>
  <c r="M1474" i="47" s="1"/>
  <c r="E1474" i="47"/>
  <c r="E1128" i="47"/>
  <c r="E1043" i="47"/>
  <c r="E1432" i="47"/>
  <c r="F1333" i="47"/>
  <c r="M1333" i="47" s="1"/>
  <c r="E1333" i="47"/>
  <c r="E1120" i="47"/>
  <c r="E1279" i="47"/>
  <c r="E1479" i="47"/>
  <c r="E1140" i="47"/>
  <c r="F1417" i="47"/>
  <c r="M1417" i="47" s="1"/>
  <c r="E1417" i="47"/>
  <c r="E1319" i="47"/>
  <c r="E1249" i="47"/>
  <c r="E1351" i="47"/>
  <c r="F1431" i="47"/>
  <c r="M1431" i="47" s="1"/>
  <c r="E1431" i="47"/>
  <c r="E1171" i="47"/>
  <c r="F1297" i="47"/>
  <c r="M1297" i="47" s="1"/>
  <c r="E1297" i="47"/>
  <c r="E1402" i="47"/>
  <c r="E1074" i="47"/>
  <c r="E1027" i="47"/>
  <c r="E1425" i="47"/>
  <c r="E1470" i="47"/>
  <c r="E1125" i="47"/>
  <c r="E1454" i="47"/>
  <c r="E1236" i="47"/>
  <c r="E1483" i="47"/>
  <c r="E1392" i="47"/>
  <c r="K1092" i="47"/>
  <c r="O1092" i="47"/>
  <c r="E1218" i="47"/>
  <c r="E1101" i="47"/>
  <c r="F1288" i="47"/>
  <c r="M1288" i="47" s="1"/>
  <c r="E1288" i="47"/>
  <c r="E1223" i="47"/>
  <c r="F1104" i="47"/>
  <c r="M1104" i="47" s="1"/>
  <c r="E1104" i="47"/>
  <c r="E1050" i="47"/>
  <c r="E1168" i="47"/>
  <c r="E1492" i="47"/>
  <c r="E1080" i="47"/>
  <c r="E1383" i="47"/>
  <c r="E1414" i="47"/>
  <c r="E1409" i="47"/>
  <c r="F1054" i="47"/>
  <c r="M1054" i="47" s="1"/>
  <c r="E1054" i="47"/>
  <c r="E1335" i="47"/>
  <c r="E1510" i="47"/>
  <c r="K1510" i="47" s="1"/>
  <c r="E1512" i="47"/>
  <c r="E1434" i="47"/>
  <c r="E1397" i="47"/>
  <c r="E1094" i="47"/>
  <c r="E1137" i="47"/>
  <c r="E1239" i="47"/>
  <c r="E1055" i="47"/>
  <c r="E1438" i="47"/>
  <c r="E1361" i="47"/>
  <c r="E1365" i="47"/>
  <c r="E1176" i="47"/>
  <c r="E1435" i="47"/>
  <c r="E1242" i="47"/>
  <c r="F1162" i="47"/>
  <c r="M1162" i="47" s="1"/>
  <c r="E1162" i="47"/>
  <c r="E1197" i="47"/>
  <c r="E1272" i="47"/>
  <c r="E1179" i="47"/>
  <c r="E1247" i="47"/>
  <c r="E1443" i="47"/>
  <c r="E1030" i="47"/>
  <c r="K1099" i="47"/>
  <c r="O1099" i="47"/>
  <c r="F1338" i="47"/>
  <c r="M1338" i="47" s="1"/>
  <c r="E1338" i="47"/>
  <c r="E1052" i="47"/>
  <c r="F1216" i="47"/>
  <c r="M1216" i="47" s="1"/>
  <c r="E1216" i="47"/>
  <c r="F1098" i="47"/>
  <c r="M1098" i="47" s="1"/>
  <c r="E1098" i="47"/>
  <c r="K1430" i="47"/>
  <c r="O1430" i="47"/>
  <c r="F1274" i="47"/>
  <c r="M1274" i="47" s="1"/>
  <c r="E1274" i="47"/>
  <c r="K1310" i="47"/>
  <c r="O1310" i="47"/>
  <c r="F1450" i="47"/>
  <c r="M1450" i="47" s="1"/>
  <c r="E1450" i="47"/>
  <c r="F1252" i="47"/>
  <c r="M1252" i="47" s="1"/>
  <c r="E1252" i="47"/>
  <c r="K1376" i="47"/>
  <c r="O1376" i="47"/>
  <c r="F1127" i="47"/>
  <c r="M1127" i="47" s="1"/>
  <c r="E1127" i="47"/>
  <c r="E1278" i="47"/>
  <c r="E1437" i="47"/>
  <c r="K1393" i="47"/>
  <c r="O1393" i="47"/>
  <c r="E1334" i="47"/>
  <c r="F1289" i="47"/>
  <c r="M1289" i="47" s="1"/>
  <c r="E1289" i="47"/>
  <c r="K1451" i="47"/>
  <c r="O1451" i="47"/>
  <c r="E1255" i="47"/>
  <c r="F1097" i="47"/>
  <c r="M1097" i="47" s="1"/>
  <c r="E1097" i="47"/>
  <c r="F1286" i="47"/>
  <c r="M1286" i="47" s="1"/>
  <c r="E1286" i="47"/>
  <c r="H1130" i="47"/>
  <c r="T1130" i="47" s="1"/>
  <c r="H1258" i="47"/>
  <c r="T1258" i="47" s="1"/>
  <c r="H1409" i="47"/>
  <c r="T1409" i="47" s="1"/>
  <c r="H1426" i="47"/>
  <c r="T1426" i="47" s="1"/>
  <c r="H1351" i="47"/>
  <c r="T1351" i="47" s="1"/>
  <c r="H1278" i="47"/>
  <c r="T1278" i="47" s="1"/>
  <c r="H1288" i="47"/>
  <c r="T1288" i="47" s="1"/>
  <c r="H1047" i="47"/>
  <c r="T1047" i="47" s="1"/>
  <c r="H1179" i="47"/>
  <c r="T1179" i="47" s="1"/>
  <c r="H1338" i="47"/>
  <c r="T1338" i="47" s="1"/>
  <c r="H1140" i="47"/>
  <c r="T1140" i="47" s="1"/>
  <c r="H1128" i="47"/>
  <c r="T1128" i="47" s="1"/>
  <c r="H1369" i="47"/>
  <c r="T1369" i="47" s="1"/>
  <c r="H1104" i="47"/>
  <c r="T1104" i="47" s="1"/>
  <c r="H1248" i="47"/>
  <c r="T1248" i="47" s="1"/>
  <c r="H1058" i="47"/>
  <c r="T1058" i="47" s="1"/>
  <c r="H1239" i="47"/>
  <c r="T1239" i="47" s="1"/>
  <c r="H1148" i="47"/>
  <c r="T1148" i="47" s="1"/>
  <c r="H1454" i="47"/>
  <c r="T1454" i="47" s="1"/>
  <c r="H1043" i="47"/>
  <c r="T1043" i="47" s="1"/>
  <c r="H1083" i="47"/>
  <c r="T1083" i="47" s="1"/>
  <c r="H1087" i="47"/>
  <c r="T1087" i="47" s="1"/>
  <c r="H1437" i="47"/>
  <c r="T1437" i="47" s="1"/>
  <c r="H1381" i="47"/>
  <c r="T1381" i="47" s="1"/>
  <c r="H1050" i="47"/>
  <c r="T1050" i="47" s="1"/>
  <c r="H1491" i="47"/>
  <c r="T1491" i="47" s="1"/>
  <c r="H1088" i="47"/>
  <c r="T1088" i="47" s="1"/>
  <c r="H1142" i="47"/>
  <c r="T1142" i="47" s="1"/>
  <c r="H1252" i="47"/>
  <c r="T1252" i="47" s="1"/>
  <c r="H1392" i="47"/>
  <c r="T1392" i="47" s="1"/>
  <c r="H1488" i="47"/>
  <c r="T1488" i="47" s="1"/>
  <c r="H1215" i="47"/>
  <c r="T1215" i="47" s="1"/>
  <c r="H1329" i="47"/>
  <c r="T1329" i="47" s="1"/>
  <c r="H1462" i="47"/>
  <c r="T1462" i="47" s="1"/>
  <c r="H1402" i="47"/>
  <c r="T1402" i="47" s="1"/>
  <c r="H1335" i="47"/>
  <c r="T1335" i="47" s="1"/>
  <c r="H1075" i="47"/>
  <c r="T1075" i="47" s="1"/>
  <c r="H1080" i="47"/>
  <c r="T1080" i="47" s="1"/>
  <c r="H1483" i="47"/>
  <c r="T1483" i="47" s="1"/>
  <c r="H1365" i="47"/>
  <c r="T1365" i="47" s="1"/>
  <c r="H1197" i="47"/>
  <c r="T1197" i="47" s="1"/>
  <c r="H1168" i="47"/>
  <c r="T1168" i="47" s="1"/>
  <c r="H1101" i="47"/>
  <c r="T1101" i="47" s="1"/>
  <c r="H1359" i="47"/>
  <c r="T1359" i="47" s="1"/>
  <c r="H1191" i="47"/>
  <c r="T1191" i="47" s="1"/>
  <c r="H1106" i="47"/>
  <c r="T1106" i="47" s="1"/>
  <c r="H1481" i="47"/>
  <c r="T1481" i="47" s="1"/>
  <c r="H1490" i="47"/>
  <c r="T1490" i="47" s="1"/>
  <c r="H1361" i="47"/>
  <c r="T1361" i="47" s="1"/>
  <c r="H1448" i="47"/>
  <c r="T1448" i="47" s="1"/>
  <c r="H1417" i="47"/>
  <c r="T1417" i="47" s="1"/>
  <c r="H1336" i="47"/>
  <c r="T1336" i="47" s="1"/>
  <c r="H1474" i="47"/>
  <c r="T1474" i="47" s="1"/>
  <c r="H1383" i="47"/>
  <c r="T1383" i="47" s="1"/>
  <c r="H1190" i="47"/>
  <c r="T1190" i="47" s="1"/>
  <c r="H1416" i="47"/>
  <c r="T1416" i="47" s="1"/>
  <c r="H1078" i="47"/>
  <c r="T1078" i="47" s="1"/>
  <c r="H1485" i="47"/>
  <c r="T1485" i="47" s="1"/>
  <c r="H1428" i="47"/>
  <c r="T1428" i="47" s="1"/>
  <c r="H1054" i="47"/>
  <c r="T1054" i="47" s="1"/>
  <c r="H1205" i="47"/>
  <c r="T1205" i="47" s="1"/>
  <c r="H1450" i="47"/>
  <c r="T1450" i="47" s="1"/>
  <c r="H1262" i="47"/>
  <c r="T1262" i="47" s="1"/>
  <c r="H1098" i="47"/>
  <c r="T1098" i="47" s="1"/>
  <c r="H1156" i="47"/>
  <c r="T1156" i="47" s="1"/>
  <c r="H1368" i="47"/>
  <c r="T1368" i="47" s="1"/>
  <c r="H1414" i="47"/>
  <c r="T1414" i="47" s="1"/>
  <c r="H1065" i="47"/>
  <c r="T1065" i="47" s="1"/>
  <c r="H1259" i="47"/>
  <c r="T1259" i="47" s="1"/>
  <c r="H1305" i="47"/>
  <c r="T1305" i="47" s="1"/>
  <c r="H1471" i="47"/>
  <c r="T1471" i="47" s="1"/>
  <c r="H1379" i="47"/>
  <c r="T1379" i="47" s="1"/>
  <c r="H1282" i="47"/>
  <c r="T1282" i="47" s="1"/>
  <c r="H1459" i="47"/>
  <c r="T1459" i="47" s="1"/>
  <c r="H1403" i="47"/>
  <c r="T1403" i="47" s="1"/>
  <c r="H1246" i="47"/>
  <c r="T1246" i="47" s="1"/>
  <c r="H1425" i="47"/>
  <c r="T1425" i="47" s="1"/>
  <c r="H1027" i="47"/>
  <c r="T1027" i="47" s="1"/>
  <c r="H1189" i="47"/>
  <c r="T1189" i="47" s="1"/>
  <c r="H1060" i="47"/>
  <c r="T1060" i="47" s="1"/>
  <c r="H1337" i="47"/>
  <c r="T1337" i="47" s="1"/>
  <c r="H1223" i="47"/>
  <c r="T1223" i="47" s="1"/>
  <c r="H1074" i="47"/>
  <c r="T1074" i="47" s="1"/>
  <c r="H1109" i="47"/>
  <c r="T1109" i="47" s="1"/>
  <c r="H1447" i="47"/>
  <c r="T1447" i="47" s="1"/>
  <c r="H1094" i="47"/>
  <c r="T1094" i="47" s="1"/>
  <c r="H1510" i="47"/>
  <c r="T1510" i="47" s="1"/>
  <c r="H1512" i="47"/>
  <c r="T1512" i="47" s="1"/>
  <c r="H1032" i="47"/>
  <c r="T1032" i="47" s="1"/>
  <c r="H1289" i="47"/>
  <c r="T1289" i="47" s="1"/>
  <c r="H1127" i="47"/>
  <c r="T1127" i="47" s="1"/>
  <c r="H1159" i="47"/>
  <c r="T1159" i="47" s="1"/>
  <c r="H1056" i="47"/>
  <c r="T1056" i="47" s="1"/>
  <c r="H1423" i="47"/>
  <c r="T1423" i="47" s="1"/>
  <c r="H1216" i="47"/>
  <c r="T1216" i="47" s="1"/>
  <c r="H1470" i="47"/>
  <c r="T1470" i="47" s="1"/>
  <c r="H1267" i="47"/>
  <c r="T1267" i="47" s="1"/>
  <c r="H1432" i="47"/>
  <c r="T1432" i="47" s="1"/>
  <c r="H1328" i="47"/>
  <c r="T1328" i="47" s="1"/>
  <c r="H1492" i="47"/>
  <c r="T1492" i="47" s="1"/>
  <c r="H1484" i="47"/>
  <c r="T1484" i="47" s="1"/>
  <c r="H1473" i="47"/>
  <c r="T1473" i="47" s="1"/>
  <c r="H1046" i="47"/>
  <c r="T1046" i="47" s="1"/>
  <c r="H1397" i="47"/>
  <c r="T1397" i="47" s="1"/>
  <c r="H1396" i="47"/>
  <c r="T1396" i="47" s="1"/>
  <c r="H1067" i="47"/>
  <c r="T1067" i="47" s="1"/>
  <c r="H1475" i="47"/>
  <c r="T1475" i="47" s="1"/>
  <c r="H1319" i="47"/>
  <c r="T1319" i="47" s="1"/>
  <c r="H1244" i="47"/>
  <c r="T1244" i="47" s="1"/>
  <c r="H1333" i="47"/>
  <c r="T1333" i="47" s="1"/>
  <c r="H1330" i="47"/>
  <c r="T1330" i="47" s="1"/>
  <c r="H1443" i="47"/>
  <c r="T1443" i="47" s="1"/>
  <c r="H1404" i="47"/>
  <c r="T1404" i="47" s="1"/>
  <c r="H1172" i="47"/>
  <c r="T1172" i="47" s="1"/>
  <c r="H1230" i="47"/>
  <c r="T1230" i="47" s="1"/>
  <c r="H1255" i="47"/>
  <c r="T1255" i="47" s="1"/>
  <c r="H1040" i="47"/>
  <c r="T1040" i="47" s="1"/>
  <c r="H1116" i="47"/>
  <c r="T1116" i="47" s="1"/>
  <c r="H1469" i="47"/>
  <c r="T1469" i="47" s="1"/>
  <c r="H1066" i="47"/>
  <c r="T1066" i="47" s="1"/>
  <c r="H1320" i="47"/>
  <c r="T1320" i="47" s="1"/>
  <c r="H1415" i="47"/>
  <c r="T1415" i="47" s="1"/>
  <c r="H1334" i="47"/>
  <c r="T1334" i="47" s="1"/>
  <c r="H1251" i="47"/>
  <c r="T1251" i="47" s="1"/>
  <c r="H1209" i="47"/>
  <c r="T1209" i="47" s="1"/>
  <c r="H1427" i="47"/>
  <c r="T1427" i="47" s="1"/>
  <c r="H1105" i="47"/>
  <c r="T1105" i="47" s="1"/>
  <c r="H1304" i="47"/>
  <c r="T1304" i="47" s="1"/>
  <c r="H1440" i="47"/>
  <c r="T1440" i="47" s="1"/>
  <c r="H1487" i="47"/>
  <c r="T1487" i="47" s="1"/>
  <c r="H1071" i="47"/>
  <c r="T1071" i="47" s="1"/>
  <c r="H1297" i="47"/>
  <c r="T1297" i="47" s="1"/>
  <c r="H1291" i="47"/>
  <c r="T1291" i="47" s="1"/>
  <c r="H1265" i="47"/>
  <c r="T1265" i="47" s="1"/>
  <c r="H1254" i="47"/>
  <c r="T1254" i="47" s="1"/>
  <c r="H1370" i="47"/>
  <c r="T1370" i="47" s="1"/>
  <c r="H1052" i="47"/>
  <c r="T1052" i="47" s="1"/>
  <c r="H1135" i="47"/>
  <c r="T1135" i="47" s="1"/>
  <c r="H1482" i="47"/>
  <c r="T1482" i="47" s="1"/>
  <c r="H1034" i="47"/>
  <c r="T1034" i="47" s="1"/>
  <c r="H1408" i="47"/>
  <c r="T1408" i="47" s="1"/>
  <c r="H1242" i="47"/>
  <c r="T1242" i="47" s="1"/>
  <c r="H1272" i="47"/>
  <c r="T1272" i="47" s="1"/>
  <c r="H1247" i="47"/>
  <c r="T1247" i="47" s="1"/>
  <c r="H1055" i="47"/>
  <c r="T1055" i="47" s="1"/>
  <c r="H1097" i="47"/>
  <c r="T1097" i="47" s="1"/>
  <c r="H1035" i="47"/>
  <c r="T1035" i="47" s="1"/>
  <c r="H1030" i="47"/>
  <c r="T1030" i="47" s="1"/>
  <c r="H1434" i="47"/>
  <c r="T1434" i="47" s="1"/>
  <c r="H1342" i="47"/>
  <c r="T1342" i="47" s="1"/>
  <c r="H1438" i="47"/>
  <c r="T1438" i="47" s="1"/>
  <c r="H1057" i="47"/>
  <c r="T1057" i="47" s="1"/>
  <c r="H1121" i="47"/>
  <c r="T1121" i="47" s="1"/>
  <c r="H1388" i="47"/>
  <c r="T1388" i="47" s="1"/>
  <c r="H1260" i="47"/>
  <c r="T1260" i="47" s="1"/>
  <c r="H1286" i="47"/>
  <c r="T1286" i="47" s="1"/>
  <c r="H1102" i="47"/>
  <c r="T1102" i="47" s="1"/>
  <c r="H1274" i="47"/>
  <c r="T1274" i="47" s="1"/>
  <c r="H1125" i="47"/>
  <c r="T1125" i="47" s="1"/>
  <c r="H1218" i="47"/>
  <c r="T1218" i="47" s="1"/>
  <c r="H1120" i="47"/>
  <c r="T1120" i="47" s="1"/>
  <c r="H1073" i="47"/>
  <c r="T1073" i="47" s="1"/>
  <c r="H1236" i="47"/>
  <c r="T1236" i="47" s="1"/>
  <c r="H1171" i="47"/>
  <c r="T1171" i="47" s="1"/>
  <c r="H1378" i="47"/>
  <c r="T1378" i="47" s="1"/>
  <c r="H1283" i="47"/>
  <c r="T1283" i="47" s="1"/>
  <c r="H1162" i="47"/>
  <c r="T1162" i="47" s="1"/>
  <c r="H1152" i="47"/>
  <c r="T1152" i="47" s="1"/>
  <c r="H1479" i="47"/>
  <c r="T1479" i="47" s="1"/>
  <c r="H1249" i="47"/>
  <c r="T1249" i="47" s="1"/>
  <c r="H1157" i="47"/>
  <c r="T1157" i="47" s="1"/>
  <c r="H1096" i="47"/>
  <c r="T1096" i="47" s="1"/>
  <c r="H1279" i="47"/>
  <c r="T1279" i="47" s="1"/>
  <c r="H1350" i="47"/>
  <c r="T1350" i="47" s="1"/>
  <c r="H1176" i="47"/>
  <c r="T1176" i="47" s="1"/>
  <c r="H1277" i="47"/>
  <c r="T1277" i="47" s="1"/>
  <c r="H1303" i="47"/>
  <c r="T1303" i="47" s="1"/>
  <c r="H1086" i="47"/>
  <c r="T1086" i="47" s="1"/>
  <c r="H1302" i="47"/>
  <c r="T1302" i="47" s="1"/>
  <c r="H1227" i="47"/>
  <c r="T1227" i="47" s="1"/>
  <c r="H1137" i="47"/>
  <c r="T1137" i="47" s="1"/>
  <c r="H1145" i="47"/>
  <c r="T1145" i="47" s="1"/>
  <c r="H1424" i="47"/>
  <c r="T1424" i="47" s="1"/>
  <c r="H1314" i="47"/>
  <c r="T1314" i="47" s="1"/>
  <c r="H1441" i="47"/>
  <c r="T1441" i="47" s="1"/>
  <c r="H1431" i="47"/>
  <c r="T1431" i="47" s="1"/>
  <c r="H1435" i="47"/>
  <c r="T1435" i="47" s="1"/>
  <c r="H1237" i="47"/>
  <c r="T1237" i="47" s="1"/>
  <c r="V24" i="47"/>
  <c r="W24" i="47" s="1"/>
  <c r="V25" i="47" s="1"/>
  <c r="AR382" i="22"/>
  <c r="AR408" i="22"/>
  <c r="AR471" i="22"/>
  <c r="AR212" i="22"/>
  <c r="AR235" i="22"/>
  <c r="AR349" i="22"/>
  <c r="AR47" i="22"/>
  <c r="AR415" i="22"/>
  <c r="AR290" i="22"/>
  <c r="AR154" i="22"/>
  <c r="AR92" i="22"/>
  <c r="AR304" i="22"/>
  <c r="AR116" i="22"/>
  <c r="AR254" i="22"/>
  <c r="AR157" i="22"/>
  <c r="AR72" i="22"/>
  <c r="AR23" i="22"/>
  <c r="AR348" i="22"/>
  <c r="AR87" i="22"/>
  <c r="AR86" i="22"/>
  <c r="AR359" i="22"/>
  <c r="AR383" i="22"/>
  <c r="AR132" i="22"/>
  <c r="AR320" i="22"/>
  <c r="AR238" i="22"/>
  <c r="AR388" i="22"/>
  <c r="AR150" i="22"/>
  <c r="AR261" i="22"/>
  <c r="AR389" i="22"/>
  <c r="AR93" i="22"/>
  <c r="AR497" i="22"/>
  <c r="AR217" i="22"/>
  <c r="AR161" i="22"/>
  <c r="AR107" i="22"/>
  <c r="AR275" i="22"/>
  <c r="AR101" i="22"/>
  <c r="AR379" i="22"/>
  <c r="AR438" i="22"/>
  <c r="AR323" i="22"/>
  <c r="AR134" i="22"/>
  <c r="AR51" i="22"/>
  <c r="AR24" i="22"/>
  <c r="AR52" i="22"/>
  <c r="AR9" i="22"/>
  <c r="AR187" i="22"/>
  <c r="AR421" i="22"/>
  <c r="AR21" i="22"/>
  <c r="AR198" i="22"/>
  <c r="AR16" i="22"/>
  <c r="AR477" i="22"/>
  <c r="AR32" i="22"/>
  <c r="AR346" i="22"/>
  <c r="AR409" i="22"/>
  <c r="AR410" i="22"/>
  <c r="AR122" i="22"/>
  <c r="AR98" i="22"/>
  <c r="AR50" i="22"/>
  <c r="AR28" i="22"/>
  <c r="AR53" i="22"/>
  <c r="AR487" i="22"/>
  <c r="AR426" i="22"/>
  <c r="AR123" i="22"/>
  <c r="AR338" i="22"/>
  <c r="AR311" i="22"/>
  <c r="AR239" i="22"/>
  <c r="AR228" i="22"/>
  <c r="AR453" i="22"/>
  <c r="AR79" i="22"/>
  <c r="AR200" i="22"/>
  <c r="AR10" i="22"/>
  <c r="AR170" i="22"/>
  <c r="AR89" i="22"/>
  <c r="AR74" i="22"/>
  <c r="AR199" i="22"/>
  <c r="AR17" i="22"/>
  <c r="AR472" i="22"/>
  <c r="AR61" i="22"/>
  <c r="AR456" i="22"/>
  <c r="AR492" i="22"/>
  <c r="AR81" i="22"/>
  <c r="AR398" i="22"/>
  <c r="AR100" i="22"/>
  <c r="AR381" i="22"/>
  <c r="AR54" i="22"/>
  <c r="AR308" i="22"/>
  <c r="AR437" i="22"/>
  <c r="AR66" i="22"/>
  <c r="AR413" i="22"/>
  <c r="AR158" i="22"/>
  <c r="AR148" i="22"/>
  <c r="AR20" i="22"/>
  <c r="AR341" i="22"/>
  <c r="AR78" i="22"/>
  <c r="AR94" i="22"/>
  <c r="AR284" i="22"/>
  <c r="AR39" i="22"/>
  <c r="AR295" i="22"/>
  <c r="AR117" i="22"/>
  <c r="AR242" i="22"/>
  <c r="AR15" i="22"/>
  <c r="AR77" i="22"/>
  <c r="AR394" i="22"/>
  <c r="AR469" i="22"/>
  <c r="AR211" i="22"/>
  <c r="AR188" i="22"/>
  <c r="AR358" i="22"/>
  <c r="AR356" i="22"/>
  <c r="AR316" i="22"/>
  <c r="AR114" i="22"/>
  <c r="AR314" i="22"/>
  <c r="AR58" i="22"/>
  <c r="AR181" i="22"/>
  <c r="AR478" i="22"/>
  <c r="AR73" i="22"/>
  <c r="AR264" i="22"/>
  <c r="AR402" i="22"/>
  <c r="AR319" i="22"/>
  <c r="AR412" i="22"/>
  <c r="AR274" i="22"/>
  <c r="AR406" i="22"/>
  <c r="AR422" i="22"/>
  <c r="AR329" i="22"/>
  <c r="AR162" i="22"/>
  <c r="AR286" i="22"/>
  <c r="AR90" i="22"/>
  <c r="AR12" i="22"/>
  <c r="AR84" i="22"/>
  <c r="AR33" i="22"/>
  <c r="AR343" i="22"/>
  <c r="AR38" i="22"/>
  <c r="AR110" i="22"/>
  <c r="AR267" i="22"/>
  <c r="AR312" i="22"/>
  <c r="AR377" i="22"/>
  <c r="AR97" i="22"/>
  <c r="AR104" i="22"/>
  <c r="AR276" i="22"/>
  <c r="AR230" i="22"/>
  <c r="AR37" i="22"/>
  <c r="AR386" i="22"/>
  <c r="AR491" i="22"/>
  <c r="AR27" i="22"/>
  <c r="AR34" i="22"/>
  <c r="AR252" i="22"/>
  <c r="AR83" i="22"/>
  <c r="AR64" i="22"/>
  <c r="AR141" i="22"/>
  <c r="AR395" i="22"/>
  <c r="AR172" i="22"/>
  <c r="AR424" i="22"/>
  <c r="AR105" i="22"/>
  <c r="AR82" i="22"/>
  <c r="AR259" i="22"/>
  <c r="AR372" i="22"/>
  <c r="AR473" i="22"/>
  <c r="AR256" i="22"/>
  <c r="AR25" i="22"/>
  <c r="AR352" i="22"/>
  <c r="AR14" i="22"/>
  <c r="AR26" i="22"/>
  <c r="AR232" i="22"/>
  <c r="AR167" i="22"/>
  <c r="AR29" i="22"/>
  <c r="AR120" i="22"/>
  <c r="AR45" i="22"/>
  <c r="AR240" i="22"/>
  <c r="AR106" i="22"/>
  <c r="AR169" i="22"/>
  <c r="AR486" i="22"/>
  <c r="AR334" i="22"/>
  <c r="AR465" i="22"/>
  <c r="AR183" i="22"/>
  <c r="AR88" i="22"/>
  <c r="AR498" i="22"/>
  <c r="AR280" i="22"/>
  <c r="AR151" i="22"/>
  <c r="AR260" i="22"/>
  <c r="AR310" i="22"/>
  <c r="AR135" i="22"/>
  <c r="AR433" i="22"/>
  <c r="AR138" i="22"/>
  <c r="AR378" i="22"/>
  <c r="AR36" i="22"/>
  <c r="AR247" i="22"/>
  <c r="AR13" i="22"/>
  <c r="H14" i="34" s="1"/>
  <c r="AR480" i="22"/>
  <c r="AR233" i="22"/>
  <c r="AR159" i="22"/>
  <c r="AR303" i="22"/>
  <c r="AR220" i="22"/>
  <c r="AR206" i="22"/>
  <c r="AR457" i="22"/>
  <c r="AR41" i="22"/>
  <c r="AR368" i="22"/>
  <c r="AR55" i="22"/>
  <c r="AR288" i="22"/>
  <c r="AR156" i="22"/>
  <c r="AR62" i="22"/>
  <c r="AR427" i="22"/>
  <c r="AR193" i="22"/>
  <c r="AR140" i="22"/>
  <c r="AR177" i="22"/>
  <c r="AR428" i="22"/>
  <c r="AR455" i="22"/>
  <c r="AR210" i="22"/>
  <c r="AR168" i="22"/>
  <c r="AR63" i="22"/>
  <c r="AR325" i="22"/>
  <c r="AR342" i="22"/>
  <c r="AR56" i="22"/>
  <c r="AR407" i="22"/>
  <c r="AR31" i="22"/>
  <c r="AR19" i="22"/>
  <c r="AR375" i="22"/>
  <c r="AR335" i="22"/>
  <c r="AR184" i="22"/>
  <c r="AR155" i="22"/>
  <c r="AR48" i="22"/>
  <c r="AR448" i="22"/>
  <c r="AR137" i="22"/>
  <c r="AR249" i="22"/>
  <c r="AR370" i="22"/>
  <c r="AR125" i="22"/>
  <c r="AR300" i="22"/>
  <c r="AR309" i="22"/>
  <c r="AR95" i="22"/>
  <c r="AR340" i="22"/>
  <c r="AR454" i="22"/>
  <c r="AR18" i="22"/>
  <c r="AR467" i="22"/>
  <c r="AR40" i="22"/>
  <c r="AR57" i="22"/>
  <c r="AR299" i="22"/>
  <c r="AR479" i="22"/>
  <c r="AR449" i="22"/>
  <c r="AR65" i="22"/>
  <c r="AR75" i="22"/>
  <c r="AR43" i="22"/>
  <c r="AR219" i="22"/>
  <c r="AR11" i="22"/>
  <c r="AR322" i="22"/>
  <c r="AR30" i="22"/>
  <c r="AR307" i="22"/>
  <c r="AR71" i="22"/>
  <c r="AR49" i="22"/>
  <c r="AR435" i="22"/>
  <c r="AR136" i="22"/>
  <c r="AR205" i="22"/>
  <c r="AR46" i="22"/>
  <c r="AR126" i="22"/>
  <c r="AR166" i="22"/>
  <c r="AR369" i="22"/>
  <c r="AR67" i="22"/>
  <c r="AR202" i="22"/>
  <c r="AR351" i="22"/>
  <c r="AR278" i="22"/>
  <c r="AR431" i="22"/>
  <c r="AR42" i="22"/>
  <c r="AR461" i="22"/>
  <c r="AR59" i="22"/>
  <c r="AR236" i="22"/>
  <c r="AR180" i="22"/>
  <c r="AR68" i="22"/>
  <c r="AR442" i="22"/>
  <c r="AR80" i="22"/>
  <c r="AR91" i="22"/>
  <c r="AR489" i="22"/>
  <c r="AR391" i="22"/>
  <c r="AR70" i="22"/>
  <c r="AR44" i="22"/>
  <c r="AR22" i="22"/>
  <c r="AR417" i="22"/>
  <c r="AR76" i="22"/>
  <c r="AR144" i="22"/>
  <c r="AR373" i="22"/>
  <c r="AR289" i="22"/>
  <c r="AR330" i="22"/>
  <c r="AR176" i="22"/>
  <c r="AR419" i="22"/>
  <c r="AR129" i="22"/>
  <c r="AR451" i="22"/>
  <c r="AR163" i="22"/>
  <c r="AR326" i="22"/>
  <c r="AR488" i="22"/>
  <c r="AR35" i="22"/>
  <c r="AR119" i="22"/>
  <c r="AR222" i="22"/>
  <c r="AR490" i="22"/>
  <c r="AR85" i="22"/>
  <c r="AR306" i="22"/>
  <c r="AR482" i="22"/>
  <c r="AR423" i="22"/>
  <c r="AR201" i="22"/>
  <c r="AR60" i="22"/>
  <c r="AR69" i="22"/>
  <c r="L18" i="13"/>
  <c r="L16" i="13"/>
  <c r="M8" i="34"/>
  <c r="R17" i="34"/>
  <c r="AR190" i="22"/>
  <c r="AR387" i="22"/>
  <c r="AR124" i="22"/>
  <c r="AR216" i="22"/>
  <c r="AR332" i="22"/>
  <c r="AR470" i="22"/>
  <c r="AR223" i="22"/>
  <c r="AR204" i="22"/>
  <c r="AR231" i="22"/>
  <c r="AR384" i="22"/>
  <c r="AR152" i="22"/>
  <c r="AR450" i="22"/>
  <c r="AR302" i="22"/>
  <c r="AR420" i="22"/>
  <c r="AR108" i="22"/>
  <c r="AR494" i="22"/>
  <c r="AR462" i="22"/>
  <c r="AR250" i="22"/>
  <c r="AR268" i="22"/>
  <c r="AR229" i="22"/>
  <c r="AR287" i="22"/>
  <c r="AR485" i="22"/>
  <c r="AR102" i="22"/>
  <c r="AR367" i="22"/>
  <c r="AR324" i="22"/>
  <c r="AR339" i="22"/>
  <c r="AR328" i="22"/>
  <c r="AR425" i="22"/>
  <c r="AR192" i="22"/>
  <c r="AR460" i="22"/>
  <c r="AR429" i="22"/>
  <c r="AR298" i="22"/>
  <c r="AR430" i="22"/>
  <c r="AR360" i="22"/>
  <c r="AR285" i="22"/>
  <c r="AR294" i="22"/>
  <c r="AR392" i="22"/>
  <c r="AR203" i="22"/>
  <c r="AR173" i="22"/>
  <c r="AR113" i="22"/>
  <c r="AR403" i="22"/>
  <c r="AR109" i="22"/>
  <c r="AR434" i="22"/>
  <c r="AR225" i="22"/>
  <c r="AR253" i="22"/>
  <c r="AR292" i="22"/>
  <c r="AR218" i="22"/>
  <c r="AR463" i="22"/>
  <c r="AR400" i="22"/>
  <c r="AR185" i="22"/>
  <c r="AR189" i="22"/>
  <c r="AR115" i="22"/>
  <c r="AR175" i="22"/>
  <c r="AR149" i="22"/>
  <c r="AR440" i="22"/>
  <c r="AR476" i="22"/>
  <c r="AR186" i="22"/>
  <c r="AR174" i="22"/>
  <c r="AR279" i="22"/>
  <c r="AR196" i="22"/>
  <c r="AR371" i="22"/>
  <c r="AR142" i="22"/>
  <c r="AR237" i="22"/>
  <c r="AR327" i="22"/>
  <c r="AR269" i="22"/>
  <c r="AR366" i="22"/>
  <c r="AR399" i="22"/>
  <c r="AR496" i="22"/>
  <c r="AR146" i="22"/>
  <c r="AR248" i="22"/>
  <c r="AR191" i="22"/>
  <c r="AR436" i="22"/>
  <c r="AR270" i="22"/>
  <c r="AR145" i="22"/>
  <c r="AR209" i="22"/>
  <c r="AR315" i="22"/>
  <c r="AR305" i="22"/>
  <c r="AR128" i="22"/>
  <c r="AR277" i="22"/>
  <c r="AR345" i="22"/>
  <c r="AR397" i="22"/>
  <c r="AR139" i="22"/>
  <c r="AR452" i="22"/>
  <c r="AR234" i="22"/>
  <c r="AR131" i="22"/>
  <c r="AR262" i="22"/>
  <c r="AR466" i="22"/>
  <c r="AR282" i="22"/>
  <c r="AR221" i="22"/>
  <c r="AR133" i="22"/>
  <c r="AR283" i="22"/>
  <c r="AR244" i="22"/>
  <c r="AR447" i="22"/>
  <c r="AR226" i="22"/>
  <c r="AR350" i="22"/>
  <c r="AR414" i="22"/>
  <c r="AR361" i="22"/>
  <c r="AR481" i="22"/>
  <c r="AR380" i="22"/>
  <c r="AR195" i="22"/>
  <c r="AR293" i="22"/>
  <c r="AR208" i="22"/>
  <c r="AR393" i="22"/>
  <c r="AR111" i="22"/>
  <c r="AR318" i="22"/>
  <c r="AR147" i="22"/>
  <c r="AR272" i="22"/>
  <c r="AR418" i="22"/>
  <c r="AR446" i="22"/>
  <c r="AR263" i="22"/>
  <c r="AR385" i="22"/>
  <c r="AR331" i="22"/>
  <c r="AR297" i="22"/>
  <c r="AR121" i="22"/>
  <c r="AR171" i="22"/>
  <c r="AR213" i="22"/>
  <c r="AR197" i="22"/>
  <c r="AR493" i="22"/>
  <c r="AR255" i="22"/>
  <c r="AR143" i="22"/>
  <c r="AR396" i="22"/>
  <c r="AR246" i="22"/>
  <c r="AR153" i="22"/>
  <c r="AR265" i="22"/>
  <c r="AR313" i="22"/>
  <c r="AR458" i="22"/>
  <c r="AR296" i="22"/>
  <c r="AR411" i="22"/>
  <c r="AR464" i="22"/>
  <c r="AR364" i="22"/>
  <c r="AR291" i="22"/>
  <c r="AR416" i="22"/>
  <c r="AR405" i="22"/>
  <c r="AR347" i="22"/>
  <c r="AR404" i="22"/>
  <c r="AR355" i="22"/>
  <c r="AR103" i="22"/>
  <c r="AR445" i="22"/>
  <c r="AR257" i="22"/>
  <c r="AR317" i="22"/>
  <c r="AR165" i="22"/>
  <c r="AR443" i="22"/>
  <c r="AR160" i="22"/>
  <c r="AR301" i="22"/>
  <c r="AR362" i="22"/>
  <c r="AR441" i="22"/>
  <c r="AR130" i="22"/>
  <c r="AR444" i="22"/>
  <c r="AR258" i="22"/>
  <c r="AR474" i="22"/>
  <c r="AR484" i="22"/>
  <c r="AR243" i="22"/>
  <c r="AR439" i="22"/>
  <c r="AR118" i="22"/>
  <c r="AR179" i="22"/>
  <c r="AR182" i="22"/>
  <c r="AR357" i="22"/>
  <c r="AR365" i="22"/>
  <c r="AR390" i="22"/>
  <c r="AR266" i="22"/>
  <c r="AR227" i="22"/>
  <c r="AR112" i="22"/>
  <c r="AR224" i="22"/>
  <c r="AR354" i="22"/>
  <c r="AR215" i="22"/>
  <c r="AR241" i="22"/>
  <c r="AR495" i="22"/>
  <c r="AR251" i="22"/>
  <c r="AR459" i="22"/>
  <c r="AR99" i="22"/>
  <c r="AR374" i="22"/>
  <c r="AR164" i="22"/>
  <c r="AR273" i="22"/>
  <c r="AR401" i="22"/>
  <c r="AR468" i="22"/>
  <c r="AR376" i="22"/>
  <c r="AR194" i="22"/>
  <c r="AR353" i="22"/>
  <c r="AR337" i="22"/>
  <c r="AR271" i="22"/>
  <c r="AR363" i="22"/>
  <c r="AR127" i="22"/>
  <c r="AR475" i="22"/>
  <c r="AR178" i="22"/>
  <c r="AR214" i="22"/>
  <c r="N2" i="34"/>
  <c r="F1370" i="47" l="1"/>
  <c r="M1370" i="47" s="1"/>
  <c r="F1244" i="47"/>
  <c r="M1244" i="47" s="1"/>
  <c r="O1506" i="47"/>
  <c r="K1119" i="47"/>
  <c r="O1183" i="47"/>
  <c r="F1443" i="47"/>
  <c r="M1443" i="47" s="1"/>
  <c r="F1424" i="47"/>
  <c r="M1424" i="47" s="1"/>
  <c r="F1074" i="47"/>
  <c r="M1074" i="47" s="1"/>
  <c r="F1102" i="47"/>
  <c r="M1102" i="47" s="1"/>
  <c r="F1242" i="47"/>
  <c r="M1242" i="47" s="1"/>
  <c r="F1145" i="47"/>
  <c r="M1145" i="47" s="1"/>
  <c r="I1510" i="47"/>
  <c r="U1510" i="47" s="1"/>
  <c r="F1369" i="47"/>
  <c r="M1369" i="47" s="1"/>
  <c r="O1416" i="47"/>
  <c r="F1028" i="47"/>
  <c r="M1028" i="47" s="1"/>
  <c r="I1091" i="47"/>
  <c r="U1091" i="47" s="1"/>
  <c r="I1388" i="47"/>
  <c r="I1469" i="47"/>
  <c r="H610" i="47"/>
  <c r="O610" i="47" s="1"/>
  <c r="I1179" i="47"/>
  <c r="I1431" i="47"/>
  <c r="U1431" i="47" s="1"/>
  <c r="I1328" i="47"/>
  <c r="U1328" i="47" s="1"/>
  <c r="F1383" i="47"/>
  <c r="M1383" i="47" s="1"/>
  <c r="F1365" i="47"/>
  <c r="M1365" i="47" s="1"/>
  <c r="F1440" i="47"/>
  <c r="M1440" i="47" s="1"/>
  <c r="F1491" i="47"/>
  <c r="M1491" i="47" s="1"/>
  <c r="F1334" i="47"/>
  <c r="M1334" i="47" s="1"/>
  <c r="O1100" i="47"/>
  <c r="U1379" i="47"/>
  <c r="O1275" i="47"/>
  <c r="F1473" i="47"/>
  <c r="M1473" i="47" s="1"/>
  <c r="F1248" i="47"/>
  <c r="M1248" i="47" s="1"/>
  <c r="F1437" i="47"/>
  <c r="M1437" i="47" s="1"/>
  <c r="F1190" i="47"/>
  <c r="M1190" i="47" s="1"/>
  <c r="F1278" i="47"/>
  <c r="M1278" i="47" s="1"/>
  <c r="F1392" i="47"/>
  <c r="M1392" i="47" s="1"/>
  <c r="F1109" i="47"/>
  <c r="M1109" i="47" s="1"/>
  <c r="F1361" i="47"/>
  <c r="M1361" i="47" s="1"/>
  <c r="F1171" i="47"/>
  <c r="M1171" i="47" s="1"/>
  <c r="F1099" i="47"/>
  <c r="M1099" i="47" s="1"/>
  <c r="F1079" i="47"/>
  <c r="M1079" i="47" s="1"/>
  <c r="F1485" i="47"/>
  <c r="M1485" i="47" s="1"/>
  <c r="F1103" i="47"/>
  <c r="M1103" i="47" s="1"/>
  <c r="F1475" i="47"/>
  <c r="M1475" i="47" s="1"/>
  <c r="F1075" i="47"/>
  <c r="M1075" i="47" s="1"/>
  <c r="F1163" i="47"/>
  <c r="M1163" i="47" s="1"/>
  <c r="F1168" i="47"/>
  <c r="M1168" i="47" s="1"/>
  <c r="F1260" i="47"/>
  <c r="M1260" i="47" s="1"/>
  <c r="F1093" i="47"/>
  <c r="M1093" i="47" s="1"/>
  <c r="F1402" i="47"/>
  <c r="M1402" i="47" s="1"/>
  <c r="F1120" i="47"/>
  <c r="M1120" i="47" s="1"/>
  <c r="F1314" i="47"/>
  <c r="M1314" i="47" s="1"/>
  <c r="F1035" i="47"/>
  <c r="M1035" i="47" s="1"/>
  <c r="I1414" i="47"/>
  <c r="U1414" i="47" s="1"/>
  <c r="I1424" i="47"/>
  <c r="U1424" i="47" s="1"/>
  <c r="I1116" i="47"/>
  <c r="I1254" i="47"/>
  <c r="U1254" i="47" s="1"/>
  <c r="I1050" i="47"/>
  <c r="U1050" i="47" s="1"/>
  <c r="I1251" i="47"/>
  <c r="U1251" i="47" s="1"/>
  <c r="I1172" i="47"/>
  <c r="U1172" i="47" s="1"/>
  <c r="I1236" i="47"/>
  <c r="U1236" i="47" s="1"/>
  <c r="I1330" i="47"/>
  <c r="U1330" i="47" s="1"/>
  <c r="I1102" i="47"/>
  <c r="U1102" i="47" s="1"/>
  <c r="I1028" i="47"/>
  <c r="U1028" i="47" s="1"/>
  <c r="I1093" i="47"/>
  <c r="U1093" i="47" s="1"/>
  <c r="I1277" i="47"/>
  <c r="U1277" i="47" s="1"/>
  <c r="I1255" i="47"/>
  <c r="U1255" i="47" s="1"/>
  <c r="I1057" i="47"/>
  <c r="U1057" i="47" s="1"/>
  <c r="U1409" i="47"/>
  <c r="I1335" i="47"/>
  <c r="U1335" i="47" s="1"/>
  <c r="U1396" i="47"/>
  <c r="I1156" i="47"/>
  <c r="U1156" i="47" s="1"/>
  <c r="I1365" i="47"/>
  <c r="U1365" i="47" s="1"/>
  <c r="I1088" i="47"/>
  <c r="U1088" i="47" s="1"/>
  <c r="I1087" i="47"/>
  <c r="U1087" i="47" s="1"/>
  <c r="I1351" i="47"/>
  <c r="U1351" i="47" s="1"/>
  <c r="I1483" i="47"/>
  <c r="U1483" i="47" s="1"/>
  <c r="I1425" i="47"/>
  <c r="U1425" i="47" s="1"/>
  <c r="I1171" i="47"/>
  <c r="U1171" i="47" s="1"/>
  <c r="I1258" i="47"/>
  <c r="U1258" i="47" s="1"/>
  <c r="I1481" i="47"/>
  <c r="U1481" i="47" s="1"/>
  <c r="I1338" i="47"/>
  <c r="U1338" i="47" s="1"/>
  <c r="U1265" i="47"/>
  <c r="I1227" i="47"/>
  <c r="U1227" i="47" s="1"/>
  <c r="I1342" i="47"/>
  <c r="U1342" i="47" s="1"/>
  <c r="I1359" i="47"/>
  <c r="U1359" i="47" s="1"/>
  <c r="I1055" i="47"/>
  <c r="U1055" i="47" s="1"/>
  <c r="I1437" i="47"/>
  <c r="U1437" i="47" s="1"/>
  <c r="I1368" i="47"/>
  <c r="U1368" i="47" s="1"/>
  <c r="I1488" i="47"/>
  <c r="U1488" i="47" s="1"/>
  <c r="I1142" i="47"/>
  <c r="U1142" i="47" s="1"/>
  <c r="I1157" i="47"/>
  <c r="U1157" i="47" s="1"/>
  <c r="I1056" i="47"/>
  <c r="U1056" i="47" s="1"/>
  <c r="I1065" i="47"/>
  <c r="U1065" i="47" s="1"/>
  <c r="I1305" i="47"/>
  <c r="U1305" i="47" s="1"/>
  <c r="I1103" i="47"/>
  <c r="U1103" i="47" s="1"/>
  <c r="I1319" i="47"/>
  <c r="U1319" i="47" s="1"/>
  <c r="I1291" i="47"/>
  <c r="U1291" i="47" s="1"/>
  <c r="O1472" i="47"/>
  <c r="I1030" i="47"/>
  <c r="U1030" i="47" s="1"/>
  <c r="I1080" i="47"/>
  <c r="U1080" i="47" s="1"/>
  <c r="I1078" i="47"/>
  <c r="U1078" i="47" s="1"/>
  <c r="I1090" i="47"/>
  <c r="U1090" i="47" s="1"/>
  <c r="O1084" i="47"/>
  <c r="I1152" i="47"/>
  <c r="U1152" i="47" s="1"/>
  <c r="I1423" i="47"/>
  <c r="U1423" i="47" s="1"/>
  <c r="I1485" i="47"/>
  <c r="U1485" i="47" s="1"/>
  <c r="O1144" i="47"/>
  <c r="I1034" i="47"/>
  <c r="U1034" i="47" s="1"/>
  <c r="I1473" i="47"/>
  <c r="U1473" i="47" s="1"/>
  <c r="I1397" i="47"/>
  <c r="U1397" i="47" s="1"/>
  <c r="I1304" i="47"/>
  <c r="U1304" i="47" s="1"/>
  <c r="I1079" i="47"/>
  <c r="U1079" i="47" s="1"/>
  <c r="I1402" i="47"/>
  <c r="U1402" i="47" s="1"/>
  <c r="I1218" i="47"/>
  <c r="U1218" i="47" s="1"/>
  <c r="I1216" i="47"/>
  <c r="U1216" i="47" s="1"/>
  <c r="I1428" i="47"/>
  <c r="U1428" i="47" s="1"/>
  <c r="I1047" i="47"/>
  <c r="U1047" i="47" s="1"/>
  <c r="I1054" i="47"/>
  <c r="U1054" i="47" s="1"/>
  <c r="I1043" i="47"/>
  <c r="U1043" i="47" s="1"/>
  <c r="O1039" i="47"/>
  <c r="F1148" i="47"/>
  <c r="M1148" i="47" s="1"/>
  <c r="F1277" i="47"/>
  <c r="M1277" i="47" s="1"/>
  <c r="F1428" i="47"/>
  <c r="M1428" i="47" s="1"/>
  <c r="F1479" i="47"/>
  <c r="M1479" i="47" s="1"/>
  <c r="F1083" i="47"/>
  <c r="M1083" i="47" s="1"/>
  <c r="F1066" i="47"/>
  <c r="M1066" i="47" s="1"/>
  <c r="F1259" i="47"/>
  <c r="M1259" i="47" s="1"/>
  <c r="F1157" i="47"/>
  <c r="M1157" i="47" s="1"/>
  <c r="F1381" i="47"/>
  <c r="M1381" i="47" s="1"/>
  <c r="F1488" i="47"/>
  <c r="M1488" i="47" s="1"/>
  <c r="F1330" i="47"/>
  <c r="M1330" i="47" s="1"/>
  <c r="F1034" i="47"/>
  <c r="M1034" i="47" s="1"/>
  <c r="F1328" i="47"/>
  <c r="M1328" i="47" s="1"/>
  <c r="F1329" i="47"/>
  <c r="M1329" i="47" s="1"/>
  <c r="F1447" i="47"/>
  <c r="M1447" i="47" s="1"/>
  <c r="F1101" i="47"/>
  <c r="M1101" i="47" s="1"/>
  <c r="F1246" i="47"/>
  <c r="M1246" i="47" s="1"/>
  <c r="F1176" i="47"/>
  <c r="M1176" i="47" s="1"/>
  <c r="F1090" i="47"/>
  <c r="M1090" i="47" s="1"/>
  <c r="F1305" i="47"/>
  <c r="M1305" i="47" s="1"/>
  <c r="F1056" i="47"/>
  <c r="M1056" i="47" s="1"/>
  <c r="F1251" i="47"/>
  <c r="M1251" i="47" s="1"/>
  <c r="F1258" i="47"/>
  <c r="M1258" i="47" s="1"/>
  <c r="F1319" i="47"/>
  <c r="M1319" i="47" s="1"/>
  <c r="F1432" i="47"/>
  <c r="M1432" i="47" s="1"/>
  <c r="F1042" i="47"/>
  <c r="Y495" i="22"/>
  <c r="Z495" i="22" s="1"/>
  <c r="H612" i="47" s="1"/>
  <c r="R612" i="47" s="1"/>
  <c r="U1434" i="47"/>
  <c r="O1340" i="47"/>
  <c r="O1263" i="47"/>
  <c r="O1287" i="47"/>
  <c r="O1194" i="47"/>
  <c r="O1031" i="47"/>
  <c r="U1040" i="47"/>
  <c r="O1298" i="47"/>
  <c r="U1163" i="47"/>
  <c r="U1381" i="47"/>
  <c r="U1179" i="47"/>
  <c r="O1322" i="47"/>
  <c r="U1032" i="47"/>
  <c r="U1378" i="47"/>
  <c r="O1316" i="47"/>
  <c r="O1413" i="47"/>
  <c r="U1125" i="47"/>
  <c r="U1248" i="47"/>
  <c r="O1234" i="47"/>
  <c r="V613" i="47"/>
  <c r="J613" i="47"/>
  <c r="Y613" i="47"/>
  <c r="Z613" i="47"/>
  <c r="L613" i="47"/>
  <c r="AA613" i="47"/>
  <c r="AB613" i="47"/>
  <c r="N613" i="47"/>
  <c r="M613" i="47"/>
  <c r="O613" i="47"/>
  <c r="Q613" i="47"/>
  <c r="S613" i="47"/>
  <c r="X613" i="47"/>
  <c r="R613" i="47"/>
  <c r="P613" i="47"/>
  <c r="U613" i="47"/>
  <c r="O1466" i="47"/>
  <c r="J611" i="47"/>
  <c r="M611" i="47"/>
  <c r="Y611" i="47"/>
  <c r="L611" i="47"/>
  <c r="Z611" i="47"/>
  <c r="S611" i="47"/>
  <c r="X611" i="47"/>
  <c r="R611" i="47"/>
  <c r="V611" i="47"/>
  <c r="Q611" i="47"/>
  <c r="U611" i="47"/>
  <c r="P611" i="47"/>
  <c r="AB611" i="47"/>
  <c r="O611" i="47"/>
  <c r="AA611" i="47"/>
  <c r="N611" i="47"/>
  <c r="U1267" i="47"/>
  <c r="U1205" i="47"/>
  <c r="O1132" i="47"/>
  <c r="O1347" i="47"/>
  <c r="U1272" i="47"/>
  <c r="U1106" i="47"/>
  <c r="U1459" i="47"/>
  <c r="U1067" i="47"/>
  <c r="U1443" i="47"/>
  <c r="U1336" i="47"/>
  <c r="U1282" i="47"/>
  <c r="U1162" i="47"/>
  <c r="U1471" i="47"/>
  <c r="U1140" i="47"/>
  <c r="U1440" i="47"/>
  <c r="U1259" i="47"/>
  <c r="U1383" i="47"/>
  <c r="U1168" i="47"/>
  <c r="U1279" i="47"/>
  <c r="U1404" i="47"/>
  <c r="U1484" i="47"/>
  <c r="U1474" i="47"/>
  <c r="U1197" i="47"/>
  <c r="U1239" i="47"/>
  <c r="U1246" i="47"/>
  <c r="U1314" i="47"/>
  <c r="U1334" i="47"/>
  <c r="U1403" i="47"/>
  <c r="U1262" i="47"/>
  <c r="U1247" i="47"/>
  <c r="U1470" i="47"/>
  <c r="K1367" i="47"/>
  <c r="U1075" i="47"/>
  <c r="U1260" i="47"/>
  <c r="U1223" i="47"/>
  <c r="U1303" i="47"/>
  <c r="U1121" i="47"/>
  <c r="U1482" i="47"/>
  <c r="U1289" i="47"/>
  <c r="K1511" i="47"/>
  <c r="U1475" i="47"/>
  <c r="U1120" i="47"/>
  <c r="U1052" i="47"/>
  <c r="U1252" i="47"/>
  <c r="U1127" i="47"/>
  <c r="U1237" i="47"/>
  <c r="O1377" i="47"/>
  <c r="U1146" i="47"/>
  <c r="U1096" i="47"/>
  <c r="U1058" i="47"/>
  <c r="U1145" i="47"/>
  <c r="U1086" i="47"/>
  <c r="U1283" i="47"/>
  <c r="U1388" i="47"/>
  <c r="U1487" i="47"/>
  <c r="U1116" i="47"/>
  <c r="U1337" i="47"/>
  <c r="U1491" i="47"/>
  <c r="U1361" i="47"/>
  <c r="U1447" i="47"/>
  <c r="U1286" i="47"/>
  <c r="U1128" i="47"/>
  <c r="U1071" i="47"/>
  <c r="U1302" i="47"/>
  <c r="U1469" i="47"/>
  <c r="U1060" i="47"/>
  <c r="U1189" i="47"/>
  <c r="U1190" i="47"/>
  <c r="U1101" i="47"/>
  <c r="U1350" i="47"/>
  <c r="U1073" i="47"/>
  <c r="U1148" i="47"/>
  <c r="U1441" i="47"/>
  <c r="U1209" i="47"/>
  <c r="U1369" i="47"/>
  <c r="U1130" i="47"/>
  <c r="U1479" i="47"/>
  <c r="U1244" i="47"/>
  <c r="U1066" i="47"/>
  <c r="U1159" i="47"/>
  <c r="U1427" i="47"/>
  <c r="U1415" i="47"/>
  <c r="U1432" i="47"/>
  <c r="U1450" i="47"/>
  <c r="U1098" i="47"/>
  <c r="U1097" i="47"/>
  <c r="U1297" i="47"/>
  <c r="U1490" i="47"/>
  <c r="U1094" i="47"/>
  <c r="U1392" i="47"/>
  <c r="U1215" i="47"/>
  <c r="U1109" i="47"/>
  <c r="U1135" i="47"/>
  <c r="U1027" i="47"/>
  <c r="U1278" i="47"/>
  <c r="U1104" i="47"/>
  <c r="U1105" i="47"/>
  <c r="U1492" i="47"/>
  <c r="U1426" i="47"/>
  <c r="U1370" i="47"/>
  <c r="U1417" i="47"/>
  <c r="U1249" i="47"/>
  <c r="U1274" i="47"/>
  <c r="U1333" i="47"/>
  <c r="U1137" i="47"/>
  <c r="U1320" i="47"/>
  <c r="U1242" i="47"/>
  <c r="U1462" i="47"/>
  <c r="U1191" i="47"/>
  <c r="U1176" i="47"/>
  <c r="U1435" i="47"/>
  <c r="U1074" i="47"/>
  <c r="U1408" i="47"/>
  <c r="U1329" i="47"/>
  <c r="U1083" i="47"/>
  <c r="U1416" i="47"/>
  <c r="U1438" i="47"/>
  <c r="U1230" i="47"/>
  <c r="U1046" i="47"/>
  <c r="U1454" i="47"/>
  <c r="U1288" i="47"/>
  <c r="U1035" i="47"/>
  <c r="U1448" i="47"/>
  <c r="Y116" i="22"/>
  <c r="Z116" i="22" s="1"/>
  <c r="I1154" i="47"/>
  <c r="U1154" i="47" s="1"/>
  <c r="Y415" i="22"/>
  <c r="Z415" i="22" s="1"/>
  <c r="I1174" i="47"/>
  <c r="U1174" i="47" s="1"/>
  <c r="Y200" i="22"/>
  <c r="Z200" i="22" s="1"/>
  <c r="I1354" i="47"/>
  <c r="U1354" i="47" s="1"/>
  <c r="Y471" i="22"/>
  <c r="Z471" i="22" s="1"/>
  <c r="H588" i="47" s="1"/>
  <c r="I1225" i="47"/>
  <c r="U1225" i="47" s="1"/>
  <c r="Y75" i="22"/>
  <c r="Z75" i="22" s="1"/>
  <c r="I1498" i="47"/>
  <c r="U1498" i="47" s="1"/>
  <c r="Y60" i="22"/>
  <c r="Z60" i="22" s="1"/>
  <c r="I1077" i="47"/>
  <c r="U1077" i="47" s="1"/>
  <c r="Y490" i="22"/>
  <c r="Z490" i="22" s="1"/>
  <c r="I1169" i="47"/>
  <c r="U1169" i="47" s="1"/>
  <c r="Y163" i="22"/>
  <c r="Z163" i="22" s="1"/>
  <c r="I1188" i="47"/>
  <c r="U1188" i="47" s="1"/>
  <c r="Y289" i="22"/>
  <c r="Z289" i="22" s="1"/>
  <c r="I1063" i="47"/>
  <c r="U1063" i="47" s="1"/>
  <c r="Y13" i="22"/>
  <c r="Z13" i="22" s="1"/>
  <c r="I1512" i="47"/>
  <c r="U1512" i="47" s="1"/>
  <c r="Y65" i="22"/>
  <c r="Z65" i="22" s="1"/>
  <c r="I1138" i="47"/>
  <c r="U1138" i="47" s="1"/>
  <c r="Y288" i="22"/>
  <c r="Z288" i="22" s="1"/>
  <c r="H434" i="47" s="1"/>
  <c r="I1345" i="47"/>
  <c r="U1345" i="47" s="1"/>
  <c r="Y369" i="22"/>
  <c r="Z369" i="22" s="1"/>
  <c r="I1115" i="47"/>
  <c r="U1115" i="47" s="1"/>
  <c r="Y449" i="22"/>
  <c r="Z449" i="22" s="1"/>
  <c r="I1263" i="47"/>
  <c r="U1263" i="47" s="1"/>
  <c r="Y18" i="22"/>
  <c r="Z18" i="22" s="1"/>
  <c r="I1290" i="47"/>
  <c r="U1290" i="47" s="1"/>
  <c r="Y125" i="22"/>
  <c r="Z125" i="22" s="1"/>
  <c r="I1315" i="47"/>
  <c r="U1315" i="47" s="1"/>
  <c r="Y155" i="22"/>
  <c r="Z155" i="22" s="1"/>
  <c r="I1348" i="47"/>
  <c r="U1348" i="47" s="1"/>
  <c r="Y63" i="22"/>
  <c r="Z63" i="22" s="1"/>
  <c r="I1256" i="47"/>
  <c r="U1256" i="47" s="1"/>
  <c r="Y140" i="22"/>
  <c r="Z140" i="22" s="1"/>
  <c r="I1229" i="47"/>
  <c r="U1229" i="47" s="1"/>
  <c r="Y55" i="22"/>
  <c r="Z55" i="22" s="1"/>
  <c r="I1253" i="47"/>
  <c r="U1253" i="47" s="1"/>
  <c r="Y303" i="22"/>
  <c r="Z303" i="22" s="1"/>
  <c r="I1173" i="47"/>
  <c r="U1173" i="47" s="1"/>
  <c r="Y260" i="22"/>
  <c r="Z260" i="22" s="1"/>
  <c r="I1224" i="47"/>
  <c r="U1224" i="47" s="1"/>
  <c r="Y465" i="22"/>
  <c r="Z465" i="22" s="1"/>
  <c r="I1275" i="47"/>
  <c r="U1275" i="47" s="1"/>
  <c r="Y45" i="22"/>
  <c r="Z45" i="22" s="1"/>
  <c r="I1429" i="47"/>
  <c r="U1429" i="47" s="1"/>
  <c r="Y14" i="22"/>
  <c r="Z14" i="22" s="1"/>
  <c r="I1444" i="47"/>
  <c r="U1444" i="47" s="1"/>
  <c r="Y64" i="22"/>
  <c r="Z64" i="22" s="1"/>
  <c r="I1285" i="47"/>
  <c r="U1285" i="47" s="1"/>
  <c r="Y386" i="22"/>
  <c r="Z386" i="22" s="1"/>
  <c r="H503" i="47" s="1"/>
  <c r="I1276" i="47"/>
  <c r="U1276" i="47" s="1"/>
  <c r="Y377" i="22"/>
  <c r="Z377" i="22" s="1"/>
  <c r="H494" i="47" s="1"/>
  <c r="I1203" i="47"/>
  <c r="U1203" i="47" s="1"/>
  <c r="Y33" i="22"/>
  <c r="Z33" i="22" s="1"/>
  <c r="I1489" i="47"/>
  <c r="U1489" i="47" s="1"/>
  <c r="Y402" i="22"/>
  <c r="Z402" i="22" s="1"/>
  <c r="H519" i="47" s="1"/>
  <c r="I1307" i="47"/>
  <c r="U1307" i="47" s="1"/>
  <c r="Y314" i="22"/>
  <c r="Z314" i="22" s="1"/>
  <c r="H431" i="47" s="1"/>
  <c r="I1082" i="47"/>
  <c r="U1082" i="47" s="1"/>
  <c r="Y211" i="22"/>
  <c r="Z211" i="22" s="1"/>
  <c r="I1433" i="47"/>
  <c r="U1433" i="47" s="1"/>
  <c r="Y158" i="22"/>
  <c r="Z158" i="22" s="1"/>
  <c r="I1389" i="47"/>
  <c r="U1389" i="47" s="1"/>
  <c r="Y381" i="22"/>
  <c r="Z381" i="22" s="1"/>
  <c r="H509" i="47" s="1"/>
  <c r="I1357" i="47"/>
  <c r="U1357" i="47" s="1"/>
  <c r="Y61" i="22"/>
  <c r="Z61" i="22" s="1"/>
  <c r="I1072" i="47"/>
  <c r="U1072" i="47" s="1"/>
  <c r="Y239" i="22"/>
  <c r="Z239" i="22" s="1"/>
  <c r="I1207" i="47"/>
  <c r="U1207" i="47" s="1"/>
  <c r="Y53" i="22"/>
  <c r="Z53" i="22" s="1"/>
  <c r="I1221" i="47"/>
  <c r="U1221" i="47" s="1"/>
  <c r="Y409" i="22"/>
  <c r="Z409" i="22" s="1"/>
  <c r="H526" i="47" s="1"/>
  <c r="I1164" i="47"/>
  <c r="U1164" i="47" s="1"/>
  <c r="Y31" i="22"/>
  <c r="Z31" i="22" s="1"/>
  <c r="I1390" i="47"/>
  <c r="U1390" i="47" s="1"/>
  <c r="Y219" i="22"/>
  <c r="Z219" i="22" s="1"/>
  <c r="I1238" i="47"/>
  <c r="U1238" i="47" s="1"/>
  <c r="Y170" i="22"/>
  <c r="Z170" i="22" s="1"/>
  <c r="I1467" i="47"/>
  <c r="U1467" i="47" s="1"/>
  <c r="Y36" i="22"/>
  <c r="Z36" i="22" s="1"/>
  <c r="I1327" i="47"/>
  <c r="U1327" i="47" s="1"/>
  <c r="Y438" i="22"/>
  <c r="Z438" i="22" s="1"/>
  <c r="I1038" i="47"/>
  <c r="U1038" i="47" s="1"/>
  <c r="Y217" i="22"/>
  <c r="Z217" i="22" s="1"/>
  <c r="I1204" i="47"/>
  <c r="U1204" i="47" s="1"/>
  <c r="Y388" i="22"/>
  <c r="Z388" i="22" s="1"/>
  <c r="H505" i="47" s="1"/>
  <c r="I1418" i="47"/>
  <c r="U1418" i="47" s="1"/>
  <c r="Y86" i="22"/>
  <c r="Z86" i="22" s="1"/>
  <c r="I1241" i="47"/>
  <c r="U1241" i="47" s="1"/>
  <c r="Y97" i="22"/>
  <c r="Z97" i="22" s="1"/>
  <c r="I1206" i="47"/>
  <c r="U1206" i="47" s="1"/>
  <c r="Y188" i="22"/>
  <c r="Z188" i="22" s="1"/>
  <c r="I1123" i="47"/>
  <c r="U1123" i="47" s="1"/>
  <c r="Y54" i="22"/>
  <c r="Z54" i="22" s="1"/>
  <c r="I1111" i="47"/>
  <c r="U1111" i="47" s="1"/>
  <c r="Y286" i="22"/>
  <c r="Z286" i="22" s="1"/>
  <c r="I1132" i="47"/>
  <c r="U1132" i="47" s="1"/>
  <c r="Y150" i="22"/>
  <c r="Z150" i="22" s="1"/>
  <c r="I1340" i="47"/>
  <c r="U1340" i="47" s="1"/>
  <c r="Y435" i="22"/>
  <c r="Z435" i="22" s="1"/>
  <c r="H563" i="47" s="1"/>
  <c r="I1234" i="47"/>
  <c r="U1234" i="47" s="1"/>
  <c r="Y68" i="22"/>
  <c r="Z68" i="22" s="1"/>
  <c r="I1456" i="47"/>
  <c r="U1456" i="47" s="1"/>
  <c r="Y431" i="22"/>
  <c r="Z431" i="22" s="1"/>
  <c r="H548" i="47" s="1"/>
  <c r="I1364" i="47"/>
  <c r="U1364" i="47" s="1"/>
  <c r="Y166" i="22"/>
  <c r="Z166" i="22" s="1"/>
  <c r="I1031" i="47"/>
  <c r="U1031" i="47" s="1"/>
  <c r="Y49" i="22"/>
  <c r="Z49" i="22" s="1"/>
  <c r="I1407" i="47"/>
  <c r="U1407" i="47" s="1"/>
  <c r="Y304" i="22"/>
  <c r="Z304" i="22" s="1"/>
  <c r="H421" i="47" s="1"/>
  <c r="I1287" i="47"/>
  <c r="U1287" i="47" s="1"/>
  <c r="Y80" i="22"/>
  <c r="Z80" i="22" s="1"/>
  <c r="I1344" i="47"/>
  <c r="U1344" i="47" s="1"/>
  <c r="Y407" i="22"/>
  <c r="Z407" i="22" s="1"/>
  <c r="H533" i="47" s="1"/>
  <c r="I1372" i="47"/>
  <c r="U1372" i="47" s="1"/>
  <c r="Y408" i="22"/>
  <c r="Z408" i="22" s="1"/>
  <c r="H525" i="47" s="1"/>
  <c r="I1391" i="47"/>
  <c r="U1391" i="47" s="1"/>
  <c r="Y201" i="22"/>
  <c r="Z201" i="22" s="1"/>
  <c r="I1126" i="47"/>
  <c r="U1126" i="47" s="1"/>
  <c r="Y222" i="22"/>
  <c r="Z222" i="22" s="1"/>
  <c r="I1296" i="47"/>
  <c r="U1296" i="47" s="1"/>
  <c r="Y451" i="22"/>
  <c r="Z451" i="22" s="1"/>
  <c r="H568" i="47" s="1"/>
  <c r="I1155" i="47"/>
  <c r="U1155" i="47" s="1"/>
  <c r="Y373" i="22"/>
  <c r="Z373" i="22" s="1"/>
  <c r="H501" i="47" s="1"/>
  <c r="I1042" i="47"/>
  <c r="U1042" i="47" s="1"/>
  <c r="Y183" i="22"/>
  <c r="Z183" i="22" s="1"/>
  <c r="I1468" i="47"/>
  <c r="U1468" i="47" s="1"/>
  <c r="Y479" i="22"/>
  <c r="Z479" i="22" s="1"/>
  <c r="H598" i="47" s="1"/>
  <c r="I1273" i="47"/>
  <c r="U1273" i="47" s="1"/>
  <c r="Y454" i="22"/>
  <c r="Z454" i="22" s="1"/>
  <c r="H571" i="47" s="1"/>
  <c r="I1419" i="47"/>
  <c r="U1419" i="47" s="1"/>
  <c r="Y370" i="22"/>
  <c r="Z370" i="22" s="1"/>
  <c r="H487" i="47" s="1"/>
  <c r="I1026" i="47"/>
  <c r="U1026" i="47" s="1"/>
  <c r="Y184" i="22"/>
  <c r="Z184" i="22" s="1"/>
  <c r="I1220" i="47"/>
  <c r="U1220" i="47" s="1"/>
  <c r="Y168" i="22"/>
  <c r="Z168" i="22" s="1"/>
  <c r="I1309" i="47"/>
  <c r="U1309" i="47" s="1"/>
  <c r="Y193" i="22"/>
  <c r="Z193" i="22" s="1"/>
  <c r="I1186" i="47"/>
  <c r="U1186" i="47" s="1"/>
  <c r="Y368" i="22"/>
  <c r="Z368" i="22" s="1"/>
  <c r="H497" i="47" s="1"/>
  <c r="I1037" i="47"/>
  <c r="U1037" i="47" s="1"/>
  <c r="Y159" i="22"/>
  <c r="Z159" i="22" s="1"/>
  <c r="I1455" i="47"/>
  <c r="U1455" i="47" s="1"/>
  <c r="Y151" i="22"/>
  <c r="Z151" i="22" s="1"/>
  <c r="I1376" i="47"/>
  <c r="U1376" i="47" s="1"/>
  <c r="Y334" i="22"/>
  <c r="Z334" i="22" s="1"/>
  <c r="H451" i="47" s="1"/>
  <c r="I1051" i="47"/>
  <c r="U1051" i="47" s="1"/>
  <c r="Y120" i="22"/>
  <c r="Z120" i="22" s="1"/>
  <c r="I1360" i="47"/>
  <c r="U1360" i="47" s="1"/>
  <c r="Y352" i="22"/>
  <c r="Z352" i="22" s="1"/>
  <c r="H469" i="47" s="1"/>
  <c r="I1494" i="47"/>
  <c r="U1494" i="47" s="1"/>
  <c r="Y105" i="22"/>
  <c r="Z105" i="22" s="1"/>
  <c r="I1380" i="47"/>
  <c r="U1380" i="47" s="1"/>
  <c r="Y83" i="22"/>
  <c r="Z83" i="22" s="1"/>
  <c r="I1114" i="47"/>
  <c r="U1114" i="47" s="1"/>
  <c r="Y37" i="22"/>
  <c r="Z37" i="22" s="1"/>
  <c r="I1245" i="47"/>
  <c r="U1245" i="47" s="1"/>
  <c r="Y312" i="22"/>
  <c r="Z312" i="22" s="1"/>
  <c r="H429" i="47" s="1"/>
  <c r="I1374" i="47"/>
  <c r="U1374" i="47" s="1"/>
  <c r="Y84" i="22"/>
  <c r="Z84" i="22" s="1"/>
  <c r="I1500" i="47"/>
  <c r="U1500" i="47" s="1"/>
  <c r="Y422" i="22"/>
  <c r="Z422" i="22" s="1"/>
  <c r="H539" i="47" s="1"/>
  <c r="I1184" i="47"/>
  <c r="U1184" i="47" s="1"/>
  <c r="Y264" i="22"/>
  <c r="Z264" i="22" s="1"/>
  <c r="I1266" i="47"/>
  <c r="U1266" i="47" s="1"/>
  <c r="Y114" i="22"/>
  <c r="Z114" i="22" s="1"/>
  <c r="I1326" i="47"/>
  <c r="U1326" i="47" s="1"/>
  <c r="Y469" i="22"/>
  <c r="Z469" i="22" s="1"/>
  <c r="H586" i="47" s="1"/>
  <c r="I1029" i="47"/>
  <c r="U1029" i="47" s="1"/>
  <c r="Y413" i="22"/>
  <c r="Z413" i="22" s="1"/>
  <c r="H530" i="47" s="1"/>
  <c r="I1212" i="47"/>
  <c r="U1212" i="47" s="1"/>
  <c r="Y100" i="22"/>
  <c r="Z100" i="22" s="1"/>
  <c r="I1346" i="47"/>
  <c r="U1346" i="47" s="1"/>
  <c r="Y472" i="22"/>
  <c r="Z472" i="22" s="1"/>
  <c r="H589" i="47" s="1"/>
  <c r="I1118" i="47"/>
  <c r="U1118" i="47" s="1"/>
  <c r="Y311" i="22"/>
  <c r="Z311" i="22" s="1"/>
  <c r="H449" i="47" s="1"/>
  <c r="I1343" i="47"/>
  <c r="U1343" i="47" s="1"/>
  <c r="Y28" i="22"/>
  <c r="Z28" i="22" s="1"/>
  <c r="I1240" i="47"/>
  <c r="U1240" i="47" s="1"/>
  <c r="Y346" i="22"/>
  <c r="Z346" i="22" s="1"/>
  <c r="H463" i="47" s="1"/>
  <c r="I1480" i="47"/>
  <c r="U1480" i="47" s="1"/>
  <c r="Y70" i="22"/>
  <c r="Z70" i="22" s="1"/>
  <c r="I1355" i="47"/>
  <c r="U1355" i="47" s="1"/>
  <c r="Y473" i="22"/>
  <c r="Z473" i="22" s="1"/>
  <c r="H590" i="47" s="1"/>
  <c r="I1231" i="47"/>
  <c r="U1231" i="47" s="1"/>
  <c r="Y259" i="22"/>
  <c r="Z259" i="22" s="1"/>
  <c r="I1119" i="47"/>
  <c r="U1119" i="47" s="1"/>
  <c r="Y39" i="22"/>
  <c r="Z39" i="22" s="1"/>
  <c r="I1292" i="47"/>
  <c r="U1292" i="47" s="1"/>
  <c r="Y379" i="22"/>
  <c r="Z379" i="22" s="1"/>
  <c r="H496" i="47" s="1"/>
  <c r="I1446" i="47"/>
  <c r="U1446" i="47" s="1"/>
  <c r="Y497" i="22"/>
  <c r="Z497" i="22" s="1"/>
  <c r="H614" i="47" s="1"/>
  <c r="I1310" i="47"/>
  <c r="U1310" i="47" s="1"/>
  <c r="Y238" i="22"/>
  <c r="Z238" i="22" s="1"/>
  <c r="I1200" i="47"/>
  <c r="U1200" i="47" s="1"/>
  <c r="Y87" i="22"/>
  <c r="Z87" i="22" s="1"/>
  <c r="I1284" i="47"/>
  <c r="U1284" i="47" s="1"/>
  <c r="Y467" i="22"/>
  <c r="Z467" i="22" s="1"/>
  <c r="I1150" i="47"/>
  <c r="U1150" i="47" s="1"/>
  <c r="Y180" i="22"/>
  <c r="Z180" i="22" s="1"/>
  <c r="I1025" i="47"/>
  <c r="U1025" i="47" s="1"/>
  <c r="Y278" i="22"/>
  <c r="Z278" i="22" s="1"/>
  <c r="I1147" i="47"/>
  <c r="U1147" i="47" s="1"/>
  <c r="Y126" i="22"/>
  <c r="Z126" i="22" s="1"/>
  <c r="I1201" i="47"/>
  <c r="U1201" i="47" s="1"/>
  <c r="Y71" i="22"/>
  <c r="Z71" i="22" s="1"/>
  <c r="I1382" i="47"/>
  <c r="U1382" i="47" s="1"/>
  <c r="Y92" i="22"/>
  <c r="Z92" i="22" s="1"/>
  <c r="I1294" i="47"/>
  <c r="U1294" i="47" s="1"/>
  <c r="Y82" i="22"/>
  <c r="Z82" i="22" s="1"/>
  <c r="I1048" i="47"/>
  <c r="U1048" i="47" s="1"/>
  <c r="Y378" i="22"/>
  <c r="Z378" i="22" s="1"/>
  <c r="H495" i="47" s="1"/>
  <c r="I1422" i="47"/>
  <c r="U1422" i="47" s="1"/>
  <c r="Y442" i="22"/>
  <c r="Z442" i="22" s="1"/>
  <c r="H559" i="47" s="1"/>
  <c r="I1406" i="47"/>
  <c r="U1406" i="47" s="1"/>
  <c r="Y423" i="22"/>
  <c r="Z423" i="22" s="1"/>
  <c r="H540" i="47" s="1"/>
  <c r="I1136" i="47"/>
  <c r="U1136" i="47" s="1"/>
  <c r="Y119" i="22"/>
  <c r="Z119" i="22" s="1"/>
  <c r="I1107" i="47"/>
  <c r="U1107" i="47" s="1"/>
  <c r="Y129" i="22"/>
  <c r="Z129" i="22" s="1"/>
  <c r="I1149" i="47"/>
  <c r="U1149" i="47" s="1"/>
  <c r="Y144" i="22"/>
  <c r="Z144" i="22" s="1"/>
  <c r="I1175" i="47"/>
  <c r="U1175" i="47" s="1"/>
  <c r="Y177" i="22"/>
  <c r="Z177" i="22" s="1"/>
  <c r="I1399" i="47"/>
  <c r="U1399" i="47" s="1"/>
  <c r="Y319" i="22"/>
  <c r="Z319" i="22" s="1"/>
  <c r="H436" i="47" s="1"/>
  <c r="I1281" i="47"/>
  <c r="U1281" i="47" s="1"/>
  <c r="Y228" i="22"/>
  <c r="Z228" i="22" s="1"/>
  <c r="I1069" i="47"/>
  <c r="U1069" i="47" s="1"/>
  <c r="Y198" i="22"/>
  <c r="Z198" i="22" s="1"/>
  <c r="I1377" i="47"/>
  <c r="U1377" i="47" s="1"/>
  <c r="Y11" i="22"/>
  <c r="Z11" i="22" s="1"/>
  <c r="I1502" i="47"/>
  <c r="U1502" i="47" s="1"/>
  <c r="Y299" i="22"/>
  <c r="Z299" i="22" s="1"/>
  <c r="I1141" i="47"/>
  <c r="U1141" i="47" s="1"/>
  <c r="Y340" i="22"/>
  <c r="Z340" i="22" s="1"/>
  <c r="H457" i="47" s="1"/>
  <c r="I1193" i="47"/>
  <c r="U1193" i="47" s="1"/>
  <c r="Y249" i="22"/>
  <c r="Z249" i="22" s="1"/>
  <c r="I1222" i="47"/>
  <c r="U1222" i="47" s="1"/>
  <c r="Y335" i="22"/>
  <c r="Z335" i="22" s="1"/>
  <c r="H452" i="47" s="1"/>
  <c r="I1375" i="47"/>
  <c r="U1375" i="47" s="1"/>
  <c r="Y210" i="22"/>
  <c r="Z210" i="22" s="1"/>
  <c r="I1271" i="47"/>
  <c r="U1271" i="47" s="1"/>
  <c r="Y427" i="22"/>
  <c r="Z427" i="22" s="1"/>
  <c r="I1306" i="47"/>
  <c r="U1306" i="47" s="1"/>
  <c r="Y41" i="22"/>
  <c r="Z41" i="22" s="1"/>
  <c r="I1036" i="47"/>
  <c r="U1036" i="47" s="1"/>
  <c r="Y233" i="22"/>
  <c r="Z233" i="22" s="1"/>
  <c r="I1472" i="47"/>
  <c r="U1472" i="47" s="1"/>
  <c r="Y138" i="22"/>
  <c r="Z138" i="22" s="1"/>
  <c r="I1059" i="47"/>
  <c r="U1059" i="47" s="1"/>
  <c r="Y280" i="22"/>
  <c r="Z280" i="22" s="1"/>
  <c r="I1117" i="47"/>
  <c r="U1117" i="47" s="1"/>
  <c r="Y486" i="22"/>
  <c r="Z486" i="22" s="1"/>
  <c r="H603" i="47" s="1"/>
  <c r="I1081" i="47"/>
  <c r="U1081" i="47" s="1"/>
  <c r="Y29" i="22"/>
  <c r="Z29" i="22" s="1"/>
  <c r="I1461" i="47"/>
  <c r="U1461" i="47" s="1"/>
  <c r="Y25" i="22"/>
  <c r="Z25" i="22" s="1"/>
  <c r="I1514" i="47"/>
  <c r="U1514" i="47" s="1"/>
  <c r="Y424" i="22"/>
  <c r="Z424" i="22" s="1"/>
  <c r="H551" i="47" s="1"/>
  <c r="I1451" i="47"/>
  <c r="U1451" i="47" s="1"/>
  <c r="Y252" i="22"/>
  <c r="Z252" i="22" s="1"/>
  <c r="I1112" i="47"/>
  <c r="U1112" i="47" s="1"/>
  <c r="Y230" i="22"/>
  <c r="Z230" i="22" s="1"/>
  <c r="I1196" i="47"/>
  <c r="U1196" i="47" s="1"/>
  <c r="Y267" i="22"/>
  <c r="Z267" i="22" s="1"/>
  <c r="I1045" i="47"/>
  <c r="U1045" i="47" s="1"/>
  <c r="Y12" i="22"/>
  <c r="Z12" i="22" s="1"/>
  <c r="I1486" i="47"/>
  <c r="U1486" i="47" s="1"/>
  <c r="Y406" i="22"/>
  <c r="Z406" i="22" s="1"/>
  <c r="I1362" i="47"/>
  <c r="U1362" i="47" s="1"/>
  <c r="Y316" i="22"/>
  <c r="Z316" i="22" s="1"/>
  <c r="I1187" i="47"/>
  <c r="U1187" i="47" s="1"/>
  <c r="Y394" i="22"/>
  <c r="Z394" i="22" s="1"/>
  <c r="I1170" i="47"/>
  <c r="U1170" i="47" s="1"/>
  <c r="Y66" i="22"/>
  <c r="Z66" i="22" s="1"/>
  <c r="I1151" i="47"/>
  <c r="U1151" i="47" s="1"/>
  <c r="Y398" i="22"/>
  <c r="Z398" i="22" s="1"/>
  <c r="H515" i="47" s="1"/>
  <c r="I1308" i="47"/>
  <c r="U1308" i="47" s="1"/>
  <c r="Y17" i="22"/>
  <c r="Z17" i="22" s="1"/>
  <c r="I1495" i="47"/>
  <c r="U1495" i="47" s="1"/>
  <c r="Y338" i="22"/>
  <c r="Z338" i="22" s="1"/>
  <c r="I1134" i="47"/>
  <c r="U1134" i="47" s="1"/>
  <c r="Y50" i="22"/>
  <c r="Z50" i="22" s="1"/>
  <c r="I1293" i="47"/>
  <c r="U1293" i="47" s="1"/>
  <c r="Y32" i="22"/>
  <c r="Z32" i="22" s="1"/>
  <c r="I1400" i="47"/>
  <c r="U1400" i="47" s="1"/>
  <c r="Y247" i="22"/>
  <c r="Z247" i="22" s="1"/>
  <c r="I1124" i="47"/>
  <c r="U1124" i="47" s="1"/>
  <c r="Y391" i="22"/>
  <c r="Z391" i="22" s="1"/>
  <c r="H508" i="47" s="1"/>
  <c r="I1217" i="47"/>
  <c r="U1217" i="47" s="1"/>
  <c r="Y295" i="22"/>
  <c r="Z295" i="22" s="1"/>
  <c r="I1311" i="47"/>
  <c r="U1311" i="47" s="1"/>
  <c r="Y91" i="22"/>
  <c r="Z91" i="22" s="1"/>
  <c r="I1504" i="47"/>
  <c r="U1504" i="47" s="1"/>
  <c r="Y24" i="22"/>
  <c r="Z24" i="22" s="1"/>
  <c r="I1452" i="47"/>
  <c r="U1452" i="47" s="1"/>
  <c r="Y101" i="22"/>
  <c r="Z101" i="22" s="1"/>
  <c r="I1185" i="47"/>
  <c r="U1185" i="47" s="1"/>
  <c r="Y93" i="22"/>
  <c r="Z93" i="22" s="1"/>
  <c r="I1089" i="47"/>
  <c r="U1089" i="47" s="1"/>
  <c r="Y320" i="22"/>
  <c r="Z320" i="22" s="1"/>
  <c r="H437" i="47" s="1"/>
  <c r="I1430" i="47"/>
  <c r="U1430" i="47" s="1"/>
  <c r="Y348" i="22"/>
  <c r="Z348" i="22" s="1"/>
  <c r="H478" i="47" s="1"/>
  <c r="I1497" i="47"/>
  <c r="U1497" i="47" s="1"/>
  <c r="Y300" i="22"/>
  <c r="Z300" i="22" s="1"/>
  <c r="I1458" i="47"/>
  <c r="U1458" i="47" s="1"/>
  <c r="Y343" i="22"/>
  <c r="Z343" i="22" s="1"/>
  <c r="I1412" i="47"/>
  <c r="U1412" i="47" s="1"/>
  <c r="Y148" i="22"/>
  <c r="Z148" i="22" s="1"/>
  <c r="I1352" i="47"/>
  <c r="U1352" i="47" s="1"/>
  <c r="Y89" i="22"/>
  <c r="Z89" i="22" s="1"/>
  <c r="I1219" i="47"/>
  <c r="U1219" i="47" s="1"/>
  <c r="Y236" i="22"/>
  <c r="Z236" i="22" s="1"/>
  <c r="I1413" i="47"/>
  <c r="U1413" i="47" s="1"/>
  <c r="Y351" i="22"/>
  <c r="Z351" i="22" s="1"/>
  <c r="H468" i="47" s="1"/>
  <c r="I1131" i="47"/>
  <c r="U1131" i="47" s="1"/>
  <c r="Y46" i="22"/>
  <c r="Z46" i="22" s="1"/>
  <c r="I1194" i="47"/>
  <c r="U1194" i="47" s="1"/>
  <c r="Y307" i="22"/>
  <c r="Z307" i="22" s="1"/>
  <c r="H448" i="47" s="1"/>
  <c r="I1421" i="47"/>
  <c r="U1421" i="47" s="1"/>
  <c r="Y72" i="22"/>
  <c r="Z72" i="22" s="1"/>
  <c r="I1039" i="47"/>
  <c r="U1039" i="47" s="1"/>
  <c r="Y154" i="22"/>
  <c r="Z154" i="22" s="1"/>
  <c r="I1411" i="47"/>
  <c r="U1411" i="47" s="1"/>
  <c r="Y284" i="22"/>
  <c r="Z284" i="22" s="1"/>
  <c r="I1110" i="47"/>
  <c r="U1110" i="47" s="1"/>
  <c r="Y349" i="22"/>
  <c r="Z349" i="22" s="1"/>
  <c r="H479" i="47" s="1"/>
  <c r="I1339" i="47"/>
  <c r="U1339" i="47" s="1"/>
  <c r="Y162" i="22"/>
  <c r="Z162" i="22" s="1"/>
  <c r="I1420" i="47"/>
  <c r="U1420" i="47" s="1"/>
  <c r="Y482" i="22"/>
  <c r="Z482" i="22" s="1"/>
  <c r="H599" i="47" s="1"/>
  <c r="I1436" i="47"/>
  <c r="U1436" i="47" s="1"/>
  <c r="Y35" i="22"/>
  <c r="Z35" i="22" s="1"/>
  <c r="I1129" i="47"/>
  <c r="U1129" i="47" s="1"/>
  <c r="Y419" i="22"/>
  <c r="Z419" i="22" s="1"/>
  <c r="H536" i="47" s="1"/>
  <c r="I1264" i="47"/>
  <c r="U1264" i="47" s="1"/>
  <c r="Y76" i="22"/>
  <c r="Z76" i="22" s="1"/>
  <c r="I1493" i="47"/>
  <c r="U1493" i="47" s="1"/>
  <c r="Y48" i="22"/>
  <c r="Z48" i="22" s="1"/>
  <c r="I1353" i="47"/>
  <c r="U1353" i="47" s="1"/>
  <c r="Y220" i="22"/>
  <c r="Z220" i="22" s="1"/>
  <c r="I1261" i="47"/>
  <c r="U1261" i="47" s="1"/>
  <c r="Y491" i="22"/>
  <c r="Z491" i="22" s="1"/>
  <c r="I1405" i="47"/>
  <c r="U1405" i="47" s="1"/>
  <c r="Y456" i="22"/>
  <c r="Z456" i="22" s="1"/>
  <c r="H573" i="47" s="1"/>
  <c r="I1210" i="47"/>
  <c r="U1210" i="47" s="1"/>
  <c r="Y410" i="22"/>
  <c r="Z410" i="22" s="1"/>
  <c r="H527" i="47" s="1"/>
  <c r="I1243" i="47"/>
  <c r="U1243" i="47" s="1"/>
  <c r="Y372" i="22"/>
  <c r="Z372" i="22" s="1"/>
  <c r="H489" i="47" s="1"/>
  <c r="I1349" i="47"/>
  <c r="U1349" i="47" s="1"/>
  <c r="Y359" i="22"/>
  <c r="Z359" i="22" s="1"/>
  <c r="H476" i="47" s="1"/>
  <c r="I1295" i="47"/>
  <c r="U1295" i="47" s="1"/>
  <c r="Y42" i="22"/>
  <c r="Z42" i="22" s="1"/>
  <c r="I1410" i="47"/>
  <c r="U1410" i="47" s="1"/>
  <c r="Y57" i="22"/>
  <c r="Z57" i="22" s="1"/>
  <c r="I1061" i="47"/>
  <c r="U1061" i="47" s="1"/>
  <c r="Y95" i="22"/>
  <c r="Z95" i="22" s="1"/>
  <c r="I1464" i="47"/>
  <c r="U1464" i="47" s="1"/>
  <c r="Y137" i="22"/>
  <c r="Z137" i="22" s="1"/>
  <c r="I1394" i="47"/>
  <c r="U1394" i="47" s="1"/>
  <c r="Y375" i="22"/>
  <c r="Z375" i="22" s="1"/>
  <c r="H492" i="47" s="1"/>
  <c r="I1506" i="47"/>
  <c r="U1506" i="47" s="1"/>
  <c r="Y56" i="22"/>
  <c r="Z56" i="22" s="1"/>
  <c r="I1457" i="47"/>
  <c r="U1457" i="47" s="1"/>
  <c r="Y455" i="22"/>
  <c r="Z455" i="22" s="1"/>
  <c r="H572" i="47" s="1"/>
  <c r="I1062" i="47"/>
  <c r="U1062" i="47" s="1"/>
  <c r="Y62" i="22"/>
  <c r="Z62" i="22" s="1"/>
  <c r="I1398" i="47"/>
  <c r="U1398" i="47" s="1"/>
  <c r="Y457" i="22"/>
  <c r="Z457" i="22" s="1"/>
  <c r="H579" i="47" s="1"/>
  <c r="I1312" i="47"/>
  <c r="U1312" i="47" s="1"/>
  <c r="Y480" i="22"/>
  <c r="Z480" i="22" s="1"/>
  <c r="I1476" i="47"/>
  <c r="U1476" i="47" s="1"/>
  <c r="Y433" i="22"/>
  <c r="Z433" i="22" s="1"/>
  <c r="H550" i="47" s="1"/>
  <c r="I1453" i="47"/>
  <c r="U1453" i="47" s="1"/>
  <c r="Y498" i="22"/>
  <c r="Z498" i="22" s="1"/>
  <c r="H615" i="47" s="1"/>
  <c r="I1268" i="47"/>
  <c r="U1268" i="47" s="1"/>
  <c r="Y169" i="22"/>
  <c r="Z169" i="22" s="1"/>
  <c r="I1387" i="47"/>
  <c r="U1387" i="47" s="1"/>
  <c r="Y167" i="22"/>
  <c r="Z167" i="22" s="1"/>
  <c r="I1167" i="47"/>
  <c r="U1167" i="47" s="1"/>
  <c r="Y172" i="22"/>
  <c r="Z172" i="22" s="1"/>
  <c r="I1270" i="47"/>
  <c r="U1270" i="47" s="1"/>
  <c r="Y34" i="22"/>
  <c r="Z34" i="22" s="1"/>
  <c r="I1041" i="47"/>
  <c r="U1041" i="47" s="1"/>
  <c r="Y276" i="22"/>
  <c r="Z276" i="22" s="1"/>
  <c r="I1331" i="47"/>
  <c r="U1331" i="47" s="1"/>
  <c r="Y110" i="22"/>
  <c r="Z110" i="22" s="1"/>
  <c r="I1113" i="47"/>
  <c r="U1113" i="47" s="1"/>
  <c r="Y274" i="22"/>
  <c r="Z274" i="22" s="1"/>
  <c r="I1064" i="47"/>
  <c r="U1064" i="47" s="1"/>
  <c r="Y478" i="22"/>
  <c r="Z478" i="22" s="1"/>
  <c r="I1180" i="47"/>
  <c r="U1180" i="47" s="1"/>
  <c r="Y356" i="22"/>
  <c r="Z356" i="22" s="1"/>
  <c r="H484" i="47" s="1"/>
  <c r="I1463" i="47"/>
  <c r="U1463" i="47" s="1"/>
  <c r="Y77" i="22"/>
  <c r="Z77" i="22" s="1"/>
  <c r="I1507" i="47"/>
  <c r="U1507" i="47" s="1"/>
  <c r="Y341" i="22"/>
  <c r="Z341" i="22" s="1"/>
  <c r="I1084" i="47"/>
  <c r="U1084" i="47" s="1"/>
  <c r="Y437" i="22"/>
  <c r="Z437" i="22" s="1"/>
  <c r="H554" i="47" s="1"/>
  <c r="I1192" i="47"/>
  <c r="U1192" i="47" s="1"/>
  <c r="Y81" i="22"/>
  <c r="Z81" i="22" s="1"/>
  <c r="I1226" i="47"/>
  <c r="U1226" i="47" s="1"/>
  <c r="Y199" i="22"/>
  <c r="Z199" i="22" s="1"/>
  <c r="I1235" i="47"/>
  <c r="U1235" i="47" s="1"/>
  <c r="Y79" i="22"/>
  <c r="Z79" i="22" s="1"/>
  <c r="I1358" i="47"/>
  <c r="U1358" i="47" s="1"/>
  <c r="Y123" i="22"/>
  <c r="Z123" i="22" s="1"/>
  <c r="I1347" i="47"/>
  <c r="U1347" i="47" s="1"/>
  <c r="Y98" i="22"/>
  <c r="Z98" i="22" s="1"/>
  <c r="I1384" i="47"/>
  <c r="U1384" i="47" s="1"/>
  <c r="Y477" i="22"/>
  <c r="Z477" i="22" s="1"/>
  <c r="H594" i="47" s="1"/>
  <c r="I1496" i="47"/>
  <c r="U1496" i="47" s="1"/>
  <c r="Y44" i="22"/>
  <c r="Z44" i="22" s="1"/>
  <c r="I1401" i="47"/>
  <c r="U1401" i="47" s="1"/>
  <c r="Y256" i="22"/>
  <c r="Z256" i="22" s="1"/>
  <c r="I1301" i="47"/>
  <c r="U1301" i="47" s="1"/>
  <c r="Y90" i="22"/>
  <c r="Z90" i="22" s="1"/>
  <c r="I1181" i="47"/>
  <c r="U1181" i="47" s="1"/>
  <c r="Y489" i="22"/>
  <c r="Z489" i="22" s="1"/>
  <c r="I1214" i="47"/>
  <c r="U1214" i="47" s="1"/>
  <c r="Y10" i="22"/>
  <c r="Z10" i="22" s="1"/>
  <c r="I1508" i="47"/>
  <c r="U1508" i="47" s="1"/>
  <c r="Y51" i="22"/>
  <c r="Z51" i="22" s="1"/>
  <c r="I1385" i="47"/>
  <c r="U1385" i="47" s="1"/>
  <c r="Y275" i="22"/>
  <c r="Z275" i="22" s="1"/>
  <c r="I1232" i="47"/>
  <c r="U1232" i="47" s="1"/>
  <c r="Y389" i="22"/>
  <c r="Z389" i="22" s="1"/>
  <c r="H520" i="47" s="1"/>
  <c r="I1053" i="47"/>
  <c r="U1053" i="47" s="1"/>
  <c r="Y132" i="22"/>
  <c r="Z132" i="22" s="1"/>
  <c r="I1466" i="47"/>
  <c r="U1466" i="47" s="1"/>
  <c r="Y23" i="22"/>
  <c r="Z23" i="22" s="1"/>
  <c r="I1509" i="47"/>
  <c r="U1509" i="47" s="1"/>
  <c r="Y310" i="22"/>
  <c r="Z310" i="22" s="1"/>
  <c r="I1356" i="47"/>
  <c r="U1356" i="47" s="1"/>
  <c r="Y58" i="22"/>
  <c r="Z58" i="22" s="1"/>
  <c r="I1341" i="47"/>
  <c r="U1341" i="47" s="1"/>
  <c r="Y487" i="22"/>
  <c r="Z487" i="22" s="1"/>
  <c r="H601" i="47" s="1"/>
  <c r="I1182" i="47"/>
  <c r="U1182" i="47" s="1"/>
  <c r="Y323" i="22"/>
  <c r="Z323" i="22" s="1"/>
  <c r="H461" i="47" s="1"/>
  <c r="I1133" i="47"/>
  <c r="U1133" i="47" s="1"/>
  <c r="Y59" i="22"/>
  <c r="Z59" i="22" s="1"/>
  <c r="I1323" i="47"/>
  <c r="U1323" i="47" s="1"/>
  <c r="Y202" i="22"/>
  <c r="Z202" i="22" s="1"/>
  <c r="I1250" i="47"/>
  <c r="U1250" i="47" s="1"/>
  <c r="Y205" i="22"/>
  <c r="Z205" i="22" s="1"/>
  <c r="I1300" i="47"/>
  <c r="U1300" i="47" s="1"/>
  <c r="Y30" i="22"/>
  <c r="Z30" i="22" s="1"/>
  <c r="I1501" i="47"/>
  <c r="U1501" i="47" s="1"/>
  <c r="Y157" i="22"/>
  <c r="Z157" i="22" s="1"/>
  <c r="I1325" i="47"/>
  <c r="U1325" i="47" s="1"/>
  <c r="Y290" i="22"/>
  <c r="Z290" i="22" s="1"/>
  <c r="I1321" i="47"/>
  <c r="U1321" i="47" s="1"/>
  <c r="Y47" i="22"/>
  <c r="Z47" i="22" s="1"/>
  <c r="I1160" i="47"/>
  <c r="U1160" i="47" s="1"/>
  <c r="Y235" i="22"/>
  <c r="Z235" i="22" s="1"/>
  <c r="I1076" i="47"/>
  <c r="U1076" i="47" s="1"/>
  <c r="Y382" i="22"/>
  <c r="Z382" i="22" s="1"/>
  <c r="H499" i="47" s="1"/>
  <c r="I1122" i="47"/>
  <c r="U1122" i="47" s="1"/>
  <c r="Y306" i="22"/>
  <c r="Z306" i="22" s="1"/>
  <c r="H423" i="47" s="1"/>
  <c r="I1195" i="47"/>
  <c r="U1195" i="47" s="1"/>
  <c r="Y488" i="22"/>
  <c r="Z488" i="22" s="1"/>
  <c r="H602" i="47" s="1"/>
  <c r="I1322" i="47"/>
  <c r="U1322" i="47" s="1"/>
  <c r="Y176" i="22"/>
  <c r="Z176" i="22" s="1"/>
  <c r="I1199" i="47"/>
  <c r="U1199" i="47" s="1"/>
  <c r="Y417" i="22"/>
  <c r="Z417" i="22" s="1"/>
  <c r="H534" i="47" s="1"/>
  <c r="I1503" i="47"/>
  <c r="U1503" i="47" s="1"/>
  <c r="Y325" i="22"/>
  <c r="Z325" i="22" s="1"/>
  <c r="I1257" i="47"/>
  <c r="U1257" i="47" s="1"/>
  <c r="Y240" i="22"/>
  <c r="Z240" i="22" s="1"/>
  <c r="I1363" i="47"/>
  <c r="U1363" i="47" s="1"/>
  <c r="Y141" i="22"/>
  <c r="Z141" i="22" s="1"/>
  <c r="I1316" i="47"/>
  <c r="U1316" i="47" s="1"/>
  <c r="Y78" i="22"/>
  <c r="Z78" i="22" s="1"/>
  <c r="I1161" i="47"/>
  <c r="U1161" i="47" s="1"/>
  <c r="Y161" i="22"/>
  <c r="Z161" i="22" s="1"/>
  <c r="I1366" i="47"/>
  <c r="U1366" i="47" s="1"/>
  <c r="Y40" i="22"/>
  <c r="Z40" i="22" s="1"/>
  <c r="I1144" i="47"/>
  <c r="U1144" i="47" s="1"/>
  <c r="Y309" i="22"/>
  <c r="Z309" i="22" s="1"/>
  <c r="H426" i="47" s="1"/>
  <c r="I1139" i="47"/>
  <c r="U1139" i="47" s="1"/>
  <c r="Y448" i="22"/>
  <c r="Z448" i="22" s="1"/>
  <c r="H565" i="47" s="1"/>
  <c r="I1269" i="47"/>
  <c r="U1269" i="47" s="1"/>
  <c r="Y19" i="22"/>
  <c r="Z19" i="22" s="1"/>
  <c r="I1460" i="47"/>
  <c r="U1460" i="47" s="1"/>
  <c r="Y342" i="22"/>
  <c r="Z342" i="22" s="1"/>
  <c r="I1318" i="47"/>
  <c r="U1318" i="47" s="1"/>
  <c r="Y428" i="22"/>
  <c r="Z428" i="22" s="1"/>
  <c r="H557" i="47" s="1"/>
  <c r="I1299" i="47"/>
  <c r="U1299" i="47" s="1"/>
  <c r="Y156" i="22"/>
  <c r="Z156" i="22" s="1"/>
  <c r="I1449" i="47"/>
  <c r="U1449" i="47" s="1"/>
  <c r="Y206" i="22"/>
  <c r="Z206" i="22" s="1"/>
  <c r="I1208" i="47"/>
  <c r="U1208" i="47" s="1"/>
  <c r="Y135" i="22"/>
  <c r="Z135" i="22" s="1"/>
  <c r="I1233" i="47"/>
  <c r="U1233" i="47" s="1"/>
  <c r="Y88" i="22"/>
  <c r="Z88" i="22" s="1"/>
  <c r="I1183" i="47"/>
  <c r="U1183" i="47" s="1"/>
  <c r="Y106" i="22"/>
  <c r="Z106" i="22" s="1"/>
  <c r="I1367" i="47"/>
  <c r="U1367" i="47" s="1"/>
  <c r="Y232" i="22"/>
  <c r="Z232" i="22" s="1"/>
  <c r="I1085" i="47"/>
  <c r="U1085" i="47" s="1"/>
  <c r="Y395" i="22"/>
  <c r="Z395" i="22" s="1"/>
  <c r="H512" i="47" s="1"/>
  <c r="I1211" i="47"/>
  <c r="U1211" i="47" s="1"/>
  <c r="Y27" i="22"/>
  <c r="Z27" i="22" s="1"/>
  <c r="I1198" i="47"/>
  <c r="U1198" i="47" s="1"/>
  <c r="Y104" i="22"/>
  <c r="Z104" i="22" s="1"/>
  <c r="I1280" i="47"/>
  <c r="U1280" i="47" s="1"/>
  <c r="Y38" i="22"/>
  <c r="Z38" i="22" s="1"/>
  <c r="I1070" i="47"/>
  <c r="U1070" i="47" s="1"/>
  <c r="Y412" i="22"/>
  <c r="Z412" i="22" s="1"/>
  <c r="H537" i="47" s="1"/>
  <c r="I1324" i="47"/>
  <c r="U1324" i="47" s="1"/>
  <c r="Y181" i="22"/>
  <c r="Z181" i="22" s="1"/>
  <c r="I1143" i="47"/>
  <c r="U1143" i="47" s="1"/>
  <c r="Y358" i="22"/>
  <c r="Z358" i="22" s="1"/>
  <c r="H486" i="47" s="1"/>
  <c r="I1465" i="47"/>
  <c r="U1465" i="47" s="1"/>
  <c r="Y15" i="22"/>
  <c r="Z15" i="22" s="1"/>
  <c r="I1511" i="47"/>
  <c r="U1511" i="47" s="1"/>
  <c r="Y20" i="22"/>
  <c r="Z20" i="22" s="1"/>
  <c r="I1386" i="47"/>
  <c r="U1386" i="47" s="1"/>
  <c r="Y308" i="22"/>
  <c r="Z308" i="22" s="1"/>
  <c r="I1178" i="47"/>
  <c r="U1178" i="47" s="1"/>
  <c r="Y492" i="22"/>
  <c r="Z492" i="22" s="1"/>
  <c r="I1371" i="47"/>
  <c r="U1371" i="47" s="1"/>
  <c r="Y74" i="22"/>
  <c r="Z74" i="22" s="1"/>
  <c r="I1228" i="47"/>
  <c r="U1228" i="47" s="1"/>
  <c r="Y453" i="22"/>
  <c r="Z453" i="22" s="1"/>
  <c r="H570" i="47" s="1"/>
  <c r="I1313" i="47"/>
  <c r="U1313" i="47" s="1"/>
  <c r="Y426" i="22"/>
  <c r="Z426" i="22" s="1"/>
  <c r="H543" i="47" s="1"/>
  <c r="I1298" i="47"/>
  <c r="U1298" i="47" s="1"/>
  <c r="Y122" i="22"/>
  <c r="Z122" i="22" s="1"/>
  <c r="I1445" i="47"/>
  <c r="U1445" i="47" s="1"/>
  <c r="Y16" i="22"/>
  <c r="Z16" i="22" s="1"/>
  <c r="I1499" i="47"/>
  <c r="U1499" i="47" s="1"/>
  <c r="Y242" i="22"/>
  <c r="Z242" i="22" s="1"/>
  <c r="I1166" i="47"/>
  <c r="U1166" i="47" s="1"/>
  <c r="Y117" i="22"/>
  <c r="Z117" i="22" s="1"/>
  <c r="I1213" i="47"/>
  <c r="U1213" i="47" s="1"/>
  <c r="Y21" i="22"/>
  <c r="Z21" i="22" s="1"/>
  <c r="I1033" i="47"/>
  <c r="U1033" i="47" s="1"/>
  <c r="Y421" i="22"/>
  <c r="Z421" i="22" s="1"/>
  <c r="H538" i="47" s="1"/>
  <c r="I1068" i="47"/>
  <c r="U1068" i="47" s="1"/>
  <c r="Y134" i="22"/>
  <c r="Z134" i="22" s="1"/>
  <c r="I1317" i="47"/>
  <c r="U1317" i="47" s="1"/>
  <c r="Y107" i="22"/>
  <c r="Z107" i="22" s="1"/>
  <c r="I1158" i="47"/>
  <c r="U1158" i="47" s="1"/>
  <c r="Y261" i="22"/>
  <c r="Z261" i="22" s="1"/>
  <c r="I1108" i="47"/>
  <c r="U1108" i="47" s="1"/>
  <c r="Y383" i="22"/>
  <c r="Z383" i="22" s="1"/>
  <c r="I1044" i="47"/>
  <c r="U1044" i="47" s="1"/>
  <c r="Y52" i="22"/>
  <c r="Z52" i="22" s="1"/>
  <c r="I1478" i="47"/>
  <c r="U1478" i="47" s="1"/>
  <c r="Y26" i="22"/>
  <c r="Z26" i="22" s="1"/>
  <c r="I1393" i="47"/>
  <c r="U1393" i="47" s="1"/>
  <c r="Y461" i="22"/>
  <c r="Z461" i="22" s="1"/>
  <c r="I1100" i="47"/>
  <c r="U1100" i="47" s="1"/>
  <c r="Y67" i="22"/>
  <c r="Z67" i="22" s="1"/>
  <c r="I1177" i="47"/>
  <c r="U1177" i="47" s="1"/>
  <c r="Y136" i="22"/>
  <c r="Z136" i="22" s="1"/>
  <c r="I1332" i="47"/>
  <c r="U1332" i="47" s="1"/>
  <c r="Y322" i="22"/>
  <c r="Z322" i="22" s="1"/>
  <c r="H460" i="47" s="1"/>
  <c r="I1505" i="47"/>
  <c r="U1505" i="47" s="1"/>
  <c r="Y254" i="22"/>
  <c r="Z254" i="22" s="1"/>
  <c r="I1395" i="47"/>
  <c r="U1395" i="47" s="1"/>
  <c r="Y187" i="22"/>
  <c r="Z187" i="22" s="1"/>
  <c r="I1153" i="47"/>
  <c r="U1153" i="47" s="1"/>
  <c r="Y43" i="22"/>
  <c r="Z43" i="22" s="1"/>
  <c r="I1439" i="47"/>
  <c r="U1439" i="47" s="1"/>
  <c r="Y212" i="22"/>
  <c r="Z212" i="22" s="1"/>
  <c r="I1202" i="47"/>
  <c r="U1202" i="47" s="1"/>
  <c r="Y94" i="22"/>
  <c r="Z94" i="22" s="1"/>
  <c r="I1477" i="47"/>
  <c r="U1477" i="47" s="1"/>
  <c r="Y69" i="22"/>
  <c r="Z69" i="22" s="1"/>
  <c r="I1049" i="47"/>
  <c r="U1049" i="47" s="1"/>
  <c r="Y85" i="22"/>
  <c r="Z85" i="22" s="1"/>
  <c r="I1442" i="47"/>
  <c r="U1442" i="47" s="1"/>
  <c r="Y326" i="22"/>
  <c r="Z326" i="22" s="1"/>
  <c r="H443" i="47" s="1"/>
  <c r="I1373" i="47"/>
  <c r="U1373" i="47" s="1"/>
  <c r="Y330" i="22"/>
  <c r="Z330" i="22" s="1"/>
  <c r="I1165" i="47"/>
  <c r="U1165" i="47" s="1"/>
  <c r="Y22" i="22"/>
  <c r="Z22" i="22" s="1"/>
  <c r="I1513" i="47"/>
  <c r="U1513" i="47" s="1"/>
  <c r="Y73" i="22"/>
  <c r="Z73" i="22" s="1"/>
  <c r="K1146" i="47"/>
  <c r="K1382" i="47"/>
  <c r="O1421" i="47"/>
  <c r="K1224" i="47"/>
  <c r="O1360" i="47"/>
  <c r="O1038" i="47"/>
  <c r="K1221" i="47"/>
  <c r="K1343" i="47"/>
  <c r="O1217" i="47"/>
  <c r="O1115" i="47"/>
  <c r="K1401" i="47"/>
  <c r="O1464" i="47"/>
  <c r="O1164" i="47"/>
  <c r="O1256" i="47"/>
  <c r="O1465" i="47"/>
  <c r="O1169" i="47"/>
  <c r="O1463" i="47"/>
  <c r="O1147" i="47"/>
  <c r="O1166" i="47"/>
  <c r="O1214" i="47"/>
  <c r="O1502" i="47"/>
  <c r="O1187" i="47"/>
  <c r="K1285" i="47"/>
  <c r="O1478" i="47"/>
  <c r="O1184" i="47"/>
  <c r="O1181" i="47"/>
  <c r="K1436" i="47"/>
  <c r="O1504" i="47"/>
  <c r="K1177" i="47"/>
  <c r="O1358" i="47"/>
  <c r="O1268" i="47"/>
  <c r="K1061" i="47"/>
  <c r="K1089" i="47"/>
  <c r="O1195" i="47"/>
  <c r="K1505" i="47"/>
  <c r="O1477" i="47"/>
  <c r="K1449" i="47"/>
  <c r="K1332" i="47"/>
  <c r="O1210" i="47"/>
  <c r="O1042" i="47"/>
  <c r="O1082" i="47"/>
  <c r="O1300" i="47"/>
  <c r="O1357" i="47"/>
  <c r="O1129" i="47"/>
  <c r="O1124" i="47"/>
  <c r="O1309" i="47"/>
  <c r="O1051" i="47"/>
  <c r="O1311" i="47"/>
  <c r="O1317" i="47"/>
  <c r="O1077" i="47"/>
  <c r="O1362" i="47"/>
  <c r="O1458" i="47"/>
  <c r="O1312" i="47"/>
  <c r="O1346" i="47"/>
  <c r="K1117" i="47"/>
  <c r="O1068" i="47"/>
  <c r="K1202" i="47"/>
  <c r="O1348" i="47"/>
  <c r="O1269" i="47"/>
  <c r="O1118" i="47"/>
  <c r="O1143" i="47"/>
  <c r="O1433" i="47"/>
  <c r="O1167" i="47"/>
  <c r="O1141" i="47"/>
  <c r="O1041" i="47"/>
  <c r="O1326" i="47"/>
  <c r="K1321" i="47"/>
  <c r="O1149" i="47"/>
  <c r="O1139" i="47"/>
  <c r="O1201" i="47"/>
  <c r="O1198" i="47"/>
  <c r="O1174" i="47"/>
  <c r="O1407" i="47"/>
  <c r="K1241" i="47"/>
  <c r="O1390" i="47"/>
  <c r="O1331" i="47"/>
  <c r="O1188" i="47"/>
  <c r="O1354" i="47"/>
  <c r="O1233" i="47"/>
  <c r="O1498" i="47"/>
  <c r="O1257" i="47"/>
  <c r="O1507" i="47"/>
  <c r="K1398" i="47"/>
  <c r="K1154" i="47"/>
  <c r="O1307" i="47"/>
  <c r="O1373" i="47"/>
  <c r="O1508" i="47"/>
  <c r="O1126" i="47"/>
  <c r="O1293" i="47"/>
  <c r="O1180" i="47"/>
  <c r="O1229" i="47"/>
  <c r="O1253" i="47"/>
  <c r="O1136" i="47"/>
  <c r="K1375" i="47"/>
  <c r="O1085" i="47"/>
  <c r="O1355" i="47"/>
  <c r="O1363" i="47"/>
  <c r="O1146" i="47"/>
  <c r="O1036" i="47"/>
  <c r="O1385" i="47"/>
  <c r="O1206" i="47"/>
  <c r="K1153" i="47"/>
  <c r="O1072" i="47"/>
  <c r="O1150" i="47"/>
  <c r="O1306" i="47"/>
  <c r="O1467" i="47"/>
  <c r="O1064" i="47"/>
  <c r="O1212" i="47"/>
  <c r="O1493" i="47"/>
  <c r="O1175" i="47"/>
  <c r="O1151" i="47"/>
  <c r="O1503" i="47"/>
  <c r="O1420" i="47"/>
  <c r="O1199" i="47"/>
  <c r="O1496" i="47"/>
  <c r="K1444" i="47"/>
  <c r="O1327" i="47"/>
  <c r="O1107" i="47"/>
  <c r="O1178" i="47"/>
  <c r="O1324" i="47"/>
  <c r="O1173" i="47"/>
  <c r="O1266" i="47"/>
  <c r="O1452" i="47"/>
  <c r="O1045" i="47"/>
  <c r="O1410" i="47"/>
  <c r="O1323" i="47"/>
  <c r="K1411" i="47"/>
  <c r="K1048" i="47"/>
  <c r="O1489" i="47"/>
  <c r="O1245" i="47"/>
  <c r="O1114" i="47"/>
  <c r="O1455" i="47"/>
  <c r="O1213" i="47"/>
  <c r="O1270" i="47"/>
  <c r="O1461" i="47"/>
  <c r="O1196" i="47"/>
  <c r="O1494" i="47"/>
  <c r="O1301" i="47"/>
  <c r="O1456" i="47"/>
  <c r="O1374" i="47"/>
  <c r="O1208" i="47"/>
  <c r="O1063" i="47"/>
  <c r="O1486" i="47"/>
  <c r="O1510" i="47"/>
  <c r="O1133" i="47"/>
  <c r="O1165" i="47"/>
  <c r="O1380" i="47"/>
  <c r="O1460" i="47"/>
  <c r="O1185" i="47"/>
  <c r="O1325" i="47"/>
  <c r="O1429" i="47"/>
  <c r="O1155" i="47"/>
  <c r="O1406" i="47"/>
  <c r="O1318" i="47"/>
  <c r="O1070" i="47"/>
  <c r="O1384" i="47"/>
  <c r="O1299" i="47"/>
  <c r="O1273" i="47"/>
  <c r="K1509" i="47"/>
  <c r="O1386" i="47"/>
  <c r="O1131" i="47"/>
  <c r="O1276" i="47"/>
  <c r="O1480" i="47"/>
  <c r="O1349" i="47"/>
  <c r="O1476" i="47"/>
  <c r="O1497" i="47"/>
  <c r="O1110" i="47"/>
  <c r="O1356" i="47"/>
  <c r="O1182" i="47"/>
  <c r="O1200" i="47"/>
  <c r="O1138" i="47"/>
  <c r="O1222" i="47"/>
  <c r="O1344" i="47"/>
  <c r="O1400" i="47"/>
  <c r="O1025" i="47"/>
  <c r="O1468" i="47"/>
  <c r="O1203" i="47"/>
  <c r="O1250" i="47"/>
  <c r="O1261" i="47"/>
  <c r="O1076" i="47"/>
  <c r="O1220" i="47"/>
  <c r="O1442" i="47"/>
  <c r="O1049" i="47"/>
  <c r="O1399" i="47"/>
  <c r="O1284" i="47"/>
  <c r="O1296" i="47"/>
  <c r="O1112" i="47"/>
  <c r="O1226" i="47"/>
  <c r="O1500" i="47"/>
  <c r="O1315" i="47"/>
  <c r="O1495" i="47"/>
  <c r="O1204" i="47"/>
  <c r="O1422" i="47"/>
  <c r="O1235" i="47"/>
  <c r="O1059" i="47"/>
  <c r="O1371" i="47"/>
  <c r="O1387" i="47"/>
  <c r="O1228" i="47"/>
  <c r="O1033" i="47"/>
  <c r="O1029" i="47"/>
  <c r="O1412" i="47"/>
  <c r="O1044" i="47"/>
  <c r="O1161" i="47"/>
  <c r="O1225" i="47"/>
  <c r="O1395" i="47"/>
  <c r="O1238" i="47"/>
  <c r="O1294" i="47"/>
  <c r="O1219" i="47"/>
  <c r="O1123" i="47"/>
  <c r="O1271" i="47"/>
  <c r="O1457" i="47"/>
  <c r="O1243" i="47"/>
  <c r="O1295" i="47"/>
  <c r="O1113" i="47"/>
  <c r="O1341" i="47"/>
  <c r="O1290" i="47"/>
  <c r="O1445" i="47"/>
  <c r="O1193" i="47"/>
  <c r="O1501" i="47"/>
  <c r="O1394" i="47"/>
  <c r="O1211" i="47"/>
  <c r="O1418" i="47"/>
  <c r="O1122" i="47"/>
  <c r="O1405" i="47"/>
  <c r="K1134" i="47"/>
  <c r="O1389" i="47"/>
  <c r="O1280" i="47"/>
  <c r="O1053" i="47"/>
  <c r="O1108" i="47"/>
  <c r="O1352" i="47"/>
  <c r="O1366" i="47"/>
  <c r="O1062" i="47"/>
  <c r="O1081" i="47"/>
  <c r="O1037" i="47"/>
  <c r="O1232" i="47"/>
  <c r="O1364" i="47"/>
  <c r="O1186" i="47"/>
  <c r="O1514" i="47"/>
  <c r="O1499" i="47"/>
  <c r="O1160" i="47"/>
  <c r="O1313" i="47"/>
  <c r="O1231" i="47"/>
  <c r="O1372" i="47"/>
  <c r="O1353" i="47"/>
  <c r="O1158" i="47"/>
  <c r="O1292" i="47"/>
  <c r="O1308" i="47"/>
  <c r="O1446" i="47"/>
  <c r="O1026" i="47"/>
  <c r="O1264" i="47"/>
  <c r="O1240" i="47"/>
  <c r="O1170" i="47"/>
  <c r="O1192" i="47"/>
  <c r="O1207" i="47"/>
  <c r="O1111" i="47"/>
  <c r="K1334" i="47"/>
  <c r="O1334" i="47"/>
  <c r="K1338" i="47"/>
  <c r="O1338" i="47"/>
  <c r="K1242" i="47"/>
  <c r="O1242" i="47"/>
  <c r="K1176" i="47"/>
  <c r="O1176" i="47"/>
  <c r="K1094" i="47"/>
  <c r="O1094" i="47"/>
  <c r="K1434" i="47"/>
  <c r="O1434" i="47"/>
  <c r="K1335" i="47"/>
  <c r="O1335" i="47"/>
  <c r="K1392" i="47"/>
  <c r="O1392" i="47"/>
  <c r="K1125" i="47"/>
  <c r="O1125" i="47"/>
  <c r="K1425" i="47"/>
  <c r="O1425" i="47"/>
  <c r="K1171" i="47"/>
  <c r="O1171" i="47"/>
  <c r="K1319" i="47"/>
  <c r="O1319" i="47"/>
  <c r="K1140" i="47"/>
  <c r="O1140" i="47"/>
  <c r="K1333" i="47"/>
  <c r="O1333" i="47"/>
  <c r="K1485" i="47"/>
  <c r="O1485" i="47"/>
  <c r="K1337" i="47"/>
  <c r="O1337" i="47"/>
  <c r="K1159" i="47"/>
  <c r="O1159" i="47"/>
  <c r="K1328" i="47"/>
  <c r="O1328" i="47"/>
  <c r="K1488" i="47"/>
  <c r="O1488" i="47"/>
  <c r="K1459" i="47"/>
  <c r="O1459" i="47"/>
  <c r="K1423" i="47"/>
  <c r="O1423" i="47"/>
  <c r="K1057" i="47"/>
  <c r="O1057" i="47"/>
  <c r="K1415" i="47"/>
  <c r="O1415" i="47"/>
  <c r="K1105" i="47"/>
  <c r="O1105" i="47"/>
  <c r="K1035" i="47"/>
  <c r="O1035" i="47"/>
  <c r="K1056" i="47"/>
  <c r="O1056" i="47"/>
  <c r="K1075" i="47"/>
  <c r="O1075" i="47"/>
  <c r="K1246" i="47"/>
  <c r="O1246" i="47"/>
  <c r="K1191" i="47"/>
  <c r="O1191" i="47"/>
  <c r="K1096" i="47"/>
  <c r="O1096" i="47"/>
  <c r="K1262" i="47"/>
  <c r="O1262" i="47"/>
  <c r="K1190" i="47"/>
  <c r="O1190" i="47"/>
  <c r="K1106" i="47"/>
  <c r="O1106" i="47"/>
  <c r="K1265" i="47"/>
  <c r="O1265" i="47"/>
  <c r="K1130" i="47"/>
  <c r="O1130" i="47"/>
  <c r="K1097" i="47"/>
  <c r="O1097" i="47"/>
  <c r="K1252" i="47"/>
  <c r="O1252" i="47"/>
  <c r="K1274" i="47"/>
  <c r="O1274" i="47"/>
  <c r="K1098" i="47"/>
  <c r="O1098" i="47"/>
  <c r="K1443" i="47"/>
  <c r="O1443" i="47"/>
  <c r="K1197" i="47"/>
  <c r="O1197" i="47"/>
  <c r="K1365" i="47"/>
  <c r="O1365" i="47"/>
  <c r="K1512" i="47"/>
  <c r="O1512" i="47"/>
  <c r="K1383" i="47"/>
  <c r="O1383" i="47"/>
  <c r="K1050" i="47"/>
  <c r="O1050" i="47"/>
  <c r="K1402" i="47"/>
  <c r="O1402" i="47"/>
  <c r="K1128" i="47"/>
  <c r="O1128" i="47"/>
  <c r="K1032" i="47"/>
  <c r="O1032" i="47"/>
  <c r="K1370" i="47"/>
  <c r="O1370" i="47"/>
  <c r="K1205" i="47"/>
  <c r="O1205" i="47"/>
  <c r="K1109" i="47"/>
  <c r="O1109" i="47"/>
  <c r="K1087" i="47"/>
  <c r="O1087" i="47"/>
  <c r="K1302" i="47"/>
  <c r="O1302" i="47"/>
  <c r="K1148" i="47"/>
  <c r="O1148" i="47"/>
  <c r="K1060" i="47"/>
  <c r="O1060" i="47"/>
  <c r="K1248" i="47"/>
  <c r="O1248" i="47"/>
  <c r="K1088" i="47"/>
  <c r="O1088" i="47"/>
  <c r="K1157" i="47"/>
  <c r="O1157" i="47"/>
  <c r="K1282" i="47"/>
  <c r="O1282" i="47"/>
  <c r="K1336" i="47"/>
  <c r="O1336" i="47"/>
  <c r="K1142" i="47"/>
  <c r="O1142" i="47"/>
  <c r="K1071" i="47"/>
  <c r="O1071" i="47"/>
  <c r="K1491" i="47"/>
  <c r="O1491" i="47"/>
  <c r="K1314" i="47"/>
  <c r="O1314" i="47"/>
  <c r="K1379" i="47"/>
  <c r="O1379" i="47"/>
  <c r="K1437" i="47"/>
  <c r="O1437" i="47"/>
  <c r="K1216" i="47"/>
  <c r="O1216" i="47"/>
  <c r="K1030" i="47"/>
  <c r="O1030" i="47"/>
  <c r="K1179" i="47"/>
  <c r="O1179" i="47"/>
  <c r="K1361" i="47"/>
  <c r="O1361" i="47"/>
  <c r="K1055" i="47"/>
  <c r="O1055" i="47"/>
  <c r="K1054" i="47"/>
  <c r="O1054" i="47"/>
  <c r="K1288" i="47"/>
  <c r="O1288" i="47"/>
  <c r="K1431" i="47"/>
  <c r="O1431" i="47"/>
  <c r="K1432" i="47"/>
  <c r="O1432" i="47"/>
  <c r="K1474" i="47"/>
  <c r="O1474" i="47"/>
  <c r="K1102" i="47"/>
  <c r="O1102" i="47"/>
  <c r="K1359" i="47"/>
  <c r="O1359" i="47"/>
  <c r="K1469" i="47"/>
  <c r="O1469" i="47"/>
  <c r="K1066" i="47"/>
  <c r="O1066" i="47"/>
  <c r="K1388" i="47"/>
  <c r="O1388" i="47"/>
  <c r="K1330" i="47"/>
  <c r="O1330" i="47"/>
  <c r="K1440" i="47"/>
  <c r="O1440" i="47"/>
  <c r="K1259" i="47"/>
  <c r="O1259" i="47"/>
  <c r="K1303" i="47"/>
  <c r="O1303" i="47"/>
  <c r="K1073" i="47"/>
  <c r="O1073" i="47"/>
  <c r="K1121" i="47"/>
  <c r="O1121" i="47"/>
  <c r="K1047" i="47"/>
  <c r="O1047" i="47"/>
  <c r="K1428" i="47"/>
  <c r="O1428" i="47"/>
  <c r="K1475" i="47"/>
  <c r="O1475" i="47"/>
  <c r="K1447" i="47"/>
  <c r="O1447" i="47"/>
  <c r="K1426" i="47"/>
  <c r="O1426" i="47"/>
  <c r="K1078" i="47"/>
  <c r="O1078" i="47"/>
  <c r="K1278" i="47"/>
  <c r="O1278" i="47"/>
  <c r="K1247" i="47"/>
  <c r="O1247" i="47"/>
  <c r="K1272" i="47"/>
  <c r="O1272" i="47"/>
  <c r="K1162" i="47"/>
  <c r="O1162" i="47"/>
  <c r="K1239" i="47"/>
  <c r="O1239" i="47"/>
  <c r="K1397" i="47"/>
  <c r="O1397" i="47"/>
  <c r="K1080" i="47"/>
  <c r="O1080" i="47"/>
  <c r="K1101" i="47"/>
  <c r="O1101" i="47"/>
  <c r="K1483" i="47"/>
  <c r="O1483" i="47"/>
  <c r="K1027" i="47"/>
  <c r="O1027" i="47"/>
  <c r="K1479" i="47"/>
  <c r="O1479" i="47"/>
  <c r="K1244" i="47"/>
  <c r="O1244" i="47"/>
  <c r="K1490" i="47"/>
  <c r="O1490" i="47"/>
  <c r="K1482" i="47"/>
  <c r="O1482" i="47"/>
  <c r="K1209" i="47"/>
  <c r="O1209" i="47"/>
  <c r="K1156" i="47"/>
  <c r="O1156" i="47"/>
  <c r="K1369" i="47"/>
  <c r="O1369" i="47"/>
  <c r="K1487" i="47"/>
  <c r="O1487" i="47"/>
  <c r="K1034" i="47"/>
  <c r="O1034" i="47"/>
  <c r="K1116" i="47"/>
  <c r="O1116" i="47"/>
  <c r="K1329" i="47"/>
  <c r="O1329" i="47"/>
  <c r="K1396" i="47"/>
  <c r="O1396" i="47"/>
  <c r="K1368" i="47"/>
  <c r="O1368" i="47"/>
  <c r="K1237" i="47"/>
  <c r="O1237" i="47"/>
  <c r="K1267" i="47"/>
  <c r="O1267" i="47"/>
  <c r="K1441" i="47"/>
  <c r="O1441" i="47"/>
  <c r="K1448" i="47"/>
  <c r="O1448" i="47"/>
  <c r="K1408" i="47"/>
  <c r="O1408" i="47"/>
  <c r="K1404" i="47"/>
  <c r="O1404" i="47"/>
  <c r="K1040" i="47"/>
  <c r="O1040" i="47"/>
  <c r="K1046" i="47"/>
  <c r="O1046" i="47"/>
  <c r="K1065" i="47"/>
  <c r="O1065" i="47"/>
  <c r="K1381" i="47"/>
  <c r="O1381" i="47"/>
  <c r="K1289" i="47"/>
  <c r="O1289" i="47"/>
  <c r="K1127" i="47"/>
  <c r="O1127" i="47"/>
  <c r="K1450" i="47"/>
  <c r="O1450" i="47"/>
  <c r="K1052" i="47"/>
  <c r="O1052" i="47"/>
  <c r="K1409" i="47"/>
  <c r="O1409" i="47"/>
  <c r="K1492" i="47"/>
  <c r="O1492" i="47"/>
  <c r="K1218" i="47"/>
  <c r="O1218" i="47"/>
  <c r="K1236" i="47"/>
  <c r="O1236" i="47"/>
  <c r="K1297" i="47"/>
  <c r="O1297" i="47"/>
  <c r="K1351" i="47"/>
  <c r="O1351" i="47"/>
  <c r="K1417" i="47"/>
  <c r="O1417" i="47"/>
  <c r="K1279" i="47"/>
  <c r="O1279" i="47"/>
  <c r="K1043" i="47"/>
  <c r="O1043" i="47"/>
  <c r="K1145" i="47"/>
  <c r="O1145" i="47"/>
  <c r="K1135" i="47"/>
  <c r="O1135" i="47"/>
  <c r="K1083" i="47"/>
  <c r="O1083" i="47"/>
  <c r="K1424" i="47"/>
  <c r="O1424" i="47"/>
  <c r="K1462" i="47"/>
  <c r="O1462" i="47"/>
  <c r="K1484" i="47"/>
  <c r="O1484" i="47"/>
  <c r="K1172" i="47"/>
  <c r="O1172" i="47"/>
  <c r="K1342" i="47"/>
  <c r="O1342" i="47"/>
  <c r="K1291" i="47"/>
  <c r="O1291" i="47"/>
  <c r="K1152" i="47"/>
  <c r="O1152" i="47"/>
  <c r="K1277" i="47"/>
  <c r="O1277" i="47"/>
  <c r="K1251" i="47"/>
  <c r="O1251" i="47"/>
  <c r="K1403" i="47"/>
  <c r="O1403" i="47"/>
  <c r="K1254" i="47"/>
  <c r="O1254" i="47"/>
  <c r="K1427" i="47"/>
  <c r="O1427" i="47"/>
  <c r="K1286" i="47"/>
  <c r="O1286" i="47"/>
  <c r="K1255" i="47"/>
  <c r="O1255" i="47"/>
  <c r="K1435" i="47"/>
  <c r="O1435" i="47"/>
  <c r="K1438" i="47"/>
  <c r="O1438" i="47"/>
  <c r="K1137" i="47"/>
  <c r="O1137" i="47"/>
  <c r="K1414" i="47"/>
  <c r="O1414" i="47"/>
  <c r="K1168" i="47"/>
  <c r="O1168" i="47"/>
  <c r="K1104" i="47"/>
  <c r="O1104" i="47"/>
  <c r="K1223" i="47"/>
  <c r="O1223" i="47"/>
  <c r="K1454" i="47"/>
  <c r="O1454" i="47"/>
  <c r="K1470" i="47"/>
  <c r="O1470" i="47"/>
  <c r="K1074" i="47"/>
  <c r="O1074" i="47"/>
  <c r="K1249" i="47"/>
  <c r="O1249" i="47"/>
  <c r="K1120" i="47"/>
  <c r="O1120" i="47"/>
  <c r="K1227" i="47"/>
  <c r="O1227" i="47"/>
  <c r="K1471" i="47"/>
  <c r="O1471" i="47"/>
  <c r="K1304" i="47"/>
  <c r="O1304" i="47"/>
  <c r="K1305" i="47"/>
  <c r="O1305" i="47"/>
  <c r="K1473" i="47"/>
  <c r="O1473" i="47"/>
  <c r="K1260" i="47"/>
  <c r="O1260" i="47"/>
  <c r="K1086" i="47"/>
  <c r="O1086" i="47"/>
  <c r="K1283" i="47"/>
  <c r="O1283" i="47"/>
  <c r="K1189" i="47"/>
  <c r="O1189" i="47"/>
  <c r="K1215" i="47"/>
  <c r="O1215" i="47"/>
  <c r="K1481" i="47"/>
  <c r="O1481" i="47"/>
  <c r="K1350" i="47"/>
  <c r="O1350" i="47"/>
  <c r="K1058" i="47"/>
  <c r="O1058" i="47"/>
  <c r="K1320" i="47"/>
  <c r="O1320" i="47"/>
  <c r="K1378" i="47"/>
  <c r="O1378" i="47"/>
  <c r="K1067" i="47"/>
  <c r="O1067" i="47"/>
  <c r="K1230" i="47"/>
  <c r="O1230" i="47"/>
  <c r="K1258" i="47"/>
  <c r="O1258" i="47"/>
  <c r="W25" i="47"/>
  <c r="V26" i="47"/>
  <c r="W26" i="47" s="1"/>
  <c r="R1032" i="47" s="1"/>
  <c r="X610" i="47"/>
  <c r="S610" i="47"/>
  <c r="P610" i="47"/>
  <c r="N610" i="47"/>
  <c r="Y610" i="47"/>
  <c r="M610" i="47"/>
  <c r="AB610" i="47"/>
  <c r="L610" i="47"/>
  <c r="AA610" i="47"/>
  <c r="V610" i="47"/>
  <c r="Z610" i="47"/>
  <c r="R610" i="47"/>
  <c r="J610" i="47"/>
  <c r="Q610" i="47"/>
  <c r="U610" i="47"/>
  <c r="AE8" i="13"/>
  <c r="AE9" i="13" s="1"/>
  <c r="AE11" i="13" s="1"/>
  <c r="AE12" i="13" s="1"/>
  <c r="AE15" i="13" s="1"/>
  <c r="AE17" i="13" s="1"/>
  <c r="H528" i="47"/>
  <c r="H438" i="47"/>
  <c r="H454" i="47"/>
  <c r="H474" i="47"/>
  <c r="H502" i="47"/>
  <c r="H569" i="47"/>
  <c r="H564" i="47"/>
  <c r="H535" i="47"/>
  <c r="H560" i="47"/>
  <c r="H521" i="47"/>
  <c r="H477" i="47"/>
  <c r="H491" i="47"/>
  <c r="H591" i="47"/>
  <c r="H517" i="47"/>
  <c r="H600" i="47"/>
  <c r="H471" i="47"/>
  <c r="H549" i="47"/>
  <c r="H514" i="47"/>
  <c r="H467" i="47"/>
  <c r="H593" i="47"/>
  <c r="H493" i="47"/>
  <c r="H470" i="47"/>
  <c r="H432" i="47"/>
  <c r="H583" i="47"/>
  <c r="H518" i="47"/>
  <c r="H585" i="47"/>
  <c r="H510" i="47"/>
  <c r="H576" i="47"/>
  <c r="H592" i="47"/>
  <c r="H575" i="47"/>
  <c r="H567" i="47"/>
  <c r="H516" i="47"/>
  <c r="H444" i="47"/>
  <c r="H504" i="47"/>
  <c r="H446" i="47"/>
  <c r="H462" i="47"/>
  <c r="H553" i="47"/>
  <c r="H577" i="47"/>
  <c r="H558" i="47"/>
  <c r="H507" i="47"/>
  <c r="H547" i="47"/>
  <c r="H587" i="47"/>
  <c r="H422" i="47"/>
  <c r="H441" i="47"/>
  <c r="H464" i="47"/>
  <c r="H546" i="47"/>
  <c r="H482" i="47"/>
  <c r="H472" i="47"/>
  <c r="H456" i="47"/>
  <c r="H480" i="47"/>
  <c r="H453" i="47"/>
  <c r="H430" i="47"/>
  <c r="H450" i="47"/>
  <c r="H581" i="47"/>
  <c r="H556" i="47"/>
  <c r="H580" i="47"/>
  <c r="H542" i="47"/>
  <c r="H435" i="47"/>
  <c r="H481" i="47"/>
  <c r="H488" i="47"/>
  <c r="H562" i="47"/>
  <c r="H513" i="47"/>
  <c r="H445" i="47"/>
  <c r="H483" i="47"/>
  <c r="H561" i="47"/>
  <c r="H522" i="47"/>
  <c r="I16" i="13"/>
  <c r="Y11" i="34"/>
  <c r="H531" i="47"/>
  <c r="F1045" i="47"/>
  <c r="M1045" i="47" s="1"/>
  <c r="F1510" i="47"/>
  <c r="M1510" i="47" s="1"/>
  <c r="F1508" i="47"/>
  <c r="M1508" i="47" s="1"/>
  <c r="P10" i="22"/>
  <c r="F1502" i="47"/>
  <c r="M1502" i="47" s="1"/>
  <c r="F1486" i="47"/>
  <c r="M1486" i="47" s="1"/>
  <c r="F1512" i="47"/>
  <c r="M1512" i="47" s="1"/>
  <c r="F1444" i="47"/>
  <c r="M1444" i="47" s="1"/>
  <c r="P14" i="22"/>
  <c r="F1511" i="47"/>
  <c r="M1511" i="47" s="1"/>
  <c r="F1499" i="47"/>
  <c r="M1499" i="47" s="1"/>
  <c r="F1495" i="47"/>
  <c r="M1495" i="47" s="1"/>
  <c r="F1290" i="47"/>
  <c r="M1290" i="47" s="1"/>
  <c r="F1460" i="47"/>
  <c r="M1460" i="47" s="1"/>
  <c r="F1386" i="47"/>
  <c r="M1386" i="47" s="1"/>
  <c r="F1033" i="47"/>
  <c r="M1033" i="47" s="1"/>
  <c r="F1513" i="47"/>
  <c r="M1513" i="47" s="1"/>
  <c r="F1509" i="47"/>
  <c r="M1509" i="47" s="1"/>
  <c r="F1452" i="47"/>
  <c r="M1452" i="47" s="1"/>
  <c r="F1514" i="47"/>
  <c r="M1514" i="47" s="1"/>
  <c r="F1393" i="47"/>
  <c r="M1393" i="47" s="1"/>
  <c r="F1198" i="47"/>
  <c r="M1198" i="47" s="1"/>
  <c r="F1240" i="47"/>
  <c r="M1240" i="47" s="1"/>
  <c r="F1461" i="47"/>
  <c r="M1461" i="47" s="1"/>
  <c r="P29" i="22"/>
  <c r="F1501" i="47"/>
  <c r="M1501" i="47" s="1"/>
  <c r="P30" i="22"/>
  <c r="F1390" i="47"/>
  <c r="M1390" i="47" s="1"/>
  <c r="F1400" i="47"/>
  <c r="M1400" i="47" s="1"/>
  <c r="P32" i="22"/>
  <c r="F1489" i="47"/>
  <c r="M1489" i="47" s="1"/>
  <c r="P33" i="22"/>
  <c r="F1041" i="47"/>
  <c r="M1041" i="47" s="1"/>
  <c r="F1129" i="47"/>
  <c r="M1129" i="47" s="1"/>
  <c r="F1327" i="47"/>
  <c r="M1327" i="47" s="1"/>
  <c r="P36" i="22"/>
  <c r="F1245" i="47"/>
  <c r="M1245" i="47" s="1"/>
  <c r="P37" i="22"/>
  <c r="F1070" i="47"/>
  <c r="M1070" i="47" s="1"/>
  <c r="F1292" i="47"/>
  <c r="M1292" i="47" s="1"/>
  <c r="F1144" i="47"/>
  <c r="M1144" i="47" s="1"/>
  <c r="F1036" i="47"/>
  <c r="M1036" i="47" s="1"/>
  <c r="F1410" i="47"/>
  <c r="M1410" i="47" s="1"/>
  <c r="F1439" i="47"/>
  <c r="M1439" i="47" s="1"/>
  <c r="P43" i="22"/>
  <c r="F1401" i="47"/>
  <c r="M1401" i="47" s="1"/>
  <c r="F1429" i="47"/>
  <c r="M1429" i="47" s="1"/>
  <c r="P45" i="22"/>
  <c r="F1194" i="47"/>
  <c r="M1194" i="47" s="1"/>
  <c r="F1160" i="47"/>
  <c r="M1160" i="47" s="1"/>
  <c r="P47" i="22"/>
  <c r="F1353" i="47"/>
  <c r="M1353" i="47" s="1"/>
  <c r="P48" i="22"/>
  <c r="F1407" i="47"/>
  <c r="M1407" i="47" s="1"/>
  <c r="F1293" i="47"/>
  <c r="M1293" i="47" s="1"/>
  <c r="F1385" i="47"/>
  <c r="M1385" i="47" s="1"/>
  <c r="F1478" i="47"/>
  <c r="M1478" i="47" s="1"/>
  <c r="F1221" i="47"/>
  <c r="M1221" i="47" s="1"/>
  <c r="F1111" i="47"/>
  <c r="M1111" i="47" s="1"/>
  <c r="F1253" i="47"/>
  <c r="M1253" i="47" s="1"/>
  <c r="F1457" i="47"/>
  <c r="M1457" i="47" s="1"/>
  <c r="F1061" i="47"/>
  <c r="M1061" i="47" s="1"/>
  <c r="F1341" i="47"/>
  <c r="M1341" i="47" s="1"/>
  <c r="P58" i="22"/>
  <c r="F1323" i="47"/>
  <c r="M1323" i="47" s="1"/>
  <c r="F1077" i="47"/>
  <c r="M1077" i="47" s="1"/>
  <c r="F1072" i="47"/>
  <c r="M1072" i="47" s="1"/>
  <c r="F1398" i="47"/>
  <c r="M1398" i="47" s="1"/>
  <c r="F1256" i="47"/>
  <c r="M1256" i="47" s="1"/>
  <c r="F1285" i="47"/>
  <c r="M1285" i="47" s="1"/>
  <c r="F1138" i="47"/>
  <c r="M1138" i="47" s="1"/>
  <c r="F1151" i="47"/>
  <c r="M1151" i="47" s="1"/>
  <c r="F1177" i="47"/>
  <c r="M1177" i="47" s="1"/>
  <c r="P67" i="22"/>
  <c r="F1456" i="47"/>
  <c r="M1456" i="47" s="1"/>
  <c r="F1049" i="47"/>
  <c r="M1049" i="47" s="1"/>
  <c r="F1355" i="47"/>
  <c r="M1355" i="47" s="1"/>
  <c r="F1382" i="47"/>
  <c r="M1382" i="47" s="1"/>
  <c r="P71" i="22"/>
  <c r="F1039" i="47"/>
  <c r="M1039" i="47" s="1"/>
  <c r="F1146" i="47"/>
  <c r="M1146" i="47" s="1"/>
  <c r="F1228" i="47"/>
  <c r="M1228" i="47" s="1"/>
  <c r="F1498" i="47"/>
  <c r="M1498" i="47" s="1"/>
  <c r="F1493" i="47"/>
  <c r="M1493" i="47" s="1"/>
  <c r="F1507" i="47"/>
  <c r="M1507" i="47" s="1"/>
  <c r="F1161" i="47"/>
  <c r="M1161" i="47" s="1"/>
  <c r="F1358" i="47"/>
  <c r="M1358" i="47" s="1"/>
  <c r="F1344" i="47"/>
  <c r="M1344" i="47" s="1"/>
  <c r="F1226" i="47"/>
  <c r="M1226" i="47" s="1"/>
  <c r="P81" i="22"/>
  <c r="F1048" i="47"/>
  <c r="M1048" i="47" s="1"/>
  <c r="F1114" i="47"/>
  <c r="M1114" i="47" s="1"/>
  <c r="F1500" i="47"/>
  <c r="M1500" i="47" s="1"/>
  <c r="P85" i="22"/>
  <c r="F1241" i="47"/>
  <c r="M1241" i="47" s="1"/>
  <c r="P86" i="22"/>
  <c r="F1284" i="47"/>
  <c r="M1284" i="47" s="1"/>
  <c r="F1183" i="47"/>
  <c r="M1183" i="47" s="1"/>
  <c r="F1219" i="47"/>
  <c r="M1219" i="47" s="1"/>
  <c r="F1181" i="47"/>
  <c r="M1181" i="47" s="1"/>
  <c r="F1504" i="47"/>
  <c r="M1504" i="47" s="1"/>
  <c r="F1294" i="47"/>
  <c r="M1294" i="47" s="1"/>
  <c r="F1089" i="47"/>
  <c r="M1089" i="47" s="1"/>
  <c r="P94" i="22"/>
  <c r="F1464" i="47"/>
  <c r="M1464" i="47" s="1"/>
  <c r="P95" i="22"/>
  <c r="F1465" i="47"/>
  <c r="M1465" i="47" s="1"/>
  <c r="P358" i="22"/>
  <c r="F1506" i="47"/>
  <c r="M1506" i="47" s="1"/>
  <c r="F1158" i="47"/>
  <c r="M1158" i="47" s="1"/>
  <c r="F1345" i="47"/>
  <c r="M1345" i="47" s="1"/>
  <c r="P288" i="22"/>
  <c r="F1503" i="47"/>
  <c r="M1503" i="47" s="1"/>
  <c r="P417" i="22"/>
  <c r="F1235" i="47"/>
  <c r="M1235" i="47" s="1"/>
  <c r="P199" i="22"/>
  <c r="F1281" i="47"/>
  <c r="M1281" i="47" s="1"/>
  <c r="F1496" i="47"/>
  <c r="M1496" i="47" s="1"/>
  <c r="F1375" i="47"/>
  <c r="M1375" i="47" s="1"/>
  <c r="P335" i="22"/>
  <c r="F1497" i="47"/>
  <c r="M1497" i="47" s="1"/>
  <c r="F1275" i="47"/>
  <c r="M1275" i="47" s="1"/>
  <c r="F1494" i="47"/>
  <c r="M1494" i="47" s="1"/>
  <c r="F1421" i="47"/>
  <c r="M1421" i="47" s="1"/>
  <c r="P307" i="22"/>
  <c r="F1269" i="47"/>
  <c r="M1269" i="47" s="1"/>
  <c r="F1352" i="47"/>
  <c r="M1352" i="47" s="1"/>
  <c r="F1405" i="47"/>
  <c r="M1405" i="47" s="1"/>
  <c r="P491" i="22"/>
  <c r="F1287" i="47"/>
  <c r="M1287" i="47" s="1"/>
  <c r="F1394" i="47"/>
  <c r="M1394" i="47" s="1"/>
  <c r="F1354" i="47"/>
  <c r="M1354" i="47" s="1"/>
  <c r="F1178" i="47"/>
  <c r="M1178" i="47" s="1"/>
  <c r="P308" i="22"/>
  <c r="F1257" i="47"/>
  <c r="M1257" i="47" s="1"/>
  <c r="F1031" i="47"/>
  <c r="M1031" i="47" s="1"/>
  <c r="F1433" i="47"/>
  <c r="M1433" i="47" s="1"/>
  <c r="F1295" i="47"/>
  <c r="M1295" i="47" s="1"/>
  <c r="F1455" i="47"/>
  <c r="M1455" i="47" s="1"/>
  <c r="F1134" i="47"/>
  <c r="M1134" i="47" s="1"/>
  <c r="F1133" i="47"/>
  <c r="M1133" i="47" s="1"/>
  <c r="F1124" i="47"/>
  <c r="M1124" i="47" s="1"/>
  <c r="F1166" i="47"/>
  <c r="M1166" i="47" s="1"/>
  <c r="F1139" i="47"/>
  <c r="M1139" i="47" s="1"/>
  <c r="F1458" i="47"/>
  <c r="M1458" i="47" s="1"/>
  <c r="P300" i="22"/>
  <c r="F1225" i="47"/>
  <c r="M1225" i="47" s="1"/>
  <c r="P471" i="22"/>
  <c r="F1271" i="47"/>
  <c r="M1271" i="47" s="1"/>
  <c r="F1064" i="47"/>
  <c r="M1064" i="47" s="1"/>
  <c r="F1419" i="47"/>
  <c r="M1419" i="47" s="1"/>
  <c r="F1476" i="47"/>
  <c r="M1476" i="47" s="1"/>
  <c r="P480" i="22"/>
  <c r="F1113" i="47"/>
  <c r="M1113" i="47" s="1"/>
  <c r="P110" i="22"/>
  <c r="F1037" i="47"/>
  <c r="M1037" i="47" s="1"/>
  <c r="F1141" i="47"/>
  <c r="M1141" i="47" s="1"/>
  <c r="F1154" i="47"/>
  <c r="M1154" i="47" s="1"/>
  <c r="F1132" i="47"/>
  <c r="M1132" i="47" s="1"/>
  <c r="F1201" i="47"/>
  <c r="M1201" i="47" s="1"/>
  <c r="F1416" i="47"/>
  <c r="M1416" i="47" s="1"/>
  <c r="F1192" i="47"/>
  <c r="M1192" i="47" s="1"/>
  <c r="F1280" i="47"/>
  <c r="M1280" i="47" s="1"/>
  <c r="F1299" i="47"/>
  <c r="M1299" i="47" s="1"/>
  <c r="F1170" i="47"/>
  <c r="M1170" i="47" s="1"/>
  <c r="F1131" i="47"/>
  <c r="M1131" i="47" s="1"/>
  <c r="F1418" i="47"/>
  <c r="M1418" i="47" s="1"/>
  <c r="F1446" i="47"/>
  <c r="M1446" i="47" s="1"/>
  <c r="F1068" i="47"/>
  <c r="M1068" i="47" s="1"/>
  <c r="F1100" i="47"/>
  <c r="M1100" i="47" s="1"/>
  <c r="F1376" i="47"/>
  <c r="M1376" i="47" s="1"/>
  <c r="F1108" i="47"/>
  <c r="M1108" i="47" s="1"/>
  <c r="F1208" i="47"/>
  <c r="M1208" i="47" s="1"/>
  <c r="F1174" i="47"/>
  <c r="M1174" i="47" s="1"/>
  <c r="P415" i="22"/>
  <c r="F1213" i="47"/>
  <c r="M1213" i="47" s="1"/>
  <c r="P117" i="22"/>
  <c r="F1309" i="47"/>
  <c r="M1309" i="47" s="1"/>
  <c r="F1069" i="47"/>
  <c r="M1069" i="47" s="1"/>
  <c r="F1200" i="47"/>
  <c r="M1200" i="47" s="1"/>
  <c r="F1273" i="47"/>
  <c r="M1273" i="47" s="1"/>
  <c r="F1233" i="47"/>
  <c r="M1233" i="47" s="1"/>
  <c r="F1231" i="47"/>
  <c r="M1231" i="47" s="1"/>
  <c r="P473" i="22"/>
  <c r="F1380" i="47"/>
  <c r="M1380" i="47" s="1"/>
  <c r="F1348" i="47"/>
  <c r="M1348" i="47" s="1"/>
  <c r="F1063" i="47"/>
  <c r="M1063" i="47" s="1"/>
  <c r="F1182" i="47"/>
  <c r="M1182" i="47" s="1"/>
  <c r="F1384" i="47"/>
  <c r="M1384" i="47" s="1"/>
  <c r="P98" i="22"/>
  <c r="F1232" i="47"/>
  <c r="M1232" i="47" s="1"/>
  <c r="F1445" i="47"/>
  <c r="M1445" i="47" s="1"/>
  <c r="F1449" i="47"/>
  <c r="M1449" i="47" s="1"/>
  <c r="P156" i="22"/>
  <c r="F1169" i="47"/>
  <c r="M1169" i="47" s="1"/>
  <c r="P490" i="22"/>
  <c r="F1317" i="47"/>
  <c r="M1317" i="47" s="1"/>
  <c r="F1029" i="47"/>
  <c r="M1029" i="47" s="1"/>
  <c r="P469" i="22"/>
  <c r="F1311" i="47"/>
  <c r="M1311" i="47" s="1"/>
  <c r="P295" i="22"/>
  <c r="F1395" i="47"/>
  <c r="M1395" i="47" s="1"/>
  <c r="F1422" i="47"/>
  <c r="M1422" i="47" s="1"/>
  <c r="P378" i="22"/>
  <c r="F1082" i="47"/>
  <c r="M1082" i="47" s="1"/>
  <c r="P314" i="22"/>
  <c r="F1107" i="47"/>
  <c r="M1107" i="47" s="1"/>
  <c r="F1308" i="47"/>
  <c r="M1308" i="47" s="1"/>
  <c r="F1413" i="47"/>
  <c r="M1413" i="47" s="1"/>
  <c r="F1085" i="47"/>
  <c r="M1085" i="47" s="1"/>
  <c r="F1214" i="47"/>
  <c r="M1214" i="47" s="1"/>
  <c r="F1436" i="47"/>
  <c r="M1436" i="47" s="1"/>
  <c r="F1126" i="47"/>
  <c r="M1126" i="47" s="1"/>
  <c r="F1202" i="47"/>
  <c r="M1202" i="47" s="1"/>
  <c r="F1187" i="47"/>
  <c r="M1187" i="47" s="1"/>
  <c r="F1136" i="47"/>
  <c r="M1136" i="47" s="1"/>
  <c r="F1053" i="47"/>
  <c r="M1053" i="47" s="1"/>
  <c r="F1051" i="47"/>
  <c r="M1051" i="47" s="1"/>
  <c r="P334" i="22"/>
  <c r="F1406" i="47"/>
  <c r="M1406" i="47" s="1"/>
  <c r="P442" i="22"/>
  <c r="F1315" i="47"/>
  <c r="M1315" i="47" s="1"/>
  <c r="P125" i="22"/>
  <c r="F1467" i="47"/>
  <c r="M1467" i="47" s="1"/>
  <c r="P170" i="22"/>
  <c r="F1193" i="47"/>
  <c r="M1193" i="47" s="1"/>
  <c r="P340" i="22"/>
  <c r="F1243" i="47"/>
  <c r="M1243" i="47" s="1"/>
  <c r="F1195" i="47"/>
  <c r="M1195" i="47" s="1"/>
  <c r="F1276" i="47"/>
  <c r="M1276" i="47" s="1"/>
  <c r="F1472" i="47"/>
  <c r="M1472" i="47" s="1"/>
  <c r="F1374" i="47"/>
  <c r="M1374" i="47" s="1"/>
  <c r="F1153" i="47"/>
  <c r="M1153" i="47" s="1"/>
  <c r="M1042" i="47"/>
  <c r="F1346" i="47"/>
  <c r="M1346" i="47" s="1"/>
  <c r="F1343" i="47"/>
  <c r="M1343" i="47" s="1"/>
  <c r="F1110" i="47"/>
  <c r="M1110" i="47" s="1"/>
  <c r="F1081" i="47"/>
  <c r="M1081" i="47" s="1"/>
  <c r="F1149" i="47"/>
  <c r="M1149" i="47" s="1"/>
  <c r="F1175" i="47"/>
  <c r="M1175" i="47" s="1"/>
  <c r="P144" i="22"/>
  <c r="F1301" i="47"/>
  <c r="M1301" i="47" s="1"/>
  <c r="F1377" i="47"/>
  <c r="M1377" i="47" s="1"/>
  <c r="P198" i="22"/>
  <c r="F1399" i="47"/>
  <c r="M1399" i="47" s="1"/>
  <c r="F1339" i="47"/>
  <c r="M1339" i="47" s="1"/>
  <c r="F1268" i="47"/>
  <c r="M1268" i="47" s="1"/>
  <c r="F1203" i="47"/>
  <c r="M1203" i="47" s="1"/>
  <c r="F1112" i="47"/>
  <c r="M1112" i="47" s="1"/>
  <c r="F1084" i="47"/>
  <c r="M1084" i="47" s="1"/>
  <c r="F1044" i="47"/>
  <c r="M1044" i="47" s="1"/>
  <c r="F1220" i="47"/>
  <c r="M1220" i="47" s="1"/>
  <c r="F1321" i="47"/>
  <c r="M1321" i="47" s="1"/>
  <c r="F1326" i="47"/>
  <c r="M1326" i="47" s="1"/>
  <c r="F1366" i="47"/>
  <c r="M1366" i="47" s="1"/>
  <c r="P161" i="22"/>
  <c r="F1453" i="47"/>
  <c r="M1453" i="47" s="1"/>
  <c r="F1199" i="47"/>
  <c r="M1199" i="47" s="1"/>
  <c r="F1062" i="47"/>
  <c r="M1062" i="47" s="1"/>
  <c r="F1316" i="47"/>
  <c r="M1316" i="47" s="1"/>
  <c r="F1026" i="47"/>
  <c r="M1026" i="47" s="1"/>
  <c r="F1307" i="47"/>
  <c r="M1307" i="47" s="1"/>
  <c r="F1270" i="47"/>
  <c r="M1270" i="47" s="1"/>
  <c r="F1173" i="47"/>
  <c r="M1173" i="47" s="1"/>
  <c r="F1217" i="47"/>
  <c r="M1217" i="47" s="1"/>
  <c r="F1238" i="47"/>
  <c r="M1238" i="47" s="1"/>
  <c r="F1222" i="47"/>
  <c r="M1222" i="47" s="1"/>
  <c r="F1364" i="47"/>
  <c r="M1364" i="47" s="1"/>
  <c r="F1188" i="47"/>
  <c r="M1188" i="47" s="1"/>
  <c r="F1224" i="47"/>
  <c r="M1224" i="47" s="1"/>
  <c r="F1430" i="47"/>
  <c r="M1430" i="47" s="1"/>
  <c r="F1420" i="47"/>
  <c r="M1420" i="47" s="1"/>
  <c r="F1412" i="47"/>
  <c r="M1412" i="47" s="1"/>
  <c r="P343" i="22"/>
  <c r="F1234" i="47"/>
  <c r="M1234" i="47" s="1"/>
  <c r="F1122" i="47"/>
  <c r="M1122" i="47" s="1"/>
  <c r="F1123" i="47"/>
  <c r="M1123" i="47" s="1"/>
  <c r="F1298" i="47"/>
  <c r="M1298" i="47" s="1"/>
  <c r="F1210" i="47"/>
  <c r="M1210" i="47" s="1"/>
  <c r="F1363" i="47"/>
  <c r="M1363" i="47" s="1"/>
  <c r="F1357" i="47"/>
  <c r="M1357" i="47" s="1"/>
  <c r="F1167" i="47"/>
  <c r="M1167" i="47" s="1"/>
  <c r="F1480" i="47"/>
  <c r="M1480" i="47" s="1"/>
  <c r="P346" i="22"/>
  <c r="F1264" i="47"/>
  <c r="M1264" i="47" s="1"/>
  <c r="F1164" i="47"/>
  <c r="M1164" i="47" s="1"/>
  <c r="P409" i="22"/>
  <c r="F1322" i="47"/>
  <c r="M1322" i="47" s="1"/>
  <c r="F1119" i="47"/>
  <c r="M1119" i="47" s="1"/>
  <c r="F1505" i="47"/>
  <c r="M1505" i="47" s="1"/>
  <c r="P322" i="22"/>
  <c r="F1038" i="47"/>
  <c r="M1038" i="47" s="1"/>
  <c r="F1184" i="47"/>
  <c r="M1184" i="47" s="1"/>
  <c r="F1318" i="47"/>
  <c r="M1318" i="47" s="1"/>
  <c r="F1263" i="47"/>
  <c r="M1263" i="47" s="1"/>
  <c r="F1362" i="47"/>
  <c r="M1362" i="47" s="1"/>
  <c r="F1451" i="47"/>
  <c r="M1451" i="47" s="1"/>
  <c r="F1025" i="47"/>
  <c r="M1025" i="47" s="1"/>
  <c r="F1059" i="47"/>
  <c r="M1059" i="47" s="1"/>
  <c r="F1313" i="47"/>
  <c r="M1313" i="47" s="1"/>
  <c r="F1325" i="47"/>
  <c r="M1325" i="47" s="1"/>
  <c r="F1306" i="47"/>
  <c r="M1306" i="47" s="1"/>
  <c r="F1250" i="47"/>
  <c r="M1250" i="47" s="1"/>
  <c r="F1147" i="47"/>
  <c r="M1147" i="47" s="1"/>
  <c r="F1212" i="47"/>
  <c r="M1212" i="47" s="1"/>
  <c r="F1229" i="47"/>
  <c r="M1229" i="47" s="1"/>
  <c r="F1185" i="47"/>
  <c r="M1185" i="47" s="1"/>
  <c r="F1411" i="47"/>
  <c r="M1411" i="47" s="1"/>
  <c r="F1186" i="47"/>
  <c r="M1186" i="47" s="1"/>
  <c r="F1211" i="47"/>
  <c r="M1211" i="47" s="1"/>
  <c r="F1389" i="47"/>
  <c r="M1389" i="47" s="1"/>
  <c r="F1356" i="47"/>
  <c r="M1356" i="47" s="1"/>
  <c r="F1266" i="47"/>
  <c r="M1266" i="47" s="1"/>
  <c r="F1204" i="47"/>
  <c r="M1204" i="47" s="1"/>
  <c r="F1117" i="47"/>
  <c r="M1117" i="47" s="1"/>
  <c r="F1115" i="47"/>
  <c r="M1115" i="47" s="1"/>
  <c r="F1296" i="47"/>
  <c r="M1296" i="47" s="1"/>
  <c r="F1180" i="47"/>
  <c r="M1180" i="47" s="1"/>
  <c r="F1310" i="47"/>
  <c r="M1310" i="47" s="1"/>
  <c r="F1347" i="47"/>
  <c r="M1347" i="47" s="1"/>
  <c r="F1143" i="47"/>
  <c r="M1143" i="47" s="1"/>
  <c r="F1468" i="47"/>
  <c r="M1468" i="47" s="1"/>
  <c r="F1261" i="47"/>
  <c r="M1261" i="47" s="1"/>
  <c r="F1155" i="47"/>
  <c r="M1155" i="47" s="1"/>
  <c r="F1387" i="47"/>
  <c r="M1387" i="47" s="1"/>
  <c r="F1367" i="47"/>
  <c r="M1367" i="47" s="1"/>
  <c r="F1076" i="47"/>
  <c r="M1076" i="47" s="1"/>
  <c r="F1463" i="47"/>
  <c r="M1463" i="47" s="1"/>
  <c r="F1206" i="47"/>
  <c r="M1206" i="47" s="1"/>
  <c r="F1360" i="47"/>
  <c r="M1360" i="47" s="1"/>
  <c r="F1391" i="47"/>
  <c r="M1391" i="47" s="1"/>
  <c r="F1165" i="47"/>
  <c r="M1165" i="47" s="1"/>
  <c r="F1466" i="47"/>
  <c r="M1466" i="47" s="1"/>
  <c r="F1207" i="47"/>
  <c r="M1207" i="47" s="1"/>
  <c r="F1150" i="47"/>
  <c r="M1150" i="47" s="1"/>
  <c r="F1324" i="47"/>
  <c r="M1324" i="47" s="1"/>
  <c r="F1371" i="47"/>
  <c r="M1371" i="47" s="1"/>
  <c r="F1312" i="47"/>
  <c r="M1312" i="47" s="1"/>
  <c r="F1349" i="47"/>
  <c r="M1349" i="47" s="1"/>
  <c r="F1331" i="47"/>
  <c r="M1331" i="47" s="1"/>
  <c r="F1372" i="47"/>
  <c r="M1372" i="47" s="1"/>
  <c r="F1373" i="47"/>
  <c r="M1373" i="47" s="1"/>
  <c r="F1340" i="47"/>
  <c r="M1340" i="47" s="1"/>
  <c r="F1118" i="47"/>
  <c r="M1118" i="47" s="1"/>
  <c r="F1300" i="47"/>
  <c r="M1300" i="47" s="1"/>
  <c r="F1196" i="47"/>
  <c r="M1196" i="47" s="1"/>
  <c r="F1332" i="47"/>
  <c r="M1332" i="47" s="1"/>
  <c r="W2" i="25"/>
  <c r="B5" i="34"/>
  <c r="D16" i="13" s="1"/>
  <c r="AL11" i="34"/>
  <c r="AH14" i="34"/>
  <c r="AD14" i="34"/>
  <c r="AH11" i="34"/>
  <c r="N17" i="34"/>
  <c r="C3" i="22"/>
  <c r="AJ96" i="22" s="1" a="1"/>
  <c r="AJ96" i="22" s="1"/>
  <c r="K23" i="13"/>
  <c r="H529" i="47" l="1"/>
  <c r="H605" i="47"/>
  <c r="H552" i="47"/>
  <c r="H465" i="47"/>
  <c r="H490" i="47"/>
  <c r="H466" i="47"/>
  <c r="H566" i="47"/>
  <c r="Z566" i="47" s="1"/>
  <c r="H597" i="47"/>
  <c r="H606" i="47"/>
  <c r="L606" i="47" s="1"/>
  <c r="H532" i="47"/>
  <c r="J532" i="47" s="1"/>
  <c r="H574" i="47"/>
  <c r="L574" i="47" s="1"/>
  <c r="H511" i="47"/>
  <c r="N511" i="47" s="1"/>
  <c r="H555" i="47"/>
  <c r="R555" i="47" s="1"/>
  <c r="H473" i="47"/>
  <c r="L473" i="47" s="1"/>
  <c r="H475" i="47"/>
  <c r="H523" i="47"/>
  <c r="H582" i="47"/>
  <c r="X582" i="47" s="1"/>
  <c r="H455" i="47"/>
  <c r="AB455" i="47" s="1"/>
  <c r="H544" i="47"/>
  <c r="J544" i="47" s="1"/>
  <c r="H447" i="47"/>
  <c r="V447" i="47" s="1"/>
  <c r="H578" i="47"/>
  <c r="J578" i="47" s="1"/>
  <c r="H458" i="47"/>
  <c r="Y458" i="47" s="1"/>
  <c r="H442" i="47"/>
  <c r="Q442" i="47" s="1"/>
  <c r="H439" i="47"/>
  <c r="O439" i="47" s="1"/>
  <c r="H608" i="47"/>
  <c r="Z608" i="47" s="1"/>
  <c r="H485" i="47"/>
  <c r="J485" i="47" s="1"/>
  <c r="H541" i="47"/>
  <c r="R541" i="47" s="1"/>
  <c r="H433" i="47"/>
  <c r="H596" i="47"/>
  <c r="P596" i="47" s="1"/>
  <c r="H424" i="47"/>
  <c r="J424" i="47" s="1"/>
  <c r="H545" i="47"/>
  <c r="V545" i="47" s="1"/>
  <c r="H500" i="47"/>
  <c r="Q500" i="47" s="1"/>
  <c r="H524" i="47"/>
  <c r="R524" i="47" s="1"/>
  <c r="H428" i="47"/>
  <c r="N428" i="47" s="1"/>
  <c r="Q615" i="47"/>
  <c r="R615" i="47"/>
  <c r="S615" i="47"/>
  <c r="P615" i="47"/>
  <c r="U615" i="47"/>
  <c r="J615" i="47"/>
  <c r="V615" i="47"/>
  <c r="X615" i="47"/>
  <c r="L615" i="47"/>
  <c r="Y615" i="47"/>
  <c r="M615" i="47"/>
  <c r="Z615" i="47"/>
  <c r="N615" i="47"/>
  <c r="AA615" i="47"/>
  <c r="O615" i="47"/>
  <c r="AB615" i="47"/>
  <c r="H595" i="47"/>
  <c r="Q595" i="47" s="1"/>
  <c r="H609" i="47"/>
  <c r="O609" i="47" s="1"/>
  <c r="H427" i="47"/>
  <c r="R427" i="47" s="1"/>
  <c r="H459" i="47"/>
  <c r="H506" i="47"/>
  <c r="O506" i="47" s="1"/>
  <c r="H498" i="47"/>
  <c r="P498" i="47" s="1"/>
  <c r="H604" i="47"/>
  <c r="J604" i="47" s="1"/>
  <c r="H607" i="47"/>
  <c r="M607" i="47" s="1"/>
  <c r="H425" i="47"/>
  <c r="S425" i="47" s="1"/>
  <c r="H440" i="47"/>
  <c r="J440" i="47" s="1"/>
  <c r="H584" i="47"/>
  <c r="S584" i="47" s="1"/>
  <c r="N612" i="47"/>
  <c r="AB612" i="47"/>
  <c r="AA612" i="47"/>
  <c r="L612" i="47"/>
  <c r="J612" i="47"/>
  <c r="Z612" i="47"/>
  <c r="X612" i="47"/>
  <c r="M612" i="47"/>
  <c r="U612" i="47"/>
  <c r="Y612" i="47"/>
  <c r="Q612" i="47"/>
  <c r="V612" i="47"/>
  <c r="O612" i="47"/>
  <c r="S612" i="47"/>
  <c r="P612" i="47"/>
  <c r="T611" i="47"/>
  <c r="AC611" i="47"/>
  <c r="AC613" i="47"/>
  <c r="T613" i="47"/>
  <c r="P614" i="47"/>
  <c r="S614" i="47"/>
  <c r="J614" i="47"/>
  <c r="R614" i="47"/>
  <c r="V614" i="47"/>
  <c r="X614" i="47"/>
  <c r="Y614" i="47"/>
  <c r="Z614" i="47"/>
  <c r="L614" i="47"/>
  <c r="AA614" i="47"/>
  <c r="AB614" i="47"/>
  <c r="Q614" i="47"/>
  <c r="M614" i="47"/>
  <c r="N614" i="47"/>
  <c r="O614" i="47"/>
  <c r="U614" i="47"/>
  <c r="R1026" i="47"/>
  <c r="R1027" i="47"/>
  <c r="R1146" i="47"/>
  <c r="R1149" i="47"/>
  <c r="R1356" i="47"/>
  <c r="R1090" i="47"/>
  <c r="R1049" i="47"/>
  <c r="R1182" i="47"/>
  <c r="R1319" i="47"/>
  <c r="R1286" i="47"/>
  <c r="R1448" i="47"/>
  <c r="R1501" i="47"/>
  <c r="R1239" i="47"/>
  <c r="R1067" i="47"/>
  <c r="R1277" i="47"/>
  <c r="R1306" i="47"/>
  <c r="R1371" i="47"/>
  <c r="R1265" i="47"/>
  <c r="R1139" i="47"/>
  <c r="R1218" i="47"/>
  <c r="R1134" i="47"/>
  <c r="R1217" i="47"/>
  <c r="R1488" i="47"/>
  <c r="R1125" i="47"/>
  <c r="R1278" i="47"/>
  <c r="R1073" i="47"/>
  <c r="R1343" i="47"/>
  <c r="R1054" i="47"/>
  <c r="R1450" i="47"/>
  <c r="R1053" i="47"/>
  <c r="R1273" i="47"/>
  <c r="R1080" i="47"/>
  <c r="R1142" i="47"/>
  <c r="R1388" i="47"/>
  <c r="R1455" i="47"/>
  <c r="R1435" i="47"/>
  <c r="R1118" i="47"/>
  <c r="R1269" i="47"/>
  <c r="R1175" i="47"/>
  <c r="R1339" i="47"/>
  <c r="R1188" i="47"/>
  <c r="R1301" i="47"/>
  <c r="R1361" i="47"/>
  <c r="R1347" i="47"/>
  <c r="R1283" i="47"/>
  <c r="R1253" i="47"/>
  <c r="R1367" i="47"/>
  <c r="R1195" i="47"/>
  <c r="R1069" i="47"/>
  <c r="R1161" i="47"/>
  <c r="R1039" i="47"/>
  <c r="R1461" i="47"/>
  <c r="R1148" i="47"/>
  <c r="R1275" i="47"/>
  <c r="R1323" i="47"/>
  <c r="R1348" i="47"/>
  <c r="R1443" i="47"/>
  <c r="R1463" i="47"/>
  <c r="R1478" i="47"/>
  <c r="R1482" i="47"/>
  <c r="R1051" i="47"/>
  <c r="R1465" i="47"/>
  <c r="R1490" i="47"/>
  <c r="R1208" i="47"/>
  <c r="R1127" i="47"/>
  <c r="R1267" i="47"/>
  <c r="R1305" i="47"/>
  <c r="R1346" i="47"/>
  <c r="R1340" i="47"/>
  <c r="R1095" i="47"/>
  <c r="R1103" i="47"/>
  <c r="R1492" i="47"/>
  <c r="R1251" i="47"/>
  <c r="R1442" i="47"/>
  <c r="R1474" i="47"/>
  <c r="R1176" i="47"/>
  <c r="R1504" i="47"/>
  <c r="R1124" i="47"/>
  <c r="R1061" i="47"/>
  <c r="R1254" i="47"/>
  <c r="R1081" i="47"/>
  <c r="R1398" i="47"/>
  <c r="R1445" i="47"/>
  <c r="R1157" i="47"/>
  <c r="R1105" i="47"/>
  <c r="R1156" i="47"/>
  <c r="R1381" i="47"/>
  <c r="R1196" i="47"/>
  <c r="R1038" i="47"/>
  <c r="R1394" i="47"/>
  <c r="R1416" i="47"/>
  <c r="R1285" i="47"/>
  <c r="R1034" i="47"/>
  <c r="R1338" i="47"/>
  <c r="R1184" i="47"/>
  <c r="R1191" i="47"/>
  <c r="R1417" i="47"/>
  <c r="R1202" i="47"/>
  <c r="R1320" i="47"/>
  <c r="R1086" i="47"/>
  <c r="R1389" i="47"/>
  <c r="R1289" i="47"/>
  <c r="R1453" i="47"/>
  <c r="R1145" i="47"/>
  <c r="R1399" i="47"/>
  <c r="R1031" i="47"/>
  <c r="R1200" i="47"/>
  <c r="R1412" i="47"/>
  <c r="R1409" i="47"/>
  <c r="R1077" i="47"/>
  <c r="R1424" i="47"/>
  <c r="R1169" i="47"/>
  <c r="R1168" i="47"/>
  <c r="R1129" i="47"/>
  <c r="R1132" i="47"/>
  <c r="R1074" i="47"/>
  <c r="R1405" i="47"/>
  <c r="R1263" i="47"/>
  <c r="R1261" i="47"/>
  <c r="R1384" i="47"/>
  <c r="R1088" i="47"/>
  <c r="R1150" i="47"/>
  <c r="R1193" i="47"/>
  <c r="R1293" i="47"/>
  <c r="R1452" i="47"/>
  <c r="R1444" i="47"/>
  <c r="R1083" i="47"/>
  <c r="R1374" i="47"/>
  <c r="R1059" i="47"/>
  <c r="R1268" i="47"/>
  <c r="R1089" i="47"/>
  <c r="R1071" i="47"/>
  <c r="R1246" i="47"/>
  <c r="R1311" i="47"/>
  <c r="R1392" i="47"/>
  <c r="R1345" i="47"/>
  <c r="R1203" i="47"/>
  <c r="R1276" i="47"/>
  <c r="R1210" i="47"/>
  <c r="R1084" i="47"/>
  <c r="R1057" i="47"/>
  <c r="R1136" i="47"/>
  <c r="R1298" i="47"/>
  <c r="R1336" i="47"/>
  <c r="R1304" i="47"/>
  <c r="R1177" i="47"/>
  <c r="R1376" i="47"/>
  <c r="R1489" i="47"/>
  <c r="R1432" i="47"/>
  <c r="R1414" i="47"/>
  <c r="R1042" i="47"/>
  <c r="R1260" i="47"/>
  <c r="R1470" i="47"/>
  <c r="R1204" i="47"/>
  <c r="R1270" i="47"/>
  <c r="R1209" i="47"/>
  <c r="R1178" i="47"/>
  <c r="R1511" i="47"/>
  <c r="R1342" i="47"/>
  <c r="R1135" i="47"/>
  <c r="R1082" i="47"/>
  <c r="R1322" i="47"/>
  <c r="R1158" i="47"/>
  <c r="R1510" i="47"/>
  <c r="R1430" i="47"/>
  <c r="R1040" i="47"/>
  <c r="R1330" i="47"/>
  <c r="R1433" i="47"/>
  <c r="R1447" i="47"/>
  <c r="R1241" i="47"/>
  <c r="R1292" i="47"/>
  <c r="R1094" i="47"/>
  <c r="R1426" i="47"/>
  <c r="R1259" i="47"/>
  <c r="R1332" i="47"/>
  <c r="R1063" i="47"/>
  <c r="R1262" i="47"/>
  <c r="R1183" i="47"/>
  <c r="R1064" i="47"/>
  <c r="R1255" i="47"/>
  <c r="R1282" i="47"/>
  <c r="R1123" i="47"/>
  <c r="R1483" i="47"/>
  <c r="R1334" i="47"/>
  <c r="R1372" i="47"/>
  <c r="R1480" i="47"/>
  <c r="R1508" i="47"/>
  <c r="R1252" i="47"/>
  <c r="R1160" i="47"/>
  <c r="R1422" i="47"/>
  <c r="R1165" i="47"/>
  <c r="R1403" i="47"/>
  <c r="R1233" i="47"/>
  <c r="R1425" i="47"/>
  <c r="R1050" i="47"/>
  <c r="R1235" i="47"/>
  <c r="R1147" i="47"/>
  <c r="R1402" i="47"/>
  <c r="R1264" i="47"/>
  <c r="R1119" i="47"/>
  <c r="R1387" i="47"/>
  <c r="R1431" i="47"/>
  <c r="R1315" i="47"/>
  <c r="R1462" i="47"/>
  <c r="R1159" i="47"/>
  <c r="R1098" i="47"/>
  <c r="R1075" i="47"/>
  <c r="R1329" i="47"/>
  <c r="R1126" i="47"/>
  <c r="R1030" i="47"/>
  <c r="R1313" i="47"/>
  <c r="R1201" i="47"/>
  <c r="R1216" i="47"/>
  <c r="R1287" i="47"/>
  <c r="R1312" i="47"/>
  <c r="R1250" i="47"/>
  <c r="R1213" i="47"/>
  <c r="R1325" i="47"/>
  <c r="R1386" i="47"/>
  <c r="R1288" i="47"/>
  <c r="R1316" i="47"/>
  <c r="R1475" i="47"/>
  <c r="R1079" i="47"/>
  <c r="R1299" i="47"/>
  <c r="R1393" i="47"/>
  <c r="R1350" i="47"/>
  <c r="R1479" i="47"/>
  <c r="R1290" i="47"/>
  <c r="R1122" i="47"/>
  <c r="R1458" i="47"/>
  <c r="R1043" i="47"/>
  <c r="R1420" i="47"/>
  <c r="R1499" i="47"/>
  <c r="R1109" i="47"/>
  <c r="R1133" i="47"/>
  <c r="R1362" i="47"/>
  <c r="R1352" i="47"/>
  <c r="R1257" i="47"/>
  <c r="R1219" i="47"/>
  <c r="R1045" i="47"/>
  <c r="R1400" i="47"/>
  <c r="R1337" i="47"/>
  <c r="R1460" i="47"/>
  <c r="R1481" i="47"/>
  <c r="R1419" i="47"/>
  <c r="R1107" i="47"/>
  <c r="R1379" i="47"/>
  <c r="R1317" i="47"/>
  <c r="R1041" i="47"/>
  <c r="R1249" i="47"/>
  <c r="R1300" i="47"/>
  <c r="R1237" i="47"/>
  <c r="R1500" i="47"/>
  <c r="R1206" i="47"/>
  <c r="R1456" i="47"/>
  <c r="R1360" i="47"/>
  <c r="R1471" i="47"/>
  <c r="R1382" i="47"/>
  <c r="R1428" i="47"/>
  <c r="R1215" i="47"/>
  <c r="R1245" i="47"/>
  <c r="R1106" i="47"/>
  <c r="R1341" i="47"/>
  <c r="R1473" i="47"/>
  <c r="R1434" i="47"/>
  <c r="R1437" i="47"/>
  <c r="R1514" i="47"/>
  <c r="R1092" i="47"/>
  <c r="R1179" i="47"/>
  <c r="R1309" i="47"/>
  <c r="R1205" i="47"/>
  <c r="R1114" i="47"/>
  <c r="R1162" i="47"/>
  <c r="R1466" i="47"/>
  <c r="R1375" i="47"/>
  <c r="R1366" i="47"/>
  <c r="R1240" i="47"/>
  <c r="R1302" i="47"/>
  <c r="R1128" i="47"/>
  <c r="R1070" i="47"/>
  <c r="R1353" i="47"/>
  <c r="R1505" i="47"/>
  <c r="R1141" i="47"/>
  <c r="R1104" i="47"/>
  <c r="R1281" i="47"/>
  <c r="R1349" i="47"/>
  <c r="R1220" i="47"/>
  <c r="R1391" i="47"/>
  <c r="R1446" i="47"/>
  <c r="R1423" i="47"/>
  <c r="R1436" i="47"/>
  <c r="R1380" i="47"/>
  <c r="R1326" i="47"/>
  <c r="R1087" i="47"/>
  <c r="R1052" i="47"/>
  <c r="R1180" i="47"/>
  <c r="R1395" i="47"/>
  <c r="R1226" i="47"/>
  <c r="R1097" i="47"/>
  <c r="R1113" i="47"/>
  <c r="R1440" i="47"/>
  <c r="R1137" i="47"/>
  <c r="R1491" i="47"/>
  <c r="R1221" i="47"/>
  <c r="R1102" i="47"/>
  <c r="R1512" i="47"/>
  <c r="R1502" i="47"/>
  <c r="R1321" i="47"/>
  <c r="R1120" i="47"/>
  <c r="R1272" i="47"/>
  <c r="R1065" i="47"/>
  <c r="R1359" i="47"/>
  <c r="R1112" i="47"/>
  <c r="R1411" i="47"/>
  <c r="R1404" i="47"/>
  <c r="R1076" i="47"/>
  <c r="R1310" i="47"/>
  <c r="R1390" i="47"/>
  <c r="R1115" i="47"/>
  <c r="R1297" i="47"/>
  <c r="R1194" i="47"/>
  <c r="R1166" i="47"/>
  <c r="R1244" i="47"/>
  <c r="R1365" i="47"/>
  <c r="R1441" i="47"/>
  <c r="R1503" i="47"/>
  <c r="R1227" i="47"/>
  <c r="R1234" i="47"/>
  <c r="R1291" i="47"/>
  <c r="R1232" i="47"/>
  <c r="R1493" i="47"/>
  <c r="R1378" i="47"/>
  <c r="R1296" i="47"/>
  <c r="R1066" i="47"/>
  <c r="R1036" i="47"/>
  <c r="R1266" i="47"/>
  <c r="R1198" i="47"/>
  <c r="R1476" i="47"/>
  <c r="R1418" i="47"/>
  <c r="R1256" i="47"/>
  <c r="R1308" i="47"/>
  <c r="R1279" i="47"/>
  <c r="R1078" i="47"/>
  <c r="R1464" i="47"/>
  <c r="R1429" i="47"/>
  <c r="R1247" i="47"/>
  <c r="R1046" i="47"/>
  <c r="R1228" i="47"/>
  <c r="R1333" i="47"/>
  <c r="R1238" i="47"/>
  <c r="R1111" i="47"/>
  <c r="R1369" i="47"/>
  <c r="R1151" i="47"/>
  <c r="R1072" i="47"/>
  <c r="R1033" i="47"/>
  <c r="R1370" i="47"/>
  <c r="R1187" i="47"/>
  <c r="R1274" i="47"/>
  <c r="R1116" i="47"/>
  <c r="R1495" i="47"/>
  <c r="R1048" i="47"/>
  <c r="R1037" i="47"/>
  <c r="R1459" i="47"/>
  <c r="R1199" i="47"/>
  <c r="R1385" i="47"/>
  <c r="R1152" i="47"/>
  <c r="R1174" i="47"/>
  <c r="R1181" i="47"/>
  <c r="R1410" i="47"/>
  <c r="R1189" i="47"/>
  <c r="R1469" i="47"/>
  <c r="R1407" i="47"/>
  <c r="R1190" i="47"/>
  <c r="R1035" i="47"/>
  <c r="R1373" i="47"/>
  <c r="R1357" i="47"/>
  <c r="R1164" i="47"/>
  <c r="R1186" i="47"/>
  <c r="R1223" i="47"/>
  <c r="R1355" i="47"/>
  <c r="R1222" i="47"/>
  <c r="R1091" i="47"/>
  <c r="R1163" i="47"/>
  <c r="R1513" i="47"/>
  <c r="R1047" i="47"/>
  <c r="R1140" i="47"/>
  <c r="R1117" i="47"/>
  <c r="R1207" i="47"/>
  <c r="R1494" i="47"/>
  <c r="R1498" i="47"/>
  <c r="R1229" i="47"/>
  <c r="R1258" i="47"/>
  <c r="R1284" i="47"/>
  <c r="R1153" i="47"/>
  <c r="R1242" i="47"/>
  <c r="R1056" i="47"/>
  <c r="R1307" i="47"/>
  <c r="R1093" i="47"/>
  <c r="R1314" i="47"/>
  <c r="R1368" i="47"/>
  <c r="R1294" i="47"/>
  <c r="R1171" i="47"/>
  <c r="R1173" i="47"/>
  <c r="R1497" i="47"/>
  <c r="R1344" i="47"/>
  <c r="R1421" i="47"/>
  <c r="R1507" i="47"/>
  <c r="R1487" i="47"/>
  <c r="R1110" i="47"/>
  <c r="R1472" i="47"/>
  <c r="R1108" i="47"/>
  <c r="R1331" i="47"/>
  <c r="R1438" i="47"/>
  <c r="R1211" i="47"/>
  <c r="R1248" i="47"/>
  <c r="R1328" i="47"/>
  <c r="R1025" i="47"/>
  <c r="R1138" i="47"/>
  <c r="R1303" i="47"/>
  <c r="R1468" i="47"/>
  <c r="R1413" i="47"/>
  <c r="R1231" i="47"/>
  <c r="R1225" i="47"/>
  <c r="R1397" i="47"/>
  <c r="R1192" i="47"/>
  <c r="R1358" i="47"/>
  <c r="R1327" i="47"/>
  <c r="R1271" i="47"/>
  <c r="R1363" i="47"/>
  <c r="R1155" i="47"/>
  <c r="R1236" i="47"/>
  <c r="R1243" i="47"/>
  <c r="R1506" i="47"/>
  <c r="R1167" i="47"/>
  <c r="R1335" i="47"/>
  <c r="R1068" i="47"/>
  <c r="R1396" i="47"/>
  <c r="R1099" i="47"/>
  <c r="R1383" i="47"/>
  <c r="R1401" i="47"/>
  <c r="R1415" i="47"/>
  <c r="R1280" i="47"/>
  <c r="R1044" i="47"/>
  <c r="R1439" i="47"/>
  <c r="R1496" i="47"/>
  <c r="R1485" i="47"/>
  <c r="R1144" i="47"/>
  <c r="R1060" i="47"/>
  <c r="R1484" i="47"/>
  <c r="R1351" i="47"/>
  <c r="R1486" i="47"/>
  <c r="R1172" i="47"/>
  <c r="R1029" i="47"/>
  <c r="R1058" i="47"/>
  <c r="R1143" i="47"/>
  <c r="R1170" i="47"/>
  <c r="R1318" i="47"/>
  <c r="R1121" i="47"/>
  <c r="R1028" i="47"/>
  <c r="R1055" i="47"/>
  <c r="R1427" i="47"/>
  <c r="R1408" i="47"/>
  <c r="R1214" i="47"/>
  <c r="R1154" i="47"/>
  <c r="R1230" i="47"/>
  <c r="R1406" i="47"/>
  <c r="R1101" i="47"/>
  <c r="R1451" i="47"/>
  <c r="R1130" i="47"/>
  <c r="R1354" i="47"/>
  <c r="R1454" i="47"/>
  <c r="R1197" i="47"/>
  <c r="R1096" i="47"/>
  <c r="R1062" i="47"/>
  <c r="R1185" i="47"/>
  <c r="R1457" i="47"/>
  <c r="R1467" i="47"/>
  <c r="R1449" i="47"/>
  <c r="R1324" i="47"/>
  <c r="R1100" i="47"/>
  <c r="R1364" i="47"/>
  <c r="R1131" i="47"/>
  <c r="R1295" i="47"/>
  <c r="R1085" i="47"/>
  <c r="R1377" i="47"/>
  <c r="R1224" i="47"/>
  <c r="R1212" i="47"/>
  <c r="R1509" i="47"/>
  <c r="R1477" i="47"/>
  <c r="V27" i="47"/>
  <c r="W27" i="47" s="1"/>
  <c r="T610" i="47"/>
  <c r="AC610" i="47"/>
  <c r="J522" i="47"/>
  <c r="J456" i="47"/>
  <c r="J446" i="47"/>
  <c r="J590" i="47"/>
  <c r="J537" i="47"/>
  <c r="N497" i="47"/>
  <c r="J548" i="47"/>
  <c r="J526" i="47"/>
  <c r="J568" i="47"/>
  <c r="J546" i="47"/>
  <c r="N426" i="47"/>
  <c r="J434" i="47"/>
  <c r="J583" i="47"/>
  <c r="J495" i="47"/>
  <c r="J600" i="47"/>
  <c r="J589" i="47"/>
  <c r="J438" i="47"/>
  <c r="J479" i="47"/>
  <c r="J536" i="47"/>
  <c r="J561" i="47"/>
  <c r="J562" i="47"/>
  <c r="J580" i="47"/>
  <c r="J523" i="47"/>
  <c r="J602" i="47"/>
  <c r="Q567" i="47"/>
  <c r="J436" i="47"/>
  <c r="J533" i="47"/>
  <c r="J437" i="47"/>
  <c r="X509" i="47"/>
  <c r="J570" i="47"/>
  <c r="J601" i="47"/>
  <c r="J494" i="47"/>
  <c r="J481" i="47"/>
  <c r="J556" i="47"/>
  <c r="J464" i="47"/>
  <c r="J558" i="47"/>
  <c r="J433" i="47"/>
  <c r="J429" i="47"/>
  <c r="J432" i="47"/>
  <c r="R549" i="47"/>
  <c r="J517" i="47"/>
  <c r="J521" i="47"/>
  <c r="J457" i="47"/>
  <c r="J513" i="47"/>
  <c r="J431" i="47"/>
  <c r="J423" i="47"/>
  <c r="J581" i="47"/>
  <c r="O452" i="47"/>
  <c r="J515" i="47"/>
  <c r="J538" i="47"/>
  <c r="J504" i="47"/>
  <c r="J575" i="47"/>
  <c r="J470" i="47"/>
  <c r="J468" i="47"/>
  <c r="J598" i="47"/>
  <c r="J550" i="47"/>
  <c r="J528" i="47"/>
  <c r="J488" i="47"/>
  <c r="V516" i="47"/>
  <c r="J454" i="47"/>
  <c r="J531" i="47"/>
  <c r="J483" i="47"/>
  <c r="J599" i="47"/>
  <c r="X557" i="47"/>
  <c r="J472" i="47"/>
  <c r="J565" i="47"/>
  <c r="J448" i="47"/>
  <c r="J592" i="47"/>
  <c r="R493" i="47"/>
  <c r="J461" i="47"/>
  <c r="J591" i="47"/>
  <c r="J529" i="47"/>
  <c r="J530" i="47"/>
  <c r="J496" i="47"/>
  <c r="J499" i="47"/>
  <c r="J476" i="47"/>
  <c r="J484" i="47"/>
  <c r="J559" i="47"/>
  <c r="J466" i="47"/>
  <c r="J520" i="47"/>
  <c r="V463" i="47"/>
  <c r="J572" i="47"/>
  <c r="J554" i="47"/>
  <c r="J593" i="47"/>
  <c r="J571" i="47"/>
  <c r="J505" i="47"/>
  <c r="N489" i="47"/>
  <c r="J460" i="47"/>
  <c r="J508" i="47"/>
  <c r="J475" i="47"/>
  <c r="J450" i="47"/>
  <c r="J492" i="47"/>
  <c r="J441" i="47"/>
  <c r="J552" i="47"/>
  <c r="J576" i="47"/>
  <c r="J519" i="47"/>
  <c r="J539" i="47"/>
  <c r="J597" i="47"/>
  <c r="J564" i="47"/>
  <c r="J542" i="47"/>
  <c r="J534" i="47"/>
  <c r="J449" i="47"/>
  <c r="J586" i="47"/>
  <c r="J487" i="47"/>
  <c r="J430" i="47"/>
  <c r="J465" i="47"/>
  <c r="J422" i="47"/>
  <c r="J577" i="47"/>
  <c r="J486" i="47"/>
  <c r="J510" i="47"/>
  <c r="J503" i="47"/>
  <c r="J491" i="47"/>
  <c r="J560" i="47"/>
  <c r="J540" i="47"/>
  <c r="J512" i="47"/>
  <c r="J551" i="47"/>
  <c r="J501" i="47"/>
  <c r="J482" i="47"/>
  <c r="S587" i="47"/>
  <c r="J553" i="47"/>
  <c r="J469" i="47"/>
  <c r="J588" i="47"/>
  <c r="J471" i="47"/>
  <c r="M594" i="47"/>
  <c r="J603" i="47"/>
  <c r="J569" i="47"/>
  <c r="X555" i="47"/>
  <c r="AA451" i="47"/>
  <c r="X435" i="47"/>
  <c r="J453" i="47"/>
  <c r="X525" i="47"/>
  <c r="J547" i="47"/>
  <c r="X490" i="47"/>
  <c r="X444" i="47"/>
  <c r="J585" i="47"/>
  <c r="J467" i="47"/>
  <c r="O443" i="47"/>
  <c r="J421" i="47"/>
  <c r="O563" i="47"/>
  <c r="O502" i="47"/>
  <c r="J573" i="47"/>
  <c r="J605" i="47"/>
  <c r="J445" i="47"/>
  <c r="J579" i="47"/>
  <c r="J480" i="47"/>
  <c r="J478" i="47"/>
  <c r="J507" i="47"/>
  <c r="J462" i="47"/>
  <c r="J543" i="47"/>
  <c r="J518" i="47"/>
  <c r="J514" i="47"/>
  <c r="J477" i="47"/>
  <c r="J535" i="47"/>
  <c r="J474" i="47"/>
  <c r="L568" i="47"/>
  <c r="M568" i="47"/>
  <c r="N568" i="47"/>
  <c r="P568" i="47"/>
  <c r="Q568" i="47"/>
  <c r="R568" i="47"/>
  <c r="S568" i="47"/>
  <c r="O568" i="47"/>
  <c r="V568" i="47"/>
  <c r="X568" i="47"/>
  <c r="Y568" i="47"/>
  <c r="Z568" i="47"/>
  <c r="AA568" i="47"/>
  <c r="AB568" i="47"/>
  <c r="L546" i="47"/>
  <c r="M546" i="47"/>
  <c r="N546" i="47"/>
  <c r="Q546" i="47"/>
  <c r="O546" i="47"/>
  <c r="P546" i="47"/>
  <c r="R546" i="47"/>
  <c r="S546" i="47"/>
  <c r="V546" i="47"/>
  <c r="Z546" i="47"/>
  <c r="X546" i="47"/>
  <c r="AA546" i="47"/>
  <c r="AB546" i="47"/>
  <c r="Y546" i="47"/>
  <c r="L587" i="47"/>
  <c r="N587" i="47"/>
  <c r="P587" i="47"/>
  <c r="R587" i="47"/>
  <c r="V587" i="47"/>
  <c r="Y587" i="47"/>
  <c r="AA587" i="47"/>
  <c r="M434" i="47"/>
  <c r="N434" i="47"/>
  <c r="L434" i="47"/>
  <c r="O434" i="47"/>
  <c r="P434" i="47"/>
  <c r="Q434" i="47"/>
  <c r="R434" i="47"/>
  <c r="S434" i="47"/>
  <c r="V434" i="47"/>
  <c r="X434" i="47"/>
  <c r="Y434" i="47"/>
  <c r="Z434" i="47"/>
  <c r="AA434" i="47"/>
  <c r="AB434" i="47"/>
  <c r="L469" i="47"/>
  <c r="N469" i="47"/>
  <c r="O469" i="47"/>
  <c r="P469" i="47"/>
  <c r="S469" i="47"/>
  <c r="X469" i="47"/>
  <c r="Y469" i="47"/>
  <c r="AB469" i="47"/>
  <c r="Z469" i="47"/>
  <c r="AA469" i="47"/>
  <c r="L495" i="47"/>
  <c r="M495" i="47"/>
  <c r="N495" i="47"/>
  <c r="O495" i="47"/>
  <c r="P495" i="47"/>
  <c r="Q495" i="47"/>
  <c r="R495" i="47"/>
  <c r="S495" i="47"/>
  <c r="V495" i="47"/>
  <c r="X495" i="47"/>
  <c r="Y495" i="47"/>
  <c r="Z495" i="47"/>
  <c r="AA495" i="47"/>
  <c r="AB495" i="47"/>
  <c r="L600" i="47"/>
  <c r="M600" i="47"/>
  <c r="N600" i="47"/>
  <c r="O600" i="47"/>
  <c r="P600" i="47"/>
  <c r="Q600" i="47"/>
  <c r="R600" i="47"/>
  <c r="S600" i="47"/>
  <c r="V600" i="47"/>
  <c r="X600" i="47"/>
  <c r="Y600" i="47"/>
  <c r="Z600" i="47"/>
  <c r="AA600" i="47"/>
  <c r="AB600" i="47"/>
  <c r="L594" i="47"/>
  <c r="O594" i="47"/>
  <c r="Q594" i="47"/>
  <c r="R594" i="47"/>
  <c r="V594" i="47"/>
  <c r="X594" i="47"/>
  <c r="Z594" i="47"/>
  <c r="AA594" i="47"/>
  <c r="L530" i="47"/>
  <c r="M530" i="47"/>
  <c r="N530" i="47"/>
  <c r="O530" i="47"/>
  <c r="P530" i="47"/>
  <c r="Q530" i="47"/>
  <c r="R530" i="47"/>
  <c r="S530" i="47"/>
  <c r="Y530" i="47"/>
  <c r="X530" i="47"/>
  <c r="AA530" i="47"/>
  <c r="AB530" i="47"/>
  <c r="V530" i="47"/>
  <c r="Z530" i="47"/>
  <c r="L438" i="47"/>
  <c r="N438" i="47"/>
  <c r="M438" i="47"/>
  <c r="P438" i="47"/>
  <c r="Q438" i="47"/>
  <c r="R438" i="47"/>
  <c r="O438" i="47"/>
  <c r="S438" i="47"/>
  <c r="V438" i="47"/>
  <c r="X438" i="47"/>
  <c r="Y438" i="47"/>
  <c r="Z438" i="47"/>
  <c r="AA438" i="47"/>
  <c r="AB438" i="47"/>
  <c r="L561" i="47"/>
  <c r="M561" i="47"/>
  <c r="N561" i="47"/>
  <c r="P561" i="47"/>
  <c r="Q561" i="47"/>
  <c r="R561" i="47"/>
  <c r="O561" i="47"/>
  <c r="Z561" i="47"/>
  <c r="S561" i="47"/>
  <c r="V561" i="47"/>
  <c r="AA561" i="47"/>
  <c r="AB561" i="47"/>
  <c r="Y561" i="47"/>
  <c r="X561" i="47"/>
  <c r="M562" i="47"/>
  <c r="N562" i="47"/>
  <c r="O562" i="47"/>
  <c r="L562" i="47"/>
  <c r="P562" i="47"/>
  <c r="R562" i="47"/>
  <c r="S562" i="47"/>
  <c r="Q562" i="47"/>
  <c r="V562" i="47"/>
  <c r="X562" i="47"/>
  <c r="Y562" i="47"/>
  <c r="Z562" i="47"/>
  <c r="AA562" i="47"/>
  <c r="AB562" i="47"/>
  <c r="L559" i="47"/>
  <c r="M559" i="47"/>
  <c r="N559" i="47"/>
  <c r="O559" i="47"/>
  <c r="P559" i="47"/>
  <c r="Q559" i="47"/>
  <c r="R559" i="47"/>
  <c r="S559" i="47"/>
  <c r="V559" i="47"/>
  <c r="X559" i="47"/>
  <c r="Y559" i="47"/>
  <c r="Z559" i="47"/>
  <c r="AA559" i="47"/>
  <c r="AB559" i="47"/>
  <c r="L435" i="47"/>
  <c r="N435" i="47"/>
  <c r="P435" i="47"/>
  <c r="R435" i="47"/>
  <c r="V435" i="47"/>
  <c r="Y435" i="47"/>
  <c r="AA435" i="47"/>
  <c r="L580" i="47"/>
  <c r="N580" i="47"/>
  <c r="O580" i="47"/>
  <c r="P580" i="47"/>
  <c r="M580" i="47"/>
  <c r="Q580" i="47"/>
  <c r="R580" i="47"/>
  <c r="S580" i="47"/>
  <c r="V580" i="47"/>
  <c r="X580" i="47"/>
  <c r="Y580" i="47"/>
  <c r="Z580" i="47"/>
  <c r="AA580" i="47"/>
  <c r="AB580" i="47"/>
  <c r="L466" i="47"/>
  <c r="M466" i="47"/>
  <c r="N466" i="47"/>
  <c r="P466" i="47"/>
  <c r="O466" i="47"/>
  <c r="Q466" i="47"/>
  <c r="S466" i="47"/>
  <c r="X466" i="47"/>
  <c r="Z466" i="47"/>
  <c r="V466" i="47"/>
  <c r="Y466" i="47"/>
  <c r="AA466" i="47"/>
  <c r="AB466" i="47"/>
  <c r="R466" i="47"/>
  <c r="L453" i="47"/>
  <c r="M453" i="47"/>
  <c r="Q453" i="47"/>
  <c r="O453" i="47"/>
  <c r="V453" i="47"/>
  <c r="Y453" i="47"/>
  <c r="AA453" i="47"/>
  <c r="L520" i="47"/>
  <c r="M520" i="47"/>
  <c r="N520" i="47"/>
  <c r="O520" i="47"/>
  <c r="P520" i="47"/>
  <c r="Q520" i="47"/>
  <c r="R520" i="47"/>
  <c r="S520" i="47"/>
  <c r="X520" i="47"/>
  <c r="Y520" i="47"/>
  <c r="AA520" i="47"/>
  <c r="AB520" i="47"/>
  <c r="V520" i="47"/>
  <c r="Z520" i="47"/>
  <c r="L525" i="47"/>
  <c r="O525" i="47"/>
  <c r="S525" i="47"/>
  <c r="V525" i="47"/>
  <c r="Y525" i="47"/>
  <c r="AA525" i="47"/>
  <c r="M523" i="47"/>
  <c r="N523" i="47"/>
  <c r="L523" i="47"/>
  <c r="O523" i="47"/>
  <c r="P523" i="47"/>
  <c r="Q523" i="47"/>
  <c r="R523" i="47"/>
  <c r="S523" i="47"/>
  <c r="V523" i="47"/>
  <c r="X523" i="47"/>
  <c r="Y523" i="47"/>
  <c r="Z523" i="47"/>
  <c r="AA523" i="47"/>
  <c r="AB523" i="47"/>
  <c r="L547" i="47"/>
  <c r="M547" i="47"/>
  <c r="N547" i="47"/>
  <c r="O547" i="47"/>
  <c r="P547" i="47"/>
  <c r="Q547" i="47"/>
  <c r="R547" i="47"/>
  <c r="S547" i="47"/>
  <c r="V547" i="47"/>
  <c r="X547" i="47"/>
  <c r="Y547" i="47"/>
  <c r="Z547" i="47"/>
  <c r="AA547" i="47"/>
  <c r="AB547" i="47"/>
  <c r="L602" i="47"/>
  <c r="M602" i="47"/>
  <c r="N602" i="47"/>
  <c r="O602" i="47"/>
  <c r="P602" i="47"/>
  <c r="Q602" i="47"/>
  <c r="R602" i="47"/>
  <c r="S602" i="47"/>
  <c r="V602" i="47"/>
  <c r="X602" i="47"/>
  <c r="Y602" i="47"/>
  <c r="Z602" i="47"/>
  <c r="AA602" i="47"/>
  <c r="AB602" i="47"/>
  <c r="L572" i="47"/>
  <c r="M572" i="47"/>
  <c r="N572" i="47"/>
  <c r="O572" i="47"/>
  <c r="P572" i="47"/>
  <c r="Q572" i="47"/>
  <c r="R572" i="47"/>
  <c r="S572" i="47"/>
  <c r="V572" i="47"/>
  <c r="X572" i="47"/>
  <c r="Y572" i="47"/>
  <c r="Z572" i="47"/>
  <c r="AA572" i="47"/>
  <c r="AB572" i="47"/>
  <c r="L490" i="47"/>
  <c r="O490" i="47"/>
  <c r="P490" i="47"/>
  <c r="R490" i="47"/>
  <c r="V490" i="47"/>
  <c r="Y490" i="47"/>
  <c r="AB490" i="47"/>
  <c r="P554" i="47"/>
  <c r="Q554" i="47"/>
  <c r="S554" i="47"/>
  <c r="AB554" i="47"/>
  <c r="R567" i="47"/>
  <c r="M585" i="47"/>
  <c r="O585" i="47"/>
  <c r="X585" i="47"/>
  <c r="Z585" i="47"/>
  <c r="AB585" i="47"/>
  <c r="L436" i="47"/>
  <c r="M436" i="47"/>
  <c r="N436" i="47"/>
  <c r="O436" i="47"/>
  <c r="Q436" i="47"/>
  <c r="P436" i="47"/>
  <c r="R436" i="47"/>
  <c r="S436" i="47"/>
  <c r="V436" i="47"/>
  <c r="Z436" i="47"/>
  <c r="X436" i="47"/>
  <c r="AA436" i="47"/>
  <c r="AB436" i="47"/>
  <c r="Y436" i="47"/>
  <c r="N467" i="47"/>
  <c r="O467" i="47"/>
  <c r="P467" i="47"/>
  <c r="R467" i="47"/>
  <c r="S467" i="47"/>
  <c r="V467" i="47"/>
  <c r="Y467" i="47"/>
  <c r="Z467" i="47"/>
  <c r="AA467" i="47"/>
  <c r="M533" i="47"/>
  <c r="L533" i="47"/>
  <c r="N533" i="47"/>
  <c r="O533" i="47"/>
  <c r="P533" i="47"/>
  <c r="Q533" i="47"/>
  <c r="R533" i="47"/>
  <c r="S533" i="47"/>
  <c r="V533" i="47"/>
  <c r="X533" i="47"/>
  <c r="Y533" i="47"/>
  <c r="Z533" i="47"/>
  <c r="AA533" i="47"/>
  <c r="AB533" i="47"/>
  <c r="L571" i="47"/>
  <c r="N571" i="47"/>
  <c r="M571" i="47"/>
  <c r="O571" i="47"/>
  <c r="P571" i="47"/>
  <c r="R571" i="47"/>
  <c r="S571" i="47"/>
  <c r="Q571" i="47"/>
  <c r="V571" i="47"/>
  <c r="X571" i="47"/>
  <c r="Y571" i="47"/>
  <c r="Z571" i="47"/>
  <c r="AA571" i="47"/>
  <c r="AB571" i="47"/>
  <c r="M443" i="47"/>
  <c r="Y443" i="47"/>
  <c r="L505" i="47"/>
  <c r="N505" i="47"/>
  <c r="O505" i="47"/>
  <c r="M505" i="47"/>
  <c r="P505" i="47"/>
  <c r="R505" i="47"/>
  <c r="Q505" i="47"/>
  <c r="S505" i="47"/>
  <c r="V505" i="47"/>
  <c r="X505" i="47"/>
  <c r="Y505" i="47"/>
  <c r="Z505" i="47"/>
  <c r="AA505" i="47"/>
  <c r="AB505" i="47"/>
  <c r="L437" i="47"/>
  <c r="M437" i="47"/>
  <c r="N437" i="47"/>
  <c r="O437" i="47"/>
  <c r="P437" i="47"/>
  <c r="Q437" i="47"/>
  <c r="R437" i="47"/>
  <c r="S437" i="47"/>
  <c r="V437" i="47"/>
  <c r="X437" i="47"/>
  <c r="Y437" i="47"/>
  <c r="Z437" i="47"/>
  <c r="AA437" i="47"/>
  <c r="AB437" i="47"/>
  <c r="M489" i="47"/>
  <c r="AB489" i="47"/>
  <c r="M563" i="47"/>
  <c r="AA563" i="47"/>
  <c r="N584" i="47"/>
  <c r="L502" i="47"/>
  <c r="M502" i="47"/>
  <c r="N502" i="47"/>
  <c r="Q502" i="47"/>
  <c r="P502" i="47"/>
  <c r="S502" i="47"/>
  <c r="V502" i="47"/>
  <c r="Y502" i="47"/>
  <c r="Z502" i="47"/>
  <c r="AB502" i="47"/>
  <c r="V509" i="47"/>
  <c r="L460" i="47"/>
  <c r="Y460" i="47"/>
  <c r="L573" i="47"/>
  <c r="M573" i="47"/>
  <c r="N573" i="47"/>
  <c r="O573" i="47"/>
  <c r="P573" i="47"/>
  <c r="Q573" i="47"/>
  <c r="R573" i="47"/>
  <c r="S573" i="47"/>
  <c r="V573" i="47"/>
  <c r="X573" i="47"/>
  <c r="Y573" i="47"/>
  <c r="Z573" i="47"/>
  <c r="AA573" i="47"/>
  <c r="AB573" i="47"/>
  <c r="L551" i="47"/>
  <c r="M551" i="47"/>
  <c r="N551" i="47"/>
  <c r="P551" i="47"/>
  <c r="O551" i="47"/>
  <c r="Q551" i="47"/>
  <c r="S551" i="47"/>
  <c r="R551" i="47"/>
  <c r="X551" i="47"/>
  <c r="Z551" i="47"/>
  <c r="V551" i="47"/>
  <c r="Y551" i="47"/>
  <c r="AA551" i="47"/>
  <c r="AB551" i="47"/>
  <c r="L599" i="47"/>
  <c r="M599" i="47"/>
  <c r="O599" i="47"/>
  <c r="P599" i="47"/>
  <c r="Q599" i="47"/>
  <c r="R599" i="47"/>
  <c r="S599" i="47"/>
  <c r="N599" i="47"/>
  <c r="V599" i="47"/>
  <c r="X599" i="47"/>
  <c r="Y599" i="47"/>
  <c r="Z599" i="47"/>
  <c r="AA599" i="47"/>
  <c r="AB599" i="47"/>
  <c r="L501" i="47"/>
  <c r="M501" i="47"/>
  <c r="N501" i="47"/>
  <c r="O501" i="47"/>
  <c r="P501" i="47"/>
  <c r="Q501" i="47"/>
  <c r="R501" i="47"/>
  <c r="S501" i="47"/>
  <c r="V501" i="47"/>
  <c r="X501" i="47"/>
  <c r="Y501" i="47"/>
  <c r="Z501" i="47"/>
  <c r="AA501" i="47"/>
  <c r="AB501" i="47"/>
  <c r="M472" i="47"/>
  <c r="N472" i="47"/>
  <c r="O472" i="47"/>
  <c r="L472" i="47"/>
  <c r="Q472" i="47"/>
  <c r="P472" i="47"/>
  <c r="R472" i="47"/>
  <c r="S472" i="47"/>
  <c r="V472" i="47"/>
  <c r="AA472" i="47"/>
  <c r="Z472" i="47"/>
  <c r="X472" i="47"/>
  <c r="AB472" i="47"/>
  <c r="Y472" i="47"/>
  <c r="L565" i="47"/>
  <c r="M565" i="47"/>
  <c r="N565" i="47"/>
  <c r="P565" i="47"/>
  <c r="O565" i="47"/>
  <c r="Q565" i="47"/>
  <c r="R565" i="47"/>
  <c r="Z565" i="47"/>
  <c r="S565" i="47"/>
  <c r="V565" i="47"/>
  <c r="AA565" i="47"/>
  <c r="AB565" i="47"/>
  <c r="Y565" i="47"/>
  <c r="X565" i="47"/>
  <c r="L448" i="47"/>
  <c r="M448" i="47"/>
  <c r="O448" i="47"/>
  <c r="P448" i="47"/>
  <c r="N448" i="47"/>
  <c r="Q448" i="47"/>
  <c r="R448" i="47"/>
  <c r="S448" i="47"/>
  <c r="V448" i="47"/>
  <c r="X448" i="47"/>
  <c r="Y448" i="47"/>
  <c r="Z448" i="47"/>
  <c r="AA448" i="47"/>
  <c r="AB448" i="47"/>
  <c r="L592" i="47"/>
  <c r="M592" i="47"/>
  <c r="N592" i="47"/>
  <c r="O592" i="47"/>
  <c r="P592" i="47"/>
  <c r="Q592" i="47"/>
  <c r="R592" i="47"/>
  <c r="S592" i="47"/>
  <c r="Z592" i="47"/>
  <c r="Y592" i="47"/>
  <c r="V592" i="47"/>
  <c r="AA592" i="47"/>
  <c r="AB592" i="47"/>
  <c r="X592" i="47"/>
  <c r="L588" i="47"/>
  <c r="M588" i="47"/>
  <c r="N588" i="47"/>
  <c r="O588" i="47"/>
  <c r="P588" i="47"/>
  <c r="Q588" i="47"/>
  <c r="R588" i="47"/>
  <c r="S588" i="47"/>
  <c r="Y588" i="47"/>
  <c r="AA588" i="47"/>
  <c r="AB588" i="47"/>
  <c r="X588" i="47"/>
  <c r="V588" i="47"/>
  <c r="Z588" i="47"/>
  <c r="L529" i="47"/>
  <c r="M529" i="47"/>
  <c r="N529" i="47"/>
  <c r="P529" i="47"/>
  <c r="O529" i="47"/>
  <c r="Q529" i="47"/>
  <c r="S529" i="47"/>
  <c r="X529" i="47"/>
  <c r="Z529" i="47"/>
  <c r="R529" i="47"/>
  <c r="Y529" i="47"/>
  <c r="AA529" i="47"/>
  <c r="AB529" i="47"/>
  <c r="V529" i="47"/>
  <c r="L569" i="47"/>
  <c r="M569" i="47"/>
  <c r="O569" i="47"/>
  <c r="P569" i="47"/>
  <c r="N569" i="47"/>
  <c r="Q569" i="47"/>
  <c r="R569" i="47"/>
  <c r="S569" i="47"/>
  <c r="V569" i="47"/>
  <c r="X569" i="47"/>
  <c r="Y569" i="47"/>
  <c r="Z569" i="47"/>
  <c r="AA569" i="47"/>
  <c r="AB569" i="47"/>
  <c r="L496" i="47"/>
  <c r="N496" i="47"/>
  <c r="O496" i="47"/>
  <c r="P496" i="47"/>
  <c r="Q496" i="47"/>
  <c r="M496" i="47"/>
  <c r="R496" i="47"/>
  <c r="S496" i="47"/>
  <c r="V496" i="47"/>
  <c r="X496" i="47"/>
  <c r="Y496" i="47"/>
  <c r="Z496" i="47"/>
  <c r="AA496" i="47"/>
  <c r="AB496" i="47"/>
  <c r="R498" i="47"/>
  <c r="L605" i="47"/>
  <c r="M605" i="47"/>
  <c r="N605" i="47"/>
  <c r="O605" i="47"/>
  <c r="Q605" i="47"/>
  <c r="R605" i="47"/>
  <c r="S605" i="47"/>
  <c r="P605" i="47"/>
  <c r="V605" i="47"/>
  <c r="X605" i="47"/>
  <c r="Y605" i="47"/>
  <c r="Z605" i="47"/>
  <c r="AA605" i="47"/>
  <c r="AB605" i="47"/>
  <c r="M601" i="47"/>
  <c r="L601" i="47"/>
  <c r="O601" i="47"/>
  <c r="P601" i="47"/>
  <c r="Q601" i="47"/>
  <c r="N601" i="47"/>
  <c r="R601" i="47"/>
  <c r="S601" i="47"/>
  <c r="V601" i="47"/>
  <c r="X601" i="47"/>
  <c r="Y601" i="47"/>
  <c r="Z601" i="47"/>
  <c r="AA601" i="47"/>
  <c r="AB601" i="47"/>
  <c r="L508" i="47"/>
  <c r="O508" i="47"/>
  <c r="Q508" i="47"/>
  <c r="R508" i="47"/>
  <c r="V508" i="47"/>
  <c r="Y508" i="47"/>
  <c r="AA508" i="47"/>
  <c r="L445" i="47"/>
  <c r="O445" i="47"/>
  <c r="M445" i="47"/>
  <c r="N445" i="47"/>
  <c r="Q445" i="47"/>
  <c r="R445" i="47"/>
  <c r="P445" i="47"/>
  <c r="S445" i="47"/>
  <c r="V445" i="47"/>
  <c r="X445" i="47"/>
  <c r="Y445" i="47"/>
  <c r="Z445" i="47"/>
  <c r="AA445" i="47"/>
  <c r="AB445" i="47"/>
  <c r="M494" i="47"/>
  <c r="L494" i="47"/>
  <c r="N494" i="47"/>
  <c r="O494" i="47"/>
  <c r="P494" i="47"/>
  <c r="Q494" i="47"/>
  <c r="R494" i="47"/>
  <c r="S494" i="47"/>
  <c r="V494" i="47"/>
  <c r="X494" i="47"/>
  <c r="Y494" i="47"/>
  <c r="Z494" i="47"/>
  <c r="AA494" i="47"/>
  <c r="AB494" i="47"/>
  <c r="M475" i="47"/>
  <c r="L475" i="47"/>
  <c r="N475" i="47"/>
  <c r="O475" i="47"/>
  <c r="P475" i="47"/>
  <c r="Q475" i="47"/>
  <c r="R475" i="47"/>
  <c r="S475" i="47"/>
  <c r="V475" i="47"/>
  <c r="X475" i="47"/>
  <c r="Y475" i="47"/>
  <c r="Z475" i="47"/>
  <c r="AA475" i="47"/>
  <c r="AB475" i="47"/>
  <c r="P579" i="47"/>
  <c r="L481" i="47"/>
  <c r="M481" i="47"/>
  <c r="N481" i="47"/>
  <c r="O481" i="47"/>
  <c r="Q481" i="47"/>
  <c r="R481" i="47"/>
  <c r="S481" i="47"/>
  <c r="P481" i="47"/>
  <c r="V481" i="47"/>
  <c r="X481" i="47"/>
  <c r="Y481" i="47"/>
  <c r="Z481" i="47"/>
  <c r="AA481" i="47"/>
  <c r="AB481" i="47"/>
  <c r="O566" i="47"/>
  <c r="Q566" i="47"/>
  <c r="Y566" i="47"/>
  <c r="M556" i="47"/>
  <c r="L450" i="47"/>
  <c r="M450" i="47"/>
  <c r="Q450" i="47"/>
  <c r="O450" i="47"/>
  <c r="V450" i="47"/>
  <c r="Y450" i="47"/>
  <c r="AB450" i="47"/>
  <c r="L480" i="47"/>
  <c r="R480" i="47"/>
  <c r="V480" i="47"/>
  <c r="Y480" i="47"/>
  <c r="L492" i="47"/>
  <c r="M492" i="47"/>
  <c r="N492" i="47"/>
  <c r="O492" i="47"/>
  <c r="P492" i="47"/>
  <c r="Q492" i="47"/>
  <c r="R492" i="47"/>
  <c r="S492" i="47"/>
  <c r="V492" i="47"/>
  <c r="X492" i="47"/>
  <c r="Y492" i="47"/>
  <c r="Z492" i="47"/>
  <c r="AA492" i="47"/>
  <c r="AB492" i="47"/>
  <c r="L464" i="47"/>
  <c r="M464" i="47"/>
  <c r="O464" i="47"/>
  <c r="N464" i="47"/>
  <c r="Q464" i="47"/>
  <c r="R464" i="47"/>
  <c r="S464" i="47"/>
  <c r="P464" i="47"/>
  <c r="V464" i="47"/>
  <c r="X464" i="47"/>
  <c r="Y464" i="47"/>
  <c r="Z464" i="47"/>
  <c r="AA464" i="47"/>
  <c r="AB464" i="47"/>
  <c r="L441" i="47"/>
  <c r="M441" i="47"/>
  <c r="N441" i="47"/>
  <c r="O441" i="47"/>
  <c r="P441" i="47"/>
  <c r="Q441" i="47"/>
  <c r="R441" i="47"/>
  <c r="S441" i="47"/>
  <c r="V441" i="47"/>
  <c r="X441" i="47"/>
  <c r="Y441" i="47"/>
  <c r="Z441" i="47"/>
  <c r="AA441" i="47"/>
  <c r="AB441" i="47"/>
  <c r="L507" i="47"/>
  <c r="N507" i="47"/>
  <c r="Q507" i="47"/>
  <c r="P507" i="47"/>
  <c r="V507" i="47"/>
  <c r="Y507" i="47"/>
  <c r="AA507" i="47"/>
  <c r="L558" i="47"/>
  <c r="M558" i="47"/>
  <c r="O558" i="47"/>
  <c r="P558" i="47"/>
  <c r="N558" i="47"/>
  <c r="Q558" i="47"/>
  <c r="R558" i="47"/>
  <c r="S558" i="47"/>
  <c r="V558" i="47"/>
  <c r="X558" i="47"/>
  <c r="Y558" i="47"/>
  <c r="Z558" i="47"/>
  <c r="AA558" i="47"/>
  <c r="AB558" i="47"/>
  <c r="L552" i="47"/>
  <c r="N552" i="47"/>
  <c r="O552" i="47"/>
  <c r="P552" i="47"/>
  <c r="Q552" i="47"/>
  <c r="R552" i="47"/>
  <c r="M552" i="47"/>
  <c r="S552" i="47"/>
  <c r="V552" i="47"/>
  <c r="X552" i="47"/>
  <c r="Y552" i="47"/>
  <c r="Z552" i="47"/>
  <c r="AA552" i="47"/>
  <c r="AB552" i="47"/>
  <c r="L462" i="47"/>
  <c r="M462" i="47"/>
  <c r="N462" i="47"/>
  <c r="O462" i="47"/>
  <c r="Q462" i="47"/>
  <c r="R462" i="47"/>
  <c r="P462" i="47"/>
  <c r="S462" i="47"/>
  <c r="V462" i="47"/>
  <c r="X462" i="47"/>
  <c r="Y462" i="47"/>
  <c r="Z462" i="47"/>
  <c r="AB462" i="47"/>
  <c r="AA462" i="47"/>
  <c r="L433" i="47"/>
  <c r="M433" i="47"/>
  <c r="N433" i="47"/>
  <c r="O433" i="47"/>
  <c r="P433" i="47"/>
  <c r="Q433" i="47"/>
  <c r="R433" i="47"/>
  <c r="S433" i="47"/>
  <c r="Y433" i="47"/>
  <c r="AA433" i="47"/>
  <c r="AB433" i="47"/>
  <c r="X433" i="47"/>
  <c r="V433" i="47"/>
  <c r="Z433" i="47"/>
  <c r="L543" i="47"/>
  <c r="N543" i="47"/>
  <c r="Q543" i="47"/>
  <c r="O543" i="47"/>
  <c r="AB543" i="47"/>
  <c r="S543" i="47"/>
  <c r="L429" i="47"/>
  <c r="M429" i="47"/>
  <c r="N429" i="47"/>
  <c r="O429" i="47"/>
  <c r="P429" i="47"/>
  <c r="Q429" i="47"/>
  <c r="R429" i="47"/>
  <c r="S429" i="47"/>
  <c r="V429" i="47"/>
  <c r="X429" i="47"/>
  <c r="Y429" i="47"/>
  <c r="Z429" i="47"/>
  <c r="AA429" i="47"/>
  <c r="AB429" i="47"/>
  <c r="L576" i="47"/>
  <c r="M576" i="47"/>
  <c r="N576" i="47"/>
  <c r="O576" i="47"/>
  <c r="Q576" i="47"/>
  <c r="P576" i="47"/>
  <c r="R576" i="47"/>
  <c r="S576" i="47"/>
  <c r="Y576" i="47"/>
  <c r="X576" i="47"/>
  <c r="Z576" i="47"/>
  <c r="AA576" i="47"/>
  <c r="AB576" i="47"/>
  <c r="V576" i="47"/>
  <c r="L518" i="47"/>
  <c r="M518" i="47"/>
  <c r="N518" i="47"/>
  <c r="P518" i="47"/>
  <c r="O518" i="47"/>
  <c r="Q518" i="47"/>
  <c r="R518" i="47"/>
  <c r="S518" i="47"/>
  <c r="X518" i="47"/>
  <c r="V518" i="47"/>
  <c r="Y518" i="47"/>
  <c r="AA518" i="47"/>
  <c r="AB518" i="47"/>
  <c r="Z518" i="47"/>
  <c r="L432" i="47"/>
  <c r="N432" i="47"/>
  <c r="O432" i="47"/>
  <c r="M432" i="47"/>
  <c r="P432" i="47"/>
  <c r="Q432" i="47"/>
  <c r="R432" i="47"/>
  <c r="S432" i="47"/>
  <c r="V432" i="47"/>
  <c r="X432" i="47"/>
  <c r="Y432" i="47"/>
  <c r="Z432" i="47"/>
  <c r="AA432" i="47"/>
  <c r="AB432" i="47"/>
  <c r="L519" i="47"/>
  <c r="M519" i="47"/>
  <c r="N519" i="47"/>
  <c r="O519" i="47"/>
  <c r="Q519" i="47"/>
  <c r="R519" i="47"/>
  <c r="P519" i="47"/>
  <c r="S519" i="47"/>
  <c r="V519" i="47"/>
  <c r="X519" i="47"/>
  <c r="Y519" i="47"/>
  <c r="Z519" i="47"/>
  <c r="AA519" i="47"/>
  <c r="AB519" i="47"/>
  <c r="L514" i="47"/>
  <c r="N514" i="47"/>
  <c r="M514" i="47"/>
  <c r="O514" i="47"/>
  <c r="P514" i="47"/>
  <c r="R514" i="47"/>
  <c r="S514" i="47"/>
  <c r="Q514" i="47"/>
  <c r="V514" i="47"/>
  <c r="X514" i="47"/>
  <c r="Y514" i="47"/>
  <c r="Z514" i="47"/>
  <c r="AA514" i="47"/>
  <c r="AB514" i="47"/>
  <c r="P549" i="47"/>
  <c r="N539" i="47"/>
  <c r="L539" i="47"/>
  <c r="M539" i="47"/>
  <c r="P539" i="47"/>
  <c r="Q539" i="47"/>
  <c r="R539" i="47"/>
  <c r="O539" i="47"/>
  <c r="S539" i="47"/>
  <c r="V539" i="47"/>
  <c r="X539" i="47"/>
  <c r="Y539" i="47"/>
  <c r="Z539" i="47"/>
  <c r="AA539" i="47"/>
  <c r="AB539" i="47"/>
  <c r="S582" i="47"/>
  <c r="V582" i="47"/>
  <c r="M517" i="47"/>
  <c r="L517" i="47"/>
  <c r="N517" i="47"/>
  <c r="O517" i="47"/>
  <c r="Q517" i="47"/>
  <c r="P517" i="47"/>
  <c r="R517" i="47"/>
  <c r="S517" i="47"/>
  <c r="Y517" i="47"/>
  <c r="AA517" i="47"/>
  <c r="X517" i="47"/>
  <c r="Z517" i="47"/>
  <c r="AB517" i="47"/>
  <c r="V517" i="47"/>
  <c r="L597" i="47"/>
  <c r="M597" i="47"/>
  <c r="O597" i="47"/>
  <c r="P597" i="47"/>
  <c r="Q597" i="47"/>
  <c r="N597" i="47"/>
  <c r="R597" i="47"/>
  <c r="S597" i="47"/>
  <c r="V597" i="47"/>
  <c r="X597" i="47"/>
  <c r="Y597" i="47"/>
  <c r="Z597" i="47"/>
  <c r="AA597" i="47"/>
  <c r="AB597" i="47"/>
  <c r="L477" i="47"/>
  <c r="M477" i="47"/>
  <c r="N477" i="47"/>
  <c r="P477" i="47"/>
  <c r="O477" i="47"/>
  <c r="Q477" i="47"/>
  <c r="S477" i="47"/>
  <c r="R477" i="47"/>
  <c r="X477" i="47"/>
  <c r="V477" i="47"/>
  <c r="Y477" i="47"/>
  <c r="AA477" i="47"/>
  <c r="AB477" i="47"/>
  <c r="Z477" i="47"/>
  <c r="L521" i="47"/>
  <c r="M521" i="47"/>
  <c r="N521" i="47"/>
  <c r="O521" i="47"/>
  <c r="P521" i="47"/>
  <c r="Q521" i="47"/>
  <c r="R521" i="47"/>
  <c r="Z521" i="47"/>
  <c r="Y521" i="47"/>
  <c r="V521" i="47"/>
  <c r="AA521" i="47"/>
  <c r="AB521" i="47"/>
  <c r="S521" i="47"/>
  <c r="X521" i="47"/>
  <c r="L535" i="47"/>
  <c r="N535" i="47"/>
  <c r="O535" i="47"/>
  <c r="P535" i="47"/>
  <c r="Q535" i="47"/>
  <c r="R535" i="47"/>
  <c r="M535" i="47"/>
  <c r="S535" i="47"/>
  <c r="V535" i="47"/>
  <c r="X535" i="47"/>
  <c r="Y535" i="47"/>
  <c r="Z535" i="47"/>
  <c r="AA535" i="47"/>
  <c r="AB535" i="47"/>
  <c r="P564" i="47"/>
  <c r="R474" i="47"/>
  <c r="L457" i="47"/>
  <c r="N457" i="47"/>
  <c r="M457" i="47"/>
  <c r="P457" i="47"/>
  <c r="Q457" i="47"/>
  <c r="R457" i="47"/>
  <c r="S457" i="47"/>
  <c r="O457" i="47"/>
  <c r="V457" i="47"/>
  <c r="X457" i="47"/>
  <c r="Y457" i="47"/>
  <c r="Z457" i="47"/>
  <c r="AA457" i="47"/>
  <c r="AB457" i="47"/>
  <c r="L531" i="47"/>
  <c r="M531" i="47"/>
  <c r="N531" i="47"/>
  <c r="O531" i="47"/>
  <c r="P531" i="47"/>
  <c r="Q531" i="47"/>
  <c r="R531" i="47"/>
  <c r="S531" i="47"/>
  <c r="V531" i="47"/>
  <c r="X531" i="47"/>
  <c r="Y531" i="47"/>
  <c r="Z531" i="47"/>
  <c r="AA531" i="47"/>
  <c r="AB531" i="47"/>
  <c r="L483" i="47"/>
  <c r="M483" i="47"/>
  <c r="N483" i="47"/>
  <c r="P483" i="47"/>
  <c r="Q483" i="47"/>
  <c r="O483" i="47"/>
  <c r="R483" i="47"/>
  <c r="S483" i="47"/>
  <c r="V483" i="47"/>
  <c r="X483" i="47"/>
  <c r="Y483" i="47"/>
  <c r="Z483" i="47"/>
  <c r="AA483" i="47"/>
  <c r="AB483" i="47"/>
  <c r="M427" i="47"/>
  <c r="P427" i="47"/>
  <c r="L548" i="47"/>
  <c r="M548" i="47"/>
  <c r="N548" i="47"/>
  <c r="O548" i="47"/>
  <c r="P548" i="47"/>
  <c r="Q548" i="47"/>
  <c r="R548" i="47"/>
  <c r="S548" i="47"/>
  <c r="V548" i="47"/>
  <c r="X548" i="47"/>
  <c r="Y548" i="47"/>
  <c r="Z548" i="47"/>
  <c r="AA548" i="47"/>
  <c r="AB548" i="47"/>
  <c r="L526" i="47"/>
  <c r="M526" i="47"/>
  <c r="N526" i="47"/>
  <c r="O526" i="47"/>
  <c r="Q526" i="47"/>
  <c r="R526" i="47"/>
  <c r="S526" i="47"/>
  <c r="V526" i="47"/>
  <c r="X526" i="47"/>
  <c r="Y526" i="47"/>
  <c r="P526" i="47"/>
  <c r="Z526" i="47"/>
  <c r="AB526" i="47"/>
  <c r="AA526" i="47"/>
  <c r="L482" i="47"/>
  <c r="M482" i="47"/>
  <c r="O482" i="47"/>
  <c r="P482" i="47"/>
  <c r="N482" i="47"/>
  <c r="Q482" i="47"/>
  <c r="R482" i="47"/>
  <c r="S482" i="47"/>
  <c r="V482" i="47"/>
  <c r="X482" i="47"/>
  <c r="Y482" i="47"/>
  <c r="Z482" i="47"/>
  <c r="AA482" i="47"/>
  <c r="AB482" i="47"/>
  <c r="Q447" i="47"/>
  <c r="L553" i="47"/>
  <c r="M553" i="47"/>
  <c r="N553" i="47"/>
  <c r="O553" i="47"/>
  <c r="Q553" i="47"/>
  <c r="R553" i="47"/>
  <c r="P553" i="47"/>
  <c r="S553" i="47"/>
  <c r="V553" i="47"/>
  <c r="X553" i="47"/>
  <c r="Y553" i="47"/>
  <c r="Z553" i="47"/>
  <c r="AA553" i="47"/>
  <c r="AB553" i="47"/>
  <c r="M583" i="47"/>
  <c r="N583" i="47"/>
  <c r="O583" i="47"/>
  <c r="P583" i="47"/>
  <c r="Q583" i="47"/>
  <c r="R583" i="47"/>
  <c r="L583" i="47"/>
  <c r="S583" i="47"/>
  <c r="V583" i="47"/>
  <c r="X583" i="47"/>
  <c r="Y583" i="47"/>
  <c r="Z583" i="47"/>
  <c r="AA583" i="47"/>
  <c r="AB583" i="47"/>
  <c r="P493" i="47"/>
  <c r="L461" i="47"/>
  <c r="N461" i="47"/>
  <c r="O461" i="47"/>
  <c r="P461" i="47"/>
  <c r="Q461" i="47"/>
  <c r="M461" i="47"/>
  <c r="R461" i="47"/>
  <c r="S461" i="47"/>
  <c r="V461" i="47"/>
  <c r="X461" i="47"/>
  <c r="Y461" i="47"/>
  <c r="Z461" i="47"/>
  <c r="AA461" i="47"/>
  <c r="AB461" i="47"/>
  <c r="L591" i="47"/>
  <c r="N591" i="47"/>
  <c r="O591" i="47"/>
  <c r="P591" i="47"/>
  <c r="M591" i="47"/>
  <c r="Q591" i="47"/>
  <c r="R591" i="47"/>
  <c r="S591" i="47"/>
  <c r="V591" i="47"/>
  <c r="X591" i="47"/>
  <c r="Y591" i="47"/>
  <c r="Z591" i="47"/>
  <c r="AA591" i="47"/>
  <c r="AB591" i="47"/>
  <c r="L603" i="47"/>
  <c r="M603" i="47"/>
  <c r="N603" i="47"/>
  <c r="O603" i="47"/>
  <c r="P603" i="47"/>
  <c r="R603" i="47"/>
  <c r="Q603" i="47"/>
  <c r="S603" i="47"/>
  <c r="V603" i="47"/>
  <c r="X603" i="47"/>
  <c r="AA603" i="47"/>
  <c r="AB603" i="47"/>
  <c r="Y603" i="47"/>
  <c r="Z603" i="47"/>
  <c r="M476" i="47"/>
  <c r="N476" i="47"/>
  <c r="L476" i="47"/>
  <c r="O476" i="47"/>
  <c r="Q476" i="47"/>
  <c r="R476" i="47"/>
  <c r="S476" i="47"/>
  <c r="V476" i="47"/>
  <c r="X476" i="47"/>
  <c r="Y476" i="47"/>
  <c r="Z476" i="47"/>
  <c r="P476" i="47"/>
  <c r="AB476" i="47"/>
  <c r="AA476" i="47"/>
  <c r="L522" i="47"/>
  <c r="M522" i="47"/>
  <c r="N522" i="47"/>
  <c r="O522" i="47"/>
  <c r="P522" i="47"/>
  <c r="Q522" i="47"/>
  <c r="R522" i="47"/>
  <c r="S522" i="47"/>
  <c r="V522" i="47"/>
  <c r="X522" i="47"/>
  <c r="Y522" i="47"/>
  <c r="Z522" i="47"/>
  <c r="AA522" i="47"/>
  <c r="AB522" i="47"/>
  <c r="L431" i="47"/>
  <c r="M431" i="47"/>
  <c r="N431" i="47"/>
  <c r="Q431" i="47"/>
  <c r="R431" i="47"/>
  <c r="O431" i="47"/>
  <c r="P431" i="47"/>
  <c r="S431" i="47"/>
  <c r="V431" i="47"/>
  <c r="X431" i="47"/>
  <c r="Y431" i="47"/>
  <c r="Z431" i="47"/>
  <c r="AA431" i="47"/>
  <c r="AB431" i="47"/>
  <c r="L449" i="47"/>
  <c r="O449" i="47"/>
  <c r="M449" i="47"/>
  <c r="N449" i="47"/>
  <c r="Q449" i="47"/>
  <c r="R449" i="47"/>
  <c r="S449" i="47"/>
  <c r="P449" i="47"/>
  <c r="V449" i="47"/>
  <c r="X449" i="47"/>
  <c r="Y449" i="47"/>
  <c r="Z449" i="47"/>
  <c r="AA449" i="47"/>
  <c r="AB449" i="47"/>
  <c r="AB538" i="47"/>
  <c r="L586" i="47"/>
  <c r="M586" i="47"/>
  <c r="N586" i="47"/>
  <c r="P586" i="47"/>
  <c r="Q586" i="47"/>
  <c r="O586" i="47"/>
  <c r="R586" i="47"/>
  <c r="S586" i="47"/>
  <c r="V586" i="47"/>
  <c r="X586" i="47"/>
  <c r="Y586" i="47"/>
  <c r="Z586" i="47"/>
  <c r="AA586" i="47"/>
  <c r="AB586" i="47"/>
  <c r="L488" i="47"/>
  <c r="N488" i="47"/>
  <c r="O488" i="47"/>
  <c r="M488" i="47"/>
  <c r="P488" i="47"/>
  <c r="Q488" i="47"/>
  <c r="R488" i="47"/>
  <c r="S488" i="47"/>
  <c r="V488" i="47"/>
  <c r="X488" i="47"/>
  <c r="Y488" i="47"/>
  <c r="Z488" i="47"/>
  <c r="AA488" i="47"/>
  <c r="AB488" i="47"/>
  <c r="L423" i="47"/>
  <c r="M423" i="47"/>
  <c r="N423" i="47"/>
  <c r="O423" i="47"/>
  <c r="P423" i="47"/>
  <c r="Q423" i="47"/>
  <c r="R423" i="47"/>
  <c r="S423" i="47"/>
  <c r="V423" i="47"/>
  <c r="X423" i="47"/>
  <c r="Y423" i="47"/>
  <c r="Z423" i="47"/>
  <c r="AA423" i="47"/>
  <c r="AB423" i="47"/>
  <c r="L542" i="47"/>
  <c r="M542" i="47"/>
  <c r="N542" i="47"/>
  <c r="O542" i="47"/>
  <c r="P542" i="47"/>
  <c r="R542" i="47"/>
  <c r="S542" i="47"/>
  <c r="V542" i="47"/>
  <c r="X542" i="47"/>
  <c r="AA542" i="47"/>
  <c r="AB542" i="47"/>
  <c r="Q542" i="47"/>
  <c r="Y542" i="47"/>
  <c r="Z542" i="47"/>
  <c r="M581" i="47"/>
  <c r="L581" i="47"/>
  <c r="N581" i="47"/>
  <c r="O581" i="47"/>
  <c r="P581" i="47"/>
  <c r="Q581" i="47"/>
  <c r="R581" i="47"/>
  <c r="S581" i="47"/>
  <c r="V581" i="47"/>
  <c r="X581" i="47"/>
  <c r="Y581" i="47"/>
  <c r="Z581" i="47"/>
  <c r="AA581" i="47"/>
  <c r="AB581" i="47"/>
  <c r="M430" i="47"/>
  <c r="N430" i="47"/>
  <c r="O430" i="47"/>
  <c r="P430" i="47"/>
  <c r="L430" i="47"/>
  <c r="Q430" i="47"/>
  <c r="R430" i="47"/>
  <c r="S430" i="47"/>
  <c r="V430" i="47"/>
  <c r="X430" i="47"/>
  <c r="Y430" i="47"/>
  <c r="Z430" i="47"/>
  <c r="AA430" i="47"/>
  <c r="AB430" i="47"/>
  <c r="L456" i="47"/>
  <c r="M456" i="47"/>
  <c r="N456" i="47"/>
  <c r="O456" i="47"/>
  <c r="Q456" i="47"/>
  <c r="R456" i="47"/>
  <c r="S456" i="47"/>
  <c r="P456" i="47"/>
  <c r="V456" i="47"/>
  <c r="X456" i="47"/>
  <c r="Y456" i="47"/>
  <c r="Z456" i="47"/>
  <c r="AA456" i="47"/>
  <c r="AB456" i="47"/>
  <c r="N452" i="47"/>
  <c r="AA452" i="47"/>
  <c r="L465" i="47"/>
  <c r="M465" i="47"/>
  <c r="O465" i="47"/>
  <c r="N465" i="47"/>
  <c r="Q465" i="47"/>
  <c r="R465" i="47"/>
  <c r="S465" i="47"/>
  <c r="P465" i="47"/>
  <c r="V465" i="47"/>
  <c r="X465" i="47"/>
  <c r="Y465" i="47"/>
  <c r="Z465" i="47"/>
  <c r="AA465" i="47"/>
  <c r="AB465" i="47"/>
  <c r="L570" i="47"/>
  <c r="M570" i="47"/>
  <c r="O570" i="47"/>
  <c r="N570" i="47"/>
  <c r="P570" i="47"/>
  <c r="Q570" i="47"/>
  <c r="R570" i="47"/>
  <c r="S570" i="47"/>
  <c r="V570" i="47"/>
  <c r="X570" i="47"/>
  <c r="Y570" i="47"/>
  <c r="Z570" i="47"/>
  <c r="AA570" i="47"/>
  <c r="AB570" i="47"/>
  <c r="N515" i="47"/>
  <c r="O515" i="47"/>
  <c r="M515" i="47"/>
  <c r="P515" i="47"/>
  <c r="R515" i="47"/>
  <c r="L515" i="47"/>
  <c r="S515" i="47"/>
  <c r="Q515" i="47"/>
  <c r="V515" i="47"/>
  <c r="X515" i="47"/>
  <c r="Y515" i="47"/>
  <c r="Z515" i="47"/>
  <c r="AA515" i="47"/>
  <c r="AB515" i="47"/>
  <c r="V422" i="47"/>
  <c r="L479" i="47"/>
  <c r="M479" i="47"/>
  <c r="N479" i="47"/>
  <c r="O479" i="47"/>
  <c r="Q479" i="47"/>
  <c r="R479" i="47"/>
  <c r="S479" i="47"/>
  <c r="P479" i="47"/>
  <c r="V479" i="47"/>
  <c r="X479" i="47"/>
  <c r="Y479" i="47"/>
  <c r="Z479" i="47"/>
  <c r="AA479" i="47"/>
  <c r="AB479" i="47"/>
  <c r="L577" i="47"/>
  <c r="M577" i="47"/>
  <c r="N577" i="47"/>
  <c r="P577" i="47"/>
  <c r="Q577" i="47"/>
  <c r="O577" i="47"/>
  <c r="R577" i="47"/>
  <c r="S577" i="47"/>
  <c r="V577" i="47"/>
  <c r="X577" i="47"/>
  <c r="Y577" i="47"/>
  <c r="Z577" i="47"/>
  <c r="AA577" i="47"/>
  <c r="AB577" i="47"/>
  <c r="L446" i="47"/>
  <c r="M446" i="47"/>
  <c r="N446" i="47"/>
  <c r="P446" i="47"/>
  <c r="O446" i="47"/>
  <c r="Q446" i="47"/>
  <c r="R446" i="47"/>
  <c r="Z446" i="47"/>
  <c r="S446" i="47"/>
  <c r="V446" i="47"/>
  <c r="AA446" i="47"/>
  <c r="AB446" i="47"/>
  <c r="Y446" i="47"/>
  <c r="X446" i="47"/>
  <c r="M504" i="47"/>
  <c r="N504" i="47"/>
  <c r="O504" i="47"/>
  <c r="P504" i="47"/>
  <c r="Q504" i="47"/>
  <c r="R504" i="47"/>
  <c r="L504" i="47"/>
  <c r="S504" i="47"/>
  <c r="V504" i="47"/>
  <c r="X504" i="47"/>
  <c r="Y504" i="47"/>
  <c r="Z504" i="47"/>
  <c r="AA504" i="47"/>
  <c r="AB504" i="47"/>
  <c r="M486" i="47"/>
  <c r="N486" i="47"/>
  <c r="O486" i="47"/>
  <c r="P486" i="47"/>
  <c r="L486" i="47"/>
  <c r="Q486" i="47"/>
  <c r="R486" i="47"/>
  <c r="S486" i="47"/>
  <c r="V486" i="47"/>
  <c r="X486" i="47"/>
  <c r="Y486" i="47"/>
  <c r="Z486" i="47"/>
  <c r="AA486" i="47"/>
  <c r="AB486" i="47"/>
  <c r="X516" i="47"/>
  <c r="M575" i="47"/>
  <c r="L575" i="47"/>
  <c r="N575" i="47"/>
  <c r="O575" i="47"/>
  <c r="P575" i="47"/>
  <c r="Q575" i="47"/>
  <c r="R575" i="47"/>
  <c r="S575" i="47"/>
  <c r="V575" i="47"/>
  <c r="X575" i="47"/>
  <c r="Y575" i="47"/>
  <c r="Z575" i="47"/>
  <c r="AA575" i="47"/>
  <c r="AB575" i="47"/>
  <c r="L510" i="47"/>
  <c r="M510" i="47"/>
  <c r="N510" i="47"/>
  <c r="O510" i="47"/>
  <c r="Q510" i="47"/>
  <c r="P510" i="47"/>
  <c r="R510" i="47"/>
  <c r="V510" i="47"/>
  <c r="S510" i="47"/>
  <c r="Y510" i="47"/>
  <c r="AA510" i="47"/>
  <c r="Z510" i="47"/>
  <c r="AB510" i="47"/>
  <c r="X510" i="47"/>
  <c r="Q596" i="47"/>
  <c r="R596" i="47"/>
  <c r="L470" i="47"/>
  <c r="N470" i="47"/>
  <c r="M470" i="47"/>
  <c r="O470" i="47"/>
  <c r="P470" i="47"/>
  <c r="R470" i="47"/>
  <c r="Q470" i="47"/>
  <c r="S470" i="47"/>
  <c r="V470" i="47"/>
  <c r="X470" i="47"/>
  <c r="Y470" i="47"/>
  <c r="Z470" i="47"/>
  <c r="AA470" i="47"/>
  <c r="AB470" i="47"/>
  <c r="L536" i="47"/>
  <c r="M536" i="47"/>
  <c r="N536" i="47"/>
  <c r="O536" i="47"/>
  <c r="P536" i="47"/>
  <c r="Q536" i="47"/>
  <c r="S536" i="47"/>
  <c r="R536" i="47"/>
  <c r="Z536" i="47"/>
  <c r="Y536" i="47"/>
  <c r="V536" i="47"/>
  <c r="AB536" i="47"/>
  <c r="X536" i="47"/>
  <c r="AA536" i="47"/>
  <c r="M503" i="47"/>
  <c r="L503" i="47"/>
  <c r="N503" i="47"/>
  <c r="P503" i="47"/>
  <c r="Q503" i="47"/>
  <c r="O503" i="47"/>
  <c r="R503" i="47"/>
  <c r="S503" i="47"/>
  <c r="V503" i="47"/>
  <c r="X503" i="47"/>
  <c r="Y503" i="47"/>
  <c r="Z503" i="47"/>
  <c r="AA503" i="47"/>
  <c r="AB503" i="47"/>
  <c r="L534" i="47"/>
  <c r="M534" i="47"/>
  <c r="N534" i="47"/>
  <c r="P534" i="47"/>
  <c r="O534" i="47"/>
  <c r="Q534" i="47"/>
  <c r="R534" i="47"/>
  <c r="S534" i="47"/>
  <c r="X534" i="47"/>
  <c r="Z534" i="47"/>
  <c r="Y534" i="47"/>
  <c r="AA534" i="47"/>
  <c r="AB534" i="47"/>
  <c r="V534" i="47"/>
  <c r="L468" i="47"/>
  <c r="M468" i="47"/>
  <c r="N468" i="47"/>
  <c r="O468" i="47"/>
  <c r="Q468" i="47"/>
  <c r="R468" i="47"/>
  <c r="P468" i="47"/>
  <c r="S468" i="47"/>
  <c r="V468" i="47"/>
  <c r="X468" i="47"/>
  <c r="Y468" i="47"/>
  <c r="Z468" i="47"/>
  <c r="AB468" i="47"/>
  <c r="AA468" i="47"/>
  <c r="L491" i="47"/>
  <c r="M491" i="47"/>
  <c r="N491" i="47"/>
  <c r="O491" i="47"/>
  <c r="Q491" i="47"/>
  <c r="P491" i="47"/>
  <c r="R491" i="47"/>
  <c r="S491" i="47"/>
  <c r="Y491" i="47"/>
  <c r="Z491" i="47"/>
  <c r="AA491" i="47"/>
  <c r="AB491" i="47"/>
  <c r="X491" i="47"/>
  <c r="V491" i="47"/>
  <c r="M590" i="47"/>
  <c r="N590" i="47"/>
  <c r="O590" i="47"/>
  <c r="P590" i="47"/>
  <c r="L590" i="47"/>
  <c r="Q590" i="47"/>
  <c r="R590" i="47"/>
  <c r="S590" i="47"/>
  <c r="V590" i="47"/>
  <c r="X590" i="47"/>
  <c r="Y590" i="47"/>
  <c r="Z590" i="47"/>
  <c r="AA590" i="47"/>
  <c r="AB590" i="47"/>
  <c r="L598" i="47"/>
  <c r="N598" i="47"/>
  <c r="O598" i="47"/>
  <c r="M598" i="47"/>
  <c r="P598" i="47"/>
  <c r="Q598" i="47"/>
  <c r="R598" i="47"/>
  <c r="S598" i="47"/>
  <c r="V598" i="47"/>
  <c r="X598" i="47"/>
  <c r="Y598" i="47"/>
  <c r="Z598" i="47"/>
  <c r="AA598" i="47"/>
  <c r="AB598" i="47"/>
  <c r="AB484" i="47"/>
  <c r="L499" i="47"/>
  <c r="M499" i="47"/>
  <c r="N499" i="47"/>
  <c r="O499" i="47"/>
  <c r="Q499" i="47"/>
  <c r="R499" i="47"/>
  <c r="S499" i="47"/>
  <c r="P499" i="47"/>
  <c r="V499" i="47"/>
  <c r="X499" i="47"/>
  <c r="Y499" i="47"/>
  <c r="Z499" i="47"/>
  <c r="AA499" i="47"/>
  <c r="AB499" i="47"/>
  <c r="L550" i="47"/>
  <c r="M550" i="47"/>
  <c r="N550" i="47"/>
  <c r="O550" i="47"/>
  <c r="Q550" i="47"/>
  <c r="R550" i="47"/>
  <c r="P550" i="47"/>
  <c r="S550" i="47"/>
  <c r="V550" i="47"/>
  <c r="X550" i="47"/>
  <c r="Y550" i="47"/>
  <c r="Z550" i="47"/>
  <c r="AA550" i="47"/>
  <c r="AB550" i="47"/>
  <c r="L540" i="47"/>
  <c r="M540" i="47"/>
  <c r="N540" i="47"/>
  <c r="O540" i="47"/>
  <c r="P540" i="47"/>
  <c r="Q540" i="47"/>
  <c r="R540" i="47"/>
  <c r="S540" i="47"/>
  <c r="Y540" i="47"/>
  <c r="AA540" i="47"/>
  <c r="AB540" i="47"/>
  <c r="X540" i="47"/>
  <c r="V540" i="47"/>
  <c r="Z540" i="47"/>
  <c r="L454" i="47"/>
  <c r="M454" i="47"/>
  <c r="N454" i="47"/>
  <c r="P454" i="47"/>
  <c r="O454" i="47"/>
  <c r="Q454" i="47"/>
  <c r="R454" i="47"/>
  <c r="S454" i="47"/>
  <c r="X454" i="47"/>
  <c r="Z454" i="47"/>
  <c r="V454" i="47"/>
  <c r="Y454" i="47"/>
  <c r="AA454" i="47"/>
  <c r="AB454" i="47"/>
  <c r="L528" i="47"/>
  <c r="M528" i="47"/>
  <c r="N528" i="47"/>
  <c r="O528" i="47"/>
  <c r="Q528" i="47"/>
  <c r="R528" i="47"/>
  <c r="S528" i="47"/>
  <c r="P528" i="47"/>
  <c r="V528" i="47"/>
  <c r="X528" i="47"/>
  <c r="Y528" i="47"/>
  <c r="Z528" i="47"/>
  <c r="AA528" i="47"/>
  <c r="AB528" i="47"/>
  <c r="AJ336" i="22" a="1"/>
  <c r="AJ336" i="22" s="1"/>
  <c r="AJ333" i="22" a="1"/>
  <c r="AJ333" i="22" s="1"/>
  <c r="AJ245" i="22" a="1"/>
  <c r="AJ245" i="22" s="1"/>
  <c r="AJ207" i="22" a="1"/>
  <c r="AJ207" i="22" s="1"/>
  <c r="AJ344" i="22" a="1"/>
  <c r="AJ344" i="22" s="1"/>
  <c r="AJ432" i="22" a="1"/>
  <c r="AJ432" i="22" s="1"/>
  <c r="AJ483" i="22" a="1"/>
  <c r="AJ483" i="22" s="1"/>
  <c r="AJ321" i="22" a="1"/>
  <c r="AJ321" i="22" s="1"/>
  <c r="AJ281" i="22" a="1"/>
  <c r="AJ281" i="22" s="1"/>
  <c r="F56" i="34"/>
  <c r="B5" i="22" s="1"/>
  <c r="AJ153" i="22" a="1"/>
  <c r="AJ153" i="22" s="1"/>
  <c r="F1442" i="47"/>
  <c r="M1442" i="47" s="1"/>
  <c r="V17" i="34"/>
  <c r="O20" i="34"/>
  <c r="N14" i="34"/>
  <c r="F1477" i="47"/>
  <c r="M1477" i="47" s="1"/>
  <c r="S5" i="34"/>
  <c r="AJ192" i="22" a="1"/>
  <c r="AJ192" i="22" s="1"/>
  <c r="AJ189" i="22" a="1"/>
  <c r="AJ189" i="22" s="1"/>
  <c r="AJ171" i="22" a="1"/>
  <c r="AJ171" i="22" s="1"/>
  <c r="AJ128" i="22" a="1"/>
  <c r="AJ128" i="22" s="1"/>
  <c r="AJ147" i="22" a="1"/>
  <c r="AJ147" i="22" s="1"/>
  <c r="AJ227" i="22" a="1"/>
  <c r="AJ227" i="22" s="1"/>
  <c r="AJ111" i="22" a="1"/>
  <c r="AJ111" i="22" s="1"/>
  <c r="AJ494" i="22" a="1"/>
  <c r="AJ494" i="22" s="1"/>
  <c r="AJ175" i="22" a="1"/>
  <c r="AJ175" i="22" s="1"/>
  <c r="AJ363" i="22" a="1"/>
  <c r="AJ363" i="22" s="1"/>
  <c r="AJ186" i="22" a="1"/>
  <c r="AJ186" i="22" s="1"/>
  <c r="AJ466" i="22" a="1"/>
  <c r="AJ466" i="22" s="1"/>
  <c r="AJ401" i="22" a="1"/>
  <c r="AJ401" i="22" s="1"/>
  <c r="AJ447" i="22" a="1"/>
  <c r="AJ447" i="22" s="1"/>
  <c r="AJ444" i="22" a="1"/>
  <c r="AJ444" i="22" s="1"/>
  <c r="AJ354" i="22" a="1"/>
  <c r="AJ354" i="22" s="1"/>
  <c r="AJ190" i="22" a="1"/>
  <c r="AJ190" i="22" s="1"/>
  <c r="AJ246" i="22" a="1"/>
  <c r="AJ246" i="22" s="1"/>
  <c r="AJ265" i="22" a="1"/>
  <c r="AJ265" i="22" s="1"/>
  <c r="AJ218" i="22" a="1"/>
  <c r="AJ218" i="22" s="1"/>
  <c r="AJ164" i="22" a="1"/>
  <c r="AJ164" i="22" s="1"/>
  <c r="AJ291" i="22" a="1"/>
  <c r="AJ291" i="22" s="1"/>
  <c r="AJ418" i="22" a="1"/>
  <c r="AJ418" i="22" s="1"/>
  <c r="AJ404" i="22" a="1"/>
  <c r="AJ404" i="22" s="1"/>
  <c r="AJ224" i="22" a="1"/>
  <c r="AJ224" i="22" s="1"/>
  <c r="AJ430" i="22" a="1"/>
  <c r="AJ430" i="22" s="1"/>
  <c r="AJ365" i="22" a="1"/>
  <c r="AJ365" i="22" s="1"/>
  <c r="AJ452" i="22" a="1"/>
  <c r="AJ452" i="22" s="1"/>
  <c r="AJ197" i="22" a="1"/>
  <c r="AJ197" i="22" s="1"/>
  <c r="AJ464" i="22" a="1"/>
  <c r="AJ464" i="22" s="1"/>
  <c r="AJ243" i="22" a="1"/>
  <c r="AJ243" i="22" s="1"/>
  <c r="AJ463" i="22" a="1"/>
  <c r="AJ463" i="22" s="1"/>
  <c r="AJ324" i="22" a="1"/>
  <c r="AJ324" i="22" s="1"/>
  <c r="AJ263" i="22" a="1"/>
  <c r="AJ263" i="22" s="1"/>
  <c r="AJ484" i="22" a="1"/>
  <c r="AJ484" i="22" s="1"/>
  <c r="AJ393" i="22" a="1"/>
  <c r="AJ393" i="22" s="1"/>
  <c r="AJ216" i="22" a="1"/>
  <c r="AJ216" i="22" s="1"/>
  <c r="AJ296" i="22" a="1"/>
  <c r="AJ296" i="22" s="1"/>
  <c r="AJ262" i="22" a="1"/>
  <c r="AJ262" i="22" s="1"/>
  <c r="AJ399" i="22" a="1"/>
  <c r="AJ399" i="22" s="1"/>
  <c r="AJ287" i="22" a="1"/>
  <c r="AJ287" i="22" s="1"/>
  <c r="AJ405" i="22" a="1"/>
  <c r="AJ405" i="22" s="1"/>
  <c r="AJ327" i="22" a="1"/>
  <c r="AJ327" i="22" s="1"/>
  <c r="AJ255" i="22" a="1"/>
  <c r="AJ255" i="22" s="1"/>
  <c r="AJ293" i="22" a="1"/>
  <c r="AJ293" i="22" s="1"/>
  <c r="AJ434" i="22" a="1"/>
  <c r="AJ434" i="22" s="1"/>
  <c r="AJ221" i="22" a="1"/>
  <c r="AJ221" i="22" s="1"/>
  <c r="AJ257" i="22" a="1"/>
  <c r="AJ257" i="22" s="1"/>
  <c r="AJ109" i="22" a="1"/>
  <c r="AJ109" i="22" s="1"/>
  <c r="AJ173" i="22" a="1"/>
  <c r="AJ173" i="22" s="1"/>
  <c r="AJ182" i="22" a="1"/>
  <c r="AJ182" i="22" s="1"/>
  <c r="AJ385" i="22" a="1"/>
  <c r="AJ385" i="22" s="1"/>
  <c r="AJ277" i="22" a="1"/>
  <c r="AJ277" i="22" s="1"/>
  <c r="AJ145" i="22" a="1"/>
  <c r="AJ145" i="22" s="1"/>
  <c r="AJ400" i="22" a="1"/>
  <c r="AJ400" i="22" s="1"/>
  <c r="AJ384" i="22" a="1"/>
  <c r="AJ384" i="22" s="1"/>
  <c r="AJ250" i="22" a="1"/>
  <c r="AJ250" i="22" s="1"/>
  <c r="AJ347" i="22" a="1"/>
  <c r="AJ347" i="22" s="1"/>
  <c r="AJ416" i="22" a="1"/>
  <c r="AJ416" i="22" s="1"/>
  <c r="AJ362" i="22" a="1"/>
  <c r="AJ362" i="22" s="1"/>
  <c r="AJ458" i="22" a="1"/>
  <c r="AJ458" i="22" s="1"/>
  <c r="AJ459" i="22" a="1"/>
  <c r="AJ459" i="22" s="1"/>
  <c r="AJ302" i="22" a="1"/>
  <c r="AJ302" i="22" s="1"/>
  <c r="AJ241" i="22" a="1"/>
  <c r="AJ241" i="22" s="1"/>
  <c r="AJ374" i="22" a="1"/>
  <c r="AJ374" i="22" s="1"/>
  <c r="AJ99" i="22" a="1"/>
  <c r="AJ99" i="22" s="1"/>
  <c r="AJ485" i="22" a="1"/>
  <c r="AJ485" i="22" s="1"/>
  <c r="AJ127" i="22" a="1"/>
  <c r="AJ127" i="22" s="1"/>
  <c r="AJ174" i="22" a="1"/>
  <c r="AJ174" i="22" s="1"/>
  <c r="AJ297" i="22" a="1"/>
  <c r="AJ297" i="22" s="1"/>
  <c r="AJ124" i="22" a="1"/>
  <c r="AJ124" i="22" s="1"/>
  <c r="AJ229" i="22" a="1"/>
  <c r="AJ229" i="22" s="1"/>
  <c r="AJ279" i="22" a="1"/>
  <c r="AJ279" i="22" s="1"/>
  <c r="AJ425" i="22" a="1"/>
  <c r="AJ425" i="22" s="1"/>
  <c r="AJ103" i="22" a="1"/>
  <c r="AJ103" i="22" s="1"/>
  <c r="AJ272" i="22" a="1"/>
  <c r="AJ272" i="22" s="1"/>
  <c r="AJ130" i="22" a="1"/>
  <c r="AJ130" i="22" s="1"/>
  <c r="AJ481" i="22" a="1"/>
  <c r="AJ481" i="22" s="1"/>
  <c r="AJ460" i="22" a="1"/>
  <c r="AJ460" i="22" s="1"/>
  <c r="AJ357" i="22" a="1"/>
  <c r="AJ357" i="22" s="1"/>
  <c r="AJ397" i="22" a="1"/>
  <c r="AJ397" i="22" s="1"/>
  <c r="AJ439" i="22" a="1"/>
  <c r="AJ439" i="22" s="1"/>
  <c r="AJ214" i="22" a="1"/>
  <c r="AJ214" i="22" s="1"/>
  <c r="AJ223" i="22" a="1"/>
  <c r="AJ223" i="22" s="1"/>
  <c r="AJ392" i="22" a="1"/>
  <c r="AJ392" i="22" s="1"/>
  <c r="AJ179" i="22" a="1"/>
  <c r="AJ179" i="22" s="1"/>
  <c r="AJ282" i="22" a="1"/>
  <c r="AJ282" i="22" s="1"/>
  <c r="AJ269" i="22" a="1"/>
  <c r="AJ269" i="22" s="1"/>
  <c r="AJ115" i="22" a="1"/>
  <c r="AJ115" i="22" s="1"/>
  <c r="AJ318" i="22" a="1"/>
  <c r="AJ318" i="22" s="1"/>
  <c r="AJ271" i="22" a="1"/>
  <c r="AJ271" i="22" s="1"/>
  <c r="AJ231" i="22" a="1"/>
  <c r="AJ231" i="22" s="1"/>
  <c r="AJ196" i="22" a="1"/>
  <c r="AJ196" i="22" s="1"/>
  <c r="AJ440" i="22" a="1"/>
  <c r="AJ440" i="22" s="1"/>
  <c r="AJ496" i="22" a="1"/>
  <c r="AJ496" i="22" s="1"/>
  <c r="AJ475" i="22" a="1"/>
  <c r="AJ475" i="22" s="1"/>
  <c r="AJ313" i="22" a="1"/>
  <c r="AJ313" i="22" s="1"/>
  <c r="AJ203" i="22" a="1"/>
  <c r="AJ203" i="22" s="1"/>
  <c r="AJ139" i="22" a="1"/>
  <c r="AJ139" i="22" s="1"/>
  <c r="AJ195" i="22" a="1"/>
  <c r="AJ195" i="22" s="1"/>
  <c r="AJ102" i="22" a="1"/>
  <c r="AJ102" i="22" s="1"/>
  <c r="AJ112" i="22" a="1"/>
  <c r="AJ112" i="22" s="1"/>
  <c r="AJ462" i="22" a="1"/>
  <c r="AJ462" i="22" s="1"/>
  <c r="AJ237" i="22" a="1"/>
  <c r="AJ237" i="22" s="1"/>
  <c r="AJ113" i="22" a="1"/>
  <c r="AJ113" i="22" s="1"/>
  <c r="AJ380" i="22" a="1"/>
  <c r="AJ380" i="22" s="1"/>
  <c r="AJ403" i="22" a="1"/>
  <c r="AJ403" i="22" s="1"/>
  <c r="AJ339" i="22" a="1"/>
  <c r="AJ339" i="22" s="1"/>
  <c r="AJ445" i="22" a="1"/>
  <c r="AJ445" i="22" s="1"/>
  <c r="AJ131" i="22" a="1"/>
  <c r="AJ131" i="22" s="1"/>
  <c r="AJ367" i="22" a="1"/>
  <c r="AJ367" i="22" s="1"/>
  <c r="AJ476" i="22" a="1"/>
  <c r="AJ476" i="22" s="1"/>
  <c r="AJ436" i="22" a="1"/>
  <c r="AJ436" i="22" s="1"/>
  <c r="AJ420" i="22" a="1"/>
  <c r="AJ420" i="22" s="1"/>
  <c r="AJ152" i="22" a="1"/>
  <c r="AJ152" i="22" s="1"/>
  <c r="AJ143" i="22" a="1"/>
  <c r="AJ143" i="22" s="1"/>
  <c r="AJ215" i="22" a="1"/>
  <c r="AJ215" i="22" s="1"/>
  <c r="AJ350" i="22" a="1"/>
  <c r="AJ350" i="22" s="1"/>
  <c r="AJ495" i="22" a="1"/>
  <c r="AJ495" i="22" s="1"/>
  <c r="AJ317" i="22" a="1"/>
  <c r="AJ317" i="22" s="1"/>
  <c r="AJ387" i="22" a="1"/>
  <c r="AJ387" i="22" s="1"/>
  <c r="AJ429" i="22" a="1"/>
  <c r="AJ429" i="22" s="1"/>
  <c r="AJ285" i="22" a="1"/>
  <c r="AJ285" i="22" s="1"/>
  <c r="AJ142" i="22" a="1"/>
  <c r="AJ142" i="22" s="1"/>
  <c r="AJ234" i="22" a="1"/>
  <c r="AJ234" i="22" s="1"/>
  <c r="AJ298" i="22" a="1"/>
  <c r="AJ298" i="22" s="1"/>
  <c r="AJ213" i="22" a="1"/>
  <c r="AJ213" i="22" s="1"/>
  <c r="AJ146" i="22" a="1"/>
  <c r="AJ146" i="22" s="1"/>
  <c r="AJ355" i="22" a="1"/>
  <c r="AJ355" i="22" s="1"/>
  <c r="AJ194" i="22" a="1"/>
  <c r="AJ194" i="22" s="1"/>
  <c r="AJ390" i="22" a="1"/>
  <c r="AJ390" i="22" s="1"/>
  <c r="AJ443" i="22" a="1"/>
  <c r="AJ443" i="22" s="1"/>
  <c r="AJ244" i="22" a="1"/>
  <c r="AJ244" i="22" s="1"/>
  <c r="AJ191" i="22" a="1"/>
  <c r="AJ191" i="22" s="1"/>
  <c r="AJ292" i="22" a="1"/>
  <c r="AJ292" i="22" s="1"/>
  <c r="AJ258" i="22" a="1"/>
  <c r="AJ258" i="22" s="1"/>
  <c r="AJ468" i="22" a="1"/>
  <c r="AJ468" i="22" s="1"/>
  <c r="AJ441" i="22" a="1"/>
  <c r="AJ441" i="22" s="1"/>
  <c r="AJ209" i="22" a="1"/>
  <c r="AJ209" i="22" s="1"/>
  <c r="AJ273" i="22" a="1"/>
  <c r="AJ273" i="22" s="1"/>
  <c r="AJ366" i="22" a="1"/>
  <c r="AJ366" i="22" s="1"/>
  <c r="AJ376" i="22" a="1"/>
  <c r="AJ376" i="22" s="1"/>
  <c r="AJ268" i="22" a="1"/>
  <c r="AJ268" i="22" s="1"/>
  <c r="AJ165" i="22" a="1"/>
  <c r="AJ165" i="22" s="1"/>
  <c r="AJ178" i="22" a="1"/>
  <c r="AJ178" i="22" s="1"/>
  <c r="AJ251" i="22" a="1"/>
  <c r="AJ251" i="22" s="1"/>
  <c r="AJ266" i="22" a="1"/>
  <c r="AJ266" i="22" s="1"/>
  <c r="AJ332" i="22" a="1"/>
  <c r="AJ332" i="22" s="1"/>
  <c r="AJ204" i="22" a="1"/>
  <c r="AJ204" i="22" s="1"/>
  <c r="AJ450" i="22" a="1"/>
  <c r="AJ450" i="22" s="1"/>
  <c r="AJ493" i="22" a="1"/>
  <c r="AJ493" i="22" s="1"/>
  <c r="AJ396" i="22" a="1"/>
  <c r="AJ396" i="22" s="1"/>
  <c r="AJ108" i="22" a="1"/>
  <c r="AJ108" i="22" s="1"/>
  <c r="AJ133" i="22" a="1"/>
  <c r="AJ133" i="22" s="1"/>
  <c r="AJ294" i="22" a="1"/>
  <c r="AJ294" i="22" s="1"/>
  <c r="AJ331" i="22" a="1"/>
  <c r="AJ331" i="22" s="1"/>
  <c r="AJ149" i="22" a="1"/>
  <c r="AJ149" i="22" s="1"/>
  <c r="AJ226" i="22" a="1"/>
  <c r="AJ226" i="22" s="1"/>
  <c r="AJ360" i="22" a="1"/>
  <c r="AJ360" i="22" s="1"/>
  <c r="AJ364" i="22" a="1"/>
  <c r="AJ364" i="22" s="1"/>
  <c r="AJ270" i="22" a="1"/>
  <c r="AJ270" i="22" s="1"/>
  <c r="AJ315" i="22" a="1"/>
  <c r="AJ315" i="22" s="1"/>
  <c r="AJ160" i="22" a="1"/>
  <c r="AJ160" i="22" s="1"/>
  <c r="AJ185" i="22" a="1"/>
  <c r="AJ185" i="22" s="1"/>
  <c r="AJ283" i="22" a="1"/>
  <c r="AJ283" i="22" s="1"/>
  <c r="AJ446" i="22" a="1"/>
  <c r="AJ446" i="22" s="1"/>
  <c r="AJ121" i="22" a="1"/>
  <c r="AJ121" i="22" s="1"/>
  <c r="AJ361" i="22" a="1"/>
  <c r="AJ361" i="22" s="1"/>
  <c r="AJ474" i="22" a="1"/>
  <c r="AJ474" i="22" s="1"/>
  <c r="AJ208" i="22" a="1"/>
  <c r="AJ208" i="22" s="1"/>
  <c r="AJ328" i="22" a="1"/>
  <c r="AJ328" i="22" s="1"/>
  <c r="AJ225" i="22" a="1"/>
  <c r="AJ225" i="22" s="1"/>
  <c r="AJ118" i="22" a="1"/>
  <c r="AJ118" i="22" s="1"/>
  <c r="AJ337" i="22" a="1"/>
  <c r="AJ337" i="22" s="1"/>
  <c r="AJ345" i="22" a="1"/>
  <c r="AJ345" i="22" s="1"/>
  <c r="AJ414" i="22" a="1"/>
  <c r="AJ414" i="22" s="1"/>
  <c r="AJ305" i="22" a="1"/>
  <c r="AJ305" i="22" s="1"/>
  <c r="AJ253" i="22" a="1"/>
  <c r="AJ253" i="22" s="1"/>
  <c r="AJ301" i="22" a="1"/>
  <c r="AJ301" i="22" s="1"/>
  <c r="AJ411" i="22" a="1"/>
  <c r="AJ411" i="22" s="1"/>
  <c r="AJ470" i="22" a="1"/>
  <c r="AJ470" i="22" s="1"/>
  <c r="AJ248" i="22" a="1"/>
  <c r="AJ248" i="22" s="1"/>
  <c r="AJ371" i="22" a="1"/>
  <c r="AJ371" i="22" s="1"/>
  <c r="AJ353" i="22" a="1"/>
  <c r="AJ353" i="22" s="1"/>
  <c r="AJ34" i="22" a="1"/>
  <c r="AJ34" i="22" s="1"/>
  <c r="AJ467" i="22" a="1"/>
  <c r="AJ467" i="22" s="1"/>
  <c r="AJ202" i="22" a="1"/>
  <c r="AJ202" i="22" s="1"/>
  <c r="AJ498" i="22" a="1"/>
  <c r="AJ498" i="22" s="1"/>
  <c r="AJ110" i="22" a="1"/>
  <c r="AJ110" i="22" s="1"/>
  <c r="AJ230" i="22" a="1"/>
  <c r="AJ230" i="22" s="1"/>
  <c r="AJ256" i="22" a="1"/>
  <c r="AJ256" i="22" s="1"/>
  <c r="AJ50" i="22" a="1"/>
  <c r="AJ50" i="22" s="1"/>
  <c r="AJ310" i="22" a="1"/>
  <c r="AJ310" i="22" s="1"/>
  <c r="AJ156" i="22" a="1"/>
  <c r="AJ156" i="22" s="1"/>
  <c r="AJ349" i="22" a="1"/>
  <c r="AJ349" i="22" s="1"/>
  <c r="AJ334" i="22" a="1"/>
  <c r="AJ334" i="22" s="1"/>
  <c r="AJ67" i="22" a="1"/>
  <c r="AJ67" i="22" s="1"/>
  <c r="AJ497" i="22" a="1"/>
  <c r="AJ497" i="22" s="1"/>
  <c r="AJ435" i="22" a="1"/>
  <c r="AJ435" i="22" s="1"/>
  <c r="AJ240" i="22" a="1"/>
  <c r="AJ240" i="22" s="1"/>
  <c r="AJ356" i="22" a="1"/>
  <c r="AJ356" i="22" s="1"/>
  <c r="AJ180" i="22" a="1"/>
  <c r="AJ180" i="22" s="1"/>
  <c r="AJ343" i="22" a="1"/>
  <c r="AJ343" i="22" s="1"/>
  <c r="AJ100" i="22" a="1"/>
  <c r="AJ100" i="22" s="1"/>
  <c r="AJ228" i="22" a="1"/>
  <c r="AJ228" i="22" s="1"/>
  <c r="AJ211" i="22" a="1"/>
  <c r="AJ211" i="22" s="1"/>
  <c r="AJ348" i="22" a="1"/>
  <c r="AJ348" i="22" s="1"/>
  <c r="AJ358" i="22" a="1"/>
  <c r="AJ358" i="22" s="1"/>
  <c r="AJ33" i="22" a="1"/>
  <c r="AJ33" i="22" s="1"/>
  <c r="AJ235" i="22" a="1"/>
  <c r="AJ235" i="22" s="1"/>
  <c r="AJ449" i="22" a="1"/>
  <c r="AJ449" i="22" s="1"/>
  <c r="AJ492" i="22" a="1"/>
  <c r="AJ492" i="22" s="1"/>
  <c r="AJ276" i="22" a="1"/>
  <c r="AJ276" i="22" s="1"/>
  <c r="AJ278" i="22" a="1"/>
  <c r="AJ278" i="22" s="1"/>
  <c r="AJ177" i="22" a="1"/>
  <c r="AJ177" i="22" s="1"/>
  <c r="AJ119" i="22" a="1"/>
  <c r="AJ119" i="22" s="1"/>
  <c r="AJ168" i="22" a="1"/>
  <c r="AJ168" i="22" s="1"/>
  <c r="AJ338" i="22" a="1"/>
  <c r="AJ338" i="22" s="1"/>
  <c r="AJ71" i="22" a="1"/>
  <c r="AJ71" i="22" s="1"/>
  <c r="AJ53" i="22" a="1"/>
  <c r="AJ53" i="22" s="1"/>
  <c r="AJ158" i="22" a="1"/>
  <c r="AJ158" i="22" s="1"/>
  <c r="AJ141" i="22" a="1"/>
  <c r="AJ141" i="22" s="1"/>
  <c r="AJ370" i="22" a="1"/>
  <c r="AJ370" i="22" s="1"/>
  <c r="AJ123" i="22" a="1"/>
  <c r="AJ123" i="22" s="1"/>
  <c r="AJ219" i="22" a="1"/>
  <c r="AJ219" i="22" s="1"/>
  <c r="AJ455" i="22" a="1"/>
  <c r="AJ455" i="22" s="1"/>
  <c r="AJ340" i="22" a="1"/>
  <c r="AJ340" i="22" s="1"/>
  <c r="AJ212" i="22" a="1"/>
  <c r="AJ212" i="22" s="1"/>
  <c r="AJ151" i="22" a="1"/>
  <c r="AJ151" i="22" s="1"/>
  <c r="AJ477" i="22" a="1"/>
  <c r="AJ477" i="22" s="1"/>
  <c r="AJ60" i="22" a="1"/>
  <c r="AJ60" i="22" s="1"/>
  <c r="AJ49" i="22" a="1"/>
  <c r="AJ49" i="22" s="1"/>
  <c r="AJ136" i="22" a="1"/>
  <c r="AJ136" i="22" s="1"/>
  <c r="AJ132" i="22" a="1"/>
  <c r="AJ132" i="22" s="1"/>
  <c r="AJ169" i="22" a="1"/>
  <c r="AJ169" i="22" s="1"/>
  <c r="AJ222" i="22" a="1"/>
  <c r="AJ222" i="22" s="1"/>
  <c r="AJ193" i="22" a="1"/>
  <c r="AJ193" i="22" s="1"/>
  <c r="AJ157" i="22" a="1"/>
  <c r="AJ157" i="22" s="1"/>
  <c r="AJ322" i="22" a="1"/>
  <c r="AJ322" i="22" s="1"/>
  <c r="AJ162" i="22" a="1"/>
  <c r="AJ162" i="22" s="1"/>
  <c r="AJ161" i="22" a="1"/>
  <c r="AJ161" i="22" s="1"/>
  <c r="AJ472" i="22" a="1"/>
  <c r="AJ472" i="22" s="1"/>
  <c r="AJ406" i="22" a="1"/>
  <c r="AJ406" i="22" s="1"/>
  <c r="AJ382" i="22" a="1"/>
  <c r="AJ382" i="22" s="1"/>
  <c r="AJ433" i="22" a="1"/>
  <c r="AJ433" i="22" s="1"/>
  <c r="AJ311" i="22" a="1"/>
  <c r="AJ311" i="22" s="1"/>
  <c r="AJ412" i="22" a="1"/>
  <c r="AJ412" i="22" s="1"/>
  <c r="AJ106" i="22" a="1"/>
  <c r="AJ106" i="22" s="1"/>
  <c r="AJ478" i="22" a="1"/>
  <c r="AJ478" i="22" s="1"/>
  <c r="AJ395" i="22" a="1"/>
  <c r="AJ395" i="22" s="1"/>
  <c r="AJ422" i="22" a="1"/>
  <c r="AJ422" i="22" s="1"/>
  <c r="AJ381" i="22" a="1"/>
  <c r="AJ381" i="22" s="1"/>
  <c r="AJ402" i="22" a="1"/>
  <c r="AJ402" i="22" s="1"/>
  <c r="AJ457" i="22" a="1"/>
  <c r="AJ457" i="22" s="1"/>
  <c r="AJ419" i="22" a="1"/>
  <c r="AJ419" i="22" s="1"/>
  <c r="AJ320" i="22" a="1"/>
  <c r="AJ320" i="22" s="1"/>
  <c r="AJ184" i="22" a="1"/>
  <c r="AJ184" i="22" s="1"/>
  <c r="AJ486" i="22" a="1"/>
  <c r="AJ486" i="22" s="1"/>
  <c r="AJ144" i="22" a="1"/>
  <c r="AJ144" i="22" s="1"/>
  <c r="AJ187" i="22" a="1"/>
  <c r="AJ187" i="22" s="1"/>
  <c r="AJ170" i="22" a="1"/>
  <c r="AJ170" i="22" s="1"/>
  <c r="AJ389" i="22" a="1"/>
  <c r="AJ389" i="22" s="1"/>
  <c r="AJ469" i="22" a="1"/>
  <c r="AJ469" i="22" s="1"/>
  <c r="AJ415" i="22" a="1"/>
  <c r="AJ415" i="22" s="1"/>
  <c r="AJ232" i="22" a="1"/>
  <c r="AJ232" i="22" s="1"/>
  <c r="AJ98" i="22" a="1"/>
  <c r="AJ98" i="22" s="1"/>
  <c r="AJ351" i="22" a="1"/>
  <c r="AJ351" i="22" s="1"/>
  <c r="AJ137" i="22" a="1"/>
  <c r="AJ137" i="22" s="1"/>
  <c r="AJ388" i="22" a="1"/>
  <c r="AJ388" i="22" s="1"/>
  <c r="AJ92" i="22" a="1"/>
  <c r="AJ92" i="22" s="1"/>
  <c r="AJ166" i="22" a="1"/>
  <c r="AJ166" i="22" s="1"/>
  <c r="AJ428" i="22" a="1"/>
  <c r="AJ428" i="22" s="1"/>
  <c r="AJ74" i="22" a="1"/>
  <c r="AJ74" i="22" s="1"/>
  <c r="AJ93" i="22" a="1"/>
  <c r="AJ93" i="22" s="1"/>
  <c r="AJ63" i="22" a="1"/>
  <c r="AJ63" i="22" s="1"/>
  <c r="AJ94" i="22" a="1"/>
  <c r="AJ94" i="22" s="1"/>
  <c r="AJ88" i="22" a="1"/>
  <c r="AJ88" i="22" s="1"/>
  <c r="AJ61" i="22" a="1"/>
  <c r="AJ61" i="22" s="1"/>
  <c r="AJ47" i="22" a="1"/>
  <c r="AJ47" i="22" s="1"/>
  <c r="AJ30" i="22" a="1"/>
  <c r="AJ30" i="22" s="1"/>
  <c r="AJ46" i="22" a="1"/>
  <c r="AJ46" i="22" s="1"/>
  <c r="AJ36" i="22" a="1"/>
  <c r="AJ36" i="22" s="1"/>
  <c r="AJ205" i="22" a="1"/>
  <c r="AJ205" i="22" s="1"/>
  <c r="AJ408" i="22" a="1"/>
  <c r="AJ408" i="22" s="1"/>
  <c r="AJ220" i="22" a="1"/>
  <c r="AJ220" i="22" s="1"/>
  <c r="AJ280" i="22" a="1"/>
  <c r="AJ280" i="22" s="1"/>
  <c r="AJ101" i="22" a="1"/>
  <c r="AJ101" i="22" s="1"/>
  <c r="AJ138" i="22" a="1"/>
  <c r="AJ138" i="22" s="1"/>
  <c r="AJ488" i="22" a="1"/>
  <c r="AJ488" i="22" s="1"/>
  <c r="AJ431" i="22" a="1"/>
  <c r="AJ431" i="22" s="1"/>
  <c r="AJ290" i="22" a="1"/>
  <c r="AJ290" i="22" s="1"/>
  <c r="AJ150" i="22" a="1"/>
  <c r="AJ150" i="22" s="1"/>
  <c r="AJ438" i="22" a="1"/>
  <c r="AJ438" i="22" s="1"/>
  <c r="AJ163" i="22" a="1"/>
  <c r="AJ163" i="22" s="1"/>
  <c r="AJ114" i="22" a="1"/>
  <c r="AJ114" i="22" s="1"/>
  <c r="AJ312" i="22" a="1"/>
  <c r="AJ312" i="22" s="1"/>
  <c r="AJ239" i="22" a="1"/>
  <c r="AJ239" i="22" s="1"/>
  <c r="AJ451" i="22" a="1"/>
  <c r="AJ451" i="22" s="1"/>
  <c r="AJ369" i="22" a="1"/>
  <c r="AJ369" i="22" s="1"/>
  <c r="AJ154" i="22" a="1"/>
  <c r="AJ154" i="22" s="1"/>
  <c r="AJ427" i="22" a="1"/>
  <c r="AJ427" i="22" s="1"/>
  <c r="AJ409" i="22" a="1"/>
  <c r="AJ409" i="22" s="1"/>
  <c r="AJ188" i="22" a="1"/>
  <c r="AJ188" i="22" s="1"/>
  <c r="AJ176" i="22" a="1"/>
  <c r="AJ176" i="22" s="1"/>
  <c r="AJ330" i="22" a="1"/>
  <c r="AJ330" i="22" s="1"/>
  <c r="AJ167" i="22" a="1"/>
  <c r="AJ167" i="22" s="1"/>
  <c r="AJ249" i="22" a="1"/>
  <c r="AJ249" i="22" s="1"/>
  <c r="AJ377" i="22" a="1"/>
  <c r="AJ377" i="22" s="1"/>
  <c r="AJ373" i="22" a="1"/>
  <c r="AJ373" i="22" s="1"/>
  <c r="AJ129" i="22" a="1"/>
  <c r="AJ129" i="22" s="1"/>
  <c r="AJ233" i="22" a="1"/>
  <c r="AJ233" i="22" s="1"/>
  <c r="AJ125" i="22" a="1"/>
  <c r="AJ125" i="22" s="1"/>
  <c r="AJ316" i="22" a="1"/>
  <c r="AJ316" i="22" s="1"/>
  <c r="AJ275" i="22" a="1"/>
  <c r="AJ275" i="22" s="1"/>
  <c r="AJ261" i="22" a="1"/>
  <c r="AJ261" i="22" s="1"/>
  <c r="AJ314" i="22" a="1"/>
  <c r="AJ314" i="22" s="1"/>
  <c r="AJ155" i="22" a="1"/>
  <c r="AJ155" i="22" s="1"/>
  <c r="AJ210" i="22" a="1"/>
  <c r="AJ210" i="22" s="1"/>
  <c r="AJ148" i="22" a="1"/>
  <c r="AJ148" i="22" s="1"/>
  <c r="AJ104" i="22" a="1"/>
  <c r="AJ104" i="22" s="1"/>
  <c r="AJ471" i="22" a="1"/>
  <c r="AJ471" i="22" s="1"/>
  <c r="AJ200" i="22" a="1"/>
  <c r="AJ200" i="22" s="1"/>
  <c r="AJ437" i="22" a="1"/>
  <c r="AJ437" i="22" s="1"/>
  <c r="AJ66" i="22" a="1"/>
  <c r="AJ66" i="22" s="1"/>
  <c r="AJ89" i="22" a="1"/>
  <c r="AJ89" i="22" s="1"/>
  <c r="AJ57" i="22" a="1"/>
  <c r="AJ57" i="22" s="1"/>
  <c r="AJ76" i="22" a="1"/>
  <c r="AJ76" i="22" s="1"/>
  <c r="AJ85" i="22" a="1"/>
  <c r="AJ85" i="22" s="1"/>
  <c r="AJ51" i="22" a="1"/>
  <c r="AJ51" i="22" s="1"/>
  <c r="AJ13" i="22" a="1"/>
  <c r="AJ13" i="22" s="1"/>
  <c r="AJ10" i="22" a="1"/>
  <c r="AJ10" i="22" s="1"/>
  <c r="AJ39" i="22" a="1"/>
  <c r="AJ39" i="22" s="1"/>
  <c r="AJ23" i="22" a="1"/>
  <c r="AJ23" i="22" s="1"/>
  <c r="AJ18" i="22" a="1"/>
  <c r="AJ18" i="22" s="1"/>
  <c r="AJ407" i="22" a="1"/>
  <c r="AJ407" i="22" s="1"/>
  <c r="AJ97" i="22" a="1"/>
  <c r="AJ97" i="22" s="1"/>
  <c r="AJ181" i="22" a="1"/>
  <c r="AJ181" i="22" s="1"/>
  <c r="AJ264" i="22" a="1"/>
  <c r="AJ264" i="22" s="1"/>
  <c r="AJ413" i="22" a="1"/>
  <c r="AJ413" i="22" s="1"/>
  <c r="AJ424" i="22" a="1"/>
  <c r="AJ424" i="22" s="1"/>
  <c r="AJ456" i="22" a="1"/>
  <c r="AJ456" i="22" s="1"/>
  <c r="AJ303" i="22" a="1"/>
  <c r="AJ303" i="22" s="1"/>
  <c r="AJ252" i="22" a="1"/>
  <c r="AJ252" i="22" s="1"/>
  <c r="AJ372" i="22" a="1"/>
  <c r="AJ372" i="22" s="1"/>
  <c r="AJ259" i="22" a="1"/>
  <c r="AJ259" i="22" s="1"/>
  <c r="AJ391" i="22" a="1"/>
  <c r="AJ391" i="22" s="1"/>
  <c r="AJ341" i="22" a="1"/>
  <c r="AJ341" i="22" s="1"/>
  <c r="AJ326" i="22" a="1"/>
  <c r="AJ326" i="22" s="1"/>
  <c r="AJ120" i="22" a="1"/>
  <c r="AJ120" i="22" s="1"/>
  <c r="AJ183" i="22" a="1"/>
  <c r="AJ183" i="22" s="1"/>
  <c r="AJ217" i="22" a="1"/>
  <c r="AJ217" i="22" s="1"/>
  <c r="AJ140" i="22" a="1"/>
  <c r="AJ140" i="22" s="1"/>
  <c r="AJ453" i="22" a="1"/>
  <c r="AJ453" i="22" s="1"/>
  <c r="AJ346" i="22" a="1"/>
  <c r="AJ346" i="22" s="1"/>
  <c r="AJ260" i="22" a="1"/>
  <c r="AJ260" i="22" s="1"/>
  <c r="AJ383" i="22" a="1"/>
  <c r="AJ383" i="22" s="1"/>
  <c r="AJ342" i="22" a="1"/>
  <c r="AJ342" i="22" s="1"/>
  <c r="AJ426" i="22" a="1"/>
  <c r="AJ426" i="22" s="1"/>
  <c r="AJ172" i="22" a="1"/>
  <c r="AJ172" i="22" s="1"/>
  <c r="AJ198" i="22" a="1"/>
  <c r="AJ198" i="22" s="1"/>
  <c r="AJ379" i="22" a="1"/>
  <c r="AJ379" i="22" s="1"/>
  <c r="AJ284" i="22" a="1"/>
  <c r="AJ284" i="22" s="1"/>
  <c r="AJ306" i="22" a="1"/>
  <c r="AJ306" i="22" s="1"/>
  <c r="AJ442" i="22" a="1"/>
  <c r="AJ442" i="22" s="1"/>
  <c r="AJ489" i="22" a="1"/>
  <c r="AJ489" i="22" s="1"/>
  <c r="AJ105" i="22" a="1"/>
  <c r="AJ105" i="22" s="1"/>
  <c r="AJ410" i="22" a="1"/>
  <c r="AJ410" i="22" s="1"/>
  <c r="AJ254" i="22" a="1"/>
  <c r="AJ254" i="22" s="1"/>
  <c r="AJ135" i="22" a="1"/>
  <c r="AJ135" i="22" s="1"/>
  <c r="AJ323" i="22" a="1"/>
  <c r="AJ323" i="22" s="1"/>
  <c r="AJ352" i="22" a="1"/>
  <c r="AJ352" i="22" s="1"/>
  <c r="AJ286" i="22" a="1"/>
  <c r="AJ286" i="22" s="1"/>
  <c r="AJ309" i="22" a="1"/>
  <c r="AJ309" i="22" s="1"/>
  <c r="AJ448" i="22" a="1"/>
  <c r="AJ448" i="22" s="1"/>
  <c r="AJ116" i="22" a="1"/>
  <c r="AJ116" i="22" s="1"/>
  <c r="AJ58" i="22" a="1"/>
  <c r="AJ58" i="22" s="1"/>
  <c r="AJ79" i="22" a="1"/>
  <c r="AJ79" i="22" s="1"/>
  <c r="AJ319" i="22" a="1"/>
  <c r="AJ319" i="22" s="1"/>
  <c r="AJ70" i="22" a="1"/>
  <c r="AJ70" i="22" s="1"/>
  <c r="AJ77" i="22" a="1"/>
  <c r="AJ77" i="22" s="1"/>
  <c r="AJ15" i="22" a="1"/>
  <c r="AJ15" i="22" s="1"/>
  <c r="AJ40" i="22" a="1"/>
  <c r="AJ40" i="22" s="1"/>
  <c r="AJ83" i="22" a="1"/>
  <c r="AJ83" i="22" s="1"/>
  <c r="AJ26" i="22" a="1"/>
  <c r="AJ26" i="22" s="1"/>
  <c r="AJ14" i="22" a="1"/>
  <c r="AJ14" i="22" s="1"/>
  <c r="AJ201" i="22" a="1"/>
  <c r="AJ201" i="22" s="1"/>
  <c r="AJ295" i="22" a="1"/>
  <c r="AJ295" i="22" s="1"/>
  <c r="AJ289" i="22" a="1"/>
  <c r="AJ289" i="22" s="1"/>
  <c r="AJ117" i="22" a="1"/>
  <c r="AJ117" i="22" s="1"/>
  <c r="AJ386" i="22" a="1"/>
  <c r="AJ386" i="22" s="1"/>
  <c r="AJ482" i="22" a="1"/>
  <c r="AJ482" i="22" s="1"/>
  <c r="AJ378" i="22" a="1"/>
  <c r="AJ378" i="22" s="1"/>
  <c r="AJ122" i="22" a="1"/>
  <c r="AJ122" i="22" s="1"/>
  <c r="AJ473" i="22" a="1"/>
  <c r="AJ473" i="22" s="1"/>
  <c r="AJ461" i="22" a="1"/>
  <c r="AJ461" i="22" s="1"/>
  <c r="AJ242" i="22" a="1"/>
  <c r="AJ242" i="22" s="1"/>
  <c r="AJ325" i="22" a="1"/>
  <c r="AJ325" i="22" s="1"/>
  <c r="AJ307" i="22" a="1"/>
  <c r="AJ307" i="22" s="1"/>
  <c r="AJ421" i="22" a="1"/>
  <c r="AJ421" i="22" s="1"/>
  <c r="AJ329" i="22" a="1"/>
  <c r="AJ329" i="22" s="1"/>
  <c r="AJ480" i="22" a="1"/>
  <c r="AJ480" i="22" s="1"/>
  <c r="AJ300" i="22" a="1"/>
  <c r="AJ300" i="22" s="1"/>
  <c r="AJ359" i="22" a="1"/>
  <c r="AJ359" i="22" s="1"/>
  <c r="AJ304" i="22" a="1"/>
  <c r="AJ304" i="22" s="1"/>
  <c r="AJ199" i="22" a="1"/>
  <c r="AJ199" i="22" s="1"/>
  <c r="AJ368" i="22" a="1"/>
  <c r="AJ368" i="22" s="1"/>
  <c r="AJ68" i="22" a="1"/>
  <c r="AJ68" i="22" s="1"/>
  <c r="AJ91" i="22" a="1"/>
  <c r="AJ91" i="22" s="1"/>
  <c r="AJ75" i="22" a="1"/>
  <c r="AJ75" i="22" s="1"/>
  <c r="AJ59" i="22" a="1"/>
  <c r="AJ59" i="22" s="1"/>
  <c r="AJ288" i="22" a="1"/>
  <c r="AJ288" i="22" s="1"/>
  <c r="AJ95" i="22" a="1"/>
  <c r="AJ95" i="22" s="1"/>
  <c r="AJ72" i="22" a="1"/>
  <c r="AJ72" i="22" s="1"/>
  <c r="AJ90" i="22" a="1"/>
  <c r="AJ90" i="22" s="1"/>
  <c r="AJ84" i="22" a="1"/>
  <c r="AJ84" i="22" s="1"/>
  <c r="AJ65" i="22" a="1"/>
  <c r="AJ65" i="22" s="1"/>
  <c r="AJ45" i="22" a="1"/>
  <c r="AJ45" i="22" s="1"/>
  <c r="AJ52" i="22" a="1"/>
  <c r="AJ52" i="22" s="1"/>
  <c r="AJ41" i="22" a="1"/>
  <c r="AJ41" i="22" s="1"/>
  <c r="AJ32" i="22" a="1"/>
  <c r="AJ32" i="22" s="1"/>
  <c r="AJ9" i="22" a="1"/>
  <c r="AJ9" i="22" s="1"/>
  <c r="AJ48" i="22" a="1"/>
  <c r="AJ48" i="22" s="1"/>
  <c r="AJ28" i="22" a="1"/>
  <c r="AJ28" i="22" s="1"/>
  <c r="AJ12" i="22" a="1"/>
  <c r="AJ12" i="22" s="1"/>
  <c r="AJ17" i="22" a="1"/>
  <c r="AJ17" i="22" s="1"/>
  <c r="AJ236" i="22" a="1"/>
  <c r="AJ236" i="22" s="1"/>
  <c r="AJ134" i="22" a="1"/>
  <c r="AJ134" i="22" s="1"/>
  <c r="AJ479" i="22" a="1"/>
  <c r="AJ479" i="22" s="1"/>
  <c r="AJ206" i="22" a="1"/>
  <c r="AJ206" i="22" s="1"/>
  <c r="AJ423" i="22" a="1"/>
  <c r="AJ423" i="22" s="1"/>
  <c r="AJ398" i="22" a="1"/>
  <c r="AJ398" i="22" s="1"/>
  <c r="AJ490" i="22" a="1"/>
  <c r="AJ490" i="22" s="1"/>
  <c r="AJ487" i="22" a="1"/>
  <c r="AJ487" i="22" s="1"/>
  <c r="AJ238" i="22" a="1"/>
  <c r="AJ238" i="22" s="1"/>
  <c r="AJ454" i="22" a="1"/>
  <c r="AJ454" i="22" s="1"/>
  <c r="AJ159" i="22" a="1"/>
  <c r="AJ159" i="22" s="1"/>
  <c r="AJ491" i="22" a="1"/>
  <c r="AJ491" i="22" s="1"/>
  <c r="AJ375" i="22" a="1"/>
  <c r="AJ375" i="22" s="1"/>
  <c r="AJ394" i="22" a="1"/>
  <c r="AJ394" i="22" s="1"/>
  <c r="AJ299" i="22" a="1"/>
  <c r="AJ299" i="22" s="1"/>
  <c r="AJ274" i="22" a="1"/>
  <c r="AJ274" i="22" s="1"/>
  <c r="AJ247" i="22" a="1"/>
  <c r="AJ247" i="22" s="1"/>
  <c r="AJ308" i="22" a="1"/>
  <c r="AJ308" i="22" s="1"/>
  <c r="AJ465" i="22" a="1"/>
  <c r="AJ465" i="22" s="1"/>
  <c r="AJ417" i="22" a="1"/>
  <c r="AJ417" i="22" s="1"/>
  <c r="AJ126" i="22" a="1"/>
  <c r="AJ126" i="22" s="1"/>
  <c r="AJ78" i="22" a="1"/>
  <c r="AJ78" i="22" s="1"/>
  <c r="AJ62" i="22" a="1"/>
  <c r="AJ62" i="22" s="1"/>
  <c r="AJ335" i="22" a="1"/>
  <c r="AJ335" i="22" s="1"/>
  <c r="AJ87" i="22" a="1"/>
  <c r="AJ87" i="22" s="1"/>
  <c r="AJ69" i="22" a="1"/>
  <c r="AJ69" i="22" s="1"/>
  <c r="AJ54" i="22" a="1"/>
  <c r="AJ54" i="22" s="1"/>
  <c r="AJ107" i="22" a="1"/>
  <c r="AJ107" i="22" s="1"/>
  <c r="AJ80" i="22" a="1"/>
  <c r="AJ80" i="22" s="1"/>
  <c r="AJ64" i="22" a="1"/>
  <c r="AJ64" i="22" s="1"/>
  <c r="AJ86" i="22" a="1"/>
  <c r="AJ86" i="22" s="1"/>
  <c r="AJ73" i="22" a="1"/>
  <c r="AJ73" i="22" s="1"/>
  <c r="AJ55" i="22" a="1"/>
  <c r="AJ55" i="22" s="1"/>
  <c r="AJ82" i="22" a="1"/>
  <c r="AJ82" i="22" s="1"/>
  <c r="AJ42" i="22" a="1"/>
  <c r="AJ42" i="22" s="1"/>
  <c r="AJ29" i="22" a="1"/>
  <c r="AJ29" i="22" s="1"/>
  <c r="AJ56" i="22" a="1"/>
  <c r="AJ56" i="22" s="1"/>
  <c r="AJ43" i="22" a="1"/>
  <c r="AJ43" i="22" s="1"/>
  <c r="AJ24" i="22" a="1"/>
  <c r="AJ24" i="22" s="1"/>
  <c r="AJ27" i="22" a="1"/>
  <c r="AJ27" i="22" s="1"/>
  <c r="AJ267" i="22" a="1"/>
  <c r="AJ267" i="22" s="1"/>
  <c r="AJ31" i="22" a="1"/>
  <c r="AJ31" i="22" s="1"/>
  <c r="AJ21" i="22" a="1"/>
  <c r="AJ21" i="22" s="1"/>
  <c r="AJ37" i="22" a="1"/>
  <c r="AJ37" i="22" s="1"/>
  <c r="AJ20" i="22" a="1"/>
  <c r="AJ20" i="22" s="1"/>
  <c r="AJ35" i="22" a="1"/>
  <c r="AJ35" i="22" s="1"/>
  <c r="AJ81" i="22" a="1"/>
  <c r="AJ81" i="22" s="1"/>
  <c r="AJ44" i="22" a="1"/>
  <c r="AJ44" i="22" s="1"/>
  <c r="AJ38" i="22" a="1"/>
  <c r="AJ38" i="22" s="1"/>
  <c r="AJ22" i="22" a="1"/>
  <c r="AJ22" i="22" s="1"/>
  <c r="AJ16" i="22" a="1"/>
  <c r="AJ16" i="22" s="1"/>
  <c r="AJ25" i="22" a="1"/>
  <c r="AJ25" i="22" s="1"/>
  <c r="AJ19" i="22" a="1"/>
  <c r="AJ19" i="22" s="1"/>
  <c r="AJ11" i="22" a="1"/>
  <c r="AJ11" i="22" s="1"/>
  <c r="X566" i="47" l="1"/>
  <c r="V566" i="47"/>
  <c r="S566" i="47"/>
  <c r="R566" i="47"/>
  <c r="P566" i="47"/>
  <c r="L506" i="47"/>
  <c r="M566" i="47"/>
  <c r="AB566" i="47"/>
  <c r="N566" i="47"/>
  <c r="AA566" i="47"/>
  <c r="L566" i="47"/>
  <c r="J566" i="47"/>
  <c r="X606" i="47"/>
  <c r="Y606" i="47"/>
  <c r="X574" i="47"/>
  <c r="AB574" i="47"/>
  <c r="M574" i="47"/>
  <c r="P442" i="47"/>
  <c r="O442" i="47"/>
  <c r="AB532" i="47"/>
  <c r="L532" i="47"/>
  <c r="M442" i="47"/>
  <c r="Z574" i="47"/>
  <c r="AB442" i="47"/>
  <c r="N442" i="47"/>
  <c r="AA574" i="47"/>
  <c r="AA442" i="47"/>
  <c r="L442" i="47"/>
  <c r="Y574" i="47"/>
  <c r="Z442" i="47"/>
  <c r="S574" i="47"/>
  <c r="Y442" i="47"/>
  <c r="R574" i="47"/>
  <c r="X442" i="47"/>
  <c r="P574" i="47"/>
  <c r="O425" i="47"/>
  <c r="V442" i="47"/>
  <c r="Q574" i="47"/>
  <c r="J442" i="47"/>
  <c r="S442" i="47"/>
  <c r="O574" i="47"/>
  <c r="R442" i="47"/>
  <c r="N574" i="47"/>
  <c r="J574" i="47"/>
  <c r="V574" i="47"/>
  <c r="N532" i="47"/>
  <c r="S606" i="47"/>
  <c r="U606" i="47"/>
  <c r="O532" i="47"/>
  <c r="V606" i="47"/>
  <c r="AA532" i="47"/>
  <c r="M532" i="47"/>
  <c r="Z532" i="47"/>
  <c r="M606" i="47"/>
  <c r="Y532" i="47"/>
  <c r="N606" i="47"/>
  <c r="X532" i="47"/>
  <c r="O606" i="47"/>
  <c r="V532" i="47"/>
  <c r="Z606" i="47"/>
  <c r="P532" i="47"/>
  <c r="AA606" i="47"/>
  <c r="S532" i="47"/>
  <c r="Q606" i="47"/>
  <c r="AB606" i="47"/>
  <c r="R532" i="47"/>
  <c r="R606" i="47"/>
  <c r="J606" i="47"/>
  <c r="Q532" i="47"/>
  <c r="P606" i="47"/>
  <c r="S440" i="47"/>
  <c r="Z511" i="47"/>
  <c r="P439" i="47"/>
  <c r="O578" i="47"/>
  <c r="Z604" i="47"/>
  <c r="Q524" i="47"/>
  <c r="N578" i="47"/>
  <c r="Y604" i="47"/>
  <c r="AB578" i="47"/>
  <c r="M578" i="47"/>
  <c r="X604" i="47"/>
  <c r="AA578" i="47"/>
  <c r="L578" i="47"/>
  <c r="V604" i="47"/>
  <c r="Z578" i="47"/>
  <c r="S604" i="47"/>
  <c r="Y578" i="47"/>
  <c r="X578" i="47"/>
  <c r="Q604" i="47"/>
  <c r="R604" i="47"/>
  <c r="V578" i="47"/>
  <c r="P604" i="47"/>
  <c r="S578" i="47"/>
  <c r="O604" i="47"/>
  <c r="R578" i="47"/>
  <c r="N604" i="47"/>
  <c r="Q578" i="47"/>
  <c r="AB604" i="47"/>
  <c r="M604" i="47"/>
  <c r="P578" i="47"/>
  <c r="AA604" i="47"/>
  <c r="L604" i="47"/>
  <c r="P555" i="47"/>
  <c r="R584" i="47"/>
  <c r="Q584" i="47"/>
  <c r="P584" i="47"/>
  <c r="O584" i="47"/>
  <c r="AB584" i="47"/>
  <c r="M584" i="47"/>
  <c r="J584" i="47"/>
  <c r="AA584" i="47"/>
  <c r="L584" i="47"/>
  <c r="L555" i="47"/>
  <c r="Z584" i="47"/>
  <c r="Y584" i="47"/>
  <c r="AA555" i="47"/>
  <c r="X584" i="47"/>
  <c r="Y555" i="47"/>
  <c r="V584" i="47"/>
  <c r="V555" i="47"/>
  <c r="X440" i="47"/>
  <c r="AB511" i="47"/>
  <c r="M511" i="47"/>
  <c r="R439" i="47"/>
  <c r="J511" i="47"/>
  <c r="V440" i="47"/>
  <c r="AA511" i="47"/>
  <c r="L511" i="47"/>
  <c r="Q439" i="47"/>
  <c r="R440" i="47"/>
  <c r="Y511" i="47"/>
  <c r="M439" i="47"/>
  <c r="Q440" i="47"/>
  <c r="X511" i="47"/>
  <c r="AB439" i="47"/>
  <c r="N439" i="47"/>
  <c r="L440" i="47"/>
  <c r="V511" i="47"/>
  <c r="AA439" i="47"/>
  <c r="L439" i="47"/>
  <c r="P440" i="47"/>
  <c r="S511" i="47"/>
  <c r="Z439" i="47"/>
  <c r="J439" i="47"/>
  <c r="O440" i="47"/>
  <c r="R511" i="47"/>
  <c r="Y439" i="47"/>
  <c r="AB440" i="47"/>
  <c r="N440" i="47"/>
  <c r="Q511" i="47"/>
  <c r="X439" i="47"/>
  <c r="AA440" i="47"/>
  <c r="M440" i="47"/>
  <c r="P511" i="47"/>
  <c r="V439" i="47"/>
  <c r="Z440" i="47"/>
  <c r="O511" i="47"/>
  <c r="S439" i="47"/>
  <c r="Y440" i="47"/>
  <c r="AA608" i="47"/>
  <c r="Y608" i="47"/>
  <c r="J608" i="47"/>
  <c r="J473" i="47"/>
  <c r="Y473" i="47"/>
  <c r="Y424" i="47"/>
  <c r="Z455" i="47"/>
  <c r="N596" i="47"/>
  <c r="O427" i="47"/>
  <c r="V424" i="47"/>
  <c r="R582" i="47"/>
  <c r="M596" i="47"/>
  <c r="AB427" i="47"/>
  <c r="N427" i="47"/>
  <c r="S424" i="47"/>
  <c r="Q582" i="47"/>
  <c r="AB596" i="47"/>
  <c r="O596" i="47"/>
  <c r="AA427" i="47"/>
  <c r="L427" i="47"/>
  <c r="R424" i="47"/>
  <c r="P582" i="47"/>
  <c r="X424" i="47"/>
  <c r="AA596" i="47"/>
  <c r="L596" i="47"/>
  <c r="Z427" i="47"/>
  <c r="Q424" i="47"/>
  <c r="O582" i="47"/>
  <c r="J582" i="47"/>
  <c r="Z596" i="47"/>
  <c r="Y427" i="47"/>
  <c r="P424" i="47"/>
  <c r="M582" i="47"/>
  <c r="Y596" i="47"/>
  <c r="X427" i="47"/>
  <c r="O424" i="47"/>
  <c r="AB582" i="47"/>
  <c r="N582" i="47"/>
  <c r="AA455" i="47"/>
  <c r="J427" i="47"/>
  <c r="X596" i="47"/>
  <c r="V427" i="47"/>
  <c r="N424" i="47"/>
  <c r="AA582" i="47"/>
  <c r="L582" i="47"/>
  <c r="V596" i="47"/>
  <c r="Q427" i="47"/>
  <c r="AB424" i="47"/>
  <c r="M424" i="47"/>
  <c r="Z582" i="47"/>
  <c r="J596" i="47"/>
  <c r="S596" i="47"/>
  <c r="S427" i="47"/>
  <c r="AA424" i="47"/>
  <c r="L424" i="47"/>
  <c r="Y582" i="47"/>
  <c r="S455" i="47"/>
  <c r="Z424" i="47"/>
  <c r="X458" i="47"/>
  <c r="AB428" i="47"/>
  <c r="M428" i="47"/>
  <c r="S447" i="47"/>
  <c r="R447" i="47"/>
  <c r="P447" i="47"/>
  <c r="O447" i="47"/>
  <c r="L447" i="47"/>
  <c r="J447" i="47"/>
  <c r="AB447" i="47"/>
  <c r="N447" i="47"/>
  <c r="AA447" i="47"/>
  <c r="M447" i="47"/>
  <c r="Z447" i="47"/>
  <c r="Y447" i="47"/>
  <c r="X447" i="47"/>
  <c r="AA428" i="47"/>
  <c r="L428" i="47"/>
  <c r="V458" i="47"/>
  <c r="Z428" i="47"/>
  <c r="S458" i="47"/>
  <c r="Y428" i="47"/>
  <c r="L458" i="47"/>
  <c r="J458" i="47"/>
  <c r="X428" i="47"/>
  <c r="R458" i="47"/>
  <c r="V428" i="47"/>
  <c r="Q458" i="47"/>
  <c r="S428" i="47"/>
  <c r="P458" i="47"/>
  <c r="J428" i="47"/>
  <c r="P428" i="47"/>
  <c r="O458" i="47"/>
  <c r="R428" i="47"/>
  <c r="AB458" i="47"/>
  <c r="N458" i="47"/>
  <c r="Q428" i="47"/>
  <c r="AA458" i="47"/>
  <c r="M458" i="47"/>
  <c r="O428" i="47"/>
  <c r="Z458" i="47"/>
  <c r="M541" i="47"/>
  <c r="P595" i="47"/>
  <c r="O595" i="47"/>
  <c r="N595" i="47"/>
  <c r="AB595" i="47"/>
  <c r="M595" i="47"/>
  <c r="U608" i="47"/>
  <c r="AA595" i="47"/>
  <c r="L595" i="47"/>
  <c r="J595" i="47"/>
  <c r="P608" i="47"/>
  <c r="Z595" i="47"/>
  <c r="L608" i="47"/>
  <c r="Y595" i="47"/>
  <c r="V608" i="47"/>
  <c r="Q608" i="47"/>
  <c r="X595" i="47"/>
  <c r="M608" i="47"/>
  <c r="AB608" i="47"/>
  <c r="V595" i="47"/>
  <c r="O608" i="47"/>
  <c r="R608" i="47"/>
  <c r="S595" i="47"/>
  <c r="J541" i="47"/>
  <c r="S608" i="47"/>
  <c r="N608" i="47"/>
  <c r="R595" i="47"/>
  <c r="V541" i="47"/>
  <c r="X608" i="47"/>
  <c r="S545" i="47"/>
  <c r="AB506" i="47"/>
  <c r="N506" i="47"/>
  <c r="Q545" i="47"/>
  <c r="AA506" i="47"/>
  <c r="M506" i="47"/>
  <c r="R545" i="47"/>
  <c r="Z506" i="47"/>
  <c r="P545" i="47"/>
  <c r="Y506" i="47"/>
  <c r="O545" i="47"/>
  <c r="J506" i="47"/>
  <c r="X506" i="47"/>
  <c r="N545" i="47"/>
  <c r="V506" i="47"/>
  <c r="Y545" i="47"/>
  <c r="M545" i="47"/>
  <c r="S506" i="47"/>
  <c r="Z545" i="47"/>
  <c r="L545" i="47"/>
  <c r="R506" i="47"/>
  <c r="AB545" i="47"/>
  <c r="J545" i="47"/>
  <c r="Q506" i="47"/>
  <c r="AA545" i="47"/>
  <c r="P506" i="47"/>
  <c r="X545" i="47"/>
  <c r="Q498" i="47"/>
  <c r="O498" i="47"/>
  <c r="P500" i="47"/>
  <c r="N498" i="47"/>
  <c r="AA498" i="47"/>
  <c r="M498" i="47"/>
  <c r="AB498" i="47"/>
  <c r="L498" i="47"/>
  <c r="Z498" i="47"/>
  <c r="J498" i="47"/>
  <c r="Y498" i="47"/>
  <c r="X498" i="47"/>
  <c r="V498" i="47"/>
  <c r="S498" i="47"/>
  <c r="X609" i="47"/>
  <c r="S609" i="47"/>
  <c r="R425" i="47"/>
  <c r="Q425" i="47"/>
  <c r="J425" i="47"/>
  <c r="P425" i="47"/>
  <c r="N425" i="47"/>
  <c r="AB425" i="47"/>
  <c r="M425" i="47"/>
  <c r="AA425" i="47"/>
  <c r="L425" i="47"/>
  <c r="Z425" i="47"/>
  <c r="Y425" i="47"/>
  <c r="X425" i="47"/>
  <c r="Y609" i="47"/>
  <c r="V425" i="47"/>
  <c r="AA607" i="47"/>
  <c r="J607" i="47"/>
  <c r="V607" i="47"/>
  <c r="S607" i="47"/>
  <c r="Z609" i="47"/>
  <c r="N607" i="47"/>
  <c r="Q609" i="47"/>
  <c r="R607" i="47"/>
  <c r="R609" i="47"/>
  <c r="X607" i="47"/>
  <c r="V609" i="47"/>
  <c r="U609" i="47"/>
  <c r="T615" i="47"/>
  <c r="U607" i="47"/>
  <c r="Y607" i="47"/>
  <c r="M609" i="47"/>
  <c r="N609" i="47"/>
  <c r="AC615" i="47"/>
  <c r="AB607" i="47"/>
  <c r="P609" i="47"/>
  <c r="L609" i="47"/>
  <c r="Q607" i="47"/>
  <c r="L607" i="47"/>
  <c r="J609" i="47"/>
  <c r="Z607" i="47"/>
  <c r="O607" i="47"/>
  <c r="AB609" i="47"/>
  <c r="P607" i="47"/>
  <c r="AA609" i="47"/>
  <c r="AC612" i="47"/>
  <c r="T612" i="47"/>
  <c r="AC614" i="47"/>
  <c r="T614" i="47"/>
  <c r="AE613" i="47"/>
  <c r="AE611" i="47"/>
  <c r="V28" i="47"/>
  <c r="W28" i="47" s="1"/>
  <c r="V29" i="47" s="1"/>
  <c r="W29" i="47" s="1"/>
  <c r="L9" i="13"/>
  <c r="AE610" i="47"/>
  <c r="U540" i="47"/>
  <c r="AC540" i="47" s="1"/>
  <c r="U469" i="47"/>
  <c r="U428" i="47"/>
  <c r="U553" i="47"/>
  <c r="AC553" i="47" s="1"/>
  <c r="U483" i="47"/>
  <c r="AC483" i="47" s="1"/>
  <c r="U542" i="47"/>
  <c r="AC542" i="47" s="1"/>
  <c r="U511" i="47"/>
  <c r="U494" i="47"/>
  <c r="AC494" i="47" s="1"/>
  <c r="U434" i="47"/>
  <c r="AC434" i="47" s="1"/>
  <c r="U596" i="47"/>
  <c r="U595" i="47"/>
  <c r="U529" i="47"/>
  <c r="AC529" i="47" s="1"/>
  <c r="U551" i="47"/>
  <c r="AC551" i="47" s="1"/>
  <c r="U519" i="47"/>
  <c r="AC519" i="47" s="1"/>
  <c r="U576" i="47"/>
  <c r="AC576" i="47" s="1"/>
  <c r="U468" i="47"/>
  <c r="AC468" i="47" s="1"/>
  <c r="U584" i="47"/>
  <c r="U523" i="47"/>
  <c r="AC523" i="47" s="1"/>
  <c r="U603" i="47"/>
  <c r="AC603" i="47" s="1"/>
  <c r="U539" i="47"/>
  <c r="AC539" i="47" s="1"/>
  <c r="U433" i="47"/>
  <c r="AC433" i="47" s="1"/>
  <c r="U536" i="47"/>
  <c r="AC536" i="47" s="1"/>
  <c r="U578" i="47"/>
  <c r="U491" i="47"/>
  <c r="AC491" i="47" s="1"/>
  <c r="U470" i="47"/>
  <c r="AC470" i="47" s="1"/>
  <c r="U424" i="47"/>
  <c r="U588" i="47"/>
  <c r="AC588" i="47" s="1"/>
  <c r="U530" i="47"/>
  <c r="AC530" i="47" s="1"/>
  <c r="U486" i="47"/>
  <c r="AC486" i="47" s="1"/>
  <c r="U488" i="47"/>
  <c r="AC488" i="47" s="1"/>
  <c r="U568" i="47"/>
  <c r="AC568" i="47" s="1"/>
  <c r="U425" i="47"/>
  <c r="U473" i="47"/>
  <c r="Q544" i="47"/>
  <c r="Y471" i="47"/>
  <c r="R527" i="47"/>
  <c r="O474" i="47"/>
  <c r="AA543" i="47"/>
  <c r="AB544" i="47"/>
  <c r="P544" i="47"/>
  <c r="X507" i="47"/>
  <c r="Q480" i="47"/>
  <c r="AB579" i="47"/>
  <c r="O579" i="47"/>
  <c r="S508" i="47"/>
  <c r="X471" i="47"/>
  <c r="AB541" i="47"/>
  <c r="P541" i="47"/>
  <c r="X460" i="47"/>
  <c r="V443" i="47"/>
  <c r="AA554" i="47"/>
  <c r="O554" i="47"/>
  <c r="S487" i="47"/>
  <c r="L474" i="47"/>
  <c r="V543" i="47"/>
  <c r="AA544" i="47"/>
  <c r="M544" i="47"/>
  <c r="P480" i="47"/>
  <c r="AA579" i="47"/>
  <c r="N579" i="47"/>
  <c r="V471" i="47"/>
  <c r="AA541" i="47"/>
  <c r="O541" i="47"/>
  <c r="V460" i="47"/>
  <c r="S563" i="47"/>
  <c r="S585" i="47"/>
  <c r="Z554" i="47"/>
  <c r="N554" i="47"/>
  <c r="Q455" i="47"/>
  <c r="Q512" i="47"/>
  <c r="P487" i="47"/>
  <c r="AB474" i="47"/>
  <c r="Q474" i="47"/>
  <c r="Y543" i="47"/>
  <c r="O544" i="47"/>
  <c r="N544" i="47"/>
  <c r="AB480" i="47"/>
  <c r="O480" i="47"/>
  <c r="S450" i="47"/>
  <c r="Z579" i="47"/>
  <c r="M579" i="47"/>
  <c r="M508" i="47"/>
  <c r="Z541" i="47"/>
  <c r="N541" i="47"/>
  <c r="R563" i="47"/>
  <c r="R443" i="47"/>
  <c r="R585" i="47"/>
  <c r="Y444" i="47"/>
  <c r="Y554" i="47"/>
  <c r="M554" i="47"/>
  <c r="P455" i="47"/>
  <c r="R487" i="47"/>
  <c r="AA474" i="47"/>
  <c r="P474" i="47"/>
  <c r="Z543" i="47"/>
  <c r="Z544" i="47"/>
  <c r="L544" i="47"/>
  <c r="AA480" i="47"/>
  <c r="N480" i="47"/>
  <c r="Y579" i="47"/>
  <c r="L579" i="47"/>
  <c r="Y541" i="47"/>
  <c r="L541" i="47"/>
  <c r="P563" i="47"/>
  <c r="P443" i="47"/>
  <c r="Q585" i="47"/>
  <c r="AA444" i="47"/>
  <c r="X554" i="47"/>
  <c r="Q485" i="47"/>
  <c r="M455" i="47"/>
  <c r="M471" i="47"/>
  <c r="Q487" i="47"/>
  <c r="Z474" i="47"/>
  <c r="N474" i="47"/>
  <c r="Y544" i="47"/>
  <c r="S507" i="47"/>
  <c r="Z480" i="47"/>
  <c r="M480" i="47"/>
  <c r="R450" i="47"/>
  <c r="X579" i="47"/>
  <c r="AB508" i="47"/>
  <c r="P508" i="47"/>
  <c r="S471" i="47"/>
  <c r="X541" i="47"/>
  <c r="S460" i="47"/>
  <c r="N563" i="47"/>
  <c r="N443" i="47"/>
  <c r="P585" i="47"/>
  <c r="V444" i="47"/>
  <c r="V554" i="47"/>
  <c r="L455" i="47"/>
  <c r="AA487" i="47"/>
  <c r="O487" i="47"/>
  <c r="Y474" i="47"/>
  <c r="M474" i="47"/>
  <c r="X544" i="47"/>
  <c r="V579" i="47"/>
  <c r="L471" i="47"/>
  <c r="R460" i="47"/>
  <c r="AB487" i="47"/>
  <c r="N487" i="47"/>
  <c r="X474" i="47"/>
  <c r="R543" i="47"/>
  <c r="V544" i="47"/>
  <c r="R507" i="47"/>
  <c r="X480" i="47"/>
  <c r="AA450" i="47"/>
  <c r="P450" i="47"/>
  <c r="Z508" i="47"/>
  <c r="N508" i="47"/>
  <c r="R471" i="47"/>
  <c r="Q460" i="47"/>
  <c r="L563" i="47"/>
  <c r="L443" i="47"/>
  <c r="AA585" i="47"/>
  <c r="N585" i="47"/>
  <c r="S444" i="47"/>
  <c r="Z487" i="47"/>
  <c r="M487" i="47"/>
  <c r="V474" i="47"/>
  <c r="Q471" i="47"/>
  <c r="P460" i="47"/>
  <c r="Q444" i="47"/>
  <c r="Y487" i="47"/>
  <c r="L487" i="47"/>
  <c r="X543" i="47"/>
  <c r="P543" i="47"/>
  <c r="AB507" i="47"/>
  <c r="O507" i="47"/>
  <c r="Z450" i="47"/>
  <c r="N450" i="47"/>
  <c r="S579" i="47"/>
  <c r="X508" i="47"/>
  <c r="AB471" i="47"/>
  <c r="P471" i="47"/>
  <c r="S541" i="47"/>
  <c r="AB460" i="47"/>
  <c r="O460" i="47"/>
  <c r="V563" i="47"/>
  <c r="Y585" i="47"/>
  <c r="L585" i="47"/>
  <c r="P444" i="47"/>
  <c r="R554" i="47"/>
  <c r="Y455" i="47"/>
  <c r="X487" i="47"/>
  <c r="S544" i="47"/>
  <c r="R579" i="47"/>
  <c r="AA471" i="47"/>
  <c r="O471" i="47"/>
  <c r="AA460" i="47"/>
  <c r="N460" i="47"/>
  <c r="N444" i="47"/>
  <c r="V487" i="47"/>
  <c r="S474" i="47"/>
  <c r="M543" i="47"/>
  <c r="R544" i="47"/>
  <c r="Z507" i="47"/>
  <c r="M507" i="47"/>
  <c r="S480" i="47"/>
  <c r="X450" i="47"/>
  <c r="AA556" i="47"/>
  <c r="Q579" i="47"/>
  <c r="Z471" i="47"/>
  <c r="N471" i="47"/>
  <c r="Q541" i="47"/>
  <c r="Z460" i="47"/>
  <c r="M460" i="47"/>
  <c r="X563" i="47"/>
  <c r="AA443" i="47"/>
  <c r="V585" i="47"/>
  <c r="L444" i="47"/>
  <c r="L554" i="47"/>
  <c r="Q537" i="47"/>
  <c r="P512" i="47"/>
  <c r="P527" i="47"/>
  <c r="Z422" i="47"/>
  <c r="Z452" i="47"/>
  <c r="M452" i="47"/>
  <c r="AB493" i="47"/>
  <c r="O493" i="47"/>
  <c r="X473" i="47"/>
  <c r="AB564" i="47"/>
  <c r="O564" i="47"/>
  <c r="Z556" i="47"/>
  <c r="N556" i="47"/>
  <c r="X489" i="47"/>
  <c r="L489" i="47"/>
  <c r="M485" i="47"/>
  <c r="R589" i="47"/>
  <c r="O557" i="47"/>
  <c r="P537" i="47"/>
  <c r="J489" i="47"/>
  <c r="J463" i="47"/>
  <c r="J493" i="47"/>
  <c r="J557" i="47"/>
  <c r="J516" i="47"/>
  <c r="J527" i="47"/>
  <c r="J452" i="47"/>
  <c r="AB512" i="47"/>
  <c r="O512" i="47"/>
  <c r="O527" i="47"/>
  <c r="S516" i="47"/>
  <c r="Y452" i="47"/>
  <c r="L452" i="47"/>
  <c r="AA493" i="47"/>
  <c r="N493" i="47"/>
  <c r="V473" i="47"/>
  <c r="AA564" i="47"/>
  <c r="N564" i="47"/>
  <c r="S478" i="47"/>
  <c r="Y556" i="47"/>
  <c r="L556" i="47"/>
  <c r="V489" i="47"/>
  <c r="S421" i="47"/>
  <c r="AB485" i="47"/>
  <c r="P485" i="47"/>
  <c r="S463" i="47"/>
  <c r="S589" i="47"/>
  <c r="AB537" i="47"/>
  <c r="O537" i="47"/>
  <c r="AA512" i="47"/>
  <c r="N512" i="47"/>
  <c r="Y527" i="47"/>
  <c r="Q527" i="47"/>
  <c r="R516" i="47"/>
  <c r="R422" i="47"/>
  <c r="X452" i="47"/>
  <c r="Z493" i="47"/>
  <c r="M493" i="47"/>
  <c r="Z564" i="47"/>
  <c r="M564" i="47"/>
  <c r="R478" i="47"/>
  <c r="X556" i="47"/>
  <c r="AA489" i="47"/>
  <c r="N421" i="47"/>
  <c r="AA485" i="47"/>
  <c r="O485" i="47"/>
  <c r="N490" i="47"/>
  <c r="R463" i="47"/>
  <c r="V451" i="47"/>
  <c r="N555" i="47"/>
  <c r="Q589" i="47"/>
  <c r="S594" i="47"/>
  <c r="Q469" i="47"/>
  <c r="X587" i="47"/>
  <c r="V455" i="47"/>
  <c r="AA537" i="47"/>
  <c r="N537" i="47"/>
  <c r="J587" i="47"/>
  <c r="Z512" i="47"/>
  <c r="M512" i="47"/>
  <c r="Z527" i="47"/>
  <c r="N527" i="47"/>
  <c r="S422" i="47"/>
  <c r="V452" i="47"/>
  <c r="Y493" i="47"/>
  <c r="L493" i="47"/>
  <c r="Y564" i="47"/>
  <c r="L564" i="47"/>
  <c r="Q478" i="47"/>
  <c r="V556" i="47"/>
  <c r="R421" i="47"/>
  <c r="Z485" i="47"/>
  <c r="N485" i="47"/>
  <c r="Q463" i="47"/>
  <c r="AB451" i="47"/>
  <c r="P589" i="47"/>
  <c r="S557" i="47"/>
  <c r="Z537" i="47"/>
  <c r="M537" i="47"/>
  <c r="Y512" i="47"/>
  <c r="L512" i="47"/>
  <c r="AB527" i="47"/>
  <c r="M527" i="47"/>
  <c r="Q516" i="47"/>
  <c r="Q422" i="47"/>
  <c r="X493" i="47"/>
  <c r="S473" i="47"/>
  <c r="X564" i="47"/>
  <c r="P478" i="47"/>
  <c r="Q421" i="47"/>
  <c r="Y485" i="47"/>
  <c r="L485" i="47"/>
  <c r="AB463" i="47"/>
  <c r="O463" i="47"/>
  <c r="X451" i="47"/>
  <c r="AA589" i="47"/>
  <c r="O589" i="47"/>
  <c r="R557" i="47"/>
  <c r="Y537" i="47"/>
  <c r="L537" i="47"/>
  <c r="V557" i="47"/>
  <c r="X512" i="47"/>
  <c r="AA527" i="47"/>
  <c r="L527" i="47"/>
  <c r="P516" i="47"/>
  <c r="L422" i="47"/>
  <c r="V493" i="47"/>
  <c r="R473" i="47"/>
  <c r="V564" i="47"/>
  <c r="AB478" i="47"/>
  <c r="O478" i="47"/>
  <c r="S489" i="47"/>
  <c r="AB421" i="47"/>
  <c r="P421" i="47"/>
  <c r="X485" i="47"/>
  <c r="AA463" i="47"/>
  <c r="N463" i="47"/>
  <c r="Y451" i="47"/>
  <c r="Z589" i="47"/>
  <c r="N589" i="47"/>
  <c r="Q557" i="47"/>
  <c r="X537" i="47"/>
  <c r="V512" i="47"/>
  <c r="X527" i="47"/>
  <c r="Z516" i="47"/>
  <c r="O516" i="47"/>
  <c r="AA422" i="47"/>
  <c r="P422" i="47"/>
  <c r="S452" i="47"/>
  <c r="Q473" i="47"/>
  <c r="AA478" i="47"/>
  <c r="N478" i="47"/>
  <c r="S556" i="47"/>
  <c r="R489" i="47"/>
  <c r="AA421" i="47"/>
  <c r="O421" i="47"/>
  <c r="Z443" i="47"/>
  <c r="V485" i="47"/>
  <c r="AA490" i="47"/>
  <c r="P463" i="47"/>
  <c r="M463" i="47"/>
  <c r="Q525" i="47"/>
  <c r="O435" i="47"/>
  <c r="AB589" i="47"/>
  <c r="M589" i="47"/>
  <c r="N594" i="47"/>
  <c r="V469" i="47"/>
  <c r="M469" i="47"/>
  <c r="Q587" i="47"/>
  <c r="AB557" i="47"/>
  <c r="P557" i="47"/>
  <c r="R455" i="47"/>
  <c r="V537" i="47"/>
  <c r="J594" i="47"/>
  <c r="J455" i="47"/>
  <c r="V527" i="47"/>
  <c r="AB516" i="47"/>
  <c r="N516" i="47"/>
  <c r="X422" i="47"/>
  <c r="O422" i="47"/>
  <c r="R452" i="47"/>
  <c r="P473" i="47"/>
  <c r="Z478" i="47"/>
  <c r="M478" i="47"/>
  <c r="R556" i="47"/>
  <c r="P489" i="47"/>
  <c r="Z421" i="47"/>
  <c r="M421" i="47"/>
  <c r="Z463" i="47"/>
  <c r="L463" i="47"/>
  <c r="R451" i="47"/>
  <c r="Y589" i="47"/>
  <c r="L589" i="47"/>
  <c r="AA557" i="47"/>
  <c r="M557" i="47"/>
  <c r="AA516" i="47"/>
  <c r="M516" i="47"/>
  <c r="N422" i="47"/>
  <c r="Q452" i="47"/>
  <c r="Q493" i="47"/>
  <c r="AB473" i="47"/>
  <c r="O473" i="47"/>
  <c r="S564" i="47"/>
  <c r="Y478" i="47"/>
  <c r="L478" i="47"/>
  <c r="Q556" i="47"/>
  <c r="Q489" i="47"/>
  <c r="Y421" i="47"/>
  <c r="L421" i="47"/>
  <c r="Y463" i="47"/>
  <c r="P451" i="47"/>
  <c r="X589" i="47"/>
  <c r="Z557" i="47"/>
  <c r="N557" i="47"/>
  <c r="O455" i="47"/>
  <c r="S512" i="47"/>
  <c r="S527" i="47"/>
  <c r="Y516" i="47"/>
  <c r="L516" i="47"/>
  <c r="Y422" i="47"/>
  <c r="M422" i="47"/>
  <c r="P452" i="47"/>
  <c r="S493" i="47"/>
  <c r="AA473" i="47"/>
  <c r="N473" i="47"/>
  <c r="R564" i="47"/>
  <c r="X478" i="47"/>
  <c r="P556" i="47"/>
  <c r="Y489" i="47"/>
  <c r="O489" i="47"/>
  <c r="X421" i="47"/>
  <c r="S485" i="47"/>
  <c r="X463" i="47"/>
  <c r="N451" i="47"/>
  <c r="V589" i="47"/>
  <c r="Y557" i="47"/>
  <c r="L557" i="47"/>
  <c r="S537" i="47"/>
  <c r="R512" i="47"/>
  <c r="AB422" i="47"/>
  <c r="AB452" i="47"/>
  <c r="Z473" i="47"/>
  <c r="M473" i="47"/>
  <c r="Q564" i="47"/>
  <c r="V478" i="47"/>
  <c r="AB556" i="47"/>
  <c r="O556" i="47"/>
  <c r="Z489" i="47"/>
  <c r="V421" i="47"/>
  <c r="S443" i="47"/>
  <c r="L467" i="47"/>
  <c r="R485" i="47"/>
  <c r="S453" i="47"/>
  <c r="AB435" i="47"/>
  <c r="L451" i="47"/>
  <c r="Y594" i="47"/>
  <c r="R469" i="47"/>
  <c r="X455" i="47"/>
  <c r="N455" i="47"/>
  <c r="R537" i="47"/>
  <c r="J435" i="47"/>
  <c r="Z497" i="47"/>
  <c r="S459" i="47"/>
  <c r="AB549" i="47"/>
  <c r="O549" i="47"/>
  <c r="Z500" i="47"/>
  <c r="O500" i="47"/>
  <c r="P567" i="47"/>
  <c r="P524" i="47"/>
  <c r="AA426" i="47"/>
  <c r="L426" i="47"/>
  <c r="Y497" i="47"/>
  <c r="L497" i="47"/>
  <c r="J549" i="47"/>
  <c r="J500" i="47"/>
  <c r="J509" i="47"/>
  <c r="J567" i="47"/>
  <c r="J524" i="47"/>
  <c r="J459" i="47"/>
  <c r="J426" i="47"/>
  <c r="J497" i="47"/>
  <c r="R459" i="47"/>
  <c r="AA549" i="47"/>
  <c r="N549" i="47"/>
  <c r="V500" i="47"/>
  <c r="N500" i="47"/>
  <c r="X502" i="47"/>
  <c r="AB563" i="47"/>
  <c r="X443" i="47"/>
  <c r="X467" i="47"/>
  <c r="AB567" i="47"/>
  <c r="M567" i="47"/>
  <c r="S490" i="47"/>
  <c r="P525" i="47"/>
  <c r="S435" i="47"/>
  <c r="AB524" i="47"/>
  <c r="O524" i="47"/>
  <c r="S451" i="47"/>
  <c r="S555" i="47"/>
  <c r="AB594" i="47"/>
  <c r="P594" i="47"/>
  <c r="X426" i="47"/>
  <c r="AB587" i="47"/>
  <c r="O587" i="47"/>
  <c r="X497" i="47"/>
  <c r="J502" i="47"/>
  <c r="J444" i="47"/>
  <c r="J451" i="47"/>
  <c r="L459" i="47"/>
  <c r="Z549" i="47"/>
  <c r="M549" i="47"/>
  <c r="AB500" i="47"/>
  <c r="M500" i="47"/>
  <c r="S509" i="47"/>
  <c r="AA567" i="47"/>
  <c r="O567" i="47"/>
  <c r="AA524" i="47"/>
  <c r="N524" i="47"/>
  <c r="V426" i="47"/>
  <c r="V497" i="47"/>
  <c r="Q459" i="47"/>
  <c r="Y549" i="47"/>
  <c r="L549" i="47"/>
  <c r="AA500" i="47"/>
  <c r="L500" i="47"/>
  <c r="R509" i="47"/>
  <c r="Y563" i="47"/>
  <c r="Z567" i="47"/>
  <c r="N567" i="47"/>
  <c r="R444" i="47"/>
  <c r="Q490" i="47"/>
  <c r="R525" i="47"/>
  <c r="R453" i="47"/>
  <c r="Q435" i="47"/>
  <c r="Z524" i="47"/>
  <c r="M524" i="47"/>
  <c r="Q451" i="47"/>
  <c r="Q555" i="47"/>
  <c r="Z587" i="47"/>
  <c r="M587" i="47"/>
  <c r="Q497" i="47"/>
  <c r="J563" i="47"/>
  <c r="J490" i="47"/>
  <c r="J555" i="47"/>
  <c r="AB459" i="47"/>
  <c r="P459" i="47"/>
  <c r="X549" i="47"/>
  <c r="Q509" i="47"/>
  <c r="Y567" i="47"/>
  <c r="L567" i="47"/>
  <c r="Y524" i="47"/>
  <c r="L524" i="47"/>
  <c r="S426" i="47"/>
  <c r="AA459" i="47"/>
  <c r="O459" i="47"/>
  <c r="V549" i="47"/>
  <c r="X500" i="47"/>
  <c r="AB509" i="47"/>
  <c r="P509" i="47"/>
  <c r="X567" i="47"/>
  <c r="Z444" i="47"/>
  <c r="O444" i="47"/>
  <c r="AB525" i="47"/>
  <c r="N525" i="47"/>
  <c r="AB453" i="47"/>
  <c r="P453" i="47"/>
  <c r="X524" i="47"/>
  <c r="Z451" i="47"/>
  <c r="O451" i="47"/>
  <c r="AB555" i="47"/>
  <c r="O555" i="47"/>
  <c r="Q426" i="47"/>
  <c r="AB426" i="47"/>
  <c r="M497" i="47"/>
  <c r="Z459" i="47"/>
  <c r="M459" i="47"/>
  <c r="Q549" i="47"/>
  <c r="Y500" i="47"/>
  <c r="AA509" i="47"/>
  <c r="M509" i="47"/>
  <c r="V567" i="47"/>
  <c r="V524" i="47"/>
  <c r="S497" i="47"/>
  <c r="Y459" i="47"/>
  <c r="N459" i="47"/>
  <c r="Z509" i="47"/>
  <c r="N509" i="47"/>
  <c r="R502" i="47"/>
  <c r="Q563" i="47"/>
  <c r="Q443" i="47"/>
  <c r="Q467" i="47"/>
  <c r="AB444" i="47"/>
  <c r="M444" i="47"/>
  <c r="Z490" i="47"/>
  <c r="M490" i="47"/>
  <c r="Z525" i="47"/>
  <c r="M525" i="47"/>
  <c r="Z453" i="47"/>
  <c r="N453" i="47"/>
  <c r="Z435" i="47"/>
  <c r="M435" i="47"/>
  <c r="M451" i="47"/>
  <c r="Z555" i="47"/>
  <c r="M555" i="47"/>
  <c r="R426" i="47"/>
  <c r="R497" i="47"/>
  <c r="J443" i="47"/>
  <c r="J525" i="47"/>
  <c r="M426" i="47"/>
  <c r="X459" i="47"/>
  <c r="S500" i="47"/>
  <c r="O509" i="47"/>
  <c r="L509" i="47"/>
  <c r="P426" i="47"/>
  <c r="P497" i="47"/>
  <c r="V459" i="47"/>
  <c r="S549" i="47"/>
  <c r="R500" i="47"/>
  <c r="Y509" i="47"/>
  <c r="AA502" i="47"/>
  <c r="Z563" i="47"/>
  <c r="AB443" i="47"/>
  <c r="AB467" i="47"/>
  <c r="M467" i="47"/>
  <c r="S567" i="47"/>
  <c r="X453" i="47"/>
  <c r="S524" i="47"/>
  <c r="Z426" i="47"/>
  <c r="O426" i="47"/>
  <c r="AB497" i="47"/>
  <c r="O497" i="47"/>
  <c r="Y426" i="47"/>
  <c r="AA497" i="47"/>
  <c r="U495" i="47"/>
  <c r="AC495" i="47" s="1"/>
  <c r="U556" i="47"/>
  <c r="U562" i="47"/>
  <c r="AC562" i="47" s="1"/>
  <c r="U594" i="47"/>
  <c r="U541" i="47"/>
  <c r="U525" i="47"/>
  <c r="U580" i="47"/>
  <c r="AC580" i="47" s="1"/>
  <c r="U508" i="47"/>
  <c r="U485" i="47"/>
  <c r="U512" i="47"/>
  <c r="U493" i="47"/>
  <c r="U598" i="47"/>
  <c r="AC598" i="47" s="1"/>
  <c r="U432" i="47"/>
  <c r="AC432" i="47" s="1"/>
  <c r="U501" i="47"/>
  <c r="AC501" i="47" s="1"/>
  <c r="U550" i="47"/>
  <c r="AC550" i="47" s="1"/>
  <c r="U577" i="47"/>
  <c r="AC577" i="47" s="1"/>
  <c r="U572" i="47"/>
  <c r="AC572" i="47" s="1"/>
  <c r="U555" i="47"/>
  <c r="U477" i="47"/>
  <c r="AC477" i="47" s="1"/>
  <c r="U597" i="47"/>
  <c r="AC597" i="47" s="1"/>
  <c r="U604" i="47"/>
  <c r="U472" i="47"/>
  <c r="AC472" i="47" s="1"/>
  <c r="U438" i="47"/>
  <c r="AC438" i="47" s="1"/>
  <c r="U535" i="47"/>
  <c r="AC535" i="47" s="1"/>
  <c r="U429" i="47"/>
  <c r="AC429" i="47" s="1"/>
  <c r="U443" i="47"/>
  <c r="U466" i="47"/>
  <c r="AC466" i="47" s="1"/>
  <c r="U423" i="47"/>
  <c r="AC423" i="47" s="1"/>
  <c r="U517" i="47"/>
  <c r="AC517" i="47" s="1"/>
  <c r="U552" i="47"/>
  <c r="AC552" i="47" s="1"/>
  <c r="U439" i="47"/>
  <c r="U531" i="47"/>
  <c r="AC531" i="47" s="1"/>
  <c r="U440" i="47"/>
  <c r="U480" i="47"/>
  <c r="U502" i="47"/>
  <c r="U430" i="47"/>
  <c r="AC430" i="47" s="1"/>
  <c r="U431" i="47"/>
  <c r="AC431" i="47" s="1"/>
  <c r="U422" i="47"/>
  <c r="U492" i="47"/>
  <c r="AC492" i="47" s="1"/>
  <c r="U574" i="47"/>
  <c r="U547" i="47"/>
  <c r="AC547" i="47" s="1"/>
  <c r="U498" i="47"/>
  <c r="U564" i="47"/>
  <c r="U460" i="47"/>
  <c r="U585" i="47"/>
  <c r="U482" i="47"/>
  <c r="AC482" i="47" s="1"/>
  <c r="U565" i="47"/>
  <c r="AC565" i="47" s="1"/>
  <c r="U570" i="47"/>
  <c r="AC570" i="47" s="1"/>
  <c r="U569" i="47"/>
  <c r="AC569" i="47" s="1"/>
  <c r="T434" i="47"/>
  <c r="U442" i="47"/>
  <c r="U579" i="47"/>
  <c r="U573" i="47"/>
  <c r="AC573" i="47" s="1"/>
  <c r="U437" i="47"/>
  <c r="AC437" i="47" s="1"/>
  <c r="U559" i="47"/>
  <c r="AC559" i="47" s="1"/>
  <c r="U575" i="47"/>
  <c r="AC575" i="47" s="1"/>
  <c r="U554" i="47"/>
  <c r="U587" i="47"/>
  <c r="U510" i="47"/>
  <c r="AC510" i="47" s="1"/>
  <c r="U581" i="47"/>
  <c r="AC581" i="47" s="1"/>
  <c r="U467" i="47"/>
  <c r="U435" i="47"/>
  <c r="T468" i="47"/>
  <c r="T536" i="47"/>
  <c r="U526" i="47"/>
  <c r="AC526" i="47" s="1"/>
  <c r="T576" i="47"/>
  <c r="U474" i="47"/>
  <c r="U445" i="47"/>
  <c r="AC445" i="47" s="1"/>
  <c r="U421" i="47"/>
  <c r="U503" i="47"/>
  <c r="AC503" i="47" s="1"/>
  <c r="U514" i="47"/>
  <c r="AC514" i="47" s="1"/>
  <c r="U601" i="47"/>
  <c r="AC601" i="47" s="1"/>
  <c r="U533" i="47"/>
  <c r="AC533" i="47" s="1"/>
  <c r="U436" i="47"/>
  <c r="AC436" i="47" s="1"/>
  <c r="U591" i="47"/>
  <c r="AC591" i="47" s="1"/>
  <c r="U490" i="47"/>
  <c r="U583" i="47"/>
  <c r="AC583" i="47" s="1"/>
  <c r="T494" i="47"/>
  <c r="T523" i="47"/>
  <c r="U507" i="47"/>
  <c r="U496" i="47"/>
  <c r="AC496" i="47" s="1"/>
  <c r="U505" i="47"/>
  <c r="AC505" i="47" s="1"/>
  <c r="U600" i="47"/>
  <c r="AC600" i="47" s="1"/>
  <c r="T470" i="47"/>
  <c r="T433" i="47"/>
  <c r="T529" i="47"/>
  <c r="T588" i="47"/>
  <c r="U509" i="47"/>
  <c r="U453" i="47"/>
  <c r="U561" i="47"/>
  <c r="AC561" i="47" s="1"/>
  <c r="T568" i="47"/>
  <c r="U590" i="47"/>
  <c r="AC590" i="47" s="1"/>
  <c r="U478" i="47"/>
  <c r="U599" i="47"/>
  <c r="AC599" i="47" s="1"/>
  <c r="U567" i="47"/>
  <c r="U454" i="47"/>
  <c r="AC454" i="47" s="1"/>
  <c r="U586" i="47"/>
  <c r="AC586" i="47" s="1"/>
  <c r="U449" i="47"/>
  <c r="AC449" i="47" s="1"/>
  <c r="U427" i="47"/>
  <c r="T542" i="47"/>
  <c r="T539" i="47"/>
  <c r="U605" i="47"/>
  <c r="AC605" i="47" s="1"/>
  <c r="U471" i="47"/>
  <c r="T551" i="47"/>
  <c r="U602" i="47"/>
  <c r="AC602" i="47" s="1"/>
  <c r="U524" i="47"/>
  <c r="U516" i="47"/>
  <c r="U543" i="47"/>
  <c r="U464" i="47"/>
  <c r="AC464" i="47" s="1"/>
  <c r="U475" i="47"/>
  <c r="AC475" i="47" s="1"/>
  <c r="U520" i="47"/>
  <c r="AC520" i="47" s="1"/>
  <c r="T530" i="47"/>
  <c r="U426" i="47"/>
  <c r="U455" i="47"/>
  <c r="U522" i="47"/>
  <c r="AC522" i="47" s="1"/>
  <c r="U548" i="47"/>
  <c r="AC548" i="47" s="1"/>
  <c r="U462" i="47"/>
  <c r="AC462" i="47" s="1"/>
  <c r="U441" i="47"/>
  <c r="AC441" i="47" s="1"/>
  <c r="U450" i="47"/>
  <c r="U461" i="47"/>
  <c r="AC461" i="47" s="1"/>
  <c r="U582" i="47"/>
  <c r="U558" i="47"/>
  <c r="AC558" i="47" s="1"/>
  <c r="U566" i="47"/>
  <c r="S538" i="47"/>
  <c r="U528" i="47"/>
  <c r="AC528" i="47" s="1"/>
  <c r="T540" i="47"/>
  <c r="U499" i="47"/>
  <c r="AC499" i="47" s="1"/>
  <c r="T491" i="47"/>
  <c r="U534" i="47"/>
  <c r="AC534" i="47" s="1"/>
  <c r="U527" i="47"/>
  <c r="T486" i="47"/>
  <c r="U446" i="47"/>
  <c r="AC446" i="47" s="1"/>
  <c r="U479" i="47"/>
  <c r="AC479" i="47" s="1"/>
  <c r="U515" i="47"/>
  <c r="AC515" i="47" s="1"/>
  <c r="U465" i="47"/>
  <c r="AC465" i="47" s="1"/>
  <c r="U456" i="47"/>
  <c r="AC456" i="47" s="1"/>
  <c r="T488" i="47"/>
  <c r="U532" i="47"/>
  <c r="T603" i="47"/>
  <c r="T553" i="47"/>
  <c r="T483" i="47"/>
  <c r="U549" i="47"/>
  <c r="T519" i="47"/>
  <c r="U518" i="47"/>
  <c r="AC518" i="47" s="1"/>
  <c r="U544" i="47"/>
  <c r="U481" i="47"/>
  <c r="AC481" i="47" s="1"/>
  <c r="U592" i="47"/>
  <c r="AC592" i="47" s="1"/>
  <c r="U506" i="47"/>
  <c r="U458" i="47"/>
  <c r="U504" i="47"/>
  <c r="AC504" i="47" s="1"/>
  <c r="U447" i="47"/>
  <c r="U457" i="47"/>
  <c r="AC457" i="47" s="1"/>
  <c r="U521" i="47"/>
  <c r="AC521" i="47" s="1"/>
  <c r="U448" i="47"/>
  <c r="AC448" i="47" s="1"/>
  <c r="U571" i="47"/>
  <c r="AC571" i="47" s="1"/>
  <c r="U463" i="47"/>
  <c r="U545" i="47"/>
  <c r="U546" i="47"/>
  <c r="AC546" i="47" s="1"/>
  <c r="U557" i="47"/>
  <c r="U497" i="47"/>
  <c r="U476" i="47"/>
  <c r="AC476" i="47" s="1"/>
  <c r="Z484" i="47"/>
  <c r="L538" i="47"/>
  <c r="O538" i="47"/>
  <c r="M538" i="47"/>
  <c r="R538" i="47"/>
  <c r="Y538" i="47"/>
  <c r="Z538" i="47"/>
  <c r="P538" i="47"/>
  <c r="Q538" i="47"/>
  <c r="X538" i="47"/>
  <c r="N538" i="47"/>
  <c r="R484" i="47"/>
  <c r="V538" i="47"/>
  <c r="AA538" i="47"/>
  <c r="N484" i="47"/>
  <c r="V484" i="47"/>
  <c r="P484" i="47"/>
  <c r="S484" i="47"/>
  <c r="X484" i="47"/>
  <c r="M484" i="47"/>
  <c r="O484" i="47"/>
  <c r="Q484" i="47"/>
  <c r="Y484" i="47"/>
  <c r="AA484" i="47"/>
  <c r="T597" i="47"/>
  <c r="T510" i="47"/>
  <c r="T457" i="47"/>
  <c r="T535" i="47"/>
  <c r="T518" i="47"/>
  <c r="T429" i="47"/>
  <c r="T462" i="47"/>
  <c r="T441" i="47"/>
  <c r="T481" i="47"/>
  <c r="T475" i="47"/>
  <c r="T445" i="47"/>
  <c r="T599" i="47"/>
  <c r="T558" i="47"/>
  <c r="L484" i="47"/>
  <c r="T592" i="47"/>
  <c r="T472" i="47"/>
  <c r="T454" i="47"/>
  <c r="T550" i="47"/>
  <c r="T590" i="47"/>
  <c r="T503" i="47"/>
  <c r="T504" i="47"/>
  <c r="T577" i="47"/>
  <c r="T570" i="47"/>
  <c r="T430" i="47"/>
  <c r="T423" i="47"/>
  <c r="T586" i="47"/>
  <c r="T431" i="47"/>
  <c r="T476" i="47"/>
  <c r="T591" i="47"/>
  <c r="T526" i="47"/>
  <c r="T531" i="47"/>
  <c r="T448" i="47"/>
  <c r="T571" i="47"/>
  <c r="T602" i="47"/>
  <c r="T466" i="47"/>
  <c r="T438" i="47"/>
  <c r="T600" i="47"/>
  <c r="T546" i="47"/>
  <c r="T521" i="47"/>
  <c r="T482" i="47"/>
  <c r="T477" i="47"/>
  <c r="T517" i="47"/>
  <c r="T514" i="47"/>
  <c r="T432" i="47"/>
  <c r="T552" i="47"/>
  <c r="T464" i="47"/>
  <c r="T492" i="47"/>
  <c r="T601" i="47"/>
  <c r="T605" i="47"/>
  <c r="T496" i="47"/>
  <c r="T565" i="47"/>
  <c r="T501" i="47"/>
  <c r="L560" i="47"/>
  <c r="O560" i="47"/>
  <c r="M560" i="47"/>
  <c r="N560" i="47"/>
  <c r="Q560" i="47"/>
  <c r="R560" i="47"/>
  <c r="P560" i="47"/>
  <c r="S560" i="47"/>
  <c r="V560" i="47"/>
  <c r="X560" i="47"/>
  <c r="Y560" i="47"/>
  <c r="Z560" i="47"/>
  <c r="AA560" i="47"/>
  <c r="AB560" i="47"/>
  <c r="L513" i="47"/>
  <c r="M513" i="47"/>
  <c r="N513" i="47"/>
  <c r="O513" i="47"/>
  <c r="P513" i="47"/>
  <c r="Q513" i="47"/>
  <c r="R513" i="47"/>
  <c r="S513" i="47"/>
  <c r="V513" i="47"/>
  <c r="Z513" i="47"/>
  <c r="Y513" i="47"/>
  <c r="AB513" i="47"/>
  <c r="X513" i="47"/>
  <c r="AA513" i="47"/>
  <c r="T528" i="47"/>
  <c r="T499" i="47"/>
  <c r="T598" i="47"/>
  <c r="T534" i="47"/>
  <c r="T575" i="47"/>
  <c r="T446" i="47"/>
  <c r="T479" i="47"/>
  <c r="T515" i="47"/>
  <c r="T465" i="47"/>
  <c r="T456" i="47"/>
  <c r="T581" i="47"/>
  <c r="T449" i="47"/>
  <c r="T522" i="47"/>
  <c r="T461" i="47"/>
  <c r="T583" i="47"/>
  <c r="T548" i="47"/>
  <c r="T569" i="47"/>
  <c r="T573" i="47"/>
  <c r="T437" i="47"/>
  <c r="T505" i="47"/>
  <c r="T533" i="47"/>
  <c r="T436" i="47"/>
  <c r="T572" i="47"/>
  <c r="T547" i="47"/>
  <c r="T520" i="47"/>
  <c r="T580" i="47"/>
  <c r="T559" i="47"/>
  <c r="T562" i="47"/>
  <c r="T561" i="47"/>
  <c r="T495" i="47"/>
  <c r="AB12" i="13"/>
  <c r="H135" i="47"/>
  <c r="H288" i="47"/>
  <c r="H300" i="47"/>
  <c r="H318" i="47"/>
  <c r="H330" i="47"/>
  <c r="H348" i="47"/>
  <c r="H142" i="47"/>
  <c r="H277" i="47"/>
  <c r="H299" i="47"/>
  <c r="H317" i="47"/>
  <c r="H339" i="47"/>
  <c r="H132" i="47"/>
  <c r="H279" i="47"/>
  <c r="H289" i="47"/>
  <c r="H303" i="47"/>
  <c r="H319" i="47"/>
  <c r="H331" i="47"/>
  <c r="H345" i="47"/>
  <c r="H133" i="47"/>
  <c r="H270" i="47"/>
  <c r="H282" i="47"/>
  <c r="H298" i="47"/>
  <c r="H316" i="47"/>
  <c r="H334" i="47"/>
  <c r="H382" i="47"/>
  <c r="H415" i="47"/>
  <c r="H385" i="47"/>
  <c r="H353" i="47"/>
  <c r="H395" i="47"/>
  <c r="H366" i="47"/>
  <c r="H406" i="47"/>
  <c r="H377" i="47"/>
  <c r="H374" i="47"/>
  <c r="H405" i="47"/>
  <c r="H402" i="47"/>
  <c r="H364" i="47"/>
  <c r="H380" i="47"/>
  <c r="H396" i="47"/>
  <c r="H359" i="47"/>
  <c r="H387" i="47"/>
  <c r="H139" i="47"/>
  <c r="H290" i="47"/>
  <c r="H304" i="47"/>
  <c r="H320" i="47"/>
  <c r="H336" i="47"/>
  <c r="H129" i="47"/>
  <c r="H268" i="47"/>
  <c r="H283" i="47"/>
  <c r="H305" i="47"/>
  <c r="H325" i="47"/>
  <c r="H343" i="47"/>
  <c r="H136" i="47"/>
  <c r="H281" i="47"/>
  <c r="H293" i="47"/>
  <c r="H307" i="47"/>
  <c r="H321" i="47"/>
  <c r="H333" i="47"/>
  <c r="H349" i="47"/>
  <c r="H137" i="47"/>
  <c r="H274" i="47"/>
  <c r="H284" i="47"/>
  <c r="H302" i="47"/>
  <c r="H324" i="47"/>
  <c r="H338" i="47"/>
  <c r="H403" i="47"/>
  <c r="H386" i="47"/>
  <c r="H419" i="47"/>
  <c r="H393" i="47"/>
  <c r="H367" i="47"/>
  <c r="H416" i="47"/>
  <c r="H370" i="47"/>
  <c r="H351" i="47"/>
  <c r="H381" i="47"/>
  <c r="H355" i="47"/>
  <c r="H410" i="47"/>
  <c r="H350" i="47"/>
  <c r="H368" i="47"/>
  <c r="H384" i="47"/>
  <c r="H400" i="47"/>
  <c r="H413" i="47"/>
  <c r="H361" i="47"/>
  <c r="H391" i="47"/>
  <c r="H143" i="47"/>
  <c r="H272" i="47"/>
  <c r="H292" i="47"/>
  <c r="H310" i="47"/>
  <c r="H322" i="47"/>
  <c r="H340" i="47"/>
  <c r="H134" i="47"/>
  <c r="H271" i="47"/>
  <c r="H291" i="47"/>
  <c r="H309" i="47"/>
  <c r="H329" i="47"/>
  <c r="H347" i="47"/>
  <c r="H140" i="47"/>
  <c r="H266" i="47"/>
  <c r="H285" i="47"/>
  <c r="H297" i="47"/>
  <c r="H311" i="47"/>
  <c r="H323" i="47"/>
  <c r="H337" i="47"/>
  <c r="H127" i="47"/>
  <c r="M127" i="47" s="1"/>
  <c r="H141" i="47"/>
  <c r="H267" i="47"/>
  <c r="H276" i="47"/>
  <c r="H286" i="47"/>
  <c r="H306" i="47"/>
  <c r="H328" i="47"/>
  <c r="H342" i="47"/>
  <c r="H412" i="47"/>
  <c r="H398" i="47"/>
  <c r="H363" i="47"/>
  <c r="H420" i="47"/>
  <c r="H371" i="47"/>
  <c r="H308" i="47"/>
  <c r="H378" i="47"/>
  <c r="H365" i="47"/>
  <c r="H389" i="47"/>
  <c r="H397" i="47"/>
  <c r="H414" i="47"/>
  <c r="H358" i="47"/>
  <c r="H372" i="47"/>
  <c r="H388" i="47"/>
  <c r="H404" i="47"/>
  <c r="H417" i="47"/>
  <c r="H375" i="47"/>
  <c r="H126" i="47"/>
  <c r="H278" i="47"/>
  <c r="H296" i="47"/>
  <c r="H314" i="47"/>
  <c r="H326" i="47"/>
  <c r="H344" i="47"/>
  <c r="H138" i="47"/>
  <c r="H275" i="47"/>
  <c r="H295" i="47"/>
  <c r="H313" i="47"/>
  <c r="H335" i="47"/>
  <c r="H131" i="47"/>
  <c r="H144" i="47"/>
  <c r="H273" i="47"/>
  <c r="H287" i="47"/>
  <c r="H301" i="47"/>
  <c r="H315" i="47"/>
  <c r="H327" i="47"/>
  <c r="H341" i="47"/>
  <c r="H128" i="47"/>
  <c r="H145" i="47"/>
  <c r="H269" i="47"/>
  <c r="H280" i="47"/>
  <c r="H294" i="47"/>
  <c r="H312" i="47"/>
  <c r="H332" i="47"/>
  <c r="H346" i="47"/>
  <c r="H356" i="47"/>
  <c r="H411" i="47"/>
  <c r="H369" i="47"/>
  <c r="H354" i="47"/>
  <c r="H379" i="47"/>
  <c r="H352" i="47"/>
  <c r="H373" i="47"/>
  <c r="H418" i="47"/>
  <c r="H401" i="47"/>
  <c r="H394" i="47"/>
  <c r="H376" i="47"/>
  <c r="H392" i="47"/>
  <c r="H408" i="47"/>
  <c r="H357" i="47"/>
  <c r="H383" i="47"/>
  <c r="H407" i="47"/>
  <c r="H362" i="47"/>
  <c r="I18" i="13"/>
  <c r="H399" i="47"/>
  <c r="Z17" i="34"/>
  <c r="H23" i="13"/>
  <c r="H390" i="47"/>
  <c r="V20" i="34"/>
  <c r="V47" i="34" s="1"/>
  <c r="AD11" i="34"/>
  <c r="H409" i="47"/>
  <c r="H360" i="47"/>
  <c r="T566" i="47" l="1"/>
  <c r="AC566" i="47"/>
  <c r="AC606" i="47"/>
  <c r="T442" i="47"/>
  <c r="AC442" i="47"/>
  <c r="T574" i="47"/>
  <c r="T532" i="47"/>
  <c r="T606" i="47"/>
  <c r="AE606" i="47" s="1"/>
  <c r="AC574" i="47"/>
  <c r="AE574" i="47" s="1"/>
  <c r="AC532" i="47"/>
  <c r="AE532" i="47" s="1"/>
  <c r="T604" i="47"/>
  <c r="T440" i="47"/>
  <c r="T578" i="47"/>
  <c r="AC604" i="47"/>
  <c r="AC578" i="47"/>
  <c r="T584" i="47"/>
  <c r="AC582" i="47"/>
  <c r="T511" i="47"/>
  <c r="AC511" i="47"/>
  <c r="AC439" i="47"/>
  <c r="AC584" i="47"/>
  <c r="T439" i="47"/>
  <c r="AC440" i="47"/>
  <c r="T582" i="47"/>
  <c r="T596" i="47"/>
  <c r="T424" i="47"/>
  <c r="AC596" i="47"/>
  <c r="T427" i="47"/>
  <c r="AC424" i="47"/>
  <c r="AC427" i="47"/>
  <c r="AC447" i="47"/>
  <c r="AC428" i="47"/>
  <c r="T447" i="47"/>
  <c r="AC458" i="47"/>
  <c r="T428" i="47"/>
  <c r="T458" i="47"/>
  <c r="T498" i="47"/>
  <c r="AC595" i="47"/>
  <c r="T595" i="47"/>
  <c r="AC608" i="47"/>
  <c r="T608" i="47"/>
  <c r="T506" i="47"/>
  <c r="T545" i="47"/>
  <c r="AC506" i="47"/>
  <c r="AC545" i="47"/>
  <c r="T425" i="47"/>
  <c r="AC498" i="47"/>
  <c r="T609" i="47"/>
  <c r="AC607" i="47"/>
  <c r="AC425" i="47"/>
  <c r="AC609" i="47"/>
  <c r="T607" i="47"/>
  <c r="AE615" i="47"/>
  <c r="AE612" i="47"/>
  <c r="AE614" i="47"/>
  <c r="AC469" i="47"/>
  <c r="P1008" i="47"/>
  <c r="P1025" i="47"/>
  <c r="Q1025" i="47" s="1"/>
  <c r="L126" i="47"/>
  <c r="J126" i="47"/>
  <c r="AB9" i="13"/>
  <c r="AB11" i="13" s="1"/>
  <c r="U444" i="47"/>
  <c r="AC444" i="47" s="1"/>
  <c r="U589" i="47"/>
  <c r="AC589" i="47" s="1"/>
  <c r="U459" i="47"/>
  <c r="AC459" i="47" s="1"/>
  <c r="U451" i="47"/>
  <c r="AC451" i="47" s="1"/>
  <c r="AC507" i="47"/>
  <c r="U487" i="47"/>
  <c r="AC487" i="47" s="1"/>
  <c r="U500" i="47"/>
  <c r="AC500" i="47" s="1"/>
  <c r="U452" i="47"/>
  <c r="AC452" i="47" s="1"/>
  <c r="U489" i="47"/>
  <c r="AC489" i="47" s="1"/>
  <c r="U563" i="47"/>
  <c r="AC563" i="47" s="1"/>
  <c r="U537" i="47"/>
  <c r="AC537" i="47" s="1"/>
  <c r="AC480" i="47"/>
  <c r="T543" i="47"/>
  <c r="T508" i="47"/>
  <c r="T544" i="47"/>
  <c r="T507" i="47"/>
  <c r="T556" i="47"/>
  <c r="T478" i="47"/>
  <c r="T467" i="47"/>
  <c r="T524" i="47"/>
  <c r="T502" i="47"/>
  <c r="T579" i="47"/>
  <c r="AC594" i="47"/>
  <c r="AC453" i="47"/>
  <c r="T537" i="47"/>
  <c r="AC541" i="47"/>
  <c r="AC585" i="47"/>
  <c r="T435" i="47"/>
  <c r="T594" i="47"/>
  <c r="T474" i="47"/>
  <c r="T554" i="47"/>
  <c r="T455" i="47"/>
  <c r="T473" i="47"/>
  <c r="AC455" i="47"/>
  <c r="AC587" i="47"/>
  <c r="AC502" i="47"/>
  <c r="AC426" i="47"/>
  <c r="AC512" i="47"/>
  <c r="AC527" i="47"/>
  <c r="AC516" i="47"/>
  <c r="T493" i="47"/>
  <c r="AC422" i="47"/>
  <c r="AC556" i="47"/>
  <c r="T497" i="47"/>
  <c r="T563" i="47"/>
  <c r="T490" i="47"/>
  <c r="T452" i="47"/>
  <c r="T527" i="47"/>
  <c r="T460" i="47"/>
  <c r="T487" i="47"/>
  <c r="T585" i="47"/>
  <c r="T541" i="47"/>
  <c r="T587" i="47"/>
  <c r="T451" i="47"/>
  <c r="T516" i="47"/>
  <c r="T421" i="47"/>
  <c r="T463" i="47"/>
  <c r="T469" i="47"/>
  <c r="T512" i="47"/>
  <c r="T450" i="47"/>
  <c r="T471" i="47"/>
  <c r="T480" i="47"/>
  <c r="AC549" i="47"/>
  <c r="AC421" i="47"/>
  <c r="T444" i="47"/>
  <c r="AC474" i="47"/>
  <c r="AC493" i="47"/>
  <c r="AC543" i="47"/>
  <c r="AC554" i="47"/>
  <c r="AC450" i="47"/>
  <c r="T500" i="47"/>
  <c r="T443" i="47"/>
  <c r="T509" i="47"/>
  <c r="AC490" i="47"/>
  <c r="AC460" i="47"/>
  <c r="AC508" i="47"/>
  <c r="AC557" i="47"/>
  <c r="AC478" i="47"/>
  <c r="AC544" i="47"/>
  <c r="AC471" i="47"/>
  <c r="AC579" i="47"/>
  <c r="T567" i="47"/>
  <c r="T453" i="47"/>
  <c r="T459" i="47"/>
  <c r="T557" i="47"/>
  <c r="AC473" i="47"/>
  <c r="T485" i="47"/>
  <c r="T422" i="47"/>
  <c r="T489" i="47"/>
  <c r="T564" i="47"/>
  <c r="AC463" i="47"/>
  <c r="AC435" i="47"/>
  <c r="AC467" i="47"/>
  <c r="T589" i="47"/>
  <c r="AC509" i="47"/>
  <c r="AC485" i="47"/>
  <c r="T426" i="47"/>
  <c r="T555" i="47"/>
  <c r="T525" i="47"/>
  <c r="T549" i="47"/>
  <c r="AC564" i="47"/>
  <c r="AC555" i="47"/>
  <c r="AC525" i="47"/>
  <c r="J292" i="47"/>
  <c r="J327" i="47"/>
  <c r="J266" i="47"/>
  <c r="J272" i="47"/>
  <c r="J283" i="47"/>
  <c r="J132" i="47"/>
  <c r="J284" i="47"/>
  <c r="J383" i="47"/>
  <c r="J344" i="47"/>
  <c r="J351" i="47"/>
  <c r="J326" i="47"/>
  <c r="J397" i="47"/>
  <c r="J140" i="47"/>
  <c r="J143" i="47"/>
  <c r="J370" i="47"/>
  <c r="J268" i="47"/>
  <c r="J402" i="47"/>
  <c r="J316" i="47"/>
  <c r="J339" i="47"/>
  <c r="J341" i="47"/>
  <c r="J274" i="47"/>
  <c r="J357" i="47"/>
  <c r="J315" i="47"/>
  <c r="J306" i="47"/>
  <c r="J390" i="47"/>
  <c r="J356" i="47"/>
  <c r="J301" i="47"/>
  <c r="J314" i="47"/>
  <c r="J389" i="47"/>
  <c r="J286" i="47"/>
  <c r="J391" i="47"/>
  <c r="J416" i="47"/>
  <c r="J349" i="47"/>
  <c r="J129" i="47"/>
  <c r="J405" i="47"/>
  <c r="J298" i="47"/>
  <c r="J317" i="47"/>
  <c r="J342" i="47"/>
  <c r="J135" i="47"/>
  <c r="J369" i="47"/>
  <c r="J328" i="47"/>
  <c r="J364" i="47"/>
  <c r="J392" i="47"/>
  <c r="J346" i="47"/>
  <c r="J287" i="47"/>
  <c r="J296" i="47"/>
  <c r="J365" i="47"/>
  <c r="J276" i="47"/>
  <c r="J329" i="47"/>
  <c r="J361" i="47"/>
  <c r="J367" i="47"/>
  <c r="J333" i="47"/>
  <c r="J336" i="47"/>
  <c r="Q374" i="47"/>
  <c r="J282" i="47"/>
  <c r="J299" i="47"/>
  <c r="J279" i="47"/>
  <c r="J376" i="47"/>
  <c r="J332" i="47"/>
  <c r="J273" i="47"/>
  <c r="J278" i="47"/>
  <c r="J378" i="47"/>
  <c r="J267" i="47"/>
  <c r="J309" i="47"/>
  <c r="J413" i="47"/>
  <c r="L393" i="47"/>
  <c r="J321" i="47"/>
  <c r="J320" i="47"/>
  <c r="J377" i="47"/>
  <c r="J270" i="47"/>
  <c r="J277" i="47"/>
  <c r="J419" i="47"/>
  <c r="J142" i="47"/>
  <c r="J138" i="47"/>
  <c r="J380" i="47"/>
  <c r="J394" i="47"/>
  <c r="Q141" i="47"/>
  <c r="J375" i="47"/>
  <c r="R271" i="47"/>
  <c r="J384" i="47"/>
  <c r="V386" i="47"/>
  <c r="J293" i="47"/>
  <c r="J366" i="47"/>
  <c r="J345" i="47"/>
  <c r="J348" i="47"/>
  <c r="AC443" i="47"/>
  <c r="J381" i="47"/>
  <c r="Y308" i="47"/>
  <c r="J406" i="47"/>
  <c r="J399" i="47"/>
  <c r="J335" i="47"/>
  <c r="X337" i="47"/>
  <c r="J368" i="47"/>
  <c r="J281" i="47"/>
  <c r="Q139" i="47"/>
  <c r="J395" i="47"/>
  <c r="J331" i="47"/>
  <c r="J330" i="47"/>
  <c r="J144" i="47"/>
  <c r="J291" i="47"/>
  <c r="J304" i="47"/>
  <c r="J294" i="47"/>
  <c r="S127" i="47"/>
  <c r="J417" i="47"/>
  <c r="J269" i="47"/>
  <c r="J313" i="47"/>
  <c r="J404" i="47"/>
  <c r="J363" i="47"/>
  <c r="L323" i="47"/>
  <c r="S340" i="47"/>
  <c r="J350" i="47"/>
  <c r="J338" i="47"/>
  <c r="J136" i="47"/>
  <c r="J387" i="47"/>
  <c r="N353" i="47"/>
  <c r="J319" i="47"/>
  <c r="J318" i="47"/>
  <c r="AC497" i="47"/>
  <c r="V354" i="47"/>
  <c r="J305" i="47"/>
  <c r="J312" i="47"/>
  <c r="J133" i="47"/>
  <c r="J131" i="47"/>
  <c r="J420" i="47"/>
  <c r="J352" i="47"/>
  <c r="J388" i="47"/>
  <c r="J322" i="47"/>
  <c r="J410" i="47"/>
  <c r="J324" i="47"/>
  <c r="J343" i="47"/>
  <c r="J359" i="47"/>
  <c r="S385" i="47"/>
  <c r="J303" i="47"/>
  <c r="J300" i="47"/>
  <c r="AC524" i="47"/>
  <c r="AC567" i="47"/>
  <c r="V407" i="47"/>
  <c r="V382" i="47"/>
  <c r="J307" i="47"/>
  <c r="J401" i="47"/>
  <c r="O371" i="47"/>
  <c r="N280" i="47"/>
  <c r="O134" i="47"/>
  <c r="J360" i="47"/>
  <c r="J145" i="47"/>
  <c r="J295" i="47"/>
  <c r="J398" i="47"/>
  <c r="S409" i="47"/>
  <c r="J379" i="47"/>
  <c r="N128" i="47"/>
  <c r="V275" i="47"/>
  <c r="J372" i="47"/>
  <c r="J412" i="47"/>
  <c r="J310" i="47"/>
  <c r="R355" i="47"/>
  <c r="J302" i="47"/>
  <c r="J325" i="47"/>
  <c r="J396" i="47"/>
  <c r="M415" i="47"/>
  <c r="J289" i="47"/>
  <c r="N288" i="47"/>
  <c r="AE483" i="47"/>
  <c r="AE514" i="47"/>
  <c r="AE540" i="47"/>
  <c r="AE495" i="47"/>
  <c r="AE494" i="47"/>
  <c r="AE491" i="47"/>
  <c r="U513" i="47"/>
  <c r="AC513" i="47" s="1"/>
  <c r="AE423" i="47"/>
  <c r="AE570" i="47"/>
  <c r="AE605" i="47"/>
  <c r="AE530" i="47"/>
  <c r="AE539" i="47"/>
  <c r="AE568" i="47"/>
  <c r="AE433" i="47"/>
  <c r="AE505" i="47"/>
  <c r="AE522" i="47"/>
  <c r="AE501" i="47"/>
  <c r="AE518" i="47"/>
  <c r="AE559" i="47"/>
  <c r="AE572" i="47"/>
  <c r="AE449" i="47"/>
  <c r="AE600" i="47"/>
  <c r="AE529" i="47"/>
  <c r="AE492" i="47"/>
  <c r="AE576" i="47"/>
  <c r="AE602" i="47"/>
  <c r="AE573" i="47"/>
  <c r="AE553" i="47"/>
  <c r="AE456" i="47"/>
  <c r="AE517" i="47"/>
  <c r="U538" i="47"/>
  <c r="AC538" i="47" s="1"/>
  <c r="U484" i="47"/>
  <c r="AC484" i="47" s="1"/>
  <c r="U560" i="47"/>
  <c r="AC560" i="47" s="1"/>
  <c r="AE515" i="47"/>
  <c r="AE546" i="47"/>
  <c r="AE575" i="47"/>
  <c r="AE598" i="47"/>
  <c r="AE528" i="47"/>
  <c r="AE565" i="47"/>
  <c r="AE464" i="47"/>
  <c r="AE432" i="47"/>
  <c r="AE482" i="47"/>
  <c r="AE448" i="47"/>
  <c r="AE531" i="47"/>
  <c r="AE586" i="47"/>
  <c r="AE504" i="47"/>
  <c r="AE434" i="47"/>
  <c r="AE547" i="47"/>
  <c r="AE468" i="47"/>
  <c r="AE520" i="47"/>
  <c r="AE436" i="47"/>
  <c r="AE461" i="47"/>
  <c r="AE465" i="47"/>
  <c r="AE479" i="47"/>
  <c r="AE486" i="47"/>
  <c r="AE552" i="47"/>
  <c r="AE521" i="47"/>
  <c r="AE438" i="47"/>
  <c r="AE591" i="47"/>
  <c r="AE431" i="47"/>
  <c r="AE430" i="47"/>
  <c r="AE577" i="47"/>
  <c r="AE470" i="47"/>
  <c r="AE454" i="47"/>
  <c r="AE558" i="47"/>
  <c r="AE481" i="47"/>
  <c r="AE562" i="47"/>
  <c r="AE569" i="47"/>
  <c r="AE462" i="47"/>
  <c r="AE580" i="47"/>
  <c r="AE437" i="47"/>
  <c r="AE548" i="47"/>
  <c r="AE603" i="47"/>
  <c r="AE581" i="47"/>
  <c r="AE496" i="47"/>
  <c r="AE536" i="47"/>
  <c r="AE590" i="47"/>
  <c r="AE472" i="47"/>
  <c r="AE442" i="47"/>
  <c r="AE566" i="47"/>
  <c r="AE457" i="47"/>
  <c r="AE601" i="47"/>
  <c r="AE523" i="47"/>
  <c r="AE533" i="47"/>
  <c r="AE446" i="47"/>
  <c r="AE534" i="47"/>
  <c r="AE499" i="47"/>
  <c r="AE477" i="47"/>
  <c r="AE476" i="47"/>
  <c r="AE503" i="47"/>
  <c r="AE550" i="47"/>
  <c r="AE592" i="47"/>
  <c r="AE599" i="47"/>
  <c r="AE445" i="47"/>
  <c r="AE519" i="47"/>
  <c r="AE561" i="47"/>
  <c r="AE583" i="47"/>
  <c r="AE488" i="47"/>
  <c r="AE551" i="47"/>
  <c r="AE588" i="47"/>
  <c r="AE466" i="47"/>
  <c r="AE571" i="47"/>
  <c r="AE526" i="47"/>
  <c r="AE542" i="47"/>
  <c r="AE475" i="47"/>
  <c r="AE441" i="47"/>
  <c r="AE429" i="47"/>
  <c r="AE535" i="47"/>
  <c r="AE510" i="47"/>
  <c r="AE597" i="47"/>
  <c r="T538" i="47"/>
  <c r="T484" i="47"/>
  <c r="M390" i="47"/>
  <c r="L390" i="47"/>
  <c r="N390" i="47"/>
  <c r="O390" i="47"/>
  <c r="P390" i="47"/>
  <c r="Q390" i="47"/>
  <c r="R390" i="47"/>
  <c r="Z390" i="47"/>
  <c r="S390" i="47"/>
  <c r="V390" i="47"/>
  <c r="AB390" i="47"/>
  <c r="Y390" i="47"/>
  <c r="X390" i="47"/>
  <c r="AA390" i="47"/>
  <c r="N379" i="47"/>
  <c r="L301" i="47"/>
  <c r="M301" i="47"/>
  <c r="N301" i="47"/>
  <c r="O301" i="47"/>
  <c r="P301" i="47"/>
  <c r="Q301" i="47"/>
  <c r="R301" i="47"/>
  <c r="S301" i="47"/>
  <c r="Y301" i="47"/>
  <c r="AA301" i="47"/>
  <c r="AB301" i="47"/>
  <c r="X301" i="47"/>
  <c r="V301" i="47"/>
  <c r="Z301" i="47"/>
  <c r="M275" i="47"/>
  <c r="O275" i="47"/>
  <c r="Q275" i="47"/>
  <c r="X275" i="47"/>
  <c r="Z275" i="47"/>
  <c r="AB275" i="47"/>
  <c r="L389" i="47"/>
  <c r="M389" i="47"/>
  <c r="O389" i="47"/>
  <c r="P389" i="47"/>
  <c r="Q389" i="47"/>
  <c r="N389" i="47"/>
  <c r="R389" i="47"/>
  <c r="S389" i="47"/>
  <c r="V389" i="47"/>
  <c r="X389" i="47"/>
  <c r="Y389" i="47"/>
  <c r="Z389" i="47"/>
  <c r="AA389" i="47"/>
  <c r="AB389" i="47"/>
  <c r="M371" i="47"/>
  <c r="N371" i="47"/>
  <c r="L371" i="47"/>
  <c r="Q371" i="47"/>
  <c r="S371" i="47"/>
  <c r="X371" i="47"/>
  <c r="Y371" i="47"/>
  <c r="Z371" i="47"/>
  <c r="AB371" i="47"/>
  <c r="M271" i="47"/>
  <c r="O271" i="47"/>
  <c r="P271" i="47"/>
  <c r="Q271" i="47"/>
  <c r="S271" i="47"/>
  <c r="X271" i="47"/>
  <c r="Z271" i="47"/>
  <c r="AB271" i="47"/>
  <c r="L384" i="47"/>
  <c r="N384" i="47"/>
  <c r="M384" i="47"/>
  <c r="P384" i="47"/>
  <c r="Q384" i="47"/>
  <c r="R384" i="47"/>
  <c r="O384" i="47"/>
  <c r="S384" i="47"/>
  <c r="V384" i="47"/>
  <c r="X384" i="47"/>
  <c r="Y384" i="47"/>
  <c r="Z384" i="47"/>
  <c r="AA384" i="47"/>
  <c r="AB384" i="47"/>
  <c r="M386" i="47"/>
  <c r="O386" i="47"/>
  <c r="R386" i="47"/>
  <c r="S386" i="47"/>
  <c r="X386" i="47"/>
  <c r="Z386" i="47"/>
  <c r="AA386" i="47"/>
  <c r="L349" i="47"/>
  <c r="M349" i="47"/>
  <c r="N349" i="47"/>
  <c r="O349" i="47"/>
  <c r="P349" i="47"/>
  <c r="Q349" i="47"/>
  <c r="R349" i="47"/>
  <c r="S349" i="47"/>
  <c r="V349" i="47"/>
  <c r="X349" i="47"/>
  <c r="Y349" i="47"/>
  <c r="Z349" i="47"/>
  <c r="AA349" i="47"/>
  <c r="AB349" i="47"/>
  <c r="M129" i="47"/>
  <c r="L129" i="47"/>
  <c r="N129" i="47"/>
  <c r="O129" i="47"/>
  <c r="Q129" i="47"/>
  <c r="R129" i="47"/>
  <c r="S129" i="47"/>
  <c r="P129" i="47"/>
  <c r="V129" i="47"/>
  <c r="X129" i="47"/>
  <c r="Y129" i="47"/>
  <c r="Z129" i="47"/>
  <c r="AA129" i="47"/>
  <c r="AB129" i="47"/>
  <c r="L405" i="47"/>
  <c r="M405" i="47"/>
  <c r="N405" i="47"/>
  <c r="O405" i="47"/>
  <c r="P405" i="47"/>
  <c r="R405" i="47"/>
  <c r="Q405" i="47"/>
  <c r="S405" i="47"/>
  <c r="V405" i="47"/>
  <c r="X405" i="47"/>
  <c r="AA405" i="47"/>
  <c r="AB405" i="47"/>
  <c r="Y405" i="47"/>
  <c r="Z405" i="47"/>
  <c r="Q298" i="47"/>
  <c r="R298" i="47"/>
  <c r="L288" i="47"/>
  <c r="M288" i="47"/>
  <c r="P288" i="47"/>
  <c r="O288" i="47"/>
  <c r="Z288" i="47"/>
  <c r="V288" i="47"/>
  <c r="AA288" i="47"/>
  <c r="X288" i="47"/>
  <c r="M407" i="47"/>
  <c r="O407" i="47"/>
  <c r="Q407" i="47"/>
  <c r="S407" i="47"/>
  <c r="X407" i="47"/>
  <c r="Z407" i="47"/>
  <c r="AB407" i="47"/>
  <c r="S392" i="47"/>
  <c r="L418" i="47"/>
  <c r="N418" i="47"/>
  <c r="Y418" i="47"/>
  <c r="Z418" i="47"/>
  <c r="N354" i="47"/>
  <c r="O354" i="47"/>
  <c r="M354" i="47"/>
  <c r="P354" i="47"/>
  <c r="R354" i="47"/>
  <c r="Q354" i="47"/>
  <c r="S354" i="47"/>
  <c r="X354" i="47"/>
  <c r="Z354" i="47"/>
  <c r="AA354" i="47"/>
  <c r="AB354" i="47"/>
  <c r="L346" i="47"/>
  <c r="M346" i="47"/>
  <c r="O346" i="47"/>
  <c r="P346" i="47"/>
  <c r="Q346" i="47"/>
  <c r="R346" i="47"/>
  <c r="N346" i="47"/>
  <c r="S346" i="47"/>
  <c r="V346" i="47"/>
  <c r="X346" i="47"/>
  <c r="Y346" i="47"/>
  <c r="Z346" i="47"/>
  <c r="AA346" i="47"/>
  <c r="AB346" i="47"/>
  <c r="L280" i="47"/>
  <c r="M280" i="47"/>
  <c r="O280" i="47"/>
  <c r="R280" i="47"/>
  <c r="S280" i="47"/>
  <c r="V280" i="47"/>
  <c r="X280" i="47"/>
  <c r="AA280" i="47"/>
  <c r="AB280" i="47"/>
  <c r="Z280" i="47"/>
  <c r="L341" i="47"/>
  <c r="N341" i="47"/>
  <c r="O341" i="47"/>
  <c r="P341" i="47"/>
  <c r="M341" i="47"/>
  <c r="Q341" i="47"/>
  <c r="R341" i="47"/>
  <c r="S341" i="47"/>
  <c r="V341" i="47"/>
  <c r="X341" i="47"/>
  <c r="Y341" i="47"/>
  <c r="Z341" i="47"/>
  <c r="AA341" i="47"/>
  <c r="AB341" i="47"/>
  <c r="L287" i="47"/>
  <c r="M287" i="47"/>
  <c r="N287" i="47"/>
  <c r="O287" i="47"/>
  <c r="P287" i="47"/>
  <c r="Q287" i="47"/>
  <c r="R287" i="47"/>
  <c r="S287" i="47"/>
  <c r="V287" i="47"/>
  <c r="X287" i="47"/>
  <c r="Y287" i="47"/>
  <c r="Z287" i="47"/>
  <c r="AA287" i="47"/>
  <c r="AB287" i="47"/>
  <c r="L335" i="47"/>
  <c r="N335" i="47"/>
  <c r="O335" i="47"/>
  <c r="M335" i="47"/>
  <c r="P335" i="47"/>
  <c r="Q335" i="47"/>
  <c r="R335" i="47"/>
  <c r="S335" i="47"/>
  <c r="V335" i="47"/>
  <c r="X335" i="47"/>
  <c r="Y335" i="47"/>
  <c r="Z335" i="47"/>
  <c r="AA335" i="47"/>
  <c r="AB335" i="47"/>
  <c r="N138" i="47"/>
  <c r="V138" i="47"/>
  <c r="M296" i="47"/>
  <c r="N296" i="47"/>
  <c r="L296" i="47"/>
  <c r="O296" i="47"/>
  <c r="P296" i="47"/>
  <c r="Q296" i="47"/>
  <c r="R296" i="47"/>
  <c r="S296" i="47"/>
  <c r="V296" i="47"/>
  <c r="X296" i="47"/>
  <c r="Y296" i="47"/>
  <c r="Z296" i="47"/>
  <c r="AA296" i="47"/>
  <c r="AB296" i="47"/>
  <c r="M417" i="47"/>
  <c r="N417" i="47"/>
  <c r="O417" i="47"/>
  <c r="P417" i="47"/>
  <c r="Q417" i="47"/>
  <c r="L417" i="47"/>
  <c r="R417" i="47"/>
  <c r="S417" i="47"/>
  <c r="V417" i="47"/>
  <c r="X417" i="47"/>
  <c r="Y417" i="47"/>
  <c r="Z417" i="47"/>
  <c r="AA417" i="47"/>
  <c r="AB417" i="47"/>
  <c r="L365" i="47"/>
  <c r="N365" i="47"/>
  <c r="O365" i="47"/>
  <c r="M365" i="47"/>
  <c r="P365" i="47"/>
  <c r="Q365" i="47"/>
  <c r="R365" i="47"/>
  <c r="S365" i="47"/>
  <c r="V365" i="47"/>
  <c r="X365" i="47"/>
  <c r="Y365" i="47"/>
  <c r="Z365" i="47"/>
  <c r="AA365" i="47"/>
  <c r="AB365" i="47"/>
  <c r="L420" i="47"/>
  <c r="N420" i="47"/>
  <c r="M420" i="47"/>
  <c r="P420" i="47"/>
  <c r="Q420" i="47"/>
  <c r="R420" i="47"/>
  <c r="S420" i="47"/>
  <c r="O420" i="47"/>
  <c r="V420" i="47"/>
  <c r="X420" i="47"/>
  <c r="Y420" i="47"/>
  <c r="Z420" i="47"/>
  <c r="AB420" i="47"/>
  <c r="AA420" i="47"/>
  <c r="L342" i="47"/>
  <c r="M342" i="47"/>
  <c r="N342" i="47"/>
  <c r="O342" i="47"/>
  <c r="P342" i="47"/>
  <c r="Q342" i="47"/>
  <c r="R342" i="47"/>
  <c r="Z342" i="47"/>
  <c r="V342" i="47"/>
  <c r="AA342" i="47"/>
  <c r="AB342" i="47"/>
  <c r="S342" i="47"/>
  <c r="Y342" i="47"/>
  <c r="X342" i="47"/>
  <c r="P276" i="47"/>
  <c r="Q276" i="47"/>
  <c r="V337" i="47"/>
  <c r="V285" i="47"/>
  <c r="M329" i="47"/>
  <c r="N329" i="47"/>
  <c r="O329" i="47"/>
  <c r="P329" i="47"/>
  <c r="L329" i="47"/>
  <c r="Q329" i="47"/>
  <c r="R329" i="47"/>
  <c r="S329" i="47"/>
  <c r="V329" i="47"/>
  <c r="X329" i="47"/>
  <c r="Y329" i="47"/>
  <c r="Z329" i="47"/>
  <c r="AA329" i="47"/>
  <c r="AB329" i="47"/>
  <c r="L134" i="47"/>
  <c r="M134" i="47"/>
  <c r="N134" i="47"/>
  <c r="Q134" i="47"/>
  <c r="S134" i="47"/>
  <c r="X134" i="47"/>
  <c r="Y134" i="47"/>
  <c r="Z134" i="47"/>
  <c r="AB134" i="47"/>
  <c r="M292" i="47"/>
  <c r="L361" i="47"/>
  <c r="M361" i="47"/>
  <c r="O361" i="47"/>
  <c r="P361" i="47"/>
  <c r="N361" i="47"/>
  <c r="Q361" i="47"/>
  <c r="R361" i="47"/>
  <c r="S361" i="47"/>
  <c r="V361" i="47"/>
  <c r="X361" i="47"/>
  <c r="Y361" i="47"/>
  <c r="Z361" i="47"/>
  <c r="AA361" i="47"/>
  <c r="AB361" i="47"/>
  <c r="M368" i="47"/>
  <c r="N368" i="47"/>
  <c r="L368" i="47"/>
  <c r="O368" i="47"/>
  <c r="P368" i="47"/>
  <c r="Q368" i="47"/>
  <c r="R368" i="47"/>
  <c r="S368" i="47"/>
  <c r="V368" i="47"/>
  <c r="X368" i="47"/>
  <c r="Y368" i="47"/>
  <c r="Z368" i="47"/>
  <c r="AA368" i="47"/>
  <c r="AB368" i="47"/>
  <c r="L381" i="47"/>
  <c r="M381" i="47"/>
  <c r="N381" i="47"/>
  <c r="P381" i="47"/>
  <c r="O381" i="47"/>
  <c r="Q381" i="47"/>
  <c r="R381" i="47"/>
  <c r="S381" i="47"/>
  <c r="X381" i="47"/>
  <c r="Z381" i="47"/>
  <c r="V381" i="47"/>
  <c r="Y381" i="47"/>
  <c r="AA381" i="47"/>
  <c r="AB381" i="47"/>
  <c r="L367" i="47"/>
  <c r="M367" i="47"/>
  <c r="N367" i="47"/>
  <c r="O367" i="47"/>
  <c r="Q367" i="47"/>
  <c r="P367" i="47"/>
  <c r="R367" i="47"/>
  <c r="S367" i="47"/>
  <c r="V367" i="47"/>
  <c r="AA367" i="47"/>
  <c r="Z367" i="47"/>
  <c r="X367" i="47"/>
  <c r="AB367" i="47"/>
  <c r="Y367" i="47"/>
  <c r="L403" i="47"/>
  <c r="M403" i="47"/>
  <c r="AA403" i="47"/>
  <c r="AB403" i="47"/>
  <c r="L284" i="47"/>
  <c r="M284" i="47"/>
  <c r="N284" i="47"/>
  <c r="O284" i="47"/>
  <c r="P284" i="47"/>
  <c r="R284" i="47"/>
  <c r="S284" i="47"/>
  <c r="Q284" i="47"/>
  <c r="V284" i="47"/>
  <c r="X284" i="47"/>
  <c r="Y284" i="47"/>
  <c r="Z284" i="47"/>
  <c r="AA284" i="47"/>
  <c r="AB284" i="47"/>
  <c r="V333" i="47"/>
  <c r="L281" i="47"/>
  <c r="N281" i="47"/>
  <c r="M281" i="47"/>
  <c r="O281" i="47"/>
  <c r="P281" i="47"/>
  <c r="Q281" i="47"/>
  <c r="R281" i="47"/>
  <c r="S281" i="47"/>
  <c r="V281" i="47"/>
  <c r="X281" i="47"/>
  <c r="Y281" i="47"/>
  <c r="Z281" i="47"/>
  <c r="AA281" i="47"/>
  <c r="AB281" i="47"/>
  <c r="L305" i="47"/>
  <c r="M305" i="47"/>
  <c r="N305" i="47"/>
  <c r="P305" i="47"/>
  <c r="O305" i="47"/>
  <c r="Q305" i="47"/>
  <c r="S305" i="47"/>
  <c r="R305" i="47"/>
  <c r="X305" i="47"/>
  <c r="Z305" i="47"/>
  <c r="V305" i="47"/>
  <c r="Y305" i="47"/>
  <c r="AA305" i="47"/>
  <c r="AB305" i="47"/>
  <c r="L336" i="47"/>
  <c r="M336" i="47"/>
  <c r="N336" i="47"/>
  <c r="O336" i="47"/>
  <c r="P336" i="47"/>
  <c r="R336" i="47"/>
  <c r="Q336" i="47"/>
  <c r="S336" i="47"/>
  <c r="V336" i="47"/>
  <c r="X336" i="47"/>
  <c r="Y336" i="47"/>
  <c r="Z336" i="47"/>
  <c r="AA336" i="47"/>
  <c r="AB336" i="47"/>
  <c r="L380" i="47"/>
  <c r="M380" i="47"/>
  <c r="N380" i="47"/>
  <c r="O380" i="47"/>
  <c r="P380" i="47"/>
  <c r="Q380" i="47"/>
  <c r="R380" i="47"/>
  <c r="S380" i="47"/>
  <c r="V380" i="47"/>
  <c r="X380" i="47"/>
  <c r="Y380" i="47"/>
  <c r="Z380" i="47"/>
  <c r="AA380" i="47"/>
  <c r="AB380" i="47"/>
  <c r="O374" i="47"/>
  <c r="L395" i="47"/>
  <c r="M395" i="47"/>
  <c r="N395" i="47"/>
  <c r="O395" i="47"/>
  <c r="Q395" i="47"/>
  <c r="P395" i="47"/>
  <c r="R395" i="47"/>
  <c r="S395" i="47"/>
  <c r="V395" i="47"/>
  <c r="X395" i="47"/>
  <c r="AA395" i="47"/>
  <c r="AB395" i="47"/>
  <c r="Z395" i="47"/>
  <c r="Y395" i="47"/>
  <c r="L382" i="47"/>
  <c r="M382" i="47"/>
  <c r="O382" i="47"/>
  <c r="P382" i="47"/>
  <c r="Q382" i="47"/>
  <c r="S382" i="47"/>
  <c r="X382" i="47"/>
  <c r="Y382" i="47"/>
  <c r="Z382" i="47"/>
  <c r="AB382" i="47"/>
  <c r="L282" i="47"/>
  <c r="M282" i="47"/>
  <c r="N282" i="47"/>
  <c r="P282" i="47"/>
  <c r="O282" i="47"/>
  <c r="Q282" i="47"/>
  <c r="R282" i="47"/>
  <c r="S282" i="47"/>
  <c r="Z282" i="47"/>
  <c r="Y282" i="47"/>
  <c r="V282" i="47"/>
  <c r="AA282" i="47"/>
  <c r="AB282" i="47"/>
  <c r="X282" i="47"/>
  <c r="M331" i="47"/>
  <c r="L331" i="47"/>
  <c r="O331" i="47"/>
  <c r="N331" i="47"/>
  <c r="P331" i="47"/>
  <c r="Q331" i="47"/>
  <c r="R331" i="47"/>
  <c r="S331" i="47"/>
  <c r="V331" i="47"/>
  <c r="X331" i="47"/>
  <c r="Y331" i="47"/>
  <c r="Z331" i="47"/>
  <c r="AA331" i="47"/>
  <c r="AB331" i="47"/>
  <c r="L279" i="47"/>
  <c r="M279" i="47"/>
  <c r="O279" i="47"/>
  <c r="P279" i="47"/>
  <c r="Q279" i="47"/>
  <c r="N279" i="47"/>
  <c r="R279" i="47"/>
  <c r="S279" i="47"/>
  <c r="V279" i="47"/>
  <c r="X279" i="47"/>
  <c r="Y279" i="47"/>
  <c r="Z279" i="47"/>
  <c r="AA279" i="47"/>
  <c r="AB279" i="47"/>
  <c r="L299" i="47"/>
  <c r="N299" i="47"/>
  <c r="O299" i="47"/>
  <c r="M299" i="47"/>
  <c r="P299" i="47"/>
  <c r="R299" i="47"/>
  <c r="S299" i="47"/>
  <c r="V299" i="47"/>
  <c r="X299" i="47"/>
  <c r="Y299" i="47"/>
  <c r="Z299" i="47"/>
  <c r="Q299" i="47"/>
  <c r="AA299" i="47"/>
  <c r="AB299" i="47"/>
  <c r="L330" i="47"/>
  <c r="M330" i="47"/>
  <c r="N330" i="47"/>
  <c r="O330" i="47"/>
  <c r="Q330" i="47"/>
  <c r="R330" i="47"/>
  <c r="S330" i="47"/>
  <c r="P330" i="47"/>
  <c r="V330" i="47"/>
  <c r="X330" i="47"/>
  <c r="Y330" i="47"/>
  <c r="Z330" i="47"/>
  <c r="AB330" i="47"/>
  <c r="AA330" i="47"/>
  <c r="M135" i="47"/>
  <c r="L135" i="47"/>
  <c r="N135" i="47"/>
  <c r="O135" i="47"/>
  <c r="Q135" i="47"/>
  <c r="P135" i="47"/>
  <c r="R135" i="47"/>
  <c r="S135" i="47"/>
  <c r="V135" i="47"/>
  <c r="AA135" i="47"/>
  <c r="Z135" i="47"/>
  <c r="X135" i="47"/>
  <c r="AB135" i="47"/>
  <c r="Y135" i="47"/>
  <c r="L409" i="47"/>
  <c r="M409" i="47"/>
  <c r="N409" i="47"/>
  <c r="Q409" i="47"/>
  <c r="R409" i="47"/>
  <c r="P409" i="47"/>
  <c r="V409" i="47"/>
  <c r="X409" i="47"/>
  <c r="Y409" i="47"/>
  <c r="Z409" i="47"/>
  <c r="AB409" i="47"/>
  <c r="L399" i="47"/>
  <c r="M399" i="47"/>
  <c r="O399" i="47"/>
  <c r="N399" i="47"/>
  <c r="Q399" i="47"/>
  <c r="R399" i="47"/>
  <c r="S399" i="47"/>
  <c r="V399" i="47"/>
  <c r="X399" i="47"/>
  <c r="Y399" i="47"/>
  <c r="Z399" i="47"/>
  <c r="P399" i="47"/>
  <c r="AA399" i="47"/>
  <c r="AB399" i="47"/>
  <c r="S362" i="47"/>
  <c r="Y362" i="47"/>
  <c r="N356" i="47"/>
  <c r="L356" i="47"/>
  <c r="M356" i="47"/>
  <c r="P356" i="47"/>
  <c r="Q356" i="47"/>
  <c r="R356" i="47"/>
  <c r="O356" i="47"/>
  <c r="S356" i="47"/>
  <c r="V356" i="47"/>
  <c r="X356" i="47"/>
  <c r="Y356" i="47"/>
  <c r="Z356" i="47"/>
  <c r="AA356" i="47"/>
  <c r="AB356" i="47"/>
  <c r="L128" i="47"/>
  <c r="M128" i="47"/>
  <c r="O128" i="47"/>
  <c r="Q128" i="47"/>
  <c r="S128" i="47"/>
  <c r="X128" i="47"/>
  <c r="Y128" i="47"/>
  <c r="Z128" i="47"/>
  <c r="AB128" i="47"/>
  <c r="L375" i="47"/>
  <c r="M375" i="47"/>
  <c r="O375" i="47"/>
  <c r="P375" i="47"/>
  <c r="N375" i="47"/>
  <c r="Q375" i="47"/>
  <c r="R375" i="47"/>
  <c r="S375" i="47"/>
  <c r="V375" i="47"/>
  <c r="X375" i="47"/>
  <c r="Y375" i="47"/>
  <c r="Z375" i="47"/>
  <c r="AA375" i="47"/>
  <c r="AB375" i="47"/>
  <c r="M286" i="47"/>
  <c r="N286" i="47"/>
  <c r="O286" i="47"/>
  <c r="P286" i="47"/>
  <c r="L286" i="47"/>
  <c r="Q286" i="47"/>
  <c r="R286" i="47"/>
  <c r="S286" i="47"/>
  <c r="V286" i="47"/>
  <c r="X286" i="47"/>
  <c r="Y286" i="47"/>
  <c r="Z286" i="47"/>
  <c r="AA286" i="47"/>
  <c r="AB286" i="47"/>
  <c r="L347" i="47"/>
  <c r="M347" i="47"/>
  <c r="Y347" i="47"/>
  <c r="AA347" i="47"/>
  <c r="R391" i="47"/>
  <c r="L355" i="47"/>
  <c r="M355" i="47"/>
  <c r="O355" i="47"/>
  <c r="P355" i="47"/>
  <c r="Q355" i="47"/>
  <c r="S355" i="47"/>
  <c r="X355" i="47"/>
  <c r="Y355" i="47"/>
  <c r="Z355" i="47"/>
  <c r="AB355" i="47"/>
  <c r="P302" i="47"/>
  <c r="AA302" i="47"/>
  <c r="L293" i="47"/>
  <c r="N293" i="47"/>
  <c r="O293" i="47"/>
  <c r="M293" i="47"/>
  <c r="P293" i="47"/>
  <c r="Q293" i="47"/>
  <c r="R293" i="47"/>
  <c r="S293" i="47"/>
  <c r="V293" i="47"/>
  <c r="X293" i="47"/>
  <c r="Y293" i="47"/>
  <c r="Z293" i="47"/>
  <c r="AA293" i="47"/>
  <c r="AB293" i="47"/>
  <c r="N290" i="47"/>
  <c r="Q290" i="47"/>
  <c r="V415" i="47"/>
  <c r="AA415" i="47"/>
  <c r="Y289" i="47"/>
  <c r="L317" i="47"/>
  <c r="M317" i="47"/>
  <c r="N317" i="47"/>
  <c r="O317" i="47"/>
  <c r="P317" i="47"/>
  <c r="Q317" i="47"/>
  <c r="R317" i="47"/>
  <c r="S317" i="47"/>
  <c r="V317" i="47"/>
  <c r="X317" i="47"/>
  <c r="Y317" i="47"/>
  <c r="Z317" i="47"/>
  <c r="AA317" i="47"/>
  <c r="AB317" i="47"/>
  <c r="L383" i="47"/>
  <c r="M383" i="47"/>
  <c r="N383" i="47"/>
  <c r="P383" i="47"/>
  <c r="Q383" i="47"/>
  <c r="O383" i="47"/>
  <c r="R383" i="47"/>
  <c r="S383" i="47"/>
  <c r="V383" i="47"/>
  <c r="X383" i="47"/>
  <c r="Y383" i="47"/>
  <c r="Z383" i="47"/>
  <c r="AA383" i="47"/>
  <c r="AB383" i="47"/>
  <c r="L376" i="47"/>
  <c r="N376" i="47"/>
  <c r="O376" i="47"/>
  <c r="P376" i="47"/>
  <c r="Q376" i="47"/>
  <c r="R376" i="47"/>
  <c r="M376" i="47"/>
  <c r="S376" i="47"/>
  <c r="V376" i="47"/>
  <c r="X376" i="47"/>
  <c r="Y376" i="47"/>
  <c r="Z376" i="47"/>
  <c r="AA376" i="47"/>
  <c r="AB376" i="47"/>
  <c r="L373" i="47"/>
  <c r="O373" i="47"/>
  <c r="L369" i="47"/>
  <c r="M369" i="47"/>
  <c r="N369" i="47"/>
  <c r="O369" i="47"/>
  <c r="P369" i="47"/>
  <c r="Q369" i="47"/>
  <c r="R369" i="47"/>
  <c r="S369" i="47"/>
  <c r="V369" i="47"/>
  <c r="X369" i="47"/>
  <c r="Y369" i="47"/>
  <c r="Z369" i="47"/>
  <c r="AA369" i="47"/>
  <c r="AB369" i="47"/>
  <c r="L332" i="47"/>
  <c r="M332" i="47"/>
  <c r="N332" i="47"/>
  <c r="O332" i="47"/>
  <c r="P332" i="47"/>
  <c r="R332" i="47"/>
  <c r="Q332" i="47"/>
  <c r="S332" i="47"/>
  <c r="V332" i="47"/>
  <c r="X332" i="47"/>
  <c r="Y332" i="47"/>
  <c r="Z332" i="47"/>
  <c r="AA332" i="47"/>
  <c r="AB332" i="47"/>
  <c r="L269" i="47"/>
  <c r="M269" i="47"/>
  <c r="N269" i="47"/>
  <c r="O269" i="47"/>
  <c r="P269" i="47"/>
  <c r="Q269" i="47"/>
  <c r="R269" i="47"/>
  <c r="S269" i="47"/>
  <c r="V269" i="47"/>
  <c r="X269" i="47"/>
  <c r="Y269" i="47"/>
  <c r="Z269" i="47"/>
  <c r="AA269" i="47"/>
  <c r="AB269" i="47"/>
  <c r="R327" i="47"/>
  <c r="L273" i="47"/>
  <c r="V273" i="47"/>
  <c r="Q273" i="47"/>
  <c r="L313" i="47"/>
  <c r="M313" i="47"/>
  <c r="N313" i="47"/>
  <c r="P313" i="47"/>
  <c r="O313" i="47"/>
  <c r="Q313" i="47"/>
  <c r="R313" i="47"/>
  <c r="S313" i="47"/>
  <c r="X313" i="47"/>
  <c r="Z313" i="47"/>
  <c r="Y313" i="47"/>
  <c r="AA313" i="47"/>
  <c r="AB313" i="47"/>
  <c r="V313" i="47"/>
  <c r="L344" i="47"/>
  <c r="M344" i="47"/>
  <c r="N344" i="47"/>
  <c r="P344" i="47"/>
  <c r="Q344" i="47"/>
  <c r="O344" i="47"/>
  <c r="R344" i="47"/>
  <c r="S344" i="47"/>
  <c r="V344" i="47"/>
  <c r="X344" i="47"/>
  <c r="Y344" i="47"/>
  <c r="Z344" i="47"/>
  <c r="AA344" i="47"/>
  <c r="AB344" i="47"/>
  <c r="L278" i="47"/>
  <c r="M278" i="47"/>
  <c r="N278" i="47"/>
  <c r="O278" i="47"/>
  <c r="P278" i="47"/>
  <c r="Q278" i="47"/>
  <c r="R278" i="47"/>
  <c r="S278" i="47"/>
  <c r="V278" i="47"/>
  <c r="X278" i="47"/>
  <c r="Y278" i="47"/>
  <c r="Z278" i="47"/>
  <c r="AA278" i="47"/>
  <c r="AB278" i="47"/>
  <c r="M404" i="47"/>
  <c r="N404" i="47"/>
  <c r="L404" i="47"/>
  <c r="O404" i="47"/>
  <c r="P404" i="47"/>
  <c r="Q404" i="47"/>
  <c r="R404" i="47"/>
  <c r="S404" i="47"/>
  <c r="V404" i="47"/>
  <c r="X404" i="47"/>
  <c r="Y404" i="47"/>
  <c r="Z404" i="47"/>
  <c r="AA404" i="47"/>
  <c r="AB404" i="47"/>
  <c r="L414" i="47"/>
  <c r="N414" i="47"/>
  <c r="R414" i="47"/>
  <c r="Y414" i="47"/>
  <c r="Z414" i="47"/>
  <c r="L378" i="47"/>
  <c r="M378" i="47"/>
  <c r="N378" i="47"/>
  <c r="O378" i="47"/>
  <c r="Q378" i="47"/>
  <c r="P378" i="47"/>
  <c r="R378" i="47"/>
  <c r="S378" i="47"/>
  <c r="V378" i="47"/>
  <c r="X378" i="47"/>
  <c r="AA378" i="47"/>
  <c r="AB378" i="47"/>
  <c r="Z378" i="47"/>
  <c r="Y378" i="47"/>
  <c r="AB370" i="47"/>
  <c r="L328" i="47"/>
  <c r="M328" i="47"/>
  <c r="N328" i="47"/>
  <c r="O328" i="47"/>
  <c r="Q328" i="47"/>
  <c r="R328" i="47"/>
  <c r="P328" i="47"/>
  <c r="S328" i="47"/>
  <c r="V328" i="47"/>
  <c r="X328" i="47"/>
  <c r="Y328" i="47"/>
  <c r="Z328" i="47"/>
  <c r="AA328" i="47"/>
  <c r="AB328" i="47"/>
  <c r="L266" i="47"/>
  <c r="N266" i="47"/>
  <c r="O266" i="47"/>
  <c r="M266" i="47"/>
  <c r="P266" i="47"/>
  <c r="R266" i="47"/>
  <c r="Q266" i="47"/>
  <c r="S266" i="47"/>
  <c r="V266" i="47"/>
  <c r="X266" i="47"/>
  <c r="Y266" i="47"/>
  <c r="Z266" i="47"/>
  <c r="AA266" i="47"/>
  <c r="AB266" i="47"/>
  <c r="L309" i="47"/>
  <c r="M309" i="47"/>
  <c r="N309" i="47"/>
  <c r="O309" i="47"/>
  <c r="P309" i="47"/>
  <c r="Q309" i="47"/>
  <c r="R309" i="47"/>
  <c r="S309" i="47"/>
  <c r="Y309" i="47"/>
  <c r="X309" i="47"/>
  <c r="AA309" i="47"/>
  <c r="AB309" i="47"/>
  <c r="V309" i="47"/>
  <c r="Z309" i="47"/>
  <c r="O340" i="47"/>
  <c r="L272" i="47"/>
  <c r="M272" i="47"/>
  <c r="O272" i="47"/>
  <c r="P272" i="47"/>
  <c r="N272" i="47"/>
  <c r="Q272" i="47"/>
  <c r="R272" i="47"/>
  <c r="S272" i="47"/>
  <c r="V272" i="47"/>
  <c r="X272" i="47"/>
  <c r="Y272" i="47"/>
  <c r="Z272" i="47"/>
  <c r="AA272" i="47"/>
  <c r="AB272" i="47"/>
  <c r="L413" i="47"/>
  <c r="N413" i="47"/>
  <c r="M413" i="47"/>
  <c r="P413" i="47"/>
  <c r="Q413" i="47"/>
  <c r="R413" i="47"/>
  <c r="S413" i="47"/>
  <c r="O413" i="47"/>
  <c r="V413" i="47"/>
  <c r="X413" i="47"/>
  <c r="Y413" i="47"/>
  <c r="Z413" i="47"/>
  <c r="AA413" i="47"/>
  <c r="AB413" i="47"/>
  <c r="L350" i="47"/>
  <c r="M350" i="47"/>
  <c r="N350" i="47"/>
  <c r="P350" i="47"/>
  <c r="O350" i="47"/>
  <c r="Q350" i="47"/>
  <c r="S350" i="47"/>
  <c r="X350" i="47"/>
  <c r="Z350" i="47"/>
  <c r="Y350" i="47"/>
  <c r="AA350" i="47"/>
  <c r="AB350" i="47"/>
  <c r="R350" i="47"/>
  <c r="V350" i="47"/>
  <c r="L351" i="47"/>
  <c r="M351" i="47"/>
  <c r="N351" i="47"/>
  <c r="O351" i="47"/>
  <c r="P351" i="47"/>
  <c r="R351" i="47"/>
  <c r="Q351" i="47"/>
  <c r="S351" i="47"/>
  <c r="V351" i="47"/>
  <c r="X351" i="47"/>
  <c r="AA351" i="47"/>
  <c r="AB351" i="47"/>
  <c r="Y351" i="47"/>
  <c r="Z351" i="47"/>
  <c r="L338" i="47"/>
  <c r="M338" i="47"/>
  <c r="O338" i="47"/>
  <c r="N338" i="47"/>
  <c r="Q338" i="47"/>
  <c r="R338" i="47"/>
  <c r="P338" i="47"/>
  <c r="V338" i="47"/>
  <c r="X338" i="47"/>
  <c r="Y338" i="47"/>
  <c r="Z338" i="47"/>
  <c r="S338" i="47"/>
  <c r="AA338" i="47"/>
  <c r="AB338" i="47"/>
  <c r="S274" i="47"/>
  <c r="L321" i="47"/>
  <c r="M321" i="47"/>
  <c r="N321" i="47"/>
  <c r="O321" i="47"/>
  <c r="P321" i="47"/>
  <c r="Q321" i="47"/>
  <c r="S321" i="47"/>
  <c r="R321" i="47"/>
  <c r="X321" i="47"/>
  <c r="Y321" i="47"/>
  <c r="AB321" i="47"/>
  <c r="V321" i="47"/>
  <c r="Z321" i="47"/>
  <c r="AA321" i="47"/>
  <c r="L136" i="47"/>
  <c r="M136" i="47"/>
  <c r="N136" i="47"/>
  <c r="O136" i="47"/>
  <c r="P136" i="47"/>
  <c r="Q136" i="47"/>
  <c r="R136" i="47"/>
  <c r="S136" i="47"/>
  <c r="V136" i="47"/>
  <c r="X136" i="47"/>
  <c r="Y136" i="47"/>
  <c r="Z136" i="47"/>
  <c r="AA136" i="47"/>
  <c r="AB136" i="47"/>
  <c r="L283" i="47"/>
  <c r="O283" i="47"/>
  <c r="M283" i="47"/>
  <c r="N283" i="47"/>
  <c r="Q283" i="47"/>
  <c r="R283" i="47"/>
  <c r="P283" i="47"/>
  <c r="S283" i="47"/>
  <c r="V283" i="47"/>
  <c r="X283" i="47"/>
  <c r="Y283" i="47"/>
  <c r="Z283" i="47"/>
  <c r="AA283" i="47"/>
  <c r="AB283" i="47"/>
  <c r="M320" i="47"/>
  <c r="N320" i="47"/>
  <c r="O320" i="47"/>
  <c r="P320" i="47"/>
  <c r="Q320" i="47"/>
  <c r="L320" i="47"/>
  <c r="R320" i="47"/>
  <c r="S320" i="47"/>
  <c r="V320" i="47"/>
  <c r="X320" i="47"/>
  <c r="Y320" i="47"/>
  <c r="Z320" i="47"/>
  <c r="AA320" i="47"/>
  <c r="AB320" i="47"/>
  <c r="L387" i="47"/>
  <c r="M387" i="47"/>
  <c r="O387" i="47"/>
  <c r="P387" i="47"/>
  <c r="Q387" i="47"/>
  <c r="N387" i="47"/>
  <c r="R387" i="47"/>
  <c r="S387" i="47"/>
  <c r="V387" i="47"/>
  <c r="X387" i="47"/>
  <c r="Y387" i="47"/>
  <c r="Z387" i="47"/>
  <c r="AA387" i="47"/>
  <c r="AB387" i="47"/>
  <c r="L364" i="47"/>
  <c r="N364" i="47"/>
  <c r="O364" i="47"/>
  <c r="P364" i="47"/>
  <c r="R364" i="47"/>
  <c r="V364" i="47"/>
  <c r="Y364" i="47"/>
  <c r="AA364" i="47"/>
  <c r="AB364" i="47"/>
  <c r="L377" i="47"/>
  <c r="N377" i="47"/>
  <c r="O377" i="47"/>
  <c r="M377" i="47"/>
  <c r="P377" i="47"/>
  <c r="Q377" i="47"/>
  <c r="R377" i="47"/>
  <c r="S377" i="47"/>
  <c r="V377" i="47"/>
  <c r="X377" i="47"/>
  <c r="Y377" i="47"/>
  <c r="Z377" i="47"/>
  <c r="AA377" i="47"/>
  <c r="AB377" i="47"/>
  <c r="P353" i="47"/>
  <c r="R353" i="47"/>
  <c r="L334" i="47"/>
  <c r="N334" i="47"/>
  <c r="O334" i="47"/>
  <c r="Q334" i="47"/>
  <c r="R334" i="47"/>
  <c r="AA334" i="47"/>
  <c r="X334" i="47"/>
  <c r="V334" i="47"/>
  <c r="L270" i="47"/>
  <c r="M270" i="47"/>
  <c r="N270" i="47"/>
  <c r="P270" i="47"/>
  <c r="O270" i="47"/>
  <c r="Q270" i="47"/>
  <c r="R270" i="47"/>
  <c r="S270" i="47"/>
  <c r="X270" i="47"/>
  <c r="Z270" i="47"/>
  <c r="Y270" i="47"/>
  <c r="AA270" i="47"/>
  <c r="AB270" i="47"/>
  <c r="V270" i="47"/>
  <c r="L319" i="47"/>
  <c r="M319" i="47"/>
  <c r="N319" i="47"/>
  <c r="O319" i="47"/>
  <c r="P319" i="47"/>
  <c r="Q319" i="47"/>
  <c r="R319" i="47"/>
  <c r="S319" i="47"/>
  <c r="Y319" i="47"/>
  <c r="X319" i="47"/>
  <c r="AA319" i="47"/>
  <c r="AB319" i="47"/>
  <c r="V319" i="47"/>
  <c r="Z319" i="47"/>
  <c r="L132" i="47"/>
  <c r="N132" i="47"/>
  <c r="M132" i="47"/>
  <c r="P132" i="47"/>
  <c r="Q132" i="47"/>
  <c r="R132" i="47"/>
  <c r="S132" i="47"/>
  <c r="O132" i="47"/>
  <c r="V132" i="47"/>
  <c r="X132" i="47"/>
  <c r="Y132" i="47"/>
  <c r="Z132" i="47"/>
  <c r="AA132" i="47"/>
  <c r="AB132" i="47"/>
  <c r="L277" i="47"/>
  <c r="M277" i="47"/>
  <c r="N277" i="47"/>
  <c r="O277" i="47"/>
  <c r="P277" i="47"/>
  <c r="R277" i="47"/>
  <c r="Q277" i="47"/>
  <c r="S277" i="47"/>
  <c r="V277" i="47"/>
  <c r="X277" i="47"/>
  <c r="AA277" i="47"/>
  <c r="AB277" i="47"/>
  <c r="Y277" i="47"/>
  <c r="Z277" i="47"/>
  <c r="M318" i="47"/>
  <c r="L318" i="47"/>
  <c r="N318" i="47"/>
  <c r="O318" i="47"/>
  <c r="P318" i="47"/>
  <c r="R318" i="47"/>
  <c r="Q318" i="47"/>
  <c r="S318" i="47"/>
  <c r="V318" i="47"/>
  <c r="X318" i="47"/>
  <c r="Y318" i="47"/>
  <c r="Z318" i="47"/>
  <c r="AA318" i="47"/>
  <c r="AB318" i="47"/>
  <c r="M401" i="47"/>
  <c r="N401" i="47"/>
  <c r="L401" i="47"/>
  <c r="O401" i="47"/>
  <c r="Q401" i="47"/>
  <c r="R401" i="47"/>
  <c r="P401" i="47"/>
  <c r="S401" i="47"/>
  <c r="V401" i="47"/>
  <c r="X401" i="47"/>
  <c r="Y401" i="47"/>
  <c r="Z401" i="47"/>
  <c r="AB401" i="47"/>
  <c r="AA401" i="47"/>
  <c r="S294" i="47"/>
  <c r="L131" i="47"/>
  <c r="M131" i="47"/>
  <c r="N131" i="47"/>
  <c r="O131" i="47"/>
  <c r="Q131" i="47"/>
  <c r="R131" i="47"/>
  <c r="P131" i="47"/>
  <c r="S131" i="47"/>
  <c r="V131" i="47"/>
  <c r="X131" i="47"/>
  <c r="Y131" i="47"/>
  <c r="Z131" i="47"/>
  <c r="AA131" i="47"/>
  <c r="AB131" i="47"/>
  <c r="M314" i="47"/>
  <c r="L314" i="47"/>
  <c r="N314" i="47"/>
  <c r="P314" i="47"/>
  <c r="Q314" i="47"/>
  <c r="O314" i="47"/>
  <c r="R314" i="47"/>
  <c r="S314" i="47"/>
  <c r="V314" i="47"/>
  <c r="X314" i="47"/>
  <c r="Y314" i="47"/>
  <c r="Z314" i="47"/>
  <c r="AA314" i="47"/>
  <c r="AB314" i="47"/>
  <c r="L372" i="47"/>
  <c r="O372" i="47"/>
  <c r="M372" i="47"/>
  <c r="N372" i="47"/>
  <c r="P372" i="47"/>
  <c r="Q372" i="47"/>
  <c r="R372" i="47"/>
  <c r="S372" i="47"/>
  <c r="V372" i="47"/>
  <c r="X372" i="47"/>
  <c r="Y372" i="47"/>
  <c r="Z372" i="47"/>
  <c r="AA372" i="47"/>
  <c r="AB372" i="47"/>
  <c r="L412" i="47"/>
  <c r="N412" i="47"/>
  <c r="M412" i="47"/>
  <c r="P412" i="47"/>
  <c r="Q412" i="47"/>
  <c r="R412" i="47"/>
  <c r="S412" i="47"/>
  <c r="O412" i="47"/>
  <c r="V412" i="47"/>
  <c r="X412" i="47"/>
  <c r="Y412" i="47"/>
  <c r="Z412" i="47"/>
  <c r="AA412" i="47"/>
  <c r="AB412" i="47"/>
  <c r="L310" i="47"/>
  <c r="M310" i="47"/>
  <c r="N310" i="47"/>
  <c r="P310" i="47"/>
  <c r="O310" i="47"/>
  <c r="Q310" i="47"/>
  <c r="R310" i="47"/>
  <c r="Z310" i="47"/>
  <c r="Y310" i="47"/>
  <c r="V310" i="47"/>
  <c r="AA310" i="47"/>
  <c r="AB310" i="47"/>
  <c r="S310" i="47"/>
  <c r="X310" i="47"/>
  <c r="R416" i="47"/>
  <c r="M325" i="47"/>
  <c r="N325" i="47"/>
  <c r="O325" i="47"/>
  <c r="P325" i="47"/>
  <c r="L325" i="47"/>
  <c r="Q325" i="47"/>
  <c r="R325" i="47"/>
  <c r="S325" i="47"/>
  <c r="V325" i="47"/>
  <c r="X325" i="47"/>
  <c r="Y325" i="47"/>
  <c r="Z325" i="47"/>
  <c r="AA325" i="47"/>
  <c r="AB325" i="47"/>
  <c r="L396" i="47"/>
  <c r="N396" i="47"/>
  <c r="M396" i="47"/>
  <c r="P396" i="47"/>
  <c r="Q396" i="47"/>
  <c r="R396" i="47"/>
  <c r="S396" i="47"/>
  <c r="V396" i="47"/>
  <c r="X396" i="47"/>
  <c r="Y396" i="47"/>
  <c r="O396" i="47"/>
  <c r="Z396" i="47"/>
  <c r="AA396" i="47"/>
  <c r="AB396" i="47"/>
  <c r="L366" i="47"/>
  <c r="M366" i="47"/>
  <c r="N366" i="47"/>
  <c r="O366" i="47"/>
  <c r="P366" i="47"/>
  <c r="Q366" i="47"/>
  <c r="R366" i="47"/>
  <c r="S366" i="47"/>
  <c r="V366" i="47"/>
  <c r="Z366" i="47"/>
  <c r="Y366" i="47"/>
  <c r="AB366" i="47"/>
  <c r="X366" i="47"/>
  <c r="AA366" i="47"/>
  <c r="L345" i="47"/>
  <c r="N345" i="47"/>
  <c r="O345" i="47"/>
  <c r="P345" i="47"/>
  <c r="Q345" i="47"/>
  <c r="M345" i="47"/>
  <c r="R345" i="47"/>
  <c r="S345" i="47"/>
  <c r="V345" i="47"/>
  <c r="X345" i="47"/>
  <c r="Y345" i="47"/>
  <c r="Z345" i="47"/>
  <c r="AA345" i="47"/>
  <c r="AB345" i="47"/>
  <c r="O348" i="47"/>
  <c r="AB348" i="47"/>
  <c r="L360" i="47"/>
  <c r="M360" i="47"/>
  <c r="N360" i="47"/>
  <c r="O360" i="47"/>
  <c r="P360" i="47"/>
  <c r="Q360" i="47"/>
  <c r="S360" i="47"/>
  <c r="X360" i="47"/>
  <c r="V360" i="47"/>
  <c r="Y360" i="47"/>
  <c r="AB360" i="47"/>
  <c r="R360" i="47"/>
  <c r="Z360" i="47"/>
  <c r="AA360" i="47"/>
  <c r="P357" i="47"/>
  <c r="AB357" i="47"/>
  <c r="L394" i="47"/>
  <c r="M394" i="47"/>
  <c r="N394" i="47"/>
  <c r="O394" i="47"/>
  <c r="P394" i="47"/>
  <c r="Q394" i="47"/>
  <c r="R394" i="47"/>
  <c r="S394" i="47"/>
  <c r="V394" i="47"/>
  <c r="X394" i="47"/>
  <c r="Y394" i="47"/>
  <c r="Z394" i="47"/>
  <c r="AA394" i="47"/>
  <c r="AB394" i="47"/>
  <c r="X352" i="47"/>
  <c r="M411" i="47"/>
  <c r="P411" i="47"/>
  <c r="Q411" i="47"/>
  <c r="L411" i="47"/>
  <c r="R411" i="47"/>
  <c r="V411" i="47"/>
  <c r="Y411" i="47"/>
  <c r="AA411" i="47"/>
  <c r="AB411" i="47"/>
  <c r="L312" i="47"/>
  <c r="M312" i="47"/>
  <c r="N312" i="47"/>
  <c r="O312" i="47"/>
  <c r="P312" i="47"/>
  <c r="Q312" i="47"/>
  <c r="R312" i="47"/>
  <c r="S312" i="47"/>
  <c r="V312" i="47"/>
  <c r="X312" i="47"/>
  <c r="Y312" i="47"/>
  <c r="Z312" i="47"/>
  <c r="AA312" i="47"/>
  <c r="AB312" i="47"/>
  <c r="L145" i="47"/>
  <c r="M145" i="47"/>
  <c r="N145" i="47"/>
  <c r="O145" i="47"/>
  <c r="P145" i="47"/>
  <c r="Q145" i="47"/>
  <c r="R145" i="47"/>
  <c r="S145" i="47"/>
  <c r="V145" i="47"/>
  <c r="X145" i="47"/>
  <c r="Y145" i="47"/>
  <c r="Z145" i="47"/>
  <c r="AA145" i="47"/>
  <c r="AB145" i="47"/>
  <c r="L315" i="47"/>
  <c r="N315" i="47"/>
  <c r="O315" i="47"/>
  <c r="P315" i="47"/>
  <c r="Q315" i="47"/>
  <c r="M315" i="47"/>
  <c r="R315" i="47"/>
  <c r="S315" i="47"/>
  <c r="V315" i="47"/>
  <c r="X315" i="47"/>
  <c r="Y315" i="47"/>
  <c r="Z315" i="47"/>
  <c r="AA315" i="47"/>
  <c r="AB315" i="47"/>
  <c r="L144" i="47"/>
  <c r="M144" i="47"/>
  <c r="N144" i="47"/>
  <c r="O144" i="47"/>
  <c r="P144" i="47"/>
  <c r="R144" i="47"/>
  <c r="Q144" i="47"/>
  <c r="S144" i="47"/>
  <c r="V144" i="47"/>
  <c r="Z144" i="47"/>
  <c r="X144" i="47"/>
  <c r="AA144" i="47"/>
  <c r="AB144" i="47"/>
  <c r="Y144" i="47"/>
  <c r="Q295" i="47"/>
  <c r="N326" i="47"/>
  <c r="Z326" i="47"/>
  <c r="N126" i="47"/>
  <c r="P126" i="47"/>
  <c r="R126" i="47"/>
  <c r="S126" i="47"/>
  <c r="V126" i="47"/>
  <c r="X126" i="47"/>
  <c r="Y126" i="47"/>
  <c r="AA126" i="47"/>
  <c r="L388" i="47"/>
  <c r="M388" i="47"/>
  <c r="O388" i="47"/>
  <c r="N388" i="47"/>
  <c r="P388" i="47"/>
  <c r="Q388" i="47"/>
  <c r="R388" i="47"/>
  <c r="S388" i="47"/>
  <c r="V388" i="47"/>
  <c r="X388" i="47"/>
  <c r="Y388" i="47"/>
  <c r="Z388" i="47"/>
  <c r="AA388" i="47"/>
  <c r="AB388" i="47"/>
  <c r="Z397" i="47"/>
  <c r="X308" i="47"/>
  <c r="M398" i="47"/>
  <c r="N398" i="47"/>
  <c r="L398" i="47"/>
  <c r="O398" i="47"/>
  <c r="P398" i="47"/>
  <c r="Q398" i="47"/>
  <c r="R398" i="47"/>
  <c r="S398" i="47"/>
  <c r="V398" i="47"/>
  <c r="X398" i="47"/>
  <c r="Y398" i="47"/>
  <c r="Z398" i="47"/>
  <c r="AA398" i="47"/>
  <c r="AB398" i="47"/>
  <c r="M306" i="47"/>
  <c r="N306" i="47"/>
  <c r="O306" i="47"/>
  <c r="P306" i="47"/>
  <c r="L306" i="47"/>
  <c r="Q306" i="47"/>
  <c r="R306" i="47"/>
  <c r="S306" i="47"/>
  <c r="V306" i="47"/>
  <c r="X306" i="47"/>
  <c r="Y306" i="47"/>
  <c r="Z306" i="47"/>
  <c r="AA306" i="47"/>
  <c r="AB306" i="47"/>
  <c r="N141" i="47"/>
  <c r="L311" i="47"/>
  <c r="N311" i="47"/>
  <c r="O311" i="47"/>
  <c r="P311" i="47"/>
  <c r="R311" i="47"/>
  <c r="S311" i="47"/>
  <c r="V311" i="47"/>
  <c r="Y311" i="47"/>
  <c r="AA311" i="47"/>
  <c r="AB311" i="47"/>
  <c r="L140" i="47"/>
  <c r="M140" i="47"/>
  <c r="N140" i="47"/>
  <c r="O140" i="47"/>
  <c r="P140" i="47"/>
  <c r="Q140" i="47"/>
  <c r="R140" i="47"/>
  <c r="S140" i="47"/>
  <c r="V140" i="47"/>
  <c r="X140" i="47"/>
  <c r="Y140" i="47"/>
  <c r="Z140" i="47"/>
  <c r="AA140" i="47"/>
  <c r="AB140" i="47"/>
  <c r="L291" i="47"/>
  <c r="M291" i="47"/>
  <c r="N291" i="47"/>
  <c r="O291" i="47"/>
  <c r="P291" i="47"/>
  <c r="Q291" i="47"/>
  <c r="R291" i="47"/>
  <c r="S291" i="47"/>
  <c r="V291" i="47"/>
  <c r="X291" i="47"/>
  <c r="Y291" i="47"/>
  <c r="Z291" i="47"/>
  <c r="AA291" i="47"/>
  <c r="AB291" i="47"/>
  <c r="L322" i="47"/>
  <c r="M322" i="47"/>
  <c r="N322" i="47"/>
  <c r="O322" i="47"/>
  <c r="P322" i="47"/>
  <c r="Q322" i="47"/>
  <c r="R322" i="47"/>
  <c r="S322" i="47"/>
  <c r="X322" i="47"/>
  <c r="V322" i="47"/>
  <c r="Y322" i="47"/>
  <c r="AB322" i="47"/>
  <c r="Z322" i="47"/>
  <c r="AA322" i="47"/>
  <c r="L143" i="47"/>
  <c r="M143" i="47"/>
  <c r="O143" i="47"/>
  <c r="P143" i="47"/>
  <c r="Q143" i="47"/>
  <c r="N143" i="47"/>
  <c r="R143" i="47"/>
  <c r="S143" i="47"/>
  <c r="V143" i="47"/>
  <c r="X143" i="47"/>
  <c r="Y143" i="47"/>
  <c r="Z143" i="47"/>
  <c r="AA143" i="47"/>
  <c r="AB143" i="47"/>
  <c r="L400" i="47"/>
  <c r="M400" i="47"/>
  <c r="P400" i="47"/>
  <c r="Q400" i="47"/>
  <c r="S400" i="47"/>
  <c r="V400" i="47"/>
  <c r="X400" i="47"/>
  <c r="Y400" i="47"/>
  <c r="AA400" i="47"/>
  <c r="N410" i="47"/>
  <c r="V410" i="47"/>
  <c r="L419" i="47"/>
  <c r="N419" i="47"/>
  <c r="O419" i="47"/>
  <c r="P419" i="47"/>
  <c r="M419" i="47"/>
  <c r="Q419" i="47"/>
  <c r="R419" i="47"/>
  <c r="S419" i="47"/>
  <c r="V419" i="47"/>
  <c r="X419" i="47"/>
  <c r="Y419" i="47"/>
  <c r="Z419" i="47"/>
  <c r="AA419" i="47"/>
  <c r="AB419" i="47"/>
  <c r="L324" i="47"/>
  <c r="N324" i="47"/>
  <c r="O324" i="47"/>
  <c r="P324" i="47"/>
  <c r="M324" i="47"/>
  <c r="Q324" i="47"/>
  <c r="R324" i="47"/>
  <c r="S324" i="47"/>
  <c r="V324" i="47"/>
  <c r="X324" i="47"/>
  <c r="Y324" i="47"/>
  <c r="Z324" i="47"/>
  <c r="AA324" i="47"/>
  <c r="AB324" i="47"/>
  <c r="L137" i="47"/>
  <c r="N137" i="47"/>
  <c r="O137" i="47"/>
  <c r="P137" i="47"/>
  <c r="Q137" i="47"/>
  <c r="S137" i="47"/>
  <c r="V137" i="47"/>
  <c r="AA137" i="47"/>
  <c r="Y137" i="47"/>
  <c r="Z137" i="47"/>
  <c r="P307" i="47"/>
  <c r="Z307" i="47"/>
  <c r="M343" i="47"/>
  <c r="N343" i="47"/>
  <c r="O343" i="47"/>
  <c r="P343" i="47"/>
  <c r="Q343" i="47"/>
  <c r="L343" i="47"/>
  <c r="R343" i="47"/>
  <c r="S343" i="47"/>
  <c r="V343" i="47"/>
  <c r="X343" i="47"/>
  <c r="Y343" i="47"/>
  <c r="Z343" i="47"/>
  <c r="AA343" i="47"/>
  <c r="AB343" i="47"/>
  <c r="N268" i="47"/>
  <c r="L268" i="47"/>
  <c r="O268" i="47"/>
  <c r="P268" i="47"/>
  <c r="Q268" i="47"/>
  <c r="R268" i="47"/>
  <c r="S268" i="47"/>
  <c r="M268" i="47"/>
  <c r="V268" i="47"/>
  <c r="X268" i="47"/>
  <c r="Y268" i="47"/>
  <c r="Z268" i="47"/>
  <c r="AA268" i="47"/>
  <c r="AB268" i="47"/>
  <c r="M304" i="47"/>
  <c r="L304" i="47"/>
  <c r="N304" i="47"/>
  <c r="O304" i="47"/>
  <c r="P304" i="47"/>
  <c r="Q304" i="47"/>
  <c r="R304" i="47"/>
  <c r="S304" i="47"/>
  <c r="V304" i="47"/>
  <c r="X304" i="47"/>
  <c r="Y304" i="47"/>
  <c r="Z304" i="47"/>
  <c r="AA304" i="47"/>
  <c r="AB304" i="47"/>
  <c r="L359" i="47"/>
  <c r="M359" i="47"/>
  <c r="N359" i="47"/>
  <c r="O359" i="47"/>
  <c r="Q359" i="47"/>
  <c r="R359" i="47"/>
  <c r="P359" i="47"/>
  <c r="S359" i="47"/>
  <c r="V359" i="47"/>
  <c r="X359" i="47"/>
  <c r="Y359" i="47"/>
  <c r="Z359" i="47"/>
  <c r="AB359" i="47"/>
  <c r="AA359" i="47"/>
  <c r="L402" i="47"/>
  <c r="M402" i="47"/>
  <c r="N402" i="47"/>
  <c r="O402" i="47"/>
  <c r="P402" i="47"/>
  <c r="Q402" i="47"/>
  <c r="R402" i="47"/>
  <c r="S402" i="47"/>
  <c r="Y402" i="47"/>
  <c r="X402" i="47"/>
  <c r="Z402" i="47"/>
  <c r="AA402" i="47"/>
  <c r="AB402" i="47"/>
  <c r="V402" i="47"/>
  <c r="L406" i="47"/>
  <c r="M406" i="47"/>
  <c r="O406" i="47"/>
  <c r="P406" i="47"/>
  <c r="N406" i="47"/>
  <c r="Q406" i="47"/>
  <c r="R406" i="47"/>
  <c r="S406" i="47"/>
  <c r="V406" i="47"/>
  <c r="X406" i="47"/>
  <c r="Y406" i="47"/>
  <c r="Z406" i="47"/>
  <c r="AA406" i="47"/>
  <c r="AB406" i="47"/>
  <c r="M385" i="47"/>
  <c r="L316" i="47"/>
  <c r="M316" i="47"/>
  <c r="N316" i="47"/>
  <c r="P316" i="47"/>
  <c r="O316" i="47"/>
  <c r="Q316" i="47"/>
  <c r="R316" i="47"/>
  <c r="Z316" i="47"/>
  <c r="S316" i="47"/>
  <c r="V316" i="47"/>
  <c r="AA316" i="47"/>
  <c r="AB316" i="47"/>
  <c r="Y316" i="47"/>
  <c r="X316" i="47"/>
  <c r="L133" i="47"/>
  <c r="M133" i="47"/>
  <c r="N133" i="47"/>
  <c r="P133" i="47"/>
  <c r="O133" i="47"/>
  <c r="Q133" i="47"/>
  <c r="R133" i="47"/>
  <c r="Z133" i="47"/>
  <c r="V133" i="47"/>
  <c r="AA133" i="47"/>
  <c r="AB133" i="47"/>
  <c r="S133" i="47"/>
  <c r="Y133" i="47"/>
  <c r="X133" i="47"/>
  <c r="L303" i="47"/>
  <c r="M303" i="47"/>
  <c r="N303" i="47"/>
  <c r="O303" i="47"/>
  <c r="P303" i="47"/>
  <c r="Q303" i="47"/>
  <c r="R303" i="47"/>
  <c r="S303" i="47"/>
  <c r="V303" i="47"/>
  <c r="X303" i="47"/>
  <c r="Y303" i="47"/>
  <c r="Z303" i="47"/>
  <c r="AA303" i="47"/>
  <c r="AB303" i="47"/>
  <c r="M339" i="47"/>
  <c r="N339" i="47"/>
  <c r="O339" i="47"/>
  <c r="P339" i="47"/>
  <c r="L339" i="47"/>
  <c r="Q339" i="47"/>
  <c r="R339" i="47"/>
  <c r="S339" i="47"/>
  <c r="V339" i="47"/>
  <c r="X339" i="47"/>
  <c r="Y339" i="47"/>
  <c r="Z339" i="47"/>
  <c r="AA339" i="47"/>
  <c r="AB339" i="47"/>
  <c r="L142" i="47"/>
  <c r="N142" i="47"/>
  <c r="M142" i="47"/>
  <c r="P142" i="47"/>
  <c r="Q142" i="47"/>
  <c r="R142" i="47"/>
  <c r="O142" i="47"/>
  <c r="S142" i="47"/>
  <c r="V142" i="47"/>
  <c r="X142" i="47"/>
  <c r="Y142" i="47"/>
  <c r="Z142" i="47"/>
  <c r="AA142" i="47"/>
  <c r="AB142" i="47"/>
  <c r="L300" i="47"/>
  <c r="N300" i="47"/>
  <c r="O300" i="47"/>
  <c r="P300" i="47"/>
  <c r="Q300" i="47"/>
  <c r="M300" i="47"/>
  <c r="R300" i="47"/>
  <c r="S300" i="47"/>
  <c r="V300" i="47"/>
  <c r="X300" i="47"/>
  <c r="Y300" i="47"/>
  <c r="Z300" i="47"/>
  <c r="AA300" i="47"/>
  <c r="AB300" i="47"/>
  <c r="T513" i="47"/>
  <c r="T560" i="47"/>
  <c r="R20" i="34"/>
  <c r="H130" i="47"/>
  <c r="H258" i="47"/>
  <c r="H215" i="47"/>
  <c r="H169" i="47"/>
  <c r="H195" i="47"/>
  <c r="H240" i="47"/>
  <c r="H205" i="47"/>
  <c r="H224" i="47"/>
  <c r="H188" i="47"/>
  <c r="H228" i="47"/>
  <c r="H243" i="47"/>
  <c r="H217" i="47"/>
  <c r="H237" i="47"/>
  <c r="H254" i="47"/>
  <c r="H178" i="47"/>
  <c r="H156" i="47"/>
  <c r="H168" i="47"/>
  <c r="H244" i="47"/>
  <c r="H248" i="47"/>
  <c r="H175" i="47"/>
  <c r="H158" i="47"/>
  <c r="H160" i="47"/>
  <c r="H154" i="47"/>
  <c r="H210" i="47"/>
  <c r="H193" i="47"/>
  <c r="H250" i="47"/>
  <c r="H177" i="47"/>
  <c r="H238" i="47"/>
  <c r="H167" i="47"/>
  <c r="H234" i="47"/>
  <c r="H231" i="47"/>
  <c r="H162" i="47"/>
  <c r="H220" i="47"/>
  <c r="H155" i="47"/>
  <c r="H181" i="47"/>
  <c r="H264" i="47"/>
  <c r="H263" i="47"/>
  <c r="H185" i="47"/>
  <c r="H242" i="47"/>
  <c r="H186" i="47"/>
  <c r="U186" i="47" s="1"/>
  <c r="H183" i="47"/>
  <c r="H208" i="47"/>
  <c r="H235" i="47"/>
  <c r="H251" i="47"/>
  <c r="H255" i="47"/>
  <c r="H165" i="47"/>
  <c r="H151" i="47"/>
  <c r="H171" i="47"/>
  <c r="H196" i="47"/>
  <c r="H189" i="47"/>
  <c r="H161" i="47"/>
  <c r="H163" i="47"/>
  <c r="H148" i="47"/>
  <c r="H252" i="47"/>
  <c r="H218" i="47"/>
  <c r="H265" i="47"/>
  <c r="H191" i="47"/>
  <c r="H159" i="47"/>
  <c r="H153" i="47"/>
  <c r="H187" i="47"/>
  <c r="H157" i="47"/>
  <c r="H200" i="47"/>
  <c r="H259" i="47"/>
  <c r="H170" i="47"/>
  <c r="H207" i="47"/>
  <c r="H206" i="47"/>
  <c r="H172" i="47"/>
  <c r="H229" i="47"/>
  <c r="H249" i="47"/>
  <c r="H241" i="47"/>
  <c r="H257" i="47"/>
  <c r="H166" i="47"/>
  <c r="H180" i="47"/>
  <c r="H260" i="47"/>
  <c r="H173" i="47"/>
  <c r="H190" i="47"/>
  <c r="AE604" i="47" l="1"/>
  <c r="AE578" i="47"/>
  <c r="AE511" i="47"/>
  <c r="AE584" i="47"/>
  <c r="AE439" i="47"/>
  <c r="AE440" i="47"/>
  <c r="AE582" i="47"/>
  <c r="AE424" i="47"/>
  <c r="AE596" i="47"/>
  <c r="AE447" i="47"/>
  <c r="AE427" i="47"/>
  <c r="AE428" i="47"/>
  <c r="AE458" i="47"/>
  <c r="AE498" i="47"/>
  <c r="AE595" i="47"/>
  <c r="AE506" i="47"/>
  <c r="AE608" i="47"/>
  <c r="AE545" i="47"/>
  <c r="AE425" i="47"/>
  <c r="AE607" i="47"/>
  <c r="AE609" i="47"/>
  <c r="AE469" i="47"/>
  <c r="P1514" i="47"/>
  <c r="Q1514" i="47" s="1"/>
  <c r="P1512" i="47"/>
  <c r="Q1512" i="47" s="1"/>
  <c r="P1513" i="47"/>
  <c r="Q1513" i="47" s="1"/>
  <c r="P1089" i="47"/>
  <c r="Q1089" i="47" s="1"/>
  <c r="P1079" i="47"/>
  <c r="Q1079" i="47" s="1"/>
  <c r="P1103" i="47"/>
  <c r="Q1103" i="47" s="1"/>
  <c r="P1030" i="47"/>
  <c r="Q1030" i="47" s="1"/>
  <c r="P1465" i="47"/>
  <c r="Q1465" i="47" s="1"/>
  <c r="P1416" i="47"/>
  <c r="Q1416" i="47" s="1"/>
  <c r="P1028" i="47"/>
  <c r="Q1028" i="47" s="1"/>
  <c r="P1146" i="47"/>
  <c r="Q1146" i="47" s="1"/>
  <c r="AB13" i="13"/>
  <c r="AE524" i="47"/>
  <c r="AE585" i="47"/>
  <c r="AE507" i="47"/>
  <c r="AE474" i="47"/>
  <c r="AE480" i="47"/>
  <c r="R47" i="34"/>
  <c r="AA50" i="34" s="1"/>
  <c r="AA23" i="34"/>
  <c r="AE467" i="47"/>
  <c r="AE589" i="47"/>
  <c r="AE543" i="47"/>
  <c r="U359" i="47"/>
  <c r="AC359" i="47" s="1"/>
  <c r="U311" i="47"/>
  <c r="U401" i="47"/>
  <c r="AC401" i="47" s="1"/>
  <c r="U143" i="47"/>
  <c r="AC143" i="47" s="1"/>
  <c r="U338" i="47"/>
  <c r="AC338" i="47" s="1"/>
  <c r="U394" i="47"/>
  <c r="AC394" i="47" s="1"/>
  <c r="U388" i="47"/>
  <c r="AC388" i="47" s="1"/>
  <c r="U145" i="47"/>
  <c r="AC145" i="47" s="1"/>
  <c r="U301" i="47"/>
  <c r="AC301" i="47" s="1"/>
  <c r="AE508" i="47"/>
  <c r="U324" i="47"/>
  <c r="AC324" i="47" s="1"/>
  <c r="U322" i="47"/>
  <c r="AC322" i="47" s="1"/>
  <c r="U351" i="47"/>
  <c r="AC351" i="47" s="1"/>
  <c r="U319" i="47"/>
  <c r="AC319" i="47" s="1"/>
  <c r="U144" i="47"/>
  <c r="AC144" i="47" s="1"/>
  <c r="U334" i="47"/>
  <c r="U321" i="47"/>
  <c r="AC321" i="47" s="1"/>
  <c r="U131" i="47"/>
  <c r="AC131" i="47" s="1"/>
  <c r="U277" i="47"/>
  <c r="AC277" i="47" s="1"/>
  <c r="U280" i="47"/>
  <c r="AE544" i="47"/>
  <c r="AE557" i="47"/>
  <c r="U190" i="47"/>
  <c r="J190" i="47"/>
  <c r="AE455" i="47"/>
  <c r="AE556" i="47"/>
  <c r="AE478" i="47"/>
  <c r="AE473" i="47"/>
  <c r="AE422" i="47"/>
  <c r="AE502" i="47"/>
  <c r="AE452" i="47"/>
  <c r="AE579" i="47"/>
  <c r="AE554" i="47"/>
  <c r="AE489" i="47"/>
  <c r="AE459" i="47"/>
  <c r="AE453" i="47"/>
  <c r="AE555" i="47"/>
  <c r="AE500" i="47"/>
  <c r="AE444" i="47"/>
  <c r="AE527" i="47"/>
  <c r="AE564" i="47"/>
  <c r="AE426" i="47"/>
  <c r="AE509" i="47"/>
  <c r="AE471" i="47"/>
  <c r="AE487" i="47"/>
  <c r="AE493" i="47"/>
  <c r="AE594" i="47"/>
  <c r="AE525" i="47"/>
  <c r="AE463" i="47"/>
  <c r="AE443" i="47"/>
  <c r="AE460" i="47"/>
  <c r="AE516" i="47"/>
  <c r="AE435" i="47"/>
  <c r="AE587" i="47"/>
  <c r="AE537" i="47"/>
  <c r="AE451" i="47"/>
  <c r="AE485" i="47"/>
  <c r="AE541" i="47"/>
  <c r="AE563" i="47"/>
  <c r="AE450" i="47"/>
  <c r="AE512" i="47"/>
  <c r="AE567" i="47"/>
  <c r="AE421" i="47"/>
  <c r="AE549" i="47"/>
  <c r="AE490" i="47"/>
  <c r="AE497" i="47"/>
  <c r="V308" i="47"/>
  <c r="X397" i="47"/>
  <c r="AA357" i="47"/>
  <c r="O357" i="47"/>
  <c r="Q416" i="47"/>
  <c r="R294" i="47"/>
  <c r="R340" i="47"/>
  <c r="P327" i="47"/>
  <c r="X289" i="47"/>
  <c r="R392" i="47"/>
  <c r="J340" i="47"/>
  <c r="J139" i="47"/>
  <c r="V307" i="47"/>
  <c r="AB410" i="47"/>
  <c r="AB307" i="47"/>
  <c r="M307" i="47"/>
  <c r="AA410" i="47"/>
  <c r="L410" i="47"/>
  <c r="Y397" i="47"/>
  <c r="Z357" i="47"/>
  <c r="M357" i="47"/>
  <c r="AA416" i="47"/>
  <c r="O416" i="47"/>
  <c r="Q294" i="47"/>
  <c r="Q340" i="47"/>
  <c r="AB327" i="47"/>
  <c r="O327" i="47"/>
  <c r="S139" i="47"/>
  <c r="Q392" i="47"/>
  <c r="AA307" i="47"/>
  <c r="L307" i="47"/>
  <c r="Y410" i="47"/>
  <c r="S308" i="47"/>
  <c r="Y357" i="47"/>
  <c r="L357" i="47"/>
  <c r="AB416" i="47"/>
  <c r="L416" i="47"/>
  <c r="AB294" i="47"/>
  <c r="P294" i="47"/>
  <c r="AA340" i="47"/>
  <c r="P340" i="47"/>
  <c r="AA327" i="47"/>
  <c r="M327" i="47"/>
  <c r="O139" i="47"/>
  <c r="AB392" i="47"/>
  <c r="N392" i="47"/>
  <c r="N307" i="47"/>
  <c r="M410" i="47"/>
  <c r="Y307" i="47"/>
  <c r="X410" i="47"/>
  <c r="AA141" i="47"/>
  <c r="R308" i="47"/>
  <c r="S397" i="47"/>
  <c r="X357" i="47"/>
  <c r="Z416" i="47"/>
  <c r="N416" i="47"/>
  <c r="AA294" i="47"/>
  <c r="M294" i="47"/>
  <c r="AB340" i="47"/>
  <c r="M340" i="47"/>
  <c r="Q327" i="47"/>
  <c r="N327" i="47"/>
  <c r="S289" i="47"/>
  <c r="R139" i="47"/>
  <c r="AA392" i="47"/>
  <c r="O392" i="47"/>
  <c r="AB379" i="47"/>
  <c r="M141" i="47"/>
  <c r="R307" i="47"/>
  <c r="Y141" i="47"/>
  <c r="Q308" i="47"/>
  <c r="R397" i="47"/>
  <c r="V357" i="47"/>
  <c r="Y416" i="47"/>
  <c r="M416" i="47"/>
  <c r="Z294" i="47"/>
  <c r="N294" i="47"/>
  <c r="Z340" i="47"/>
  <c r="N340" i="47"/>
  <c r="Z327" i="47"/>
  <c r="L327" i="47"/>
  <c r="M289" i="47"/>
  <c r="AB139" i="47"/>
  <c r="P139" i="47"/>
  <c r="Z392" i="47"/>
  <c r="M392" i="47"/>
  <c r="Z379" i="47"/>
  <c r="N308" i="47"/>
  <c r="X416" i="47"/>
  <c r="Y294" i="47"/>
  <c r="L294" i="47"/>
  <c r="Y340" i="47"/>
  <c r="L340" i="47"/>
  <c r="Y327" i="47"/>
  <c r="Q289" i="47"/>
  <c r="AA139" i="47"/>
  <c r="N139" i="47"/>
  <c r="Y392" i="47"/>
  <c r="L392" i="47"/>
  <c r="X379" i="47"/>
  <c r="X141" i="47"/>
  <c r="R410" i="47"/>
  <c r="V141" i="47"/>
  <c r="L308" i="47"/>
  <c r="Q397" i="47"/>
  <c r="V416" i="47"/>
  <c r="X294" i="47"/>
  <c r="X340" i="47"/>
  <c r="X327" i="47"/>
  <c r="P289" i="47"/>
  <c r="Z139" i="47"/>
  <c r="M139" i="47"/>
  <c r="X392" i="47"/>
  <c r="S410" i="47"/>
  <c r="S307" i="47"/>
  <c r="V397" i="47"/>
  <c r="O397" i="47"/>
  <c r="S357" i="47"/>
  <c r="V294" i="47"/>
  <c r="V340" i="47"/>
  <c r="V327" i="47"/>
  <c r="N289" i="47"/>
  <c r="Y139" i="47"/>
  <c r="L139" i="47"/>
  <c r="P392" i="47"/>
  <c r="S275" i="47"/>
  <c r="S379" i="47"/>
  <c r="P397" i="47"/>
  <c r="Q410" i="47"/>
  <c r="N397" i="47"/>
  <c r="R357" i="47"/>
  <c r="O294" i="47"/>
  <c r="AB289" i="47"/>
  <c r="L289" i="47"/>
  <c r="X139" i="47"/>
  <c r="V392" i="47"/>
  <c r="Q379" i="47"/>
  <c r="X307" i="47"/>
  <c r="Q307" i="47"/>
  <c r="O410" i="47"/>
  <c r="S141" i="47"/>
  <c r="AA308" i="47"/>
  <c r="AB397" i="47"/>
  <c r="M397" i="47"/>
  <c r="Q357" i="47"/>
  <c r="S416" i="47"/>
  <c r="X393" i="47"/>
  <c r="AA289" i="47"/>
  <c r="V139" i="47"/>
  <c r="P379" i="47"/>
  <c r="O307" i="47"/>
  <c r="Z410" i="47"/>
  <c r="P410" i="47"/>
  <c r="AA397" i="47"/>
  <c r="L397" i="47"/>
  <c r="N357" i="47"/>
  <c r="P416" i="47"/>
  <c r="S327" i="47"/>
  <c r="Z289" i="47"/>
  <c r="O379" i="47"/>
  <c r="Y326" i="47"/>
  <c r="L326" i="47"/>
  <c r="P295" i="47"/>
  <c r="V352" i="47"/>
  <c r="AA348" i="47"/>
  <c r="N348" i="47"/>
  <c r="R127" i="47"/>
  <c r="R274" i="47"/>
  <c r="R267" i="47"/>
  <c r="Z302" i="47"/>
  <c r="M302" i="47"/>
  <c r="Q391" i="47"/>
  <c r="AB292" i="47"/>
  <c r="L292" i="47"/>
  <c r="X138" i="47"/>
  <c r="M138" i="47"/>
  <c r="J127" i="47"/>
  <c r="J337" i="47"/>
  <c r="X326" i="47"/>
  <c r="Z295" i="47"/>
  <c r="O295" i="47"/>
  <c r="Z348" i="47"/>
  <c r="M348" i="47"/>
  <c r="Q127" i="47"/>
  <c r="AB274" i="47"/>
  <c r="P274" i="47"/>
  <c r="P267" i="47"/>
  <c r="Y302" i="47"/>
  <c r="L302" i="47"/>
  <c r="AB391" i="47"/>
  <c r="P391" i="47"/>
  <c r="AA292" i="47"/>
  <c r="AB138" i="47"/>
  <c r="L138" i="47"/>
  <c r="V326" i="47"/>
  <c r="V295" i="47"/>
  <c r="N295" i="47"/>
  <c r="Y348" i="47"/>
  <c r="L348" i="47"/>
  <c r="P127" i="47"/>
  <c r="AA274" i="47"/>
  <c r="O274" i="47"/>
  <c r="P323" i="47"/>
  <c r="Q267" i="47"/>
  <c r="X302" i="47"/>
  <c r="AA391" i="47"/>
  <c r="O391" i="47"/>
  <c r="S333" i="47"/>
  <c r="V292" i="47"/>
  <c r="S337" i="47"/>
  <c r="AA138" i="47"/>
  <c r="M295" i="47"/>
  <c r="S352" i="47"/>
  <c r="X348" i="47"/>
  <c r="AA127" i="47"/>
  <c r="O127" i="47"/>
  <c r="Z274" i="47"/>
  <c r="N274" i="47"/>
  <c r="Y267" i="47"/>
  <c r="O267" i="47"/>
  <c r="V302" i="47"/>
  <c r="Z391" i="47"/>
  <c r="N391" i="47"/>
  <c r="R333" i="47"/>
  <c r="Y292" i="47"/>
  <c r="R337" i="47"/>
  <c r="Y138" i="47"/>
  <c r="AB295" i="47"/>
  <c r="L295" i="47"/>
  <c r="R352" i="47"/>
  <c r="V348" i="47"/>
  <c r="X127" i="47"/>
  <c r="N127" i="47"/>
  <c r="Y274" i="47"/>
  <c r="L274" i="47"/>
  <c r="Z267" i="47"/>
  <c r="N267" i="47"/>
  <c r="Y391" i="47"/>
  <c r="M391" i="47"/>
  <c r="Q333" i="47"/>
  <c r="Z292" i="47"/>
  <c r="Q337" i="47"/>
  <c r="S326" i="47"/>
  <c r="AA295" i="47"/>
  <c r="Q352" i="47"/>
  <c r="AB127" i="47"/>
  <c r="X274" i="47"/>
  <c r="AB267" i="47"/>
  <c r="M267" i="47"/>
  <c r="X391" i="47"/>
  <c r="AB333" i="47"/>
  <c r="P333" i="47"/>
  <c r="P337" i="47"/>
  <c r="R326" i="47"/>
  <c r="X295" i="47"/>
  <c r="L352" i="47"/>
  <c r="V127" i="47"/>
  <c r="L127" i="47"/>
  <c r="Q274" i="47"/>
  <c r="X267" i="47"/>
  <c r="L267" i="47"/>
  <c r="S302" i="47"/>
  <c r="V391" i="47"/>
  <c r="AA333" i="47"/>
  <c r="M333" i="47"/>
  <c r="R292" i="47"/>
  <c r="AB337" i="47"/>
  <c r="O337" i="47"/>
  <c r="S138" i="47"/>
  <c r="Q326" i="47"/>
  <c r="Y295" i="47"/>
  <c r="AB352" i="47"/>
  <c r="P352" i="47"/>
  <c r="S348" i="47"/>
  <c r="M274" i="47"/>
  <c r="AA267" i="47"/>
  <c r="N302" i="47"/>
  <c r="Z333" i="47"/>
  <c r="N333" i="47"/>
  <c r="Q292" i="47"/>
  <c r="AA337" i="47"/>
  <c r="N337" i="47"/>
  <c r="R138" i="47"/>
  <c r="P326" i="47"/>
  <c r="AA352" i="47"/>
  <c r="O352" i="47"/>
  <c r="R348" i="47"/>
  <c r="Y127" i="47"/>
  <c r="V274" i="47"/>
  <c r="V267" i="47"/>
  <c r="R302" i="47"/>
  <c r="O333" i="47"/>
  <c r="L333" i="47"/>
  <c r="O292" i="47"/>
  <c r="Z337" i="47"/>
  <c r="M337" i="47"/>
  <c r="Q138" i="47"/>
  <c r="AB326" i="47"/>
  <c r="M326" i="47"/>
  <c r="S295" i="47"/>
  <c r="Z352" i="47"/>
  <c r="N352" i="47"/>
  <c r="Q348" i="47"/>
  <c r="Z127" i="47"/>
  <c r="O302" i="47"/>
  <c r="S391" i="47"/>
  <c r="Y333" i="47"/>
  <c r="X292" i="47"/>
  <c r="P292" i="47"/>
  <c r="Y337" i="47"/>
  <c r="L337" i="47"/>
  <c r="P138" i="47"/>
  <c r="AA326" i="47"/>
  <c r="O326" i="47"/>
  <c r="R295" i="47"/>
  <c r="Y352" i="47"/>
  <c r="M352" i="47"/>
  <c r="P348" i="47"/>
  <c r="S267" i="47"/>
  <c r="AB302" i="47"/>
  <c r="Q302" i="47"/>
  <c r="L391" i="47"/>
  <c r="X333" i="47"/>
  <c r="S292" i="47"/>
  <c r="N292" i="47"/>
  <c r="Z138" i="47"/>
  <c r="O138" i="47"/>
  <c r="J255" i="47"/>
  <c r="J162" i="47"/>
  <c r="V408" i="47"/>
  <c r="X408" i="47"/>
  <c r="L408" i="47"/>
  <c r="Y408" i="47"/>
  <c r="M408" i="47"/>
  <c r="Z408" i="47"/>
  <c r="N408" i="47"/>
  <c r="AA408" i="47"/>
  <c r="O408" i="47"/>
  <c r="AB408" i="47"/>
  <c r="Q408" i="47"/>
  <c r="R408" i="47"/>
  <c r="S408" i="47"/>
  <c r="S231" i="47"/>
  <c r="Q393" i="47"/>
  <c r="Q415" i="47"/>
  <c r="J415" i="47"/>
  <c r="J385" i="47"/>
  <c r="R374" i="47"/>
  <c r="Z374" i="47"/>
  <c r="Y374" i="47"/>
  <c r="S374" i="47"/>
  <c r="V374" i="47"/>
  <c r="L374" i="47"/>
  <c r="AA374" i="47"/>
  <c r="M374" i="47"/>
  <c r="AB374" i="47"/>
  <c r="N374" i="47"/>
  <c r="P374" i="47"/>
  <c r="X374" i="47"/>
  <c r="J408" i="47"/>
  <c r="J158" i="47"/>
  <c r="X353" i="47"/>
  <c r="O353" i="47"/>
  <c r="Z353" i="47"/>
  <c r="M353" i="47"/>
  <c r="AB353" i="47"/>
  <c r="Q353" i="47"/>
  <c r="J353" i="47"/>
  <c r="J218" i="47"/>
  <c r="J248" i="47"/>
  <c r="J206" i="47"/>
  <c r="J252" i="47"/>
  <c r="J208" i="47"/>
  <c r="Z385" i="47"/>
  <c r="L353" i="47"/>
  <c r="O393" i="47"/>
  <c r="AA362" i="47"/>
  <c r="X362" i="47"/>
  <c r="L362" i="47"/>
  <c r="M362" i="47"/>
  <c r="Z362" i="47"/>
  <c r="N362" i="47"/>
  <c r="AB362" i="47"/>
  <c r="O362" i="47"/>
  <c r="V362" i="47"/>
  <c r="Q362" i="47"/>
  <c r="P362" i="47"/>
  <c r="R362" i="47"/>
  <c r="N400" i="47"/>
  <c r="Z400" i="47"/>
  <c r="O400" i="47"/>
  <c r="AB400" i="47"/>
  <c r="R400" i="47"/>
  <c r="R290" i="47"/>
  <c r="S290" i="47"/>
  <c r="V290" i="47"/>
  <c r="X290" i="47"/>
  <c r="L290" i="47"/>
  <c r="Y290" i="47"/>
  <c r="M290" i="47"/>
  <c r="Z290" i="47"/>
  <c r="O290" i="47"/>
  <c r="AA290" i="47"/>
  <c r="P290" i="47"/>
  <c r="AB290" i="47"/>
  <c r="J374" i="47"/>
  <c r="X137" i="47"/>
  <c r="M137" i="47"/>
  <c r="AB137" i="47"/>
  <c r="R137" i="47"/>
  <c r="J188" i="47"/>
  <c r="N415" i="47"/>
  <c r="AB415" i="47"/>
  <c r="P415" i="47"/>
  <c r="X415" i="47"/>
  <c r="O415" i="47"/>
  <c r="R415" i="47"/>
  <c r="S415" i="47"/>
  <c r="Z415" i="47"/>
  <c r="Y415" i="47"/>
  <c r="S235" i="47"/>
  <c r="J207" i="47"/>
  <c r="J148" i="47"/>
  <c r="J183" i="47"/>
  <c r="X167" i="47"/>
  <c r="X168" i="47"/>
  <c r="X195" i="47"/>
  <c r="X385" i="47"/>
  <c r="L415" i="47"/>
  <c r="J362" i="47"/>
  <c r="J400" i="47"/>
  <c r="J290" i="47"/>
  <c r="Q364" i="47"/>
  <c r="S364" i="47"/>
  <c r="X364" i="47"/>
  <c r="M364" i="47"/>
  <c r="Z364" i="47"/>
  <c r="J137" i="47"/>
  <c r="M126" i="47"/>
  <c r="Z126" i="47"/>
  <c r="O126" i="47"/>
  <c r="AB126" i="47"/>
  <c r="Q126" i="47"/>
  <c r="X285" i="47"/>
  <c r="Y285" i="47"/>
  <c r="L285" i="47"/>
  <c r="Z285" i="47"/>
  <c r="N285" i="47"/>
  <c r="Q285" i="47"/>
  <c r="O285" i="47"/>
  <c r="AA285" i="47"/>
  <c r="P285" i="47"/>
  <c r="AB285" i="47"/>
  <c r="R285" i="47"/>
  <c r="M285" i="47"/>
  <c r="S285" i="47"/>
  <c r="P334" i="47"/>
  <c r="S334" i="47"/>
  <c r="Y334" i="47"/>
  <c r="Z334" i="47"/>
  <c r="M334" i="47"/>
  <c r="AB334" i="47"/>
  <c r="J191" i="47"/>
  <c r="N393" i="47"/>
  <c r="Z393" i="47"/>
  <c r="P393" i="47"/>
  <c r="AB393" i="47"/>
  <c r="M393" i="47"/>
  <c r="R393" i="47"/>
  <c r="S393" i="47"/>
  <c r="V393" i="47"/>
  <c r="J251" i="47"/>
  <c r="J238" i="47"/>
  <c r="AA385" i="47"/>
  <c r="S173" i="47"/>
  <c r="O161" i="47"/>
  <c r="O177" i="47"/>
  <c r="J215" i="47"/>
  <c r="V385" i="47"/>
  <c r="J285" i="47"/>
  <c r="N347" i="47"/>
  <c r="AB347" i="47"/>
  <c r="P347" i="47"/>
  <c r="V347" i="47"/>
  <c r="O347" i="47"/>
  <c r="Q347" i="47"/>
  <c r="R347" i="47"/>
  <c r="S347" i="47"/>
  <c r="X347" i="47"/>
  <c r="Z347" i="47"/>
  <c r="J334" i="47"/>
  <c r="P259" i="47"/>
  <c r="O242" i="47"/>
  <c r="P178" i="47"/>
  <c r="J260" i="47"/>
  <c r="J200" i="47"/>
  <c r="J189" i="47"/>
  <c r="S185" i="47"/>
  <c r="S254" i="47"/>
  <c r="J258" i="47"/>
  <c r="AA353" i="47"/>
  <c r="X273" i="47"/>
  <c r="Y273" i="47"/>
  <c r="N273" i="47"/>
  <c r="Z273" i="47"/>
  <c r="O273" i="47"/>
  <c r="AA273" i="47"/>
  <c r="M273" i="47"/>
  <c r="AB273" i="47"/>
  <c r="P273" i="47"/>
  <c r="R273" i="47"/>
  <c r="S273" i="47"/>
  <c r="J347" i="47"/>
  <c r="V323" i="47"/>
  <c r="X323" i="47"/>
  <c r="M323" i="47"/>
  <c r="Z323" i="47"/>
  <c r="N323" i="47"/>
  <c r="AA323" i="47"/>
  <c r="O323" i="47"/>
  <c r="AB323" i="47"/>
  <c r="Q323" i="47"/>
  <c r="J323" i="47"/>
  <c r="R323" i="47"/>
  <c r="J265" i="47"/>
  <c r="J163" i="47"/>
  <c r="J180" i="47"/>
  <c r="J237" i="47"/>
  <c r="Y353" i="47"/>
  <c r="V297" i="47"/>
  <c r="X297" i="47"/>
  <c r="M297" i="47"/>
  <c r="Y297" i="47"/>
  <c r="N297" i="47"/>
  <c r="Z297" i="47"/>
  <c r="O297" i="47"/>
  <c r="AA297" i="47"/>
  <c r="P297" i="47"/>
  <c r="AB297" i="47"/>
  <c r="L297" i="47"/>
  <c r="Q297" i="47"/>
  <c r="R297" i="47"/>
  <c r="S297" i="47"/>
  <c r="X311" i="47"/>
  <c r="M311" i="47"/>
  <c r="Z311" i="47"/>
  <c r="Q311" i="47"/>
  <c r="M308" i="47"/>
  <c r="Z308" i="47"/>
  <c r="P308" i="47"/>
  <c r="AB308" i="47"/>
  <c r="O308" i="47"/>
  <c r="J308" i="47"/>
  <c r="M414" i="47"/>
  <c r="AA414" i="47"/>
  <c r="P414" i="47"/>
  <c r="AB414" i="47"/>
  <c r="Q414" i="47"/>
  <c r="S414" i="47"/>
  <c r="O414" i="47"/>
  <c r="V414" i="47"/>
  <c r="X414" i="47"/>
  <c r="P220" i="47"/>
  <c r="J175" i="47"/>
  <c r="L385" i="47"/>
  <c r="AB385" i="47"/>
  <c r="O385" i="47"/>
  <c r="Y385" i="47"/>
  <c r="P385" i="47"/>
  <c r="J170" i="47"/>
  <c r="J263" i="47"/>
  <c r="J166" i="47"/>
  <c r="O187" i="47"/>
  <c r="J171" i="47"/>
  <c r="J264" i="47"/>
  <c r="J210" i="47"/>
  <c r="J217" i="47"/>
  <c r="R385" i="47"/>
  <c r="V353" i="47"/>
  <c r="Y323" i="47"/>
  <c r="J297" i="47"/>
  <c r="J311" i="47"/>
  <c r="N403" i="47"/>
  <c r="Y403" i="47"/>
  <c r="O403" i="47"/>
  <c r="Z403" i="47"/>
  <c r="P403" i="47"/>
  <c r="R403" i="47"/>
  <c r="Q403" i="47"/>
  <c r="S403" i="47"/>
  <c r="V403" i="47"/>
  <c r="J403" i="47"/>
  <c r="X403" i="47"/>
  <c r="R276" i="47"/>
  <c r="S276" i="47"/>
  <c r="V276" i="47"/>
  <c r="X276" i="47"/>
  <c r="M276" i="47"/>
  <c r="Y276" i="47"/>
  <c r="L276" i="47"/>
  <c r="Z276" i="47"/>
  <c r="N276" i="47"/>
  <c r="AA276" i="47"/>
  <c r="O276" i="47"/>
  <c r="AB276" i="47"/>
  <c r="J414" i="47"/>
  <c r="J249" i="47"/>
  <c r="J229" i="47"/>
  <c r="J393" i="47"/>
  <c r="R186" i="47"/>
  <c r="S157" i="47"/>
  <c r="J193" i="47"/>
  <c r="J257" i="47"/>
  <c r="J181" i="47"/>
  <c r="Q385" i="47"/>
  <c r="AA393" i="47"/>
  <c r="R373" i="47"/>
  <c r="S373" i="47"/>
  <c r="V373" i="47"/>
  <c r="X373" i="47"/>
  <c r="M373" i="47"/>
  <c r="Y373" i="47"/>
  <c r="N373" i="47"/>
  <c r="Z373" i="47"/>
  <c r="P373" i="47"/>
  <c r="AA373" i="47"/>
  <c r="Q373" i="47"/>
  <c r="AB373" i="47"/>
  <c r="V358" i="47"/>
  <c r="X358" i="47"/>
  <c r="L358" i="47"/>
  <c r="Y358" i="47"/>
  <c r="N358" i="47"/>
  <c r="Z358" i="47"/>
  <c r="M358" i="47"/>
  <c r="AA358" i="47"/>
  <c r="P358" i="47"/>
  <c r="AB358" i="47"/>
  <c r="Q358" i="47"/>
  <c r="R358" i="47"/>
  <c r="O358" i="47"/>
  <c r="J358" i="47"/>
  <c r="S358" i="47"/>
  <c r="O141" i="47"/>
  <c r="Z141" i="47"/>
  <c r="L141" i="47"/>
  <c r="AB141" i="47"/>
  <c r="R141" i="47"/>
  <c r="P141" i="47"/>
  <c r="O411" i="47"/>
  <c r="S411" i="47"/>
  <c r="X411" i="47"/>
  <c r="N411" i="47"/>
  <c r="Z411" i="47"/>
  <c r="J224" i="47"/>
  <c r="J196" i="47"/>
  <c r="J130" i="47"/>
  <c r="X153" i="47"/>
  <c r="J151" i="47"/>
  <c r="J154" i="47"/>
  <c r="J243" i="47"/>
  <c r="R241" i="47"/>
  <c r="O159" i="47"/>
  <c r="O165" i="47"/>
  <c r="J155" i="47"/>
  <c r="J160" i="47"/>
  <c r="O228" i="47"/>
  <c r="N385" i="47"/>
  <c r="S353" i="47"/>
  <c r="Y393" i="47"/>
  <c r="S323" i="47"/>
  <c r="P408" i="47"/>
  <c r="J373" i="47"/>
  <c r="M418" i="47"/>
  <c r="AA418" i="47"/>
  <c r="O418" i="47"/>
  <c r="AB418" i="47"/>
  <c r="P418" i="47"/>
  <c r="Q418" i="47"/>
  <c r="R418" i="47"/>
  <c r="S418" i="47"/>
  <c r="V418" i="47"/>
  <c r="J418" i="47"/>
  <c r="X418" i="47"/>
  <c r="J141" i="47"/>
  <c r="V298" i="47"/>
  <c r="X298" i="47"/>
  <c r="Y298" i="47"/>
  <c r="Z298" i="47"/>
  <c r="L298" i="47"/>
  <c r="P298" i="47"/>
  <c r="M298" i="47"/>
  <c r="S298" i="47"/>
  <c r="O298" i="47"/>
  <c r="AA298" i="47"/>
  <c r="N298" i="47"/>
  <c r="AB298" i="47"/>
  <c r="J411" i="47"/>
  <c r="R289" i="47"/>
  <c r="AA355" i="47"/>
  <c r="N355" i="47"/>
  <c r="V128" i="47"/>
  <c r="AA409" i="47"/>
  <c r="O409" i="47"/>
  <c r="R382" i="47"/>
  <c r="V134" i="47"/>
  <c r="Q280" i="47"/>
  <c r="R407" i="47"/>
  <c r="Y288" i="47"/>
  <c r="P386" i="47"/>
  <c r="AA271" i="47"/>
  <c r="N271" i="47"/>
  <c r="V371" i="47"/>
  <c r="R275" i="47"/>
  <c r="AA379" i="47"/>
  <c r="M379" i="47"/>
  <c r="J409" i="47"/>
  <c r="J134" i="47"/>
  <c r="J382" i="47"/>
  <c r="P407" i="47"/>
  <c r="S288" i="47"/>
  <c r="Q386" i="47"/>
  <c r="Y271" i="47"/>
  <c r="L271" i="47"/>
  <c r="P275" i="47"/>
  <c r="Y379" i="47"/>
  <c r="L379" i="47"/>
  <c r="J280" i="47"/>
  <c r="J407" i="47"/>
  <c r="J386" i="47"/>
  <c r="O289" i="47"/>
  <c r="V355" i="47"/>
  <c r="R128" i="47"/>
  <c r="AA382" i="47"/>
  <c r="N382" i="47"/>
  <c r="R134" i="47"/>
  <c r="AA407" i="47"/>
  <c r="N407" i="47"/>
  <c r="R288" i="47"/>
  <c r="AB386" i="47"/>
  <c r="N386" i="47"/>
  <c r="V271" i="47"/>
  <c r="R371" i="47"/>
  <c r="AA275" i="47"/>
  <c r="N275" i="47"/>
  <c r="V379" i="47"/>
  <c r="J275" i="47"/>
  <c r="J371" i="47"/>
  <c r="J354" i="47"/>
  <c r="J234" i="47"/>
  <c r="J244" i="47"/>
  <c r="J240" i="47"/>
  <c r="P128" i="47"/>
  <c r="P134" i="47"/>
  <c r="P280" i="47"/>
  <c r="Y354" i="47"/>
  <c r="L354" i="47"/>
  <c r="Y407" i="47"/>
  <c r="L407" i="47"/>
  <c r="Q288" i="47"/>
  <c r="Y386" i="47"/>
  <c r="L386" i="47"/>
  <c r="P371" i="47"/>
  <c r="Y275" i="47"/>
  <c r="L275" i="47"/>
  <c r="J288" i="47"/>
  <c r="J355" i="47"/>
  <c r="J128" i="47"/>
  <c r="J271" i="47"/>
  <c r="X156" i="47"/>
  <c r="J169" i="47"/>
  <c r="V289" i="47"/>
  <c r="AA128" i="47"/>
  <c r="AA134" i="47"/>
  <c r="Y280" i="47"/>
  <c r="AB288" i="47"/>
  <c r="AA371" i="47"/>
  <c r="R379" i="47"/>
  <c r="U283" i="47"/>
  <c r="AC283" i="47" s="1"/>
  <c r="U384" i="47"/>
  <c r="AC384" i="47" s="1"/>
  <c r="U369" i="47"/>
  <c r="AC369" i="47" s="1"/>
  <c r="U286" i="47"/>
  <c r="AC286" i="47" s="1"/>
  <c r="U381" i="47"/>
  <c r="AC381" i="47" s="1"/>
  <c r="U418" i="47"/>
  <c r="U383" i="47"/>
  <c r="AC383" i="47" s="1"/>
  <c r="U349" i="47"/>
  <c r="AC349" i="47" s="1"/>
  <c r="U393" i="47"/>
  <c r="U302" i="47"/>
  <c r="U315" i="47"/>
  <c r="AC315" i="47" s="1"/>
  <c r="U352" i="47"/>
  <c r="U419" i="47"/>
  <c r="AC419" i="47" s="1"/>
  <c r="U317" i="47"/>
  <c r="AC317" i="47" s="1"/>
  <c r="U357" i="47"/>
  <c r="U329" i="47"/>
  <c r="AC329" i="47" s="1"/>
  <c r="U140" i="47"/>
  <c r="AC140" i="47" s="1"/>
  <c r="U278" i="47"/>
  <c r="AC278" i="47" s="1"/>
  <c r="U358" i="47"/>
  <c r="U300" i="47"/>
  <c r="AC300" i="47" s="1"/>
  <c r="AB190" i="47"/>
  <c r="U126" i="47"/>
  <c r="U340" i="47"/>
  <c r="U293" i="47"/>
  <c r="AC293" i="47" s="1"/>
  <c r="U313" i="47"/>
  <c r="AC313" i="47" s="1"/>
  <c r="U335" i="47"/>
  <c r="AC335" i="47" s="1"/>
  <c r="U325" i="47"/>
  <c r="AC325" i="47" s="1"/>
  <c r="U275" i="47"/>
  <c r="U375" i="47"/>
  <c r="AC375" i="47" s="1"/>
  <c r="U312" i="47"/>
  <c r="AC312" i="47" s="1"/>
  <c r="U336" i="47"/>
  <c r="AC336" i="47" s="1"/>
  <c r="U354" i="47"/>
  <c r="U291" i="47"/>
  <c r="AC291" i="47" s="1"/>
  <c r="U389" i="47"/>
  <c r="AC389" i="47" s="1"/>
  <c r="U362" i="47"/>
  <c r="U332" i="47"/>
  <c r="AC332" i="47" s="1"/>
  <c r="U289" i="47"/>
  <c r="U305" i="47"/>
  <c r="AC305" i="47" s="1"/>
  <c r="U361" i="47"/>
  <c r="AC361" i="47" s="1"/>
  <c r="U364" i="47"/>
  <c r="U382" i="47"/>
  <c r="U379" i="47"/>
  <c r="U348" i="47"/>
  <c r="U323" i="47"/>
  <c r="U344" i="47"/>
  <c r="AC344" i="47" s="1"/>
  <c r="U134" i="47"/>
  <c r="U341" i="47"/>
  <c r="AC341" i="47" s="1"/>
  <c r="U386" i="47"/>
  <c r="T401" i="47"/>
  <c r="U400" i="47"/>
  <c r="U290" i="47"/>
  <c r="U367" i="47"/>
  <c r="AC367" i="47" s="1"/>
  <c r="U328" i="47"/>
  <c r="AC328" i="47" s="1"/>
  <c r="U409" i="47"/>
  <c r="U281" i="47"/>
  <c r="AC281" i="47" s="1"/>
  <c r="U365" i="47"/>
  <c r="AC365" i="47" s="1"/>
  <c r="U297" i="47"/>
  <c r="U396" i="47"/>
  <c r="AC396" i="47" s="1"/>
  <c r="U356" i="47"/>
  <c r="AC356" i="47" s="1"/>
  <c r="U347" i="47"/>
  <c r="U287" i="47"/>
  <c r="AC287" i="47" s="1"/>
  <c r="U407" i="47"/>
  <c r="U320" i="47"/>
  <c r="AC320" i="47" s="1"/>
  <c r="U417" i="47"/>
  <c r="AC417" i="47" s="1"/>
  <c r="U339" i="47"/>
  <c r="AC339" i="47" s="1"/>
  <c r="U372" i="47"/>
  <c r="AC372" i="47" s="1"/>
  <c r="U353" i="47"/>
  <c r="U136" i="47"/>
  <c r="AC136" i="47" s="1"/>
  <c r="U373" i="47"/>
  <c r="U128" i="47"/>
  <c r="T322" i="47"/>
  <c r="U318" i="47"/>
  <c r="AC318" i="47" s="1"/>
  <c r="U308" i="47"/>
  <c r="U142" i="47"/>
  <c r="AC142" i="47" s="1"/>
  <c r="U303" i="47"/>
  <c r="AC303" i="47" s="1"/>
  <c r="U141" i="47"/>
  <c r="U306" i="47"/>
  <c r="AC306" i="47" s="1"/>
  <c r="U326" i="47"/>
  <c r="U411" i="47"/>
  <c r="U345" i="47"/>
  <c r="AC345" i="47" s="1"/>
  <c r="U346" i="47"/>
  <c r="AC346" i="47" s="1"/>
  <c r="U316" i="47"/>
  <c r="AC316" i="47" s="1"/>
  <c r="U402" i="47"/>
  <c r="AC402" i="47" s="1"/>
  <c r="T359" i="47"/>
  <c r="U307" i="47"/>
  <c r="T324" i="47"/>
  <c r="U410" i="47"/>
  <c r="U397" i="47"/>
  <c r="T388" i="47"/>
  <c r="U295" i="47"/>
  <c r="T144" i="47"/>
  <c r="T145" i="47"/>
  <c r="T394" i="47"/>
  <c r="U360" i="47"/>
  <c r="AC360" i="47" s="1"/>
  <c r="U366" i="47"/>
  <c r="AC366" i="47" s="1"/>
  <c r="U310" i="47"/>
  <c r="AC310" i="47" s="1"/>
  <c r="U412" i="47"/>
  <c r="AC412" i="47" s="1"/>
  <c r="T131" i="47"/>
  <c r="U274" i="47"/>
  <c r="U272" i="47"/>
  <c r="AC272" i="47" s="1"/>
  <c r="U391" i="47"/>
  <c r="U331" i="47"/>
  <c r="AC331" i="47" s="1"/>
  <c r="U276" i="47"/>
  <c r="U266" i="47"/>
  <c r="AC266" i="47" s="1"/>
  <c r="U376" i="47"/>
  <c r="AC376" i="47" s="1"/>
  <c r="U337" i="47"/>
  <c r="U271" i="47"/>
  <c r="Z370" i="47"/>
  <c r="U398" i="47"/>
  <c r="AC398" i="47" s="1"/>
  <c r="U387" i="47"/>
  <c r="AC387" i="47" s="1"/>
  <c r="U298" i="47"/>
  <c r="U371" i="47"/>
  <c r="U377" i="47"/>
  <c r="AC377" i="47" s="1"/>
  <c r="U269" i="47"/>
  <c r="AC269" i="47" s="1"/>
  <c r="U355" i="47"/>
  <c r="U380" i="47"/>
  <c r="AC380" i="47" s="1"/>
  <c r="U133" i="47"/>
  <c r="AC133" i="47" s="1"/>
  <c r="U268" i="47"/>
  <c r="AC268" i="47" s="1"/>
  <c r="U137" i="47"/>
  <c r="U127" i="47"/>
  <c r="U294" i="47"/>
  <c r="U279" i="47"/>
  <c r="AC279" i="47" s="1"/>
  <c r="U368" i="47"/>
  <c r="AC368" i="47" s="1"/>
  <c r="U304" i="47"/>
  <c r="AC304" i="47" s="1"/>
  <c r="U343" i="47"/>
  <c r="AC343" i="47" s="1"/>
  <c r="U314" i="47"/>
  <c r="AC314" i="47" s="1"/>
  <c r="T277" i="47"/>
  <c r="T319" i="47"/>
  <c r="T321" i="47"/>
  <c r="T338" i="47"/>
  <c r="T351" i="47"/>
  <c r="U413" i="47"/>
  <c r="AC413" i="47" s="1"/>
  <c r="U309" i="47"/>
  <c r="AC309" i="47" s="1"/>
  <c r="U267" i="47"/>
  <c r="U414" i="47"/>
  <c r="U327" i="47"/>
  <c r="U330" i="47"/>
  <c r="AC330" i="47" s="1"/>
  <c r="U282" i="47"/>
  <c r="AC282" i="47" s="1"/>
  <c r="U395" i="47"/>
  <c r="AC395" i="47" s="1"/>
  <c r="U284" i="47"/>
  <c r="AC284" i="47" s="1"/>
  <c r="U292" i="47"/>
  <c r="U342" i="47"/>
  <c r="AC342" i="47" s="1"/>
  <c r="U392" i="47"/>
  <c r="U288" i="47"/>
  <c r="U405" i="47"/>
  <c r="AC405" i="47" s="1"/>
  <c r="T301" i="47"/>
  <c r="U408" i="47"/>
  <c r="U385" i="47"/>
  <c r="T143" i="47"/>
  <c r="U404" i="47"/>
  <c r="AC404" i="47" s="1"/>
  <c r="U296" i="47"/>
  <c r="AC296" i="47" s="1"/>
  <c r="U406" i="47"/>
  <c r="AC406" i="47" s="1"/>
  <c r="U132" i="47"/>
  <c r="AC132" i="47" s="1"/>
  <c r="U270" i="47"/>
  <c r="AC270" i="47" s="1"/>
  <c r="U350" i="47"/>
  <c r="AC350" i="47" s="1"/>
  <c r="U378" i="47"/>
  <c r="AC378" i="47" s="1"/>
  <c r="U273" i="47"/>
  <c r="U415" i="47"/>
  <c r="U399" i="47"/>
  <c r="AC399" i="47" s="1"/>
  <c r="U135" i="47"/>
  <c r="AC135" i="47" s="1"/>
  <c r="U299" i="47"/>
  <c r="AC299" i="47" s="1"/>
  <c r="U374" i="47"/>
  <c r="U139" i="47"/>
  <c r="U333" i="47"/>
  <c r="U403" i="47"/>
  <c r="U285" i="47"/>
  <c r="U420" i="47"/>
  <c r="AC420" i="47" s="1"/>
  <c r="U129" i="47"/>
  <c r="AC129" i="47" s="1"/>
  <c r="U390" i="47"/>
  <c r="AC390" i="47" s="1"/>
  <c r="AE560" i="47"/>
  <c r="AE513" i="47"/>
  <c r="AE484" i="47"/>
  <c r="AE538" i="47"/>
  <c r="L370" i="47"/>
  <c r="O370" i="47"/>
  <c r="V370" i="47"/>
  <c r="N370" i="47"/>
  <c r="R370" i="47"/>
  <c r="Y370" i="47"/>
  <c r="M370" i="47"/>
  <c r="Q370" i="47"/>
  <c r="X370" i="47"/>
  <c r="P370" i="47"/>
  <c r="S370" i="47"/>
  <c r="AA370" i="47"/>
  <c r="T303" i="47"/>
  <c r="T316" i="47"/>
  <c r="T268" i="47"/>
  <c r="T360" i="47"/>
  <c r="T396" i="47"/>
  <c r="T372" i="47"/>
  <c r="T387" i="47"/>
  <c r="T279" i="47"/>
  <c r="T367" i="47"/>
  <c r="T142" i="47"/>
  <c r="L170" i="47"/>
  <c r="N170" i="47"/>
  <c r="M170" i="47"/>
  <c r="P170" i="47"/>
  <c r="Q170" i="47"/>
  <c r="R170" i="47"/>
  <c r="O170" i="47"/>
  <c r="S170" i="47"/>
  <c r="V170" i="47"/>
  <c r="X170" i="47"/>
  <c r="Y170" i="47"/>
  <c r="Z170" i="47"/>
  <c r="AB170" i="47"/>
  <c r="AA170" i="47"/>
  <c r="L265" i="47"/>
  <c r="M265" i="47"/>
  <c r="N265" i="47"/>
  <c r="O265" i="47"/>
  <c r="P265" i="47"/>
  <c r="Q265" i="47"/>
  <c r="R265" i="47"/>
  <c r="S265" i="47"/>
  <c r="Y265" i="47"/>
  <c r="Z265" i="47"/>
  <c r="AA265" i="47"/>
  <c r="AB265" i="47"/>
  <c r="X265" i="47"/>
  <c r="V265" i="47"/>
  <c r="M264" i="47"/>
  <c r="N264" i="47"/>
  <c r="O264" i="47"/>
  <c r="P264" i="47"/>
  <c r="L264" i="47"/>
  <c r="Q264" i="47"/>
  <c r="R264" i="47"/>
  <c r="S264" i="47"/>
  <c r="V264" i="47"/>
  <c r="X264" i="47"/>
  <c r="Y264" i="47"/>
  <c r="Z264" i="47"/>
  <c r="AA264" i="47"/>
  <c r="AB264" i="47"/>
  <c r="L210" i="47"/>
  <c r="N210" i="47"/>
  <c r="M210" i="47"/>
  <c r="P210" i="47"/>
  <c r="Q210" i="47"/>
  <c r="R210" i="47"/>
  <c r="O210" i="47"/>
  <c r="S210" i="47"/>
  <c r="V210" i="47"/>
  <c r="X210" i="47"/>
  <c r="Y210" i="47"/>
  <c r="Z210" i="47"/>
  <c r="AA210" i="47"/>
  <c r="AB210" i="47"/>
  <c r="L224" i="47"/>
  <c r="M224" i="47"/>
  <c r="N224" i="47"/>
  <c r="O224" i="47"/>
  <c r="Q224" i="47"/>
  <c r="R224" i="47"/>
  <c r="S224" i="47"/>
  <c r="P224" i="47"/>
  <c r="V224" i="47"/>
  <c r="X224" i="47"/>
  <c r="Y224" i="47"/>
  <c r="Z224" i="47"/>
  <c r="AA224" i="47"/>
  <c r="AB224" i="47"/>
  <c r="T291" i="47"/>
  <c r="T306" i="47"/>
  <c r="N172" i="47"/>
  <c r="Q172" i="47"/>
  <c r="S172" i="47"/>
  <c r="AB172" i="47"/>
  <c r="L259" i="47"/>
  <c r="M259" i="47"/>
  <c r="V259" i="47"/>
  <c r="Y259" i="47"/>
  <c r="AB259" i="47"/>
  <c r="V153" i="47"/>
  <c r="M218" i="47"/>
  <c r="N218" i="47"/>
  <c r="O218" i="47"/>
  <c r="P218" i="47"/>
  <c r="L218" i="47"/>
  <c r="Q218" i="47"/>
  <c r="R218" i="47"/>
  <c r="S218" i="47"/>
  <c r="V218" i="47"/>
  <c r="X218" i="47"/>
  <c r="Y218" i="47"/>
  <c r="Z218" i="47"/>
  <c r="AA218" i="47"/>
  <c r="AB218" i="47"/>
  <c r="L161" i="47"/>
  <c r="N161" i="47"/>
  <c r="Y161" i="47"/>
  <c r="AA161" i="47"/>
  <c r="L151" i="47"/>
  <c r="N151" i="47"/>
  <c r="M151" i="47"/>
  <c r="O151" i="47"/>
  <c r="P151" i="47"/>
  <c r="R151" i="47"/>
  <c r="Q151" i="47"/>
  <c r="S151" i="47"/>
  <c r="V151" i="47"/>
  <c r="X151" i="47"/>
  <c r="Y151" i="47"/>
  <c r="Z151" i="47"/>
  <c r="AA151" i="47"/>
  <c r="AB151" i="47"/>
  <c r="N235" i="47"/>
  <c r="P235" i="47"/>
  <c r="R235" i="47"/>
  <c r="AA235" i="47"/>
  <c r="L181" i="47"/>
  <c r="M181" i="47"/>
  <c r="N181" i="47"/>
  <c r="O181" i="47"/>
  <c r="Q181" i="47"/>
  <c r="P181" i="47"/>
  <c r="R181" i="47"/>
  <c r="S181" i="47"/>
  <c r="Y181" i="47"/>
  <c r="Z181" i="47"/>
  <c r="AA181" i="47"/>
  <c r="AB181" i="47"/>
  <c r="X181" i="47"/>
  <c r="V181" i="47"/>
  <c r="N231" i="47"/>
  <c r="Q231" i="47"/>
  <c r="P231" i="47"/>
  <c r="AB231" i="47"/>
  <c r="L177" i="47"/>
  <c r="N177" i="47"/>
  <c r="V177" i="47"/>
  <c r="AA177" i="47"/>
  <c r="Y177" i="47"/>
  <c r="L154" i="47"/>
  <c r="M154" i="47"/>
  <c r="N154" i="47"/>
  <c r="P154" i="47"/>
  <c r="O154" i="47"/>
  <c r="Q154" i="47"/>
  <c r="R154" i="47"/>
  <c r="S154" i="47"/>
  <c r="X154" i="47"/>
  <c r="Z154" i="47"/>
  <c r="Y154" i="47"/>
  <c r="AA154" i="47"/>
  <c r="AB154" i="47"/>
  <c r="V154" i="47"/>
  <c r="L248" i="47"/>
  <c r="N248" i="47"/>
  <c r="O248" i="47"/>
  <c r="P248" i="47"/>
  <c r="M248" i="47"/>
  <c r="Q248" i="47"/>
  <c r="R248" i="47"/>
  <c r="S248" i="47"/>
  <c r="V248" i="47"/>
  <c r="X248" i="47"/>
  <c r="Y248" i="47"/>
  <c r="Z248" i="47"/>
  <c r="AA248" i="47"/>
  <c r="AB248" i="47"/>
  <c r="M178" i="47"/>
  <c r="O178" i="47"/>
  <c r="Y178" i="47"/>
  <c r="AA178" i="47"/>
  <c r="L243" i="47"/>
  <c r="N243" i="47"/>
  <c r="O243" i="47"/>
  <c r="P243" i="47"/>
  <c r="M243" i="47"/>
  <c r="Q243" i="47"/>
  <c r="R243" i="47"/>
  <c r="S243" i="47"/>
  <c r="V243" i="47"/>
  <c r="X243" i="47"/>
  <c r="Y243" i="47"/>
  <c r="Z243" i="47"/>
  <c r="AA243" i="47"/>
  <c r="AB243" i="47"/>
  <c r="N205" i="47"/>
  <c r="O205" i="47"/>
  <c r="R205" i="47"/>
  <c r="Y205" i="47"/>
  <c r="L215" i="47"/>
  <c r="N215" i="47"/>
  <c r="O215" i="47"/>
  <c r="M215" i="47"/>
  <c r="P215" i="47"/>
  <c r="Q215" i="47"/>
  <c r="R215" i="47"/>
  <c r="S215" i="47"/>
  <c r="V215" i="47"/>
  <c r="X215" i="47"/>
  <c r="Y215" i="47"/>
  <c r="Z215" i="47"/>
  <c r="AA215" i="47"/>
  <c r="AB215" i="47"/>
  <c r="T366" i="47"/>
  <c r="T377" i="47"/>
  <c r="T283" i="47"/>
  <c r="T413" i="47"/>
  <c r="T266" i="47"/>
  <c r="T278" i="47"/>
  <c r="T313" i="47"/>
  <c r="T332" i="47"/>
  <c r="T383" i="47"/>
  <c r="T286" i="47"/>
  <c r="T330" i="47"/>
  <c r="T282" i="47"/>
  <c r="T395" i="47"/>
  <c r="T380" i="47"/>
  <c r="T336" i="47"/>
  <c r="T281" i="47"/>
  <c r="T284" i="47"/>
  <c r="T368" i="47"/>
  <c r="T329" i="47"/>
  <c r="T342" i="47"/>
  <c r="T365" i="47"/>
  <c r="T417" i="47"/>
  <c r="T287" i="47"/>
  <c r="T405" i="47"/>
  <c r="T349" i="47"/>
  <c r="T384" i="47"/>
  <c r="L229" i="47"/>
  <c r="M229" i="47"/>
  <c r="N229" i="47"/>
  <c r="O229" i="47"/>
  <c r="P229" i="47"/>
  <c r="Q229" i="47"/>
  <c r="R229" i="47"/>
  <c r="S229" i="47"/>
  <c r="X229" i="47"/>
  <c r="Y229" i="47"/>
  <c r="AB229" i="47"/>
  <c r="V229" i="47"/>
  <c r="Z229" i="47"/>
  <c r="AA229" i="47"/>
  <c r="N187" i="47"/>
  <c r="AA187" i="47"/>
  <c r="L171" i="47"/>
  <c r="M171" i="47"/>
  <c r="N171" i="47"/>
  <c r="O171" i="47"/>
  <c r="P171" i="47"/>
  <c r="Q171" i="47"/>
  <c r="R171" i="47"/>
  <c r="S171" i="47"/>
  <c r="V171" i="47"/>
  <c r="X171" i="47"/>
  <c r="Y171" i="47"/>
  <c r="Z171" i="47"/>
  <c r="AA171" i="47"/>
  <c r="AB171" i="47"/>
  <c r="L162" i="47"/>
  <c r="M162" i="47"/>
  <c r="N162" i="47"/>
  <c r="O162" i="47"/>
  <c r="P162" i="47"/>
  <c r="Q162" i="47"/>
  <c r="R162" i="47"/>
  <c r="S162" i="47"/>
  <c r="V162" i="47"/>
  <c r="X162" i="47"/>
  <c r="Y162" i="47"/>
  <c r="Z162" i="47"/>
  <c r="AA162" i="47"/>
  <c r="AB162" i="47"/>
  <c r="L156" i="47"/>
  <c r="O156" i="47"/>
  <c r="P156" i="47"/>
  <c r="N156" i="47"/>
  <c r="S156" i="47"/>
  <c r="V156" i="47"/>
  <c r="Y156" i="47"/>
  <c r="AA156" i="47"/>
  <c r="AB156" i="47"/>
  <c r="L217" i="47"/>
  <c r="N217" i="47"/>
  <c r="O217" i="47"/>
  <c r="M217" i="47"/>
  <c r="P217" i="47"/>
  <c r="Q217" i="47"/>
  <c r="R217" i="47"/>
  <c r="S217" i="47"/>
  <c r="V217" i="47"/>
  <c r="X217" i="47"/>
  <c r="Y217" i="47"/>
  <c r="Z217" i="47"/>
  <c r="AA217" i="47"/>
  <c r="AB217" i="47"/>
  <c r="L257" i="47"/>
  <c r="M257" i="47"/>
  <c r="O257" i="47"/>
  <c r="P257" i="47"/>
  <c r="Q257" i="47"/>
  <c r="N257" i="47"/>
  <c r="R257" i="47"/>
  <c r="S257" i="47"/>
  <c r="V257" i="47"/>
  <c r="X257" i="47"/>
  <c r="Y257" i="47"/>
  <c r="Z257" i="47"/>
  <c r="AA257" i="47"/>
  <c r="AB257" i="47"/>
  <c r="L206" i="47"/>
  <c r="N206" i="47"/>
  <c r="O206" i="47"/>
  <c r="P206" i="47"/>
  <c r="Q206" i="47"/>
  <c r="R206" i="47"/>
  <c r="M206" i="47"/>
  <c r="S206" i="47"/>
  <c r="V206" i="47"/>
  <c r="X206" i="47"/>
  <c r="Y206" i="47"/>
  <c r="Z206" i="47"/>
  <c r="AA206" i="47"/>
  <c r="AB206" i="47"/>
  <c r="L200" i="47"/>
  <c r="M200" i="47"/>
  <c r="N200" i="47"/>
  <c r="O200" i="47"/>
  <c r="P200" i="47"/>
  <c r="Q200" i="47"/>
  <c r="R200" i="47"/>
  <c r="S200" i="47"/>
  <c r="V200" i="47"/>
  <c r="X200" i="47"/>
  <c r="Y200" i="47"/>
  <c r="Z200" i="47"/>
  <c r="AA200" i="47"/>
  <c r="AB200" i="47"/>
  <c r="L159" i="47"/>
  <c r="N159" i="47"/>
  <c r="AA159" i="47"/>
  <c r="V159" i="47"/>
  <c r="L252" i="47"/>
  <c r="N252" i="47"/>
  <c r="O252" i="47"/>
  <c r="M252" i="47"/>
  <c r="P252" i="47"/>
  <c r="R252" i="47"/>
  <c r="S252" i="47"/>
  <c r="Q252" i="47"/>
  <c r="V252" i="47"/>
  <c r="X252" i="47"/>
  <c r="Y252" i="47"/>
  <c r="Z252" i="47"/>
  <c r="AA252" i="47"/>
  <c r="AB252" i="47"/>
  <c r="L189" i="47"/>
  <c r="M189" i="47"/>
  <c r="N189" i="47"/>
  <c r="O189" i="47"/>
  <c r="P189" i="47"/>
  <c r="Q189" i="47"/>
  <c r="S189" i="47"/>
  <c r="R189" i="47"/>
  <c r="X189" i="47"/>
  <c r="V189" i="47"/>
  <c r="Y189" i="47"/>
  <c r="AB189" i="47"/>
  <c r="Z189" i="47"/>
  <c r="AA189" i="47"/>
  <c r="L165" i="47"/>
  <c r="N165" i="47"/>
  <c r="Y165" i="47"/>
  <c r="AB165" i="47"/>
  <c r="L208" i="47"/>
  <c r="N208" i="47"/>
  <c r="M208" i="47"/>
  <c r="P208" i="47"/>
  <c r="Q208" i="47"/>
  <c r="R208" i="47"/>
  <c r="S208" i="47"/>
  <c r="O208" i="47"/>
  <c r="V208" i="47"/>
  <c r="X208" i="47"/>
  <c r="Y208" i="47"/>
  <c r="Z208" i="47"/>
  <c r="AB208" i="47"/>
  <c r="AA208" i="47"/>
  <c r="N185" i="47"/>
  <c r="Q185" i="47"/>
  <c r="R185" i="47"/>
  <c r="X185" i="47"/>
  <c r="L155" i="47"/>
  <c r="M155" i="47"/>
  <c r="O155" i="47"/>
  <c r="P155" i="47"/>
  <c r="N155" i="47"/>
  <c r="Q155" i="47"/>
  <c r="R155" i="47"/>
  <c r="S155" i="47"/>
  <c r="V155" i="47"/>
  <c r="X155" i="47"/>
  <c r="Y155" i="47"/>
  <c r="Z155" i="47"/>
  <c r="AA155" i="47"/>
  <c r="AB155" i="47"/>
  <c r="L234" i="47"/>
  <c r="M234" i="47"/>
  <c r="N234" i="47"/>
  <c r="P234" i="47"/>
  <c r="O234" i="47"/>
  <c r="Q234" i="47"/>
  <c r="S234" i="47"/>
  <c r="R234" i="47"/>
  <c r="X234" i="47"/>
  <c r="Y234" i="47"/>
  <c r="AA234" i="47"/>
  <c r="AB234" i="47"/>
  <c r="V234" i="47"/>
  <c r="Z234" i="47"/>
  <c r="Q250" i="47"/>
  <c r="S250" i="47"/>
  <c r="L160" i="47"/>
  <c r="M160" i="47"/>
  <c r="N160" i="47"/>
  <c r="O160" i="47"/>
  <c r="Q160" i="47"/>
  <c r="R160" i="47"/>
  <c r="S160" i="47"/>
  <c r="P160" i="47"/>
  <c r="V160" i="47"/>
  <c r="X160" i="47"/>
  <c r="Y160" i="47"/>
  <c r="Z160" i="47"/>
  <c r="AA160" i="47"/>
  <c r="AB160" i="47"/>
  <c r="L244" i="47"/>
  <c r="M244" i="47"/>
  <c r="N244" i="47"/>
  <c r="P244" i="47"/>
  <c r="O244" i="47"/>
  <c r="Q244" i="47"/>
  <c r="S244" i="47"/>
  <c r="R244" i="47"/>
  <c r="X244" i="47"/>
  <c r="Z244" i="47"/>
  <c r="Y244" i="47"/>
  <c r="AA244" i="47"/>
  <c r="AB244" i="47"/>
  <c r="V244" i="47"/>
  <c r="P254" i="47"/>
  <c r="R254" i="47"/>
  <c r="N228" i="47"/>
  <c r="AA228" i="47"/>
  <c r="M240" i="47"/>
  <c r="L240" i="47"/>
  <c r="N240" i="47"/>
  <c r="O240" i="47"/>
  <c r="P240" i="47"/>
  <c r="Q240" i="47"/>
  <c r="R240" i="47"/>
  <c r="Z240" i="47"/>
  <c r="S240" i="47"/>
  <c r="V240" i="47"/>
  <c r="AB240" i="47"/>
  <c r="Y240" i="47"/>
  <c r="X240" i="47"/>
  <c r="AA240" i="47"/>
  <c r="L258" i="47"/>
  <c r="M258" i="47"/>
  <c r="O258" i="47"/>
  <c r="P258" i="47"/>
  <c r="Q258" i="47"/>
  <c r="N258" i="47"/>
  <c r="R258" i="47"/>
  <c r="S258" i="47"/>
  <c r="V258" i="47"/>
  <c r="X258" i="47"/>
  <c r="Y258" i="47"/>
  <c r="Z258" i="47"/>
  <c r="AA258" i="47"/>
  <c r="AB258" i="47"/>
  <c r="T300" i="47"/>
  <c r="T339" i="47"/>
  <c r="T133" i="47"/>
  <c r="T402" i="47"/>
  <c r="T304" i="47"/>
  <c r="T343" i="47"/>
  <c r="T419" i="47"/>
  <c r="T140" i="47"/>
  <c r="T398" i="47"/>
  <c r="T315" i="47"/>
  <c r="T312" i="47"/>
  <c r="T325" i="47"/>
  <c r="T310" i="47"/>
  <c r="T412" i="47"/>
  <c r="T314" i="47"/>
  <c r="T272" i="47"/>
  <c r="T375" i="47"/>
  <c r="T361" i="47"/>
  <c r="O166" i="47"/>
  <c r="AA166" i="47"/>
  <c r="L163" i="47"/>
  <c r="N163" i="47"/>
  <c r="M163" i="47"/>
  <c r="P163" i="47"/>
  <c r="Q163" i="47"/>
  <c r="R163" i="47"/>
  <c r="O163" i="47"/>
  <c r="S163" i="47"/>
  <c r="V163" i="47"/>
  <c r="X163" i="47"/>
  <c r="Y163" i="47"/>
  <c r="Z163" i="47"/>
  <c r="AA163" i="47"/>
  <c r="AB163" i="47"/>
  <c r="L251" i="47"/>
  <c r="M251" i="47"/>
  <c r="N251" i="47"/>
  <c r="Q251" i="47"/>
  <c r="O251" i="47"/>
  <c r="P251" i="47"/>
  <c r="R251" i="47"/>
  <c r="S251" i="47"/>
  <c r="V251" i="47"/>
  <c r="Z251" i="47"/>
  <c r="X251" i="47"/>
  <c r="AA251" i="47"/>
  <c r="AB251" i="47"/>
  <c r="Y251" i="47"/>
  <c r="AA186" i="47"/>
  <c r="L238" i="47"/>
  <c r="M238" i="47"/>
  <c r="O238" i="47"/>
  <c r="N238" i="47"/>
  <c r="P238" i="47"/>
  <c r="Q238" i="47"/>
  <c r="R238" i="47"/>
  <c r="S238" i="47"/>
  <c r="V238" i="47"/>
  <c r="X238" i="47"/>
  <c r="Y238" i="47"/>
  <c r="Z238" i="47"/>
  <c r="AA238" i="47"/>
  <c r="AB238" i="47"/>
  <c r="L169" i="47"/>
  <c r="M169" i="47"/>
  <c r="N169" i="47"/>
  <c r="O169" i="47"/>
  <c r="P169" i="47"/>
  <c r="Q169" i="47"/>
  <c r="R169" i="47"/>
  <c r="S169" i="47"/>
  <c r="V169" i="47"/>
  <c r="X169" i="47"/>
  <c r="Y169" i="47"/>
  <c r="Z169" i="47"/>
  <c r="AA169" i="47"/>
  <c r="AB169" i="47"/>
  <c r="T345" i="47"/>
  <c r="M363" i="47"/>
  <c r="L363" i="47"/>
  <c r="N363" i="47"/>
  <c r="O363" i="47"/>
  <c r="Q363" i="47"/>
  <c r="P363" i="47"/>
  <c r="R363" i="47"/>
  <c r="S363" i="47"/>
  <c r="V363" i="47"/>
  <c r="AA363" i="47"/>
  <c r="X363" i="47"/>
  <c r="AB363" i="47"/>
  <c r="Z363" i="47"/>
  <c r="Y363" i="47"/>
  <c r="N173" i="47"/>
  <c r="P173" i="47"/>
  <c r="R173" i="47"/>
  <c r="AA173" i="47"/>
  <c r="L260" i="47"/>
  <c r="M260" i="47"/>
  <c r="N260" i="47"/>
  <c r="P260" i="47"/>
  <c r="Q260" i="47"/>
  <c r="O260" i="47"/>
  <c r="R260" i="47"/>
  <c r="S260" i="47"/>
  <c r="V260" i="47"/>
  <c r="X260" i="47"/>
  <c r="Y260" i="47"/>
  <c r="Z260" i="47"/>
  <c r="AA260" i="47"/>
  <c r="AB260" i="47"/>
  <c r="S241" i="47"/>
  <c r="V241" i="47"/>
  <c r="L180" i="47"/>
  <c r="M180" i="47"/>
  <c r="N180" i="47"/>
  <c r="O180" i="47"/>
  <c r="P180" i="47"/>
  <c r="Q180" i="47"/>
  <c r="R180" i="47"/>
  <c r="S180" i="47"/>
  <c r="V180" i="47"/>
  <c r="X180" i="47"/>
  <c r="Y180" i="47"/>
  <c r="Z180" i="47"/>
  <c r="AA180" i="47"/>
  <c r="AB180" i="47"/>
  <c r="N249" i="47"/>
  <c r="O249" i="47"/>
  <c r="P249" i="47"/>
  <c r="Q249" i="47"/>
  <c r="L249" i="47"/>
  <c r="M249" i="47"/>
  <c r="R249" i="47"/>
  <c r="S249" i="47"/>
  <c r="V249" i="47"/>
  <c r="X249" i="47"/>
  <c r="Y249" i="47"/>
  <c r="Z249" i="47"/>
  <c r="AA249" i="47"/>
  <c r="AB249" i="47"/>
  <c r="L207" i="47"/>
  <c r="M207" i="47"/>
  <c r="N207" i="47"/>
  <c r="O207" i="47"/>
  <c r="P207" i="47"/>
  <c r="Q207" i="47"/>
  <c r="R207" i="47"/>
  <c r="S207" i="47"/>
  <c r="Y207" i="47"/>
  <c r="X207" i="47"/>
  <c r="AA207" i="47"/>
  <c r="AB207" i="47"/>
  <c r="V207" i="47"/>
  <c r="Z207" i="47"/>
  <c r="M157" i="47"/>
  <c r="R157" i="47"/>
  <c r="Q191" i="47"/>
  <c r="M148" i="47"/>
  <c r="N148" i="47"/>
  <c r="L148" i="47"/>
  <c r="O148" i="47"/>
  <c r="P148" i="47"/>
  <c r="Q148" i="47"/>
  <c r="R148" i="47"/>
  <c r="S148" i="47"/>
  <c r="V148" i="47"/>
  <c r="X148" i="47"/>
  <c r="Y148" i="47"/>
  <c r="Z148" i="47"/>
  <c r="AA148" i="47"/>
  <c r="AB148" i="47"/>
  <c r="M196" i="47"/>
  <c r="N196" i="47"/>
  <c r="O196" i="47"/>
  <c r="P196" i="47"/>
  <c r="L196" i="47"/>
  <c r="Q196" i="47"/>
  <c r="R196" i="47"/>
  <c r="S196" i="47"/>
  <c r="V196" i="47"/>
  <c r="X196" i="47"/>
  <c r="Y196" i="47"/>
  <c r="Z196" i="47"/>
  <c r="AA196" i="47"/>
  <c r="AB196" i="47"/>
  <c r="Q255" i="47"/>
  <c r="L183" i="47"/>
  <c r="N183" i="47"/>
  <c r="O183" i="47"/>
  <c r="P183" i="47"/>
  <c r="Q183" i="47"/>
  <c r="M183" i="47"/>
  <c r="R183" i="47"/>
  <c r="S183" i="47"/>
  <c r="V183" i="47"/>
  <c r="X183" i="47"/>
  <c r="Y183" i="47"/>
  <c r="Z183" i="47"/>
  <c r="AA183" i="47"/>
  <c r="AB183" i="47"/>
  <c r="M263" i="47"/>
  <c r="N263" i="47"/>
  <c r="O263" i="47"/>
  <c r="P263" i="47"/>
  <c r="L263" i="47"/>
  <c r="Q263" i="47"/>
  <c r="R263" i="47"/>
  <c r="S263" i="47"/>
  <c r="V263" i="47"/>
  <c r="X263" i="47"/>
  <c r="Y263" i="47"/>
  <c r="Z263" i="47"/>
  <c r="AA263" i="47"/>
  <c r="AB263" i="47"/>
  <c r="Q220" i="47"/>
  <c r="Q167" i="47"/>
  <c r="S167" i="47"/>
  <c r="V167" i="47"/>
  <c r="L193" i="47"/>
  <c r="M193" i="47"/>
  <c r="N193" i="47"/>
  <c r="O193" i="47"/>
  <c r="P193" i="47"/>
  <c r="Q193" i="47"/>
  <c r="R193" i="47"/>
  <c r="S193" i="47"/>
  <c r="V193" i="47"/>
  <c r="X193" i="47"/>
  <c r="Y193" i="47"/>
  <c r="Z193" i="47"/>
  <c r="AA193" i="47"/>
  <c r="AB193" i="47"/>
  <c r="L158" i="47"/>
  <c r="M158" i="47"/>
  <c r="N158" i="47"/>
  <c r="O158" i="47"/>
  <c r="Q158" i="47"/>
  <c r="R158" i="47"/>
  <c r="P158" i="47"/>
  <c r="S158" i="47"/>
  <c r="V158" i="47"/>
  <c r="X158" i="47"/>
  <c r="Y158" i="47"/>
  <c r="Z158" i="47"/>
  <c r="AB158" i="47"/>
  <c r="AA158" i="47"/>
  <c r="R168" i="47"/>
  <c r="V168" i="47"/>
  <c r="L237" i="47"/>
  <c r="O237" i="47"/>
  <c r="M237" i="47"/>
  <c r="N237" i="47"/>
  <c r="P237" i="47"/>
  <c r="Q237" i="47"/>
  <c r="R237" i="47"/>
  <c r="S237" i="47"/>
  <c r="V237" i="47"/>
  <c r="X237" i="47"/>
  <c r="Y237" i="47"/>
  <c r="Z237" i="47"/>
  <c r="AA237" i="47"/>
  <c r="AB237" i="47"/>
  <c r="L188" i="47"/>
  <c r="N188" i="47"/>
  <c r="O188" i="47"/>
  <c r="M188" i="47"/>
  <c r="P188" i="47"/>
  <c r="Q188" i="47"/>
  <c r="R188" i="47"/>
  <c r="S188" i="47"/>
  <c r="V188" i="47"/>
  <c r="X188" i="47"/>
  <c r="Y188" i="47"/>
  <c r="Z188" i="47"/>
  <c r="AA188" i="47"/>
  <c r="AB188" i="47"/>
  <c r="O195" i="47"/>
  <c r="AB593" i="47"/>
  <c r="T406" i="47"/>
  <c r="T318" i="47"/>
  <c r="T132" i="47"/>
  <c r="T270" i="47"/>
  <c r="T320" i="47"/>
  <c r="T136" i="47"/>
  <c r="T350" i="47"/>
  <c r="T309" i="47"/>
  <c r="T328" i="47"/>
  <c r="T378" i="47"/>
  <c r="T404" i="47"/>
  <c r="T344" i="47"/>
  <c r="T269" i="47"/>
  <c r="T369" i="47"/>
  <c r="T376" i="47"/>
  <c r="T317" i="47"/>
  <c r="T293" i="47"/>
  <c r="T356" i="47"/>
  <c r="T399" i="47"/>
  <c r="T135" i="47"/>
  <c r="T299" i="47"/>
  <c r="T331" i="47"/>
  <c r="T305" i="47"/>
  <c r="T381" i="47"/>
  <c r="T420" i="47"/>
  <c r="T296" i="47"/>
  <c r="T335" i="47"/>
  <c r="T341" i="47"/>
  <c r="T346" i="47"/>
  <c r="T129" i="47"/>
  <c r="T389" i="47"/>
  <c r="T390" i="47"/>
  <c r="Z190" i="47"/>
  <c r="AA190" i="47"/>
  <c r="X190" i="47"/>
  <c r="Y190" i="47"/>
  <c r="V190" i="47"/>
  <c r="R190" i="47"/>
  <c r="S190" i="47"/>
  <c r="Q190" i="47"/>
  <c r="P190" i="47"/>
  <c r="O190" i="47"/>
  <c r="M190" i="47"/>
  <c r="N190" i="47"/>
  <c r="H239" i="47"/>
  <c r="H212" i="47"/>
  <c r="H226" i="47"/>
  <c r="H199" i="47"/>
  <c r="H211" i="47"/>
  <c r="H221" i="47"/>
  <c r="H261" i="47"/>
  <c r="H201" i="47"/>
  <c r="H198" i="47"/>
  <c r="H227" i="47"/>
  <c r="H204" i="47"/>
  <c r="H253" i="47"/>
  <c r="H149" i="47"/>
  <c r="H152" i="47"/>
  <c r="H197" i="47"/>
  <c r="H184" i="47"/>
  <c r="H247" i="47"/>
  <c r="H150" i="47"/>
  <c r="H222" i="47"/>
  <c r="H182" i="47"/>
  <c r="H176" i="47"/>
  <c r="H213" i="47"/>
  <c r="H216" i="47"/>
  <c r="H203" i="47"/>
  <c r="H246" i="47"/>
  <c r="H179" i="47"/>
  <c r="H147" i="47"/>
  <c r="H164" i="47"/>
  <c r="H230" i="47"/>
  <c r="H262" i="47"/>
  <c r="H192" i="47"/>
  <c r="H209" i="47"/>
  <c r="H146" i="47"/>
  <c r="H225" i="47"/>
  <c r="H202" i="47"/>
  <c r="H233" i="47"/>
  <c r="H256" i="47"/>
  <c r="H194" i="47"/>
  <c r="H223" i="47"/>
  <c r="H245" i="47"/>
  <c r="H174" i="47"/>
  <c r="H214" i="47"/>
  <c r="H232" i="47"/>
  <c r="H219" i="47"/>
  <c r="H236" i="47"/>
  <c r="T126" i="47" l="1"/>
  <c r="AB20" i="13"/>
  <c r="AB21" i="13" s="1"/>
  <c r="AB16" i="13"/>
  <c r="AB17" i="13" s="1"/>
  <c r="U234" i="47"/>
  <c r="AC234" i="47" s="1"/>
  <c r="U370" i="47"/>
  <c r="U138" i="47"/>
  <c r="AC138" i="47" s="1"/>
  <c r="U258" i="47"/>
  <c r="AC258" i="47" s="1"/>
  <c r="U244" i="47"/>
  <c r="AC244" i="47" s="1"/>
  <c r="U416" i="47"/>
  <c r="AC416" i="47" s="1"/>
  <c r="U207" i="47"/>
  <c r="AC207" i="47" s="1"/>
  <c r="U155" i="47"/>
  <c r="AC155" i="47" s="1"/>
  <c r="U159" i="47"/>
  <c r="U148" i="47"/>
  <c r="AC148" i="47" s="1"/>
  <c r="U229" i="47"/>
  <c r="AC229" i="47" s="1"/>
  <c r="T409" i="47"/>
  <c r="T400" i="47"/>
  <c r="T353" i="47"/>
  <c r="AC355" i="47"/>
  <c r="AC326" i="47"/>
  <c r="AC397" i="47"/>
  <c r="AC307" i="47"/>
  <c r="T276" i="47"/>
  <c r="T307" i="47"/>
  <c r="AC288" i="47"/>
  <c r="AC137" i="47"/>
  <c r="T391" i="47"/>
  <c r="T407" i="47"/>
  <c r="T311" i="47"/>
  <c r="T326" i="47"/>
  <c r="T397" i="47"/>
  <c r="T327" i="47"/>
  <c r="T139" i="47"/>
  <c r="AC274" i="47"/>
  <c r="T355" i="47"/>
  <c r="AC353" i="47"/>
  <c r="AE353" i="47" s="1"/>
  <c r="T374" i="47"/>
  <c r="T333" i="47"/>
  <c r="T267" i="47"/>
  <c r="T348" i="47"/>
  <c r="T410" i="47"/>
  <c r="T294" i="47"/>
  <c r="T392" i="47"/>
  <c r="T357" i="47"/>
  <c r="AC348" i="47"/>
  <c r="AC327" i="47"/>
  <c r="T393" i="47"/>
  <c r="AC410" i="47"/>
  <c r="AC357" i="47"/>
  <c r="T288" i="47"/>
  <c r="AC308" i="47"/>
  <c r="T414" i="47"/>
  <c r="AC311" i="47"/>
  <c r="AC347" i="47"/>
  <c r="AC392" i="47"/>
  <c r="T273" i="47"/>
  <c r="AC126" i="47"/>
  <c r="T371" i="47"/>
  <c r="T386" i="47"/>
  <c r="T289" i="47"/>
  <c r="T138" i="47"/>
  <c r="T292" i="47"/>
  <c r="T127" i="47"/>
  <c r="T416" i="47"/>
  <c r="T340" i="47"/>
  <c r="Z228" i="47"/>
  <c r="M228" i="47"/>
  <c r="Z187" i="47"/>
  <c r="M187" i="47"/>
  <c r="J228" i="47"/>
  <c r="J187" i="47"/>
  <c r="S175" i="47"/>
  <c r="Y228" i="47"/>
  <c r="L228" i="47"/>
  <c r="Y187" i="47"/>
  <c r="L187" i="47"/>
  <c r="AC408" i="47"/>
  <c r="R175" i="47"/>
  <c r="X228" i="47"/>
  <c r="X187" i="47"/>
  <c r="AC141" i="47"/>
  <c r="Q175" i="47"/>
  <c r="V228" i="47"/>
  <c r="V187" i="47"/>
  <c r="AC267" i="47"/>
  <c r="T403" i="47"/>
  <c r="P228" i="47"/>
  <c r="AC294" i="47"/>
  <c r="AC290" i="47"/>
  <c r="AB175" i="47"/>
  <c r="N175" i="47"/>
  <c r="Z175" i="47"/>
  <c r="M175" i="47"/>
  <c r="S187" i="47"/>
  <c r="T308" i="47"/>
  <c r="T408" i="47"/>
  <c r="T352" i="47"/>
  <c r="T302" i="47"/>
  <c r="T337" i="47"/>
  <c r="T274" i="47"/>
  <c r="T295" i="47"/>
  <c r="Y175" i="47"/>
  <c r="L175" i="47"/>
  <c r="S228" i="47"/>
  <c r="R187" i="47"/>
  <c r="AC271" i="47"/>
  <c r="AC352" i="47"/>
  <c r="T134" i="47"/>
  <c r="T298" i="47"/>
  <c r="O175" i="47"/>
  <c r="X175" i="47"/>
  <c r="R228" i="47"/>
  <c r="Q187" i="47"/>
  <c r="AC333" i="47"/>
  <c r="AC340" i="47"/>
  <c r="T362" i="47"/>
  <c r="T290" i="47"/>
  <c r="AA175" i="47"/>
  <c r="V195" i="47"/>
  <c r="V175" i="47"/>
  <c r="Q228" i="47"/>
  <c r="R156" i="47"/>
  <c r="P187" i="47"/>
  <c r="AC139" i="47"/>
  <c r="AC302" i="47"/>
  <c r="P175" i="47"/>
  <c r="AB228" i="47"/>
  <c r="Q156" i="47"/>
  <c r="AB187" i="47"/>
  <c r="Y220" i="47"/>
  <c r="L220" i="47"/>
  <c r="V255" i="47"/>
  <c r="L255" i="47"/>
  <c r="AB191" i="47"/>
  <c r="P191" i="47"/>
  <c r="Q186" i="47"/>
  <c r="Z166" i="47"/>
  <c r="N166" i="47"/>
  <c r="AC292" i="47"/>
  <c r="AC337" i="47"/>
  <c r="T358" i="47"/>
  <c r="J220" i="47"/>
  <c r="AB220" i="47"/>
  <c r="O220" i="47"/>
  <c r="O255" i="47"/>
  <c r="AA191" i="47"/>
  <c r="M191" i="47"/>
  <c r="O186" i="47"/>
  <c r="Y166" i="47"/>
  <c r="M166" i="47"/>
  <c r="AC373" i="47"/>
  <c r="AC134" i="47"/>
  <c r="T280" i="47"/>
  <c r="T271" i="47"/>
  <c r="X220" i="47"/>
  <c r="N220" i="47"/>
  <c r="AB255" i="47"/>
  <c r="N255" i="47"/>
  <c r="Z191" i="47"/>
  <c r="N191" i="47"/>
  <c r="X166" i="47"/>
  <c r="T411" i="47"/>
  <c r="AC334" i="47"/>
  <c r="T285" i="47"/>
  <c r="T137" i="47"/>
  <c r="Z220" i="47"/>
  <c r="M220" i="47"/>
  <c r="Z255" i="47"/>
  <c r="M255" i="47"/>
  <c r="Y191" i="47"/>
  <c r="L191" i="47"/>
  <c r="V166" i="47"/>
  <c r="AC276" i="47"/>
  <c r="AC411" i="47"/>
  <c r="AC323" i="47"/>
  <c r="AC354" i="47"/>
  <c r="AC280" i="47"/>
  <c r="T128" i="47"/>
  <c r="AA220" i="47"/>
  <c r="X255" i="47"/>
  <c r="X191" i="47"/>
  <c r="L166" i="47"/>
  <c r="AC295" i="47"/>
  <c r="T141" i="47"/>
  <c r="T334" i="47"/>
  <c r="T364" i="47"/>
  <c r="T275" i="47"/>
  <c r="V220" i="47"/>
  <c r="AA255" i="47"/>
  <c r="V191" i="47"/>
  <c r="AA242" i="47"/>
  <c r="AC391" i="47"/>
  <c r="Y242" i="47"/>
  <c r="T323" i="47"/>
  <c r="L242" i="47"/>
  <c r="AC273" i="47"/>
  <c r="Y255" i="47"/>
  <c r="S220" i="47"/>
  <c r="S255" i="47"/>
  <c r="S191" i="47"/>
  <c r="R166" i="47"/>
  <c r="M242" i="47"/>
  <c r="S166" i="47"/>
  <c r="R220" i="47"/>
  <c r="R255" i="47"/>
  <c r="O191" i="47"/>
  <c r="Q166" i="47"/>
  <c r="AC127" i="47"/>
  <c r="T354" i="47"/>
  <c r="T379" i="47"/>
  <c r="T382" i="47"/>
  <c r="T418" i="47"/>
  <c r="T373" i="47"/>
  <c r="T297" i="47"/>
  <c r="T385" i="47"/>
  <c r="T347" i="47"/>
  <c r="T415" i="47"/>
  <c r="P255" i="47"/>
  <c r="R191" i="47"/>
  <c r="AB166" i="47"/>
  <c r="P166" i="47"/>
  <c r="J202" i="47"/>
  <c r="J216" i="47"/>
  <c r="J204" i="47"/>
  <c r="Q157" i="47"/>
  <c r="X241" i="47"/>
  <c r="Q173" i="47"/>
  <c r="AB186" i="47"/>
  <c r="P186" i="47"/>
  <c r="Q254" i="47"/>
  <c r="R250" i="47"/>
  <c r="P185" i="47"/>
  <c r="Z165" i="47"/>
  <c r="M165" i="47"/>
  <c r="AB159" i="47"/>
  <c r="M159" i="47"/>
  <c r="Q205" i="47"/>
  <c r="Z178" i="47"/>
  <c r="N178" i="47"/>
  <c r="AB177" i="47"/>
  <c r="M177" i="47"/>
  <c r="R231" i="47"/>
  <c r="Z242" i="47"/>
  <c r="N242" i="47"/>
  <c r="Q235" i="47"/>
  <c r="Z161" i="47"/>
  <c r="M161" i="47"/>
  <c r="Z259" i="47"/>
  <c r="N259" i="47"/>
  <c r="R172" i="47"/>
  <c r="AC385" i="47"/>
  <c r="AC297" i="47"/>
  <c r="AC393" i="47"/>
  <c r="J165" i="47"/>
  <c r="J153" i="47"/>
  <c r="J157" i="47"/>
  <c r="J254" i="47"/>
  <c r="J178" i="47"/>
  <c r="J177" i="47"/>
  <c r="J195" i="47"/>
  <c r="J235" i="47"/>
  <c r="J236" i="47"/>
  <c r="J146" i="47"/>
  <c r="J176" i="47"/>
  <c r="J198" i="47"/>
  <c r="S195" i="47"/>
  <c r="S168" i="47"/>
  <c r="AB157" i="47"/>
  <c r="P157" i="47"/>
  <c r="AB173" i="47"/>
  <c r="O173" i="47"/>
  <c r="Z186" i="47"/>
  <c r="M186" i="47"/>
  <c r="AB254" i="47"/>
  <c r="O254" i="47"/>
  <c r="AA250" i="47"/>
  <c r="O250" i="47"/>
  <c r="V185" i="47"/>
  <c r="O185" i="47"/>
  <c r="X165" i="47"/>
  <c r="X159" i="47"/>
  <c r="X205" i="47"/>
  <c r="P205" i="47"/>
  <c r="X178" i="47"/>
  <c r="X177" i="47"/>
  <c r="AA231" i="47"/>
  <c r="O231" i="47"/>
  <c r="X242" i="47"/>
  <c r="AB235" i="47"/>
  <c r="O235" i="47"/>
  <c r="X161" i="47"/>
  <c r="S153" i="47"/>
  <c r="X259" i="47"/>
  <c r="AA172" i="47"/>
  <c r="O172" i="47"/>
  <c r="AC415" i="47"/>
  <c r="AC358" i="47"/>
  <c r="J159" i="47"/>
  <c r="J186" i="47"/>
  <c r="J250" i="47"/>
  <c r="J242" i="47"/>
  <c r="J161" i="47"/>
  <c r="J168" i="47"/>
  <c r="J172" i="47"/>
  <c r="J205" i="47"/>
  <c r="Y186" i="47"/>
  <c r="AA254" i="47"/>
  <c r="Y159" i="47"/>
  <c r="V242" i="47"/>
  <c r="J232" i="47"/>
  <c r="AA192" i="47"/>
  <c r="N222" i="47"/>
  <c r="J261" i="47"/>
  <c r="R195" i="47"/>
  <c r="Q168" i="47"/>
  <c r="R167" i="47"/>
  <c r="Z157" i="47"/>
  <c r="N157" i="47"/>
  <c r="Q241" i="47"/>
  <c r="Z173" i="47"/>
  <c r="M173" i="47"/>
  <c r="X186" i="47"/>
  <c r="Z254" i="47"/>
  <c r="M254" i="47"/>
  <c r="Z250" i="47"/>
  <c r="M250" i="47"/>
  <c r="AB185" i="47"/>
  <c r="M185" i="47"/>
  <c r="S205" i="47"/>
  <c r="M205" i="47"/>
  <c r="Z231" i="47"/>
  <c r="M231" i="47"/>
  <c r="Z235" i="47"/>
  <c r="M235" i="47"/>
  <c r="Q153" i="47"/>
  <c r="O259" i="47"/>
  <c r="Z172" i="47"/>
  <c r="M172" i="47"/>
  <c r="AC371" i="47"/>
  <c r="AC382" i="47"/>
  <c r="J241" i="47"/>
  <c r="J185" i="47"/>
  <c r="J259" i="47"/>
  <c r="J173" i="47"/>
  <c r="J167" i="47"/>
  <c r="J231" i="47"/>
  <c r="J201" i="47"/>
  <c r="N254" i="47"/>
  <c r="N262" i="47"/>
  <c r="J221" i="47"/>
  <c r="Q195" i="47"/>
  <c r="P168" i="47"/>
  <c r="P167" i="47"/>
  <c r="Y157" i="47"/>
  <c r="L157" i="47"/>
  <c r="P241" i="47"/>
  <c r="Y173" i="47"/>
  <c r="L173" i="47"/>
  <c r="V186" i="47"/>
  <c r="Y254" i="47"/>
  <c r="L254" i="47"/>
  <c r="P250" i="47"/>
  <c r="L250" i="47"/>
  <c r="Z185" i="47"/>
  <c r="L185" i="47"/>
  <c r="AB205" i="47"/>
  <c r="L205" i="47"/>
  <c r="S177" i="47"/>
  <c r="Y231" i="47"/>
  <c r="L231" i="47"/>
  <c r="Y235" i="47"/>
  <c r="L235" i="47"/>
  <c r="P153" i="47"/>
  <c r="P172" i="47"/>
  <c r="L172" i="47"/>
  <c r="AC298" i="47"/>
  <c r="AC364" i="47"/>
  <c r="AC275" i="47"/>
  <c r="J209" i="47"/>
  <c r="AB250" i="47"/>
  <c r="V165" i="47"/>
  <c r="V178" i="47"/>
  <c r="AC409" i="47"/>
  <c r="J214" i="47"/>
  <c r="P150" i="47"/>
  <c r="V174" i="47"/>
  <c r="J230" i="47"/>
  <c r="J211" i="47"/>
  <c r="AB195" i="47"/>
  <c r="P195" i="47"/>
  <c r="AB168" i="47"/>
  <c r="O168" i="47"/>
  <c r="Z167" i="47"/>
  <c r="O167" i="47"/>
  <c r="X157" i="47"/>
  <c r="AA241" i="47"/>
  <c r="O241" i="47"/>
  <c r="X173" i="47"/>
  <c r="N186" i="47"/>
  <c r="X254" i="47"/>
  <c r="Y250" i="47"/>
  <c r="S165" i="47"/>
  <c r="S159" i="47"/>
  <c r="AA205" i="47"/>
  <c r="S178" i="47"/>
  <c r="X231" i="47"/>
  <c r="S242" i="47"/>
  <c r="X235" i="47"/>
  <c r="S161" i="47"/>
  <c r="AB153" i="47"/>
  <c r="O153" i="47"/>
  <c r="Y172" i="47"/>
  <c r="AC285" i="47"/>
  <c r="AC407" i="47"/>
  <c r="Q233" i="47"/>
  <c r="J213" i="47"/>
  <c r="N250" i="47"/>
  <c r="V161" i="47"/>
  <c r="X250" i="47"/>
  <c r="AA185" i="47"/>
  <c r="P165" i="47"/>
  <c r="V205" i="47"/>
  <c r="R178" i="47"/>
  <c r="Q177" i="47"/>
  <c r="V231" i="47"/>
  <c r="R242" i="47"/>
  <c r="V235" i="47"/>
  <c r="R161" i="47"/>
  <c r="AA153" i="47"/>
  <c r="L153" i="47"/>
  <c r="S259" i="47"/>
  <c r="X172" i="47"/>
  <c r="AC403" i="47"/>
  <c r="AC400" i="47"/>
  <c r="N253" i="47"/>
  <c r="S225" i="47"/>
  <c r="O157" i="47"/>
  <c r="AC379" i="47"/>
  <c r="AA195" i="47"/>
  <c r="Z241" i="47"/>
  <c r="V173" i="47"/>
  <c r="R159" i="47"/>
  <c r="J223" i="47"/>
  <c r="L147" i="47"/>
  <c r="J226" i="47"/>
  <c r="Z195" i="47"/>
  <c r="N195" i="47"/>
  <c r="Z168" i="47"/>
  <c r="M168" i="47"/>
  <c r="AB167" i="47"/>
  <c r="M167" i="47"/>
  <c r="AB241" i="47"/>
  <c r="M241" i="47"/>
  <c r="V250" i="47"/>
  <c r="Y185" i="47"/>
  <c r="R165" i="47"/>
  <c r="Q159" i="47"/>
  <c r="Z156" i="47"/>
  <c r="M156" i="47"/>
  <c r="Z205" i="47"/>
  <c r="Q178" i="47"/>
  <c r="R177" i="47"/>
  <c r="Q242" i="47"/>
  <c r="Q161" i="47"/>
  <c r="Z153" i="47"/>
  <c r="N153" i="47"/>
  <c r="R259" i="47"/>
  <c r="V172" i="47"/>
  <c r="AC289" i="47"/>
  <c r="J156" i="47"/>
  <c r="AA157" i="47"/>
  <c r="L186" i="47"/>
  <c r="R153" i="47"/>
  <c r="J164" i="47"/>
  <c r="J199" i="47"/>
  <c r="N168" i="47"/>
  <c r="N167" i="47"/>
  <c r="N241" i="47"/>
  <c r="J179" i="47"/>
  <c r="L195" i="47"/>
  <c r="Y168" i="47"/>
  <c r="AA167" i="47"/>
  <c r="L167" i="47"/>
  <c r="Y241" i="47"/>
  <c r="L241" i="47"/>
  <c r="S186" i="47"/>
  <c r="Q165" i="47"/>
  <c r="P159" i="47"/>
  <c r="L178" i="47"/>
  <c r="P177" i="47"/>
  <c r="P242" i="47"/>
  <c r="P161" i="47"/>
  <c r="Y153" i="47"/>
  <c r="M153" i="47"/>
  <c r="Q259" i="47"/>
  <c r="AC386" i="47"/>
  <c r="J227" i="47"/>
  <c r="J182" i="47"/>
  <c r="AC414" i="47"/>
  <c r="AC418" i="47"/>
  <c r="J184" i="47"/>
  <c r="M195" i="47"/>
  <c r="AA168" i="47"/>
  <c r="Y167" i="47"/>
  <c r="V157" i="47"/>
  <c r="V254" i="47"/>
  <c r="J194" i="47"/>
  <c r="J152" i="47"/>
  <c r="J212" i="47"/>
  <c r="Y195" i="47"/>
  <c r="L168" i="47"/>
  <c r="V256" i="47"/>
  <c r="P246" i="47"/>
  <c r="J149" i="47"/>
  <c r="J239" i="47"/>
  <c r="AA165" i="47"/>
  <c r="Z159" i="47"/>
  <c r="AB178" i="47"/>
  <c r="Z177" i="47"/>
  <c r="AB242" i="47"/>
  <c r="AB161" i="47"/>
  <c r="AA259" i="47"/>
  <c r="AC374" i="47"/>
  <c r="AC128" i="47"/>
  <c r="AC362" i="47"/>
  <c r="J219" i="47"/>
  <c r="J247" i="47"/>
  <c r="J245" i="47"/>
  <c r="L190" i="47"/>
  <c r="U217" i="47"/>
  <c r="AC217" i="47" s="1"/>
  <c r="U235" i="47"/>
  <c r="U161" i="47"/>
  <c r="U215" i="47"/>
  <c r="AC215" i="47" s="1"/>
  <c r="U264" i="47"/>
  <c r="AC264" i="47" s="1"/>
  <c r="T155" i="47"/>
  <c r="U248" i="47"/>
  <c r="AC248" i="47" s="1"/>
  <c r="U170" i="47"/>
  <c r="AC170" i="47" s="1"/>
  <c r="U187" i="47"/>
  <c r="U157" i="47"/>
  <c r="U180" i="47"/>
  <c r="AC180" i="47" s="1"/>
  <c r="U156" i="47"/>
  <c r="U154" i="47"/>
  <c r="AC154" i="47" s="1"/>
  <c r="AE356" i="47"/>
  <c r="AE369" i="47"/>
  <c r="AE343" i="47"/>
  <c r="AE283" i="47"/>
  <c r="AE419" i="47"/>
  <c r="AE287" i="47"/>
  <c r="AE398" i="47"/>
  <c r="AE383" i="47"/>
  <c r="U168" i="47"/>
  <c r="U249" i="47"/>
  <c r="AC249" i="47" s="1"/>
  <c r="U196" i="47"/>
  <c r="AC196" i="47" s="1"/>
  <c r="U188" i="47"/>
  <c r="AC188" i="47" s="1"/>
  <c r="U191" i="47"/>
  <c r="U241" i="47"/>
  <c r="U169" i="47"/>
  <c r="AC169" i="47" s="1"/>
  <c r="U165" i="47"/>
  <c r="AC190" i="47"/>
  <c r="AE325" i="47"/>
  <c r="U195" i="47"/>
  <c r="U163" i="47"/>
  <c r="AC163" i="47" s="1"/>
  <c r="U193" i="47"/>
  <c r="AC193" i="47" s="1"/>
  <c r="U263" i="47"/>
  <c r="AC263" i="47" s="1"/>
  <c r="T207" i="47"/>
  <c r="AE312" i="47"/>
  <c r="U178" i="47"/>
  <c r="U151" i="47"/>
  <c r="AC151" i="47" s="1"/>
  <c r="T234" i="47"/>
  <c r="U173" i="47"/>
  <c r="U254" i="47"/>
  <c r="U200" i="47"/>
  <c r="AC200" i="47" s="1"/>
  <c r="AE314" i="47"/>
  <c r="AE380" i="47"/>
  <c r="U220" i="47"/>
  <c r="U171" i="47"/>
  <c r="AC171" i="47" s="1"/>
  <c r="AE381" i="47"/>
  <c r="AE365" i="47"/>
  <c r="U183" i="47"/>
  <c r="AC183" i="47" s="1"/>
  <c r="U210" i="47"/>
  <c r="AC210" i="47" s="1"/>
  <c r="AE317" i="47"/>
  <c r="AE286" i="47"/>
  <c r="U206" i="47"/>
  <c r="AC206" i="47" s="1"/>
  <c r="U231" i="47"/>
  <c r="AE313" i="47"/>
  <c r="U158" i="47"/>
  <c r="AC158" i="47" s="1"/>
  <c r="U260" i="47"/>
  <c r="AC260" i="47" s="1"/>
  <c r="U238" i="47"/>
  <c r="AC238" i="47" s="1"/>
  <c r="U162" i="47"/>
  <c r="AC162" i="47" s="1"/>
  <c r="U243" i="47"/>
  <c r="AC243" i="47" s="1"/>
  <c r="U218" i="47"/>
  <c r="AC218" i="47" s="1"/>
  <c r="AE335" i="47"/>
  <c r="AE344" i="47"/>
  <c r="AE328" i="47"/>
  <c r="U237" i="47"/>
  <c r="AC237" i="47" s="1"/>
  <c r="U160" i="47"/>
  <c r="AC160" i="47" s="1"/>
  <c r="U363" i="47"/>
  <c r="AC363" i="47" s="1"/>
  <c r="U242" i="47"/>
  <c r="U185" i="47"/>
  <c r="U208" i="47"/>
  <c r="AC208" i="47" s="1"/>
  <c r="U189" i="47"/>
  <c r="AC189" i="47" s="1"/>
  <c r="U172" i="47"/>
  <c r="U167" i="47"/>
  <c r="T148" i="47"/>
  <c r="T244" i="47"/>
  <c r="U250" i="47"/>
  <c r="U228" i="47"/>
  <c r="U252" i="47"/>
  <c r="AC252" i="47" s="1"/>
  <c r="U259" i="47"/>
  <c r="U255" i="47"/>
  <c r="T258" i="47"/>
  <c r="U240" i="47"/>
  <c r="AC240" i="47" s="1"/>
  <c r="U177" i="47"/>
  <c r="U224" i="47"/>
  <c r="AC224" i="47" s="1"/>
  <c r="U265" i="47"/>
  <c r="AC265" i="47" s="1"/>
  <c r="T370" i="47"/>
  <c r="U175" i="47"/>
  <c r="T229" i="47"/>
  <c r="U205" i="47"/>
  <c r="U181" i="47"/>
  <c r="AC181" i="47" s="1"/>
  <c r="U251" i="47"/>
  <c r="AC251" i="47" s="1"/>
  <c r="U166" i="47"/>
  <c r="U257" i="47"/>
  <c r="AC257" i="47" s="1"/>
  <c r="AE281" i="47"/>
  <c r="AE402" i="47"/>
  <c r="AE332" i="47"/>
  <c r="AE366" i="47"/>
  <c r="AE299" i="47"/>
  <c r="AE399" i="47"/>
  <c r="AE378" i="47"/>
  <c r="AE140" i="47"/>
  <c r="AE304" i="47"/>
  <c r="AE315" i="47"/>
  <c r="AE282" i="47"/>
  <c r="AE413" i="47"/>
  <c r="AE389" i="47"/>
  <c r="AE331" i="47"/>
  <c r="AE404" i="47"/>
  <c r="AE341" i="47"/>
  <c r="AE293" i="47"/>
  <c r="AE384" i="47"/>
  <c r="AE417" i="47"/>
  <c r="AE368" i="47"/>
  <c r="AE336" i="47"/>
  <c r="AE390" i="47"/>
  <c r="AE320" i="47"/>
  <c r="AE349" i="47"/>
  <c r="AE266" i="47"/>
  <c r="AE129" i="47"/>
  <c r="AE269" i="47"/>
  <c r="AE318" i="47"/>
  <c r="AE300" i="47"/>
  <c r="AE301" i="47"/>
  <c r="AE405" i="47"/>
  <c r="AE342" i="47"/>
  <c r="AE395" i="47"/>
  <c r="AE330" i="47"/>
  <c r="AE359" i="47"/>
  <c r="AE360" i="47"/>
  <c r="AE316" i="47"/>
  <c r="AE351" i="47"/>
  <c r="AE306" i="47"/>
  <c r="AE346" i="47"/>
  <c r="AE296" i="47"/>
  <c r="AE309" i="47"/>
  <c r="AE375" i="47"/>
  <c r="AE412" i="47"/>
  <c r="AE133" i="47"/>
  <c r="AE338" i="47"/>
  <c r="AE291" i="47"/>
  <c r="AE142" i="47"/>
  <c r="AE401" i="47"/>
  <c r="AE396" i="47"/>
  <c r="AE303" i="47"/>
  <c r="AE377" i="47"/>
  <c r="AE387" i="47"/>
  <c r="AE305" i="47"/>
  <c r="AE376" i="47"/>
  <c r="AE350" i="47"/>
  <c r="AE136" i="47"/>
  <c r="AE132" i="47"/>
  <c r="AE345" i="47"/>
  <c r="AE272" i="47"/>
  <c r="AE322" i="47"/>
  <c r="AE278" i="47"/>
  <c r="AE321" i="47"/>
  <c r="AE319" i="47"/>
  <c r="AE367" i="47"/>
  <c r="AE131" i="47"/>
  <c r="AE394" i="47"/>
  <c r="AE268" i="47"/>
  <c r="AE420" i="47"/>
  <c r="AE135" i="47"/>
  <c r="AE270" i="47"/>
  <c r="AE406" i="47"/>
  <c r="AE145" i="47"/>
  <c r="AE361" i="47"/>
  <c r="AE310" i="47"/>
  <c r="AE143" i="47"/>
  <c r="AE339" i="47"/>
  <c r="AE329" i="47"/>
  <c r="AE284" i="47"/>
  <c r="AE277" i="47"/>
  <c r="AE144" i="47"/>
  <c r="AE388" i="47"/>
  <c r="AE279" i="47"/>
  <c r="AE372" i="47"/>
  <c r="AE324" i="47"/>
  <c r="V593" i="47"/>
  <c r="Z593" i="47"/>
  <c r="AA593" i="47"/>
  <c r="AC370" i="47"/>
  <c r="T363" i="47"/>
  <c r="T154" i="47"/>
  <c r="T218" i="47"/>
  <c r="N593" i="47"/>
  <c r="P593" i="47"/>
  <c r="R593" i="47"/>
  <c r="Y593" i="47"/>
  <c r="L593" i="47"/>
  <c r="M593" i="47"/>
  <c r="O593" i="47"/>
  <c r="Q593" i="47"/>
  <c r="S593" i="47"/>
  <c r="X593" i="47"/>
  <c r="L232" i="47"/>
  <c r="M232" i="47"/>
  <c r="N232" i="47"/>
  <c r="O232" i="47"/>
  <c r="P232" i="47"/>
  <c r="Q232" i="47"/>
  <c r="R232" i="47"/>
  <c r="S232" i="47"/>
  <c r="V232" i="47"/>
  <c r="X232" i="47"/>
  <c r="Y232" i="47"/>
  <c r="Z232" i="47"/>
  <c r="AA232" i="47"/>
  <c r="AB232" i="47"/>
  <c r="M202" i="47"/>
  <c r="L202" i="47"/>
  <c r="N202" i="47"/>
  <c r="O202" i="47"/>
  <c r="P202" i="47"/>
  <c r="Q202" i="47"/>
  <c r="R202" i="47"/>
  <c r="S202" i="47"/>
  <c r="V202" i="47"/>
  <c r="X202" i="47"/>
  <c r="Y202" i="47"/>
  <c r="Z202" i="47"/>
  <c r="AA202" i="47"/>
  <c r="AB202" i="47"/>
  <c r="L216" i="47"/>
  <c r="N216" i="47"/>
  <c r="P216" i="47"/>
  <c r="Q216" i="47"/>
  <c r="M216" i="47"/>
  <c r="O216" i="47"/>
  <c r="R216" i="47"/>
  <c r="S216" i="47"/>
  <c r="V216" i="47"/>
  <c r="X216" i="47"/>
  <c r="Y216" i="47"/>
  <c r="Z216" i="47"/>
  <c r="AA216" i="47"/>
  <c r="AB216" i="47"/>
  <c r="L222" i="47"/>
  <c r="S222" i="47"/>
  <c r="M226" i="47"/>
  <c r="L226" i="47"/>
  <c r="N226" i="47"/>
  <c r="O226" i="47"/>
  <c r="Q226" i="47"/>
  <c r="P226" i="47"/>
  <c r="R226" i="47"/>
  <c r="S226" i="47"/>
  <c r="Y226" i="47"/>
  <c r="AA226" i="47"/>
  <c r="Z226" i="47"/>
  <c r="AB226" i="47"/>
  <c r="X226" i="47"/>
  <c r="V226" i="47"/>
  <c r="T163" i="47"/>
  <c r="T171" i="47"/>
  <c r="L214" i="47"/>
  <c r="M214" i="47"/>
  <c r="O214" i="47"/>
  <c r="P214" i="47"/>
  <c r="Q214" i="47"/>
  <c r="R214" i="47"/>
  <c r="S214" i="47"/>
  <c r="V214" i="47"/>
  <c r="X214" i="47"/>
  <c r="Y214" i="47"/>
  <c r="Z214" i="47"/>
  <c r="N214" i="47"/>
  <c r="AA214" i="47"/>
  <c r="AB214" i="47"/>
  <c r="L194" i="47"/>
  <c r="M194" i="47"/>
  <c r="N194" i="47"/>
  <c r="O194" i="47"/>
  <c r="P194" i="47"/>
  <c r="Q194" i="47"/>
  <c r="R194" i="47"/>
  <c r="S194" i="47"/>
  <c r="V194" i="47"/>
  <c r="X194" i="47"/>
  <c r="Y194" i="47"/>
  <c r="Z194" i="47"/>
  <c r="AA194" i="47"/>
  <c r="AB194" i="47"/>
  <c r="R225" i="47"/>
  <c r="O262" i="47"/>
  <c r="AA262" i="47"/>
  <c r="L179" i="47"/>
  <c r="M179" i="47"/>
  <c r="N179" i="47"/>
  <c r="O179" i="47"/>
  <c r="P179" i="47"/>
  <c r="Q179" i="47"/>
  <c r="R179" i="47"/>
  <c r="S179" i="47"/>
  <c r="V179" i="47"/>
  <c r="X179" i="47"/>
  <c r="Y179" i="47"/>
  <c r="Z179" i="47"/>
  <c r="AA179" i="47"/>
  <c r="AB179" i="47"/>
  <c r="L213" i="47"/>
  <c r="M213" i="47"/>
  <c r="O213" i="47"/>
  <c r="P213" i="47"/>
  <c r="N213" i="47"/>
  <c r="Q213" i="47"/>
  <c r="R213" i="47"/>
  <c r="S213" i="47"/>
  <c r="V213" i="47"/>
  <c r="X213" i="47"/>
  <c r="Y213" i="47"/>
  <c r="Z213" i="47"/>
  <c r="AA213" i="47"/>
  <c r="AB213" i="47"/>
  <c r="L150" i="47"/>
  <c r="M150" i="47"/>
  <c r="N150" i="47"/>
  <c r="O150" i="47"/>
  <c r="Y150" i="47"/>
  <c r="Z150" i="47"/>
  <c r="AA150" i="47"/>
  <c r="AB150" i="47"/>
  <c r="L152" i="47"/>
  <c r="M152" i="47"/>
  <c r="N152" i="47"/>
  <c r="O152" i="47"/>
  <c r="P152" i="47"/>
  <c r="Q152" i="47"/>
  <c r="R152" i="47"/>
  <c r="S152" i="47"/>
  <c r="V152" i="47"/>
  <c r="X152" i="47"/>
  <c r="Y152" i="47"/>
  <c r="Z152" i="47"/>
  <c r="AA152" i="47"/>
  <c r="AB152" i="47"/>
  <c r="L227" i="47"/>
  <c r="M227" i="47"/>
  <c r="N227" i="47"/>
  <c r="O227" i="47"/>
  <c r="P227" i="47"/>
  <c r="Q227" i="47"/>
  <c r="R227" i="47"/>
  <c r="S227" i="47"/>
  <c r="V227" i="47"/>
  <c r="X227" i="47"/>
  <c r="Y227" i="47"/>
  <c r="Z227" i="47"/>
  <c r="AA227" i="47"/>
  <c r="AB227" i="47"/>
  <c r="L221" i="47"/>
  <c r="M221" i="47"/>
  <c r="N221" i="47"/>
  <c r="O221" i="47"/>
  <c r="P221" i="47"/>
  <c r="R221" i="47"/>
  <c r="S221" i="47"/>
  <c r="Q221" i="47"/>
  <c r="V221" i="47"/>
  <c r="X221" i="47"/>
  <c r="Y221" i="47"/>
  <c r="Z221" i="47"/>
  <c r="AA221" i="47"/>
  <c r="AB221" i="47"/>
  <c r="L212" i="47"/>
  <c r="M212" i="47"/>
  <c r="N212" i="47"/>
  <c r="O212" i="47"/>
  <c r="Q212" i="47"/>
  <c r="R212" i="47"/>
  <c r="S212" i="47"/>
  <c r="P212" i="47"/>
  <c r="V212" i="47"/>
  <c r="X212" i="47"/>
  <c r="Y212" i="47"/>
  <c r="Z212" i="47"/>
  <c r="AB212" i="47"/>
  <c r="AA212" i="47"/>
  <c r="T237" i="47"/>
  <c r="T158" i="47"/>
  <c r="T263" i="47"/>
  <c r="T249" i="47"/>
  <c r="T208" i="47"/>
  <c r="T189" i="47"/>
  <c r="T206" i="47"/>
  <c r="T210" i="47"/>
  <c r="T265" i="47"/>
  <c r="M147" i="47"/>
  <c r="V147" i="47"/>
  <c r="X147" i="47"/>
  <c r="R197" i="47"/>
  <c r="L261" i="47"/>
  <c r="M261" i="47"/>
  <c r="N261" i="47"/>
  <c r="O261" i="47"/>
  <c r="P261" i="47"/>
  <c r="Q261" i="47"/>
  <c r="R261" i="47"/>
  <c r="S261" i="47"/>
  <c r="V261" i="47"/>
  <c r="X261" i="47"/>
  <c r="Y261" i="47"/>
  <c r="Z261" i="47"/>
  <c r="AA261" i="47"/>
  <c r="AB261" i="47"/>
  <c r="Y174" i="47"/>
  <c r="L146" i="47"/>
  <c r="M146" i="47"/>
  <c r="N146" i="47"/>
  <c r="O146" i="47"/>
  <c r="P146" i="47"/>
  <c r="Q146" i="47"/>
  <c r="S146" i="47"/>
  <c r="R146" i="47"/>
  <c r="X146" i="47"/>
  <c r="V146" i="47"/>
  <c r="Y146" i="47"/>
  <c r="AA146" i="47"/>
  <c r="AB146" i="47"/>
  <c r="Z146" i="47"/>
  <c r="N246" i="47"/>
  <c r="AB246" i="47"/>
  <c r="M176" i="47"/>
  <c r="N176" i="47"/>
  <c r="O176" i="47"/>
  <c r="P176" i="47"/>
  <c r="Q176" i="47"/>
  <c r="R176" i="47"/>
  <c r="S176" i="47"/>
  <c r="L176" i="47"/>
  <c r="V176" i="47"/>
  <c r="X176" i="47"/>
  <c r="Y176" i="47"/>
  <c r="Z176" i="47"/>
  <c r="AA176" i="47"/>
  <c r="AB176" i="47"/>
  <c r="L247" i="47"/>
  <c r="M247" i="47"/>
  <c r="N247" i="47"/>
  <c r="O247" i="47"/>
  <c r="P247" i="47"/>
  <c r="Q247" i="47"/>
  <c r="R247" i="47"/>
  <c r="S247" i="47"/>
  <c r="V247" i="47"/>
  <c r="X247" i="47"/>
  <c r="Y247" i="47"/>
  <c r="Z247" i="47"/>
  <c r="AA247" i="47"/>
  <c r="AB247" i="47"/>
  <c r="M149" i="47"/>
  <c r="N149" i="47"/>
  <c r="O149" i="47"/>
  <c r="L149" i="47"/>
  <c r="P149" i="47"/>
  <c r="Q149" i="47"/>
  <c r="R149" i="47"/>
  <c r="S149" i="47"/>
  <c r="Z149" i="47"/>
  <c r="V149" i="47"/>
  <c r="AB149" i="47"/>
  <c r="Y149" i="47"/>
  <c r="X149" i="47"/>
  <c r="AA149" i="47"/>
  <c r="L198" i="47"/>
  <c r="M198" i="47"/>
  <c r="N198" i="47"/>
  <c r="O198" i="47"/>
  <c r="P198" i="47"/>
  <c r="Q198" i="47"/>
  <c r="R198" i="47"/>
  <c r="S198" i="47"/>
  <c r="V198" i="47"/>
  <c r="X198" i="47"/>
  <c r="Y198" i="47"/>
  <c r="Z198" i="47"/>
  <c r="AA198" i="47"/>
  <c r="AB198" i="47"/>
  <c r="L211" i="47"/>
  <c r="M211" i="47"/>
  <c r="N211" i="47"/>
  <c r="P211" i="47"/>
  <c r="O211" i="47"/>
  <c r="Q211" i="47"/>
  <c r="R211" i="47"/>
  <c r="S211" i="47"/>
  <c r="X211" i="47"/>
  <c r="Z211" i="47"/>
  <c r="V211" i="47"/>
  <c r="Y211" i="47"/>
  <c r="AA211" i="47"/>
  <c r="AB211" i="47"/>
  <c r="L239" i="47"/>
  <c r="M239" i="47"/>
  <c r="N239" i="47"/>
  <c r="O239" i="47"/>
  <c r="Q239" i="47"/>
  <c r="R239" i="47"/>
  <c r="S239" i="47"/>
  <c r="P239" i="47"/>
  <c r="V239" i="47"/>
  <c r="X239" i="47"/>
  <c r="Y239" i="47"/>
  <c r="Z239" i="47"/>
  <c r="AA239" i="47"/>
  <c r="AB239" i="47"/>
  <c r="L130" i="47"/>
  <c r="M130" i="47"/>
  <c r="N130" i="47"/>
  <c r="O130" i="47"/>
  <c r="P130" i="47"/>
  <c r="Q130" i="47"/>
  <c r="R130" i="47"/>
  <c r="S130" i="47"/>
  <c r="V130" i="47"/>
  <c r="X130" i="47"/>
  <c r="Y130" i="47"/>
  <c r="Z130" i="47"/>
  <c r="AA130" i="47"/>
  <c r="AB130" i="47"/>
  <c r="T169" i="47"/>
  <c r="T238" i="47"/>
  <c r="T251" i="47"/>
  <c r="T257" i="47"/>
  <c r="T217" i="47"/>
  <c r="T162" i="47"/>
  <c r="T215" i="47"/>
  <c r="T243" i="47"/>
  <c r="T248" i="47"/>
  <c r="T181" i="47"/>
  <c r="L223" i="47"/>
  <c r="M223" i="47"/>
  <c r="O223" i="47"/>
  <c r="P223" i="47"/>
  <c r="Q223" i="47"/>
  <c r="R223" i="47"/>
  <c r="N223" i="47"/>
  <c r="S223" i="47"/>
  <c r="V223" i="47"/>
  <c r="X223" i="47"/>
  <c r="Y223" i="47"/>
  <c r="Z223" i="47"/>
  <c r="AA223" i="47"/>
  <c r="AB223" i="47"/>
  <c r="S192" i="47"/>
  <c r="V192" i="47"/>
  <c r="L204" i="47"/>
  <c r="N204" i="47"/>
  <c r="O204" i="47"/>
  <c r="P204" i="47"/>
  <c r="M204" i="47"/>
  <c r="Q204" i="47"/>
  <c r="R204" i="47"/>
  <c r="S204" i="47"/>
  <c r="V204" i="47"/>
  <c r="X204" i="47"/>
  <c r="Y204" i="47"/>
  <c r="Z204" i="47"/>
  <c r="AA204" i="47"/>
  <c r="AB204" i="47"/>
  <c r="T151" i="47"/>
  <c r="L236" i="47"/>
  <c r="N236" i="47"/>
  <c r="M236" i="47"/>
  <c r="P236" i="47"/>
  <c r="Q236" i="47"/>
  <c r="R236" i="47"/>
  <c r="O236" i="47"/>
  <c r="S236" i="47"/>
  <c r="V236" i="47"/>
  <c r="X236" i="47"/>
  <c r="Y236" i="47"/>
  <c r="Z236" i="47"/>
  <c r="AA236" i="47"/>
  <c r="AB236" i="47"/>
  <c r="S256" i="47"/>
  <c r="L219" i="47"/>
  <c r="M219" i="47"/>
  <c r="N219" i="47"/>
  <c r="O219" i="47"/>
  <c r="P219" i="47"/>
  <c r="Q219" i="47"/>
  <c r="R219" i="47"/>
  <c r="S219" i="47"/>
  <c r="V219" i="47"/>
  <c r="X219" i="47"/>
  <c r="Y219" i="47"/>
  <c r="Z219" i="47"/>
  <c r="AA219" i="47"/>
  <c r="AB219" i="47"/>
  <c r="L245" i="47"/>
  <c r="M245" i="47"/>
  <c r="N245" i="47"/>
  <c r="P245" i="47"/>
  <c r="Q245" i="47"/>
  <c r="R245" i="47"/>
  <c r="S245" i="47"/>
  <c r="O245" i="47"/>
  <c r="V245" i="47"/>
  <c r="X245" i="47"/>
  <c r="Y245" i="47"/>
  <c r="Z245" i="47"/>
  <c r="AA245" i="47"/>
  <c r="AB245" i="47"/>
  <c r="N233" i="47"/>
  <c r="O233" i="47"/>
  <c r="P233" i="47"/>
  <c r="AA233" i="47"/>
  <c r="AB233" i="47"/>
  <c r="M209" i="47"/>
  <c r="L209" i="47"/>
  <c r="O209" i="47"/>
  <c r="N209" i="47"/>
  <c r="P209" i="47"/>
  <c r="Q209" i="47"/>
  <c r="R209" i="47"/>
  <c r="S209" i="47"/>
  <c r="V209" i="47"/>
  <c r="X209" i="47"/>
  <c r="Y209" i="47"/>
  <c r="Z209" i="47"/>
  <c r="AA209" i="47"/>
  <c r="AB209" i="47"/>
  <c r="O164" i="47"/>
  <c r="AB164" i="47"/>
  <c r="S203" i="47"/>
  <c r="M182" i="47"/>
  <c r="N182" i="47"/>
  <c r="O182" i="47"/>
  <c r="L182" i="47"/>
  <c r="Q182" i="47"/>
  <c r="P182" i="47"/>
  <c r="R182" i="47"/>
  <c r="S182" i="47"/>
  <c r="Y182" i="47"/>
  <c r="X182" i="47"/>
  <c r="Z182" i="47"/>
  <c r="AA182" i="47"/>
  <c r="AB182" i="47"/>
  <c r="V182" i="47"/>
  <c r="M184" i="47"/>
  <c r="N184" i="47"/>
  <c r="O184" i="47"/>
  <c r="L184" i="47"/>
  <c r="Q184" i="47"/>
  <c r="P184" i="47"/>
  <c r="R184" i="47"/>
  <c r="S184" i="47"/>
  <c r="Y184" i="47"/>
  <c r="AA184" i="47"/>
  <c r="X184" i="47"/>
  <c r="Z184" i="47"/>
  <c r="AB184" i="47"/>
  <c r="V184" i="47"/>
  <c r="M253" i="47"/>
  <c r="O253" i="47"/>
  <c r="P253" i="47"/>
  <c r="Q253" i="47"/>
  <c r="Z253" i="47"/>
  <c r="AA253" i="47"/>
  <c r="AB253" i="47"/>
  <c r="S201" i="47"/>
  <c r="L199" i="47"/>
  <c r="M199" i="47"/>
  <c r="N199" i="47"/>
  <c r="O199" i="47"/>
  <c r="P199" i="47"/>
  <c r="Q199" i="47"/>
  <c r="R199" i="47"/>
  <c r="S199" i="47"/>
  <c r="V199" i="47"/>
  <c r="X199" i="47"/>
  <c r="Y199" i="47"/>
  <c r="Z199" i="47"/>
  <c r="AA199" i="47"/>
  <c r="AB199" i="47"/>
  <c r="T188" i="47"/>
  <c r="T193" i="47"/>
  <c r="T183" i="47"/>
  <c r="T196" i="47"/>
  <c r="T180" i="47"/>
  <c r="T260" i="47"/>
  <c r="T240" i="47"/>
  <c r="T160" i="47"/>
  <c r="T252" i="47"/>
  <c r="T200" i="47"/>
  <c r="T224" i="47"/>
  <c r="T264" i="47"/>
  <c r="T170" i="47"/>
  <c r="AB20" i="34"/>
  <c r="AE326" i="47" l="1"/>
  <c r="AE294" i="47"/>
  <c r="AE280" i="47"/>
  <c r="AE347" i="47"/>
  <c r="AE408" i="47"/>
  <c r="AB23" i="13"/>
  <c r="AE25" i="13" s="1"/>
  <c r="AE273" i="47"/>
  <c r="AE397" i="47"/>
  <c r="AE392" i="47"/>
  <c r="AE307" i="47"/>
  <c r="AE139" i="47"/>
  <c r="AE128" i="47"/>
  <c r="AE409" i="47"/>
  <c r="AE400" i="47"/>
  <c r="AE340" i="47"/>
  <c r="U153" i="47"/>
  <c r="AC153" i="47" s="1"/>
  <c r="U223" i="47"/>
  <c r="AC223" i="47" s="1"/>
  <c r="AE355" i="47"/>
  <c r="U198" i="47"/>
  <c r="AC198" i="47" s="1"/>
  <c r="U593" i="47"/>
  <c r="AC593" i="47" s="1"/>
  <c r="U202" i="47"/>
  <c r="AC202" i="47" s="1"/>
  <c r="T190" i="47"/>
  <c r="AE190" i="47" s="1"/>
  <c r="AE137" i="47"/>
  <c r="AE327" i="47"/>
  <c r="AE393" i="47"/>
  <c r="AE385" i="47"/>
  <c r="AE288" i="47"/>
  <c r="AE357" i="47"/>
  <c r="AE302" i="47"/>
  <c r="AE276" i="47"/>
  <c r="AE274" i="47"/>
  <c r="AE134" i="47"/>
  <c r="AE295" i="47"/>
  <c r="AE267" i="47"/>
  <c r="AE333" i="47"/>
  <c r="AE391" i="47"/>
  <c r="AE416" i="47"/>
  <c r="AE297" i="47"/>
  <c r="AE292" i="47"/>
  <c r="AE362" i="47"/>
  <c r="AE127" i="47"/>
  <c r="AE311" i="47"/>
  <c r="AE407" i="47"/>
  <c r="AE290" i="47"/>
  <c r="AE411" i="47"/>
  <c r="AE403" i="47"/>
  <c r="AE415" i="47"/>
  <c r="AE323" i="47"/>
  <c r="AE334" i="47"/>
  <c r="AE271" i="47"/>
  <c r="T228" i="47"/>
  <c r="AE414" i="47"/>
  <c r="AE138" i="47"/>
  <c r="AE298" i="47"/>
  <c r="AE373" i="47"/>
  <c r="AE289" i="47"/>
  <c r="AE410" i="47"/>
  <c r="T220" i="47"/>
  <c r="AE337" i="47"/>
  <c r="AE126" i="47"/>
  <c r="AE348" i="47"/>
  <c r="AC156" i="47"/>
  <c r="AE308" i="47"/>
  <c r="AC166" i="47"/>
  <c r="T166" i="47"/>
  <c r="T156" i="47"/>
  <c r="T175" i="47"/>
  <c r="AE386" i="47"/>
  <c r="T191" i="47"/>
  <c r="AE418" i="47"/>
  <c r="T165" i="47"/>
  <c r="T157" i="47"/>
  <c r="T205" i="47"/>
  <c r="AE354" i="47"/>
  <c r="AE352" i="47"/>
  <c r="AC177" i="47"/>
  <c r="AC165" i="47"/>
  <c r="AC242" i="47"/>
  <c r="AE379" i="47"/>
  <c r="T231" i="47"/>
  <c r="AE382" i="47"/>
  <c r="T255" i="47"/>
  <c r="AE141" i="47"/>
  <c r="T187" i="47"/>
  <c r="AC228" i="47"/>
  <c r="AC191" i="47"/>
  <c r="AC159" i="47"/>
  <c r="T195" i="47"/>
  <c r="AE285" i="47"/>
  <c r="AE358" i="47"/>
  <c r="AC231" i="47"/>
  <c r="T172" i="47"/>
  <c r="R201" i="47"/>
  <c r="AA164" i="47"/>
  <c r="AC195" i="47"/>
  <c r="N164" i="47"/>
  <c r="Q201" i="47"/>
  <c r="Z164" i="47"/>
  <c r="M164" i="47"/>
  <c r="R256" i="47"/>
  <c r="T178" i="47"/>
  <c r="T159" i="47"/>
  <c r="P201" i="47"/>
  <c r="Y164" i="47"/>
  <c r="L164" i="47"/>
  <c r="AB201" i="47"/>
  <c r="O201" i="47"/>
  <c r="X164" i="47"/>
  <c r="N201" i="47"/>
  <c r="Z201" i="47"/>
  <c r="M201" i="47"/>
  <c r="AC250" i="47"/>
  <c r="AC187" i="47"/>
  <c r="AA201" i="47"/>
  <c r="Y201" i="47"/>
  <c r="AC175" i="47"/>
  <c r="L201" i="47"/>
  <c r="X201" i="47"/>
  <c r="S164" i="47"/>
  <c r="V164" i="47"/>
  <c r="V201" i="47"/>
  <c r="R164" i="47"/>
  <c r="Q164" i="47"/>
  <c r="P164" i="47"/>
  <c r="J203" i="47"/>
  <c r="T177" i="47"/>
  <c r="N203" i="47"/>
  <c r="S230" i="47"/>
  <c r="AC172" i="47"/>
  <c r="AC220" i="47"/>
  <c r="Q203" i="47"/>
  <c r="T153" i="47"/>
  <c r="T168" i="47"/>
  <c r="T185" i="47"/>
  <c r="P203" i="47"/>
  <c r="Q230" i="47"/>
  <c r="T161" i="47"/>
  <c r="R203" i="47"/>
  <c r="R230" i="47"/>
  <c r="AB203" i="47"/>
  <c r="AA203" i="47"/>
  <c r="O203" i="47"/>
  <c r="AA230" i="47"/>
  <c r="O230" i="47"/>
  <c r="T167" i="47"/>
  <c r="T242" i="47"/>
  <c r="T250" i="47"/>
  <c r="Z203" i="47"/>
  <c r="M203" i="47"/>
  <c r="AB230" i="47"/>
  <c r="N230" i="47"/>
  <c r="AC255" i="47"/>
  <c r="T241" i="47"/>
  <c r="Y203" i="47"/>
  <c r="M230" i="47"/>
  <c r="X203" i="47"/>
  <c r="Y230" i="47"/>
  <c r="L230" i="47"/>
  <c r="L203" i="47"/>
  <c r="V203" i="47"/>
  <c r="X230" i="47"/>
  <c r="T254" i="47"/>
  <c r="V230" i="47"/>
  <c r="Z230" i="47"/>
  <c r="P230" i="47"/>
  <c r="T186" i="47"/>
  <c r="T173" i="47"/>
  <c r="T235" i="47"/>
  <c r="T259" i="47"/>
  <c r="M262" i="47"/>
  <c r="AB222" i="47"/>
  <c r="J174" i="47"/>
  <c r="L246" i="47"/>
  <c r="P225" i="47"/>
  <c r="Y253" i="47"/>
  <c r="L253" i="47"/>
  <c r="Y233" i="47"/>
  <c r="L233" i="47"/>
  <c r="Q256" i="47"/>
  <c r="R192" i="47"/>
  <c r="X197" i="47"/>
  <c r="P197" i="47"/>
  <c r="X150" i="47"/>
  <c r="X262" i="47"/>
  <c r="AB225" i="47"/>
  <c r="O225" i="47"/>
  <c r="Y222" i="47"/>
  <c r="J256" i="47"/>
  <c r="J147" i="47"/>
  <c r="J253" i="47"/>
  <c r="J150" i="47"/>
  <c r="J192" i="47"/>
  <c r="AA246" i="47"/>
  <c r="Q197" i="47"/>
  <c r="X233" i="47"/>
  <c r="N256" i="47"/>
  <c r="R174" i="47"/>
  <c r="N197" i="47"/>
  <c r="V150" i="47"/>
  <c r="AA225" i="47"/>
  <c r="AC259" i="47"/>
  <c r="AC185" i="47"/>
  <c r="AC254" i="47"/>
  <c r="AC168" i="47"/>
  <c r="M246" i="47"/>
  <c r="Q225" i="47"/>
  <c r="Z174" i="47"/>
  <c r="AB256" i="47"/>
  <c r="P192" i="47"/>
  <c r="Y246" i="47"/>
  <c r="Y197" i="47"/>
  <c r="S147" i="47"/>
  <c r="V262" i="47"/>
  <c r="N225" i="47"/>
  <c r="V253" i="47"/>
  <c r="V233" i="47"/>
  <c r="AA256" i="47"/>
  <c r="O256" i="47"/>
  <c r="Q192" i="47"/>
  <c r="Z246" i="47"/>
  <c r="Q174" i="47"/>
  <c r="AB197" i="47"/>
  <c r="M197" i="47"/>
  <c r="R147" i="47"/>
  <c r="Z225" i="47"/>
  <c r="M225" i="47"/>
  <c r="Z222" i="47"/>
  <c r="AE275" i="47"/>
  <c r="AE374" i="47"/>
  <c r="AC205" i="47"/>
  <c r="AE371" i="47"/>
  <c r="AC173" i="47"/>
  <c r="AE364" i="47"/>
  <c r="AC161" i="47"/>
  <c r="M222" i="47"/>
  <c r="J197" i="47"/>
  <c r="Y192" i="47"/>
  <c r="S246" i="47"/>
  <c r="O174" i="47"/>
  <c r="AA197" i="47"/>
  <c r="L197" i="47"/>
  <c r="Q147" i="47"/>
  <c r="Y225" i="47"/>
  <c r="L225" i="47"/>
  <c r="AC235" i="47"/>
  <c r="J246" i="47"/>
  <c r="J225" i="47"/>
  <c r="Z233" i="47"/>
  <c r="Y262" i="47"/>
  <c r="L192" i="47"/>
  <c r="L256" i="47"/>
  <c r="V197" i="47"/>
  <c r="S150" i="47"/>
  <c r="X225" i="47"/>
  <c r="R222" i="47"/>
  <c r="AC186" i="47"/>
  <c r="M233" i="47"/>
  <c r="V222" i="47"/>
  <c r="J233" i="47"/>
  <c r="X253" i="47"/>
  <c r="M256" i="47"/>
  <c r="O192" i="47"/>
  <c r="P147" i="47"/>
  <c r="S262" i="47"/>
  <c r="S233" i="47"/>
  <c r="X192" i="47"/>
  <c r="N192" i="47"/>
  <c r="R246" i="47"/>
  <c r="S174" i="47"/>
  <c r="N174" i="47"/>
  <c r="S197" i="47"/>
  <c r="AA147" i="47"/>
  <c r="O147" i="47"/>
  <c r="R150" i="47"/>
  <c r="P262" i="47"/>
  <c r="V225" i="47"/>
  <c r="Q222" i="47"/>
  <c r="AC178" i="47"/>
  <c r="Z262" i="47"/>
  <c r="V246" i="47"/>
  <c r="O197" i="47"/>
  <c r="L262" i="47"/>
  <c r="X174" i="47"/>
  <c r="S253" i="47"/>
  <c r="Y256" i="47"/>
  <c r="R253" i="47"/>
  <c r="R233" i="47"/>
  <c r="X256" i="47"/>
  <c r="Z192" i="47"/>
  <c r="M192" i="47"/>
  <c r="Q246" i="47"/>
  <c r="AB174" i="47"/>
  <c r="M174" i="47"/>
  <c r="Z197" i="47"/>
  <c r="Z147" i="47"/>
  <c r="N147" i="47"/>
  <c r="Q150" i="47"/>
  <c r="R262" i="47"/>
  <c r="P222" i="47"/>
  <c r="J262" i="47"/>
  <c r="J222" i="47"/>
  <c r="P256" i="47"/>
  <c r="Z256" i="47"/>
  <c r="AB192" i="47"/>
  <c r="P174" i="47"/>
  <c r="AB147" i="47"/>
  <c r="O246" i="47"/>
  <c r="AA174" i="47"/>
  <c r="L174" i="47"/>
  <c r="Y147" i="47"/>
  <c r="Q262" i="47"/>
  <c r="AA222" i="47"/>
  <c r="O222" i="47"/>
  <c r="AC167" i="47"/>
  <c r="AC241" i="47"/>
  <c r="AC157" i="47"/>
  <c r="X246" i="47"/>
  <c r="AB262" i="47"/>
  <c r="X222" i="47"/>
  <c r="U261" i="47"/>
  <c r="AC261" i="47" s="1"/>
  <c r="U225" i="47"/>
  <c r="U226" i="47"/>
  <c r="AC226" i="47" s="1"/>
  <c r="U216" i="47"/>
  <c r="AC216" i="47" s="1"/>
  <c r="U227" i="47"/>
  <c r="AC227" i="47" s="1"/>
  <c r="AE170" i="47"/>
  <c r="AE249" i="47"/>
  <c r="AE234" i="47"/>
  <c r="AE248" i="47"/>
  <c r="AE155" i="47"/>
  <c r="AE181" i="47"/>
  <c r="U211" i="47"/>
  <c r="AC211" i="47" s="1"/>
  <c r="U152" i="47"/>
  <c r="AC152" i="47" s="1"/>
  <c r="AE180" i="47"/>
  <c r="U262" i="47"/>
  <c r="AE210" i="47"/>
  <c r="U219" i="47"/>
  <c r="AC219" i="47" s="1"/>
  <c r="AE238" i="47"/>
  <c r="AE206" i="47"/>
  <c r="AE237" i="47"/>
  <c r="AE162" i="47"/>
  <c r="U232" i="47"/>
  <c r="AC232" i="47" s="1"/>
  <c r="AE217" i="47"/>
  <c r="U179" i="47"/>
  <c r="AC179" i="47" s="1"/>
  <c r="U236" i="47"/>
  <c r="AC236" i="47" s="1"/>
  <c r="AE183" i="47"/>
  <c r="U150" i="47"/>
  <c r="U247" i="47"/>
  <c r="AC247" i="47" s="1"/>
  <c r="U194" i="47"/>
  <c r="AC194" i="47" s="1"/>
  <c r="U184" i="47"/>
  <c r="AC184" i="47" s="1"/>
  <c r="U130" i="47"/>
  <c r="AC130" i="47" s="1"/>
  <c r="U147" i="47"/>
  <c r="U199" i="47"/>
  <c r="AC199" i="47" s="1"/>
  <c r="U233" i="47"/>
  <c r="U256" i="47"/>
  <c r="U192" i="47"/>
  <c r="U197" i="47"/>
  <c r="U201" i="47"/>
  <c r="U149" i="47"/>
  <c r="AC149" i="47" s="1"/>
  <c r="U146" i="47"/>
  <c r="AC146" i="47" s="1"/>
  <c r="U213" i="47"/>
  <c r="AC213" i="47" s="1"/>
  <c r="U204" i="47"/>
  <c r="AC204" i="47" s="1"/>
  <c r="U222" i="47"/>
  <c r="T202" i="47"/>
  <c r="T593" i="47"/>
  <c r="U209" i="47"/>
  <c r="AC209" i="47" s="1"/>
  <c r="T223" i="47"/>
  <c r="AE215" i="47"/>
  <c r="U239" i="47"/>
  <c r="AC239" i="47" s="1"/>
  <c r="T198" i="47"/>
  <c r="U246" i="47"/>
  <c r="U174" i="47"/>
  <c r="U212" i="47"/>
  <c r="AC212" i="47" s="1"/>
  <c r="U214" i="47"/>
  <c r="AC214" i="47" s="1"/>
  <c r="U182" i="47"/>
  <c r="AC182" i="47" s="1"/>
  <c r="U245" i="47"/>
  <c r="AC245" i="47" s="1"/>
  <c r="U230" i="47"/>
  <c r="AE196" i="47"/>
  <c r="U176" i="47"/>
  <c r="AC176" i="47" s="1"/>
  <c r="U221" i="47"/>
  <c r="AC221" i="47" s="1"/>
  <c r="AE160" i="47"/>
  <c r="AE189" i="47"/>
  <c r="AE370" i="47"/>
  <c r="AE264" i="47"/>
  <c r="AE200" i="47"/>
  <c r="AE193" i="47"/>
  <c r="AE243" i="47"/>
  <c r="AE169" i="47"/>
  <c r="AE207" i="47"/>
  <c r="AE252" i="47"/>
  <c r="AE240" i="47"/>
  <c r="AE188" i="47"/>
  <c r="AE263" i="47"/>
  <c r="AE260" i="47"/>
  <c r="AE258" i="47"/>
  <c r="AE154" i="47"/>
  <c r="AE244" i="47"/>
  <c r="AE171" i="47"/>
  <c r="AE151" i="47"/>
  <c r="AE218" i="47"/>
  <c r="AE363" i="47"/>
  <c r="AE224" i="47"/>
  <c r="AE257" i="47"/>
  <c r="AE251" i="47"/>
  <c r="AE265" i="47"/>
  <c r="AE208" i="47"/>
  <c r="AE148" i="47"/>
  <c r="AE158" i="47"/>
  <c r="AE163" i="47"/>
  <c r="AE229" i="47"/>
  <c r="T176" i="47"/>
  <c r="T221" i="47"/>
  <c r="T152" i="47"/>
  <c r="T194" i="47"/>
  <c r="T146" i="47"/>
  <c r="T211" i="47"/>
  <c r="T149" i="47"/>
  <c r="T199" i="47"/>
  <c r="T182" i="47"/>
  <c r="T219" i="47"/>
  <c r="T261" i="47"/>
  <c r="T204" i="47"/>
  <c r="T239" i="47"/>
  <c r="T247" i="47"/>
  <c r="T212" i="47"/>
  <c r="T227" i="47"/>
  <c r="T179" i="47"/>
  <c r="T214" i="47"/>
  <c r="T184" i="47"/>
  <c r="T209" i="47"/>
  <c r="T245" i="47"/>
  <c r="T236" i="47"/>
  <c r="T130" i="47"/>
  <c r="T213" i="47"/>
  <c r="T226" i="47"/>
  <c r="T216" i="47"/>
  <c r="T232" i="47"/>
  <c r="AB47" i="34"/>
  <c r="M25" i="13"/>
  <c r="AE153" i="47" l="1"/>
  <c r="U253" i="47"/>
  <c r="AC253" i="47" s="1"/>
  <c r="U203" i="47"/>
  <c r="U164" i="47"/>
  <c r="AC164" i="47" s="1"/>
  <c r="AE157" i="47"/>
  <c r="AE241" i="47"/>
  <c r="AE156" i="47"/>
  <c r="AE161" i="47"/>
  <c r="AE187" i="47"/>
  <c r="AE175" i="47"/>
  <c r="AE254" i="47"/>
  <c r="AE259" i="47"/>
  <c r="AE220" i="47"/>
  <c r="AE255" i="47"/>
  <c r="AE228" i="47"/>
  <c r="AE231" i="47"/>
  <c r="AE205" i="47"/>
  <c r="AE165" i="47"/>
  <c r="AE195" i="47"/>
  <c r="AE166" i="47"/>
  <c r="AE172" i="47"/>
  <c r="AE177" i="47"/>
  <c r="T147" i="47"/>
  <c r="AE191" i="47"/>
  <c r="AE167" i="47"/>
  <c r="T201" i="47"/>
  <c r="AE159" i="47"/>
  <c r="AE242" i="47"/>
  <c r="AC230" i="47"/>
  <c r="AE178" i="47"/>
  <c r="AC147" i="47"/>
  <c r="AC233" i="47"/>
  <c r="AC174" i="47"/>
  <c r="T246" i="47"/>
  <c r="AE168" i="47"/>
  <c r="T256" i="47"/>
  <c r="AE235" i="47"/>
  <c r="AE185" i="47"/>
  <c r="T164" i="47"/>
  <c r="AE173" i="47"/>
  <c r="AC150" i="47"/>
  <c r="AC201" i="47"/>
  <c r="AC225" i="47"/>
  <c r="T192" i="47"/>
  <c r="T225" i="47"/>
  <c r="AC203" i="47"/>
  <c r="AE250" i="47"/>
  <c r="T230" i="47"/>
  <c r="T174" i="47"/>
  <c r="T233" i="47"/>
  <c r="T222" i="47"/>
  <c r="T253" i="47"/>
  <c r="T150" i="47"/>
  <c r="T262" i="47"/>
  <c r="T197" i="47"/>
  <c r="AC197" i="47"/>
  <c r="T203" i="47"/>
  <c r="AC256" i="47"/>
  <c r="AC192" i="47"/>
  <c r="AE186" i="47"/>
  <c r="AC222" i="47"/>
  <c r="AC246" i="47"/>
  <c r="AC262" i="47"/>
  <c r="AE247" i="47"/>
  <c r="AE226" i="47"/>
  <c r="AE219" i="47"/>
  <c r="AE198" i="47"/>
  <c r="AE245" i="47"/>
  <c r="AE184" i="47"/>
  <c r="AE204" i="47"/>
  <c r="AE227" i="47"/>
  <c r="AE216" i="47"/>
  <c r="AE209" i="47"/>
  <c r="AE212" i="47"/>
  <c r="AE130" i="47"/>
  <c r="AE239" i="47"/>
  <c r="AE182" i="47"/>
  <c r="AE179" i="47"/>
  <c r="AE213" i="47"/>
  <c r="AE214" i="47"/>
  <c r="AE202" i="47"/>
  <c r="AE261" i="47"/>
  <c r="AE232" i="47"/>
  <c r="AE236" i="47"/>
  <c r="AE176" i="47"/>
  <c r="AE221" i="47"/>
  <c r="AE223" i="47"/>
  <c r="AE199" i="47"/>
  <c r="AE149" i="47"/>
  <c r="AE194" i="47"/>
  <c r="AE593" i="47"/>
  <c r="AE211" i="47"/>
  <c r="AE146" i="47"/>
  <c r="AE152" i="47"/>
  <c r="M27" i="13"/>
  <c r="K24" i="13"/>
  <c r="M24" i="13"/>
  <c r="K26" i="13"/>
  <c r="K28" i="13"/>
  <c r="K25" i="13"/>
  <c r="M30" i="13"/>
  <c r="K29" i="13"/>
  <c r="M28" i="13"/>
  <c r="M31" i="13"/>
  <c r="K30" i="13"/>
  <c r="M29" i="13"/>
  <c r="M26" i="13"/>
  <c r="K31" i="13"/>
  <c r="K27" i="13"/>
  <c r="AE256" i="47" l="1"/>
  <c r="AE197" i="47"/>
  <c r="AE150" i="47"/>
  <c r="AE192" i="47"/>
  <c r="AE203" i="47"/>
  <c r="AE225" i="47"/>
  <c r="AE147" i="47"/>
  <c r="AE174" i="47"/>
  <c r="AE253" i="47"/>
  <c r="AE230" i="47"/>
  <c r="AE262" i="47"/>
  <c r="AE201" i="47"/>
  <c r="AE246" i="47"/>
  <c r="AE164" i="47"/>
  <c r="AE233" i="47"/>
  <c r="AE222" i="47"/>
  <c r="H24" i="13"/>
  <c r="E24" i="13"/>
  <c r="H30" i="13"/>
  <c r="E25" i="13"/>
  <c r="E29" i="13"/>
  <c r="E28" i="13"/>
  <c r="H29" i="13"/>
  <c r="H27" i="13"/>
  <c r="H25" i="13"/>
  <c r="E30" i="13"/>
  <c r="E27" i="13"/>
  <c r="H28" i="13"/>
  <c r="M23" i="13"/>
  <c r="J37" i="13" s="1"/>
  <c r="D37" i="13" l="1"/>
  <c r="D41" i="13" s="1"/>
  <c r="AE246" i="22"/>
  <c r="J20" i="34"/>
  <c r="B11" i="34"/>
  <c r="B17" i="34"/>
  <c r="B20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tc={5FBE2DEB-40BC-416B-B12C-24BD17EACDBF}</author>
    <author>tc={7EC1886C-2547-42B0-9239-621AFC1AD95D}</author>
  </authors>
  <commentList>
    <comment ref="AD6" authorId="0" shapeId="0" xr:uid="{5FBE2DEB-40BC-416B-B12C-24BD17EACDB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Instrucciones para mí mismo, de cómo se trabaja el doc</t>
      </text>
    </comment>
    <comment ref="D10" authorId="1" shapeId="0" xr:uid="{7EC1886C-2547-42B0-9239-621AFC1AD95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Puedes dar clic en el ícono para ser redirigido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tc={999A884F-1963-4B44-9B90-D47803EF2891}</author>
    <author>tc={6E22D763-13CC-46DF-A652-287EAFC3EC77}</author>
  </authors>
  <commentList>
    <comment ref="F2" authorId="0" shapeId="0" xr:uid="{999A884F-1963-4B44-9B90-D47803EF289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Bloqueo de celdas para sólo modif. la requerida.
Puedes ingresar un número de empleado (del 101 al 700)</t>
      </text>
    </comment>
    <comment ref="B59" authorId="1" shapeId="0" xr:uid="{6E22D763-13CC-46DF-A652-287EAFC3EC7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Da clic en la tecla TAB para ver el movimiento.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tc={4BA05C92-0381-4978-B756-9558B3B4D47A}</author>
  </authors>
  <commentList>
    <comment ref="P1024" authorId="0" shapeId="0" xr:uid="{4BA05C92-0381-4978-B756-9558B3B4D47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agrega un +1 al final para SÍ contabilizar el día en curso (o el día de ingreso, es igual)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e 0" description="Conexión a la consulta 'Table 0' en el libro." type="5" refreshedVersion="6" background="1">
    <dbPr connection="Provider=Microsoft.Mashup.OleDb.1;Data Source=$Workbook$;Location=&quot;Table 0&quot;;Extended Properties=&quot;&quot;" command="SELECT * FROM [Table 0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<sst xmlns="http://schemas.openxmlformats.org/spreadsheetml/2006/main" count="9373" uniqueCount="2320">
  <si>
    <t>SDI</t>
  </si>
  <si>
    <t>Puesto</t>
  </si>
  <si>
    <t>PERCEPCIONES</t>
  </si>
  <si>
    <t>DEDUCCIONES</t>
  </si>
  <si>
    <t>INFONAVIT</t>
  </si>
  <si>
    <t>SELLO DIGITAL SAT: w5Hola5g5Bebé5p5Cómo5lp5Has5kw5Estado5kñwñpñpdg5Tal5Vez5No5Sepas5Quién5Habla5sdfSG9we98efBebei5O5Tal5Vez5Lo5Hayas5Olvidado5uwefli7Coawerb8iuwei7aweli1Has1ubwlif7wbMuef7ger2ua287of2lbiuwef7aqilubw987U9stIs7Fuasa5Charliy5Ezequiel5sufnKasoasps8fasGDgias3fawfuq8hYashassd89sdh49dhsdewqpgweg723sb</t>
  </si>
  <si>
    <t>15A6B75H-676-E6F0-6F5G-5D85WD46F568F</t>
  </si>
  <si>
    <t>General de Ley Personas Morales</t>
  </si>
  <si>
    <t>UUID (folio fiscal)</t>
  </si>
  <si>
    <t>Regimen fiscal:</t>
  </si>
  <si>
    <t>ADENDA</t>
  </si>
  <si>
    <t>TOTAL NETO</t>
  </si>
  <si>
    <t>TOTAL DE DEDUCCIONES</t>
  </si>
  <si>
    <t>TOTAL DE PERCEPCIONES</t>
  </si>
  <si>
    <t>VACACIONES</t>
  </si>
  <si>
    <t>Departamento</t>
  </si>
  <si>
    <t>Edson Aldair Galván Ipiña</t>
  </si>
  <si>
    <t>Días laborados:</t>
  </si>
  <si>
    <t>Recibo de nómina del periodo:</t>
  </si>
  <si>
    <t>Grupo Maia S.A.B. de C.V.</t>
  </si>
  <si>
    <t>Trabajador:</t>
  </si>
  <si>
    <t>TOTAL</t>
  </si>
  <si>
    <t>PUESTO</t>
  </si>
  <si>
    <t>DEPARTAMENTO</t>
  </si>
  <si>
    <t>FACTOR SDI</t>
  </si>
  <si>
    <t>CUOTA FIJA</t>
  </si>
  <si>
    <t>INVALIDEZ Y VIDA</t>
  </si>
  <si>
    <t>RETIRO</t>
  </si>
  <si>
    <t>LIM INF</t>
  </si>
  <si>
    <t>AGUINALDO</t>
  </si>
  <si>
    <t>FECHAS PARA CÁLCULO:</t>
  </si>
  <si>
    <t>DÍAS PARA CÁLCULO:</t>
  </si>
  <si>
    <t>AÑOS ANTIGÜEDAD:</t>
  </si>
  <si>
    <t>FRACCIÓN DE AÑO:</t>
  </si>
  <si>
    <t>SUELDO DIARIO:</t>
  </si>
  <si>
    <t>DÍAS DE VACACIONES:</t>
  </si>
  <si>
    <t>% PRIMA VACACIONAL:</t>
  </si>
  <si>
    <t>PV (EN DÍAS):</t>
  </si>
  <si>
    <t>FECHA INGRESO:</t>
  </si>
  <si>
    <t>FECHA INICIAL:</t>
  </si>
  <si>
    <t>FRACC DÍAS VACACIONES:</t>
  </si>
  <si>
    <t>TOTAL PERCIBIDO POR VACACIONES:</t>
  </si>
  <si>
    <t>DÍAS POR PAGAR:</t>
  </si>
  <si>
    <t>SUMA DE PRESTACIONES:</t>
  </si>
  <si>
    <t xml:space="preserve"> </t>
  </si>
  <si>
    <t>FIRMA DE CONFORMIDAD</t>
  </si>
  <si>
    <t>R.F.C: GMA971102-NRL | Registro patronal: Y37-02468-10-3</t>
  </si>
  <si>
    <t>Andrea Arizpe Rodríguez</t>
  </si>
  <si>
    <t>TOTAL AGUINALDO:</t>
  </si>
  <si>
    <t>SELLO DIGITAL EMISOR: 5amor5libre5fkjaet9lke9ehmsQf68wHIgwegwef86tsGkgw874kjrw8e7tk3j2rweo87vakjdwOflia7wHSdg987sdfSG9we98efbiXuwefli7awerbiuwei7aweliTubwlif7wbMuef7ger2ua287of2lbiuwef7aqilubw987U9stIs7NS7SA5OFuasasufnKasoasps8fasGDgias3fawfuq8hYTH8sanubwlif7wbMuef7ger2ua287of2lbiuwef7aqilubw987U9stIs7Fuasa5Charliy5Ezequiel5sufnKasoasps8fasGDgias3fawfuq8hYashassd89sdh49dhsdewq</t>
  </si>
  <si>
    <t>Edgar Mauricio Cáceres Rivera</t>
  </si>
  <si>
    <t>HORAS EXTRA</t>
  </si>
  <si>
    <t>PRIMA VACACIONAL</t>
  </si>
  <si>
    <t>NOMBRE COMPLETO</t>
  </si>
  <si>
    <t>FECHA ING.</t>
  </si>
  <si>
    <t>D.AG.</t>
  </si>
  <si>
    <t>% P.V.</t>
  </si>
  <si>
    <t>D.VAC.</t>
  </si>
  <si>
    <t>ANTIG.AÑOS</t>
  </si>
  <si>
    <t>FECHA DE CONSULTA:</t>
  </si>
  <si>
    <t>.</t>
  </si>
  <si>
    <t>Finanzas</t>
  </si>
  <si>
    <t>Contabilidad</t>
  </si>
  <si>
    <t>Contratos</t>
  </si>
  <si>
    <t>DÍAS</t>
  </si>
  <si>
    <t>Carlos Alejandro Ponce Guerrero</t>
  </si>
  <si>
    <t>Diego Herrera Girón</t>
  </si>
  <si>
    <t>Mérida Isela Medina Salinas</t>
  </si>
  <si>
    <t>Melissa Estefanía Cruz Hernández</t>
  </si>
  <si>
    <t>Nóminas</t>
  </si>
  <si>
    <t>Fatima Michelle Urbina Carreón</t>
  </si>
  <si>
    <t>Deneb Santiago Altair Vega</t>
  </si>
  <si>
    <t>Cristian Daniel Ramos Hernández</t>
  </si>
  <si>
    <t>Ejecutivo</t>
  </si>
  <si>
    <t>JORNADA</t>
  </si>
  <si>
    <t>SUELDO</t>
  </si>
  <si>
    <t>Lorien Geraldine Mauri Cervantes</t>
  </si>
  <si>
    <t>Facturas</t>
  </si>
  <si>
    <t>Marco Aurelio Urbino</t>
  </si>
  <si>
    <t>Irie Dalí Antares Cortés</t>
  </si>
  <si>
    <t xml:space="preserve">Luis Jorge Boone </t>
  </si>
  <si>
    <t>Fausto Eduardo Cedillo Oliva</t>
  </si>
  <si>
    <t>Tecnología</t>
  </si>
  <si>
    <t>Lorenzo Antonio Cruz Mendoza</t>
  </si>
  <si>
    <t>Walther Jonathan Urbina Guerrero</t>
  </si>
  <si>
    <t>Antonio de Jesús Hernández Quiroz</t>
  </si>
  <si>
    <t>Analista</t>
  </si>
  <si>
    <t>SUBDEPARTAMENTO</t>
  </si>
  <si>
    <t>Externos</t>
  </si>
  <si>
    <t>Juan Carlos Ortega Huerta</t>
  </si>
  <si>
    <t>Paola Alejandra Hernández Garza</t>
  </si>
  <si>
    <t>Ignacio José Fornés Olmo</t>
  </si>
  <si>
    <t>René Juan Pérez Joglar</t>
  </si>
  <si>
    <t>Eduardo José Cabra Martínez</t>
  </si>
  <si>
    <t>Tirone José González Orama</t>
  </si>
  <si>
    <t>Equipos</t>
  </si>
  <si>
    <t>Ileana Mercedes Cabra Joglar</t>
  </si>
  <si>
    <t>José Rómulo Sosa Ortiz</t>
  </si>
  <si>
    <t>Vicente Fernández Gómez</t>
  </si>
  <si>
    <t>Norma Monserrat Bustamante Laferte</t>
  </si>
  <si>
    <t>Mixari Giovanna Ruiz Contreras</t>
  </si>
  <si>
    <t>Julio Maloa Faus</t>
  </si>
  <si>
    <t>Instrucción de campo</t>
  </si>
  <si>
    <t>Alejandro Sebastian Cazares Diaz</t>
  </si>
  <si>
    <t>Angel Gerardo Morales Pereyra</t>
  </si>
  <si>
    <t>Angel Mario Castillo Aleman</t>
  </si>
  <si>
    <t>Cecilia Balderrama Castillo</t>
  </si>
  <si>
    <t>Cristian Tadeo Hernandez Quiroz</t>
  </si>
  <si>
    <t>Daniel Villarreal Acevedo</t>
  </si>
  <si>
    <t>David Adrian Puente Martinez</t>
  </si>
  <si>
    <t>Eduardo Jair Esquivel Burnes</t>
  </si>
  <si>
    <t>Fernanda Galindo Canales</t>
  </si>
  <si>
    <t>Frida Alejandra Caballero Ovalle</t>
  </si>
  <si>
    <t>Gustavo Alexis Garduño Lucio</t>
  </si>
  <si>
    <t>Jessica Jaredy De Leon Carmona</t>
  </si>
  <si>
    <t>Jose Carlos Treviño Hernandez</t>
  </si>
  <si>
    <t>Juan Gerardo Rodriguez Manzanares</t>
  </si>
  <si>
    <t>Juan Manuel Chaires Martinez</t>
  </si>
  <si>
    <t>Karla Michelle Verdugo Rios</t>
  </si>
  <si>
    <t>Kevin Denigriz Castañon Castillo</t>
  </si>
  <si>
    <t>Leobardo Fernández Gracián</t>
  </si>
  <si>
    <t>Luis Brayan Aguilar Ortega</t>
  </si>
  <si>
    <t>Marcela Rosas Villanueva</t>
  </si>
  <si>
    <t>Salma Jaqueline Arzola Alvarado</t>
  </si>
  <si>
    <t>Santos Daniel Hinojosa Torres</t>
  </si>
  <si>
    <t>Stephanie Banda Leal</t>
  </si>
  <si>
    <t>Valeria Santacruz Mendoza</t>
  </si>
  <si>
    <t>Vania Fiorely Salas Romero</t>
  </si>
  <si>
    <t>Victor Jesus Garcia Carranza</t>
  </si>
  <si>
    <t>NO. EMP</t>
  </si>
  <si>
    <t>Antonio Martinez Manriquez</t>
  </si>
  <si>
    <t>Karla Estefanía Lara Mendoza</t>
  </si>
  <si>
    <t>Angélica Lizbeth Guerrero Estanislao</t>
  </si>
  <si>
    <t>Nallely Guadalupe Guerrero Estanislao</t>
  </si>
  <si>
    <t>Lucero Cedillo Tovar</t>
  </si>
  <si>
    <t>Jennifer Sarahí Coronado Moreno</t>
  </si>
  <si>
    <t>Karla Judith Espinoza Arias</t>
  </si>
  <si>
    <t>Anahí Flores Pineda</t>
  </si>
  <si>
    <t>Arturo Ulises Hernandez de la Cruz</t>
  </si>
  <si>
    <t>Dither Osbaldo Hernandez Hernandez</t>
  </si>
  <si>
    <t>Leslie Marlene Luna Barboza</t>
  </si>
  <si>
    <t>Luz Elena Medrano Sida</t>
  </si>
  <si>
    <t>Elda Judith Morales Sauceda</t>
  </si>
  <si>
    <t>Dayana Milagros Sanchez Leos</t>
  </si>
  <si>
    <t>Eduardo Jesus Soto Solis</t>
  </si>
  <si>
    <t>Alan Cruz Balderas Galván</t>
  </si>
  <si>
    <t>David Alejandro Rodriguez Lugo</t>
  </si>
  <si>
    <t>Erika Beatriz Rodriguez Arista</t>
  </si>
  <si>
    <t>Roberto Carlos Rivera</t>
  </si>
  <si>
    <t>ISR</t>
  </si>
  <si>
    <t>Ejecutivo jr.</t>
  </si>
  <si>
    <t>A</t>
  </si>
  <si>
    <t>B</t>
  </si>
  <si>
    <t>C</t>
  </si>
  <si>
    <t>Alejandra Dayreb Cisneros Montelongo</t>
  </si>
  <si>
    <t>Daniel Alejandro Rojo Berlanga</t>
  </si>
  <si>
    <t>Ana Paula Rodríguez Hernández</t>
  </si>
  <si>
    <t>Citlaly Yoryeth Segundo Martinez</t>
  </si>
  <si>
    <t>Verónica Lucía Hernández Mata</t>
  </si>
  <si>
    <t>AUDITORÍA</t>
  </si>
  <si>
    <t>CONTABILIDAD</t>
  </si>
  <si>
    <t>CONTRATOS</t>
  </si>
  <si>
    <t>FINANZAS</t>
  </si>
  <si>
    <t>TECNOLOGÍA</t>
  </si>
  <si>
    <t>DIRECCIÓN</t>
  </si>
  <si>
    <t>EMPLEADOS ACTIVOS:</t>
  </si>
  <si>
    <t xml:space="preserve">Nadya Nallely Rangel </t>
  </si>
  <si>
    <t>Dirección</t>
  </si>
  <si>
    <t>Diana Laura Lomas Rangel</t>
  </si>
  <si>
    <t>Sofia Marlen Zambrano Rangel</t>
  </si>
  <si>
    <t>Maritza Samantha Ramos Serna</t>
  </si>
  <si>
    <t>Andrea Elizabeth Chavez Aguilar</t>
  </si>
  <si>
    <t>Cecilia Guadalupe Ochoa Rivera</t>
  </si>
  <si>
    <t>Jaime  Jaime Garza</t>
  </si>
  <si>
    <t>Joel Alejandro Flores Santiago</t>
  </si>
  <si>
    <t>Luis Omar Murillo Moreno</t>
  </si>
  <si>
    <t>Edgar Ismael Rodriguez Vela</t>
  </si>
  <si>
    <t>Erick Daniel Izaguirre Valle</t>
  </si>
  <si>
    <t>Edson Alejandro Vazquez Castillo</t>
  </si>
  <si>
    <t>Brayan Antonio Lara Torres Carmona</t>
  </si>
  <si>
    <t>Daphne Abigail Ramos Castro</t>
  </si>
  <si>
    <t>Edson Ricardo Rivera Luna</t>
  </si>
  <si>
    <t>Gabriel  Jimenez Ramos</t>
  </si>
  <si>
    <t>Pablo Emilio Vazquez Balderas</t>
  </si>
  <si>
    <t>Rogelio Miguel Mendoza Aguirre</t>
  </si>
  <si>
    <t>Grecia Alejandra Oyervides Garza</t>
  </si>
  <si>
    <t>Angela Yazmin Olivares Rivera</t>
  </si>
  <si>
    <t>Katia Nallely De La Rosa Saldaña</t>
  </si>
  <si>
    <t>Aranza Elizabeth Vazquez Rodriguez</t>
  </si>
  <si>
    <t>Estefani  Gonzalez Carranza</t>
  </si>
  <si>
    <t>Erick Rogelio Montelongo Reyes</t>
  </si>
  <si>
    <t>Arlet Samadhi Reyes Ochoa</t>
  </si>
  <si>
    <t>Fatima Guadalupe Castillo Martinez</t>
  </si>
  <si>
    <t>Bertha Alejandra Cisneros Ramirez</t>
  </si>
  <si>
    <t>Cassandra Denise Presas Rodarte</t>
  </si>
  <si>
    <t>Karla Alejandra Ortiz Hernandez</t>
  </si>
  <si>
    <t>Debanhi Patricia Escobar Gonzalez</t>
  </si>
  <si>
    <t>Cesar Emiliano Sanchez Pruneda</t>
  </si>
  <si>
    <t>Fatima Jaqueline Reyna Vazquez</t>
  </si>
  <si>
    <t>America Anakaren Coronado Trejo</t>
  </si>
  <si>
    <t>Kevin Daniel Martinez Gomez</t>
  </si>
  <si>
    <t>Jesus Alexis Camarillo Moreno</t>
  </si>
  <si>
    <t>Daniel Eduardo Del Rio Leal</t>
  </si>
  <si>
    <t>Noemi Villalobos Santana</t>
  </si>
  <si>
    <t>Damaris Michelle Ambriz Ruiz</t>
  </si>
  <si>
    <t>Alberto Aldair Caballero Trujillo</t>
  </si>
  <si>
    <t>Jair Elihu Olguin Valdes</t>
  </si>
  <si>
    <t>Alondra Abigail Bernal Hernandez</t>
  </si>
  <si>
    <t>Alexa Sofia Rivas Sauceda</t>
  </si>
  <si>
    <t>Jair Alejandro Garza Elizondo</t>
  </si>
  <si>
    <t>Laura Estefany Alonso Coronado</t>
  </si>
  <si>
    <t>Jesus Alejandro Luna Lucio</t>
  </si>
  <si>
    <t>Edgar Eduardo Contreras Chaires</t>
  </si>
  <si>
    <t>Brian Rigoberto Quiroz Zamarron</t>
  </si>
  <si>
    <t>Brandon Alexis Fuentes Garza</t>
  </si>
  <si>
    <t>Lizeth Anahi Hernandez Sanchez</t>
  </si>
  <si>
    <t>Karla Odalia Mejia Altamirano</t>
  </si>
  <si>
    <t>Cecilia Jacqueline Loredo Gaytan</t>
  </si>
  <si>
    <t>Nancy Abigail Cazares Herrera</t>
  </si>
  <si>
    <t>Gabriela Judith Alanis Hernandez</t>
  </si>
  <si>
    <t>Ana Karen Farias Castillo</t>
  </si>
  <si>
    <t>Areli Betsabe Rodriguez Vazquez</t>
  </si>
  <si>
    <t>Eduardo Sebastian Escalante Gonzalez</t>
  </si>
  <si>
    <t>Naili De Leon Herrera</t>
  </si>
  <si>
    <t>Gabriela Alejadra Martinez De Leon</t>
  </si>
  <si>
    <t>Laura Anahi Gallegos Sauceda</t>
  </si>
  <si>
    <t>Devany Alexandra Montoya Muñiz</t>
  </si>
  <si>
    <t>Evelin Yamileth Cantu Cabral</t>
  </si>
  <si>
    <t>Alfonso Robles Armijo</t>
  </si>
  <si>
    <t>Clara Guadalupe Ramirez Mata</t>
  </si>
  <si>
    <t>Eduardo Garza Guerra</t>
  </si>
  <si>
    <t>Julieta Berenice Enriquez Muñoz</t>
  </si>
  <si>
    <t>Jaime Alejandro Sanchez Niño</t>
  </si>
  <si>
    <t>David Guadalupe Rodriguez Chavez</t>
  </si>
  <si>
    <t>Cynthia Lizzeth Zul Hernandez</t>
  </si>
  <si>
    <t>Lorena Montserrat Carrera Ortiz</t>
  </si>
  <si>
    <t>Reyna Esthela Collazo Mariscal</t>
  </si>
  <si>
    <t>Katya Daniela Rodriguez Ochoa</t>
  </si>
  <si>
    <t>Lizbeth Martha Pazcal Escobedo</t>
  </si>
  <si>
    <t>Lenda Milena Bazaldua Parra</t>
  </si>
  <si>
    <t>Esmeralda Sanchez Hernandez</t>
  </si>
  <si>
    <t>Evelyn Jazmin Escobedo Rodriguez</t>
  </si>
  <si>
    <t>Lilia Janice Estrada Esparza</t>
  </si>
  <si>
    <t>Jaime Alejandro Colunga Medina</t>
  </si>
  <si>
    <t>Aide Ortega Anell</t>
  </si>
  <si>
    <t>Debany Rebeca Morales Rangel</t>
  </si>
  <si>
    <t>Brandon Javier Orta Reyna</t>
  </si>
  <si>
    <t>Sandra Lisia Santiago Cruz</t>
  </si>
  <si>
    <t>Karina Lizbeth Estrada Galvan</t>
  </si>
  <si>
    <t>Evelin Denisse Tovar Martinez</t>
  </si>
  <si>
    <t>Arely Rubi Ruiz Silva</t>
  </si>
  <si>
    <t>Ingrid Elizabeth Perez Rangel</t>
  </si>
  <si>
    <t>Ana Victoria Fernandez Chavez</t>
  </si>
  <si>
    <t>Carolina Perez Villarreal</t>
  </si>
  <si>
    <t>Paulina Guadalupe Lozano Morales</t>
  </si>
  <si>
    <t>Francisco Alejandro Torres Méndez</t>
  </si>
  <si>
    <t>Rocio Janett Sauceda Delgado</t>
  </si>
  <si>
    <t>Nataly Guadalupe Zúñiga Cecilio</t>
  </si>
  <si>
    <t>Brayan Alexis Reyes Cuellar</t>
  </si>
  <si>
    <t>Mayra Acevedo Presas</t>
  </si>
  <si>
    <t>Análisis de costos</t>
  </si>
  <si>
    <t>Proyección</t>
  </si>
  <si>
    <t>Soluciones de negocio</t>
  </si>
  <si>
    <t>Administración</t>
  </si>
  <si>
    <t>Hector de Jesus Herrera Martínez</t>
  </si>
  <si>
    <t>Recurso legal</t>
  </si>
  <si>
    <t>Enrique Monsivais Jacques</t>
  </si>
  <si>
    <t>FALTA</t>
  </si>
  <si>
    <t>INCAP</t>
  </si>
  <si>
    <t>ESPECIALIDAD</t>
  </si>
  <si>
    <t>Practicante</t>
  </si>
  <si>
    <t>Esthefanía Ramírez Ocampo</t>
  </si>
  <si>
    <t>Cecilia Tamara Farías Flores</t>
  </si>
  <si>
    <t>FECHA NAC</t>
  </si>
  <si>
    <t>CEL PERS</t>
  </si>
  <si>
    <t>EXT</t>
  </si>
  <si>
    <t>CORREO INSTITUCIONAL</t>
  </si>
  <si>
    <t>Monserrat Montoya Nájera</t>
  </si>
  <si>
    <t>Dorian Gamaiel Martínez Berlanga</t>
  </si>
  <si>
    <t>FECHA SAL.</t>
  </si>
  <si>
    <t>MOTIVO SALIDA</t>
  </si>
  <si>
    <t>CEL. CONTACTO</t>
  </si>
  <si>
    <t>Anadela Deyanira Rivera Betancourt</t>
  </si>
  <si>
    <t>BDD</t>
  </si>
  <si>
    <t>Aylin Medellín Sanchez</t>
  </si>
  <si>
    <t>CORREO PERS.</t>
  </si>
  <si>
    <t>COLONIA</t>
  </si>
  <si>
    <t>LÍDER</t>
  </si>
  <si>
    <t>SUBDPTO ANT 2</t>
  </si>
  <si>
    <t>SALUD</t>
  </si>
  <si>
    <t>FECHA ING</t>
  </si>
  <si>
    <t>EDO CIVIL</t>
  </si>
  <si>
    <t>D.PAG.V.</t>
  </si>
  <si>
    <t>ANTIG</t>
  </si>
  <si>
    <t>VAC X AÑO</t>
  </si>
  <si>
    <t>D VAC TOM</t>
  </si>
  <si>
    <t>D VAC DISP</t>
  </si>
  <si>
    <t>Yadira Yossary González Leyva</t>
  </si>
  <si>
    <t>SUE MENS</t>
  </si>
  <si>
    <t>SUE X HR</t>
  </si>
  <si>
    <t>ÚLT SUBDPTO</t>
  </si>
  <si>
    <t>NO</t>
  </si>
  <si>
    <t>ACTAS</t>
  </si>
  <si>
    <t>CORREO INST</t>
  </si>
  <si>
    <t>AMONES</t>
  </si>
  <si>
    <t>Itzel Alejandra Flores Hernandez</t>
  </si>
  <si>
    <t>ULT SM</t>
  </si>
  <si>
    <t>LÍDER DPTO</t>
  </si>
  <si>
    <t>CUMPLEAÑOS</t>
  </si>
  <si>
    <t>Abad Gomez Pecorelli</t>
  </si>
  <si>
    <t>ESCUELA</t>
  </si>
  <si>
    <t>UANL</t>
  </si>
  <si>
    <t>UVM</t>
  </si>
  <si>
    <t>UMM</t>
  </si>
  <si>
    <t>TEC</t>
  </si>
  <si>
    <t>TECMIL</t>
  </si>
  <si>
    <t>UNEZ</t>
  </si>
  <si>
    <t>UR</t>
  </si>
  <si>
    <t>INSUCO</t>
  </si>
  <si>
    <t>UN</t>
  </si>
  <si>
    <t>IPADE</t>
  </si>
  <si>
    <t>UNAM</t>
  </si>
  <si>
    <t>IPN</t>
  </si>
  <si>
    <t>UDG</t>
  </si>
  <si>
    <t>ITAM</t>
  </si>
  <si>
    <t>UASLP</t>
  </si>
  <si>
    <t>UDLAP</t>
  </si>
  <si>
    <t>PREPA 3</t>
  </si>
  <si>
    <t>PREPA 9</t>
  </si>
  <si>
    <t>Hoy es</t>
  </si>
  <si>
    <t>SUE DIA</t>
  </si>
  <si>
    <t>José Gilberto Hernández López</t>
  </si>
  <si>
    <t>Dulce Elizabeth Santos Martínez</t>
  </si>
  <si>
    <t>Aldo Alejandro Quiroga Vargas</t>
  </si>
  <si>
    <t>Litsi Jaqueline Carvajal Cortez</t>
  </si>
  <si>
    <t>Delsy Yarlet Esparza Cedillo</t>
  </si>
  <si>
    <t>Debanhy Yamileth Parada Garza</t>
  </si>
  <si>
    <t>Eduardo Isai Longoria Hernández</t>
  </si>
  <si>
    <t>Esteban Contreras Torres</t>
  </si>
  <si>
    <t>Omar Trevino Padilla</t>
  </si>
  <si>
    <t>Miguel Everardo Vázquez Morales</t>
  </si>
  <si>
    <t>Cinthia Lucero Coronado Segundo</t>
  </si>
  <si>
    <t>Brayan Campos Hernández</t>
  </si>
  <si>
    <t>Karen Jacqueline Rodríguez Puga</t>
  </si>
  <si>
    <t>Beatriz Basurto Carrillo</t>
  </si>
  <si>
    <t>Alexia Fernanda Sánchez López</t>
  </si>
  <si>
    <t>Karyme Liliana Netro Chávez</t>
  </si>
  <si>
    <t>Devany Yamileth Hernández De Los Santos</t>
  </si>
  <si>
    <t>Fátima Valeria Morales Fabila</t>
  </si>
  <si>
    <t>Daniela Alejandra Delgado Domínguez</t>
  </si>
  <si>
    <t>Marco Antonio Martínez Guerrero</t>
  </si>
  <si>
    <t>Alejandra Lisette Villavicencio Rodríguez</t>
  </si>
  <si>
    <t>Iliana Abigail Ortega Silva</t>
  </si>
  <si>
    <t>Sadrac Said Dávila Cataño</t>
  </si>
  <si>
    <t>Elda Karyme Espinosa Vela</t>
  </si>
  <si>
    <t>Paola Alejandra Alvarado Guerrero</t>
  </si>
  <si>
    <t>Saul Arturo Gámez De León</t>
  </si>
  <si>
    <t>Heber Espinoza Tadeo</t>
  </si>
  <si>
    <t>Saulo Hermenegildo Puente Martínez</t>
  </si>
  <si>
    <t>Jesús Eduardo Urbina Valdez</t>
  </si>
  <si>
    <t>Hugo Alejandro Segura Viveros</t>
  </si>
  <si>
    <t>Joana Lizeth Pérez Albardín</t>
  </si>
  <si>
    <t>Jeidi Brisa Soto Martínez</t>
  </si>
  <si>
    <t>Areli Suzette Vázquez Hernández</t>
  </si>
  <si>
    <t>Jair De Jesús Frausto González</t>
  </si>
  <si>
    <t>Elías Arturo Garza Tiburcio</t>
  </si>
  <si>
    <t>Marcos Eliud Ocanas Tovar</t>
  </si>
  <si>
    <t>Luis Eduardo Rosales Pérez</t>
  </si>
  <si>
    <t>William Ulises Gómez González</t>
  </si>
  <si>
    <t>Alejandra Vannesa Casas Dueñas</t>
  </si>
  <si>
    <t>Mayra Alejandra Zamarrón Aguilar</t>
  </si>
  <si>
    <t>Cynthia González Sánchez</t>
  </si>
  <si>
    <t>Norma Edith Santiago Ramos</t>
  </si>
  <si>
    <t>UV</t>
  </si>
  <si>
    <t>SUE QUIN</t>
  </si>
  <si>
    <t>FECHA DE APLICACIÓN:</t>
  </si>
  <si>
    <t>VACACIONES (EN EFF):</t>
  </si>
  <si>
    <t>PV (EN EFF):</t>
  </si>
  <si>
    <t>DÍAS X PRESTACIÓN:</t>
  </si>
  <si>
    <t>FRACC DE PV (EN DÍAS):</t>
  </si>
  <si>
    <t>NOMBRE</t>
  </si>
  <si>
    <t>NO. EMPLEADO</t>
  </si>
  <si>
    <t>FECHA BAJA</t>
  </si>
  <si>
    <t>CIUDAD DOM</t>
  </si>
  <si>
    <t>ULT NVL EDU</t>
  </si>
  <si>
    <t>SEMEST</t>
  </si>
  <si>
    <t>SUBDEPTO ACT</t>
  </si>
  <si>
    <t>DEPTO ACT</t>
  </si>
  <si>
    <t>SUBDEPTO ULT</t>
  </si>
  <si>
    <t>SUBDEPTO ANT</t>
  </si>
  <si>
    <t>SUE ULT</t>
  </si>
  <si>
    <t>NVL ING</t>
  </si>
  <si>
    <t>CARRERA</t>
  </si>
  <si>
    <t>ANT</t>
  </si>
  <si>
    <t>N</t>
  </si>
  <si>
    <t>Valeria Del Carmen Sánchez Valladares</t>
  </si>
  <si>
    <t>Mónica Samantha López Lara</t>
  </si>
  <si>
    <t>Dariana Arjona Herrera</t>
  </si>
  <si>
    <t>Alejandro Turner Aguilar</t>
  </si>
  <si>
    <t>Jorge Alberto Quintero Corona</t>
  </si>
  <si>
    <t>Cidney Aime Ruan Martínez</t>
  </si>
  <si>
    <t>Marco Raúl Hernández Salazar</t>
  </si>
  <si>
    <t>Marcos Adrián Aguilera Clemente</t>
  </si>
  <si>
    <t>María De Los Ángeles Toledo López</t>
  </si>
  <si>
    <t>María del Rosario Salinas Rivera</t>
  </si>
  <si>
    <t>María Fernanda Plata Ruiz</t>
  </si>
  <si>
    <t>María Guadalupe Soto Parra</t>
  </si>
  <si>
    <t>Mary Alejandra Ríos Rodríguez</t>
  </si>
  <si>
    <t>Michelle Alejandra Velázquez Martínez</t>
  </si>
  <si>
    <t>Miguel Ángel Arroyo Villegas</t>
  </si>
  <si>
    <t>Miriam Denisse Cisneros Sánchez</t>
  </si>
  <si>
    <t>Nailea Alejandra Pérez Sánchez</t>
  </si>
  <si>
    <t>Nallely Patricia Vázquez Vargas</t>
  </si>
  <si>
    <t>Nancy Margarita Sáenz Garza</t>
  </si>
  <si>
    <t>Octavio Imanol Vicente Gómez</t>
  </si>
  <si>
    <t>Ofelia Gisel Domínguez Reyes</t>
  </si>
  <si>
    <t>Paola Judith Fentanes Álvarez</t>
  </si>
  <si>
    <t>Paulina Aracely Aguilar Juárez</t>
  </si>
  <si>
    <t>Pedro Emanuel Pérez Barrios</t>
  </si>
  <si>
    <t>Perla Elena Núñez Eguren</t>
  </si>
  <si>
    <t>Priscila Estefanía Hernández Sánchez</t>
  </si>
  <si>
    <t>Ramiro Adrián Sánchez Moreno</t>
  </si>
  <si>
    <t>Ramiro Salazar Martínez</t>
  </si>
  <si>
    <t>Reyna Elizabeth Quezada Sánchez</t>
  </si>
  <si>
    <t>Roberto Alejandro Jaramillo González</t>
  </si>
  <si>
    <t>Rogelio González Valadez</t>
  </si>
  <si>
    <t>Sahara Jackellyn González Aguilar</t>
  </si>
  <si>
    <t>Samanta Villarreal Núñez</t>
  </si>
  <si>
    <t>Sandra Berenice Buendía Rodríguez</t>
  </si>
  <si>
    <t>Silvia Lizeth López Gómez</t>
  </si>
  <si>
    <t>Sofia Idalia Luna Hernández</t>
  </si>
  <si>
    <t>Stephany Alondra Sarmiento Hernández</t>
  </si>
  <si>
    <t>Tatiana Lara Sánchez</t>
  </si>
  <si>
    <t>Valeria Lisseth Rodríguez Padilla</t>
  </si>
  <si>
    <t>Valeria Solís Elizondo</t>
  </si>
  <si>
    <t>Victoria Edith Godínez Vélez</t>
  </si>
  <si>
    <t>Violeta Ibarra Páez</t>
  </si>
  <si>
    <t>Yuliana Guadalupe Monsiváis Gámez</t>
  </si>
  <si>
    <t>Yessica Macías Ramírez</t>
  </si>
  <si>
    <t>Karina Alicia Salgado Garizurieta</t>
  </si>
  <si>
    <t>Melissa susana Pérez Hernández</t>
  </si>
  <si>
    <t>Damaris López Cárcamo</t>
  </si>
  <si>
    <t>Karla Faryde González Lozano</t>
  </si>
  <si>
    <t>Efrain Bahena Salgado</t>
  </si>
  <si>
    <t>Araceli Lopez Sanchez</t>
  </si>
  <si>
    <t>Ma Angelica Reynoso Reynoso</t>
  </si>
  <si>
    <t>Carlos Antonio Rodriguez Campechano</t>
  </si>
  <si>
    <t>Victor Manuel Adame Carmona</t>
  </si>
  <si>
    <t>Maria De Los Angeles Albino Manuel</t>
  </si>
  <si>
    <t>Edgar Omar Aleman Lopez</t>
  </si>
  <si>
    <t>Virgilio Amaro Vega</t>
  </si>
  <si>
    <t>Alma Susel Andrade Mendez</t>
  </si>
  <si>
    <t>Carmen Julia Angel Silva</t>
  </si>
  <si>
    <t>Julio Cesar Angel Silva</t>
  </si>
  <si>
    <t>Juan Socorro Angeles Martinez</t>
  </si>
  <si>
    <t>Alberto Manuel Anica Dominguez</t>
  </si>
  <si>
    <t>Etsaul Amador Archundia Mercado</t>
  </si>
  <si>
    <t>Mario Alberto Arcos Santiago</t>
  </si>
  <si>
    <t>Ana Arellano Hernandez</t>
  </si>
  <si>
    <t>Francisca Aurea Avila Fuentes</t>
  </si>
  <si>
    <t>Mirna Aviles Gudiño</t>
  </si>
  <si>
    <t>Jose Orlando Baltazar Najera</t>
  </si>
  <si>
    <t>Anallely Barona Peñaloza</t>
  </si>
  <si>
    <t>Melisa Bello Martinez</t>
  </si>
  <si>
    <t>Guadalupe Margarita Bello Sanchez</t>
  </si>
  <si>
    <t>Enrique Bello Solis</t>
  </si>
  <si>
    <t>Jesus Esteban Benitez Cervantes</t>
  </si>
  <si>
    <t>Yasmin Blanco Noyola</t>
  </si>
  <si>
    <t>Victor Daniel Blanco Toscano</t>
  </si>
  <si>
    <t>Esteban Bonifacio Felipe</t>
  </si>
  <si>
    <t>Hector Bracho Cabrera</t>
  </si>
  <si>
    <t>Osvaldo Buenfil Catalan</t>
  </si>
  <si>
    <t>Feliciana Bueno Alcaraz</t>
  </si>
  <si>
    <t>Alejandro Burgos Santana</t>
  </si>
  <si>
    <t>David Calixto Solis</t>
  </si>
  <si>
    <t>Maria Del Rocio Camacho Alvarez</t>
  </si>
  <si>
    <t>Estela Campos Marin</t>
  </si>
  <si>
    <t>Irene Carbajal Contreras</t>
  </si>
  <si>
    <t>Judith Selene Cardenas Leon</t>
  </si>
  <si>
    <t>Lorena Carrillo Rendon</t>
  </si>
  <si>
    <t>Yuliana Carrillo Rodriguez</t>
  </si>
  <si>
    <t>Jennifer Coral Carrillo Sanchez</t>
  </si>
  <si>
    <t>Gabriela Carvajal Rodriguez</t>
  </si>
  <si>
    <t>Mayra Iris Castañeda Lopez</t>
  </si>
  <si>
    <t>Thanya Lizbeth Ceballos Herrera</t>
  </si>
  <si>
    <t>Luz Maria Cedano Herrera</t>
  </si>
  <si>
    <t>Elizabeth Celestino Torralba</t>
  </si>
  <si>
    <t>Rosa Liz Chavez Cortez</t>
  </si>
  <si>
    <t>Teodoro Contreras Cruz</t>
  </si>
  <si>
    <t>Martha Corona Ocampo</t>
  </si>
  <si>
    <t>Fidel Corona Ramos</t>
  </si>
  <si>
    <t>Adriana Adilene Cortes Castañon</t>
  </si>
  <si>
    <t>Maria Del Carmen Cortes Peralta</t>
  </si>
  <si>
    <t>Ana Bertha Cortez Bautista</t>
  </si>
  <si>
    <t>Lorena Cortez Gaspar</t>
  </si>
  <si>
    <t>Lisset Guadalupe Cristobal Valdez</t>
  </si>
  <si>
    <t>Juan Miguel Cruz Bailon</t>
  </si>
  <si>
    <t>Teresa Cruz Hurtado</t>
  </si>
  <si>
    <t>Yolani Cruz Jacinto</t>
  </si>
  <si>
    <t>Luis Fernando Cruz Pineda</t>
  </si>
  <si>
    <t>Manuel Alejandro Cuadrilla Adame</t>
  </si>
  <si>
    <t>Rebeca De La Cruz Salgado</t>
  </si>
  <si>
    <t>Ma Guadalupe Delgado Pablo</t>
  </si>
  <si>
    <t>Rocio Diaz Palma</t>
  </si>
  <si>
    <t>Gregoria Diaz Ramirez</t>
  </si>
  <si>
    <t>Maria Del Carmen Dina De Los Santos</t>
  </si>
  <si>
    <t>Epifanio Dominguez Ramos</t>
  </si>
  <si>
    <t>Hector Miguel Dorantes Palma</t>
  </si>
  <si>
    <t>Margarita Estrada Carrasco</t>
  </si>
  <si>
    <t>Norbella Evangelista Hernandez</t>
  </si>
  <si>
    <t>Elizabeth Fierro Lozano</t>
  </si>
  <si>
    <t>Josefina Figueroa Perez</t>
  </si>
  <si>
    <t>Griselda Fuentes Lugo</t>
  </si>
  <si>
    <t>Amada Garcia Jaimes</t>
  </si>
  <si>
    <t>Maria Elizabeth Garcia Nava</t>
  </si>
  <si>
    <t>Cristina Gazpar Manuel</t>
  </si>
  <si>
    <t>Daniel Gervacio Javier</t>
  </si>
  <si>
    <t>Nora Livia Gomez Figueroa</t>
  </si>
  <si>
    <t>Cristina Gonzalez Guevara</t>
  </si>
  <si>
    <t>Lucia Granados Cortez</t>
  </si>
  <si>
    <t>Maribel Guerrero Herrera</t>
  </si>
  <si>
    <t>Fernando Guillen De La Rosa</t>
  </si>
  <si>
    <t>Carmen Gutierrez Soto</t>
  </si>
  <si>
    <t>Judith Hernandez Adame</t>
  </si>
  <si>
    <t>Armando Hernandez Avila</t>
  </si>
  <si>
    <t>Felipa Hernandez Castro</t>
  </si>
  <si>
    <t>Cruz Hernandez Hernandez</t>
  </si>
  <si>
    <t>Brisa Celene Hernandez Loeza</t>
  </si>
  <si>
    <t>Juana Hernandez Mares</t>
  </si>
  <si>
    <t>Antonio Hernandez Martinez</t>
  </si>
  <si>
    <t>Edilia Hernandez Mena</t>
  </si>
  <si>
    <t>Rolando Hernandez Ortiz</t>
  </si>
  <si>
    <t>Reyna Esperanza Hernandez Sorrosa</t>
  </si>
  <si>
    <t>Karla Herrera Flores</t>
  </si>
  <si>
    <t>Filiberto Herrera Nuñez</t>
  </si>
  <si>
    <t>Felipe Hipolito Carbajal</t>
  </si>
  <si>
    <t>Tita Hurtado Jimenez</t>
  </si>
  <si>
    <t>Carlos Jimenez Martinez</t>
  </si>
  <si>
    <t>Jaime Jimenez Pelaez</t>
  </si>
  <si>
    <t>Cira Jimenez Tornes</t>
  </si>
  <si>
    <t>Diana Jimenez Valladares</t>
  </si>
  <si>
    <t>Natividad Juarez Sanchez</t>
  </si>
  <si>
    <t>Gabriel Adrian Lara Barajas</t>
  </si>
  <si>
    <t>Magdalena Leon Peña</t>
  </si>
  <si>
    <t>Francisco Lopez Adame</t>
  </si>
  <si>
    <t>Abel Lopez Aguilar</t>
  </si>
  <si>
    <t>Rafael Lopez Lopez</t>
  </si>
  <si>
    <t>Reyna Nataly Loza Alarcon</t>
  </si>
  <si>
    <t>Raul Lozano Lopez</t>
  </si>
  <si>
    <t>Yoali Rafaela Maganda Zarate</t>
  </si>
  <si>
    <t>Alma Rely Manrique Cartagena</t>
  </si>
  <si>
    <t>Nidia Eva Manzanarez Tejeda</t>
  </si>
  <si>
    <t>Irene Marin Garcia</t>
  </si>
  <si>
    <t>Julia Angelica Marin Zaragoza</t>
  </si>
  <si>
    <t>Amalia Marino Valdovinos</t>
  </si>
  <si>
    <t>Brigido Martinez Baltazar</t>
  </si>
  <si>
    <t>Enrique Martinez Carbajal</t>
  </si>
  <si>
    <t>Guadalupe Martinez Chavez</t>
  </si>
  <si>
    <t>Araceli Martinez Lopez</t>
  </si>
  <si>
    <t>Georgina Mayoral Nabor</t>
  </si>
  <si>
    <t>Julian Mejia Hernandez</t>
  </si>
  <si>
    <t>Francisco Javier Mendez Arenas</t>
  </si>
  <si>
    <t>Antonia Meza Platero</t>
  </si>
  <si>
    <t>Marina Mijarez Medina</t>
  </si>
  <si>
    <t>Pedro Miranda Morales</t>
  </si>
  <si>
    <t>Silvia Olivia Mondragon Martinez</t>
  </si>
  <si>
    <t>Salvador Morales Alcocer</t>
  </si>
  <si>
    <t>Francisco Gerardo Mota Escobedo</t>
  </si>
  <si>
    <t>Victor Jesus Mota Gomez</t>
  </si>
  <si>
    <t>Ana Laura Moyado Garcia</t>
  </si>
  <si>
    <t>Jesus Nava Adame</t>
  </si>
  <si>
    <t>Arturo Nava Atilano</t>
  </si>
  <si>
    <t>Maria Nava Dominguez</t>
  </si>
  <si>
    <t>Conzuelo Nava Reyes</t>
  </si>
  <si>
    <t>Patricia Nava Torres</t>
  </si>
  <si>
    <t>Inocencia Navarrete Cabañas</t>
  </si>
  <si>
    <t>Javier Nicacio Martinez</t>
  </si>
  <si>
    <t>Juanita Enedina Nieves Lara</t>
  </si>
  <si>
    <t>Alfonso Noyola Bustos</t>
  </si>
  <si>
    <t>Alma Noyola Estrada</t>
  </si>
  <si>
    <t>Marco Antonio Noyola Hernandez</t>
  </si>
  <si>
    <t>Sheyla Rubi Ocampo Ponce</t>
  </si>
  <si>
    <t>Pedro Oliveros Vazquez</t>
  </si>
  <si>
    <t>Esmeralda Organista Peñaloza</t>
  </si>
  <si>
    <t>Eden Francisco Ortega Rodriguez</t>
  </si>
  <si>
    <t>Erika Alicia Ortiz Castro</t>
  </si>
  <si>
    <t>Carolina Ortiz Montero</t>
  </si>
  <si>
    <t>Humberto Pacheco Cabrera</t>
  </si>
  <si>
    <t>Eduardo Pacheco Nava</t>
  </si>
  <si>
    <t>Edwin Palma Alvarez</t>
  </si>
  <si>
    <t>Emilene Palma Guzman</t>
  </si>
  <si>
    <t>Lidia Teresa Palma Zavaleta</t>
  </si>
  <si>
    <t>Julio Alberto Pastenes Ramirez</t>
  </si>
  <si>
    <t>Lucia Pavon Maya</t>
  </si>
  <si>
    <t>Liliana Peña Popoca</t>
  </si>
  <si>
    <t>Priscillia Peña Popoca</t>
  </si>
  <si>
    <t>Jesus Daniel Perez Cervantes</t>
  </si>
  <si>
    <t>Alfredo Perez Lopez</t>
  </si>
  <si>
    <t>Nataly Periban Arroyo</t>
  </si>
  <si>
    <t>Marco Antonio Pineda Vargas</t>
  </si>
  <si>
    <t>Ma Del Consuelo Pineda Vidal</t>
  </si>
  <si>
    <t>Isaac Radilla Lopez</t>
  </si>
  <si>
    <t>Imelda Rafaela Mendoza</t>
  </si>
  <si>
    <t>Maria Del Carmen Ramirez Castillo</t>
  </si>
  <si>
    <t>Mario Ramirez Garcia</t>
  </si>
  <si>
    <t>Yesica Ramirez Valdez</t>
  </si>
  <si>
    <t>Esau Ramos Ortiz</t>
  </si>
  <si>
    <t>Yesenia Reyes Cordoba</t>
  </si>
  <si>
    <t>Marbella Reyes Santiago</t>
  </si>
  <si>
    <t>Ricardo Reyes Sayago</t>
  </si>
  <si>
    <t>Bartolome Rios Gutierrez</t>
  </si>
  <si>
    <t>Yasser Rios Guzman</t>
  </si>
  <si>
    <t>Cristina Rivas Vinalay</t>
  </si>
  <si>
    <t>Albino Rivera Carranza</t>
  </si>
  <si>
    <t>Roberto Rodriguez Arroyo</t>
  </si>
  <si>
    <t>Victor Manuel Rodriguez Palma</t>
  </si>
  <si>
    <t>Maria De Los Angeles Rojas Cardenas</t>
  </si>
  <si>
    <t>Sandra Saguilan Baños</t>
  </si>
  <si>
    <t>Omar Salas Emigdio</t>
  </si>
  <si>
    <t>Bernandina Salgado Lorenzo</t>
  </si>
  <si>
    <t>Margarita Salgado Noguez</t>
  </si>
  <si>
    <t>Adelaido Sanchez Mejia</t>
  </si>
  <si>
    <t>Silvia Sandoval Castañeda</t>
  </si>
  <si>
    <t>Yeni Santibañez Perez</t>
  </si>
  <si>
    <t>Juana Sarabia Medina</t>
  </si>
  <si>
    <t>Laura Abril Serna Olea</t>
  </si>
  <si>
    <t>Rodrigo Silva Contreras</t>
  </si>
  <si>
    <t>Celina Solis Avila</t>
  </si>
  <si>
    <t>Irma Solis Bolivar</t>
  </si>
  <si>
    <t>Federica Tereza Adame</t>
  </si>
  <si>
    <t>Ruby Isela Tolentino Bernal</t>
  </si>
  <si>
    <t>Jezreel Alberto Torres Diaz</t>
  </si>
  <si>
    <t>Maria Elena Ulloa Oceguera</t>
  </si>
  <si>
    <t>Jazmin Valdez Sanchez</t>
  </si>
  <si>
    <t>Marilu Valdovinos Blanco</t>
  </si>
  <si>
    <t>Luz Adriana Valenzo Lozano</t>
  </si>
  <si>
    <t>Claudia Mariel Valenzuela Jimenez</t>
  </si>
  <si>
    <t>Paul Vargas Mares</t>
  </si>
  <si>
    <t>Miguel Angel Vazquez Parra</t>
  </si>
  <si>
    <t>Lizeth Velazquez Lopez</t>
  </si>
  <si>
    <t>Mixcel Velazquez Lopez</t>
  </si>
  <si>
    <t>Jesus Ignacio Villa Corrales</t>
  </si>
  <si>
    <t>Silvia Villalva Guzman</t>
  </si>
  <si>
    <t>Karen Villanueva Moreno</t>
  </si>
  <si>
    <t>Reyna Zambrano Flores</t>
  </si>
  <si>
    <t>Larry Zamora Avila</t>
  </si>
  <si>
    <t>Salvador Zanabriga Giron</t>
  </si>
  <si>
    <t>Nanci Zavala Perez</t>
  </si>
  <si>
    <t>Beatriz Adriana Zavaleta Minor</t>
  </si>
  <si>
    <t>Guadalupe Zuñiga Pioquinto</t>
  </si>
  <si>
    <t>Evelia Abarca De Dios</t>
  </si>
  <si>
    <t>Biridiana Abrajan Grande</t>
  </si>
  <si>
    <t>Maria Guadalupe Alvarez Hernandez</t>
  </si>
  <si>
    <t>Alma Delia Alvarez Ponciano</t>
  </si>
  <si>
    <t>Miguel Angel Anguiano Blanco</t>
  </si>
  <si>
    <t>Jose Aguirre Casiano</t>
  </si>
  <si>
    <t>Julian Alejo Corraltitlan</t>
  </si>
  <si>
    <t>Melba Antonio Texta</t>
  </si>
  <si>
    <t>Juan Pablo Arellano Mejia</t>
  </si>
  <si>
    <t>Jorge Enrique Arellano Villalobos</t>
  </si>
  <si>
    <t>Julio Cesar Arguello Cisnero</t>
  </si>
  <si>
    <t>Elda Guadalupe Aripez Romero</t>
  </si>
  <si>
    <t>Felipa Bacilio Escobar</t>
  </si>
  <si>
    <t>Elizabeth Barona Hilario</t>
  </si>
  <si>
    <t>Araceli Yuridia Barrera Saldaña</t>
  </si>
  <si>
    <t>Javier Bazan Diaz</t>
  </si>
  <si>
    <t>Rene Benitez Borja</t>
  </si>
  <si>
    <t>Roberto Bernal Aguilar</t>
  </si>
  <si>
    <t>Enrique Bolaños Torres</t>
  </si>
  <si>
    <t>Deisy Calixto Palma</t>
  </si>
  <si>
    <t>Ivonet Campos Manrique</t>
  </si>
  <si>
    <t>Maura Carbajal Crispin</t>
  </si>
  <si>
    <t>Yamin Cardenas Martines</t>
  </si>
  <si>
    <t>Eva Castañeda Jimenez</t>
  </si>
  <si>
    <t>Hugo Castillo Vazquez</t>
  </si>
  <si>
    <t>Yuridia Elizabeth Castro Cano</t>
  </si>
  <si>
    <t>Blas Francisco Cedomio Alvarez</t>
  </si>
  <si>
    <t>Celestino Ceron Velazquez</t>
  </si>
  <si>
    <t>Higinio Cerros Mayo</t>
  </si>
  <si>
    <t>Blanca Zuady Chavez Mendoza</t>
  </si>
  <si>
    <t>Sandra Iris Chavez Resendiz</t>
  </si>
  <si>
    <t>Silvino Chegue Zarate</t>
  </si>
  <si>
    <t>Edith Chino Gonzalez</t>
  </si>
  <si>
    <t>Orlando Corona Aguirre</t>
  </si>
  <si>
    <t>Tomas Corona Castro</t>
  </si>
  <si>
    <t>Lorena Cortes Torralbo</t>
  </si>
  <si>
    <t>Alma Cruz Molina</t>
  </si>
  <si>
    <t>Emiliana Cruz Ramirez</t>
  </si>
  <si>
    <t>Tomas De Jesus Alvarez</t>
  </si>
  <si>
    <t>Maria Magdalena De La Cruz Reyes</t>
  </si>
  <si>
    <t>Guadalupe Del Carmen Velazquez</t>
  </si>
  <si>
    <t>Antonia Delgado Flores</t>
  </si>
  <si>
    <t>Christian Guillermo Dominguez Guerrero</t>
  </si>
  <si>
    <t>Elvia Dominguez Renteria</t>
  </si>
  <si>
    <t>Jeannethe Escalera Salinas</t>
  </si>
  <si>
    <t>Angel Estrada Abundiz</t>
  </si>
  <si>
    <t>Daniela Evangelista Gutierrez</t>
  </si>
  <si>
    <t>Carmela Flores Carrillo</t>
  </si>
  <si>
    <t>Miriam Guadalupe Flores Gracida</t>
  </si>
  <si>
    <t>Katy Flores Villanueva</t>
  </si>
  <si>
    <t>Elias Gallardo Herrera</t>
  </si>
  <si>
    <t>Delfina Gallo Bernal</t>
  </si>
  <si>
    <t>Carlos Rafael Gaona Romero</t>
  </si>
  <si>
    <t>Arcenio Gatica Portillo</t>
  </si>
  <si>
    <t>Ulises Raul Gomez Najera</t>
  </si>
  <si>
    <t>Delfina Gutierrez Carbajal</t>
  </si>
  <si>
    <t>Luciano Gutierrez Chavez</t>
  </si>
  <si>
    <t>Araceli Gutierrez Patricio</t>
  </si>
  <si>
    <t>Adrian Guzman Cipriano</t>
  </si>
  <si>
    <t>Arturo Guzman Pacheco</t>
  </si>
  <si>
    <t>Araceli Guzman Rodriguez</t>
  </si>
  <si>
    <t>Moises Hernandez Almazan</t>
  </si>
  <si>
    <t>Rosa Hernandez Alvarado</t>
  </si>
  <si>
    <t>Juvenal Hernandez Analco</t>
  </si>
  <si>
    <t>Alma Delia Hernandez Bibiano</t>
  </si>
  <si>
    <t>Valeria Hernandez Cervantes</t>
  </si>
  <si>
    <t>Lucia Hernandez Flores</t>
  </si>
  <si>
    <t>Rocio Del Carmen Hernandez Gallardo</t>
  </si>
  <si>
    <t>David Alejandro Hernandez Guerra</t>
  </si>
  <si>
    <t>Yesenia Hernandez Guzman</t>
  </si>
  <si>
    <t>Yadira Rohde Hernandez Lopez</t>
  </si>
  <si>
    <t>Y</t>
  </si>
  <si>
    <t>OTRO</t>
  </si>
  <si>
    <t>Seleccionar…</t>
  </si>
  <si>
    <t>MOT BAJA</t>
  </si>
  <si>
    <t>PREPA</t>
  </si>
  <si>
    <t>PSNTE</t>
  </si>
  <si>
    <t>MAEST</t>
  </si>
  <si>
    <t>ULT NVL EST</t>
  </si>
  <si>
    <t>EDO CVL</t>
  </si>
  <si>
    <t>CURSA</t>
  </si>
  <si>
    <t>OTRA</t>
  </si>
  <si>
    <t>NIV ING</t>
  </si>
  <si>
    <t>FCH ULT CMB</t>
  </si>
  <si>
    <t>AUDIT ADMN</t>
  </si>
  <si>
    <t>AUDIT PROY</t>
  </si>
  <si>
    <t>ANLIS COST</t>
  </si>
  <si>
    <t>CONTA</t>
  </si>
  <si>
    <t>COLECTIVOS</t>
  </si>
  <si>
    <t>EXTERNOS</t>
  </si>
  <si>
    <t>ARQUITECT</t>
  </si>
  <si>
    <t>RENDER</t>
  </si>
  <si>
    <t>INVERS</t>
  </si>
  <si>
    <t>INST CAMPO</t>
  </si>
  <si>
    <t>MATERIALES</t>
  </si>
  <si>
    <t>CONTROL</t>
  </si>
  <si>
    <t>SOLUCIONES</t>
  </si>
  <si>
    <t>COMPRAS</t>
  </si>
  <si>
    <t>FACTURAS</t>
  </si>
  <si>
    <t>REPR LEGAL</t>
  </si>
  <si>
    <t>EQUIPOS</t>
  </si>
  <si>
    <t>SOFTWARE</t>
  </si>
  <si>
    <t>DIV ARQUIT</t>
  </si>
  <si>
    <t>CPTAL HUMANO</t>
  </si>
  <si>
    <t>DIV INGENRIA</t>
  </si>
  <si>
    <t>RCRSO LEGAL</t>
  </si>
  <si>
    <t>ESTRUCTURA</t>
  </si>
  <si>
    <t>CRÉDITOS</t>
  </si>
  <si>
    <t>NÓMINAS</t>
  </si>
  <si>
    <t>ADMINCIÓN</t>
  </si>
  <si>
    <t>ANLSTA</t>
  </si>
  <si>
    <t>COORDN</t>
  </si>
  <si>
    <t>DIRECT</t>
  </si>
  <si>
    <t>LUN VIE</t>
  </si>
  <si>
    <t>REPRES</t>
  </si>
  <si>
    <t>DIR PROYCT</t>
  </si>
  <si>
    <t>DIR EJECUT</t>
  </si>
  <si>
    <t>RECLTMTO</t>
  </si>
  <si>
    <t>RELACIONES</t>
  </si>
  <si>
    <t>DISP VIA</t>
  </si>
  <si>
    <t>RETARD</t>
  </si>
  <si>
    <t>CELPER</t>
  </si>
  <si>
    <t>CORREO PER</t>
  </si>
  <si>
    <t>CASDO</t>
  </si>
  <si>
    <t>DIVOR</t>
  </si>
  <si>
    <t>SEPAR</t>
  </si>
  <si>
    <t>SOLTE</t>
  </si>
  <si>
    <t>UNLIB</t>
  </si>
  <si>
    <t>ANLST</t>
  </si>
  <si>
    <t>COORD</t>
  </si>
  <si>
    <t>GRNTE</t>
  </si>
  <si>
    <t>DIREC</t>
  </si>
  <si>
    <t>RENUN</t>
  </si>
  <si>
    <t>REAJS</t>
  </si>
  <si>
    <t>CONFL</t>
  </si>
  <si>
    <t>ABAND</t>
  </si>
  <si>
    <t>ESCOB</t>
  </si>
  <si>
    <t>MONTY</t>
  </si>
  <si>
    <t>JUARZ</t>
  </si>
  <si>
    <t>STACT</t>
  </si>
  <si>
    <t>SNPED</t>
  </si>
  <si>
    <t>GRCIA</t>
  </si>
  <si>
    <t>SANTG</t>
  </si>
  <si>
    <t>GUADL</t>
  </si>
  <si>
    <t>CDYTA</t>
  </si>
  <si>
    <t>SALIN</t>
  </si>
  <si>
    <t>CARMN</t>
  </si>
  <si>
    <t>MARCO AURELIO URBINO</t>
  </si>
  <si>
    <t>EMMA DARIELA GARCÍA LORCA</t>
  </si>
  <si>
    <t>IRIE DALÍ ANTARES CORTÉS</t>
  </si>
  <si>
    <t>IDALIA GARCÍA ESCRIVÁ</t>
  </si>
  <si>
    <t>MÉRIDA ISELA MEDINA SALINAS</t>
  </si>
  <si>
    <t>DIEGO HERRERA GIRÓN</t>
  </si>
  <si>
    <t>MARIANA RODRÍGUEZ GUTIERREZ</t>
  </si>
  <si>
    <t>MARIANO ALDEBARÁN</t>
  </si>
  <si>
    <t>MELISSA ESTEFANÍA CRUZ HERNÁNDEZ</t>
  </si>
  <si>
    <t>DENEB SANTIAGO ALTAIR VEGA</t>
  </si>
  <si>
    <t>ESPCIALDAD</t>
  </si>
  <si>
    <t>ULT EDUC</t>
  </si>
  <si>
    <t>APODC</t>
  </si>
  <si>
    <t>SNICO</t>
  </si>
  <si>
    <t>SÍ</t>
  </si>
  <si>
    <t>PRM VAC</t>
  </si>
  <si>
    <t>DS AGUIN</t>
  </si>
  <si>
    <t>DS PRM VAC</t>
  </si>
  <si>
    <t>ACM AÑ ANT</t>
  </si>
  <si>
    <t>Carla Carolina Juárez Villarreal</t>
  </si>
  <si>
    <t>Adrian García Villanueva</t>
  </si>
  <si>
    <t>Alma Meliza García García</t>
  </si>
  <si>
    <t>Daniel Alejandro García Tovar</t>
  </si>
  <si>
    <t>Janis Lorraine Sanchez García</t>
  </si>
  <si>
    <t>Brisseidy Guadalupe García Cortes</t>
  </si>
  <si>
    <t>Francisco García Rodriguez</t>
  </si>
  <si>
    <t>Mayra Dolores Hernandez García</t>
  </si>
  <si>
    <t>Danna Arely Ortiz García</t>
  </si>
  <si>
    <t>Marcelo García Hernandez</t>
  </si>
  <si>
    <t>Ana Laura Orbe García</t>
  </si>
  <si>
    <t>Humberto García Balanzar</t>
  </si>
  <si>
    <t>Edith García Barrios</t>
  </si>
  <si>
    <t>Ma Esperanza García Gutierrez</t>
  </si>
  <si>
    <t>Uziel Castro García</t>
  </si>
  <si>
    <t>Teresa Lopez Juárez</t>
  </si>
  <si>
    <t>EDD</t>
  </si>
  <si>
    <t>DEPTO ULT</t>
  </si>
  <si>
    <t>SUBDEPTO ÚTL</t>
  </si>
  <si>
    <t>MTIV SAL</t>
  </si>
  <si>
    <t>DSCTO INFV</t>
  </si>
  <si>
    <t>DSCTO PLNV</t>
  </si>
  <si>
    <t>DSCTO FNDO</t>
  </si>
  <si>
    <t>CDAD DOM</t>
  </si>
  <si>
    <t>DSCTO OTRO</t>
  </si>
  <si>
    <t>PEND</t>
  </si>
  <si>
    <t>PRST MAIA</t>
  </si>
  <si>
    <t>HIJS</t>
  </si>
  <si>
    <t>PROYECCIÓN</t>
  </si>
  <si>
    <t>SEGUROS</t>
  </si>
  <si>
    <t>FACTOR ALEATORIO</t>
  </si>
  <si>
    <t>PDR/MDR</t>
  </si>
  <si>
    <t>FCH FN INFV</t>
  </si>
  <si>
    <t>FCH FN FNDO</t>
  </si>
  <si>
    <t>FCH FN PLNV</t>
  </si>
  <si>
    <t>FCH FN OTRO</t>
  </si>
  <si>
    <t>BANCA</t>
  </si>
  <si>
    <t>DISEÑO INT</t>
  </si>
  <si>
    <t>ÚLT SM</t>
  </si>
  <si>
    <t>INC</t>
  </si>
  <si>
    <t>VAC</t>
  </si>
  <si>
    <t>FAL</t>
  </si>
  <si>
    <t>P</t>
  </si>
  <si>
    <t>SÍ/NO</t>
  </si>
  <si>
    <t>$$ PRM VAC</t>
  </si>
  <si>
    <t>Marco Antonio Guzmán Loera</t>
  </si>
  <si>
    <t>Roberto Alejandro Martínez Osuna</t>
  </si>
  <si>
    <t>robertomtz@creativo.com</t>
  </si>
  <si>
    <t>TRNCA</t>
  </si>
  <si>
    <t>ING SISTEMAS</t>
  </si>
  <si>
    <t>LOS ANGELES</t>
  </si>
  <si>
    <t>CANTÚ</t>
  </si>
  <si>
    <t>SAN JEME</t>
  </si>
  <si>
    <t>RINCÓN DE LAS COLINAS</t>
  </si>
  <si>
    <t>LOMA LINDA</t>
  </si>
  <si>
    <t>RESIDENCIAL RAÚL RANGEL FRÍAS</t>
  </si>
  <si>
    <t>PABLO A DE LA GARZA</t>
  </si>
  <si>
    <t>LADERAS DEL TOPO CHICO (F-23)</t>
  </si>
  <si>
    <t>VILLAS DE LA HACIENDA</t>
  </si>
  <si>
    <t>VILLA CUMBRES</t>
  </si>
  <si>
    <t>SANTGA SOFIA</t>
  </si>
  <si>
    <t>DEL NORTE</t>
  </si>
  <si>
    <t>CORTIJO DEL RÍO TERCER Y CUARTO SECTOR</t>
  </si>
  <si>
    <t>PRIVADA RESIDENCIAL VILLAS DEL URO</t>
  </si>
  <si>
    <t>VILLAS DE SAN SEBASTIÁN</t>
  </si>
  <si>
    <t>LOS FRESNOS</t>
  </si>
  <si>
    <t>MITRAS CENTRO</t>
  </si>
  <si>
    <t>PLUTARCO ELÍAS CALLES</t>
  </si>
  <si>
    <t>LIBERTADORES DE AMÉRICA</t>
  </si>
  <si>
    <t>JARDINES DE SAN JERÓNIMO</t>
  </si>
  <si>
    <t>CHURUBUSCO</t>
  </si>
  <si>
    <t>SAN BERNABÉ XIII (F-116)</t>
  </si>
  <si>
    <t>LA JOYA PRIVADA RESIDENCIAL</t>
  </si>
  <si>
    <t>SAN BERNABÉ XV (F-119)</t>
  </si>
  <si>
    <t>VISTA HERMOSA</t>
  </si>
  <si>
    <t>ESPERANZA O PEÑA ELIZONDO</t>
  </si>
  <si>
    <t>SARABIA</t>
  </si>
  <si>
    <t>MORELOS</t>
  </si>
  <si>
    <t>AGRÍCOLA</t>
  </si>
  <si>
    <t>MODERNA</t>
  </si>
  <si>
    <t>LOMAS DE TOPO CHICO</t>
  </si>
  <si>
    <t>7 DE NOVIEMBRE (F-82)</t>
  </si>
  <si>
    <t>PRIVADAS DEL PEDREGAL</t>
  </si>
  <si>
    <t>SAN BERNABÉ IV (F-124)</t>
  </si>
  <si>
    <t>RUBÉN JARAMILLO</t>
  </si>
  <si>
    <t>EL URO</t>
  </si>
  <si>
    <t>CERRITOS MODELO (F-76)</t>
  </si>
  <si>
    <t>INDUSTRIAS DEL VIDRIO</t>
  </si>
  <si>
    <t>SAN MARTÍN</t>
  </si>
  <si>
    <t>16 DE SEPTIEMBRE</t>
  </si>
  <si>
    <t>PRIVADAS DEL PASEO</t>
  </si>
  <si>
    <t>15 DE MARZO</t>
  </si>
  <si>
    <t>LOMAS DEL PASEO</t>
  </si>
  <si>
    <t>SAN BERNABÉ VIII (F-125)</t>
  </si>
  <si>
    <t>CENTRO</t>
  </si>
  <si>
    <t>REFORMA</t>
  </si>
  <si>
    <t>SANTGA CRUZ (F- 10)</t>
  </si>
  <si>
    <t>MISIÓN DE SAN JERÓNIMO</t>
  </si>
  <si>
    <t>BOSQUES DE SATÉLITE</t>
  </si>
  <si>
    <t>BOSQUES DE LAS CUMBRES</t>
  </si>
  <si>
    <t>TALLERES</t>
  </si>
  <si>
    <t>SAN BERNABÉ II (F-120)</t>
  </si>
  <si>
    <t>COLINAS DEL SUR</t>
  </si>
  <si>
    <t>MODELO</t>
  </si>
  <si>
    <t>LOMAS DE SAN JERÓNIMO</t>
  </si>
  <si>
    <t>LA ESTANZUELA VIEJA</t>
  </si>
  <si>
    <t>DIF (F-15)</t>
  </si>
  <si>
    <t>SATÉLITE ACUEDUCTO SEXTO SECTOR</t>
  </si>
  <si>
    <t>RESIDENCIAL SAN JERÓNIMO II</t>
  </si>
  <si>
    <t>RINCÓN COLONIAL MEDEROS</t>
  </si>
  <si>
    <t>LOS PINOS</t>
  </si>
  <si>
    <t>MARIANO ESCOBEDO</t>
  </si>
  <si>
    <t>EL ENCINO</t>
  </si>
  <si>
    <t>LOMAS MEDEROS</t>
  </si>
  <si>
    <t>5 DE MAYO</t>
  </si>
  <si>
    <t>CENTRAL</t>
  </si>
  <si>
    <t>LOMAS DE SATÉLITE</t>
  </si>
  <si>
    <t>RESIDENCIAL MEDEROS</t>
  </si>
  <si>
    <t>BENITO JUÁREZ</t>
  </si>
  <si>
    <t>LAS DILIGENCIAS</t>
  </si>
  <si>
    <t>JARDINES DE CHURUBUSCO</t>
  </si>
  <si>
    <t>VIDRIERA</t>
  </si>
  <si>
    <t>REAL DE SAN JERÓNIMO</t>
  </si>
  <si>
    <t>AGRÍCOLA ACERO</t>
  </si>
  <si>
    <t>PASO DEL ÁGUILA</t>
  </si>
  <si>
    <t>SAN BERNABÉ (F-51)</t>
  </si>
  <si>
    <t>COLINAS DE SAN GERARDO</t>
  </si>
  <si>
    <t>VENUSTIANO CARRANZA</t>
  </si>
  <si>
    <t>PROVILEON SAN BERNABÉ</t>
  </si>
  <si>
    <t>MITRA DORADA</t>
  </si>
  <si>
    <t>SAN BERNABÉ XIV (F-109)</t>
  </si>
  <si>
    <t>PERIODISTAS</t>
  </si>
  <si>
    <t>TREVIÑO</t>
  </si>
  <si>
    <t>SANTGA CECILIA</t>
  </si>
  <si>
    <t>VALLE DE SANTGA LUCÍA (GRANJA SANITARIA)</t>
  </si>
  <si>
    <t>SAN FRANCISCO DE ASÍS</t>
  </si>
  <si>
    <t>MUNICIPAL AMPLIACIÓN</t>
  </si>
  <si>
    <t>ALMAGUER</t>
  </si>
  <si>
    <t>GENARO ROJAS VÁZQUEZ</t>
  </si>
  <si>
    <t>RANCHO LA BOLA</t>
  </si>
  <si>
    <t>CAÑADAS DEL SUR</t>
  </si>
  <si>
    <t>LOMAS MODELO</t>
  </si>
  <si>
    <t>PRIVADA VILLA ALTA RESIDENCIAL</t>
  </si>
  <si>
    <t>CIUDAD SATÉLITE</t>
  </si>
  <si>
    <t>VILLA ALEGRE</t>
  </si>
  <si>
    <t>BALCONES DE GALERÍAS</t>
  </si>
  <si>
    <t>TIJERINA</t>
  </si>
  <si>
    <t>COYOACÁN</t>
  </si>
  <si>
    <t>HERIBERTO JARA</t>
  </si>
  <si>
    <t>VALLE SANTGA CECILIA</t>
  </si>
  <si>
    <t>RENACIMIENTO</t>
  </si>
  <si>
    <t>LOMAS DE VILLA ALEGRE</t>
  </si>
  <si>
    <t>ÁLVARO OBREGÓN</t>
  </si>
  <si>
    <t>SATÉLITE ACUEDUCTO SÉPTIMO SECTOR</t>
  </si>
  <si>
    <t>NUEVA MADERO</t>
  </si>
  <si>
    <t>FELIPE ÁNGELES</t>
  </si>
  <si>
    <t>FOMERREY</t>
  </si>
  <si>
    <t>ARGENTINA</t>
  </si>
  <si>
    <t>COLINAS DE SAN JERÓNIMO SECTOR PANORAMA 2 SECTOR</t>
  </si>
  <si>
    <t>10 DE MARZO</t>
  </si>
  <si>
    <t>VILLAS DEL CARMEN</t>
  </si>
  <si>
    <t>FIERRO</t>
  </si>
  <si>
    <t>COLINA DE SAN BERNABÉ (F-25)</t>
  </si>
  <si>
    <t>SAN BERNABÉ IX (F-112)</t>
  </si>
  <si>
    <t>UNIÓN ANTORCHISTA</t>
  </si>
  <si>
    <t>CONQUISTADORES</t>
  </si>
  <si>
    <t>EL VERGEL</t>
  </si>
  <si>
    <t>SAN BERNABÉ III</t>
  </si>
  <si>
    <t>BALCONES DE AZTLÁN</t>
  </si>
  <si>
    <t>RINCÓN DE SAN JERÓNIMO</t>
  </si>
  <si>
    <t>VILLAS DE SAN AGUSTÍN</t>
  </si>
  <si>
    <t>SATÉLITE MIRADORES</t>
  </si>
  <si>
    <t>ACERO</t>
  </si>
  <si>
    <t>EL PINITO</t>
  </si>
  <si>
    <t>JARDINES DEL PASEO</t>
  </si>
  <si>
    <t>UNIÓN DE FIERREROS</t>
  </si>
  <si>
    <t>VILLA TOLEDO</t>
  </si>
  <si>
    <t>RINCÓN SANTGA CECILIA</t>
  </si>
  <si>
    <t>OBRERISTA</t>
  </si>
  <si>
    <t>COLINAS DE SAN JERÓNIMO</t>
  </si>
  <si>
    <t>COLINAS DE LIVERPOOL</t>
  </si>
  <si>
    <t>MARTÍNEZ</t>
  </si>
  <si>
    <t>RENÉ ÁLVAREZ</t>
  </si>
  <si>
    <t>LAS FLORES</t>
  </si>
  <si>
    <t>JARDÍN MODELO</t>
  </si>
  <si>
    <t>PASEO DE LAS MITRAS</t>
  </si>
  <si>
    <t>BRISAS DE VALLE ALTO</t>
  </si>
  <si>
    <t>VILLA MITRAS</t>
  </si>
  <si>
    <t>15 DE MAYO (LARRALDE)</t>
  </si>
  <si>
    <t>U C MARTÍNEZ</t>
  </si>
  <si>
    <t>LA REPÚBLICA</t>
  </si>
  <si>
    <t>LOMAS DE SANTGA CECILIA</t>
  </si>
  <si>
    <t>VALLE DE SAN JERÓNIMO</t>
  </si>
  <si>
    <t>PRIVADAS DEL SUR</t>
  </si>
  <si>
    <t>EMPLEADOS SFEO</t>
  </si>
  <si>
    <t>GRANJA POSTAL</t>
  </si>
  <si>
    <t>LOMAS MODELO NORTE</t>
  </si>
  <si>
    <t>BORTONÍ</t>
  </si>
  <si>
    <t>CROC</t>
  </si>
  <si>
    <t>EL URO ORIENTE</t>
  </si>
  <si>
    <t>LOS CRISTALES</t>
  </si>
  <si>
    <t>CONDOCASA MITRAS</t>
  </si>
  <si>
    <t>RESIDENCIAL VIDRIERA</t>
  </si>
  <si>
    <t>COLONIAL SAN FRANCISCO</t>
  </si>
  <si>
    <t>CORTIJO DEL RÍO SECTOR LA SILLA</t>
  </si>
  <si>
    <t>FIDEL VELÁZQUEZ (SNAT)</t>
  </si>
  <si>
    <t>GARZA NIETO</t>
  </si>
  <si>
    <t>FELIPE ZAMBRANO</t>
  </si>
  <si>
    <t>MADERO NORTE</t>
  </si>
  <si>
    <t>MISIÓN CANTERÍAS</t>
  </si>
  <si>
    <t>NUEVA MORELOS</t>
  </si>
  <si>
    <t>SANTGA LUCÍA</t>
  </si>
  <si>
    <t>PRADOS DE LA SILLA</t>
  </si>
  <si>
    <t>VALLE VERDE SEGUNDO SECTOR</t>
  </si>
  <si>
    <t>PROGRESO</t>
  </si>
  <si>
    <t>LOMAS DE LA UNIDAD MODELO</t>
  </si>
  <si>
    <t>LOMAS DE CUMBRES</t>
  </si>
  <si>
    <t>COLINAS DE VALLE VERDE</t>
  </si>
  <si>
    <t>RINCÓN DEL PASEO SEGUNDO SECTOR</t>
  </si>
  <si>
    <t>JUANA DE ARCO</t>
  </si>
  <si>
    <t>NUEVA GALICIA</t>
  </si>
  <si>
    <t>IGNACIO ALTAMIRANO</t>
  </si>
  <si>
    <t>CANTERÍAS NORTE</t>
  </si>
  <si>
    <t>FRANCISCO I MADERO</t>
  </si>
  <si>
    <t>VALLE MORELOS</t>
  </si>
  <si>
    <t>NUEVA MODELO (F-8)</t>
  </si>
  <si>
    <t>ÁLAMOS CORREGIDORA</t>
  </si>
  <si>
    <t>LOS ÉBANOS</t>
  </si>
  <si>
    <t>TERMINAL</t>
  </si>
  <si>
    <t>TAMPICO</t>
  </si>
  <si>
    <t>VILLAS DE LINDA VISTA</t>
  </si>
  <si>
    <t>BENITO JUÁREZ (TIRADEROS DE BASURA)</t>
  </si>
  <si>
    <t>DEL MAESTRO</t>
  </si>
  <si>
    <t>LOMAS DE SAN MARTÍN</t>
  </si>
  <si>
    <t>23 DE MARZO</t>
  </si>
  <si>
    <t>VILLA SANTGA CECILIA</t>
  </si>
  <si>
    <t>PRIVADAS DE LA SILLA</t>
  </si>
  <si>
    <t>JARDINES DE LA MODERNA</t>
  </si>
  <si>
    <t>CAMPESTRE MEDEROS</t>
  </si>
  <si>
    <t>ASARCO</t>
  </si>
  <si>
    <t>LOMAS DE MONTECRISTO</t>
  </si>
  <si>
    <t>FABRILES</t>
  </si>
  <si>
    <t>SAN BERNABÉ XII (F-115)</t>
  </si>
  <si>
    <t>RINCÓN DE SAN JEMO</t>
  </si>
  <si>
    <t>RINCÓN DE SAN JEME</t>
  </si>
  <si>
    <t>LEONES</t>
  </si>
  <si>
    <t>VILLAS DE SAN JERÓNIMO</t>
  </si>
  <si>
    <t>COLINAS DE SAN JERÓNIMO SECTOR LOMAS</t>
  </si>
  <si>
    <t>BALCONES DE LAS MITRAS</t>
  </si>
  <si>
    <t>LAS CUMBRES</t>
  </si>
  <si>
    <t>LLAVE DE ORO</t>
  </si>
  <si>
    <t>ARTICULO 27 (F-96)</t>
  </si>
  <si>
    <t>INDUSTRIAL</t>
  </si>
  <si>
    <t>VALLE DE SAN MARTÍN (F-24)</t>
  </si>
  <si>
    <t>URDIALES</t>
  </si>
  <si>
    <t>EL PORVENIR</t>
  </si>
  <si>
    <t>TORRES DE SATÉLITE</t>
  </si>
  <si>
    <t>ABELARDO ZAPATA</t>
  </si>
  <si>
    <t>SANTGA FE</t>
  </si>
  <si>
    <t>DEL PASEO RESIDENCIAL</t>
  </si>
  <si>
    <t>GLORIA MENDIOLA (TIERRA PROPIA)</t>
  </si>
  <si>
    <t>JOSELINE2020@HOTMAIL.COM</t>
  </si>
  <si>
    <t>DENEB1414@HOTMAIL.COM</t>
  </si>
  <si>
    <t>IRIE1616@HOTMAIL.COM</t>
  </si>
  <si>
    <t>DIEGO1818@HOTMAIL.COM</t>
  </si>
  <si>
    <t>CHARLIY98@HOTMAIL.COM</t>
  </si>
  <si>
    <t>FATIMA1212@HOTMAIL.COM</t>
  </si>
  <si>
    <t>MÉRIDA1616@HOTMAIL.COM</t>
  </si>
  <si>
    <t>MELISSA88@HOTMAIL.COM</t>
  </si>
  <si>
    <t>EDSON1616@HOTMAIL.COM</t>
  </si>
  <si>
    <t>EDGAR88@HOTMAIL.COM</t>
  </si>
  <si>
    <t>MARCO1616@HOTMAIL.COM</t>
  </si>
  <si>
    <t>LORIEN88@HOTMAIL.COM</t>
  </si>
  <si>
    <t>PAOLA66@HOTMAIL.COM</t>
  </si>
  <si>
    <t>EMMA1818@HOTMAIL.COM</t>
  </si>
  <si>
    <t>IDALIA1616@HOTMAIL.COM</t>
  </si>
  <si>
    <t>ANDREA1414@HOTMAIL.COM</t>
  </si>
  <si>
    <t>MARIANO1414@HOTMAIL.COM</t>
  </si>
  <si>
    <t>GABRIEL1414@HOTMAIL.COM</t>
  </si>
  <si>
    <t>JUAN66@HOTMAIL.COM</t>
  </si>
  <si>
    <t>LUIS88@HOTMAIL.COM</t>
  </si>
  <si>
    <t>FAUSTO1414@HOTMAIL.COM</t>
  </si>
  <si>
    <t>LORENZO1212@HOTMAIL.COM</t>
  </si>
  <si>
    <t>WALTHER1414@HOTMAIL.COM</t>
  </si>
  <si>
    <t>ANTONIO1414@HOTMAIL.COM</t>
  </si>
  <si>
    <t>PAOLA1212@HOTMAIL.COM</t>
  </si>
  <si>
    <t>IGNACIO66@HOTMAIL.COM</t>
  </si>
  <si>
    <t>RENÉ88@HOTMAIL.COM</t>
  </si>
  <si>
    <t>TIRONE1414@HOTMAIL.COM</t>
  </si>
  <si>
    <t>VICENTE1212@HOTMAIL.COM</t>
  </si>
  <si>
    <t>JOSÉ1616@HOTMAIL.COM</t>
  </si>
  <si>
    <t>JULIO1010@HOTMAIL.COM</t>
  </si>
  <si>
    <t>NORMA1414@HOTMAIL.COM</t>
  </si>
  <si>
    <t>VANIA66@HOTMAIL.COM</t>
  </si>
  <si>
    <t>VALERIA1414@HOTMAIL.COM</t>
  </si>
  <si>
    <t>STEPHANIE1212@HOTMAIL.COM</t>
  </si>
  <si>
    <t>SANTGOS88@HOTMAIL.COM</t>
  </si>
  <si>
    <t>SALMA1212@HOTMAIL.COM</t>
  </si>
  <si>
    <t>REYNA1010@HOTMAIL.COM</t>
  </si>
  <si>
    <t>RAMIRO1212@HOTMAIL.COM</t>
  </si>
  <si>
    <t>PAULINA1212@HOTMAIL.COM</t>
  </si>
  <si>
    <t>OCTAVIO88@HOTMAIL.COM</t>
  </si>
  <si>
    <t>NYDIA1010@HOTMAIL.COM</t>
  </si>
  <si>
    <t>MICHELLE88@HOTMAIL.COM</t>
  </si>
  <si>
    <t>MARIANA1414@HOTMAIL.COM</t>
  </si>
  <si>
    <t>MARCELA1010@HOTMAIL.COM</t>
  </si>
  <si>
    <t>LUIS1010@HOTMAIL.COM</t>
  </si>
  <si>
    <t>LEOBARDO88@HOTMAIL.COM</t>
  </si>
  <si>
    <t>KEVIN1414@HOTMAIL.COM</t>
  </si>
  <si>
    <t>KARLA66@HOTMAIL.COM</t>
  </si>
  <si>
    <t>JUAN1212@HOTMAIL.COM</t>
  </si>
  <si>
    <t>JOSE88@HOTMAIL.COM</t>
  </si>
  <si>
    <t>JOSE66@HOTMAIL.COM</t>
  </si>
  <si>
    <t>JESSICA88@HOTMAIL.COM</t>
  </si>
  <si>
    <t>GUSTAVO1010@HOTMAIL.COM</t>
  </si>
  <si>
    <t>FRIDA1414@HOTMAIL.COM</t>
  </si>
  <si>
    <t>EDUARDO66@HOTMAIL.COM</t>
  </si>
  <si>
    <t>DAVID66@HOTMAIL.COM</t>
  </si>
  <si>
    <t>DANIEL1212@HOTMAIL.COM</t>
  </si>
  <si>
    <t>CRISTIAN1212@HOTMAIL.COM</t>
  </si>
  <si>
    <t>CECILIA66@HOTMAIL.COM</t>
  </si>
  <si>
    <t>BRISSEIDY88@HOTMAIL.COM</t>
  </si>
  <si>
    <t>ANGEL1414@HOTMAIL.COM</t>
  </si>
  <si>
    <t>ANGEL88@HOTMAIL.COM</t>
  </si>
  <si>
    <t>ADRIAN88@HOTMAIL.COM</t>
  </si>
  <si>
    <t>MIXARI1414@HOTMAIL.COM</t>
  </si>
  <si>
    <t>ANGÉLICA66@HOTMAIL.COM</t>
  </si>
  <si>
    <t>NALLELY66@HOTMAIL.COM</t>
  </si>
  <si>
    <t>ANTONIO66@HOTMAIL.COM</t>
  </si>
  <si>
    <t>LUCERO88@HOTMAIL.COM</t>
  </si>
  <si>
    <t>JENNIFER1010@HOTMAIL.COM</t>
  </si>
  <si>
    <t>OFELIA1414@HOTMAIL.COM</t>
  </si>
  <si>
    <t>KARLA88@HOTMAIL.COM</t>
  </si>
  <si>
    <t>CHARLIY.EZEQUIEL@HOTMAIL.COM</t>
  </si>
  <si>
    <t>LEONARDO1010@HOTMAIL.COM</t>
  </si>
  <si>
    <t>ARTURO1212@HOTMAIL.COM</t>
  </si>
  <si>
    <t>DITHER1414@HOTMAIL.COM</t>
  </si>
  <si>
    <t>VIOLETA1616@HOTMAIL.COM</t>
  </si>
  <si>
    <t>LESLIE66@HOTMAIL.COM</t>
  </si>
  <si>
    <t>JOSE1010@HOTMAIL.COM</t>
  </si>
  <si>
    <t>LUZ66@HOTMAIL.COM</t>
  </si>
  <si>
    <t>YULIANA1616@HOTMAIL.COM</t>
  </si>
  <si>
    <t>ELDA1414@HOTMAIL.COM</t>
  </si>
  <si>
    <t>PERLA88@HOTMAIL.COM</t>
  </si>
  <si>
    <t>MARY1212@HOTMAIL.COM</t>
  </si>
  <si>
    <t>KEILA1212@HOTMAIL.COM</t>
  </si>
  <si>
    <t>KENIA1212@HOTMAIL.COM</t>
  </si>
  <si>
    <t>MARÍA1414@HOTMAIL.COM</t>
  </si>
  <si>
    <t>DAYANA88@HOTMAIL.COM</t>
  </si>
  <si>
    <t>EDUARDO1212@HOTMAIL.COM</t>
  </si>
  <si>
    <t>ERIKA1414@HOTMAIL.COM</t>
  </si>
  <si>
    <t>SANDRA1212@HOTMAIL.COM</t>
  </si>
  <si>
    <t>ALEJANDRA66@HOTMAIL.COM</t>
  </si>
  <si>
    <t>DANIEL1414@HOTMAIL.COM</t>
  </si>
  <si>
    <t>ANA1414@HOTMAIL.COM</t>
  </si>
  <si>
    <t>CITLALY66@HOTMAIL.COM</t>
  </si>
  <si>
    <t>VERÓNICA66@HOTMAIL.COM</t>
  </si>
  <si>
    <t>NATALY66@HOTMAIL.COM</t>
  </si>
  <si>
    <t>NADYA1414@HOTMAIL.COM</t>
  </si>
  <si>
    <t>DIANA66@HOTMAIL.COM</t>
  </si>
  <si>
    <t>SOFIA1010@HOTMAIL.COM</t>
  </si>
  <si>
    <t>MARITZA1414@HOTMAIL.COM</t>
  </si>
  <si>
    <t>CECILIA1212@HOTMAIL.COM</t>
  </si>
  <si>
    <t>ODALIZ1010@HOTMAIL.COM</t>
  </si>
  <si>
    <t>RAMIRO88@HOTMAIL.COM</t>
  </si>
  <si>
    <t>JAIME1212@HOTMAIL.COM</t>
  </si>
  <si>
    <t>DANIEL66@HOTMAIL.COM</t>
  </si>
  <si>
    <t>JOEL66@HOTMAIL.COM</t>
  </si>
  <si>
    <t>MARCOS88@HOTMAIL.COM</t>
  </si>
  <si>
    <t>LUIS66@HOTMAIL.COM</t>
  </si>
  <si>
    <t>FRANCISCO1010@HOTMAIL.COM</t>
  </si>
  <si>
    <t>EDGAR1212@HOTMAIL.COM</t>
  </si>
  <si>
    <t>ERICK88@HOTMAIL.COM</t>
  </si>
  <si>
    <t>EDSON88@HOTMAIL.COM</t>
  </si>
  <si>
    <t>BRAYAN1212@HOTMAIL.COM</t>
  </si>
  <si>
    <t>MARIA66@HOTMAIL.COM</t>
  </si>
  <si>
    <t>ROCIO1414@HOTMAIL.COM</t>
  </si>
  <si>
    <t>MIRIAM1212@HOTMAIL.COM</t>
  </si>
  <si>
    <t>DAPHNE1414@HOTMAIL.COM</t>
  </si>
  <si>
    <t>SILVIA66@HOTMAIL.COM</t>
  </si>
  <si>
    <t>EDSON1010@HOTMAIL.COM</t>
  </si>
  <si>
    <t>PERLA1414@HOTMAIL.COM</t>
  </si>
  <si>
    <t>GABRIEL1212@HOTMAIL.COM</t>
  </si>
  <si>
    <t>ROGELIO88@HOTMAIL.COM</t>
  </si>
  <si>
    <t>GRECIA1010@HOTMAIL.COM</t>
  </si>
  <si>
    <t>ANGELA1212@HOTMAIL.COM</t>
  </si>
  <si>
    <t>BRAYAN66@HOTMAIL.COM</t>
  </si>
  <si>
    <t>KATIA66@HOTMAIL.COM</t>
  </si>
  <si>
    <t>ARANZA1212@HOTMAIL.COM</t>
  </si>
  <si>
    <t>ESTEFANI66@HOTMAIL.COM</t>
  </si>
  <si>
    <t>ERICK66@HOTMAIL.COM</t>
  </si>
  <si>
    <t>ARLET88@HOTMAIL.COM</t>
  </si>
  <si>
    <t>MAYRA66@HOTMAIL.COM</t>
  </si>
  <si>
    <t>FATIMA66@HOTMAIL.COM</t>
  </si>
  <si>
    <t>BERTHA1010@HOTMAIL.COM</t>
  </si>
  <si>
    <t>CASSANDRA1414@HOTMAIL.COM</t>
  </si>
  <si>
    <t>MONICA66@HOTMAIL.COM</t>
  </si>
  <si>
    <t>DEBANHI66@HOTMAIL.COM</t>
  </si>
  <si>
    <t>CESAR66@HOTMAIL.COM</t>
  </si>
  <si>
    <t>AMERICA1414@HOTMAIL.COM</t>
  </si>
  <si>
    <t>KEVIN66@HOTMAIL.COM</t>
  </si>
  <si>
    <t>JESUS66@HOTMAIL.COM</t>
  </si>
  <si>
    <t>NOEMI1010@HOTMAIL.COM</t>
  </si>
  <si>
    <t>DAMARIS66@HOTMAIL.COM</t>
  </si>
  <si>
    <t>ALBERTO66@HOTMAIL.COM</t>
  </si>
  <si>
    <t>JAIR1414@HOTMAIL.COM</t>
  </si>
  <si>
    <t>ALONDRA1010@HOTMAIL.COM</t>
  </si>
  <si>
    <t>PRISCILA66@HOTMAIL.COM</t>
  </si>
  <si>
    <t>ALEXA66@HOTMAIL.COM</t>
  </si>
  <si>
    <t>JAIR66@HOTMAIL.COM</t>
  </si>
  <si>
    <t>LAURA1414@HOTMAIL.COM</t>
  </si>
  <si>
    <t>NAILEA1010@HOTMAIL.COM</t>
  </si>
  <si>
    <t>KARYME1414@HOTMAIL.COM</t>
  </si>
  <si>
    <t>DEVANY1414@HOTMAIL.COM</t>
  </si>
  <si>
    <t>BRIAN1010@HOTMAIL.COM</t>
  </si>
  <si>
    <t>ROBERTO1212@HOTMAIL.COM</t>
  </si>
  <si>
    <t>MARIAN1212@HOTMAIL.COM</t>
  </si>
  <si>
    <t>JOSE1414@HOTMAIL.COM</t>
  </si>
  <si>
    <t>BRANDON1414@HOTMAIL.COM</t>
  </si>
  <si>
    <t>LIZETH1212@HOTMAIL.COM</t>
  </si>
  <si>
    <t>MARIANA66@HOTMAIL.COM</t>
  </si>
  <si>
    <t>VALERIA66@HOTMAIL.COM</t>
  </si>
  <si>
    <t>NANCY1010@HOTMAIL.COM</t>
  </si>
  <si>
    <t>MIGUEL1212@HOTMAIL.COM</t>
  </si>
  <si>
    <t>MARIA1414@HOTMAIL.COM</t>
  </si>
  <si>
    <t>CARLA66@HOTMAIL.COM</t>
  </si>
  <si>
    <t>GABRIELA88@HOTMAIL.COM</t>
  </si>
  <si>
    <t>SOFIA66@HOTMAIL.COM</t>
  </si>
  <si>
    <t>MARCELA1212@HOTMAIL.COM</t>
  </si>
  <si>
    <t>VALERIA1212@HOTMAIL.COM</t>
  </si>
  <si>
    <t>SAMANTA1414@HOTMAIL.COM</t>
  </si>
  <si>
    <t>CRISTIAN66@HOTMAIL.COM</t>
  </si>
  <si>
    <t>SAHARA1010@HOTMAIL.COM</t>
  </si>
  <si>
    <t>YADIRA66@HOTMAIL.COM</t>
  </si>
  <si>
    <t>DEVANY66@HOTMAIL.COM</t>
  </si>
  <si>
    <t>MARIA88@HOTMAIL.COM</t>
  </si>
  <si>
    <t>EVELIN1010@HOTMAIL.COM</t>
  </si>
  <si>
    <t>ALFONSO88@HOTMAIL.COM</t>
  </si>
  <si>
    <t>MARCO66@HOTMAIL.COM</t>
  </si>
  <si>
    <t>CLARA66@HOTMAIL.COM</t>
  </si>
  <si>
    <t>JULIETA1414@HOTMAIL.COM</t>
  </si>
  <si>
    <t>DAVID1414@HOTMAIL.COM</t>
  </si>
  <si>
    <t>CYNTHIA1212@HOTMAIL.COM</t>
  </si>
  <si>
    <t>REYNA66@HOTMAIL.COM</t>
  </si>
  <si>
    <t>JOSELYN88@HOTMAIL.COM</t>
  </si>
  <si>
    <t>KATYA66@HOTMAIL.COM</t>
  </si>
  <si>
    <t>YESSICA66@HOTMAIL.COM</t>
  </si>
  <si>
    <t>JANIS66@HOTMAIL.COM</t>
  </si>
  <si>
    <t>LIZBETH1010@HOTMAIL.COM</t>
  </si>
  <si>
    <t>LENDA66@HOTMAIL.COM</t>
  </si>
  <si>
    <t>MELANEE66@HOTMAIL.COM</t>
  </si>
  <si>
    <t>ESMERALDA88@HOTMAIL.COM</t>
  </si>
  <si>
    <t>EVELYN1414@HOTMAIL.COM</t>
  </si>
  <si>
    <t>LILIA1414@HOTMAIL.COM</t>
  </si>
  <si>
    <t>JAIME66@HOTMAIL.COM</t>
  </si>
  <si>
    <t>AIDE66@HOTMAIL.COM</t>
  </si>
  <si>
    <t>DANNA1212@HOTMAIL.COM</t>
  </si>
  <si>
    <t>DEBANY66@HOTMAIL.COM</t>
  </si>
  <si>
    <t>BRANDON66@HOTMAIL.COM</t>
  </si>
  <si>
    <t>ROGELIO66@HOTMAIL.COM</t>
  </si>
  <si>
    <t>SANDRA1010@HOTMAIL.COM</t>
  </si>
  <si>
    <t>KARINA66@HOTMAIL.COM</t>
  </si>
  <si>
    <t>EVELIN66@HOTMAIL.COM</t>
  </si>
  <si>
    <t>INGRID66@HOTMAIL.COM</t>
  </si>
  <si>
    <t>CAROLINA66@HOTMAIL.COM</t>
  </si>
  <si>
    <t>PAULINA1414@HOTMAIL.COM</t>
  </si>
  <si>
    <t>PEDRO1010@HOTMAIL.COM</t>
  </si>
  <si>
    <t>ITZELFLORES69@HOTMAIL.COM</t>
  </si>
  <si>
    <t>ANGELICA1212@HOTMAIL.COM</t>
  </si>
  <si>
    <t>TATIANA1010@HOTMAIL.COM</t>
  </si>
  <si>
    <t>NANCY66@HOTMAIL.COM</t>
  </si>
  <si>
    <t>ESTHEFANÍA66@HOTMAIL.COM</t>
  </si>
  <si>
    <t>JOSE1212@HOTMAIL.COM</t>
  </si>
  <si>
    <t>YANETH88@HOTMAIL.COM</t>
  </si>
  <si>
    <t>YESSICA88@HOTMAIL.COM</t>
  </si>
  <si>
    <t>VICTORIA1414@HOTMAIL.COM</t>
  </si>
  <si>
    <t>MONSERRAT66@HOTMAIL.COM</t>
  </si>
  <si>
    <t>DORIAN1212@HOTMAIL.COM</t>
  </si>
  <si>
    <t>STEPHANY1010@HOTMAIL.COM</t>
  </si>
  <si>
    <t>ANADELA66@HOTMAIL.COM</t>
  </si>
  <si>
    <t>AYLIN1414@HOTMAIL.COM</t>
  </si>
  <si>
    <t>JOSÉ1985@HOTMAIL.COM</t>
  </si>
  <si>
    <t>DULCE1995@HOTMAIL.COM</t>
  </si>
  <si>
    <t>DAPHNE1989@HOTMAIL.COM</t>
  </si>
  <si>
    <t>ALDO1994@HOTMAIL.COM</t>
  </si>
  <si>
    <t>LITSI1998@HOTMAIL.COM</t>
  </si>
  <si>
    <t>DELSY1986@HOTMAIL.COM</t>
  </si>
  <si>
    <t>ADAMARI@HOTMAIL.COM</t>
  </si>
  <si>
    <t>DEBANHY1993@HOTMAIL.COM</t>
  </si>
  <si>
    <t>EDUARDO1997@HOTMAIL.COM</t>
  </si>
  <si>
    <t>ESTEBAN1990@HOTMAIL.COM</t>
  </si>
  <si>
    <t>OMAR1998@HOTMAIL.COM</t>
  </si>
  <si>
    <t>MIGUEL1995@HOTMAIL.COM</t>
  </si>
  <si>
    <t>CINTHIA1986@HOTMAIL.COM</t>
  </si>
  <si>
    <t>BRAYAN1995@HOTMAIL.COM</t>
  </si>
  <si>
    <t>FERNANDA1989@HOTMAIL.COM</t>
  </si>
  <si>
    <t>ZAIRA98@HOTMAIL.COM</t>
  </si>
  <si>
    <t>JESÚS1998@HOTMAIL.COM</t>
  </si>
  <si>
    <t>KAREN1998@HOTMAIL.COM</t>
  </si>
  <si>
    <t>BEATRIZ1986@HOTMAIL.COM</t>
  </si>
  <si>
    <t>ALEXIA1987@HOTMAIL.COM</t>
  </si>
  <si>
    <t>KARYME1995@HOTMAIL.COM</t>
  </si>
  <si>
    <t>DEBANY1980@HOTMAIL.COM</t>
  </si>
  <si>
    <t>KARLA1980@HOTMAIL.COM</t>
  </si>
  <si>
    <t>CYNTHIA1986@HOTMAIL.COM</t>
  </si>
  <si>
    <t>DEVANY1982@HOTMAIL.COM</t>
  </si>
  <si>
    <t>FÁTIMA1985@HOTMAIL.COM</t>
  </si>
  <si>
    <t>DANIELA1994@HOTMAIL.COM</t>
  </si>
  <si>
    <t>MARCO1997@HOTMAIL.COM</t>
  </si>
  <si>
    <t>ALEJANDRA1981@HOTMAIL.COM</t>
  </si>
  <si>
    <t>ILIANA1994@HOTMAIL.COM</t>
  </si>
  <si>
    <t>SADRAC1983@HOTMAIL.COM</t>
  </si>
  <si>
    <t>ELDA1991@HOTMAIL.COM</t>
  </si>
  <si>
    <t>PAOLA1998@HOTMAIL.COM</t>
  </si>
  <si>
    <t>FÁTIMA1987@HOTMAIL.COM</t>
  </si>
  <si>
    <t>SAUL1995@HOTMAIL.COM</t>
  </si>
  <si>
    <t>ANGELICA1997@HOTMAIL.COM</t>
  </si>
  <si>
    <t>HEBER1988@HOTMAIL.COM</t>
  </si>
  <si>
    <t>SAULO1997@HOTMAIL.COM</t>
  </si>
  <si>
    <t>SANTGOS1982@HOTMAIL.COM</t>
  </si>
  <si>
    <t>HUGO1992@HOTMAIL.COM</t>
  </si>
  <si>
    <t>MÓNICA1998@HOTMAIL.COM</t>
  </si>
  <si>
    <t>JOANA1983@HOTMAIL.COM</t>
  </si>
  <si>
    <t>DANIEL1998@HOTMAIL.COM</t>
  </si>
  <si>
    <t>JEIDI1992@HOTMAIL.COM</t>
  </si>
  <si>
    <t>ARELI1988@HOTMAIL.COM</t>
  </si>
  <si>
    <t>JAIR1988@HOTMAIL.COM</t>
  </si>
  <si>
    <t>ELÍAS1990@HOTMAIL.COM</t>
  </si>
  <si>
    <t>JOSELYN1997@HOTMAIL.COM</t>
  </si>
  <si>
    <t>MARCELA1998@HOTMAIL.COM</t>
  </si>
  <si>
    <t>MARCOS1993@HOTMAIL.COM</t>
  </si>
  <si>
    <t>LUIS1998@HOTMAIL.COM</t>
  </si>
  <si>
    <t>WILLIAM1991@HOTMAIL.COM</t>
  </si>
  <si>
    <t>DANIEL1981@HOTMAIL.COM</t>
  </si>
  <si>
    <t>MAYRA1995@HOTMAIL.COM</t>
  </si>
  <si>
    <t>HUMBERTO1976@HOTMAIL.COM</t>
  </si>
  <si>
    <t>CARLOS1971@HOTMAIL.COM</t>
  </si>
  <si>
    <t>ANA1972@HOTMAIL.COM</t>
  </si>
  <si>
    <t>MARIA1975@HOTMAIL.COM</t>
  </si>
  <si>
    <t>EDGAR1972@HOTMAIL.COM</t>
  </si>
  <si>
    <t>VIRGILIO1983@HOTMAIL.COM</t>
  </si>
  <si>
    <t>ALMA1990@HOTMAIL.COM</t>
  </si>
  <si>
    <t>JULIO1978@HOTMAIL.COM</t>
  </si>
  <si>
    <t>JUAN1992@HOTMAIL.COM</t>
  </si>
  <si>
    <t>MARIO1975@HOTMAIL.COM</t>
  </si>
  <si>
    <t>FRANCISCA1974@HOTMAIL.COM</t>
  </si>
  <si>
    <t>ANALLELY1976@HOTMAIL.COM</t>
  </si>
  <si>
    <t>MARIA1988@HOTMAIL.COM</t>
  </si>
  <si>
    <t>JESUS1991@HOTMAIL.COM</t>
  </si>
  <si>
    <t>YASMIN1985@HOTMAIL.COM</t>
  </si>
  <si>
    <t>ESTEBAN1980@HOTMAIL.COM</t>
  </si>
  <si>
    <t>HECTOR1979@HOTMAIL.COM</t>
  </si>
  <si>
    <t>FELICIANA1977@HOTMAIL.COM</t>
  </si>
  <si>
    <t>MARIA1993@HOTMAIL.COM</t>
  </si>
  <si>
    <t>YULIANA1984@HOTMAIL.COM</t>
  </si>
  <si>
    <t>JENNIFER1973@HOTMAIL.COM</t>
  </si>
  <si>
    <t>GABRIELA1972@HOTMAIL.COM</t>
  </si>
  <si>
    <t>UZIEL1971@HOTMAIL.COM</t>
  </si>
  <si>
    <t>THANYA1972@HOTMAIL.COM</t>
  </si>
  <si>
    <t>ELIZABETH1997@HOTMAIL.COM</t>
  </si>
  <si>
    <t>ROSA1973@HOTMAIL.COM</t>
  </si>
  <si>
    <t>TEODORO1984@HOTMAIL.COM</t>
  </si>
  <si>
    <t>MARTHA1996@HOTMAIL.COM</t>
  </si>
  <si>
    <t>ANA1977@HOTMAIL.COM</t>
  </si>
  <si>
    <t>LORENA1986@HOTMAIL.COM</t>
  </si>
  <si>
    <t>LISSET1995@HOTMAIL.COM</t>
  </si>
  <si>
    <t>JUAN1993@HOTMAIL.COM</t>
  </si>
  <si>
    <t>TERESA1981@HOTMAIL.COM</t>
  </si>
  <si>
    <t>YOLANI1984@HOTMAIL.COM</t>
  </si>
  <si>
    <t>REBECA1994@HOTMAIL.COM</t>
  </si>
  <si>
    <t>MA1976@HOTMAIL.COM</t>
  </si>
  <si>
    <t>ROCIO1995@HOTMAIL.COM</t>
  </si>
  <si>
    <t>GREGORIA1972@HOTMAIL.COM</t>
  </si>
  <si>
    <t>EPIFANIO1985@HOTMAIL.COM</t>
  </si>
  <si>
    <t>NORBELLA1976@HOTMAIL.COM</t>
  </si>
  <si>
    <t>ELIZABETH1970@HOTMAIL.COM</t>
  </si>
  <si>
    <t>JOSE1989@HOTMAIL.COM</t>
  </si>
  <si>
    <t>GRISELDA1976@HOTMAIL.COM</t>
  </si>
  <si>
    <t>EDITH1972@HOTMAIL.COM</t>
  </si>
  <si>
    <t>DANIEL1975@HOTMAIL.COM</t>
  </si>
  <si>
    <t>NORA1973@HOTMAIL.COM</t>
  </si>
  <si>
    <t>CRISTINA1992@HOTMAIL.COM</t>
  </si>
  <si>
    <t>LUCIA1977@HOTMAIL.COM</t>
  </si>
  <si>
    <t>ARMANDO1987@HOTMAIL.COM</t>
  </si>
  <si>
    <t>FELIPA1975@HOTMAIL.COM</t>
  </si>
  <si>
    <t>MAYRA1992@HOTMAIL.COM</t>
  </si>
  <si>
    <t>BRISA1977@HOTMAIL.COM</t>
  </si>
  <si>
    <t>ROLANDO1977@HOTMAIL.COM</t>
  </si>
  <si>
    <t>FILIBERTO1979@HOTMAIL.COM</t>
  </si>
  <si>
    <t>FELIPE1980@HOTMAIL.COM</t>
  </si>
  <si>
    <t>TITA1981@HOTMAIL.COM</t>
  </si>
  <si>
    <t>JOSEFINA1976@HOTMAIL.COM</t>
  </si>
  <si>
    <t>CARLOS1994@HOTMAIL.COM</t>
  </si>
  <si>
    <t>JAIME1991@HOTMAIL.COM</t>
  </si>
  <si>
    <t>ANGELICA1971@HOTMAIL.COM</t>
  </si>
  <si>
    <t>GABRIEL1980@HOTMAIL.COM</t>
  </si>
  <si>
    <t>MAGDALENA1994@HOTMAIL.COM</t>
  </si>
  <si>
    <t>FRANCISCO1999@HOTMAIL.COM</t>
  </si>
  <si>
    <t>ABEL1987@HOTMAIL.COM</t>
  </si>
  <si>
    <t>RAFAEL1983@HOTMAIL.COM</t>
  </si>
  <si>
    <t>MARIA1997@HOTMAIL.COM</t>
  </si>
  <si>
    <t>ALMA1971@HOTMAIL.COM</t>
  </si>
  <si>
    <t>AMALIA1996@HOTMAIL.COM</t>
  </si>
  <si>
    <t>BRIGIDO1991@HOTMAIL.COM</t>
  </si>
  <si>
    <t>ENRIQUE1988@HOTMAIL.COM</t>
  </si>
  <si>
    <t>GUADALUPE1986@HOTMAIL.COM</t>
  </si>
  <si>
    <t>ARACELI1998@HOTMAIL.COM</t>
  </si>
  <si>
    <t>GEORGINA1986@HOTMAIL.COM</t>
  </si>
  <si>
    <t>JULIAN1977@HOTMAIL.COM</t>
  </si>
  <si>
    <t>DIANA1974@HOTMAIL.COM</t>
  </si>
  <si>
    <t>FRANCISCO1986@HOTMAIL.COM</t>
  </si>
  <si>
    <t>MARIA1991@HOTMAIL.COM</t>
  </si>
  <si>
    <t>JOSE1970@HOTMAIL.COM</t>
  </si>
  <si>
    <t>MARINA1987@HOTMAIL.COM</t>
  </si>
  <si>
    <t>SILVIA1979@HOTMAIL.COM</t>
  </si>
  <si>
    <t>SALVADOR1991@HOTMAIL.COM</t>
  </si>
  <si>
    <t>FRANCISCO1987@HOTMAIL.COM</t>
  </si>
  <si>
    <t>VICTOR1993@HOTMAIL.COM</t>
  </si>
  <si>
    <t>ARTURO1977@HOTMAIL.COM</t>
  </si>
  <si>
    <t>PATRICIA1970@HOTMAIL.COM</t>
  </si>
  <si>
    <t>INOCENCIA1986@HOTMAIL.COM</t>
  </si>
  <si>
    <t>JAVIER1989@HOTMAIL.COM</t>
  </si>
  <si>
    <t>JUANITA1995@HOTMAIL.COM</t>
  </si>
  <si>
    <t>ALFONSO1993@HOTMAIL.COM</t>
  </si>
  <si>
    <t>SHEYLA1996@HOTMAIL.COM</t>
  </si>
  <si>
    <t>PEDRO1994@HOTMAIL.COM</t>
  </si>
  <si>
    <t>ANA1975@HOTMAIL.COM</t>
  </si>
  <si>
    <t>ESMERALDA1985@HOTMAIL.COM</t>
  </si>
  <si>
    <t>EDEN1988@HOTMAIL.COM</t>
  </si>
  <si>
    <t>ERIKA1987@HOTMAIL.COM</t>
  </si>
  <si>
    <t>CAROLINA1985@HOTMAIL.COM</t>
  </si>
  <si>
    <t>HUMBERTO1991@HOTMAIL.COM</t>
  </si>
  <si>
    <t>EDUARDO1989@HOTMAIL.COM</t>
  </si>
  <si>
    <t>EDWIN1980@HOTMAIL.COM</t>
  </si>
  <si>
    <t>EMILENE1996@HOTMAIL.COM</t>
  </si>
  <si>
    <t>LIDIA1988@HOTMAIL.COM</t>
  </si>
  <si>
    <t>JULIO1998@HOTMAIL.COM</t>
  </si>
  <si>
    <t>LILIANA1992@HOTMAIL.COM</t>
  </si>
  <si>
    <t>ALFREDO1978@HOTMAIL.COM</t>
  </si>
  <si>
    <t>MARCO1987@HOTMAIL.COM</t>
  </si>
  <si>
    <t>IMELDA1978@HOTMAIL.COM</t>
  </si>
  <si>
    <t>YESENIA1973@HOTMAIL.COM</t>
  </si>
  <si>
    <t>MARBELLA1976@HOTMAIL.COM</t>
  </si>
  <si>
    <t>RICARDO1997@HOTMAIL.COM</t>
  </si>
  <si>
    <t>BARTOLOME1990@HOTMAIL.COM</t>
  </si>
  <si>
    <t>CRISTINA1989@HOTMAIL.COM</t>
  </si>
  <si>
    <t>ALBINO1977@HOTMAIL.COM</t>
  </si>
  <si>
    <t>ROBERTO1982@HOTMAIL.COM</t>
  </si>
  <si>
    <t>SANDRA1994@HOTMAIL.COM</t>
  </si>
  <si>
    <t>BERNANDINA1990@HOTMAIL.COM</t>
  </si>
  <si>
    <t>MARGARITA1995@HOTMAIL.COM</t>
  </si>
  <si>
    <t>ADELAIDO1984@HOTMAIL.COM</t>
  </si>
  <si>
    <t>SILVIA1981@HOTMAIL.COM</t>
  </si>
  <si>
    <t>YENI1991@HOTMAIL.COM</t>
  </si>
  <si>
    <t>LAURA1979@HOTMAIL.COM</t>
  </si>
  <si>
    <t>RODRIGO1972@HOTMAIL.COM</t>
  </si>
  <si>
    <t>IRMA1994@HOTMAIL.COM</t>
  </si>
  <si>
    <t>RUBY1971@HOTMAIL.COM</t>
  </si>
  <si>
    <t>JAZMIN1997@HOTMAIL.COM</t>
  </si>
  <si>
    <t>MARILU1980@HOTMAIL.COM</t>
  </si>
  <si>
    <t>LUZ1981@HOTMAIL.COM</t>
  </si>
  <si>
    <t>CLAUDIA1989@HOTMAIL.COM</t>
  </si>
  <si>
    <t>MIGUEL1984@HOTMAIL.COM</t>
  </si>
  <si>
    <t>LIZETH1999@HOTMAIL.COM</t>
  </si>
  <si>
    <t>MIXCEL1974@HOTMAIL.COM</t>
  </si>
  <si>
    <t>JESUS1974@HOTMAIL.COM</t>
  </si>
  <si>
    <t>SILVIA1994@HOTMAIL.COM</t>
  </si>
  <si>
    <t>KAREN1983@HOTMAIL.COM</t>
  </si>
  <si>
    <t>JOSE1972@HOTMAIL.COM</t>
  </si>
  <si>
    <t>LARRY1998@HOTMAIL.COM</t>
  </si>
  <si>
    <t>SALVADOR1995@HOTMAIL.COM</t>
  </si>
  <si>
    <t>NANCI1998@HOTMAIL.COM</t>
  </si>
  <si>
    <t>BEATRIZ1984@HOTMAIL.COM</t>
  </si>
  <si>
    <t>GUADALUPE1982@HOTMAIL.COM</t>
  </si>
  <si>
    <t>BIRIDIANA1987@HOTMAIL.COM</t>
  </si>
  <si>
    <t>MIGUEL1983@HOTMAIL.COM</t>
  </si>
  <si>
    <t>MELBA1985@HOTMAIL.COM</t>
  </si>
  <si>
    <t>JUAN1973@HOTMAIL.COM</t>
  </si>
  <si>
    <t>JORGE1990@HOTMAIL.COM</t>
  </si>
  <si>
    <t>ELDA1994@HOTMAIL.COM</t>
  </si>
  <si>
    <t>ARACELI1994@HOTMAIL.COM</t>
  </si>
  <si>
    <t>ROBERTO1987@HOTMAIL.COM</t>
  </si>
  <si>
    <t>ENRIQUE1981@HOTMAIL.COM</t>
  </si>
  <si>
    <t>IVONET1986@HOTMAIL.COM</t>
  </si>
  <si>
    <t>MAURA1991@HOTMAIL.COM</t>
  </si>
  <si>
    <t>YAMIN1982@HOTMAIL.COM</t>
  </si>
  <si>
    <t>BLAS1995@HOTMAIL.COM</t>
  </si>
  <si>
    <t>CELESTINO1990@HOTMAIL.COM</t>
  </si>
  <si>
    <t>HIGINIO1996@HOTMAIL.COM</t>
  </si>
  <si>
    <t>BLANCA1997@HOTMAIL.COM</t>
  </si>
  <si>
    <t>TOMAS1997@HOTMAIL.COM</t>
  </si>
  <si>
    <t>LORENA1976@HOTMAIL.COM</t>
  </si>
  <si>
    <t>MARIA1981@HOTMAIL.COM</t>
  </si>
  <si>
    <t>EMILIANA1978@HOTMAIL.COM</t>
  </si>
  <si>
    <t>ANTONIA1974@HOTMAIL.COM</t>
  </si>
  <si>
    <t>JEANNETHE1972@HOTMAIL.COM</t>
  </si>
  <si>
    <t>ANGEL1981@HOTMAIL.COM</t>
  </si>
  <si>
    <t>DANIELA1985@HOTMAIL.COM</t>
  </si>
  <si>
    <t>CARMELA1999@HOTMAIL.COM</t>
  </si>
  <si>
    <t>MIRIAM1998@HOTMAIL.COM</t>
  </si>
  <si>
    <t>KATY1972@HOTMAIL.COM</t>
  </si>
  <si>
    <t>ALMA1987@HOTMAIL.COM</t>
  </si>
  <si>
    <t>MA1977@HOTMAIL.COM</t>
  </si>
  <si>
    <t>MARCELO1997@HOTMAIL.COM</t>
  </si>
  <si>
    <t>FRANCISCO1996@HOTMAIL.COM</t>
  </si>
  <si>
    <t>ADRIAN1972@HOTMAIL.COM</t>
  </si>
  <si>
    <t>ARCENIO1984@HOTMAIL.COM</t>
  </si>
  <si>
    <t>JOSE1971@HOTMAIL.COM</t>
  </si>
  <si>
    <t>DELFINA1984@HOTMAIL.COM</t>
  </si>
  <si>
    <t>ADRIAN1988@HOTMAIL.COM</t>
  </si>
  <si>
    <t>ARTURO1978@HOTMAIL.COM</t>
  </si>
  <si>
    <t>ALMA1981@HOTMAIL.COM</t>
  </si>
  <si>
    <t>ROCIO1997@HOTMAIL.COM</t>
  </si>
  <si>
    <t>DAVID1974@HOTMAIL.COM</t>
  </si>
  <si>
    <t>YESENIA1993@HOTMAIL.COM</t>
  </si>
  <si>
    <t>MARIA1973@HOTMAIL.COM</t>
  </si>
  <si>
    <t>YADIRA1973@HOTMAIL.COM</t>
  </si>
  <si>
    <t xml:space="preserve">BIBLIOTECOLOGÍA Y CIENCIA DE LA INFORMACIÓN   </t>
  </si>
  <si>
    <t xml:space="preserve">CONTADOR PÚBLICO       </t>
  </si>
  <si>
    <t xml:space="preserve">ADMINISTRACIÓN        </t>
  </si>
  <si>
    <t xml:space="preserve">TECNOLOGÍA DE SOFTWARE      </t>
  </si>
  <si>
    <t xml:space="preserve">NEGOCIOS INTERNACIONALES       </t>
  </si>
  <si>
    <t xml:space="preserve">INGENIERÍA CIVIL       </t>
  </si>
  <si>
    <t xml:space="preserve">DERECHO Y CIENCIAS JURÍDICAS     </t>
  </si>
  <si>
    <t xml:space="preserve">EDUCACIÓN        </t>
  </si>
  <si>
    <t xml:space="preserve">FÍSICA        </t>
  </si>
  <si>
    <t>DISEÑO INDUSTRIAL</t>
  </si>
  <si>
    <t xml:space="preserve">ARQUITECTURA        </t>
  </si>
  <si>
    <t xml:space="preserve">CIENCIAS DE LA COMUNICACIÓN CON ACENTUACIÓN EN INFORMACIÓN </t>
  </si>
  <si>
    <t xml:space="preserve">MULTIMEDIA Y ANIMACIÓN DIGITAL          </t>
  </si>
  <si>
    <t xml:space="preserve">INGENIERO MECÁNICO ADMINISTRADOR      </t>
  </si>
  <si>
    <t xml:space="preserve">INGENIERO ADMINISTRADOR DE SISTEMAS     </t>
  </si>
  <si>
    <t xml:space="preserve">PUBLICIDAD   CIENCIAS DE LA COMUNICACIÓN ACENTUACIÓN EN PUBLICIDAD       </t>
  </si>
  <si>
    <t xml:space="preserve">INGENIERO EN MATERIALES      </t>
  </si>
  <si>
    <t xml:space="preserve">ECONOMÍA        </t>
  </si>
  <si>
    <t/>
  </si>
  <si>
    <t xml:space="preserve">TECNOLOGÍA DE SOFTWARE   </t>
  </si>
  <si>
    <t xml:space="preserve">DISEÑO INDUSTRIAL       </t>
  </si>
  <si>
    <t xml:space="preserve">INGENIERO INDUSTRIAL ADMINISTRADOR      </t>
  </si>
  <si>
    <t>TITUL</t>
  </si>
  <si>
    <t>Hugo Alvarado Álvarez</t>
  </si>
  <si>
    <t>HUGO.A.A.89@HOTMAIL.COM</t>
  </si>
  <si>
    <t>DERECHO</t>
  </si>
  <si>
    <t>LEYES</t>
  </si>
  <si>
    <t>Adriana Ríos Powers</t>
  </si>
  <si>
    <t>ADRIANA.RIOS@PWC.COM</t>
  </si>
  <si>
    <t>CONTADOR PÚBLICO</t>
  </si>
  <si>
    <t>CONTADOR PÚBLICO Y AUDITOR</t>
  </si>
  <si>
    <t>Mayra Castañeda Guerrero</t>
  </si>
  <si>
    <t>MAY.CASTA@HOTMAIL.COM</t>
  </si>
  <si>
    <t>Gabriel García Márquez</t>
  </si>
  <si>
    <t>LUPITA_GRO@HOTMAIL.COM</t>
  </si>
  <si>
    <t>SECRETARIA CONTADOR</t>
  </si>
  <si>
    <t>Carlos Peña González</t>
  </si>
  <si>
    <t>Uriel Mendez Flores</t>
  </si>
  <si>
    <t>URIEL.MENDEZ@HOTMAIL.COM</t>
  </si>
  <si>
    <t>PROGRAMACIÓN</t>
  </si>
  <si>
    <t>Sueldo diario</t>
  </si>
  <si>
    <t>Fecha de ingreso</t>
  </si>
  <si>
    <t>Auditoría administrativa</t>
  </si>
  <si>
    <t>Auditoría de proyectos</t>
  </si>
  <si>
    <t>Reclutamiento</t>
  </si>
  <si>
    <t>Relaciones internas</t>
  </si>
  <si>
    <t>Inversiones</t>
  </si>
  <si>
    <t>Colectivos</t>
  </si>
  <si>
    <t>Arquitectura</t>
  </si>
  <si>
    <t>Renderizado</t>
  </si>
  <si>
    <t>Estructural</t>
  </si>
  <si>
    <t>Materiales</t>
  </si>
  <si>
    <t>Control interno</t>
  </si>
  <si>
    <t>Compras</t>
  </si>
  <si>
    <t>Créditos</t>
  </si>
  <si>
    <t>Representante legal</t>
  </si>
  <si>
    <t>Software</t>
  </si>
  <si>
    <t xml:space="preserve">Auditoría </t>
  </si>
  <si>
    <t>Capital humano</t>
  </si>
  <si>
    <t>División arquitectura</t>
  </si>
  <si>
    <t>División ingeniería</t>
  </si>
  <si>
    <t>Roxana Bello López</t>
  </si>
  <si>
    <t>ROXANA.@GMAIL.COM</t>
  </si>
  <si>
    <t>GASTRONOMÍA</t>
  </si>
  <si>
    <t>DIAS LAB</t>
  </si>
  <si>
    <t>UMA DIA</t>
  </si>
  <si>
    <t>3UMA</t>
  </si>
  <si>
    <t>Clase I</t>
  </si>
  <si>
    <t>Clase II</t>
  </si>
  <si>
    <t>Clase III</t>
  </si>
  <si>
    <t>Clase IV</t>
  </si>
  <si>
    <t>Alexander Islas Gutierrez</t>
  </si>
  <si>
    <t>ALEX.ISLAS@HOTMAIL.COM</t>
  </si>
  <si>
    <t>PSICOLOGÍA</t>
  </si>
  <si>
    <t>LAS PUENTES</t>
  </si>
  <si>
    <t>LA UNIÓN</t>
  </si>
  <si>
    <t>CANTERAS</t>
  </si>
  <si>
    <t>SAN PABLO</t>
  </si>
  <si>
    <t>EL FRAILE</t>
  </si>
  <si>
    <t>ÉBANOS</t>
  </si>
  <si>
    <t>LA HACIENDA</t>
  </si>
  <si>
    <t>NUESTRA SEÑORA DE FÁTIMA</t>
  </si>
  <si>
    <t>David Alejandro Cuevas Aguilar</t>
  </si>
  <si>
    <t>ALXAGLR@GMAIL.COM</t>
  </si>
  <si>
    <t>BIOLOGÍA</t>
  </si>
  <si>
    <t>Nydia García Mata</t>
  </si>
  <si>
    <t>Angélica Justiniano Galvez</t>
  </si>
  <si>
    <t>Angélica Paredes Soriano</t>
  </si>
  <si>
    <t>Angélica Sarahi Escamilla Puente</t>
  </si>
  <si>
    <t>José Angel Marin Santiago</t>
  </si>
  <si>
    <t>José Antonio Valdez Andraca</t>
  </si>
  <si>
    <t>José Eduardo Torres Arevalo</t>
  </si>
  <si>
    <t>José Francisco Florentino</t>
  </si>
  <si>
    <t>José Humberto Peñaflor Galicia</t>
  </si>
  <si>
    <t>José Ines Giron Suastegui</t>
  </si>
  <si>
    <t>José Ivan Zacarias Moreno</t>
  </si>
  <si>
    <t>José Madero Tijerina</t>
  </si>
  <si>
    <t>José Mario Sandoval Raudales</t>
  </si>
  <si>
    <t>José Meraz Felix</t>
  </si>
  <si>
    <t>Joséfina Javier Miranda</t>
  </si>
  <si>
    <t>Joséline Miroslava Valdez Valadez</t>
  </si>
  <si>
    <t>Josélyn Galván Ruiz</t>
  </si>
  <si>
    <t>Josélyn Lara Garza</t>
  </si>
  <si>
    <t>Juan José Gonzalez Montoya</t>
  </si>
  <si>
    <t>maria.toledo@grupomaia.com</t>
  </si>
  <si>
    <t>Ana María Amelia Solis Saravia</t>
  </si>
  <si>
    <t>Debany Maríana Galván Galván</t>
  </si>
  <si>
    <t>Devany Maríana Galvan Galvan</t>
  </si>
  <si>
    <t>Diana María Melo Jimenez</t>
  </si>
  <si>
    <t>José María Maldonado Nieto</t>
  </si>
  <si>
    <t>María De Jesus Barragan Noyola</t>
  </si>
  <si>
    <t>María Del Carmen Luna Acosta</t>
  </si>
  <si>
    <t>María Guadalupe Adame Hernandez</t>
  </si>
  <si>
    <t>María Guadalupe Carrillo Chavez</t>
  </si>
  <si>
    <t>María Guadalupe Cortes Trejo</t>
  </si>
  <si>
    <t>María Guadalupe Hernandez Herrera</t>
  </si>
  <si>
    <t>María Mendez Mendez</t>
  </si>
  <si>
    <t>Marían Aurora Martínez López</t>
  </si>
  <si>
    <t>Maríana Márquez Ortiz</t>
  </si>
  <si>
    <t>Maríana Rodríguez Gutiérrez</t>
  </si>
  <si>
    <t>Maríano Aldebarán</t>
  </si>
  <si>
    <t>Odaliz Maríanela López Gutiérrez</t>
  </si>
  <si>
    <t>Daniel Antonio García Marine</t>
  </si>
  <si>
    <t>Adamari Rodríguez García</t>
  </si>
  <si>
    <t>Emma Dariela García Lorca</t>
  </si>
  <si>
    <t>Fátima Jaqueline Morin García</t>
  </si>
  <si>
    <t>Fernanda Isabel Flores García</t>
  </si>
  <si>
    <t>Idalia García Escrivá</t>
  </si>
  <si>
    <t>Keila Saraí Ruiz García</t>
  </si>
  <si>
    <t>Kenia Priscila Ruiz García</t>
  </si>
  <si>
    <t>Leonardo Daniel García Covarruvias</t>
  </si>
  <si>
    <t>Marcela Camarillo García</t>
  </si>
  <si>
    <t>Melanie Priscila Ibarra García</t>
  </si>
  <si>
    <t>Mónica Monserrat Flores García</t>
  </si>
  <si>
    <t>Perla Yamileth García Olivo</t>
  </si>
  <si>
    <t>Yaneth Marcela Vega García</t>
  </si>
  <si>
    <t>Pamela Bibiano González</t>
  </si>
  <si>
    <t>pame_bibiano@hotmail.com</t>
  </si>
  <si>
    <t>pamela.bibiano@grupomaia.com</t>
  </si>
  <si>
    <t>ADMINISTRACIÓN</t>
  </si>
  <si>
    <t>MÁRTIRES DE CANANEA</t>
  </si>
  <si>
    <t>Departamento de Capital Humano</t>
  </si>
  <si>
    <t>PERIODO</t>
  </si>
  <si>
    <t>MENSUAL</t>
  </si>
  <si>
    <t>CONCEPTO</t>
  </si>
  <si>
    <t>RIESGO DE TRABAJO</t>
  </si>
  <si>
    <t>BIMEST</t>
  </si>
  <si>
    <t>ENFERMEDADES Y MATERNIDAD</t>
  </si>
  <si>
    <t>GUARDERÍAS Y PRESTACIONES SOCIALES</t>
  </si>
  <si>
    <t>RCV RETIRO CEAV</t>
  </si>
  <si>
    <t>PRESTACIONES</t>
  </si>
  <si>
    <t>ESPECIE</t>
  </si>
  <si>
    <t>GASTOS MEDICOS PARA PENSIONADOS Y BENEFICIARIOS</t>
  </si>
  <si>
    <t>CEAV</t>
  </si>
  <si>
    <t>UMA</t>
  </si>
  <si>
    <t>SDI-3UMA</t>
  </si>
  <si>
    <t>BASE</t>
  </si>
  <si>
    <t>PATRN</t>
  </si>
  <si>
    <t>OBRER</t>
  </si>
  <si>
    <t>VALORES</t>
  </si>
  <si>
    <t>Columna2</t>
  </si>
  <si>
    <t>Columna12</t>
  </si>
  <si>
    <t>Columna13</t>
  </si>
  <si>
    <t>Columna14</t>
  </si>
  <si>
    <t>Columna15</t>
  </si>
  <si>
    <t>Columna16</t>
  </si>
  <si>
    <t>ESP</t>
  </si>
  <si>
    <t>Dirección de proyectos</t>
  </si>
  <si>
    <t>Dirección ejecutiva</t>
  </si>
  <si>
    <t>EFF</t>
  </si>
  <si>
    <t>% RSG</t>
  </si>
  <si>
    <t>P ESP 1</t>
  </si>
  <si>
    <t>P SDI-3UMA2</t>
  </si>
  <si>
    <t>P EFF</t>
  </si>
  <si>
    <t>P INV&amp;VDA</t>
  </si>
  <si>
    <t>P GRD Y PNS SCL</t>
  </si>
  <si>
    <t>P RCV RET</t>
  </si>
  <si>
    <t>P CEAV</t>
  </si>
  <si>
    <t>P INFONAVIT</t>
  </si>
  <si>
    <t>P TOTAL</t>
  </si>
  <si>
    <t>P RSG TRB</t>
  </si>
  <si>
    <t>O RSG TRB</t>
  </si>
  <si>
    <t>P GST MDC</t>
  </si>
  <si>
    <t>O EFF</t>
  </si>
  <si>
    <t>O INV&amp;VDA</t>
  </si>
  <si>
    <t>O GRD Y PNS SCL</t>
  </si>
  <si>
    <t>O RCV RET</t>
  </si>
  <si>
    <t>O CEAV</t>
  </si>
  <si>
    <t>O INFONAVIT</t>
  </si>
  <si>
    <t>O TOTAL</t>
  </si>
  <si>
    <t>ESP Y EFF</t>
  </si>
  <si>
    <t>ESP  Y EFF</t>
  </si>
  <si>
    <t>CRÉD  VIVIENDA</t>
  </si>
  <si>
    <t>SDI*%RSG</t>
  </si>
  <si>
    <t>Ʃ TOT</t>
  </si>
  <si>
    <t>Límite inferior</t>
  </si>
  <si>
    <t>Límite superior</t>
  </si>
  <si>
    <t>Cuota fija</t>
  </si>
  <si>
    <t>% Sobre excedente del límite inferior</t>
  </si>
  <si>
    <t>Para Ingresos de</t>
  </si>
  <si>
    <t>Hasta Ingresos de</t>
  </si>
  <si>
    <t>Cantidad de subsidio para el empleo mensual</t>
  </si>
  <si>
    <t>EXC LIM INF</t>
  </si>
  <si>
    <t>TASA EXC</t>
  </si>
  <si>
    <t>ISR CARGO</t>
  </si>
  <si>
    <t>SUBS ISR</t>
  </si>
  <si>
    <t>ISR RETE</t>
  </si>
  <si>
    <t xml:space="preserve">ISR RETE NÓMINA </t>
  </si>
  <si>
    <t>SUBS APL</t>
  </si>
  <si>
    <t>Leslie Judith Estrada</t>
  </si>
  <si>
    <t>lesli_je94@gmail.com</t>
  </si>
  <si>
    <t>lesli.estrada@grupomaia.com</t>
  </si>
  <si>
    <t>LIC ADMIN</t>
  </si>
  <si>
    <t>GIRASOLES 2</t>
  </si>
  <si>
    <t>Charliy Ezequiel Ryzen Antares</t>
  </si>
  <si>
    <t>EDAD</t>
  </si>
  <si>
    <t>abad.gomez@grupomaia.com</t>
  </si>
  <si>
    <t>abel.lopez@grupomaia.com</t>
  </si>
  <si>
    <t>adamari.rodríguez@grupomaia.com</t>
  </si>
  <si>
    <t>adelaido.sanchez@grupomaia.com</t>
  </si>
  <si>
    <t>adrian.garcia@grupomaia.com</t>
  </si>
  <si>
    <t>adrian.guzman@grupomaia.com</t>
  </si>
  <si>
    <t>adriana.ríos@grupomaia.com</t>
  </si>
  <si>
    <t>aide.ortega@grupomaia.com</t>
  </si>
  <si>
    <t>alberto.caballero@grupomaia.com</t>
  </si>
  <si>
    <t>albino.rivera@grupomaia.com</t>
  </si>
  <si>
    <t>aldo.quiroga@grupomaia.com</t>
  </si>
  <si>
    <t>alejandra.cisneros@grupomaia.com</t>
  </si>
  <si>
    <t>alejandra.villavicencio@grupomaia.com</t>
  </si>
  <si>
    <t>alejandra.casas@grupomaia.com</t>
  </si>
  <si>
    <t>alejandro.turner@grupomaia.com</t>
  </si>
  <si>
    <t>alexa.rivas@grupomaia.com</t>
  </si>
  <si>
    <t>alexander.islas@grupomaia.com</t>
  </si>
  <si>
    <t>alexia.sánchez@grupomaia.com</t>
  </si>
  <si>
    <t>alfonso.noyola@grupomaia.com</t>
  </si>
  <si>
    <t>alfonso.robles@grupomaia.com</t>
  </si>
  <si>
    <t>alfredo.perez@grupomaia.com</t>
  </si>
  <si>
    <t>alma.hernandez@grupomaia.com</t>
  </si>
  <si>
    <t>alma.garcia@grupomaia.com</t>
  </si>
  <si>
    <t>alma.manrique@grupomaia.com</t>
  </si>
  <si>
    <t>alma.andrade@grupomaia.com</t>
  </si>
  <si>
    <t>alondra.bernal@grupomaia.com</t>
  </si>
  <si>
    <t>amalia.marino@grupomaia.com</t>
  </si>
  <si>
    <t>america.coronado@grupomaia.com</t>
  </si>
  <si>
    <t>ana.cortez@grupomaia.com</t>
  </si>
  <si>
    <t>ana.farias@grupomaia.com</t>
  </si>
  <si>
    <t>ana.orbe@grupomaia.com</t>
  </si>
  <si>
    <t>ana.solis@grupomaia.com</t>
  </si>
  <si>
    <t>ana.rodríguez@grupomaia.com</t>
  </si>
  <si>
    <t>ana.fernandez@grupomaia.com</t>
  </si>
  <si>
    <t>anadela.rivera@grupomaia.com</t>
  </si>
  <si>
    <t>anallely.barona@grupomaia.com</t>
  </si>
  <si>
    <t>andrea.arizpe@grupomaia.com</t>
  </si>
  <si>
    <t>angel.estrada@grupomaia.com</t>
  </si>
  <si>
    <t>angel.morales@grupomaia.com</t>
  </si>
  <si>
    <t>angel.castillo@grupomaia.com</t>
  </si>
  <si>
    <t>angela.olivares@grupomaia.com</t>
  </si>
  <si>
    <t>angelica.justiniano@grupomaia.com</t>
  </si>
  <si>
    <t>angélica.guerrero@grupomaia.com</t>
  </si>
  <si>
    <t>angelica.paredes@grupomaia.com</t>
  </si>
  <si>
    <t>angelica.escamilla@grupomaia.com</t>
  </si>
  <si>
    <t>antonia.delgado@grupomaia.com</t>
  </si>
  <si>
    <t>antonio.jesús@grupomaia.com</t>
  </si>
  <si>
    <t>antonio.martinez@grupomaia.com</t>
  </si>
  <si>
    <t>araceli.martinez@grupomaia.com</t>
  </si>
  <si>
    <t>araceli.barrera@grupomaia.com</t>
  </si>
  <si>
    <t>aranza.vazquez@grupomaia.com</t>
  </si>
  <si>
    <t>arcenio.gatica@grupomaia.com</t>
  </si>
  <si>
    <t>areli.vázquez@grupomaia.com</t>
  </si>
  <si>
    <t>arlet.reyes@grupomaia.com</t>
  </si>
  <si>
    <t>armando.hernandez@grupomaia.com</t>
  </si>
  <si>
    <t>arturo.guzman@grupomaia.com</t>
  </si>
  <si>
    <t>arturo.nava@grupomaia.com</t>
  </si>
  <si>
    <t>arturo.hernandez@grupomaia.com</t>
  </si>
  <si>
    <t>aylin.medellín@grupomaia.com</t>
  </si>
  <si>
    <t>bartolome.rios@grupomaia.com</t>
  </si>
  <si>
    <t>beatriz.zavaleta@grupomaia.com</t>
  </si>
  <si>
    <t>beatriz.basurto@grupomaia.com</t>
  </si>
  <si>
    <t>bernandina.salgado@grupomaia.com</t>
  </si>
  <si>
    <t>bertha.cisneros@grupomaia.com</t>
  </si>
  <si>
    <t>biridiana.abrajan@grupomaia.com</t>
  </si>
  <si>
    <t>blanca.chavez@grupomaia.com</t>
  </si>
  <si>
    <t>blas.cedomio@grupomaia.com</t>
  </si>
  <si>
    <t>brandon.fuentes@grupomaia.com</t>
  </si>
  <si>
    <t>brandon.orta@grupomaia.com</t>
  </si>
  <si>
    <t>brayan.reyes@grupomaia.com</t>
  </si>
  <si>
    <t>brayan.lara@grupomaia.com</t>
  </si>
  <si>
    <t>brayan.campos@grupomaia.com</t>
  </si>
  <si>
    <t>brian.quiroz@grupomaia.com</t>
  </si>
  <si>
    <t>brigido.martinez@grupomaia.com</t>
  </si>
  <si>
    <t>brisa.hernandez@grupomaia.com</t>
  </si>
  <si>
    <t>brisseidy.garcia@grupomaia.com</t>
  </si>
  <si>
    <t>carla.juárez@grupomaia.com</t>
  </si>
  <si>
    <t>carlos.ponce@grupomaia.com</t>
  </si>
  <si>
    <t>carlos.rodriguez@grupomaia.com</t>
  </si>
  <si>
    <t>carlos.jimenez@grupomaia.com</t>
  </si>
  <si>
    <t>carlos.peña@grupomaia.com</t>
  </si>
  <si>
    <t>carmela.flores@grupomaia.com</t>
  </si>
  <si>
    <t>carolina.ortiz@grupomaia.com</t>
  </si>
  <si>
    <t>carolina.perez@grupomaia.com</t>
  </si>
  <si>
    <t>cassandra.presas@grupomaia.com</t>
  </si>
  <si>
    <t>cecilia.balderrama@grupomaia.com</t>
  </si>
  <si>
    <t>cecilia.ochoa@grupomaia.com</t>
  </si>
  <si>
    <t>cecilia.loredo@grupomaia.com</t>
  </si>
  <si>
    <t>cecilia.farías@grupomaia.com</t>
  </si>
  <si>
    <t>celestino.ceron@grupomaia.com</t>
  </si>
  <si>
    <t>cesar.sanchez@grupomaia.com</t>
  </si>
  <si>
    <t>charliy.antares@grupomaia.com</t>
  </si>
  <si>
    <t>cidney.ruan@grupomaia.com</t>
  </si>
  <si>
    <t>cinthia.coronado@grupomaia.com</t>
  </si>
  <si>
    <t>citlaly.segundo@grupomaia.com</t>
  </si>
  <si>
    <t>clara.ramirez@grupomaia.com</t>
  </si>
  <si>
    <t>claudia.valenzuela@grupomaia.com</t>
  </si>
  <si>
    <t>cristian.ramos@grupomaia.com</t>
  </si>
  <si>
    <t>cristian.hernandez@grupomaia.com</t>
  </si>
  <si>
    <t>cristina.gonzalez@grupomaia.com</t>
  </si>
  <si>
    <t>cristina.rivas@grupomaia.com</t>
  </si>
  <si>
    <t>cynthia.gonzález@grupomaia.com</t>
  </si>
  <si>
    <t>cynthia.zul@grupomaia.com</t>
  </si>
  <si>
    <t>damaris.lópez@grupomaia.com</t>
  </si>
  <si>
    <t>damaris.ambriz@grupomaia.com</t>
  </si>
  <si>
    <t>daniel.garcia@grupomaia.com</t>
  </si>
  <si>
    <t>daniel.rojo@grupomaia.com</t>
  </si>
  <si>
    <t>daniel.gervacio@grupomaia.com</t>
  </si>
  <si>
    <t>daniel.villarreal@grupomaia.com</t>
  </si>
  <si>
    <t>daniela.delgado@grupomaia.com</t>
  </si>
  <si>
    <t>daniela.evangelista@grupomaia.com</t>
  </si>
  <si>
    <t>danna.ortiz@grupomaia.com</t>
  </si>
  <si>
    <t>daphne.ramos@grupomaia.com</t>
  </si>
  <si>
    <t>dariana.arjona@grupomaia.com</t>
  </si>
  <si>
    <t>david.puente@grupomaia.com</t>
  </si>
  <si>
    <t>david.cuevas@grupomaia.com</t>
  </si>
  <si>
    <t>david.hernandez@grupomaia.com</t>
  </si>
  <si>
    <t>david.rodriguez@grupomaia.com</t>
  </si>
  <si>
    <t>dayana.sanchez@grupomaia.com</t>
  </si>
  <si>
    <t>debanhi.escobar@grupomaia.com</t>
  </si>
  <si>
    <t>debanhy.parada@grupomaia.com</t>
  </si>
  <si>
    <t>debany.galván@grupomaia.com</t>
  </si>
  <si>
    <t>debany.morales@grupomaia.com</t>
  </si>
  <si>
    <t>delfina.gutierrez@grupomaia.com</t>
  </si>
  <si>
    <t>delsy.esparza@grupomaia.com</t>
  </si>
  <si>
    <t>deneb.altair@grupomaia.com</t>
  </si>
  <si>
    <t>devany.montoya@grupomaia.com</t>
  </si>
  <si>
    <t>devany.galvan@grupomaia.com</t>
  </si>
  <si>
    <t>devany.hernández@grupomaia.com</t>
  </si>
  <si>
    <t>diana.lomas@grupomaia.com</t>
  </si>
  <si>
    <t>diana.melo@grupomaia.com</t>
  </si>
  <si>
    <t>diego.herrera@grupomaia.com</t>
  </si>
  <si>
    <t>dither.hernandez@grupomaia.com</t>
  </si>
  <si>
    <t>dorian.martínez@grupomaia.com</t>
  </si>
  <si>
    <t>dulce.santos@grupomaia.com</t>
  </si>
  <si>
    <t>eden.ortega@grupomaia.com</t>
  </si>
  <si>
    <t>edgar.rodriguez@grupomaia.com</t>
  </si>
  <si>
    <t>edgar.cáceres@grupomaia.com</t>
  </si>
  <si>
    <t>edgar.aleman@grupomaia.com</t>
  </si>
  <si>
    <t>edith.garcia@grupomaia.com</t>
  </si>
  <si>
    <t>edson.galván@grupomaia.com</t>
  </si>
  <si>
    <t>edson.vazquez@grupomaia.com</t>
  </si>
  <si>
    <t>edson.rivera@grupomaia.com</t>
  </si>
  <si>
    <t>eduardo.garza@grupomaia.com</t>
  </si>
  <si>
    <t>eduardo.longoria@grupomaia.com</t>
  </si>
  <si>
    <t>eduardo.esquivel@grupomaia.com</t>
  </si>
  <si>
    <t>eduardo.soto@grupomaia.com</t>
  </si>
  <si>
    <t>eduardo.pacheco@grupomaia.com</t>
  </si>
  <si>
    <t>eduardo.escalante@grupomaia.com</t>
  </si>
  <si>
    <t>edwin.palma@grupomaia.com</t>
  </si>
  <si>
    <t>efrain.bahena@grupomaia.com</t>
  </si>
  <si>
    <t>elda.aripez@grupomaia.com</t>
  </si>
  <si>
    <t>elda.morales@grupomaia.com</t>
  </si>
  <si>
    <t>elda.espinosa@grupomaia.com</t>
  </si>
  <si>
    <t>elías.garza@grupomaia.com</t>
  </si>
  <si>
    <t>elizabeth.celestino@grupomaia.com</t>
  </si>
  <si>
    <t>elizabeth.fierro@grupomaia.com</t>
  </si>
  <si>
    <t>emilene.palma@grupomaia.com</t>
  </si>
  <si>
    <t>emiliana.cruz@grupomaia.com</t>
  </si>
  <si>
    <t>emma.garcia@grupomaia.com</t>
  </si>
  <si>
    <t>enrique.bolaños@grupomaia.com</t>
  </si>
  <si>
    <t>enrique.martinez@grupomaia.com</t>
  </si>
  <si>
    <t>epifanio.dominguez@grupomaia.com</t>
  </si>
  <si>
    <t>erick.izaguirre@grupomaia.com</t>
  </si>
  <si>
    <t>erick.montelongo@grupomaia.com</t>
  </si>
  <si>
    <t>erika.ortiz@grupomaia.com</t>
  </si>
  <si>
    <t>erika.rodriguez@grupomaia.com</t>
  </si>
  <si>
    <t>esmeralda.organista@grupomaia.com</t>
  </si>
  <si>
    <t>esmeralda.sanchez@grupomaia.com</t>
  </si>
  <si>
    <t>esteban.bonifacio@grupomaia.com</t>
  </si>
  <si>
    <t>esteban.contreras@grupomaia.com</t>
  </si>
  <si>
    <t>estefani.gonzalez@grupomaia.com</t>
  </si>
  <si>
    <t>esthefanía.ramírez@grupomaia.com</t>
  </si>
  <si>
    <t>evelin.tovar@grupomaia.com</t>
  </si>
  <si>
    <t>evelin.cantu@grupomaia.com</t>
  </si>
  <si>
    <t>evelyn.escobedo@grupomaia.com</t>
  </si>
  <si>
    <t>fatima.castillo@grupomaia.com</t>
  </si>
  <si>
    <t>fatima.reyna@grupomaia.com</t>
  </si>
  <si>
    <t>fatima.urbina@grupomaia.com</t>
  </si>
  <si>
    <t>fátima.morin@grupomaia.com</t>
  </si>
  <si>
    <t>fátima.morales@grupomaia.com</t>
  </si>
  <si>
    <t>fausto.cedillo@grupomaia.com</t>
  </si>
  <si>
    <t>feliciana.bueno@grupomaia.com</t>
  </si>
  <si>
    <t>felipa.hernandez@grupomaia.com</t>
  </si>
  <si>
    <t>felipe.hipolito@grupomaia.com</t>
  </si>
  <si>
    <t>fernanda.flores@grupomaia.com</t>
  </si>
  <si>
    <t>filiberto.herrera@grupomaia.com</t>
  </si>
  <si>
    <t>francisca.avila@grupomaia.com</t>
  </si>
  <si>
    <t>francisco.torres@grupomaia.com</t>
  </si>
  <si>
    <t>francisco.garcia@grupomaia.com</t>
  </si>
  <si>
    <t>francisco.mota@grupomaia.com</t>
  </si>
  <si>
    <t>francisco.mendez@grupomaia.com</t>
  </si>
  <si>
    <t>francisco.lopez@grupomaia.com</t>
  </si>
  <si>
    <t>frida.caballero@grupomaia.com</t>
  </si>
  <si>
    <t>gabriel.lara@grupomaia.com</t>
  </si>
  <si>
    <t>gabriel.garcia@grupomaia.com</t>
  </si>
  <si>
    <t>gabriel.jimenez@grupomaia.com</t>
  </si>
  <si>
    <t>gabriela.martinez@grupomaia.com</t>
  </si>
  <si>
    <t>gabriela.carvajal@grupomaia.com</t>
  </si>
  <si>
    <t>gabriela.alanis@grupomaia.com</t>
  </si>
  <si>
    <t>georgina.mayoral@grupomaia.com</t>
  </si>
  <si>
    <t>grecia.oyervides@grupomaia.com</t>
  </si>
  <si>
    <t>gregoria.diaz@grupomaia.com</t>
  </si>
  <si>
    <t>griselda.fuentes@grupomaia.com</t>
  </si>
  <si>
    <t>guadalupe.martinez@grupomaia.com</t>
  </si>
  <si>
    <t>guadalupe.zuñiga@grupomaia.com</t>
  </si>
  <si>
    <t>gustavo.garduño@grupomaia.com</t>
  </si>
  <si>
    <t>heber.espinoza@grupomaia.com</t>
  </si>
  <si>
    <t>hector.bracho@grupomaia.com</t>
  </si>
  <si>
    <t>higinio.cerros@grupomaia.com</t>
  </si>
  <si>
    <t>hugo.segura@grupomaia.com</t>
  </si>
  <si>
    <t>hugo.alvarado@grupomaia.com</t>
  </si>
  <si>
    <t>humberto.garcia@grupomaia.com</t>
  </si>
  <si>
    <t>humberto.pacheco@grupomaia.com</t>
  </si>
  <si>
    <t>idalia.garcia@grupomaia.com</t>
  </si>
  <si>
    <t>ignacio.fornés@grupomaia.com</t>
  </si>
  <si>
    <t>iliana.ortega@grupomaia.com</t>
  </si>
  <si>
    <t>imelda.rafaela@grupomaia.com</t>
  </si>
  <si>
    <t>ingrid.perez@grupomaia.com</t>
  </si>
  <si>
    <t>inocencia.navarrete@grupomaia.com</t>
  </si>
  <si>
    <t>irie.antares@grupomaia.com</t>
  </si>
  <si>
    <t>irma.solis@grupomaia.com</t>
  </si>
  <si>
    <t>itzel.flores@grupomaia.com</t>
  </si>
  <si>
    <t>ivonet.campos@grupomaia.com</t>
  </si>
  <si>
    <t>jaime.colunga@grupomaia.com</t>
  </si>
  <si>
    <t>jaime.sanchez@grupomaia.com</t>
  </si>
  <si>
    <t>jaime.jaime@grupomaia.com</t>
  </si>
  <si>
    <t>jaime.jimenez@grupomaia.com</t>
  </si>
  <si>
    <t>jair.garza@grupomaia.com</t>
  </si>
  <si>
    <t>jair.jesús@grupomaia.com</t>
  </si>
  <si>
    <t>jair.olguin@grupomaia.com</t>
  </si>
  <si>
    <t>janis.sanchez@grupomaia.com</t>
  </si>
  <si>
    <t>javier.nicacio@grupomaia.com</t>
  </si>
  <si>
    <t>jazmin.valdez@grupomaia.com</t>
  </si>
  <si>
    <t>jeannethe.escalera@grupomaia.com</t>
  </si>
  <si>
    <t>jeidi.soto@grupomaia.com</t>
  </si>
  <si>
    <t>jennifer.carrillo@grupomaia.com</t>
  </si>
  <si>
    <t>jennifer.coronado@grupomaia.com</t>
  </si>
  <si>
    <t>jessica.de@grupomaia.com</t>
  </si>
  <si>
    <t>jesus.luna@grupomaia.com</t>
  </si>
  <si>
    <t>jesus.camarillo@grupomaia.com</t>
  </si>
  <si>
    <t>jesus.benitez@grupomaia.com</t>
  </si>
  <si>
    <t>jesus.villa@grupomaia.com</t>
  </si>
  <si>
    <t>jesús.urbina@grupomaia.com</t>
  </si>
  <si>
    <t>joana.pérez@grupomaia.com</t>
  </si>
  <si>
    <t>joel.flores@grupomaia.com</t>
  </si>
  <si>
    <t>jorge.quintero@grupomaia.com</t>
  </si>
  <si>
    <t>jorge.arellano@grupomaia.com</t>
  </si>
  <si>
    <t>jose.marin@grupomaia.com</t>
  </si>
  <si>
    <t>jose.valdez@grupomaia.com</t>
  </si>
  <si>
    <t>jose.torres@grupomaia.com</t>
  </si>
  <si>
    <t>jose.francisco@grupomaia.com</t>
  </si>
  <si>
    <t>josé.hernández@grupomaia.com</t>
  </si>
  <si>
    <t>jose.peñaflor@grupomaia.com</t>
  </si>
  <si>
    <t>jose.giron@grupomaia.com</t>
  </si>
  <si>
    <t>jose.zacarias@grupomaia.com</t>
  </si>
  <si>
    <t>jose.madero@grupomaia.com</t>
  </si>
  <si>
    <t>jose.maldonado@grupomaia.com</t>
  </si>
  <si>
    <t>jose.sandoval@grupomaia.com</t>
  </si>
  <si>
    <t>jose.meraz@grupomaia.com</t>
  </si>
  <si>
    <t>josé.sosa@grupomaia.com</t>
  </si>
  <si>
    <t>josefina.javier@grupomaia.com</t>
  </si>
  <si>
    <t>joseline.valdez@grupomaia.com</t>
  </si>
  <si>
    <t>joselyn.galván@grupomaia.com</t>
  </si>
  <si>
    <t>joselyn.lara@grupomaia.com</t>
  </si>
  <si>
    <t>juan.ortega@grupomaia.com</t>
  </si>
  <si>
    <t>juan.gonzalez@grupomaia.com</t>
  </si>
  <si>
    <t>juan.chaires@grupomaia.com</t>
  </si>
  <si>
    <t>juan.cruz@grupomaia.com</t>
  </si>
  <si>
    <t>juan.arellano@grupomaia.com</t>
  </si>
  <si>
    <t>juan.angeles@grupomaia.com</t>
  </si>
  <si>
    <t>juanita.nieves@grupomaia.com</t>
  </si>
  <si>
    <t>julian.mejia@grupomaia.com</t>
  </si>
  <si>
    <t>julieta.enriquez@grupomaia.com</t>
  </si>
  <si>
    <t>julio.pastenes@grupomaia.com</t>
  </si>
  <si>
    <t>julio.angel@grupomaia.com</t>
  </si>
  <si>
    <t>julio.maloa@grupomaia.com</t>
  </si>
  <si>
    <t>karen.rodríguez@grupomaia.com</t>
  </si>
  <si>
    <t>karen.villanueva@grupomaia.com</t>
  </si>
  <si>
    <t>karina.salgado@grupomaia.com</t>
  </si>
  <si>
    <t>karina.estrada@grupomaia.com</t>
  </si>
  <si>
    <t>karla.ortiz@grupomaia.com</t>
  </si>
  <si>
    <t>karla.gonzález@grupomaia.com</t>
  </si>
  <si>
    <t>karla.espinoza@grupomaia.com</t>
  </si>
  <si>
    <t>karla.verdugo@grupomaia.com</t>
  </si>
  <si>
    <t>karla.mejia@grupomaia.com</t>
  </si>
  <si>
    <t>karyme.netro@grupomaia.com</t>
  </si>
  <si>
    <t>katia.de@grupomaia.com</t>
  </si>
  <si>
    <t>katy.flores@grupomaia.com</t>
  </si>
  <si>
    <t>katya.rodriguez@grupomaia.com</t>
  </si>
  <si>
    <t>keila.ruiz@grupomaia.com</t>
  </si>
  <si>
    <t>kenia.ruiz@grupomaia.com</t>
  </si>
  <si>
    <t>kevin.martinez@grupomaia.com</t>
  </si>
  <si>
    <t>kevin.castañon@grupomaia.com</t>
  </si>
  <si>
    <t>larry.zamora@grupomaia.com</t>
  </si>
  <si>
    <t>laura.serna@grupomaia.com</t>
  </si>
  <si>
    <t>laura.alonso@grupomaia.com</t>
  </si>
  <si>
    <t>lenda.bazaldua@grupomaia.com</t>
  </si>
  <si>
    <t>leobardo.fernández@grupomaia.com</t>
  </si>
  <si>
    <t>leonardo.garcia@grupomaia.com</t>
  </si>
  <si>
    <t>leslie.luna@grupomaia.com</t>
  </si>
  <si>
    <t>lidia.palma@grupomaia.com</t>
  </si>
  <si>
    <t>lilia.estrada@grupomaia.com</t>
  </si>
  <si>
    <t>liliana.peña@grupomaia.com</t>
  </si>
  <si>
    <t>lisset.cristobal@grupomaia.com</t>
  </si>
  <si>
    <t>litsi.carvajal@grupomaia.com</t>
  </si>
  <si>
    <t>lizbeth.pazcal@grupomaia.com</t>
  </si>
  <si>
    <t>lizeth.hernandez@grupomaia.com</t>
  </si>
  <si>
    <t>lizeth.velazquez@grupomaia.com</t>
  </si>
  <si>
    <t>lorena.cortes@grupomaia.com</t>
  </si>
  <si>
    <t>lorena.cortez@grupomaia.com</t>
  </si>
  <si>
    <t>lorenzo.cruz@grupomaia.com</t>
  </si>
  <si>
    <t>lorien.mauri@grupomaia.com</t>
  </si>
  <si>
    <t>lucero.cedillo@grupomaia.com</t>
  </si>
  <si>
    <t>lucia.granados@grupomaia.com</t>
  </si>
  <si>
    <t>luis.aguilar@grupomaia.com</t>
  </si>
  <si>
    <t>luis.rosales@grupomaia.com</t>
  </si>
  <si>
    <t>luis.jorge@grupomaia.com</t>
  </si>
  <si>
    <t>luis.murillo@grupomaia.com</t>
  </si>
  <si>
    <t>luz.valenzo@grupomaia.com</t>
  </si>
  <si>
    <t>luz.medrano@grupomaia.com</t>
  </si>
  <si>
    <t>ma.garcia@grupomaia.com</t>
  </si>
  <si>
    <t>ma.delgado@grupomaia.com</t>
  </si>
  <si>
    <t>magdalena.leon@grupomaia.com</t>
  </si>
  <si>
    <t>marbella.reyes@grupomaia.com</t>
  </si>
  <si>
    <t>marcela.camarillo@grupomaia.com</t>
  </si>
  <si>
    <t>marcela.rosas@grupomaia.com</t>
  </si>
  <si>
    <t>marcelo.garcia@grupomaia.com</t>
  </si>
  <si>
    <t>marco.guzmán@grupomaia.com</t>
  </si>
  <si>
    <t>marco.martínez@grupomaia.com</t>
  </si>
  <si>
    <t>marco.pineda@grupomaia.com</t>
  </si>
  <si>
    <t>marco.aurelio@grupomaia.com</t>
  </si>
  <si>
    <t>marco.hernández@grupomaia.com</t>
  </si>
  <si>
    <t>marcos.aguilera@grupomaia.com</t>
  </si>
  <si>
    <t>marcos.ocanas@grupomaia.com</t>
  </si>
  <si>
    <t>margarita.salgado@grupomaia.com</t>
  </si>
  <si>
    <t>maria.barragan@grupomaia.com</t>
  </si>
  <si>
    <t>maria.carmen@grupomaia.com</t>
  </si>
  <si>
    <t>Maria.rosario@grupomaia.com</t>
  </si>
  <si>
    <t>Maria.plata@grupomaia.com</t>
  </si>
  <si>
    <t>maria.adame@grupomaia.com</t>
  </si>
  <si>
    <t>maria.carrillo@grupomaia.com</t>
  </si>
  <si>
    <t>maria.cortes@grupomaia.com</t>
  </si>
  <si>
    <t>maria.hernandez@grupomaia.com</t>
  </si>
  <si>
    <t>Maria.soto@grupomaia.com</t>
  </si>
  <si>
    <t>maria.mendez@grupomaia.com</t>
  </si>
  <si>
    <t>marian.martínez@grupomaia.com</t>
  </si>
  <si>
    <t>mariana.márquez@grupomaia.com</t>
  </si>
  <si>
    <t>mariana.rodríguez@grupomaia.com</t>
  </si>
  <si>
    <t>mariano.aldebarán@grupomaia.com</t>
  </si>
  <si>
    <t>marilu.valdovinos@grupomaia.com</t>
  </si>
  <si>
    <t>marina.mijarez@grupomaia.com</t>
  </si>
  <si>
    <t>mario.arcos@grupomaia.com</t>
  </si>
  <si>
    <t>maritza.ramos@grupomaia.com</t>
  </si>
  <si>
    <t>martha.corona@grupomaia.com</t>
  </si>
  <si>
    <t>mary.ríos@grupomaia.com</t>
  </si>
  <si>
    <t>maura.carbajal@grupomaia.com</t>
  </si>
  <si>
    <t>mayra.acevedo@grupomaia.com</t>
  </si>
  <si>
    <t>mayra.zamarrón@grupomaia.com</t>
  </si>
  <si>
    <t>mayra.castañeda@grupomaia.com</t>
  </si>
  <si>
    <t>mayra.hernandez@grupomaia.com</t>
  </si>
  <si>
    <t>melanie.ibarra@grupomaia.com</t>
  </si>
  <si>
    <t>melba.antonio@grupomaia.com</t>
  </si>
  <si>
    <t>melissa.cruz@grupomaia.com</t>
  </si>
  <si>
    <t>melissa.pérez@grupomaia.com</t>
  </si>
  <si>
    <t>mérida.medina@grupomaia.com</t>
  </si>
  <si>
    <t>michelle.velázquez@grupomaia.com</t>
  </si>
  <si>
    <t>miguel.anguiano@grupomaia.com</t>
  </si>
  <si>
    <t>miguel.vazquez@grupomaia.com</t>
  </si>
  <si>
    <t>miguel.arroyo@grupomaia.com</t>
  </si>
  <si>
    <t>miguel.vázquez@grupomaia.com</t>
  </si>
  <si>
    <t>miriam.cisneros@grupomaia.com</t>
  </si>
  <si>
    <t>miriam.flores@grupomaia.com</t>
  </si>
  <si>
    <t>mixari.ruiz@grupomaia.com</t>
  </si>
  <si>
    <t>mixcel.velazquez@grupomaia.com</t>
  </si>
  <si>
    <t>mónica.flores@grupomaia.com</t>
  </si>
  <si>
    <t>mónica.lópez@grupomaia.com</t>
  </si>
  <si>
    <t>monserrat.montoya@grupomaia.com</t>
  </si>
  <si>
    <t>nadya.nallely@grupomaia.com</t>
  </si>
  <si>
    <t>nailea.pérez@grupomaia.com</t>
  </si>
  <si>
    <t>nallely.guerrero@grupomaia.com</t>
  </si>
  <si>
    <t>nallely.vázquez@grupomaia.com</t>
  </si>
  <si>
    <t>nanci.zavala@grupomaia.com</t>
  </si>
  <si>
    <t>nancy.cazares@grupomaia.com</t>
  </si>
  <si>
    <t>nancy.sáenz@grupomaia.com</t>
  </si>
  <si>
    <t>nataly.zúñiga@grupomaia.com</t>
  </si>
  <si>
    <t>noemi.villalobos@grupomaia.com</t>
  </si>
  <si>
    <t>nora.gomez@grupomaia.com</t>
  </si>
  <si>
    <t>norbella.evangelista@grupomaia.com</t>
  </si>
  <si>
    <t>norma.santiago@grupomaia.com</t>
  </si>
  <si>
    <t>norma.bustamante@grupomaia.com</t>
  </si>
  <si>
    <t>nydia.garcia@grupomaia.com</t>
  </si>
  <si>
    <t>octavio.vicente@grupomaia.com</t>
  </si>
  <si>
    <t>odaliz.lópez@grupomaia.com</t>
  </si>
  <si>
    <t>ofelia.domínguez@grupomaia.com</t>
  </si>
  <si>
    <t>omar.trevino@grupomaia.com</t>
  </si>
  <si>
    <t>paola.alvarado@grupomaia.com</t>
  </si>
  <si>
    <t>paola.hernández@grupomaia.com</t>
  </si>
  <si>
    <t>paola.fentanes@grupomaia.com</t>
  </si>
  <si>
    <t>patricia.nava@grupomaia.com</t>
  </si>
  <si>
    <t>paulina.aguilar@grupomaia.com</t>
  </si>
  <si>
    <t>paulina.lozano@grupomaia.com</t>
  </si>
  <si>
    <t>pedro.pérez@grupomaia.com</t>
  </si>
  <si>
    <t>pedro.oliveros@grupomaia.com</t>
  </si>
  <si>
    <t>perla.núñez@grupomaia.com</t>
  </si>
  <si>
    <t>perla.garcia@grupomaia.com</t>
  </si>
  <si>
    <t>priscila.hernández@grupomaia.com</t>
  </si>
  <si>
    <t>rafael.lopez@grupomaia.com</t>
  </si>
  <si>
    <t>ramiro.sánchez@grupomaia.com</t>
  </si>
  <si>
    <t>ramiro.salazar@grupomaia.com</t>
  </si>
  <si>
    <t>rebeca.la@grupomaia.com</t>
  </si>
  <si>
    <t>rené.pérez@grupomaia.com</t>
  </si>
  <si>
    <t>reyna.quezada@grupomaia.com</t>
  </si>
  <si>
    <t>reyna.collazo@grupomaia.com</t>
  </si>
  <si>
    <t>ricardo.reyes@grupomaia.com</t>
  </si>
  <si>
    <t>roberto.jaramillo@grupomaia.com</t>
  </si>
  <si>
    <t>roberto.martínez@grupomaia.com</t>
  </si>
  <si>
    <t>roberto.bernal@grupomaia.com</t>
  </si>
  <si>
    <t>roberto.rodriguez@grupomaia.com</t>
  </si>
  <si>
    <t>rocio.carmen@grupomaia.com</t>
  </si>
  <si>
    <t>rocio.diaz@grupomaia.com</t>
  </si>
  <si>
    <t>rocio.sauceda@grupomaia.com</t>
  </si>
  <si>
    <t>rodrigo.silva@grupomaia.com</t>
  </si>
  <si>
    <t>rogelio.gonzález@grupomaia.com</t>
  </si>
  <si>
    <t>rogelio.mendoza@grupomaia.com</t>
  </si>
  <si>
    <t>rolando.hernandez@grupomaia.com</t>
  </si>
  <si>
    <t>rosa.chavez@grupomaia.com</t>
  </si>
  <si>
    <t>roxana.bello@grupomaia.com</t>
  </si>
  <si>
    <t>ruby.tolentino@grupomaia.com</t>
  </si>
  <si>
    <t>sadrac.dávila@grupomaia.com</t>
  </si>
  <si>
    <t>sahara.gonzález@grupomaia.com</t>
  </si>
  <si>
    <t>salma.arzola@grupomaia.com</t>
  </si>
  <si>
    <t>salvador.morales@grupomaia.com</t>
  </si>
  <si>
    <t>salvador.zanabriga@grupomaia.com</t>
  </si>
  <si>
    <t>samanta.villarreal@grupomaia.com</t>
  </si>
  <si>
    <t>sandra.buendía@grupomaia.com</t>
  </si>
  <si>
    <t>sandra.santiago@grupomaia.com</t>
  </si>
  <si>
    <t>sandra.saguilan@grupomaia.com</t>
  </si>
  <si>
    <t>santos.hinojosa@grupomaia.com</t>
  </si>
  <si>
    <t>saul.gámez@grupomaia.com</t>
  </si>
  <si>
    <t>saulo.puente@grupomaia.com</t>
  </si>
  <si>
    <t>sheyla.ocampo@grupomaia.com</t>
  </si>
  <si>
    <t>silvia.lópez@grupomaia.com</t>
  </si>
  <si>
    <t>silvia.mondragon@grupomaia.com</t>
  </si>
  <si>
    <t>silvia.sandoval@grupomaia.com</t>
  </si>
  <si>
    <t>silvia.villalva@grupomaia.com</t>
  </si>
  <si>
    <t>sofia.luna@grupomaia.com</t>
  </si>
  <si>
    <t>sofia.zambrano@grupomaia.com</t>
  </si>
  <si>
    <t>stephanie.banda@grupomaia.com</t>
  </si>
  <si>
    <t>stephany.sarmiento@grupomaia.com</t>
  </si>
  <si>
    <t>tatiana.lara@grupomaia.com</t>
  </si>
  <si>
    <t>teodoro.contreras@grupomaia.com</t>
  </si>
  <si>
    <t>teresa.cruz@grupomaia.com</t>
  </si>
  <si>
    <t>teresa.lopez@grupomaia.com</t>
  </si>
  <si>
    <t>thanya.ceballos@grupomaia.com</t>
  </si>
  <si>
    <t>tirone.gonzález@grupomaia.com</t>
  </si>
  <si>
    <t>tita.hurtado@grupomaia.com</t>
  </si>
  <si>
    <t>tomas.corona@grupomaia.com</t>
  </si>
  <si>
    <t>uriel.mendez@grupomaia.com</t>
  </si>
  <si>
    <t>uziel.castro@grupomaia.com</t>
  </si>
  <si>
    <t>valeria.carmen@grupomaia.com</t>
  </si>
  <si>
    <t>valeria.rodríguez@grupomaia.com</t>
  </si>
  <si>
    <t>valeria.santacruz@grupomaia.com</t>
  </si>
  <si>
    <t>valeria.solís@grupomaia.com</t>
  </si>
  <si>
    <t>vania.salas@grupomaia.com</t>
  </si>
  <si>
    <t>verónica.hernández@grupomaia.com</t>
  </si>
  <si>
    <t>vicente.fernández@grupomaia.com</t>
  </si>
  <si>
    <t>victor.mota@grupomaia.com</t>
  </si>
  <si>
    <t>victoria.godínez@grupomaia.com</t>
  </si>
  <si>
    <t>violeta.ibarra@grupomaia.com</t>
  </si>
  <si>
    <t>virgilio.amaro@grupomaia.com</t>
  </si>
  <si>
    <t>walther.urbina@grupomaia.com</t>
  </si>
  <si>
    <t>william.gómez@grupomaia.com</t>
  </si>
  <si>
    <t>yadira.hernandez@grupomaia.com</t>
  </si>
  <si>
    <t>yadira.gonzález@grupomaia.com</t>
  </si>
  <si>
    <t>yamin.cardenas@grupomaia.com</t>
  </si>
  <si>
    <t>yaneth.vega@grupomaia.com</t>
  </si>
  <si>
    <t>yasmin.blanco@grupomaia.com</t>
  </si>
  <si>
    <t>yeni.santibañez@grupomaia.com</t>
  </si>
  <si>
    <t>yesenia.hernandez@grupomaia.com</t>
  </si>
  <si>
    <t>yesenia.reyes@grupomaia.com</t>
  </si>
  <si>
    <t>yessica.macías@grupomaia.com</t>
  </si>
  <si>
    <t>yolani.cruz@grupomaia.com</t>
  </si>
  <si>
    <t>yuliana.carrillo@grupomaia.com</t>
  </si>
  <si>
    <t>yuliana.monsiváis@grupomaia.com</t>
  </si>
  <si>
    <t>DEPT</t>
  </si>
  <si>
    <t>SUBDEPTO</t>
  </si>
  <si>
    <t>DEPTO</t>
  </si>
  <si>
    <t>SUBDPTO</t>
  </si>
  <si>
    <t>LÍDER DEPTO</t>
  </si>
  <si>
    <t>CONTRASEÑA: 1234</t>
  </si>
  <si>
    <t>Recibo de nómina</t>
  </si>
  <si>
    <t>Información de empleado</t>
  </si>
  <si>
    <t>Percepciones\Deducciones</t>
  </si>
  <si>
    <t>LISTAS</t>
  </si>
  <si>
    <t>Columna1</t>
  </si>
  <si>
    <t>FECHAS PARA CÁLCULOS</t>
  </si>
  <si>
    <t>INICIO</t>
  </si>
  <si>
    <t>FINAL</t>
  </si>
  <si>
    <t>Tel: (81) 11-80-00-08 ext. 1008   |    capitalhumanos@grupomaia.com.mx</t>
  </si>
  <si>
    <t>Generar documento</t>
  </si>
  <si>
    <t>Contrato de trabajo</t>
  </si>
  <si>
    <t>Carta de renuncia</t>
  </si>
  <si>
    <t>Documentos externos para trabajadores</t>
  </si>
  <si>
    <t>Constancia laboral</t>
  </si>
  <si>
    <t>Información de prestaciones maia</t>
  </si>
  <si>
    <t>SUE X PAG</t>
  </si>
  <si>
    <t>IMSS PATRÓN</t>
  </si>
  <si>
    <t>IMSS OBRERO</t>
  </si>
  <si>
    <t>INFORMACIÓN GENERAL</t>
  </si>
  <si>
    <t>HRS X PAG</t>
  </si>
  <si>
    <t>ASUETO</t>
  </si>
  <si>
    <t>ASUE X PAG</t>
  </si>
  <si>
    <t>HRS EXT</t>
  </si>
  <si>
    <t>ASUETO LABORADO</t>
  </si>
  <si>
    <t>Prestaciones Maias</t>
  </si>
  <si>
    <t>PLAN VIVIENDA</t>
  </si>
  <si>
    <t>DEUDA INTERNA</t>
  </si>
  <si>
    <t>INICIO AÑO</t>
  </si>
  <si>
    <t>FIN AÑO</t>
  </si>
  <si>
    <t>Celda que se puede editar libremente</t>
  </si>
  <si>
    <t>Columna o fila de tabla que se puede editar pegando info de otra fuente (para procesos como percepciones o deducciones de todos los empleados)</t>
  </si>
  <si>
    <t>Celda que se va a editar pegando info de otra fuente (no es necesario editar manualmente)</t>
  </si>
  <si>
    <t>Columna o fila de tabla de donde se tomará la info para otro destino (para procesos como percepciones o deducciones de todos los empleados)</t>
  </si>
  <si>
    <t>NEM</t>
  </si>
  <si>
    <t>NEM SIG</t>
  </si>
  <si>
    <t>Numero de empleado: NEM</t>
  </si>
  <si>
    <t>FECHA PAGO</t>
  </si>
  <si>
    <t>FECHA UTILIDADES</t>
  </si>
  <si>
    <t>FECHA VACACIONES</t>
  </si>
  <si>
    <t>QUINCENA EN CURSO</t>
  </si>
  <si>
    <t>FECHAS CONTB AGNLDO</t>
  </si>
  <si>
    <t>DIAS PAG AGNLDO</t>
  </si>
  <si>
    <t>DIAS VAC</t>
  </si>
  <si>
    <t>VALID ANTIG</t>
  </si>
  <si>
    <t>DIAS PAG</t>
  </si>
  <si>
    <t>DIAS VAC PAG</t>
  </si>
  <si>
    <t>Reportes</t>
  </si>
  <si>
    <t>Etiquetas de fila</t>
  </si>
  <si>
    <t>Total general</t>
  </si>
  <si>
    <t>Etiquetas de columna</t>
  </si>
  <si>
    <t>2021</t>
  </si>
  <si>
    <t>ULT SUE MENS</t>
  </si>
  <si>
    <t>Promedio de SUE MENS</t>
  </si>
  <si>
    <t>(Varios elementos)</t>
  </si>
  <si>
    <t>Cuenta de NEM</t>
  </si>
  <si>
    <t>Trim.2</t>
  </si>
  <si>
    <t>Trim.3</t>
  </si>
  <si>
    <t>Trim.1</t>
  </si>
  <si>
    <t>Trim.4</t>
  </si>
  <si>
    <t>Cuenta de FECHA ING.</t>
  </si>
  <si>
    <t>REPORTE DE ACTIVIDAD 2021</t>
  </si>
  <si>
    <t>TOTAL NUEVOS INGRESOS</t>
  </si>
  <si>
    <t>TOTAL BAJAS</t>
  </si>
  <si>
    <t>BDD BAJAS</t>
  </si>
  <si>
    <t>(Todas)</t>
  </si>
  <si>
    <t>Cuenta de FECHA SAL.</t>
  </si>
  <si>
    <t>Total Cuenta de FECHA SAL.</t>
  </si>
  <si>
    <t>Años</t>
  </si>
  <si>
    <t>Promedio de EDD</t>
  </si>
  <si>
    <t>ESTADÍSTICAS POR DEPARTAMENTO</t>
  </si>
  <si>
    <t>TOTAL EMPLEADOS CIERRE DE AÑO</t>
  </si>
  <si>
    <t>Total de empleados</t>
  </si>
  <si>
    <t>Prom. sueldo mensual</t>
  </si>
  <si>
    <t>Prom de antigüedad</t>
  </si>
  <si>
    <t>TOTAL GENERAL</t>
  </si>
  <si>
    <t>BAJAS EN 2021</t>
  </si>
  <si>
    <t>INGRESOS EN 2021</t>
  </si>
  <si>
    <t>Total Cuenta de MOTIVO SALIDA</t>
  </si>
  <si>
    <t>Cuenta de MOTIVO SALIDA</t>
  </si>
  <si>
    <t>PENDIENTE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</si>
</sst>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$&quot;* #,##0.00_-;\-&quot;$&quot;* #,##0.00_-;_-&quot;$&quot;* &quot;-&quot;??_-;_-@_-"/>
    <numFmt numFmtId="164" formatCode="0.0000"/>
    <numFmt numFmtId="165" formatCode="&quot;$&quot;#,##0.00"/>
    <numFmt numFmtId="166" formatCode="[$-F800]dddd\,\ mmmm\ dd\,\ yyyy"/>
    <numFmt numFmtId="167" formatCode="\'\'\'"/>
    <numFmt numFmtId="168" formatCode="0.000"/>
    <numFmt numFmtId="169" formatCode="0.0"/>
  </numFmts>
  <fonts count="58" x14ac:knownFonts="1">
    <font>
      <sz val="11"/>
      <color theme="1"/>
      <name val="Times New Roman"/>
      <family val="2"/>
    </font>
    <font>
      <sz val="11"/>
      <color theme="1"/>
      <name val="Times New Roman"/>
      <family val="2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sz val="8"/>
      <name val="Times New Roman"/>
      <family val="2"/>
    </font>
    <font>
      <sz val="11"/>
      <name val="Cambria"/>
      <family val="1"/>
    </font>
    <font>
      <sz val="20"/>
      <color theme="1"/>
      <name val="Cambria"/>
      <family val="1"/>
    </font>
    <font>
      <sz val="10"/>
      <color theme="1"/>
      <name val="Cambria"/>
      <family val="1"/>
    </font>
    <font>
      <sz val="7"/>
      <color theme="1"/>
      <name val="Cambria"/>
      <family val="1"/>
    </font>
    <font>
      <sz val="9"/>
      <color theme="1"/>
      <name val="Cambria"/>
      <family val="1"/>
    </font>
    <font>
      <sz val="11"/>
      <color theme="0"/>
      <name val="Cambria"/>
      <family val="1"/>
    </font>
    <font>
      <sz val="16"/>
      <color theme="1"/>
      <name val="Consolas"/>
      <family val="3"/>
    </font>
    <font>
      <sz val="11"/>
      <color theme="0" tint="-4.9989318521683403E-2"/>
      <name val="Cambria"/>
      <family val="1"/>
    </font>
    <font>
      <b/>
      <sz val="10"/>
      <name val="Cambria"/>
      <family val="1"/>
    </font>
    <font>
      <sz val="10"/>
      <name val="Arial"/>
      <family val="2"/>
    </font>
    <font>
      <sz val="9"/>
      <color indexed="8"/>
      <name val="Arial Narrow"/>
      <family val="2"/>
    </font>
    <font>
      <sz val="9"/>
      <name val="Cambria"/>
      <family val="1"/>
    </font>
    <font>
      <sz val="11"/>
      <color theme="1"/>
      <name val="Consolas"/>
      <family val="3"/>
    </font>
    <font>
      <sz val="12"/>
      <color theme="1"/>
      <name val="Consolas"/>
      <family val="3"/>
    </font>
    <font>
      <sz val="11"/>
      <color theme="6" tint="0.79998168889431442"/>
      <name val="Consolas"/>
      <family val="3"/>
    </font>
    <font>
      <sz val="11"/>
      <name val="Consolas"/>
      <family val="3"/>
    </font>
    <font>
      <sz val="10"/>
      <color theme="1"/>
      <name val="Consolas"/>
      <family val="3"/>
    </font>
    <font>
      <b/>
      <sz val="11"/>
      <color theme="1"/>
      <name val="Consolas"/>
      <family val="3"/>
    </font>
    <font>
      <sz val="11"/>
      <color theme="0"/>
      <name val="Consolas"/>
      <family val="3"/>
    </font>
    <font>
      <sz val="11"/>
      <color theme="1" tint="0.34998626667073579"/>
      <name val="Consolas"/>
      <family val="3"/>
    </font>
    <font>
      <b/>
      <sz val="11"/>
      <name val="Consolas"/>
      <family val="3"/>
    </font>
    <font>
      <sz val="11"/>
      <color indexed="8"/>
      <name val="Consolas"/>
      <family val="3"/>
    </font>
    <font>
      <i/>
      <sz val="11"/>
      <color theme="1"/>
      <name val="Consolas"/>
      <family val="3"/>
    </font>
    <font>
      <sz val="11"/>
      <color theme="0" tint="-4.9989318521683403E-2"/>
      <name val="Consolas"/>
      <family val="3"/>
    </font>
    <font>
      <sz val="11"/>
      <color rgb="FF000000"/>
      <name val="Consolas"/>
      <family val="3"/>
    </font>
    <font>
      <i/>
      <sz val="11"/>
      <name val="Consolas"/>
      <family val="3"/>
    </font>
    <font>
      <sz val="26"/>
      <name val="Consolas"/>
      <family val="3"/>
    </font>
    <font>
      <sz val="11"/>
      <color theme="1"/>
      <name val="Calibri"/>
      <family val="2"/>
    </font>
    <font>
      <sz val="12"/>
      <color theme="1"/>
      <name val="Cambria"/>
      <family val="1"/>
    </font>
    <font>
      <sz val="9"/>
      <color theme="1"/>
      <name val="Consolas"/>
      <family val="3"/>
    </font>
    <font>
      <b/>
      <sz val="10"/>
      <color theme="1"/>
      <name val="Consolas"/>
      <family val="3"/>
    </font>
    <font>
      <b/>
      <sz val="12"/>
      <color theme="1"/>
      <name val="Consolas"/>
      <family val="3"/>
    </font>
    <font>
      <sz val="22"/>
      <color theme="1"/>
      <name val="Consolas"/>
      <family val="3"/>
    </font>
    <font>
      <sz val="28"/>
      <color theme="1"/>
      <name val="Consolas"/>
      <family val="3"/>
    </font>
    <font>
      <sz val="11"/>
      <color theme="1" tint="0.249977111117893"/>
      <name val="Consolas"/>
      <family val="3"/>
    </font>
    <font>
      <u/>
      <sz val="11"/>
      <name val="Consolas"/>
      <family val="3"/>
    </font>
    <font>
      <sz val="9"/>
      <name val="Consolas"/>
      <family val="3"/>
    </font>
    <font>
      <u/>
      <sz val="11"/>
      <color theme="10"/>
      <name val="Times New Roman"/>
      <family val="2"/>
    </font>
    <font>
      <u/>
      <sz val="11"/>
      <color theme="10"/>
      <name val="Consolas"/>
      <family val="3"/>
    </font>
    <font>
      <b/>
      <sz val="12"/>
      <name val="Consolas"/>
      <family val="3"/>
    </font>
    <font>
      <sz val="11"/>
      <name val="Times New Roman"/>
      <family val="1"/>
    </font>
    <font>
      <i/>
      <sz val="8"/>
      <name val="Times New Roman"/>
      <family val="1"/>
    </font>
    <font>
      <sz val="11"/>
      <color theme="0"/>
      <name val="Segoe UI"/>
      <family val="2"/>
    </font>
    <font>
      <sz val="18"/>
      <color theme="0"/>
      <name val="Segoe UI"/>
      <family val="2"/>
    </font>
    <font>
      <b/>
      <sz val="24"/>
      <color theme="0"/>
      <name val="Segoe UI"/>
      <family val="2"/>
    </font>
    <font>
      <sz val="16"/>
      <color theme="0"/>
      <name val="Segoe UI"/>
      <family val="2"/>
    </font>
    <font>
      <sz val="20"/>
      <color theme="0"/>
      <name val="Segoe UI"/>
      <family val="2"/>
    </font>
    <font>
      <sz val="11"/>
      <color rgb="FF111D35"/>
      <name val="Segoe UI"/>
      <family val="2"/>
    </font>
    <font>
      <b/>
      <sz val="11"/>
      <color theme="0"/>
      <name val="Segoe UI"/>
      <family val="2"/>
    </font>
    <font>
      <sz val="11"/>
      <color theme="1"/>
      <name val="Segoe UI"/>
      <family val="2"/>
    </font>
    <font>
      <b/>
      <sz val="12"/>
      <color theme="0"/>
      <name val="Segoe UI"/>
      <family val="2"/>
    </font>
    <font>
      <sz val="9"/>
      <color indexed="81"/>
      <name val="Tahoma"/>
      <charset val="1"/>
    </font>
    <font>
      <i/>
      <sz val="11"/>
      <color theme="0" tint="-0.249977111117893"/>
      <name val="Cambria"/>
      <family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11D35"/>
        <bgColor indexed="64"/>
      </patternFill>
    </fill>
  </fills>
  <borders count="3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49" fontId="15" fillId="4" borderId="0" applyBorder="0" applyProtection="0">
      <alignment horizontal="left" vertical="top" wrapText="1"/>
    </xf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544">
    <xf numFmtId="0" fontId="0" fillId="0" borderId="0" xfId="0"/>
    <xf numFmtId="0" fontId="2" fillId="0" borderId="0" xfId="0" applyFont="1"/>
    <xf numFmtId="0" fontId="2" fillId="0" borderId="0" xfId="0" applyFont="1" applyBorder="1"/>
    <xf numFmtId="0" fontId="2" fillId="0" borderId="0" xfId="0" applyFont="1" applyFill="1" applyBorder="1"/>
    <xf numFmtId="44" fontId="2" fillId="0" borderId="0" xfId="1" applyFont="1" applyBorder="1"/>
    <xf numFmtId="0" fontId="2" fillId="0" borderId="0" xfId="0" applyFont="1" applyBorder="1" applyAlignment="1"/>
    <xf numFmtId="0" fontId="8" fillId="0" borderId="0" xfId="0" applyFont="1" applyBorder="1" applyAlignment="1">
      <alignment vertical="top" wrapText="1"/>
    </xf>
    <xf numFmtId="44" fontId="2" fillId="0" borderId="0" xfId="1" applyFont="1" applyFill="1" applyBorder="1" applyAlignment="1">
      <alignment horizontal="right"/>
    </xf>
    <xf numFmtId="0" fontId="2" fillId="0" borderId="0" xfId="0" applyFont="1" applyFill="1" applyBorder="1" applyAlignment="1"/>
    <xf numFmtId="14" fontId="2" fillId="0" borderId="0" xfId="0" applyNumberFormat="1" applyFont="1" applyBorder="1" applyAlignment="1"/>
    <xf numFmtId="165" fontId="2" fillId="0" borderId="0" xfId="0" applyNumberFormat="1" applyFont="1" applyBorder="1" applyAlignment="1">
      <alignment horizontal="right"/>
    </xf>
    <xf numFmtId="44" fontId="2" fillId="0" borderId="0" xfId="1" applyFont="1" applyFill="1" applyBorder="1"/>
    <xf numFmtId="0" fontId="2" fillId="3" borderId="0" xfId="0" applyFont="1" applyFill="1"/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9" fontId="5" fillId="3" borderId="7" xfId="2" applyFont="1" applyFill="1" applyBorder="1" applyAlignment="1">
      <alignment horizontal="left" vertical="center"/>
    </xf>
    <xf numFmtId="165" fontId="5" fillId="3" borderId="7" xfId="0" applyNumberFormat="1" applyFont="1" applyFill="1" applyBorder="1" applyAlignment="1">
      <alignment horizontal="left" vertical="center"/>
    </xf>
    <xf numFmtId="0" fontId="10" fillId="0" borderId="0" xfId="0" applyFont="1" applyBorder="1"/>
    <xf numFmtId="0" fontId="10" fillId="0" borderId="0" xfId="0" applyFont="1" applyBorder="1" applyAlignment="1">
      <alignment horizontal="left"/>
    </xf>
    <xf numFmtId="0" fontId="12" fillId="3" borderId="0" xfId="0" applyFont="1" applyFill="1" applyBorder="1" applyAlignment="1">
      <alignment horizontal="left"/>
    </xf>
    <xf numFmtId="0" fontId="12" fillId="3" borderId="0" xfId="0" applyFont="1" applyFill="1" applyBorder="1" applyAlignment="1"/>
    <xf numFmtId="0" fontId="10" fillId="0" borderId="0" xfId="0" applyFont="1" applyFill="1" applyBorder="1" applyAlignment="1"/>
    <xf numFmtId="0" fontId="10" fillId="0" borderId="0" xfId="0" applyFont="1" applyBorder="1" applyAlignment="1"/>
    <xf numFmtId="0" fontId="6" fillId="0" borderId="0" xfId="0" applyFont="1" applyFill="1" applyBorder="1" applyAlignment="1">
      <alignment horizontal="center"/>
    </xf>
    <xf numFmtId="14" fontId="2" fillId="0" borderId="0" xfId="0" applyNumberFormat="1" applyFont="1" applyFill="1" applyBorder="1" applyAlignment="1">
      <alignment horizontal="center"/>
    </xf>
    <xf numFmtId="165" fontId="2" fillId="0" borderId="0" xfId="1" applyNumberFormat="1" applyFont="1" applyFill="1" applyBorder="1" applyAlignment="1"/>
    <xf numFmtId="165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wrapText="1"/>
    </xf>
    <xf numFmtId="0" fontId="9" fillId="0" borderId="0" xfId="0" applyFont="1" applyFill="1" applyBorder="1" applyAlignment="1">
      <alignment horizontal="left" vertical="top" wrapText="1"/>
    </xf>
    <xf numFmtId="0" fontId="8" fillId="0" borderId="0" xfId="0" applyFont="1" applyFill="1" applyBorder="1" applyAlignment="1">
      <alignment vertical="top" wrapText="1"/>
    </xf>
    <xf numFmtId="165" fontId="2" fillId="0" borderId="0" xfId="1" applyNumberFormat="1" applyFont="1" applyBorder="1" applyAlignment="1">
      <alignment horizontal="right"/>
    </xf>
    <xf numFmtId="165" fontId="2" fillId="3" borderId="0" xfId="1" applyNumberFormat="1" applyFont="1" applyFill="1" applyBorder="1" applyAlignment="1">
      <alignment horizontal="right"/>
    </xf>
    <xf numFmtId="165" fontId="2" fillId="0" borderId="0" xfId="1" applyNumberFormat="1" applyFont="1" applyFill="1" applyBorder="1" applyAlignment="1">
      <alignment horizontal="right"/>
    </xf>
    <xf numFmtId="165" fontId="0" fillId="0" borderId="0" xfId="1" applyNumberFormat="1" applyFont="1" applyBorder="1" applyAlignment="1">
      <alignment horizontal="right"/>
    </xf>
    <xf numFmtId="0" fontId="5" fillId="3" borderId="14" xfId="0" applyFont="1" applyFill="1" applyBorder="1" applyAlignment="1">
      <alignment horizontal="left" vertical="center"/>
    </xf>
    <xf numFmtId="14" fontId="5" fillId="3" borderId="13" xfId="0" applyNumberFormat="1" applyFont="1" applyFill="1" applyBorder="1" applyAlignment="1">
      <alignment horizontal="left" vertical="center"/>
    </xf>
    <xf numFmtId="14" fontId="5" fillId="3" borderId="14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/>
    <xf numFmtId="0" fontId="17" fillId="0" borderId="0" xfId="0" applyFont="1" applyBorder="1" applyAlignment="1">
      <alignment horizontal="left" vertical="center"/>
    </xf>
    <xf numFmtId="0" fontId="17" fillId="0" borderId="0" xfId="0" applyFont="1"/>
    <xf numFmtId="0" fontId="20" fillId="0" borderId="0" xfId="0" applyFont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0" xfId="0" applyNumberFormat="1" applyFont="1" applyFill="1" applyBorder="1" applyAlignment="1">
      <alignment horizontal="left" vertical="center"/>
    </xf>
    <xf numFmtId="0" fontId="17" fillId="0" borderId="0" xfId="2" applyNumberFormat="1" applyFont="1" applyAlignment="1">
      <alignment horizontal="left"/>
    </xf>
    <xf numFmtId="0" fontId="17" fillId="0" borderId="0" xfId="0" applyFont="1" applyAlignment="1">
      <alignment horizontal="left"/>
    </xf>
    <xf numFmtId="165" fontId="17" fillId="5" borderId="0" xfId="1" applyNumberFormat="1" applyFont="1" applyFill="1" applyBorder="1" applyAlignment="1">
      <alignment horizontal="left" vertical="center"/>
    </xf>
    <xf numFmtId="0" fontId="20" fillId="8" borderId="11" xfId="0" applyNumberFormat="1" applyFont="1" applyFill="1" applyBorder="1" applyAlignment="1" applyProtection="1">
      <alignment horizontal="left"/>
      <protection locked="0"/>
    </xf>
    <xf numFmtId="0" fontId="5" fillId="3" borderId="13" xfId="0" applyFont="1" applyFill="1" applyBorder="1" applyAlignment="1">
      <alignment horizontal="left" vertical="center"/>
    </xf>
    <xf numFmtId="0" fontId="2" fillId="3" borderId="0" xfId="0" applyFont="1" applyFill="1" applyBorder="1"/>
    <xf numFmtId="0" fontId="13" fillId="3" borderId="13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vertical="center"/>
    </xf>
    <xf numFmtId="0" fontId="5" fillId="3" borderId="0" xfId="0" applyFont="1" applyFill="1"/>
    <xf numFmtId="0" fontId="5" fillId="3" borderId="14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0" xfId="0" applyFont="1" applyFill="1" applyBorder="1" applyAlignment="1">
      <alignment horizontal="left" vertical="center"/>
    </xf>
    <xf numFmtId="14" fontId="5" fillId="3" borderId="15" xfId="0" applyNumberFormat="1" applyFont="1" applyFill="1" applyBorder="1" applyAlignment="1">
      <alignment horizontal="right" vertical="center"/>
    </xf>
    <xf numFmtId="14" fontId="5" fillId="3" borderId="6" xfId="0" applyNumberFormat="1" applyFont="1" applyFill="1" applyBorder="1" applyAlignment="1">
      <alignment horizontal="right" vertical="center"/>
    </xf>
    <xf numFmtId="14" fontId="5" fillId="3" borderId="8" xfId="0" applyNumberFormat="1" applyFont="1" applyFill="1" applyBorder="1" applyAlignment="1">
      <alignment horizontal="right" vertical="center"/>
    </xf>
    <xf numFmtId="0" fontId="5" fillId="3" borderId="8" xfId="0" applyNumberFormat="1" applyFont="1" applyFill="1" applyBorder="1" applyAlignment="1">
      <alignment horizontal="right" vertical="center"/>
    </xf>
    <xf numFmtId="0" fontId="5" fillId="3" borderId="1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9" fontId="5" fillId="3" borderId="8" xfId="2" applyFont="1" applyFill="1" applyBorder="1" applyAlignment="1">
      <alignment horizontal="right" vertical="center"/>
    </xf>
    <xf numFmtId="165" fontId="5" fillId="3" borderId="8" xfId="0" applyNumberFormat="1" applyFont="1" applyFill="1" applyBorder="1" applyAlignment="1">
      <alignment horizontal="right" vertical="center"/>
    </xf>
    <xf numFmtId="2" fontId="5" fillId="3" borderId="8" xfId="0" applyNumberFormat="1" applyFont="1" applyFill="1" applyBorder="1" applyAlignment="1">
      <alignment horizontal="right" vertical="center"/>
    </xf>
    <xf numFmtId="165" fontId="5" fillId="3" borderId="6" xfId="0" applyNumberFormat="1" applyFont="1" applyFill="1" applyBorder="1" applyAlignment="1">
      <alignment vertical="center"/>
    </xf>
    <xf numFmtId="165" fontId="5" fillId="3" borderId="11" xfId="0" applyNumberFormat="1" applyFont="1" applyFill="1" applyBorder="1" applyAlignment="1">
      <alignment horizontal="right" vertical="center"/>
    </xf>
    <xf numFmtId="165" fontId="5" fillId="3" borderId="11" xfId="0" applyNumberFormat="1" applyFont="1" applyFill="1" applyBorder="1" applyAlignment="1">
      <alignment vertical="center"/>
    </xf>
    <xf numFmtId="9" fontId="5" fillId="3" borderId="6" xfId="2" applyFont="1" applyFill="1" applyBorder="1" applyAlignment="1">
      <alignment horizontal="right" vertical="center"/>
    </xf>
    <xf numFmtId="165" fontId="5" fillId="3" borderId="0" xfId="1" applyNumberFormat="1" applyFont="1" applyFill="1" applyBorder="1" applyAlignment="1">
      <alignment vertical="center"/>
    </xf>
    <xf numFmtId="0" fontId="5" fillId="3" borderId="0" xfId="1" applyNumberFormat="1" applyFont="1" applyFill="1" applyBorder="1" applyAlignment="1">
      <alignment horizontal="left" vertical="center"/>
    </xf>
    <xf numFmtId="165" fontId="5" fillId="3" borderId="0" xfId="1" applyNumberFormat="1" applyFont="1" applyFill="1" applyBorder="1" applyAlignment="1">
      <alignment horizontal="right" vertical="center"/>
    </xf>
    <xf numFmtId="0" fontId="5" fillId="3" borderId="1" xfId="1" applyNumberFormat="1" applyFont="1" applyFill="1" applyBorder="1" applyAlignment="1">
      <alignment horizontal="right" vertical="center"/>
    </xf>
    <xf numFmtId="14" fontId="0" fillId="3" borderId="11" xfId="0" applyNumberFormat="1" applyFill="1" applyBorder="1"/>
    <xf numFmtId="165" fontId="5" fillId="3" borderId="0" xfId="1" applyNumberFormat="1" applyFont="1" applyFill="1" applyBorder="1" applyAlignment="1">
      <alignment horizontal="left" vertical="center"/>
    </xf>
    <xf numFmtId="165" fontId="5" fillId="3" borderId="11" xfId="1" applyNumberFormat="1" applyFont="1" applyFill="1" applyBorder="1" applyAlignment="1">
      <alignment horizontal="right" vertical="center"/>
    </xf>
    <xf numFmtId="14" fontId="5" fillId="3" borderId="0" xfId="0" applyNumberFormat="1" applyFont="1" applyFill="1" applyBorder="1" applyAlignment="1">
      <alignment horizontal="left" vertical="center"/>
    </xf>
    <xf numFmtId="0" fontId="0" fillId="3" borderId="14" xfId="0" applyFill="1" applyBorder="1"/>
    <xf numFmtId="0" fontId="0" fillId="3" borderId="0" xfId="0" applyFill="1" applyBorder="1"/>
    <xf numFmtId="0" fontId="5" fillId="3" borderId="7" xfId="0" applyFont="1" applyFill="1" applyBorder="1" applyAlignment="1">
      <alignment vertical="center"/>
    </xf>
    <xf numFmtId="0" fontId="5" fillId="3" borderId="2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left" vertical="center"/>
    </xf>
    <xf numFmtId="0" fontId="20" fillId="3" borderId="0" xfId="0" applyFont="1" applyFill="1" applyBorder="1" applyAlignment="1" applyProtection="1">
      <alignment horizontal="left"/>
    </xf>
    <xf numFmtId="165" fontId="20" fillId="3" borderId="0" xfId="0" applyNumberFormat="1" applyFont="1" applyFill="1" applyBorder="1" applyAlignment="1" applyProtection="1">
      <alignment horizontal="left"/>
    </xf>
    <xf numFmtId="0" fontId="20" fillId="3" borderId="0" xfId="0" applyFont="1" applyFill="1" applyBorder="1" applyAlignment="1" applyProtection="1"/>
    <xf numFmtId="165" fontId="20" fillId="3" borderId="0" xfId="0" applyNumberFormat="1" applyFont="1" applyFill="1" applyBorder="1" applyAlignment="1" applyProtection="1">
      <alignment horizontal="right"/>
    </xf>
    <xf numFmtId="0" fontId="20" fillId="3" borderId="0" xfId="0" applyFont="1" applyFill="1" applyAlignment="1" applyProtection="1"/>
    <xf numFmtId="0" fontId="20" fillId="3" borderId="0" xfId="0" applyFont="1" applyFill="1" applyBorder="1" applyProtection="1"/>
    <xf numFmtId="0" fontId="20" fillId="3" borderId="0" xfId="0" applyFont="1" applyFill="1" applyBorder="1" applyAlignment="1" applyProtection="1">
      <alignment horizontal="center"/>
    </xf>
    <xf numFmtId="0" fontId="20" fillId="3" borderId="11" xfId="0" applyNumberFormat="1" applyFont="1" applyFill="1" applyBorder="1" applyAlignment="1" applyProtection="1">
      <alignment horizontal="left"/>
    </xf>
    <xf numFmtId="0" fontId="20" fillId="3" borderId="11" xfId="0" applyFont="1" applyFill="1" applyBorder="1" applyAlignment="1" applyProtection="1">
      <alignment horizontal="left"/>
    </xf>
    <xf numFmtId="165" fontId="20" fillId="3" borderId="0" xfId="0" applyNumberFormat="1" applyFont="1" applyFill="1" applyBorder="1" applyAlignment="1" applyProtection="1"/>
    <xf numFmtId="0" fontId="20" fillId="3" borderId="0" xfId="0" applyNumberFormat="1" applyFont="1" applyFill="1" applyBorder="1" applyAlignment="1" applyProtection="1">
      <alignment horizontal="left"/>
    </xf>
    <xf numFmtId="14" fontId="20" fillId="3" borderId="0" xfId="0" applyNumberFormat="1" applyFont="1" applyFill="1" applyBorder="1" applyAlignment="1" applyProtection="1">
      <alignment horizontal="left"/>
    </xf>
    <xf numFmtId="0" fontId="17" fillId="3" borderId="0" xfId="0" applyFont="1" applyFill="1" applyBorder="1" applyAlignment="1" applyProtection="1">
      <alignment horizontal="left"/>
    </xf>
    <xf numFmtId="0" fontId="17" fillId="3" borderId="0" xfId="0" applyFont="1" applyFill="1" applyBorder="1" applyAlignment="1" applyProtection="1"/>
    <xf numFmtId="0" fontId="20" fillId="3" borderId="0" xfId="0" applyFont="1" applyFill="1" applyBorder="1" applyAlignment="1" applyProtection="1">
      <alignment horizontal="left" vertical="center"/>
    </xf>
    <xf numFmtId="0" fontId="20" fillId="3" borderId="11" xfId="0" applyNumberFormat="1" applyFont="1" applyFill="1" applyBorder="1" applyAlignment="1" applyProtection="1">
      <protection locked="0"/>
    </xf>
    <xf numFmtId="0" fontId="17" fillId="3" borderId="0" xfId="0" applyFont="1" applyFill="1" applyBorder="1" applyAlignment="1" applyProtection="1">
      <alignment horizontal="left" vertical="center"/>
    </xf>
    <xf numFmtId="14" fontId="20" fillId="3" borderId="0" xfId="0" applyNumberFormat="1" applyFont="1" applyFill="1" applyBorder="1" applyAlignment="1" applyProtection="1">
      <alignment vertical="center"/>
    </xf>
    <xf numFmtId="166" fontId="20" fillId="3" borderId="0" xfId="0" applyNumberFormat="1" applyFont="1" applyFill="1" applyBorder="1" applyAlignment="1" applyProtection="1">
      <alignment vertical="center"/>
    </xf>
    <xf numFmtId="0" fontId="20" fillId="3" borderId="0" xfId="0" applyNumberFormat="1" applyFont="1" applyFill="1" applyBorder="1" applyAlignment="1" applyProtection="1"/>
    <xf numFmtId="0" fontId="20" fillId="3" borderId="0" xfId="0" applyFont="1" applyFill="1" applyBorder="1" applyAlignment="1" applyProtection="1">
      <alignment horizontal="right"/>
    </xf>
    <xf numFmtId="0" fontId="20" fillId="3" borderId="11" xfId="0" applyNumberFormat="1" applyFont="1" applyFill="1" applyBorder="1" applyAlignment="1" applyProtection="1"/>
    <xf numFmtId="0" fontId="0" fillId="3" borderId="0" xfId="0" applyFill="1" applyProtection="1"/>
    <xf numFmtId="0" fontId="17" fillId="3" borderId="11" xfId="0" applyNumberFormat="1" applyFont="1" applyFill="1" applyBorder="1" applyAlignment="1" applyProtection="1">
      <alignment horizontal="left"/>
    </xf>
    <xf numFmtId="0" fontId="17" fillId="3" borderId="0" xfId="0" applyFont="1" applyFill="1" applyBorder="1" applyAlignment="1" applyProtection="1">
      <alignment horizontal="center"/>
    </xf>
    <xf numFmtId="14" fontId="17" fillId="3" borderId="0" xfId="0" applyNumberFormat="1" applyFont="1" applyFill="1" applyAlignment="1" applyProtection="1">
      <alignment horizontal="left"/>
    </xf>
    <xf numFmtId="0" fontId="17" fillId="3" borderId="0" xfId="0" applyFont="1" applyFill="1" applyAlignment="1" applyProtection="1">
      <alignment horizontal="left"/>
    </xf>
    <xf numFmtId="0" fontId="17" fillId="3" borderId="11" xfId="0" applyFont="1" applyFill="1" applyBorder="1" applyAlignment="1" applyProtection="1">
      <alignment horizontal="left"/>
    </xf>
    <xf numFmtId="14" fontId="17" fillId="3" borderId="0" xfId="0" applyNumberFormat="1" applyFont="1" applyFill="1" applyBorder="1" applyAlignment="1" applyProtection="1">
      <alignment horizontal="left"/>
    </xf>
    <xf numFmtId="0" fontId="17" fillId="3" borderId="0" xfId="0" applyNumberFormat="1" applyFont="1" applyFill="1" applyBorder="1" applyAlignment="1" applyProtection="1">
      <alignment horizontal="left"/>
    </xf>
    <xf numFmtId="165" fontId="17" fillId="3" borderId="0" xfId="0" applyNumberFormat="1" applyFont="1" applyFill="1" applyBorder="1" applyAlignment="1" applyProtection="1">
      <alignment horizontal="left"/>
    </xf>
    <xf numFmtId="165" fontId="17" fillId="3" borderId="0" xfId="0" applyNumberFormat="1" applyFont="1" applyFill="1" applyBorder="1" applyAlignment="1" applyProtection="1">
      <alignment horizontal="right"/>
    </xf>
    <xf numFmtId="0" fontId="0" fillId="3" borderId="0" xfId="0" applyFill="1" applyAlignment="1" applyProtection="1"/>
    <xf numFmtId="0" fontId="17" fillId="3" borderId="0" xfId="0" applyFont="1" applyFill="1" applyBorder="1" applyProtection="1"/>
    <xf numFmtId="165" fontId="17" fillId="3" borderId="0" xfId="0" applyNumberFormat="1" applyFont="1" applyFill="1" applyBorder="1" applyAlignment="1" applyProtection="1"/>
    <xf numFmtId="0" fontId="20" fillId="3" borderId="0" xfId="0" applyFont="1" applyFill="1" applyBorder="1" applyAlignment="1" applyProtection="1">
      <alignment vertical="center"/>
    </xf>
    <xf numFmtId="14" fontId="17" fillId="3" borderId="0" xfId="0" applyNumberFormat="1" applyFont="1" applyFill="1" applyBorder="1" applyAlignment="1" applyProtection="1">
      <alignment vertical="center"/>
    </xf>
    <xf numFmtId="166" fontId="17" fillId="3" borderId="0" xfId="0" applyNumberFormat="1" applyFont="1" applyFill="1" applyBorder="1" applyAlignment="1" applyProtection="1">
      <alignment vertical="center"/>
    </xf>
    <xf numFmtId="0" fontId="19" fillId="3" borderId="0" xfId="0" applyNumberFormat="1" applyFont="1" applyFill="1" applyBorder="1" applyAlignment="1" applyProtection="1"/>
    <xf numFmtId="0" fontId="17" fillId="3" borderId="0" xfId="0" applyFont="1" applyFill="1" applyBorder="1" applyAlignment="1" applyProtection="1">
      <alignment vertical="center"/>
    </xf>
    <xf numFmtId="14" fontId="2" fillId="0" borderId="0" xfId="0" applyNumberFormat="1" applyFont="1" applyBorder="1" applyAlignment="1">
      <alignment horizontal="center"/>
    </xf>
    <xf numFmtId="0" fontId="2" fillId="0" borderId="0" xfId="0" applyFont="1" applyFill="1"/>
    <xf numFmtId="0" fontId="5" fillId="3" borderId="14" xfId="0" applyFont="1" applyFill="1" applyBorder="1" applyAlignment="1">
      <alignment horizontal="left" vertical="top" wrapText="1"/>
    </xf>
    <xf numFmtId="0" fontId="17" fillId="7" borderId="0" xfId="0" applyNumberFormat="1" applyFont="1" applyFill="1" applyBorder="1" applyAlignment="1">
      <alignment horizontal="left" vertical="center"/>
    </xf>
    <xf numFmtId="0" fontId="17" fillId="7" borderId="0" xfId="0" applyFont="1" applyFill="1" applyBorder="1" applyAlignment="1">
      <alignment horizontal="left" vertical="center"/>
    </xf>
    <xf numFmtId="0" fontId="17" fillId="5" borderId="0" xfId="0" applyNumberFormat="1" applyFont="1" applyFill="1" applyBorder="1" applyAlignment="1">
      <alignment horizontal="left" vertical="center"/>
    </xf>
    <xf numFmtId="14" fontId="17" fillId="5" borderId="0" xfId="0" applyNumberFormat="1" applyFont="1" applyFill="1" applyBorder="1" applyAlignment="1">
      <alignment horizontal="left" vertical="center"/>
    </xf>
    <xf numFmtId="0" fontId="23" fillId="5" borderId="0" xfId="0" applyFont="1" applyFill="1" applyBorder="1" applyAlignment="1">
      <alignment horizontal="left" vertical="center"/>
    </xf>
    <xf numFmtId="0" fontId="17" fillId="5" borderId="0" xfId="0" applyFont="1" applyFill="1" applyBorder="1" applyAlignment="1">
      <alignment horizontal="left" vertical="center"/>
    </xf>
    <xf numFmtId="0" fontId="23" fillId="5" borderId="0" xfId="0" applyFont="1" applyFill="1" applyAlignment="1">
      <alignment horizontal="left" vertical="center"/>
    </xf>
    <xf numFmtId="0" fontId="23" fillId="6" borderId="0" xfId="0" applyFont="1" applyFill="1" applyBorder="1" applyAlignment="1">
      <alignment horizontal="left" vertical="center"/>
    </xf>
    <xf numFmtId="164" fontId="23" fillId="6" borderId="0" xfId="0" applyNumberFormat="1" applyFont="1" applyFill="1" applyBorder="1" applyAlignment="1">
      <alignment horizontal="left" vertical="center"/>
    </xf>
    <xf numFmtId="14" fontId="17" fillId="7" borderId="0" xfId="0" applyNumberFormat="1" applyFont="1" applyFill="1" applyBorder="1" applyAlignment="1">
      <alignment horizontal="left" vertical="center"/>
    </xf>
    <xf numFmtId="0" fontId="23" fillId="9" borderId="0" xfId="0" applyFont="1" applyFill="1" applyBorder="1" applyAlignment="1">
      <alignment horizontal="left" vertical="center"/>
    </xf>
    <xf numFmtId="0" fontId="17" fillId="6" borderId="0" xfId="0" applyFont="1" applyFill="1" applyBorder="1" applyAlignment="1">
      <alignment horizontal="left" vertical="center"/>
    </xf>
    <xf numFmtId="0" fontId="17" fillId="3" borderId="0" xfId="0" applyFont="1" applyFill="1"/>
    <xf numFmtId="0" fontId="17" fillId="3" borderId="0" xfId="0" applyFont="1" applyFill="1" applyAlignment="1">
      <alignment horizontal="center"/>
    </xf>
    <xf numFmtId="0" fontId="17" fillId="3" borderId="0" xfId="0" applyFont="1" applyFill="1" applyBorder="1"/>
    <xf numFmtId="0" fontId="17" fillId="3" borderId="0" xfId="0" applyFont="1" applyFill="1" applyAlignment="1">
      <alignment horizontal="left" vertical="center"/>
    </xf>
    <xf numFmtId="10" fontId="17" fillId="3" borderId="0" xfId="2" applyNumberFormat="1" applyFont="1" applyFill="1"/>
    <xf numFmtId="0" fontId="22" fillId="3" borderId="0" xfId="0" applyFont="1" applyFill="1" applyAlignment="1">
      <alignment horizontal="center" vertical="center"/>
    </xf>
    <xf numFmtId="0" fontId="22" fillId="10" borderId="29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10" fontId="22" fillId="10" borderId="17" xfId="2" applyNumberFormat="1" applyFont="1" applyFill="1" applyBorder="1" applyAlignment="1">
      <alignment horizontal="center" vertical="center"/>
    </xf>
    <xf numFmtId="0" fontId="17" fillId="3" borderId="26" xfId="0" applyFont="1" applyFill="1" applyBorder="1"/>
    <xf numFmtId="0" fontId="17" fillId="3" borderId="24" xfId="0" applyFont="1" applyFill="1" applyBorder="1"/>
    <xf numFmtId="10" fontId="17" fillId="3" borderId="33" xfId="2" applyNumberFormat="1" applyFont="1" applyFill="1" applyBorder="1"/>
    <xf numFmtId="2" fontId="17" fillId="3" borderId="11" xfId="0" applyNumberFormat="1" applyFont="1" applyFill="1" applyBorder="1" applyAlignment="1">
      <alignment horizontal="center" vertical="center"/>
    </xf>
    <xf numFmtId="2" fontId="17" fillId="3" borderId="0" xfId="0" applyNumberFormat="1" applyFont="1" applyFill="1" applyAlignment="1">
      <alignment horizontal="center" vertical="center"/>
    </xf>
    <xf numFmtId="0" fontId="17" fillId="3" borderId="4" xfId="0" applyFont="1" applyFill="1" applyBorder="1"/>
    <xf numFmtId="0" fontId="17" fillId="3" borderId="27" xfId="0" applyFont="1" applyFill="1" applyBorder="1"/>
    <xf numFmtId="10" fontId="17" fillId="3" borderId="18" xfId="2" applyNumberFormat="1" applyFont="1" applyFill="1" applyBorder="1"/>
    <xf numFmtId="0" fontId="34" fillId="3" borderId="0" xfId="0" applyFont="1" applyFill="1" applyAlignment="1">
      <alignment horizontal="center" vertical="center" wrapText="1"/>
    </xf>
    <xf numFmtId="0" fontId="34" fillId="11" borderId="0" xfId="0" applyFont="1" applyFill="1" applyAlignment="1">
      <alignment horizontal="center" vertical="center" wrapText="1"/>
    </xf>
    <xf numFmtId="0" fontId="34" fillId="6" borderId="0" xfId="0" applyFont="1" applyFill="1" applyAlignment="1">
      <alignment horizontal="center" vertical="center" wrapText="1"/>
    </xf>
    <xf numFmtId="10" fontId="34" fillId="6" borderId="0" xfId="2" applyNumberFormat="1" applyFont="1" applyFill="1" applyAlignment="1">
      <alignment horizontal="center" vertical="center" wrapText="1"/>
    </xf>
    <xf numFmtId="0" fontId="35" fillId="6" borderId="0" xfId="0" applyFont="1" applyFill="1" applyAlignment="1">
      <alignment horizontal="center" vertical="center" wrapText="1"/>
    </xf>
    <xf numFmtId="0" fontId="34" fillId="12" borderId="0" xfId="0" applyFont="1" applyFill="1" applyAlignment="1">
      <alignment horizontal="center" vertical="center" wrapText="1"/>
    </xf>
    <xf numFmtId="0" fontId="36" fillId="11" borderId="0" xfId="0" applyFont="1" applyFill="1" applyAlignment="1">
      <alignment horizontal="center" vertical="center" wrapText="1"/>
    </xf>
    <xf numFmtId="165" fontId="17" fillId="3" borderId="0" xfId="0" applyNumberFormat="1" applyFont="1" applyFill="1"/>
    <xf numFmtId="165" fontId="35" fillId="3" borderId="0" xfId="0" applyNumberFormat="1" applyFont="1" applyFill="1"/>
    <xf numFmtId="165" fontId="22" fillId="3" borderId="0" xfId="0" applyNumberFormat="1" applyFont="1" applyFill="1"/>
    <xf numFmtId="165" fontId="17" fillId="3" borderId="0" xfId="2" applyNumberFormat="1" applyFont="1" applyFill="1"/>
    <xf numFmtId="0" fontId="17" fillId="3" borderId="0" xfId="0" applyNumberFormat="1" applyFont="1" applyFill="1" applyAlignment="1">
      <alignment horizontal="left" vertical="center"/>
    </xf>
    <xf numFmtId="0" fontId="17" fillId="8" borderId="0" xfId="0" applyFont="1" applyFill="1"/>
    <xf numFmtId="0" fontId="38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39" fillId="3" borderId="0" xfId="0" applyFont="1" applyFill="1"/>
    <xf numFmtId="0" fontId="39" fillId="3" borderId="0" xfId="0" applyFont="1" applyFill="1" applyAlignment="1"/>
    <xf numFmtId="0" fontId="17" fillId="3" borderId="0" xfId="0" applyFont="1" applyFill="1" applyAlignment="1">
      <alignment horizontal="left"/>
    </xf>
    <xf numFmtId="0" fontId="17" fillId="0" borderId="0" xfId="0" applyNumberFormat="1" applyFont="1" applyAlignment="1">
      <alignment horizontal="left"/>
    </xf>
    <xf numFmtId="0" fontId="29" fillId="0" borderId="0" xfId="0" applyFont="1" applyAlignment="1">
      <alignment horizontal="left" vertical="center"/>
    </xf>
    <xf numFmtId="165" fontId="20" fillId="0" borderId="0" xfId="0" applyNumberFormat="1" applyFont="1" applyFill="1" applyBorder="1" applyAlignment="1">
      <alignment horizontal="left" vertical="center"/>
    </xf>
    <xf numFmtId="165" fontId="17" fillId="0" borderId="0" xfId="0" applyNumberFormat="1" applyFont="1" applyBorder="1" applyAlignment="1">
      <alignment horizontal="left" vertical="center"/>
    </xf>
    <xf numFmtId="0" fontId="40" fillId="3" borderId="0" xfId="0" applyFont="1" applyFill="1" applyBorder="1" applyAlignment="1" applyProtection="1">
      <alignment horizontal="left"/>
    </xf>
    <xf numFmtId="0" fontId="17" fillId="3" borderId="25" xfId="0" applyFont="1" applyFill="1" applyBorder="1" applyAlignment="1">
      <alignment horizontal="center" vertical="center" wrapText="1"/>
    </xf>
    <xf numFmtId="0" fontId="17" fillId="3" borderId="30" xfId="0" applyFont="1" applyFill="1" applyBorder="1" applyAlignment="1">
      <alignment horizontal="center" vertical="center" wrapText="1"/>
    </xf>
    <xf numFmtId="0" fontId="17" fillId="3" borderId="0" xfId="0" applyFont="1" applyFill="1" applyBorder="1" applyAlignment="1">
      <alignment horizontal="center" vertical="center" textRotation="90"/>
    </xf>
    <xf numFmtId="0" fontId="17" fillId="3" borderId="0" xfId="0" applyFont="1" applyFill="1" applyBorder="1" applyAlignment="1">
      <alignment horizontal="center"/>
    </xf>
    <xf numFmtId="10" fontId="17" fillId="3" borderId="0" xfId="2" applyNumberFormat="1" applyFont="1" applyFill="1" applyBorder="1"/>
    <xf numFmtId="0" fontId="17" fillId="3" borderId="11" xfId="0" applyFont="1" applyFill="1" applyBorder="1" applyAlignment="1">
      <alignment horizontal="left" vertical="center"/>
    </xf>
    <xf numFmtId="0" fontId="17" fillId="3" borderId="11" xfId="0" applyFont="1" applyFill="1" applyBorder="1"/>
    <xf numFmtId="0" fontId="21" fillId="3" borderId="11" xfId="0" applyFont="1" applyFill="1" applyBorder="1" applyAlignment="1">
      <alignment horizontal="left" vertical="center"/>
    </xf>
    <xf numFmtId="0" fontId="21" fillId="3" borderId="11" xfId="0" applyFont="1" applyFill="1" applyBorder="1"/>
    <xf numFmtId="9" fontId="21" fillId="3" borderId="11" xfId="2" applyFont="1" applyFill="1" applyBorder="1"/>
    <xf numFmtId="4" fontId="21" fillId="3" borderId="11" xfId="0" applyNumberFormat="1" applyFont="1" applyFill="1" applyBorder="1"/>
    <xf numFmtId="4" fontId="21" fillId="3" borderId="11" xfId="0" applyNumberFormat="1" applyFont="1" applyFill="1" applyBorder="1" applyAlignment="1">
      <alignment horizontal="left" vertical="center"/>
    </xf>
    <xf numFmtId="3" fontId="21" fillId="3" borderId="11" xfId="0" applyNumberFormat="1" applyFont="1" applyFill="1" applyBorder="1"/>
    <xf numFmtId="4" fontId="34" fillId="3" borderId="11" xfId="0" applyNumberFormat="1" applyFont="1" applyFill="1" applyBorder="1"/>
    <xf numFmtId="10" fontId="17" fillId="3" borderId="11" xfId="2" applyNumberFormat="1" applyFont="1" applyFill="1" applyBorder="1"/>
    <xf numFmtId="44" fontId="21" fillId="3" borderId="11" xfId="1" applyFont="1" applyFill="1" applyBorder="1"/>
    <xf numFmtId="0" fontId="22" fillId="3" borderId="0" xfId="0" applyFont="1" applyFill="1"/>
    <xf numFmtId="0" fontId="34" fillId="5" borderId="0" xfId="0" applyFont="1" applyFill="1" applyAlignment="1">
      <alignment horizontal="center" vertical="center" wrapText="1"/>
    </xf>
    <xf numFmtId="0" fontId="17" fillId="3" borderId="0" xfId="2" applyNumberFormat="1" applyFont="1" applyFill="1"/>
    <xf numFmtId="10" fontId="17" fillId="3" borderId="0" xfId="0" applyNumberFormat="1" applyFont="1" applyFill="1"/>
    <xf numFmtId="0" fontId="20" fillId="3" borderId="0" xfId="0" applyFont="1" applyFill="1" applyBorder="1" applyAlignment="1">
      <alignment horizontal="left" vertical="center"/>
    </xf>
    <xf numFmtId="0" fontId="24" fillId="3" borderId="0" xfId="2" applyNumberFormat="1" applyFont="1" applyFill="1"/>
    <xf numFmtId="14" fontId="17" fillId="3" borderId="0" xfId="0" applyNumberFormat="1" applyFont="1" applyFill="1" applyAlignment="1">
      <alignment horizontal="left" vertical="center"/>
    </xf>
    <xf numFmtId="0" fontId="20" fillId="3" borderId="0" xfId="0" applyFont="1" applyFill="1" applyAlignment="1">
      <alignment horizontal="left" vertical="center"/>
    </xf>
    <xf numFmtId="0" fontId="26" fillId="3" borderId="0" xfId="0" applyFont="1" applyFill="1"/>
    <xf numFmtId="167" fontId="17" fillId="3" borderId="0" xfId="2" applyNumberFormat="1" applyFont="1" applyFill="1"/>
    <xf numFmtId="0" fontId="24" fillId="3" borderId="0" xfId="0" applyFont="1" applyFill="1"/>
    <xf numFmtId="0" fontId="17" fillId="3" borderId="2" xfId="0" applyFont="1" applyFill="1" applyBorder="1" applyAlignment="1" applyProtection="1">
      <alignment vertical="center"/>
    </xf>
    <xf numFmtId="0" fontId="28" fillId="3" borderId="0" xfId="0" applyFont="1" applyFill="1"/>
    <xf numFmtId="0" fontId="18" fillId="3" borderId="0" xfId="0" applyFont="1" applyFill="1" applyBorder="1" applyAlignment="1">
      <alignment horizontal="right" vertical="center"/>
    </xf>
    <xf numFmtId="0" fontId="17" fillId="13" borderId="0" xfId="0" applyFont="1" applyFill="1"/>
    <xf numFmtId="0" fontId="17" fillId="13" borderId="0" xfId="0" applyFont="1" applyFill="1" applyAlignment="1">
      <alignment horizontal="center"/>
    </xf>
    <xf numFmtId="0" fontId="17" fillId="13" borderId="0" xfId="0" applyFont="1" applyFill="1" applyAlignment="1">
      <alignment horizontal="left" vertical="center"/>
    </xf>
    <xf numFmtId="10" fontId="17" fillId="13" borderId="0" xfId="2" applyNumberFormat="1" applyFont="1" applyFill="1"/>
    <xf numFmtId="0" fontId="17" fillId="3" borderId="11" xfId="0" applyFont="1" applyFill="1" applyBorder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17" fillId="3" borderId="14" xfId="0" applyFont="1" applyFill="1" applyBorder="1"/>
    <xf numFmtId="0" fontId="17" fillId="3" borderId="1" xfId="0" applyFont="1" applyFill="1" applyBorder="1"/>
    <xf numFmtId="0" fontId="17" fillId="3" borderId="7" xfId="0" applyFont="1" applyFill="1" applyBorder="1"/>
    <xf numFmtId="0" fontId="17" fillId="3" borderId="8" xfId="0" applyFont="1" applyFill="1" applyBorder="1"/>
    <xf numFmtId="0" fontId="17" fillId="11" borderId="0" xfId="0" applyFont="1" applyFill="1" applyBorder="1"/>
    <xf numFmtId="0" fontId="41" fillId="14" borderId="0" xfId="0" applyFont="1" applyFill="1" applyAlignment="1">
      <alignment horizontal="center" vertical="center" wrapText="1"/>
    </xf>
    <xf numFmtId="0" fontId="34" fillId="11" borderId="0" xfId="0" applyFont="1" applyFill="1" applyAlignment="1">
      <alignment horizontal="center"/>
    </xf>
    <xf numFmtId="0" fontId="41" fillId="14" borderId="0" xfId="0" applyFont="1" applyFill="1" applyAlignment="1">
      <alignment horizontal="center"/>
    </xf>
    <xf numFmtId="0" fontId="34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17" fillId="3" borderId="11" xfId="0" applyFont="1" applyFill="1" applyBorder="1" applyAlignment="1">
      <alignment horizontal="center"/>
    </xf>
    <xf numFmtId="0" fontId="17" fillId="3" borderId="0" xfId="0" applyFont="1" applyFill="1" applyBorder="1" applyAlignment="1">
      <alignment horizontal="center"/>
    </xf>
    <xf numFmtId="0" fontId="39" fillId="3" borderId="0" xfId="0" applyFont="1" applyFill="1" applyBorder="1" applyAlignment="1"/>
    <xf numFmtId="0" fontId="39" fillId="3" borderId="0" xfId="0" applyFont="1" applyFill="1" applyBorder="1"/>
    <xf numFmtId="14" fontId="17" fillId="3" borderId="0" xfId="0" applyNumberFormat="1" applyFont="1" applyFill="1" applyBorder="1" applyAlignment="1">
      <alignment horizontal="center" vertical="center"/>
    </xf>
    <xf numFmtId="0" fontId="43" fillId="0" borderId="0" xfId="7" applyFont="1"/>
    <xf numFmtId="0" fontId="18" fillId="0" borderId="0" xfId="0" applyFont="1" applyAlignment="1">
      <alignment horizontal="center" vertical="center"/>
    </xf>
    <xf numFmtId="0" fontId="34" fillId="15" borderId="0" xfId="0" applyFont="1" applyFill="1" applyAlignment="1">
      <alignment horizontal="center"/>
    </xf>
    <xf numFmtId="0" fontId="35" fillId="15" borderId="0" xfId="0" applyFont="1" applyFill="1" applyAlignment="1">
      <alignment horizontal="center" vertical="center" wrapText="1"/>
    </xf>
    <xf numFmtId="0" fontId="34" fillId="15" borderId="0" xfId="0" applyFont="1" applyFill="1" applyAlignment="1">
      <alignment horizontal="center" vertical="center" wrapText="1"/>
    </xf>
    <xf numFmtId="10" fontId="34" fillId="11" borderId="0" xfId="2" applyNumberFormat="1" applyFont="1" applyFill="1" applyAlignment="1">
      <alignment horizontal="center"/>
    </xf>
    <xf numFmtId="0" fontId="39" fillId="14" borderId="0" xfId="0" applyFont="1" applyFill="1"/>
    <xf numFmtId="0" fontId="17" fillId="15" borderId="0" xfId="0" applyFont="1" applyFill="1"/>
    <xf numFmtId="14" fontId="17" fillId="3" borderId="11" xfId="0" applyNumberFormat="1" applyFont="1" applyFill="1" applyBorder="1"/>
    <xf numFmtId="10" fontId="34" fillId="15" borderId="0" xfId="2" applyNumberFormat="1" applyFont="1" applyFill="1" applyAlignment="1">
      <alignment horizontal="center"/>
    </xf>
    <xf numFmtId="166" fontId="18" fillId="3" borderId="0" xfId="0" applyNumberFormat="1" applyFont="1" applyFill="1" applyBorder="1" applyAlignment="1">
      <alignment vertical="center"/>
    </xf>
    <xf numFmtId="0" fontId="20" fillId="3" borderId="0" xfId="0" quotePrefix="1" applyNumberFormat="1" applyFont="1" applyFill="1" applyBorder="1" applyAlignment="1">
      <alignment horizontal="center" vertical="center"/>
    </xf>
    <xf numFmtId="0" fontId="20" fillId="3" borderId="0" xfId="0" applyNumberFormat="1" applyFont="1" applyFill="1" applyBorder="1" applyAlignment="1">
      <alignment horizontal="center" vertical="center"/>
    </xf>
    <xf numFmtId="0" fontId="17" fillId="3" borderId="0" xfId="0" applyNumberFormat="1" applyFont="1" applyFill="1"/>
    <xf numFmtId="0" fontId="17" fillId="3" borderId="0" xfId="0" applyNumberFormat="1" applyFont="1" applyFill="1" applyBorder="1" applyAlignment="1">
      <alignment horizontal="center" vertical="center"/>
    </xf>
    <xf numFmtId="0" fontId="17" fillId="3" borderId="0" xfId="0" applyNumberFormat="1" applyFont="1" applyFill="1" applyAlignment="1">
      <alignment horizontal="center"/>
    </xf>
    <xf numFmtId="165" fontId="35" fillId="2" borderId="0" xfId="0" applyNumberFormat="1" applyFont="1" applyFill="1"/>
    <xf numFmtId="165" fontId="17" fillId="2" borderId="0" xfId="0" applyNumberFormat="1" applyFont="1" applyFill="1"/>
    <xf numFmtId="0" fontId="17" fillId="8" borderId="0" xfId="0" applyFont="1" applyFill="1" applyBorder="1"/>
    <xf numFmtId="0" fontId="0" fillId="3" borderId="0" xfId="0" applyFill="1"/>
    <xf numFmtId="0" fontId="20" fillId="3" borderId="0" xfId="0" applyNumberFormat="1" applyFont="1" applyFill="1" applyBorder="1" applyAlignment="1">
      <alignment horizontal="left" vertical="center"/>
    </xf>
    <xf numFmtId="0" fontId="20" fillId="3" borderId="0" xfId="0" applyNumberFormat="1" applyFont="1" applyFill="1" applyBorder="1" applyAlignment="1">
      <alignment horizontal="right" vertical="center"/>
    </xf>
    <xf numFmtId="0" fontId="17" fillId="3" borderId="0" xfId="0" quotePrefix="1" applyNumberFormat="1" applyFont="1" applyFill="1"/>
    <xf numFmtId="0" fontId="17" fillId="3" borderId="0" xfId="1" applyNumberFormat="1" applyFont="1" applyFill="1" applyBorder="1" applyAlignment="1">
      <alignment horizontal="right" vertical="center"/>
    </xf>
    <xf numFmtId="0" fontId="17" fillId="3" borderId="0" xfId="6" applyNumberFormat="1" applyFont="1" applyFill="1"/>
    <xf numFmtId="0" fontId="20" fillId="3" borderId="0" xfId="2" applyNumberFormat="1" applyFont="1" applyFill="1" applyBorder="1" applyAlignment="1">
      <alignment horizontal="center" vertical="center"/>
    </xf>
    <xf numFmtId="164" fontId="20" fillId="3" borderId="0" xfId="0" applyNumberFormat="1" applyFont="1" applyFill="1" applyBorder="1" applyAlignment="1">
      <alignment horizontal="center" vertical="center"/>
    </xf>
    <xf numFmtId="14" fontId="20" fillId="3" borderId="0" xfId="0" applyNumberFormat="1" applyFont="1" applyFill="1" applyBorder="1" applyAlignment="1">
      <alignment horizontal="left" vertical="center"/>
    </xf>
    <xf numFmtId="0" fontId="29" fillId="3" borderId="0" xfId="0" applyNumberFormat="1" applyFont="1" applyFill="1" applyAlignment="1">
      <alignment vertical="center"/>
    </xf>
    <xf numFmtId="0" fontId="17" fillId="3" borderId="0" xfId="0" applyNumberFormat="1" applyFont="1" applyFill="1" applyAlignment="1">
      <alignment horizontal="right"/>
    </xf>
    <xf numFmtId="0" fontId="17" fillId="3" borderId="0" xfId="3" applyNumberFormat="1" applyFont="1" applyFill="1"/>
    <xf numFmtId="0" fontId="17" fillId="3" borderId="0" xfId="0" applyNumberFormat="1" applyFont="1" applyFill="1" applyBorder="1" applyAlignment="1">
      <alignment horizontal="left" vertical="center"/>
    </xf>
    <xf numFmtId="0" fontId="17" fillId="3" borderId="0" xfId="0" applyNumberFormat="1" applyFont="1" applyFill="1" applyBorder="1" applyAlignment="1">
      <alignment horizontal="right" vertical="center"/>
    </xf>
    <xf numFmtId="0" fontId="20" fillId="3" borderId="0" xfId="1" applyNumberFormat="1" applyFont="1" applyFill="1" applyBorder="1" applyAlignment="1">
      <alignment horizontal="right" vertical="center"/>
    </xf>
    <xf numFmtId="0" fontId="17" fillId="3" borderId="0" xfId="0" applyNumberFormat="1" applyFont="1" applyFill="1" applyAlignment="1">
      <alignment horizontal="center" vertical="center"/>
    </xf>
    <xf numFmtId="0" fontId="17" fillId="3" borderId="0" xfId="2" applyNumberFormat="1" applyFont="1" applyFill="1" applyAlignment="1">
      <alignment horizontal="center" vertical="center"/>
    </xf>
    <xf numFmtId="164" fontId="17" fillId="3" borderId="0" xfId="0" applyNumberFormat="1" applyFont="1" applyFill="1" applyAlignment="1">
      <alignment horizontal="center" vertical="center"/>
    </xf>
    <xf numFmtId="14" fontId="17" fillId="3" borderId="0" xfId="0" applyNumberFormat="1" applyFont="1" applyFill="1"/>
    <xf numFmtId="164" fontId="17" fillId="3" borderId="0" xfId="0" applyNumberFormat="1" applyFont="1" applyFill="1"/>
    <xf numFmtId="0" fontId="17" fillId="3" borderId="0" xfId="0" applyNumberFormat="1" applyFont="1" applyFill="1" applyBorder="1"/>
    <xf numFmtId="0" fontId="27" fillId="3" borderId="0" xfId="0" applyNumberFormat="1" applyFont="1" applyFill="1" applyBorder="1" applyAlignment="1">
      <alignment horizontal="center" vertical="center"/>
    </xf>
    <xf numFmtId="0" fontId="17" fillId="3" borderId="0" xfId="0" applyFont="1" applyFill="1" applyBorder="1" applyAlignment="1">
      <alignment horizontal="left" vertical="center"/>
    </xf>
    <xf numFmtId="0" fontId="27" fillId="3" borderId="0" xfId="0" applyFont="1" applyFill="1" applyBorder="1" applyAlignment="1">
      <alignment horizontal="left" vertical="center"/>
    </xf>
    <xf numFmtId="0" fontId="30" fillId="3" borderId="0" xfId="0" applyNumberFormat="1" applyFont="1" applyFill="1" applyBorder="1" applyAlignment="1">
      <alignment horizontal="left" vertical="center"/>
    </xf>
    <xf numFmtId="0" fontId="27" fillId="3" borderId="0" xfId="1" applyNumberFormat="1" applyFont="1" applyFill="1" applyBorder="1" applyAlignment="1">
      <alignment horizontal="right" vertical="center"/>
    </xf>
    <xf numFmtId="0" fontId="30" fillId="3" borderId="0" xfId="0" applyNumberFormat="1" applyFont="1" applyFill="1" applyBorder="1" applyAlignment="1">
      <alignment horizontal="center" vertical="center"/>
    </xf>
    <xf numFmtId="0" fontId="20" fillId="3" borderId="0" xfId="0" applyNumberFormat="1" applyFont="1" applyFill="1" applyAlignment="1">
      <alignment horizontal="left" vertical="center"/>
    </xf>
    <xf numFmtId="0" fontId="20" fillId="3" borderId="0" xfId="0" quotePrefix="1" applyNumberFormat="1" applyFont="1" applyFill="1" applyAlignment="1">
      <alignment horizontal="left" vertical="center"/>
    </xf>
    <xf numFmtId="0" fontId="20" fillId="3" borderId="22" xfId="0" applyNumberFormat="1" applyFont="1" applyFill="1" applyBorder="1" applyAlignment="1">
      <alignment horizontal="center" vertical="center"/>
    </xf>
    <xf numFmtId="0" fontId="20" fillId="3" borderId="0" xfId="0" applyNumberFormat="1" applyFont="1" applyFill="1" applyBorder="1" applyAlignment="1" applyProtection="1">
      <alignment horizontal="left"/>
      <protection locked="0"/>
    </xf>
    <xf numFmtId="14" fontId="17" fillId="3" borderId="0" xfId="0" applyNumberFormat="1" applyFont="1" applyFill="1" applyBorder="1" applyAlignment="1">
      <alignment horizontal="right" vertical="center"/>
    </xf>
    <xf numFmtId="0" fontId="17" fillId="3" borderId="0" xfId="0" applyFont="1" applyFill="1" applyBorder="1" applyAlignment="1">
      <alignment horizontal="center" vertical="center"/>
    </xf>
    <xf numFmtId="165" fontId="17" fillId="3" borderId="0" xfId="1" applyNumberFormat="1" applyFont="1" applyFill="1" applyBorder="1" applyAlignment="1">
      <alignment horizontal="right" vertical="center"/>
    </xf>
    <xf numFmtId="14" fontId="17" fillId="3" borderId="0" xfId="0" applyNumberFormat="1" applyFont="1" applyFill="1" applyBorder="1" applyAlignment="1">
      <alignment horizontal="left" vertical="center"/>
    </xf>
    <xf numFmtId="0" fontId="17" fillId="3" borderId="0" xfId="0" applyFont="1" applyFill="1" applyBorder="1" applyAlignment="1">
      <alignment horizontal="right" vertical="center"/>
    </xf>
    <xf numFmtId="166" fontId="21" fillId="3" borderId="0" xfId="0" applyNumberFormat="1" applyFont="1" applyFill="1" applyBorder="1" applyAlignment="1">
      <alignment horizontal="left" vertical="center"/>
    </xf>
    <xf numFmtId="44" fontId="17" fillId="3" borderId="0" xfId="1" applyFont="1" applyFill="1" applyBorder="1" applyAlignment="1">
      <alignment horizontal="left" vertical="center"/>
    </xf>
    <xf numFmtId="165" fontId="32" fillId="3" borderId="0" xfId="1" applyNumberFormat="1" applyFont="1" applyFill="1" applyBorder="1" applyAlignment="1">
      <alignment horizontal="right" vertical="center"/>
    </xf>
    <xf numFmtId="0" fontId="17" fillId="3" borderId="0" xfId="0" quotePrefix="1" applyFont="1" applyFill="1" applyBorder="1" applyAlignment="1">
      <alignment horizontal="left" vertical="center"/>
    </xf>
    <xf numFmtId="0" fontId="20" fillId="3" borderId="0" xfId="0" applyFont="1" applyFill="1" applyBorder="1" applyAlignment="1">
      <alignment horizontal="center" vertical="center"/>
    </xf>
    <xf numFmtId="0" fontId="0" fillId="3" borderId="0" xfId="0" applyNumberFormat="1" applyFill="1"/>
    <xf numFmtId="14" fontId="0" fillId="3" borderId="0" xfId="0" applyNumberFormat="1" applyFill="1"/>
    <xf numFmtId="0" fontId="0" fillId="3" borderId="0" xfId="0" applyFill="1" applyAlignment="1">
      <alignment horizontal="center"/>
    </xf>
    <xf numFmtId="9" fontId="0" fillId="3" borderId="0" xfId="0" applyNumberFormat="1" applyFill="1"/>
    <xf numFmtId="0" fontId="25" fillId="3" borderId="0" xfId="0" applyNumberFormat="1" applyFont="1" applyFill="1" applyBorder="1" applyAlignment="1">
      <alignment horizontal="center" vertical="center"/>
    </xf>
    <xf numFmtId="14" fontId="25" fillId="3" borderId="0" xfId="0" applyNumberFormat="1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left" vertical="center"/>
    </xf>
    <xf numFmtId="0" fontId="45" fillId="3" borderId="0" xfId="0" applyFont="1" applyFill="1"/>
    <xf numFmtId="0" fontId="46" fillId="3" borderId="0" xfId="0" applyFont="1" applyFill="1" applyAlignment="1">
      <alignment horizontal="center"/>
    </xf>
    <xf numFmtId="0" fontId="46" fillId="3" borderId="0" xfId="0" applyFont="1" applyFill="1"/>
    <xf numFmtId="0" fontId="46" fillId="3" borderId="0" xfId="0" applyNumberFormat="1" applyFont="1" applyFill="1"/>
    <xf numFmtId="14" fontId="46" fillId="3" borderId="0" xfId="0" applyNumberFormat="1" applyFont="1" applyFill="1"/>
    <xf numFmtId="9" fontId="46" fillId="3" borderId="0" xfId="0" applyNumberFormat="1" applyFont="1" applyFill="1"/>
    <xf numFmtId="2" fontId="17" fillId="14" borderId="16" xfId="0" applyNumberFormat="1" applyFont="1" applyFill="1" applyBorder="1" applyAlignment="1">
      <alignment horizontal="center" vertical="center"/>
    </xf>
    <xf numFmtId="2" fontId="17" fillId="8" borderId="19" xfId="0" applyNumberFormat="1" applyFont="1" applyFill="1" applyBorder="1" applyAlignment="1">
      <alignment horizontal="center" vertical="center"/>
    </xf>
    <xf numFmtId="10" fontId="22" fillId="14" borderId="34" xfId="2" applyNumberFormat="1" applyFont="1" applyFill="1" applyBorder="1" applyAlignment="1">
      <alignment horizontal="center" vertical="center"/>
    </xf>
    <xf numFmtId="10" fontId="17" fillId="8" borderId="19" xfId="2" applyNumberFormat="1" applyFont="1" applyFill="1" applyBorder="1"/>
    <xf numFmtId="14" fontId="17" fillId="8" borderId="19" xfId="0" applyNumberFormat="1" applyFont="1" applyFill="1" applyBorder="1" applyAlignment="1">
      <alignment horizontal="center" vertical="center"/>
    </xf>
    <xf numFmtId="0" fontId="17" fillId="8" borderId="19" xfId="0" applyFont="1" applyFill="1" applyBorder="1"/>
    <xf numFmtId="14" fontId="17" fillId="16" borderId="0" xfId="0" applyNumberFormat="1" applyFont="1" applyFill="1" applyBorder="1" applyAlignment="1">
      <alignment horizontal="center" vertical="center"/>
    </xf>
    <xf numFmtId="14" fontId="17" fillId="17" borderId="0" xfId="0" applyNumberFormat="1" applyFont="1" applyFill="1" applyBorder="1" applyAlignment="1">
      <alignment horizontal="center" vertical="center"/>
    </xf>
    <xf numFmtId="0" fontId="2" fillId="8" borderId="19" xfId="0" applyFont="1" applyFill="1" applyBorder="1" applyAlignment="1">
      <alignment horizontal="center" vertical="center"/>
    </xf>
    <xf numFmtId="14" fontId="17" fillId="3" borderId="7" xfId="0" applyNumberFormat="1" applyFont="1" applyFill="1" applyBorder="1"/>
    <xf numFmtId="14" fontId="17" fillId="3" borderId="8" xfId="0" applyNumberFormat="1" applyFont="1" applyFill="1" applyBorder="1"/>
    <xf numFmtId="14" fontId="20" fillId="3" borderId="0" xfId="0" applyNumberFormat="1" applyFont="1" applyFill="1" applyBorder="1" applyAlignment="1">
      <alignment horizontal="right" vertical="center"/>
    </xf>
    <xf numFmtId="168" fontId="17" fillId="3" borderId="0" xfId="0" applyNumberFormat="1" applyFont="1" applyFill="1"/>
    <xf numFmtId="165" fontId="17" fillId="0" borderId="0" xfId="0" applyNumberFormat="1" applyFont="1" applyAlignment="1">
      <alignment horizontal="left"/>
    </xf>
    <xf numFmtId="0" fontId="17" fillId="3" borderId="22" xfId="0" applyNumberFormat="1" applyFont="1" applyFill="1" applyBorder="1"/>
    <xf numFmtId="14" fontId="20" fillId="3" borderId="22" xfId="0" applyNumberFormat="1" applyFont="1" applyFill="1" applyBorder="1" applyAlignment="1">
      <alignment horizontal="right" vertical="center"/>
    </xf>
    <xf numFmtId="14" fontId="17" fillId="3" borderId="22" xfId="0" applyNumberFormat="1" applyFont="1" applyFill="1" applyBorder="1" applyAlignment="1">
      <alignment horizontal="right"/>
    </xf>
    <xf numFmtId="14" fontId="17" fillId="3" borderId="22" xfId="0" applyNumberFormat="1" applyFont="1" applyFill="1" applyBorder="1" applyAlignment="1">
      <alignment horizontal="right" vertical="center"/>
    </xf>
    <xf numFmtId="14" fontId="17" fillId="3" borderId="22" xfId="0" applyNumberFormat="1" applyFont="1" applyFill="1" applyBorder="1"/>
    <xf numFmtId="14" fontId="17" fillId="0" borderId="35" xfId="0" applyNumberFormat="1" applyFont="1" applyBorder="1" applyAlignment="1">
      <alignment horizontal="left"/>
    </xf>
    <xf numFmtId="14" fontId="17" fillId="0" borderId="0" xfId="0" applyNumberFormat="1" applyFont="1" applyBorder="1" applyAlignment="1">
      <alignment horizontal="left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" fontId="0" fillId="0" borderId="0" xfId="0" applyNumberFormat="1"/>
    <xf numFmtId="0" fontId="0" fillId="18" borderId="0" xfId="0" applyFill="1"/>
    <xf numFmtId="0" fontId="47" fillId="18" borderId="0" xfId="0" applyFont="1" applyFill="1"/>
    <xf numFmtId="0" fontId="0" fillId="14" borderId="0" xfId="0" applyFill="1"/>
    <xf numFmtId="0" fontId="50" fillId="18" borderId="0" xfId="0" applyFont="1" applyFill="1"/>
    <xf numFmtId="165" fontId="0" fillId="0" borderId="0" xfId="0" applyNumberFormat="1"/>
    <xf numFmtId="0" fontId="52" fillId="18" borderId="0" xfId="0" applyFont="1" applyFill="1"/>
    <xf numFmtId="0" fontId="48" fillId="18" borderId="0" xfId="0" applyFont="1" applyFill="1" applyAlignment="1">
      <alignment vertical="center"/>
    </xf>
    <xf numFmtId="0" fontId="51" fillId="18" borderId="0" xfId="0" applyFont="1" applyFill="1" applyAlignment="1">
      <alignment vertical="center"/>
    </xf>
    <xf numFmtId="0" fontId="47" fillId="18" borderId="0" xfId="0" applyFont="1" applyFill="1" applyAlignment="1"/>
    <xf numFmtId="0" fontId="47" fillId="18" borderId="36" xfId="0" applyFont="1" applyFill="1" applyBorder="1"/>
    <xf numFmtId="0" fontId="47" fillId="18" borderId="36" xfId="0" applyFont="1" applyFill="1" applyBorder="1" applyAlignment="1">
      <alignment horizontal="left"/>
    </xf>
    <xf numFmtId="0" fontId="47" fillId="18" borderId="36" xfId="0" applyNumberFormat="1" applyFont="1" applyFill="1" applyBorder="1"/>
    <xf numFmtId="165" fontId="47" fillId="18" borderId="36" xfId="0" applyNumberFormat="1" applyFont="1" applyFill="1" applyBorder="1"/>
    <xf numFmtId="169" fontId="47" fillId="18" borderId="36" xfId="0" applyNumberFormat="1" applyFont="1" applyFill="1" applyBorder="1"/>
    <xf numFmtId="1" fontId="47" fillId="18" borderId="36" xfId="0" applyNumberFormat="1" applyFont="1" applyFill="1" applyBorder="1"/>
    <xf numFmtId="0" fontId="53" fillId="18" borderId="36" xfId="0" applyFont="1" applyFill="1" applyBorder="1"/>
    <xf numFmtId="0" fontId="53" fillId="18" borderId="36" xfId="0" applyNumberFormat="1" applyFont="1" applyFill="1" applyBorder="1"/>
    <xf numFmtId="0" fontId="54" fillId="18" borderId="0" xfId="0" applyFont="1" applyFill="1"/>
    <xf numFmtId="0" fontId="53" fillId="18" borderId="36" xfId="0" applyFont="1" applyFill="1" applyBorder="1" applyAlignment="1">
      <alignment horizontal="left"/>
    </xf>
    <xf numFmtId="0" fontId="47" fillId="18" borderId="0" xfId="0" applyFont="1" applyFill="1" applyBorder="1" applyAlignment="1">
      <alignment horizontal="left"/>
    </xf>
    <xf numFmtId="1" fontId="47" fillId="18" borderId="0" xfId="0" applyNumberFormat="1" applyFont="1" applyFill="1" applyBorder="1"/>
    <xf numFmtId="165" fontId="47" fillId="18" borderId="0" xfId="0" applyNumberFormat="1" applyFont="1" applyFill="1" applyBorder="1"/>
    <xf numFmtId="169" fontId="47" fillId="18" borderId="0" xfId="0" applyNumberFormat="1" applyFont="1" applyFill="1" applyBorder="1"/>
    <xf numFmtId="166" fontId="18" fillId="3" borderId="0" xfId="0" applyNumberFormat="1" applyFont="1" applyFill="1" applyBorder="1" applyAlignment="1">
      <alignment horizontal="left" vertical="top"/>
    </xf>
    <xf numFmtId="0" fontId="17" fillId="3" borderId="0" xfId="0" applyFont="1" applyFill="1" applyBorder="1" applyAlignment="1">
      <alignment horizontal="center"/>
    </xf>
    <xf numFmtId="22" fontId="17" fillId="3" borderId="0" xfId="0" applyNumberFormat="1" applyFont="1" applyFill="1" applyAlignment="1">
      <alignment horizontal="center"/>
    </xf>
    <xf numFmtId="0" fontId="17" fillId="3" borderId="0" xfId="0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/>
    </xf>
    <xf numFmtId="0" fontId="37" fillId="3" borderId="0" xfId="0" applyFont="1" applyFill="1" applyBorder="1" applyAlignment="1">
      <alignment horizontal="center" vertical="center"/>
    </xf>
    <xf numFmtId="0" fontId="37" fillId="3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 applyProtection="1">
      <alignment horizontal="left"/>
    </xf>
    <xf numFmtId="0" fontId="20" fillId="3" borderId="12" xfId="0" applyFont="1" applyFill="1" applyBorder="1" applyAlignment="1" applyProtection="1">
      <alignment horizontal="center" vertical="center"/>
    </xf>
    <xf numFmtId="0" fontId="20" fillId="3" borderId="15" xfId="0" applyFont="1" applyFill="1" applyBorder="1" applyAlignment="1" applyProtection="1">
      <alignment horizontal="center" vertical="center"/>
    </xf>
    <xf numFmtId="14" fontId="17" fillId="3" borderId="0" xfId="0" applyNumberFormat="1" applyFont="1" applyFill="1" applyBorder="1" applyAlignment="1" applyProtection="1">
      <alignment horizontal="left" vertical="center"/>
    </xf>
    <xf numFmtId="14" fontId="17" fillId="3" borderId="0" xfId="0" applyNumberFormat="1" applyFont="1" applyFill="1" applyBorder="1" applyAlignment="1" applyProtection="1">
      <alignment horizontal="center" vertical="center"/>
    </xf>
    <xf numFmtId="0" fontId="20" fillId="3" borderId="12" xfId="0" applyFont="1" applyFill="1" applyBorder="1" applyAlignment="1" applyProtection="1">
      <alignment horizontal="center"/>
    </xf>
    <xf numFmtId="0" fontId="20" fillId="3" borderId="20" xfId="0" applyFont="1" applyFill="1" applyBorder="1" applyAlignment="1" applyProtection="1">
      <alignment horizontal="center"/>
    </xf>
    <xf numFmtId="0" fontId="20" fillId="3" borderId="15" xfId="0" applyFont="1" applyFill="1" applyBorder="1" applyAlignment="1" applyProtection="1">
      <alignment horizontal="center"/>
    </xf>
    <xf numFmtId="0" fontId="20" fillId="3" borderId="12" xfId="0" applyNumberFormat="1" applyFont="1" applyFill="1" applyBorder="1" applyAlignment="1" applyProtection="1">
      <alignment horizontal="center"/>
    </xf>
    <xf numFmtId="0" fontId="20" fillId="3" borderId="20" xfId="0" applyNumberFormat="1" applyFont="1" applyFill="1" applyBorder="1" applyAlignment="1" applyProtection="1">
      <alignment horizontal="center"/>
    </xf>
    <xf numFmtId="0" fontId="20" fillId="3" borderId="15" xfId="0" applyNumberFormat="1" applyFont="1" applyFill="1" applyBorder="1" applyAlignment="1" applyProtection="1">
      <alignment horizontal="center"/>
    </xf>
    <xf numFmtId="0" fontId="20" fillId="3" borderId="12" xfId="0" applyFont="1" applyFill="1" applyBorder="1" applyAlignment="1" applyProtection="1"/>
    <xf numFmtId="0" fontId="20" fillId="3" borderId="15" xfId="0" applyFont="1" applyFill="1" applyBorder="1" applyAlignment="1" applyProtection="1"/>
    <xf numFmtId="0" fontId="20" fillId="3" borderId="12" xfId="0" applyNumberFormat="1" applyFont="1" applyFill="1" applyBorder="1" applyAlignment="1" applyProtection="1">
      <alignment horizontal="left"/>
    </xf>
    <xf numFmtId="0" fontId="20" fillId="3" borderId="15" xfId="0" applyNumberFormat="1" applyFont="1" applyFill="1" applyBorder="1" applyAlignment="1" applyProtection="1">
      <alignment horizontal="left"/>
    </xf>
    <xf numFmtId="0" fontId="20" fillId="3" borderId="20" xfId="0" applyNumberFormat="1" applyFont="1" applyFill="1" applyBorder="1" applyAlignment="1" applyProtection="1">
      <alignment horizontal="left"/>
    </xf>
    <xf numFmtId="0" fontId="20" fillId="3" borderId="12" xfId="0" applyNumberFormat="1" applyFont="1" applyFill="1" applyBorder="1" applyAlignment="1" applyProtection="1"/>
    <xf numFmtId="0" fontId="20" fillId="3" borderId="20" xfId="0" applyNumberFormat="1" applyFont="1" applyFill="1" applyBorder="1" applyAlignment="1" applyProtection="1"/>
    <xf numFmtId="0" fontId="20" fillId="3" borderId="15" xfId="0" applyNumberFormat="1" applyFont="1" applyFill="1" applyBorder="1" applyAlignment="1" applyProtection="1"/>
    <xf numFmtId="165" fontId="20" fillId="3" borderId="12" xfId="0" applyNumberFormat="1" applyFont="1" applyFill="1" applyBorder="1" applyAlignment="1" applyProtection="1"/>
    <xf numFmtId="165" fontId="20" fillId="3" borderId="20" xfId="0" applyNumberFormat="1" applyFont="1" applyFill="1" applyBorder="1" applyAlignment="1" applyProtection="1"/>
    <xf numFmtId="165" fontId="20" fillId="3" borderId="15" xfId="0" applyNumberFormat="1" applyFont="1" applyFill="1" applyBorder="1" applyAlignment="1" applyProtection="1"/>
    <xf numFmtId="9" fontId="20" fillId="3" borderId="12" xfId="2" applyFont="1" applyFill="1" applyBorder="1" applyAlignment="1" applyProtection="1"/>
    <xf numFmtId="9" fontId="20" fillId="3" borderId="15" xfId="2" applyFont="1" applyFill="1" applyBorder="1" applyAlignment="1" applyProtection="1"/>
    <xf numFmtId="165" fontId="20" fillId="3" borderId="12" xfId="0" applyNumberFormat="1" applyFont="1" applyFill="1" applyBorder="1" applyAlignment="1" applyProtection="1">
      <alignment horizontal="left"/>
    </xf>
    <xf numFmtId="165" fontId="20" fillId="3" borderId="20" xfId="0" applyNumberFormat="1" applyFont="1" applyFill="1" applyBorder="1" applyAlignment="1" applyProtection="1">
      <alignment horizontal="left"/>
    </xf>
    <xf numFmtId="165" fontId="20" fillId="3" borderId="15" xfId="0" applyNumberFormat="1" applyFont="1" applyFill="1" applyBorder="1" applyAlignment="1" applyProtection="1">
      <alignment horizontal="left"/>
    </xf>
    <xf numFmtId="0" fontId="20" fillId="8" borderId="12" xfId="0" applyNumberFormat="1" applyFont="1" applyFill="1" applyBorder="1" applyAlignment="1" applyProtection="1">
      <alignment horizontal="left"/>
      <protection locked="0"/>
    </xf>
    <xf numFmtId="0" fontId="20" fillId="8" borderId="15" xfId="0" applyNumberFormat="1" applyFont="1" applyFill="1" applyBorder="1" applyAlignment="1" applyProtection="1">
      <alignment horizontal="left"/>
      <protection locked="0"/>
    </xf>
    <xf numFmtId="0" fontId="20" fillId="3" borderId="12" xfId="0" applyFont="1" applyFill="1" applyBorder="1" applyAlignment="1" applyProtection="1">
      <alignment horizontal="left"/>
    </xf>
    <xf numFmtId="0" fontId="20" fillId="3" borderId="15" xfId="0" applyFont="1" applyFill="1" applyBorder="1" applyAlignment="1" applyProtection="1">
      <alignment horizontal="left"/>
    </xf>
    <xf numFmtId="14" fontId="20" fillId="3" borderId="12" xfId="0" applyNumberFormat="1" applyFont="1" applyFill="1" applyBorder="1" applyAlignment="1" applyProtection="1">
      <alignment horizontal="left"/>
    </xf>
    <xf numFmtId="14" fontId="20" fillId="3" borderId="20" xfId="0" applyNumberFormat="1" applyFont="1" applyFill="1" applyBorder="1" applyAlignment="1" applyProtection="1">
      <alignment horizontal="left"/>
    </xf>
    <xf numFmtId="14" fontId="20" fillId="3" borderId="15" xfId="0" applyNumberFormat="1" applyFont="1" applyFill="1" applyBorder="1" applyAlignment="1" applyProtection="1">
      <alignment horizontal="left"/>
    </xf>
    <xf numFmtId="0" fontId="20" fillId="8" borderId="12" xfId="0" applyNumberFormat="1" applyFont="1" applyFill="1" applyBorder="1" applyAlignment="1" applyProtection="1">
      <alignment horizontal="center"/>
      <protection locked="0"/>
    </xf>
    <xf numFmtId="0" fontId="20" fillId="8" borderId="20" xfId="0" applyNumberFormat="1" applyFont="1" applyFill="1" applyBorder="1" applyAlignment="1" applyProtection="1">
      <alignment horizontal="center"/>
      <protection locked="0"/>
    </xf>
    <xf numFmtId="0" fontId="20" fillId="8" borderId="15" xfId="0" applyNumberFormat="1" applyFont="1" applyFill="1" applyBorder="1" applyAlignment="1" applyProtection="1">
      <alignment horizontal="center"/>
      <protection locked="0"/>
    </xf>
    <xf numFmtId="0" fontId="20" fillId="3" borderId="20" xfId="0" applyFont="1" applyFill="1" applyBorder="1" applyAlignment="1" applyProtection="1">
      <alignment horizontal="left"/>
    </xf>
    <xf numFmtId="14" fontId="20" fillId="8" borderId="12" xfId="0" applyNumberFormat="1" applyFont="1" applyFill="1" applyBorder="1" applyAlignment="1" applyProtection="1">
      <alignment horizontal="center"/>
      <protection locked="0"/>
    </xf>
    <xf numFmtId="14" fontId="20" fillId="8" borderId="20" xfId="0" applyNumberFormat="1" applyFont="1" applyFill="1" applyBorder="1" applyAlignment="1" applyProtection="1">
      <alignment horizontal="center"/>
      <protection locked="0"/>
    </xf>
    <xf numFmtId="14" fontId="20" fillId="8" borderId="15" xfId="0" applyNumberFormat="1" applyFont="1" applyFill="1" applyBorder="1" applyAlignment="1" applyProtection="1">
      <alignment horizontal="center"/>
      <protection locked="0"/>
    </xf>
    <xf numFmtId="165" fontId="20" fillId="8" borderId="12" xfId="0" applyNumberFormat="1" applyFont="1" applyFill="1" applyBorder="1" applyAlignment="1" applyProtection="1">
      <alignment horizontal="center"/>
      <protection locked="0"/>
    </xf>
    <xf numFmtId="165" fontId="20" fillId="8" borderId="20" xfId="0" applyNumberFormat="1" applyFont="1" applyFill="1" applyBorder="1" applyAlignment="1" applyProtection="1">
      <alignment horizontal="center"/>
      <protection locked="0"/>
    </xf>
    <xf numFmtId="165" fontId="20" fillId="8" borderId="15" xfId="0" applyNumberFormat="1" applyFont="1" applyFill="1" applyBorder="1" applyAlignment="1" applyProtection="1">
      <alignment horizontal="center"/>
      <protection locked="0"/>
    </xf>
    <xf numFmtId="14" fontId="20" fillId="3" borderId="12" xfId="0" applyNumberFormat="1" applyFont="1" applyFill="1" applyBorder="1" applyAlignment="1" applyProtection="1"/>
    <xf numFmtId="14" fontId="20" fillId="3" borderId="15" xfId="0" applyNumberFormat="1" applyFont="1" applyFill="1" applyBorder="1" applyAlignment="1" applyProtection="1"/>
    <xf numFmtId="0" fontId="20" fillId="8" borderId="12" xfId="0" applyFont="1" applyFill="1" applyBorder="1" applyAlignment="1" applyProtection="1">
      <alignment horizontal="left"/>
      <protection locked="0"/>
    </xf>
    <xf numFmtId="0" fontId="20" fillId="8" borderId="20" xfId="0" applyFont="1" applyFill="1" applyBorder="1" applyAlignment="1" applyProtection="1">
      <alignment horizontal="left"/>
      <protection locked="0"/>
    </xf>
    <xf numFmtId="0" fontId="20" fillId="8" borderId="15" xfId="0" applyFont="1" applyFill="1" applyBorder="1" applyAlignment="1" applyProtection="1">
      <alignment horizontal="left"/>
      <protection locked="0"/>
    </xf>
    <xf numFmtId="0" fontId="20" fillId="8" borderId="12" xfId="0" applyNumberFormat="1" applyFont="1" applyFill="1" applyBorder="1" applyAlignment="1" applyProtection="1">
      <protection locked="0"/>
    </xf>
    <xf numFmtId="0" fontId="20" fillId="8" borderId="20" xfId="0" applyNumberFormat="1" applyFont="1" applyFill="1" applyBorder="1" applyAlignment="1" applyProtection="1">
      <protection locked="0"/>
    </xf>
    <xf numFmtId="0" fontId="20" fillId="8" borderId="15" xfId="0" applyNumberFormat="1" applyFont="1" applyFill="1" applyBorder="1" applyAlignment="1" applyProtection="1">
      <protection locked="0"/>
    </xf>
    <xf numFmtId="9" fontId="20" fillId="8" borderId="12" xfId="2" applyFont="1" applyFill="1" applyBorder="1" applyAlignment="1" applyProtection="1">
      <protection locked="0"/>
    </xf>
    <xf numFmtId="9" fontId="20" fillId="8" borderId="15" xfId="2" applyFont="1" applyFill="1" applyBorder="1" applyAlignment="1" applyProtection="1">
      <protection locked="0"/>
    </xf>
    <xf numFmtId="165" fontId="20" fillId="8" borderId="12" xfId="0" applyNumberFormat="1" applyFont="1" applyFill="1" applyBorder="1" applyAlignment="1" applyProtection="1">
      <alignment horizontal="left"/>
      <protection locked="0"/>
    </xf>
    <xf numFmtId="165" fontId="20" fillId="8" borderId="20" xfId="0" applyNumberFormat="1" applyFont="1" applyFill="1" applyBorder="1" applyAlignment="1" applyProtection="1">
      <alignment horizontal="left"/>
      <protection locked="0"/>
    </xf>
    <xf numFmtId="165" fontId="20" fillId="8" borderId="15" xfId="0" applyNumberFormat="1" applyFont="1" applyFill="1" applyBorder="1" applyAlignment="1" applyProtection="1">
      <alignment horizontal="left"/>
      <protection locked="0"/>
    </xf>
    <xf numFmtId="165" fontId="20" fillId="3" borderId="12" xfId="0" applyNumberFormat="1" applyFont="1" applyFill="1" applyBorder="1" applyAlignment="1" applyProtection="1">
      <alignment horizontal="center"/>
    </xf>
    <xf numFmtId="165" fontId="20" fillId="3" borderId="20" xfId="0" applyNumberFormat="1" applyFont="1" applyFill="1" applyBorder="1" applyAlignment="1" applyProtection="1">
      <alignment horizontal="center"/>
    </xf>
    <xf numFmtId="165" fontId="20" fillId="3" borderId="15" xfId="0" applyNumberFormat="1" applyFont="1" applyFill="1" applyBorder="1" applyAlignment="1" applyProtection="1">
      <alignment horizontal="center"/>
    </xf>
    <xf numFmtId="0" fontId="20" fillId="8" borderId="12" xfId="0" applyFont="1" applyFill="1" applyBorder="1" applyProtection="1">
      <protection locked="0"/>
    </xf>
    <xf numFmtId="0" fontId="20" fillId="8" borderId="20" xfId="0" applyFont="1" applyFill="1" applyBorder="1" applyProtection="1">
      <protection locked="0"/>
    </xf>
    <xf numFmtId="0" fontId="20" fillId="8" borderId="15" xfId="0" applyFont="1" applyFill="1" applyBorder="1" applyProtection="1">
      <protection locked="0"/>
    </xf>
    <xf numFmtId="0" fontId="20" fillId="8" borderId="20" xfId="0" applyNumberFormat="1" applyFont="1" applyFill="1" applyBorder="1" applyAlignment="1" applyProtection="1">
      <alignment horizontal="left"/>
      <protection locked="0"/>
    </xf>
    <xf numFmtId="14" fontId="20" fillId="8" borderId="12" xfId="0" applyNumberFormat="1" applyFont="1" applyFill="1" applyBorder="1" applyAlignment="1" applyProtection="1">
      <alignment horizontal="left"/>
      <protection locked="0"/>
    </xf>
    <xf numFmtId="14" fontId="20" fillId="8" borderId="20" xfId="0" applyNumberFormat="1" applyFont="1" applyFill="1" applyBorder="1" applyAlignment="1" applyProtection="1">
      <alignment horizontal="left"/>
      <protection locked="0"/>
    </xf>
    <xf numFmtId="14" fontId="20" fillId="8" borderId="15" xfId="0" applyNumberFormat="1" applyFont="1" applyFill="1" applyBorder="1" applyAlignment="1" applyProtection="1">
      <alignment horizontal="left"/>
      <protection locked="0"/>
    </xf>
    <xf numFmtId="14" fontId="20" fillId="3" borderId="12" xfId="0" applyNumberFormat="1" applyFont="1" applyFill="1" applyBorder="1" applyAlignment="1" applyProtection="1">
      <alignment horizontal="center"/>
    </xf>
    <xf numFmtId="14" fontId="20" fillId="3" borderId="20" xfId="0" applyNumberFormat="1" applyFont="1" applyFill="1" applyBorder="1" applyAlignment="1" applyProtection="1">
      <alignment horizontal="center"/>
    </xf>
    <xf numFmtId="14" fontId="20" fillId="3" borderId="15" xfId="0" applyNumberFormat="1" applyFont="1" applyFill="1" applyBorder="1" applyAlignment="1" applyProtection="1">
      <alignment horizontal="center"/>
    </xf>
    <xf numFmtId="14" fontId="20" fillId="3" borderId="12" xfId="0" applyNumberFormat="1" applyFont="1" applyFill="1" applyBorder="1" applyAlignment="1" applyProtection="1">
      <protection locked="0"/>
    </xf>
    <xf numFmtId="14" fontId="20" fillId="3" borderId="15" xfId="0" applyNumberFormat="1" applyFont="1" applyFill="1" applyBorder="1" applyAlignment="1" applyProtection="1">
      <protection locked="0"/>
    </xf>
    <xf numFmtId="0" fontId="17" fillId="8" borderId="12" xfId="0" applyNumberFormat="1" applyFont="1" applyFill="1" applyBorder="1" applyAlignment="1" applyProtection="1">
      <protection locked="0"/>
    </xf>
    <xf numFmtId="0" fontId="17" fillId="8" borderId="20" xfId="0" applyNumberFormat="1" applyFont="1" applyFill="1" applyBorder="1" applyAlignment="1" applyProtection="1">
      <protection locked="0"/>
    </xf>
    <xf numFmtId="0" fontId="17" fillId="8" borderId="15" xfId="0" applyNumberFormat="1" applyFont="1" applyFill="1" applyBorder="1" applyAlignment="1" applyProtection="1">
      <protection locked="0"/>
    </xf>
    <xf numFmtId="0" fontId="17" fillId="8" borderId="12" xfId="0" applyNumberFormat="1" applyFont="1" applyFill="1" applyBorder="1" applyAlignment="1" applyProtection="1">
      <alignment horizontal="left"/>
      <protection locked="0"/>
    </xf>
    <xf numFmtId="0" fontId="17" fillId="8" borderId="15" xfId="0" applyNumberFormat="1" applyFont="1" applyFill="1" applyBorder="1" applyAlignment="1" applyProtection="1">
      <alignment horizontal="left"/>
      <protection locked="0"/>
    </xf>
    <xf numFmtId="0" fontId="20" fillId="8" borderId="12" xfId="0" applyFont="1" applyFill="1" applyBorder="1" applyAlignment="1" applyProtection="1">
      <alignment horizontal="center"/>
      <protection locked="0"/>
    </xf>
    <xf numFmtId="0" fontId="20" fillId="8" borderId="20" xfId="0" applyFont="1" applyFill="1" applyBorder="1" applyAlignment="1" applyProtection="1">
      <alignment horizontal="center"/>
      <protection locked="0"/>
    </xf>
    <xf numFmtId="0" fontId="20" fillId="8" borderId="15" xfId="0" applyFont="1" applyFill="1" applyBorder="1" applyAlignment="1" applyProtection="1">
      <alignment horizontal="center"/>
      <protection locked="0"/>
    </xf>
    <xf numFmtId="14" fontId="17" fillId="8" borderId="12" xfId="0" applyNumberFormat="1" applyFont="1" applyFill="1" applyBorder="1" applyAlignment="1" applyProtection="1">
      <alignment horizontal="left"/>
      <protection locked="0"/>
    </xf>
    <xf numFmtId="14" fontId="17" fillId="8" borderId="20" xfId="0" applyNumberFormat="1" applyFont="1" applyFill="1" applyBorder="1" applyAlignment="1" applyProtection="1">
      <alignment horizontal="left"/>
      <protection locked="0"/>
    </xf>
    <xf numFmtId="14" fontId="17" fillId="8" borderId="15" xfId="0" applyNumberFormat="1" applyFont="1" applyFill="1" applyBorder="1" applyAlignment="1" applyProtection="1">
      <alignment horizontal="left"/>
      <protection locked="0"/>
    </xf>
    <xf numFmtId="0" fontId="17" fillId="8" borderId="20" xfId="0" applyNumberFormat="1" applyFont="1" applyFill="1" applyBorder="1" applyAlignment="1" applyProtection="1">
      <alignment horizontal="left"/>
      <protection locked="0"/>
    </xf>
    <xf numFmtId="0" fontId="20" fillId="3" borderId="0" xfId="0" applyFont="1" applyFill="1" applyBorder="1" applyAlignment="1" applyProtection="1">
      <alignment horizontal="center" vertical="center"/>
    </xf>
    <xf numFmtId="0" fontId="17" fillId="3" borderId="12" xfId="0" applyNumberFormat="1" applyFont="1" applyFill="1" applyBorder="1" applyAlignment="1" applyProtection="1">
      <alignment horizontal="left"/>
      <protection locked="0"/>
    </xf>
    <xf numFmtId="0" fontId="17" fillId="3" borderId="15" xfId="0" applyNumberFormat="1" applyFont="1" applyFill="1" applyBorder="1" applyAlignment="1" applyProtection="1">
      <alignment horizontal="left"/>
      <protection locked="0"/>
    </xf>
    <xf numFmtId="14" fontId="17" fillId="3" borderId="12" xfId="0" applyNumberFormat="1" applyFont="1" applyFill="1" applyBorder="1" applyAlignment="1" applyProtection="1"/>
    <xf numFmtId="14" fontId="17" fillId="3" borderId="15" xfId="0" applyNumberFormat="1" applyFont="1" applyFill="1" applyBorder="1" applyAlignment="1" applyProtection="1"/>
    <xf numFmtId="14" fontId="17" fillId="3" borderId="12" xfId="0" applyNumberFormat="1" applyFont="1" applyFill="1" applyBorder="1" applyAlignment="1" applyProtection="1">
      <alignment horizontal="left"/>
    </xf>
    <xf numFmtId="14" fontId="17" fillId="3" borderId="15" xfId="0" applyNumberFormat="1" applyFont="1" applyFill="1" applyBorder="1" applyAlignment="1" applyProtection="1">
      <alignment horizontal="left"/>
    </xf>
    <xf numFmtId="0" fontId="17" fillId="3" borderId="12" xfId="0" applyNumberFormat="1" applyFont="1" applyFill="1" applyBorder="1" applyAlignment="1" applyProtection="1">
      <alignment horizontal="left"/>
    </xf>
    <xf numFmtId="0" fontId="17" fillId="3" borderId="20" xfId="0" applyNumberFormat="1" applyFont="1" applyFill="1" applyBorder="1" applyAlignment="1" applyProtection="1">
      <alignment horizontal="left"/>
    </xf>
    <xf numFmtId="0" fontId="17" fillId="3" borderId="15" xfId="0" applyNumberFormat="1" applyFont="1" applyFill="1" applyBorder="1" applyAlignment="1" applyProtection="1">
      <alignment horizontal="left"/>
    </xf>
    <xf numFmtId="165" fontId="17" fillId="3" borderId="12" xfId="0" applyNumberFormat="1" applyFont="1" applyFill="1" applyBorder="1" applyAlignment="1" applyProtection="1">
      <alignment horizontal="left"/>
    </xf>
    <xf numFmtId="165" fontId="17" fillId="3" borderId="20" xfId="0" applyNumberFormat="1" applyFont="1" applyFill="1" applyBorder="1" applyAlignment="1" applyProtection="1">
      <alignment horizontal="left"/>
    </xf>
    <xf numFmtId="165" fontId="17" fillId="3" borderId="15" xfId="0" applyNumberFormat="1" applyFont="1" applyFill="1" applyBorder="1" applyAlignment="1" applyProtection="1">
      <alignment horizontal="left"/>
    </xf>
    <xf numFmtId="165" fontId="17" fillId="3" borderId="12" xfId="0" applyNumberFormat="1" applyFont="1" applyFill="1" applyBorder="1" applyAlignment="1" applyProtection="1"/>
    <xf numFmtId="165" fontId="17" fillId="3" borderId="20" xfId="0" applyNumberFormat="1" applyFont="1" applyFill="1" applyBorder="1" applyAlignment="1" applyProtection="1"/>
    <xf numFmtId="165" fontId="17" fillId="3" borderId="15" xfId="0" applyNumberFormat="1" applyFont="1" applyFill="1" applyBorder="1" applyAlignment="1" applyProtection="1"/>
    <xf numFmtId="0" fontId="17" fillId="3" borderId="12" xfId="0" applyFont="1" applyFill="1" applyBorder="1" applyAlignment="1" applyProtection="1">
      <alignment horizontal="left"/>
    </xf>
    <xf numFmtId="0" fontId="17" fillId="3" borderId="20" xfId="0" applyFont="1" applyFill="1" applyBorder="1" applyAlignment="1" applyProtection="1">
      <alignment horizontal="left"/>
    </xf>
    <xf numFmtId="0" fontId="17" fillId="3" borderId="15" xfId="0" applyFont="1" applyFill="1" applyBorder="1" applyAlignment="1" applyProtection="1">
      <alignment horizontal="left"/>
    </xf>
    <xf numFmtId="0" fontId="17" fillId="3" borderId="12" xfId="0" applyNumberFormat="1" applyFont="1" applyFill="1" applyBorder="1" applyAlignment="1" applyProtection="1">
      <alignment horizontal="center"/>
    </xf>
    <xf numFmtId="0" fontId="17" fillId="3" borderId="20" xfId="0" applyNumberFormat="1" applyFont="1" applyFill="1" applyBorder="1" applyAlignment="1" applyProtection="1">
      <alignment horizontal="center"/>
    </xf>
    <xf numFmtId="0" fontId="17" fillId="3" borderId="15" xfId="0" applyNumberFormat="1" applyFont="1" applyFill="1" applyBorder="1" applyAlignment="1" applyProtection="1">
      <alignment horizontal="center"/>
    </xf>
    <xf numFmtId="0" fontId="17" fillId="3" borderId="12" xfId="0" applyFont="1" applyFill="1" applyBorder="1" applyAlignment="1" applyProtection="1">
      <alignment horizontal="center"/>
    </xf>
    <xf numFmtId="0" fontId="17" fillId="3" borderId="20" xfId="0" applyFont="1" applyFill="1" applyBorder="1" applyAlignment="1" applyProtection="1">
      <alignment horizontal="center"/>
    </xf>
    <xf numFmtId="0" fontId="17" fillId="3" borderId="15" xfId="0" applyFont="1" applyFill="1" applyBorder="1" applyAlignment="1" applyProtection="1">
      <alignment horizontal="center"/>
    </xf>
    <xf numFmtId="0" fontId="17" fillId="3" borderId="0" xfId="0" applyFont="1" applyFill="1" applyBorder="1" applyAlignment="1" applyProtection="1">
      <alignment horizontal="left"/>
    </xf>
    <xf numFmtId="0" fontId="17" fillId="8" borderId="10" xfId="0" applyFont="1" applyFill="1" applyBorder="1" applyAlignment="1" applyProtection="1">
      <alignment horizontal="center" vertical="center"/>
      <protection locked="0"/>
    </xf>
    <xf numFmtId="0" fontId="17" fillId="8" borderId="9" xfId="0" applyFont="1" applyFill="1" applyBorder="1" applyAlignment="1" applyProtection="1">
      <alignment horizontal="center" vertical="center"/>
      <protection locked="0"/>
    </xf>
    <xf numFmtId="0" fontId="17" fillId="3" borderId="12" xfId="0" applyNumberFormat="1" applyFont="1" applyFill="1" applyBorder="1" applyAlignment="1" applyProtection="1"/>
    <xf numFmtId="0" fontId="17" fillId="3" borderId="20" xfId="0" applyNumberFormat="1" applyFont="1" applyFill="1" applyBorder="1" applyAlignment="1" applyProtection="1"/>
    <xf numFmtId="0" fontId="17" fillId="3" borderId="15" xfId="0" applyNumberFormat="1" applyFont="1" applyFill="1" applyBorder="1" applyAlignment="1" applyProtection="1"/>
    <xf numFmtId="14" fontId="17" fillId="3" borderId="20" xfId="0" applyNumberFormat="1" applyFont="1" applyFill="1" applyBorder="1" applyAlignment="1" applyProtection="1">
      <alignment horizontal="left"/>
    </xf>
    <xf numFmtId="165" fontId="17" fillId="3" borderId="12" xfId="0" applyNumberFormat="1" applyFont="1" applyFill="1" applyBorder="1" applyAlignment="1" applyProtection="1">
      <alignment horizontal="center"/>
    </xf>
    <xf numFmtId="165" fontId="17" fillId="3" borderId="20" xfId="0" applyNumberFormat="1" applyFont="1" applyFill="1" applyBorder="1" applyAlignment="1" applyProtection="1">
      <alignment horizontal="center"/>
    </xf>
    <xf numFmtId="165" fontId="17" fillId="3" borderId="15" xfId="0" applyNumberFormat="1" applyFont="1" applyFill="1" applyBorder="1" applyAlignment="1" applyProtection="1">
      <alignment horizontal="center"/>
    </xf>
    <xf numFmtId="9" fontId="17" fillId="3" borderId="12" xfId="2" applyFont="1" applyFill="1" applyBorder="1" applyAlignment="1" applyProtection="1"/>
    <xf numFmtId="9" fontId="17" fillId="3" borderId="15" xfId="2" applyFont="1" applyFill="1" applyBorder="1" applyAlignment="1" applyProtection="1"/>
    <xf numFmtId="0" fontId="2" fillId="3" borderId="0" xfId="0" applyFont="1" applyFill="1" applyBorder="1" applyAlignment="1"/>
    <xf numFmtId="0" fontId="2" fillId="3" borderId="0" xfId="0" applyFont="1" applyFill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0" xfId="0" applyFont="1" applyFill="1" applyBorder="1" applyAlignment="1"/>
    <xf numFmtId="0" fontId="2" fillId="0" borderId="0" xfId="0" applyFont="1" applyBorder="1" applyAlignment="1"/>
    <xf numFmtId="0" fontId="5" fillId="3" borderId="13" xfId="0" applyFont="1" applyFill="1" applyBorder="1" applyAlignment="1">
      <alignment horizontal="left" vertical="center"/>
    </xf>
    <xf numFmtId="0" fontId="5" fillId="3" borderId="6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right"/>
    </xf>
    <xf numFmtId="0" fontId="2" fillId="2" borderId="0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left" vertical="center" wrapText="1"/>
    </xf>
    <xf numFmtId="0" fontId="5" fillId="3" borderId="7" xfId="0" applyFont="1" applyFill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165" fontId="2" fillId="0" borderId="0" xfId="1" applyNumberFormat="1" applyFont="1" applyBorder="1" applyAlignment="1">
      <alignment horizontal="center"/>
    </xf>
    <xf numFmtId="0" fontId="16" fillId="3" borderId="13" xfId="0" applyFont="1" applyFill="1" applyBorder="1" applyAlignment="1">
      <alignment horizontal="left" vertical="center" wrapText="1"/>
    </xf>
    <xf numFmtId="0" fontId="16" fillId="3" borderId="7" xfId="0" applyFont="1" applyFill="1" applyBorder="1" applyAlignment="1">
      <alignment horizontal="left" vertical="center" wrapText="1"/>
    </xf>
    <xf numFmtId="14" fontId="2" fillId="0" borderId="0" xfId="0" applyNumberFormat="1" applyFont="1" applyBorder="1" applyAlignment="1">
      <alignment horizontal="center"/>
    </xf>
    <xf numFmtId="0" fontId="9" fillId="0" borderId="0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wrapText="1"/>
    </xf>
    <xf numFmtId="165" fontId="2" fillId="0" borderId="0" xfId="0" applyNumberFormat="1" applyFont="1" applyBorder="1" applyAlignment="1">
      <alignment horizontal="center"/>
    </xf>
    <xf numFmtId="0" fontId="5" fillId="3" borderId="1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left" vertical="center" wrapText="1"/>
    </xf>
    <xf numFmtId="14" fontId="5" fillId="3" borderId="13" xfId="0" applyNumberFormat="1" applyFont="1" applyFill="1" applyBorder="1" applyAlignment="1">
      <alignment horizontal="left" vertical="center" wrapText="1"/>
    </xf>
    <xf numFmtId="14" fontId="5" fillId="3" borderId="14" xfId="0" applyNumberFormat="1" applyFont="1" applyFill="1" applyBorder="1" applyAlignment="1">
      <alignment horizontal="left" vertical="center" wrapText="1"/>
    </xf>
    <xf numFmtId="0" fontId="3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7" fillId="2" borderId="0" xfId="0" applyFont="1" applyFill="1" applyBorder="1" applyAlignment="1">
      <alignment horizontal="center"/>
    </xf>
    <xf numFmtId="0" fontId="17" fillId="3" borderId="12" xfId="0" applyFont="1" applyFill="1" applyBorder="1" applyAlignment="1">
      <alignment horizontal="center"/>
    </xf>
    <xf numFmtId="0" fontId="17" fillId="3" borderId="20" xfId="0" applyFont="1" applyFill="1" applyBorder="1" applyAlignment="1">
      <alignment horizontal="center"/>
    </xf>
    <xf numFmtId="0" fontId="17" fillId="3" borderId="15" xfId="0" applyFont="1" applyFill="1" applyBorder="1" applyAlignment="1">
      <alignment horizontal="center"/>
    </xf>
    <xf numFmtId="14" fontId="17" fillId="3" borderId="7" xfId="0" applyNumberFormat="1" applyFont="1" applyFill="1" applyBorder="1" applyAlignment="1">
      <alignment horizontal="center"/>
    </xf>
    <xf numFmtId="14" fontId="17" fillId="3" borderId="8" xfId="0" applyNumberFormat="1" applyFont="1" applyFill="1" applyBorder="1" applyAlignment="1">
      <alignment horizontal="center"/>
    </xf>
    <xf numFmtId="0" fontId="17" fillId="3" borderId="24" xfId="0" applyFont="1" applyFill="1" applyBorder="1" applyAlignment="1">
      <alignment horizontal="center" vertical="center" textRotation="90"/>
    </xf>
    <xf numFmtId="0" fontId="17" fillId="3" borderId="27" xfId="0" applyFont="1" applyFill="1" applyBorder="1" applyAlignment="1">
      <alignment horizontal="center" vertical="center" textRotation="90"/>
    </xf>
    <xf numFmtId="0" fontId="17" fillId="3" borderId="31" xfId="0" applyFont="1" applyFill="1" applyBorder="1" applyAlignment="1">
      <alignment horizontal="center" vertical="center" textRotation="90"/>
    </xf>
    <xf numFmtId="0" fontId="17" fillId="3" borderId="23" xfId="0" applyFont="1" applyFill="1" applyBorder="1" applyAlignment="1">
      <alignment horizontal="center" vertical="center" textRotation="90"/>
    </xf>
    <xf numFmtId="0" fontId="17" fillId="3" borderId="32" xfId="0" applyFont="1" applyFill="1" applyBorder="1" applyAlignment="1">
      <alignment horizontal="center" vertical="center" textRotation="90"/>
    </xf>
    <xf numFmtId="0" fontId="17" fillId="3" borderId="11" xfId="0" applyFont="1" applyFill="1" applyBorder="1" applyAlignment="1">
      <alignment horizontal="center"/>
    </xf>
    <xf numFmtId="0" fontId="17" fillId="3" borderId="11" xfId="0" applyFont="1" applyFill="1" applyBorder="1" applyAlignment="1">
      <alignment horizontal="center" vertical="center" wrapText="1"/>
    </xf>
    <xf numFmtId="0" fontId="17" fillId="10" borderId="11" xfId="0" applyFont="1" applyFill="1" applyBorder="1" applyAlignment="1">
      <alignment horizontal="center"/>
    </xf>
    <xf numFmtId="14" fontId="17" fillId="3" borderId="13" xfId="0" applyNumberFormat="1" applyFont="1" applyFill="1" applyBorder="1" applyAlignment="1">
      <alignment horizontal="center" vertical="center"/>
    </xf>
    <xf numFmtId="14" fontId="17" fillId="3" borderId="6" xfId="0" applyNumberFormat="1" applyFont="1" applyFill="1" applyBorder="1" applyAlignment="1">
      <alignment horizontal="center" vertical="center"/>
    </xf>
    <xf numFmtId="0" fontId="22" fillId="10" borderId="21" xfId="0" applyFont="1" applyFill="1" applyBorder="1" applyAlignment="1">
      <alignment horizontal="center" vertical="center"/>
    </xf>
    <xf numFmtId="0" fontId="17" fillId="3" borderId="28" xfId="0" applyFont="1" applyFill="1" applyBorder="1" applyAlignment="1">
      <alignment horizontal="center"/>
    </xf>
    <xf numFmtId="0" fontId="17" fillId="3" borderId="13" xfId="0" applyFont="1" applyFill="1" applyBorder="1" applyAlignment="1">
      <alignment horizontal="center"/>
    </xf>
    <xf numFmtId="0" fontId="17" fillId="3" borderId="6" xfId="0" applyFont="1" applyFill="1" applyBorder="1" applyAlignment="1">
      <alignment horizontal="center"/>
    </xf>
    <xf numFmtId="0" fontId="49" fillId="18" borderId="0" xfId="0" applyFont="1" applyFill="1" applyAlignment="1">
      <alignment horizontal="center"/>
    </xf>
    <xf numFmtId="0" fontId="55" fillId="18" borderId="36" xfId="0" applyFont="1" applyFill="1" applyBorder="1" applyAlignment="1">
      <alignment horizontal="center"/>
    </xf>
    <xf numFmtId="0" fontId="20" fillId="3" borderId="12" xfId="0" applyNumberFormat="1" applyFont="1" applyFill="1" applyBorder="1" applyAlignment="1" applyProtection="1">
      <protection locked="0"/>
    </xf>
    <xf numFmtId="0" fontId="20" fillId="3" borderId="20" xfId="0" applyNumberFormat="1" applyFont="1" applyFill="1" applyBorder="1" applyAlignment="1" applyProtection="1">
      <protection locked="0"/>
    </xf>
    <xf numFmtId="0" fontId="20" fillId="3" borderId="15" xfId="0" applyNumberFormat="1" applyFont="1" applyFill="1" applyBorder="1" applyAlignment="1" applyProtection="1">
      <protection locked="0"/>
    </xf>
    <xf numFmtId="0" fontId="20" fillId="3" borderId="12" xfId="0" applyNumberFormat="1" applyFont="1" applyFill="1" applyBorder="1" applyAlignment="1" applyProtection="1">
      <alignment horizontal="left"/>
      <protection locked="0"/>
    </xf>
    <xf numFmtId="0" fontId="20" fillId="3" borderId="20" xfId="0" applyNumberFormat="1" applyFont="1" applyFill="1" applyBorder="1" applyAlignment="1" applyProtection="1">
      <alignment horizontal="left"/>
      <protection locked="0"/>
    </xf>
    <xf numFmtId="0" fontId="20" fillId="3" borderId="15" xfId="0" applyNumberFormat="1" applyFont="1" applyFill="1" applyBorder="1" applyAlignment="1" applyProtection="1">
      <alignment horizontal="left"/>
      <protection locked="0"/>
    </xf>
    <xf numFmtId="0" fontId="44" fillId="3" borderId="0" xfId="0" applyNumberFormat="1" applyFont="1" applyFill="1" applyBorder="1" applyAlignment="1">
      <alignment horizontal="left" vertical="center"/>
    </xf>
    <xf numFmtId="0" fontId="31" fillId="3" borderId="0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11" fillId="3" borderId="2" xfId="0" applyNumberFormat="1" applyFont="1" applyFill="1" applyBorder="1" applyAlignment="1">
      <alignment horizontal="center" vertical="center"/>
    </xf>
    <xf numFmtId="0" fontId="36" fillId="3" borderId="0" xfId="0" applyFont="1" applyFill="1" applyBorder="1" applyAlignment="1">
      <alignment horizontal="center" vertical="center"/>
    </xf>
    <xf numFmtId="0" fontId="57" fillId="0" borderId="0" xfId="0" applyFont="1" applyBorder="1" applyAlignment="1">
      <alignment horizontal="left"/>
    </xf>
  </cellXfs>
  <cellStyles count="8">
    <cellStyle name="Hipervínculo" xfId="7" builtinId="8"/>
    <cellStyle name="Moneda" xfId="1" builtinId="4"/>
    <cellStyle name="Moneda 2" xfId="5" xr:uid="{DCBB3DF8-A78C-47B7-B528-EA8F667EE3D3}"/>
    <cellStyle name="Normal" xfId="0" builtinId="0"/>
    <cellStyle name="Normal 2" xfId="3" xr:uid="{DF6E695D-0415-41E7-BAB4-0D10489B62D2}"/>
    <cellStyle name="Porcentaje" xfId="2" builtinId="5"/>
    <cellStyle name="Porcentaje 2" xfId="6" xr:uid="{510FD7AF-F2AA-415C-91F6-3AF3EA83E7B0}"/>
    <cellStyle name="WinCalendar_BlankCells_49" xfId="4" xr:uid="{4E62C029-75E2-4FAA-BBBD-78F1A91966ED}"/>
  </cellStyles>
  <dxfs count="362"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numFmt numFmtId="0" formatCode="General"/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numFmt numFmtId="19" formatCode="dd/mm/yyyy"/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numFmt numFmtId="19" formatCode="dd/mm/yyyy"/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numFmt numFmtId="165" formatCode="&quot;$&quot;#,##0.00"/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textRotation="0" wrapText="0" indent="0" justifyLastLine="0" shrinkToFit="0" readingOrder="0"/>
    </dxf>
    <dxf>
      <font>
        <b val="0"/>
        <i val="0"/>
      </font>
      <fill>
        <patternFill>
          <bgColor theme="0" tint="-0.14996795556505021"/>
        </patternFill>
      </fill>
    </dxf>
    <dxf>
      <font>
        <b val="0"/>
        <i val="0"/>
      </font>
      <fill>
        <patternFill>
          <bgColor theme="0" tint="-0.14996795556505021"/>
        </patternFill>
      </fill>
    </dxf>
    <dxf>
      <font>
        <b val="0"/>
        <i val="0"/>
      </font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166" formatCode="[$-F800]dddd\,\ mmmm\ dd\,\ yyyy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onsolas"/>
        <family val="3"/>
        <scheme val="none"/>
      </font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19" formatCode="dd/mm/yyyy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164" formatCode="0.0000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19" formatCode="dd/mm/yyyy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numFmt numFmtId="0" formatCode="General"/>
      <fill>
        <patternFill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19" formatCode="dd/mm/yyyy"/>
      <fill>
        <patternFill patternType="none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color auto="1"/>
      </font>
      <fill>
        <patternFill>
          <bgColor theme="2" tint="-9.9948118533890809E-2"/>
        </patternFill>
      </fill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numFmt numFmtId="169" formatCode="0.0"/>
    </dxf>
    <dxf>
      <numFmt numFmtId="0" formatCode="General"/>
    </dxf>
    <dxf>
      <numFmt numFmtId="165" formatCode="&quot;$&quot;#,##0.00"/>
    </dxf>
    <dxf>
      <numFmt numFmtId="0" formatCode="General"/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numFmt numFmtId="165" formatCode="&quot;$&quot;#,##0.00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b/>
        <family val="1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b/>
        <family val="1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ill>
        <patternFill>
          <bgColor rgb="FF111D3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fill>
        <patternFill patternType="solid">
          <bgColor rgb="FF111D35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&quot;$&quot;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9" formatCode="dd/mm/yyyy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9" formatCode="dd/mm/yyyy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9" formatCode="dd/mm/yyyy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9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fill>
        <patternFill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fill>
        <patternFill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fill>
        <patternFill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fill>
        <patternFill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65" formatCode="&quot;$&quot;#,##0.00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4" formatCode="0.00%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>
          <bgColor theme="2" tint="-9.9948118533890809E-2"/>
        </patternFill>
      </fill>
    </dxf>
    <dxf>
      <font>
        <color auto="1"/>
      </font>
      <fill>
        <patternFill>
          <bgColor theme="2" tint="-9.9948118533890809E-2"/>
        </patternFill>
      </fill>
    </dxf>
    <dxf>
      <font>
        <color theme="0" tint="-4.9989318521683403E-2"/>
      </font>
      <fill>
        <patternFill>
          <bgColor theme="0"/>
        </patternFill>
      </fill>
    </dxf>
    <dxf>
      <font>
        <color theme="0" tint="-4.9989318521683403E-2"/>
      </font>
      <fill>
        <patternFill>
          <bgColor theme="0"/>
        </patternFill>
      </fill>
    </dxf>
    <dxf>
      <font>
        <color theme="0" tint="-4.9989318521683403E-2"/>
      </font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2" defaultTableStyle="TableStyleMedium2" defaultPivotStyle="PivotStyleLight16">
    <tableStyle name="Estilo de tabla 1" pivot="0" count="0" xr9:uid="{58FE22AD-6E76-4E73-9E96-7D2A1334FB59}"/>
    <tableStyle name="Estilo de tabla 2" pivot="0" count="1" xr9:uid="{59BACA88-0FAA-468F-8CB3-DFFE641402DC}">
      <tableStyleElement type="firstRowStripe" dxfId="361"/>
    </tableStyle>
  </tableStyles>
  <colors>
    <mruColors>
      <color rgb="FF111D35"/>
      <color rgb="FF336699"/>
      <color rgb="FFEFEDE3"/>
      <color rgb="FF85BD5F"/>
      <color rgb="FF76FEF1"/>
      <color rgb="FFCC99FF"/>
      <color rgb="FFE2C5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[departamento-de-capital-humano.xlsm]TABLAS PARA REPORTES!TablaDinámica7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Distribución</a:t>
            </a:r>
            <a:r>
              <a:rPr lang="en-US" baseline="0">
                <a:solidFill>
                  <a:schemeClr val="bg1"/>
                </a:solidFill>
              </a:rPr>
              <a:t> de bajas en 2021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>
        <c:manualLayout>
          <c:layoutTarget val="inner"/>
          <c:xMode val="edge"/>
          <c:yMode val="edge"/>
          <c:x val="1.9937650650811507E-2"/>
          <c:y val="0.1734103237095363"/>
          <c:w val="0.36016005142214363"/>
          <c:h val="0.65362379702537188"/>
        </c:manualLayout>
      </c:layout>
      <c:pieChart>
        <c:varyColors val="1"/>
        <c:ser>
          <c:idx val="0"/>
          <c:order val="0"/>
          <c:tx>
            <c:strRef>
              <c:f>'TABLAS PARA REPORTES'!$C$63:$C$66</c:f>
              <c:strCache>
                <c:ptCount val="1"/>
                <c:pt idx="0">
                  <c:v>2021 -  - Cuenta de FECHA SAL.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299-4FB0-A39A-BA4427F305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299-4FB0-A39A-BA4427F305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299-4FB0-A39A-BA4427F305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299-4FB0-A39A-BA4427F305A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299-4FB0-A39A-BA4427F305A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299-4FB0-A39A-BA4427F305A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299-4FB0-A39A-BA4427F305A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4299-4FB0-A39A-BA4427F305A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4299-4FB0-A39A-BA4427F305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'TABLAS PARA REPORTES'!$B$67:$B$82</c:f>
              <c:multiLvlStrCache>
                <c:ptCount val="9"/>
                <c:lvl>
                  <c:pt idx="0">
                    <c:v>ANLIS COST</c:v>
                  </c:pt>
                  <c:pt idx="1">
                    <c:v>AUDIT ADMN</c:v>
                  </c:pt>
                  <c:pt idx="2">
                    <c:v>COLECTIVOS</c:v>
                  </c:pt>
                  <c:pt idx="3">
                    <c:v>EXTERNOS</c:v>
                  </c:pt>
                  <c:pt idx="4">
                    <c:v>RELACIONES</c:v>
                  </c:pt>
                  <c:pt idx="5">
                    <c:v>ARQUITECT</c:v>
                  </c:pt>
                  <c:pt idx="6">
                    <c:v>ESTRUCTURA</c:v>
                  </c:pt>
                  <c:pt idx="7">
                    <c:v>INST CAMPO</c:v>
                  </c:pt>
                  <c:pt idx="8">
                    <c:v>SOFTWARE</c:v>
                  </c:pt>
                </c:lvl>
                <c:lvl>
                  <c:pt idx="0">
                    <c:v>AUDITORÍA</c:v>
                  </c:pt>
                  <c:pt idx="2">
                    <c:v>CONTRATOS</c:v>
                  </c:pt>
                  <c:pt idx="4">
                    <c:v>CPTAL HUMANO</c:v>
                  </c:pt>
                  <c:pt idx="5">
                    <c:v>DIV ARQUIT</c:v>
                  </c:pt>
                  <c:pt idx="6">
                    <c:v>DIV INGENRIA</c:v>
                  </c:pt>
                  <c:pt idx="8">
                    <c:v>TECNOLOGÍA</c:v>
                  </c:pt>
                </c:lvl>
              </c:multiLvlStrCache>
            </c:multiLvlStrRef>
          </c:cat>
          <c:val>
            <c:numRef>
              <c:f>'TABLAS PARA REPORTES'!$C$67:$C$82</c:f>
              <c:numCache>
                <c:formatCode>General</c:formatCode>
                <c:ptCount val="9"/>
                <c:pt idx="0">
                  <c:v>5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299-4FB0-A39A-BA4427F305A8}"/>
            </c:ext>
          </c:extLst>
        </c:ser>
        <c:ser>
          <c:idx val="1"/>
          <c:order val="1"/>
          <c:tx>
            <c:strRef>
              <c:f>'TABLAS PARA REPORTES'!$D$63:$D$66</c:f>
              <c:strCache>
                <c:ptCount val="1"/>
                <c:pt idx="0">
                  <c:v>2021 -  - Cuenta de MOTIVO SALIDA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408D-465A-9C1E-FEEA146484F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408D-465A-9C1E-FEEA146484F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408D-465A-9C1E-FEEA146484F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408D-465A-9C1E-FEEA146484F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408D-465A-9C1E-FEEA146484F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408D-465A-9C1E-FEEA146484F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408D-465A-9C1E-FEEA146484F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408D-465A-9C1E-FEEA146484F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408D-465A-9C1E-FEEA146484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'TABLAS PARA REPORTES'!$B$67:$B$82</c:f>
              <c:multiLvlStrCache>
                <c:ptCount val="9"/>
                <c:lvl>
                  <c:pt idx="0">
                    <c:v>ANLIS COST</c:v>
                  </c:pt>
                  <c:pt idx="1">
                    <c:v>AUDIT ADMN</c:v>
                  </c:pt>
                  <c:pt idx="2">
                    <c:v>COLECTIVOS</c:v>
                  </c:pt>
                  <c:pt idx="3">
                    <c:v>EXTERNOS</c:v>
                  </c:pt>
                  <c:pt idx="4">
                    <c:v>RELACIONES</c:v>
                  </c:pt>
                  <c:pt idx="5">
                    <c:v>ARQUITECT</c:v>
                  </c:pt>
                  <c:pt idx="6">
                    <c:v>ESTRUCTURA</c:v>
                  </c:pt>
                  <c:pt idx="7">
                    <c:v>INST CAMPO</c:v>
                  </c:pt>
                  <c:pt idx="8">
                    <c:v>SOFTWARE</c:v>
                  </c:pt>
                </c:lvl>
                <c:lvl>
                  <c:pt idx="0">
                    <c:v>AUDITORÍA</c:v>
                  </c:pt>
                  <c:pt idx="2">
                    <c:v>CONTRATOS</c:v>
                  </c:pt>
                  <c:pt idx="4">
                    <c:v>CPTAL HUMANO</c:v>
                  </c:pt>
                  <c:pt idx="5">
                    <c:v>DIV ARQUIT</c:v>
                  </c:pt>
                  <c:pt idx="6">
                    <c:v>DIV INGENRIA</c:v>
                  </c:pt>
                  <c:pt idx="8">
                    <c:v>TECNOLOGÍA</c:v>
                  </c:pt>
                </c:lvl>
              </c:multiLvlStrCache>
            </c:multiLvlStrRef>
          </c:cat>
          <c:val>
            <c:numRef>
              <c:f>'TABLAS PARA REPORTES'!$D$67:$D$82</c:f>
              <c:numCache>
                <c:formatCode>General</c:formatCode>
                <c:ptCount val="9"/>
                <c:pt idx="0">
                  <c:v>5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299-4FB0-A39A-BA4427F305A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9085757137500676"/>
          <c:y val="0.15816350733936033"/>
          <c:w val="0.58683718675292973"/>
          <c:h val="0.744796587926509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9.png"/><Relationship Id="rId18" Type="http://schemas.openxmlformats.org/officeDocument/2006/relationships/image" Target="../media/image14.svg"/><Relationship Id="rId3" Type="http://schemas.openxmlformats.org/officeDocument/2006/relationships/image" Target="../media/image2.svg"/><Relationship Id="rId7" Type="http://schemas.openxmlformats.org/officeDocument/2006/relationships/hyperlink" Target="#Documentos!A1"/><Relationship Id="rId12" Type="http://schemas.openxmlformats.org/officeDocument/2006/relationships/image" Target="../media/image8.svg"/><Relationship Id="rId17" Type="http://schemas.openxmlformats.org/officeDocument/2006/relationships/image" Target="../media/image13.png"/><Relationship Id="rId2" Type="http://schemas.openxmlformats.org/officeDocument/2006/relationships/image" Target="../media/image1.png"/><Relationship Id="rId16" Type="http://schemas.openxmlformats.org/officeDocument/2006/relationships/image" Target="../media/image12.svg"/><Relationship Id="rId1" Type="http://schemas.openxmlformats.org/officeDocument/2006/relationships/hyperlink" Target="#Extendido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image" Target="../media/image11.png"/><Relationship Id="rId10" Type="http://schemas.openxmlformats.org/officeDocument/2006/relationships/hyperlink" Target="#TABLAS!A1"/><Relationship Id="rId4" Type="http://schemas.openxmlformats.org/officeDocument/2006/relationships/hyperlink" Target="#N&#243;mina!D16"/><Relationship Id="rId9" Type="http://schemas.openxmlformats.org/officeDocument/2006/relationships/image" Target="../media/image6.svg"/><Relationship Id="rId14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24849</xdr:colOff>
      <xdr:row>10</xdr:row>
      <xdr:rowOff>23529</xdr:rowOff>
    </xdr:from>
    <xdr:to>
      <xdr:col>3</xdr:col>
      <xdr:colOff>463827</xdr:colOff>
      <xdr:row>14</xdr:row>
      <xdr:rowOff>157369</xdr:rowOff>
    </xdr:to>
    <xdr:pic>
      <xdr:nvPicPr>
        <xdr:cNvPr id="5" name="Gráfico 4" descr="Identificación de empleado contorn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CB6FAD-8340-467A-8EDA-7DC4DB1A6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36914" y="2011355"/>
          <a:ext cx="919370" cy="846144"/>
        </a:xfrm>
        <a:prstGeom prst="rect">
          <a:avLst/>
        </a:prstGeom>
      </xdr:spPr>
    </xdr:pic>
    <xdr:clientData/>
  </xdr:twoCellAnchor>
  <xdr:twoCellAnchor editAs="oneCell">
    <xdr:from>
      <xdr:col>5</xdr:col>
      <xdr:colOff>8283</xdr:colOff>
      <xdr:row>10</xdr:row>
      <xdr:rowOff>8283</xdr:rowOff>
    </xdr:from>
    <xdr:to>
      <xdr:col>6</xdr:col>
      <xdr:colOff>475158</xdr:colOff>
      <xdr:row>15</xdr:row>
      <xdr:rowOff>0</xdr:rowOff>
    </xdr:to>
    <xdr:pic>
      <xdr:nvPicPr>
        <xdr:cNvPr id="9" name="Gráfico 8" descr="Cheque bancario contorn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546EFE5-9782-430B-B766-C2F284850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9174" y="1996109"/>
          <a:ext cx="947267" cy="877956"/>
        </a:xfrm>
        <a:prstGeom prst="rect">
          <a:avLst/>
        </a:prstGeom>
      </xdr:spPr>
    </xdr:pic>
    <xdr:clientData/>
  </xdr:twoCellAnchor>
  <xdr:twoCellAnchor editAs="oneCell">
    <xdr:from>
      <xdr:col>11</xdr:col>
      <xdr:colOff>5757</xdr:colOff>
      <xdr:row>9</xdr:row>
      <xdr:rowOff>172527</xdr:rowOff>
    </xdr:from>
    <xdr:to>
      <xdr:col>12</xdr:col>
      <xdr:colOff>467264</xdr:colOff>
      <xdr:row>14</xdr:row>
      <xdr:rowOff>170815</xdr:rowOff>
    </xdr:to>
    <xdr:pic>
      <xdr:nvPicPr>
        <xdr:cNvPr id="7" name="Gráfico 6" descr="Documento contorn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A55F113-04DD-41A7-AAB1-34980E607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4976729" y="1984074"/>
          <a:ext cx="939554" cy="878901"/>
        </a:xfrm>
        <a:prstGeom prst="rect">
          <a:avLst/>
        </a:prstGeom>
      </xdr:spPr>
    </xdr:pic>
    <xdr:clientData/>
  </xdr:twoCellAnchor>
  <xdr:twoCellAnchor editAs="oneCell">
    <xdr:from>
      <xdr:col>8</xdr:col>
      <xdr:colOff>10783</xdr:colOff>
      <xdr:row>9</xdr:row>
      <xdr:rowOff>171747</xdr:rowOff>
    </xdr:from>
    <xdr:to>
      <xdr:col>9</xdr:col>
      <xdr:colOff>466359</xdr:colOff>
      <xdr:row>14</xdr:row>
      <xdr:rowOff>166778</xdr:rowOff>
    </xdr:to>
    <xdr:pic>
      <xdr:nvPicPr>
        <xdr:cNvPr id="10" name="Gráfico 9" descr="Dinero volando contorno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A10B685-0E7E-41AA-8354-FD1760BFD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7613" y="1983294"/>
          <a:ext cx="933623" cy="87564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21</xdr:row>
      <xdr:rowOff>0</xdr:rowOff>
    </xdr:from>
    <xdr:to>
      <xdr:col>4</xdr:col>
      <xdr:colOff>19050</xdr:colOff>
      <xdr:row>26</xdr:row>
      <xdr:rowOff>38100</xdr:rowOff>
    </xdr:to>
    <xdr:pic>
      <xdr:nvPicPr>
        <xdr:cNvPr id="3" name="Gráfico 2" descr="Pirámide contorno">
          <a:extLst>
            <a:ext uri="{FF2B5EF4-FFF2-40B4-BE49-F238E27FC236}">
              <a16:creationId xmlns:a16="http://schemas.microsoft.com/office/drawing/2014/main" id="{16E37E2E-766F-4074-925B-480DB1C88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66750" y="3886200"/>
          <a:ext cx="1028700" cy="914400"/>
        </a:xfrm>
        <a:prstGeom prst="rect">
          <a:avLst/>
        </a:prstGeom>
      </xdr:spPr>
    </xdr:pic>
    <xdr:clientData/>
  </xdr:twoCellAnchor>
  <xdr:twoCellAnchor editAs="oneCell">
    <xdr:from>
      <xdr:col>29</xdr:col>
      <xdr:colOff>38100</xdr:colOff>
      <xdr:row>0</xdr:row>
      <xdr:rowOff>85725</xdr:rowOff>
    </xdr:from>
    <xdr:to>
      <xdr:col>29</xdr:col>
      <xdr:colOff>666750</xdr:colOff>
      <xdr:row>3</xdr:row>
      <xdr:rowOff>28575</xdr:rowOff>
    </xdr:to>
    <xdr:pic>
      <xdr:nvPicPr>
        <xdr:cNvPr id="14" name="Gráfico 13" descr="Información con relleno sólido">
          <a:extLst>
            <a:ext uri="{FF2B5EF4-FFF2-40B4-BE49-F238E27FC236}">
              <a16:creationId xmlns:a16="http://schemas.microsoft.com/office/drawing/2014/main" id="{B3FA3E6A-4E7E-4433-930E-8FEE9D5C8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4573250" y="85725"/>
          <a:ext cx="628650" cy="628650"/>
        </a:xfrm>
        <a:prstGeom prst="rect">
          <a:avLst/>
        </a:prstGeom>
      </xdr:spPr>
    </xdr:pic>
    <xdr:clientData/>
  </xdr:twoCellAnchor>
  <xdr:twoCellAnchor>
    <xdr:from>
      <xdr:col>29</xdr:col>
      <xdr:colOff>180975</xdr:colOff>
      <xdr:row>3</xdr:row>
      <xdr:rowOff>47625</xdr:rowOff>
    </xdr:from>
    <xdr:to>
      <xdr:col>29</xdr:col>
      <xdr:colOff>619125</xdr:colOff>
      <xdr:row>4</xdr:row>
      <xdr:rowOff>85725</xdr:rowOff>
    </xdr:to>
    <xdr:sp macro="" textlink="">
      <xdr:nvSpPr>
        <xdr:cNvPr id="15" name="Flecha: a la derecha 14">
          <a:extLst>
            <a:ext uri="{FF2B5EF4-FFF2-40B4-BE49-F238E27FC236}">
              <a16:creationId xmlns:a16="http://schemas.microsoft.com/office/drawing/2014/main" id="{81D44CC1-49A7-4CE1-A731-D29961BA01B1}"/>
            </a:ext>
          </a:extLst>
        </xdr:cNvPr>
        <xdr:cNvSpPr/>
      </xdr:nvSpPr>
      <xdr:spPr>
        <a:xfrm>
          <a:off x="14716125" y="733425"/>
          <a:ext cx="438150" cy="22860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11</xdr:col>
      <xdr:colOff>0</xdr:colOff>
      <xdr:row>21</xdr:row>
      <xdr:rowOff>0</xdr:rowOff>
    </xdr:from>
    <xdr:to>
      <xdr:col>13</xdr:col>
      <xdr:colOff>0</xdr:colOff>
      <xdr:row>26</xdr:row>
      <xdr:rowOff>4646</xdr:rowOff>
    </xdr:to>
    <xdr:pic>
      <xdr:nvPicPr>
        <xdr:cNvPr id="4" name="Gráfico 3" descr="Presentación con gráfico de barras contorno">
          <a:extLst>
            <a:ext uri="{FF2B5EF4-FFF2-40B4-BE49-F238E27FC236}">
              <a16:creationId xmlns:a16="http://schemas.microsoft.com/office/drawing/2014/main" id="{92F14364-8346-4C75-832F-D2EB56843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5031988" y="3893634"/>
          <a:ext cx="957146" cy="8828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149232</xdr:colOff>
      <xdr:row>0</xdr:row>
      <xdr:rowOff>144107</xdr:rowOff>
    </xdr:from>
    <xdr:to>
      <xdr:col>18</xdr:col>
      <xdr:colOff>109300</xdr:colOff>
      <xdr:row>1</xdr:row>
      <xdr:rowOff>154363</xdr:rowOff>
    </xdr:to>
    <xdr:sp macro="[0]!BOTON_ALTA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3C9CBE0-6702-4525-8EF5-58C9B4FA1F22}"/>
            </a:ext>
          </a:extLst>
        </xdr:cNvPr>
        <xdr:cNvSpPr/>
      </xdr:nvSpPr>
      <xdr:spPr>
        <a:xfrm>
          <a:off x="4625982" y="144107"/>
          <a:ext cx="531568" cy="20075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ALTA</a:t>
          </a:r>
        </a:p>
      </xdr:txBody>
    </xdr:sp>
    <xdr:clientData/>
  </xdr:twoCellAnchor>
  <xdr:twoCellAnchor>
    <xdr:from>
      <xdr:col>19</xdr:col>
      <xdr:colOff>24471</xdr:colOff>
      <xdr:row>0</xdr:row>
      <xdr:rowOff>150381</xdr:rowOff>
    </xdr:from>
    <xdr:to>
      <xdr:col>21</xdr:col>
      <xdr:colOff>182398</xdr:colOff>
      <xdr:row>1</xdr:row>
      <xdr:rowOff>157044</xdr:rowOff>
    </xdr:to>
    <xdr:sp macro="[0]!BOTON_CAMBI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075DABC-DE93-439E-9AD2-FA5487286561}"/>
            </a:ext>
          </a:extLst>
        </xdr:cNvPr>
        <xdr:cNvSpPr/>
      </xdr:nvSpPr>
      <xdr:spPr>
        <a:xfrm>
          <a:off x="5358471" y="150381"/>
          <a:ext cx="729427" cy="197163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CAMBIO</a:t>
          </a:r>
        </a:p>
      </xdr:txBody>
    </xdr:sp>
    <xdr:clientData/>
  </xdr:twoCellAnchor>
  <xdr:twoCellAnchor>
    <xdr:from>
      <xdr:col>22</xdr:col>
      <xdr:colOff>71125</xdr:colOff>
      <xdr:row>0</xdr:row>
      <xdr:rowOff>153061</xdr:rowOff>
    </xdr:from>
    <xdr:to>
      <xdr:col>24</xdr:col>
      <xdr:colOff>56162</xdr:colOff>
      <xdr:row>1</xdr:row>
      <xdr:rowOff>159724</xdr:rowOff>
    </xdr:to>
    <xdr:sp macro="[0]!BOTON_BA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08C8949-69EC-42B9-BB09-251EDDB87F42}"/>
            </a:ext>
          </a:extLst>
        </xdr:cNvPr>
        <xdr:cNvSpPr/>
      </xdr:nvSpPr>
      <xdr:spPr>
        <a:xfrm>
          <a:off x="6262375" y="153061"/>
          <a:ext cx="556537" cy="197163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BAJA</a:t>
          </a:r>
        </a:p>
      </xdr:txBody>
    </xdr:sp>
    <xdr:clientData/>
  </xdr:twoCellAnchor>
  <xdr:twoCellAnchor>
    <xdr:from>
      <xdr:col>16</xdr:col>
      <xdr:colOff>149232</xdr:colOff>
      <xdr:row>27</xdr:row>
      <xdr:rowOff>144107</xdr:rowOff>
    </xdr:from>
    <xdr:to>
      <xdr:col>18</xdr:col>
      <xdr:colOff>109300</xdr:colOff>
      <xdr:row>28</xdr:row>
      <xdr:rowOff>154363</xdr:rowOff>
    </xdr:to>
    <xdr:sp macro="[0]!BOTON_ALTA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FEA6FB12-D0B6-4F7C-A4BE-65A73A772921}"/>
            </a:ext>
          </a:extLst>
        </xdr:cNvPr>
        <xdr:cNvSpPr/>
      </xdr:nvSpPr>
      <xdr:spPr>
        <a:xfrm>
          <a:off x="4625982" y="144107"/>
          <a:ext cx="531568" cy="20075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ALTA</a:t>
          </a:r>
        </a:p>
      </xdr:txBody>
    </xdr:sp>
    <xdr:clientData/>
  </xdr:twoCellAnchor>
  <xdr:twoCellAnchor>
    <xdr:from>
      <xdr:col>19</xdr:col>
      <xdr:colOff>24471</xdr:colOff>
      <xdr:row>27</xdr:row>
      <xdr:rowOff>150381</xdr:rowOff>
    </xdr:from>
    <xdr:to>
      <xdr:col>21</xdr:col>
      <xdr:colOff>182398</xdr:colOff>
      <xdr:row>28</xdr:row>
      <xdr:rowOff>157044</xdr:rowOff>
    </xdr:to>
    <xdr:sp macro="[0]!BOTON_CAMBIAR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3BA09062-489B-4AC1-8468-19232CEEB30F}"/>
            </a:ext>
          </a:extLst>
        </xdr:cNvPr>
        <xdr:cNvSpPr/>
      </xdr:nvSpPr>
      <xdr:spPr>
        <a:xfrm>
          <a:off x="5358471" y="150381"/>
          <a:ext cx="729427" cy="197163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CAMBIO</a:t>
          </a:r>
        </a:p>
      </xdr:txBody>
    </xdr:sp>
    <xdr:clientData/>
  </xdr:twoCellAnchor>
  <xdr:twoCellAnchor>
    <xdr:from>
      <xdr:col>22</xdr:col>
      <xdr:colOff>71125</xdr:colOff>
      <xdr:row>27</xdr:row>
      <xdr:rowOff>153061</xdr:rowOff>
    </xdr:from>
    <xdr:to>
      <xdr:col>24</xdr:col>
      <xdr:colOff>56162</xdr:colOff>
      <xdr:row>28</xdr:row>
      <xdr:rowOff>159724</xdr:rowOff>
    </xdr:to>
    <xdr:sp macro="[0]!BOTON_BAJA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D4D44693-7BD1-4B5E-8D4C-497C3D731ADE}"/>
            </a:ext>
          </a:extLst>
        </xdr:cNvPr>
        <xdr:cNvSpPr/>
      </xdr:nvSpPr>
      <xdr:spPr>
        <a:xfrm>
          <a:off x="6262375" y="153061"/>
          <a:ext cx="556537" cy="197163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BAJA</a:t>
          </a:r>
        </a:p>
      </xdr:txBody>
    </xdr:sp>
    <xdr:clientData/>
  </xdr:twoCellAnchor>
  <xdr:twoCellAnchor>
    <xdr:from>
      <xdr:col>37</xdr:col>
      <xdr:colOff>124558</xdr:colOff>
      <xdr:row>41</xdr:row>
      <xdr:rowOff>183174</xdr:rowOff>
    </xdr:from>
    <xdr:to>
      <xdr:col>40</xdr:col>
      <xdr:colOff>278423</xdr:colOff>
      <xdr:row>43</xdr:row>
      <xdr:rowOff>58616</xdr:rowOff>
    </xdr:to>
    <xdr:sp macro="[0]!CANCELAR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890CA172-067A-48CB-AEEE-13A04A0298B7}"/>
            </a:ext>
          </a:extLst>
        </xdr:cNvPr>
        <xdr:cNvSpPr/>
      </xdr:nvSpPr>
      <xdr:spPr>
        <a:xfrm>
          <a:off x="10602058" y="2850174"/>
          <a:ext cx="1011115" cy="256442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chemeClr val="tx1"/>
              </a:solidFill>
              <a:latin typeface="Consolas" panose="020B0609020204030204" pitchFamily="49" charset="0"/>
            </a:rPr>
            <a:t>CANCELAR</a:t>
          </a:r>
        </a:p>
      </xdr:txBody>
    </xdr:sp>
    <xdr:clientData/>
  </xdr:twoCellAnchor>
  <xdr:twoCellAnchor>
    <xdr:from>
      <xdr:col>37</xdr:col>
      <xdr:colOff>123093</xdr:colOff>
      <xdr:row>39</xdr:row>
      <xdr:rowOff>137748</xdr:rowOff>
    </xdr:from>
    <xdr:to>
      <xdr:col>40</xdr:col>
      <xdr:colOff>276958</xdr:colOff>
      <xdr:row>41</xdr:row>
      <xdr:rowOff>13190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8AF0F8-E0A8-46A2-A4F0-812DAC096670}"/>
            </a:ext>
          </a:extLst>
        </xdr:cNvPr>
        <xdr:cNvSpPr/>
      </xdr:nvSpPr>
      <xdr:spPr>
        <a:xfrm>
          <a:off x="10600593" y="2423748"/>
          <a:ext cx="1011115" cy="256442"/>
        </a:xfrm>
        <a:prstGeom prst="roundRect">
          <a:avLst/>
        </a:prstGeom>
        <a:solidFill>
          <a:srgbClr val="85BD5F"/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GUARDAR</a:t>
          </a:r>
        </a:p>
      </xdr:txBody>
    </xdr:sp>
    <xdr:clientData/>
  </xdr:twoCellAnchor>
  <xdr:twoCellAnchor>
    <xdr:from>
      <xdr:col>16</xdr:col>
      <xdr:colOff>149232</xdr:colOff>
      <xdr:row>54</xdr:row>
      <xdr:rowOff>144107</xdr:rowOff>
    </xdr:from>
    <xdr:to>
      <xdr:col>18</xdr:col>
      <xdr:colOff>109300</xdr:colOff>
      <xdr:row>55</xdr:row>
      <xdr:rowOff>154363</xdr:rowOff>
    </xdr:to>
    <xdr:sp macro="[0]!BOTON_ALTA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7D58351-AFC1-4C17-89E9-DC6D99AE47A0}"/>
            </a:ext>
          </a:extLst>
        </xdr:cNvPr>
        <xdr:cNvSpPr/>
      </xdr:nvSpPr>
      <xdr:spPr>
        <a:xfrm>
          <a:off x="4625982" y="144107"/>
          <a:ext cx="531568" cy="20075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ALTA</a:t>
          </a:r>
        </a:p>
      </xdr:txBody>
    </xdr:sp>
    <xdr:clientData/>
  </xdr:twoCellAnchor>
  <xdr:twoCellAnchor>
    <xdr:from>
      <xdr:col>19</xdr:col>
      <xdr:colOff>24471</xdr:colOff>
      <xdr:row>54</xdr:row>
      <xdr:rowOff>150381</xdr:rowOff>
    </xdr:from>
    <xdr:to>
      <xdr:col>21</xdr:col>
      <xdr:colOff>182398</xdr:colOff>
      <xdr:row>55</xdr:row>
      <xdr:rowOff>157044</xdr:rowOff>
    </xdr:to>
    <xdr:sp macro="[0]!BOTON_CAMBIAR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95D2CD39-CEF2-4CF6-B509-4799E66553B1}"/>
            </a:ext>
          </a:extLst>
        </xdr:cNvPr>
        <xdr:cNvSpPr/>
      </xdr:nvSpPr>
      <xdr:spPr>
        <a:xfrm>
          <a:off x="5358471" y="150381"/>
          <a:ext cx="729427" cy="197163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CAMBIO</a:t>
          </a:r>
        </a:p>
      </xdr:txBody>
    </xdr:sp>
    <xdr:clientData/>
  </xdr:twoCellAnchor>
  <xdr:twoCellAnchor>
    <xdr:from>
      <xdr:col>22</xdr:col>
      <xdr:colOff>71125</xdr:colOff>
      <xdr:row>54</xdr:row>
      <xdr:rowOff>153061</xdr:rowOff>
    </xdr:from>
    <xdr:to>
      <xdr:col>24</xdr:col>
      <xdr:colOff>56162</xdr:colOff>
      <xdr:row>55</xdr:row>
      <xdr:rowOff>159724</xdr:rowOff>
    </xdr:to>
    <xdr:sp macro="[0]!BOTON_BAJA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25DACD37-6617-45BD-9E07-6976998B16AE}"/>
            </a:ext>
          </a:extLst>
        </xdr:cNvPr>
        <xdr:cNvSpPr/>
      </xdr:nvSpPr>
      <xdr:spPr>
        <a:xfrm>
          <a:off x="6262375" y="153061"/>
          <a:ext cx="556537" cy="197163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BAJA</a:t>
          </a:r>
        </a:p>
      </xdr:txBody>
    </xdr:sp>
    <xdr:clientData/>
  </xdr:twoCellAnchor>
  <xdr:twoCellAnchor>
    <xdr:from>
      <xdr:col>37</xdr:col>
      <xdr:colOff>124558</xdr:colOff>
      <xdr:row>68</xdr:row>
      <xdr:rowOff>183174</xdr:rowOff>
    </xdr:from>
    <xdr:to>
      <xdr:col>40</xdr:col>
      <xdr:colOff>278423</xdr:colOff>
      <xdr:row>70</xdr:row>
      <xdr:rowOff>58616</xdr:rowOff>
    </xdr:to>
    <xdr:sp macro="[0]!CANCELAR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BDA82436-594A-4987-BABB-2FBFA93BCE8F}"/>
            </a:ext>
          </a:extLst>
        </xdr:cNvPr>
        <xdr:cNvSpPr/>
      </xdr:nvSpPr>
      <xdr:spPr>
        <a:xfrm>
          <a:off x="10602058" y="2850174"/>
          <a:ext cx="1011115" cy="256442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chemeClr val="tx1"/>
              </a:solidFill>
              <a:latin typeface="Consolas" panose="020B0609020204030204" pitchFamily="49" charset="0"/>
            </a:rPr>
            <a:t>CANCELAR</a:t>
          </a:r>
        </a:p>
      </xdr:txBody>
    </xdr:sp>
    <xdr:clientData/>
  </xdr:twoCellAnchor>
  <xdr:twoCellAnchor>
    <xdr:from>
      <xdr:col>16</xdr:col>
      <xdr:colOff>149232</xdr:colOff>
      <xdr:row>81</xdr:row>
      <xdr:rowOff>144107</xdr:rowOff>
    </xdr:from>
    <xdr:to>
      <xdr:col>18</xdr:col>
      <xdr:colOff>109300</xdr:colOff>
      <xdr:row>82</xdr:row>
      <xdr:rowOff>154363</xdr:rowOff>
    </xdr:to>
    <xdr:sp macro="[0]!BOTON_ALTA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9212C564-BBFE-40B9-AF82-0D25CE17ABEB}"/>
            </a:ext>
          </a:extLst>
        </xdr:cNvPr>
        <xdr:cNvSpPr/>
      </xdr:nvSpPr>
      <xdr:spPr>
        <a:xfrm>
          <a:off x="4625982" y="144107"/>
          <a:ext cx="531568" cy="20075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ALTA</a:t>
          </a:r>
        </a:p>
      </xdr:txBody>
    </xdr:sp>
    <xdr:clientData/>
  </xdr:twoCellAnchor>
  <xdr:twoCellAnchor>
    <xdr:from>
      <xdr:col>19</xdr:col>
      <xdr:colOff>24471</xdr:colOff>
      <xdr:row>81</xdr:row>
      <xdr:rowOff>150381</xdr:rowOff>
    </xdr:from>
    <xdr:to>
      <xdr:col>21</xdr:col>
      <xdr:colOff>182398</xdr:colOff>
      <xdr:row>82</xdr:row>
      <xdr:rowOff>157044</xdr:rowOff>
    </xdr:to>
    <xdr:sp macro="[0]!BOTON_CAMBIAR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B9E383C9-CDB0-4259-932C-D8A5712DBBD1}"/>
            </a:ext>
          </a:extLst>
        </xdr:cNvPr>
        <xdr:cNvSpPr/>
      </xdr:nvSpPr>
      <xdr:spPr>
        <a:xfrm>
          <a:off x="5358471" y="150381"/>
          <a:ext cx="729427" cy="197163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CAMBIO</a:t>
          </a:r>
        </a:p>
      </xdr:txBody>
    </xdr:sp>
    <xdr:clientData/>
  </xdr:twoCellAnchor>
  <xdr:twoCellAnchor>
    <xdr:from>
      <xdr:col>22</xdr:col>
      <xdr:colOff>71125</xdr:colOff>
      <xdr:row>81</xdr:row>
      <xdr:rowOff>153061</xdr:rowOff>
    </xdr:from>
    <xdr:to>
      <xdr:col>24</xdr:col>
      <xdr:colOff>56162</xdr:colOff>
      <xdr:row>82</xdr:row>
      <xdr:rowOff>159724</xdr:rowOff>
    </xdr:to>
    <xdr:sp macro="[0]!BOTON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EEBC353-ADC8-4B02-A425-1DF5B7B2B0B1}"/>
            </a:ext>
          </a:extLst>
        </xdr:cNvPr>
        <xdr:cNvSpPr/>
      </xdr:nvSpPr>
      <xdr:spPr>
        <a:xfrm>
          <a:off x="6262375" y="153061"/>
          <a:ext cx="556537" cy="197163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BAJA</a:t>
          </a:r>
        </a:p>
      </xdr:txBody>
    </xdr:sp>
    <xdr:clientData/>
  </xdr:twoCellAnchor>
  <xdr:twoCellAnchor>
    <xdr:from>
      <xdr:col>37</xdr:col>
      <xdr:colOff>124558</xdr:colOff>
      <xdr:row>95</xdr:row>
      <xdr:rowOff>183174</xdr:rowOff>
    </xdr:from>
    <xdr:to>
      <xdr:col>40</xdr:col>
      <xdr:colOff>278423</xdr:colOff>
      <xdr:row>97</xdr:row>
      <xdr:rowOff>58616</xdr:rowOff>
    </xdr:to>
    <xdr:sp macro="[0]!CANCELAR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7E94CD5A-5B55-4DF1-A4E1-505C09FCD163}"/>
            </a:ext>
          </a:extLst>
        </xdr:cNvPr>
        <xdr:cNvSpPr/>
      </xdr:nvSpPr>
      <xdr:spPr>
        <a:xfrm>
          <a:off x="10602058" y="2850174"/>
          <a:ext cx="1011115" cy="256442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chemeClr val="tx1"/>
              </a:solidFill>
              <a:latin typeface="Consolas" panose="020B0609020204030204" pitchFamily="49" charset="0"/>
            </a:rPr>
            <a:t>CANCELAR</a:t>
          </a:r>
        </a:p>
      </xdr:txBody>
    </xdr:sp>
    <xdr:clientData/>
  </xdr:twoCellAnchor>
  <xdr:twoCellAnchor>
    <xdr:from>
      <xdr:col>37</xdr:col>
      <xdr:colOff>123093</xdr:colOff>
      <xdr:row>93</xdr:row>
      <xdr:rowOff>137748</xdr:rowOff>
    </xdr:from>
    <xdr:to>
      <xdr:col>40</xdr:col>
      <xdr:colOff>276958</xdr:colOff>
      <xdr:row>95</xdr:row>
      <xdr:rowOff>13190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FCD75CBC-B844-4269-B1B8-689161850D9C}"/>
            </a:ext>
          </a:extLst>
        </xdr:cNvPr>
        <xdr:cNvSpPr/>
      </xdr:nvSpPr>
      <xdr:spPr>
        <a:xfrm>
          <a:off x="10600593" y="2423748"/>
          <a:ext cx="1011115" cy="256442"/>
        </a:xfrm>
        <a:prstGeom prst="roundRect">
          <a:avLst/>
        </a:prstGeom>
        <a:solidFill>
          <a:srgbClr val="85BD5F"/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GUARDAR</a:t>
          </a:r>
        </a:p>
      </xdr:txBody>
    </xdr:sp>
    <xdr:clientData/>
  </xdr:twoCellAnchor>
  <xdr:twoCellAnchor>
    <xdr:from>
      <xdr:col>37</xdr:col>
      <xdr:colOff>123175</xdr:colOff>
      <xdr:row>66</xdr:row>
      <xdr:rowOff>135529</xdr:rowOff>
    </xdr:from>
    <xdr:to>
      <xdr:col>40</xdr:col>
      <xdr:colOff>262890</xdr:colOff>
      <xdr:row>68</xdr:row>
      <xdr:rowOff>9505</xdr:rowOff>
    </xdr:to>
    <xdr:sp macro="[0]!GUARDAR_ALTA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A1059810-81AA-4FE3-92C3-96BB63609B70}"/>
            </a:ext>
          </a:extLst>
        </xdr:cNvPr>
        <xdr:cNvSpPr/>
      </xdr:nvSpPr>
      <xdr:spPr>
        <a:xfrm>
          <a:off x="10600675" y="2421529"/>
          <a:ext cx="996965" cy="254976"/>
        </a:xfrm>
        <a:prstGeom prst="roundRect">
          <a:avLst/>
        </a:prstGeom>
        <a:solidFill>
          <a:srgbClr val="85BD5F"/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GUARDAR</a:t>
          </a:r>
        </a:p>
      </xdr:txBody>
    </xdr:sp>
    <xdr:clientData/>
  </xdr:twoCellAnchor>
  <xdr:twoCellAnchor>
    <xdr:from>
      <xdr:col>18</xdr:col>
      <xdr:colOff>142875</xdr:colOff>
      <xdr:row>1</xdr:row>
      <xdr:rowOff>133350</xdr:rowOff>
    </xdr:from>
    <xdr:to>
      <xdr:col>20</xdr:col>
      <xdr:colOff>28574</xdr:colOff>
      <xdr:row>5</xdr:row>
      <xdr:rowOff>136584</xdr:rowOff>
    </xdr:to>
    <xdr:sp macro="" textlink="">
      <xdr:nvSpPr>
        <xdr:cNvPr id="27" name="Flecha: hacia abajo 26">
          <a:extLst>
            <a:ext uri="{FF2B5EF4-FFF2-40B4-BE49-F238E27FC236}">
              <a16:creationId xmlns:a16="http://schemas.microsoft.com/office/drawing/2014/main" id="{1A916213-2922-48B1-AAA1-B9CFAE83FE8D}"/>
            </a:ext>
          </a:extLst>
        </xdr:cNvPr>
        <xdr:cNvSpPr/>
      </xdr:nvSpPr>
      <xdr:spPr>
        <a:xfrm rot="8786748">
          <a:off x="5191125" y="323850"/>
          <a:ext cx="457199" cy="765234"/>
        </a:xfrm>
        <a:prstGeom prst="downArrow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MX" sz="1800"/>
            <a:t>clic</a:t>
          </a:r>
        </a:p>
      </xdr:txBody>
    </xdr:sp>
    <xdr:clientData/>
  </xdr:twoCellAnchor>
  <xdr:twoCellAnchor>
    <xdr:from>
      <xdr:col>40</xdr:col>
      <xdr:colOff>247650</xdr:colOff>
      <xdr:row>70</xdr:row>
      <xdr:rowOff>38100</xdr:rowOff>
    </xdr:from>
    <xdr:to>
      <xdr:col>42</xdr:col>
      <xdr:colOff>133349</xdr:colOff>
      <xdr:row>74</xdr:row>
      <xdr:rowOff>38100</xdr:rowOff>
    </xdr:to>
    <xdr:sp macro="" textlink="">
      <xdr:nvSpPr>
        <xdr:cNvPr id="34" name="Flecha: hacia abajo 33">
          <a:extLst>
            <a:ext uri="{FF2B5EF4-FFF2-40B4-BE49-F238E27FC236}">
              <a16:creationId xmlns:a16="http://schemas.microsoft.com/office/drawing/2014/main" id="{FCD46B02-CC26-4807-B43F-E810B4E62028}"/>
            </a:ext>
          </a:extLst>
        </xdr:cNvPr>
        <xdr:cNvSpPr/>
      </xdr:nvSpPr>
      <xdr:spPr>
        <a:xfrm rot="8786748">
          <a:off x="11582400" y="3086100"/>
          <a:ext cx="457199" cy="762000"/>
        </a:xfrm>
        <a:prstGeom prst="downArrow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MX" sz="1800"/>
            <a:t>clic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21091</xdr:colOff>
      <xdr:row>3</xdr:row>
      <xdr:rowOff>63691</xdr:rowOff>
    </xdr:from>
    <xdr:ext cx="1487219" cy="1786012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291" y="635191"/>
          <a:ext cx="1487219" cy="1786012"/>
        </a:xfrm>
        <a:prstGeom prst="rect">
          <a:avLst/>
        </a:prstGeom>
      </xdr:spPr>
    </xdr:pic>
    <xdr:clientData/>
  </xdr:oneCellAnchor>
  <xdr:twoCellAnchor editAs="oneCell">
    <xdr:from>
      <xdr:col>3</xdr:col>
      <xdr:colOff>28575</xdr:colOff>
      <xdr:row>45</xdr:row>
      <xdr:rowOff>180975</xdr:rowOff>
    </xdr:from>
    <xdr:to>
      <xdr:col>5</xdr:col>
      <xdr:colOff>153865</xdr:colOff>
      <xdr:row>55</xdr:row>
      <xdr:rowOff>60812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8275" y="8734425"/>
          <a:ext cx="1773115" cy="1775312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4</xdr:row>
      <xdr:rowOff>76199</xdr:rowOff>
    </xdr:from>
    <xdr:to>
      <xdr:col>17</xdr:col>
      <xdr:colOff>1362075</xdr:colOff>
      <xdr:row>12</xdr:row>
      <xdr:rowOff>123824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8DEEB48C-649F-4D08-964C-EB706B2A7CA6}"/>
            </a:ext>
          </a:extLst>
        </xdr:cNvPr>
        <xdr:cNvSpPr/>
      </xdr:nvSpPr>
      <xdr:spPr>
        <a:xfrm>
          <a:off x="10182225" y="828674"/>
          <a:ext cx="1314450" cy="1571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BOTON QUE COPIE ESTE NÚMERO Y LO</a:t>
          </a:r>
          <a:r>
            <a:rPr lang="es-MX" sz="1100" baseline="0"/>
            <a:t> PEGUE EN EXTENDIDO F2 PARA QUE SE LLENE EL RECIBO (ESTA) EN AUTOMATICO</a:t>
          </a:r>
        </a:p>
        <a:p>
          <a:pPr algn="l"/>
          <a:endParaRPr lang="es-MX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190499</xdr:colOff>
      <xdr:row>0</xdr:row>
      <xdr:rowOff>1</xdr:rowOff>
    </xdr:from>
    <xdr:to>
      <xdr:col>3</xdr:col>
      <xdr:colOff>409575</xdr:colOff>
      <xdr:row>1</xdr:row>
      <xdr:rowOff>0</xdr:rowOff>
    </xdr:to>
    <xdr:sp macro="[0]!MOSTRAR_LISTAS" textlink="">
      <xdr:nvSpPr>
        <xdr:cNvPr id="5" name="Rectángulo 4">
          <a:extLst>
            <a:ext uri="{FF2B5EF4-FFF2-40B4-BE49-F238E27FC236}">
              <a16:creationId xmlns:a16="http://schemas.microsoft.com/office/drawing/2014/main" id="{73D357A7-75E1-4C5F-99D4-3BCCA018E296}"/>
            </a:ext>
          </a:extLst>
        </xdr:cNvPr>
        <xdr:cNvSpPr/>
      </xdr:nvSpPr>
      <xdr:spPr>
        <a:xfrm>
          <a:off x="2095499" y="1"/>
          <a:ext cx="1171576" cy="19049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chemeClr val="bg1"/>
              </a:solidFill>
            </a:rPr>
            <a:t>VER</a:t>
          </a:r>
          <a:r>
            <a:rPr lang="es-MX" sz="1100" baseline="0">
              <a:solidFill>
                <a:schemeClr val="bg1"/>
              </a:solidFill>
            </a:rPr>
            <a:t> / OCULTAR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171450</xdr:colOff>
      <xdr:row>100</xdr:row>
      <xdr:rowOff>133350</xdr:rowOff>
    </xdr:from>
    <xdr:to>
      <xdr:col>3</xdr:col>
      <xdr:colOff>390526</xdr:colOff>
      <xdr:row>102</xdr:row>
      <xdr:rowOff>9524</xdr:rowOff>
    </xdr:to>
    <xdr:sp macro="[0]!MOSTRAR_DEDUCCIONES" textlink="">
      <xdr:nvSpPr>
        <xdr:cNvPr id="7" name="Rectángulo 6">
          <a:extLst>
            <a:ext uri="{FF2B5EF4-FFF2-40B4-BE49-F238E27FC236}">
              <a16:creationId xmlns:a16="http://schemas.microsoft.com/office/drawing/2014/main" id="{86741B9A-755C-4897-AF26-AEB9DF058EF0}"/>
            </a:ext>
          </a:extLst>
        </xdr:cNvPr>
        <xdr:cNvSpPr/>
      </xdr:nvSpPr>
      <xdr:spPr>
        <a:xfrm>
          <a:off x="2076450" y="514350"/>
          <a:ext cx="1171576" cy="25717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chemeClr val="bg1"/>
              </a:solidFill>
            </a:rPr>
            <a:t>VER</a:t>
          </a:r>
          <a:r>
            <a:rPr lang="es-MX" sz="1100" baseline="0">
              <a:solidFill>
                <a:schemeClr val="bg1"/>
              </a:solidFill>
            </a:rPr>
            <a:t> / OCULTAR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1000</xdr:row>
      <xdr:rowOff>142875</xdr:rowOff>
    </xdr:from>
    <xdr:to>
      <xdr:col>3</xdr:col>
      <xdr:colOff>352426</xdr:colOff>
      <xdr:row>1002</xdr:row>
      <xdr:rowOff>19049</xdr:rowOff>
    </xdr:to>
    <xdr:sp macro="[0]!MOSTRAR_PERCEPCIONES" textlink="">
      <xdr:nvSpPr>
        <xdr:cNvPr id="8" name="Rectángulo 7">
          <a:extLst>
            <a:ext uri="{FF2B5EF4-FFF2-40B4-BE49-F238E27FC236}">
              <a16:creationId xmlns:a16="http://schemas.microsoft.com/office/drawing/2014/main" id="{829682A5-3583-4E11-95FE-322475C1F836}"/>
            </a:ext>
          </a:extLst>
        </xdr:cNvPr>
        <xdr:cNvSpPr/>
      </xdr:nvSpPr>
      <xdr:spPr>
        <a:xfrm>
          <a:off x="2038350" y="1476375"/>
          <a:ext cx="1171576" cy="25717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chemeClr val="bg1"/>
              </a:solidFill>
            </a:rPr>
            <a:t>VER</a:t>
          </a:r>
          <a:r>
            <a:rPr lang="es-MX" sz="1100" baseline="0">
              <a:solidFill>
                <a:schemeClr val="bg1"/>
              </a:solidFill>
            </a:rPr>
            <a:t> / OCULTAR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552450</xdr:colOff>
      <xdr:row>0</xdr:row>
      <xdr:rowOff>180975</xdr:rowOff>
    </xdr:from>
    <xdr:to>
      <xdr:col>4</xdr:col>
      <xdr:colOff>57149</xdr:colOff>
      <xdr:row>102</xdr:row>
      <xdr:rowOff>180975</xdr:rowOff>
    </xdr:to>
    <xdr:sp macro="" textlink="">
      <xdr:nvSpPr>
        <xdr:cNvPr id="6" name="Flecha: hacia abajo 5">
          <a:extLst>
            <a:ext uri="{FF2B5EF4-FFF2-40B4-BE49-F238E27FC236}">
              <a16:creationId xmlns:a16="http://schemas.microsoft.com/office/drawing/2014/main" id="{198DA2C9-0CFF-4F9F-855F-6DFB1001EC43}"/>
            </a:ext>
          </a:extLst>
        </xdr:cNvPr>
        <xdr:cNvSpPr/>
      </xdr:nvSpPr>
      <xdr:spPr>
        <a:xfrm rot="8786748">
          <a:off x="2667000" y="180975"/>
          <a:ext cx="457199" cy="762000"/>
        </a:xfrm>
        <a:prstGeom prst="downArrow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MX" sz="1800"/>
            <a:t>clic</a:t>
          </a:r>
        </a:p>
      </xdr:txBody>
    </xdr:sp>
    <xdr:clientData/>
  </xdr:twoCellAnchor>
  <xdr:twoCellAnchor>
    <xdr:from>
      <xdr:col>3</xdr:col>
      <xdr:colOff>419100</xdr:colOff>
      <xdr:row>102</xdr:row>
      <xdr:rowOff>38100</xdr:rowOff>
    </xdr:from>
    <xdr:to>
      <xdr:col>3</xdr:col>
      <xdr:colOff>876299</xdr:colOff>
      <xdr:row>1001</xdr:row>
      <xdr:rowOff>38100</xdr:rowOff>
    </xdr:to>
    <xdr:sp macro="" textlink="">
      <xdr:nvSpPr>
        <xdr:cNvPr id="9" name="Flecha: hacia abajo 8">
          <a:extLst>
            <a:ext uri="{FF2B5EF4-FFF2-40B4-BE49-F238E27FC236}">
              <a16:creationId xmlns:a16="http://schemas.microsoft.com/office/drawing/2014/main" id="{6A7CBB42-F5A1-4F22-AAA9-84AEC98A92FC}"/>
            </a:ext>
          </a:extLst>
        </xdr:cNvPr>
        <xdr:cNvSpPr/>
      </xdr:nvSpPr>
      <xdr:spPr>
        <a:xfrm rot="8786748">
          <a:off x="2533650" y="800100"/>
          <a:ext cx="457199" cy="762000"/>
        </a:xfrm>
        <a:prstGeom prst="downArrow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MX" sz="1800"/>
            <a:t>clic</a:t>
          </a:r>
        </a:p>
      </xdr:txBody>
    </xdr:sp>
    <xdr:clientData/>
  </xdr:twoCellAnchor>
  <xdr:twoCellAnchor>
    <xdr:from>
      <xdr:col>3</xdr:col>
      <xdr:colOff>342900</xdr:colOff>
      <xdr:row>1002</xdr:row>
      <xdr:rowOff>57149</xdr:rowOff>
    </xdr:from>
    <xdr:to>
      <xdr:col>3</xdr:col>
      <xdr:colOff>800099</xdr:colOff>
      <xdr:row>1901</xdr:row>
      <xdr:rowOff>57149</xdr:rowOff>
    </xdr:to>
    <xdr:sp macro="" textlink="">
      <xdr:nvSpPr>
        <xdr:cNvPr id="10" name="Flecha: hacia abajo 9">
          <a:extLst>
            <a:ext uri="{FF2B5EF4-FFF2-40B4-BE49-F238E27FC236}">
              <a16:creationId xmlns:a16="http://schemas.microsoft.com/office/drawing/2014/main" id="{DE06D3F9-5CEB-412F-8795-120B30D4FA26}"/>
            </a:ext>
          </a:extLst>
        </xdr:cNvPr>
        <xdr:cNvSpPr/>
      </xdr:nvSpPr>
      <xdr:spPr>
        <a:xfrm rot="8786748">
          <a:off x="2457450" y="1771649"/>
          <a:ext cx="457199" cy="762000"/>
        </a:xfrm>
        <a:prstGeom prst="downArrow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MX" sz="1800"/>
            <a:t>clic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201706</xdr:colOff>
      <xdr:row>5</xdr:row>
      <xdr:rowOff>174811</xdr:rowOff>
    </xdr:from>
    <xdr:to>
      <xdr:col>3</xdr:col>
      <xdr:colOff>930088</xdr:colOff>
      <xdr:row>7</xdr:row>
      <xdr:rowOff>50987</xdr:rowOff>
    </xdr:to>
    <xdr:sp macro="" textlink="'TABLAS PARA REPORTES'!E1">
      <xdr:nvSpPr>
        <xdr:cNvPr id="6" name="Rectángulo: esquinas diagonales redondeadas 5">
          <a:extLst>
            <a:ext uri="{FF2B5EF4-FFF2-40B4-BE49-F238E27FC236}">
              <a16:creationId xmlns:a16="http://schemas.microsoft.com/office/drawing/2014/main" id="{63CF1CA5-E0C7-4637-B130-D683F6794385}"/>
            </a:ext>
          </a:extLst>
        </xdr:cNvPr>
        <xdr:cNvSpPr/>
      </xdr:nvSpPr>
      <xdr:spPr>
        <a:xfrm>
          <a:off x="3350559" y="1250576"/>
          <a:ext cx="728382" cy="301999"/>
        </a:xfrm>
        <a:prstGeom prst="round2Diag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A22B8A0-CACB-4EFF-B27F-09F5063DAD15}" type="TxLink">
            <a:rPr lang="en-US" sz="2000" b="0" i="0" u="none" strike="noStrike">
              <a:solidFill>
                <a:schemeClr val="bg1"/>
              </a:solidFill>
              <a:latin typeface="Consolas" panose="020B0609020204030204" pitchFamily="49" charset="0"/>
              <a:cs typeface="Times New Roman"/>
            </a:rPr>
            <a:pPr algn="ctr"/>
            <a:t>27</a:t>
          </a:fld>
          <a:endParaRPr lang="en-US" sz="2000" b="0" i="0">
            <a:solidFill>
              <a:schemeClr val="bg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</xdr:col>
      <xdr:colOff>952500</xdr:colOff>
      <xdr:row>7</xdr:row>
      <xdr:rowOff>152401</xdr:rowOff>
    </xdr:from>
    <xdr:to>
      <xdr:col>1</xdr:col>
      <xdr:colOff>1546412</xdr:colOff>
      <xdr:row>9</xdr:row>
      <xdr:rowOff>28576</xdr:rowOff>
    </xdr:to>
    <xdr:sp macro="" textlink="'TABLAS PARA REPORTES'!D82">
      <xdr:nvSpPr>
        <xdr:cNvPr id="7" name="Rectángulo: esquinas diagonales redondeadas 6">
          <a:extLst>
            <a:ext uri="{FF2B5EF4-FFF2-40B4-BE49-F238E27FC236}">
              <a16:creationId xmlns:a16="http://schemas.microsoft.com/office/drawing/2014/main" id="{867A5980-8767-406D-A8EB-59CEE774D3F4}"/>
            </a:ext>
          </a:extLst>
        </xdr:cNvPr>
        <xdr:cNvSpPr/>
      </xdr:nvSpPr>
      <xdr:spPr>
        <a:xfrm flipH="1">
          <a:off x="1434353" y="1653989"/>
          <a:ext cx="593912" cy="301999"/>
        </a:xfrm>
        <a:prstGeom prst="round2Diag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B35D635-9061-4E75-9573-4BA781AFEE2B}" type="TxLink">
            <a:rPr lang="en-US" sz="1500" b="0" i="0" u="none" strike="noStrike">
              <a:solidFill>
                <a:schemeClr val="bg1"/>
              </a:solidFill>
              <a:latin typeface="Consolas" panose="020B0609020204030204" pitchFamily="49" charset="0"/>
              <a:cs typeface="Times New Roman"/>
            </a:rPr>
            <a:pPr algn="ctr"/>
            <a:t>20</a:t>
          </a:fld>
          <a:endParaRPr lang="es-MX" sz="1500" b="0" i="0">
            <a:solidFill>
              <a:schemeClr val="bg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21</xdr:col>
      <xdr:colOff>114861</xdr:colOff>
      <xdr:row>30</xdr:row>
      <xdr:rowOff>101974</xdr:rowOff>
    </xdr:from>
    <xdr:to>
      <xdr:col>28</xdr:col>
      <xdr:colOff>444314</xdr:colOff>
      <xdr:row>45</xdr:row>
      <xdr:rowOff>159124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B63D55F-9B70-4D93-A8D6-39726C967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540684</xdr:colOff>
      <xdr:row>3</xdr:row>
      <xdr:rowOff>126627</xdr:rowOff>
    </xdr:from>
    <xdr:to>
      <xdr:col>5</xdr:col>
      <xdr:colOff>254934</xdr:colOff>
      <xdr:row>5</xdr:row>
      <xdr:rowOff>31377</xdr:rowOff>
    </xdr:to>
    <xdr:sp macro="" textlink="'TABLAS PARA REPORTES'!C39">
      <xdr:nvSpPr>
        <xdr:cNvPr id="8" name="Rectángulo: esquinas diagonales redondeadas 7">
          <a:extLst>
            <a:ext uri="{FF2B5EF4-FFF2-40B4-BE49-F238E27FC236}">
              <a16:creationId xmlns:a16="http://schemas.microsoft.com/office/drawing/2014/main" id="{33B18BCD-752C-4AEF-86E4-FF178A09EE26}"/>
            </a:ext>
          </a:extLst>
        </xdr:cNvPr>
        <xdr:cNvSpPr/>
      </xdr:nvSpPr>
      <xdr:spPr>
        <a:xfrm>
          <a:off x="4742890" y="653303"/>
          <a:ext cx="767603" cy="453839"/>
        </a:xfrm>
        <a:prstGeom prst="round2Diag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AD13BB8-6582-4840-A216-E14CB22E7074}" type="TxLink">
            <a:rPr lang="en-US" sz="2000" b="0" i="0" u="none" strike="noStrike">
              <a:solidFill>
                <a:schemeClr val="bg1"/>
              </a:solidFill>
              <a:latin typeface="Consolas" panose="020B0609020204030204" pitchFamily="49" charset="0"/>
              <a:cs typeface="Times New Roman"/>
            </a:rPr>
            <a:pPr algn="ctr"/>
            <a:t>474</a:t>
          </a:fld>
          <a:endParaRPr lang="es-MX" sz="4400" b="0" i="0">
            <a:solidFill>
              <a:schemeClr val="bg1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7</xdr:col>
      <xdr:colOff>95250</xdr:colOff>
      <xdr:row>2</xdr:row>
      <xdr:rowOff>171450</xdr:rowOff>
    </xdr:from>
    <xdr:to>
      <xdr:col>7</xdr:col>
      <xdr:colOff>95250</xdr:colOff>
      <xdr:row>10</xdr:row>
      <xdr:rowOff>66675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BB1756B2-BF95-45BC-BF98-D2B6F6CCB6AB}"/>
            </a:ext>
          </a:extLst>
        </xdr:cNvPr>
        <xdr:cNvCxnSpPr/>
      </xdr:nvCxnSpPr>
      <xdr:spPr>
        <a:xfrm>
          <a:off x="5734050" y="476250"/>
          <a:ext cx="0" cy="1695450"/>
        </a:xfrm>
        <a:prstGeom prst="line">
          <a:avLst/>
        </a:prstGeom>
        <a:ln w="762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arliy Ezequiel" id="{28122560-B430-42B5-AFEB-E0A86EE2A174}" userId="8e6e9fabfc62bd39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4739.57626076389" createdVersion="7" refreshedVersion="7" minRefreshableVersion="3" recordCount="143" xr:uid="{FFE9B971-80E8-4269-A25E-2E5A60DACA67}">
  <cacheSource type="worksheet">
    <worksheetSource name="BDDBAJAS"/>
  </cacheSource>
  <cacheFields count="13">
    <cacheField name="NO. EMP" numFmtId="0">
      <sharedItems containsSemiMixedTypes="0" containsString="0" containsNumber="1" containsInteger="1" minValue="106" maxValue="732"/>
    </cacheField>
    <cacheField name="NOMBRE COMPLETO" numFmtId="0">
      <sharedItems/>
    </cacheField>
    <cacheField name="ULT SUE MENS" numFmtId="165">
      <sharedItems containsSemiMixedTypes="0" containsString="0" containsNumber="1" containsInteger="1" minValue="4860" maxValue="18580"/>
    </cacheField>
    <cacheField name="FECHA ING." numFmtId="14">
      <sharedItems containsSemiMixedTypes="0" containsNonDate="0" containsDate="1" containsString="0" minDate="1998-12-10T00:00:00" maxDate="2021-10-06T00:00:00"/>
    </cacheField>
    <cacheField name="FECHA SAL." numFmtId="14">
      <sharedItems containsSemiMixedTypes="0" containsNonDate="0" containsDate="1" containsString="0" minDate="2010-10-11T00:00:00" maxDate="2021-10-07T00:00:00" count="141">
        <d v="2018-12-10T00:00:00"/>
        <d v="2015-02-07T00:00:00"/>
        <d v="2016-07-09T00:00:00"/>
        <d v="2019-12-12T00:00:00"/>
        <d v="2017-10-24T00:00:00"/>
        <d v="2012-09-07T00:00:00"/>
        <d v="2015-04-11T00:00:00"/>
        <d v="2016-04-14T00:00:00"/>
        <d v="2016-08-16T00:00:00"/>
        <d v="2019-03-11T00:00:00"/>
        <d v="2019-05-07T00:00:00"/>
        <d v="2019-05-11T00:00:00"/>
        <d v="2020-03-09T00:00:00"/>
        <d v="2017-02-05T00:00:00"/>
        <d v="2012-01-15T00:00:00"/>
        <d v="2012-02-13T00:00:00"/>
        <d v="2012-02-14T00:00:00"/>
        <d v="2012-03-09T00:00:00"/>
        <d v="2012-04-09T00:00:00"/>
        <d v="2011-09-20T00:00:00"/>
        <d v="2012-04-19T00:00:00"/>
        <d v="2012-04-07T00:00:00"/>
        <d v="2012-07-08T00:00:00"/>
        <d v="2012-07-23T00:00:00"/>
        <d v="2012-08-06T00:00:00"/>
        <d v="2012-05-24T00:00:00"/>
        <d v="2013-01-29T00:00:00"/>
        <d v="2013-01-08T00:00:00"/>
        <d v="2013-02-27T00:00:00"/>
        <d v="2012-07-25T00:00:00"/>
        <d v="2013-07-22T00:00:00"/>
        <d v="2013-10-02T00:00:00"/>
        <d v="2013-03-11T00:00:00"/>
        <d v="2013-10-17T00:00:00"/>
        <d v="2013-12-16T00:00:00"/>
        <d v="2014-02-24T00:00:00"/>
        <d v="2014-04-05T00:00:00"/>
        <d v="2014-05-05T00:00:00"/>
        <d v="2014-05-07T00:00:00"/>
        <d v="2014-01-25T00:00:00"/>
        <d v="2014-03-12T00:00:00"/>
        <d v="2014-11-11T00:00:00"/>
        <d v="2015-02-19T00:00:00"/>
        <d v="2014-05-26T00:00:00"/>
        <d v="2014-08-24T00:00:00"/>
        <d v="2015-08-10T00:00:00"/>
        <d v="2015-02-27T00:00:00"/>
        <d v="2015-02-11T00:00:00"/>
        <d v="2015-08-07T00:00:00"/>
        <d v="2015-08-04T00:00:00"/>
        <d v="2015-11-18T00:00:00"/>
        <d v="2015-09-30T00:00:00"/>
        <d v="2016-08-05T00:00:00"/>
        <d v="2016-08-08T00:00:00"/>
        <d v="2016-09-24T00:00:00"/>
        <d v="2016-05-24T00:00:00"/>
        <d v="2017-02-14T00:00:00"/>
        <d v="2017-03-05T00:00:00"/>
        <d v="2016-08-03T00:00:00"/>
        <d v="2017-01-28T00:00:00"/>
        <d v="2016-10-13T00:00:00"/>
        <d v="2017-04-01T00:00:00"/>
        <d v="2017-07-12T00:00:00"/>
        <d v="2017-02-17T00:00:00"/>
        <d v="2017-04-08T00:00:00"/>
        <d v="2017-05-31T00:00:00"/>
        <d v="2018-01-27T00:00:00"/>
        <d v="2018-02-14T00:00:00"/>
        <d v="2018-06-19T00:00:00"/>
        <d v="2019-02-24T00:00:00"/>
        <d v="2018-05-27T00:00:00"/>
        <d v="2019-03-21T00:00:00"/>
        <d v="2019-05-10T00:00:00"/>
        <d v="2019-07-27T00:00:00"/>
        <d v="2019-06-16T00:00:00"/>
        <d v="2019-05-08T00:00:00"/>
        <d v="2019-01-16T00:00:00"/>
        <d v="2019-09-18T00:00:00"/>
        <d v="2019-02-13T00:00:00"/>
        <d v="2019-10-16T00:00:00"/>
        <d v="2019-11-01T00:00:00"/>
        <d v="2019-09-09T00:00:00"/>
        <d v="2019-11-28T00:00:00"/>
        <d v="2020-02-20T00:00:00"/>
        <d v="2019-07-25T00:00:00"/>
        <d v="2019-09-26T00:00:00"/>
        <d v="2019-10-20T00:00:00"/>
        <d v="2020-06-04T00:00:00"/>
        <d v="2020-12-09T00:00:00"/>
        <d v="2020-10-23T00:00:00"/>
        <d v="2020-11-06T00:00:00"/>
        <d v="2020-08-20T00:00:00"/>
        <d v="2020-12-29T00:00:00"/>
        <d v="2020-07-01T00:00:00"/>
        <d v="2021-07-09T00:00:00"/>
        <d v="2020-11-26T00:00:00"/>
        <d v="2021-04-10T00:00:00"/>
        <d v="2021-08-01T00:00:00"/>
        <d v="2021-04-19T00:00:00"/>
        <d v="2021-10-05T00:00:00"/>
        <d v="2020-07-15T00:00:00"/>
        <d v="2020-04-04T00:00:00"/>
        <d v="2017-03-16T00:00:00"/>
        <d v="2018-07-24T00:00:00"/>
        <d v="2013-11-19T00:00:00"/>
        <d v="2010-10-11T00:00:00"/>
        <d v="2011-11-11T00:00:00"/>
        <d v="2012-03-26T00:00:00"/>
        <d v="2012-08-29T00:00:00"/>
        <d v="2014-02-08T00:00:00"/>
        <d v="2013-10-29T00:00:00"/>
        <d v="2013-12-30T00:00:00"/>
        <d v="2013-11-09T00:00:00"/>
        <d v="2014-12-25T00:00:00"/>
        <d v="2015-04-05T00:00:00"/>
        <d v="2015-04-09T00:00:00"/>
        <d v="2016-01-20T00:00:00"/>
        <d v="2017-09-02T00:00:00"/>
        <d v="2018-01-23T00:00:00"/>
        <d v="2018-12-15T00:00:00"/>
        <d v="2019-03-20T00:00:00"/>
        <d v="2019-06-20T00:00:00"/>
        <d v="2019-03-01T00:00:00"/>
        <d v="2019-07-18T00:00:00"/>
        <d v="2020-04-29T00:00:00"/>
        <d v="2020-07-10T00:00:00"/>
        <d v="2021-01-28T00:00:00"/>
        <d v="2021-04-04T00:00:00"/>
        <d v="2020-12-25T00:00:00"/>
        <d v="2021-04-01T00:00:00"/>
        <d v="2021-05-12T00:00:00"/>
        <d v="2021-09-01T00:00:00"/>
        <d v="2021-09-30T00:00:00"/>
        <d v="2021-04-23T00:00:00"/>
        <d v="2021-05-21T00:00:00"/>
        <d v="2021-03-15T00:00:00"/>
        <d v="2021-05-28T00:00:00"/>
        <d v="2021-07-25T00:00:00"/>
        <d v="2021-07-14T00:00:00"/>
        <d v="2021-09-22T00:00:00"/>
        <d v="2021-10-06T00:00:00"/>
      </sharedItems>
      <fieldGroup par="12" base="4">
        <rangePr groupBy="months" startDate="2010-10-11T00:00:00" endDate="2021-10-07T00:00:00"/>
        <groupItems count="14">
          <s v="&lt;11/10/201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7/10/2021"/>
        </groupItems>
      </fieldGroup>
    </cacheField>
    <cacheField name="DEPARTAMENTO" numFmtId="0">
      <sharedItems count="9">
        <s v="DIRECCIÓN"/>
        <s v="TECNOLOGÍA"/>
        <s v="DIV INGENRIA"/>
        <s v="FINANZAS"/>
        <s v="DIV ARQUIT"/>
        <s v="AUDITORÍA"/>
        <s v="CONTRATOS"/>
        <s v="CPTAL HUMANO"/>
        <s v="CONTABILIDAD"/>
      </sharedItems>
    </cacheField>
    <cacheField name="SUBDEPARTAMENTO" numFmtId="0">
      <sharedItems count="22">
        <s v="CONTROL"/>
        <s v="SOFTWARE"/>
        <s v="ESTRUCTURA"/>
        <s v="MATERIALES"/>
        <s v="COMPRAS"/>
        <s v="ARQUITECT"/>
        <s v="INST CAMPO"/>
        <s v="FACTURAS"/>
        <s v="AUDIT ADMN"/>
        <s v="ANLIS COST"/>
        <s v="SOLUCIONES"/>
        <s v="COLECTIVOS"/>
        <s v="RENDER"/>
        <s v="CRÉDITOS"/>
        <s v="NÓMINAS"/>
        <s v="CONTA"/>
        <s v="AUDIT PROY"/>
        <s v="ADMINCIÓN"/>
        <s v="RECLTMTO"/>
        <s v="EXTERNOS"/>
        <s v="RELACIONES"/>
        <s v="EQUIPOS"/>
      </sharedItems>
    </cacheField>
    <cacheField name="PUESTO" numFmtId="0">
      <sharedItems count="7">
        <s v="Ejecutivo"/>
        <s v="Ejecutivo jr."/>
        <s v="Analista"/>
        <s v="ANLSTA"/>
        <s v="Practicante"/>
        <s v="COORDN"/>
        <s v="DIRECT"/>
      </sharedItems>
    </cacheField>
    <cacheField name="ANTIG.AÑOS" numFmtId="0">
      <sharedItems containsSemiMixedTypes="0" containsString="0" containsNumber="1" containsInteger="1" minValue="0" maxValue="20"/>
    </cacheField>
    <cacheField name="MOTIVO SALIDA" numFmtId="0">
      <sharedItems/>
    </cacheField>
    <cacheField name="CEL. CONTACTO" numFmtId="0">
      <sharedItems containsSemiMixedTypes="0" containsString="0" containsNumber="1" minValue="2098322132" maxValue="9889707396"/>
    </cacheField>
    <cacheField name="Trimestres" numFmtId="0" databaseField="0">
      <fieldGroup base="4">
        <rangePr groupBy="quarters" startDate="2010-10-11T00:00:00" endDate="2021-10-07T00:00:00"/>
        <groupItems count="6">
          <s v="&lt;11/10/2010"/>
          <s v="Trim.1"/>
          <s v="Trim.2"/>
          <s v="Trim.3"/>
          <s v="Trim.4"/>
          <s v="&gt;07/10/2021"/>
        </groupItems>
      </fieldGroup>
    </cacheField>
    <cacheField name="Años" numFmtId="0" databaseField="0">
      <fieldGroup base="4">
        <rangePr groupBy="years" startDate="2010-10-11T00:00:00" endDate="2021-10-07T00:00:00"/>
        <groupItems count="14">
          <s v="&lt;11/10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&gt;07/10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4740.545758217595" createdVersion="7" refreshedVersion="7" minRefreshableVersion="3" recordCount="490" xr:uid="{306FE7D2-3E59-4623-A874-2CED4BEDD024}">
  <cacheSource type="worksheet">
    <worksheetSource name="BDD"/>
  </cacheSource>
  <cacheFields count="53">
    <cacheField name="NEM" numFmtId="0">
      <sharedItems containsSemiMixedTypes="0" containsString="0" containsNumber="1" containsInteger="1" minValue="101" maxValue="737"/>
    </cacheField>
    <cacheField name="NOMBRE" numFmtId="0">
      <sharedItems/>
    </cacheField>
    <cacheField name="SUE MENS" numFmtId="0">
      <sharedItems containsSemiMixedTypes="0" containsString="0" containsNumber="1" containsInteger="1" minValue="0" maxValue="64200"/>
    </cacheField>
    <cacheField name="SUE DIA" numFmtId="0">
      <sharedItems containsSemiMixedTypes="0" containsString="0" containsNumber="1" minValue="0" maxValue="2140"/>
    </cacheField>
    <cacheField name="SUE QUIN" numFmtId="0">
      <sharedItems containsSemiMixedTypes="0" containsString="0" containsNumber="1" minValue="0" maxValue="32100"/>
    </cacheField>
    <cacheField name="FECHA ING." numFmtId="14">
      <sharedItems containsSemiMixedTypes="0" containsNonDate="0" containsDate="1" containsString="0" minDate="1997-11-02T00:00:00" maxDate="2022-06-29T00:00:00" count="446">
        <d v="1997-11-02T00:00:00"/>
        <d v="2015-07-09T00:00:00"/>
        <d v="2007-02-02T00:00:00"/>
        <d v="2003-05-07T00:00:00"/>
        <d v="2016-02-29T00:00:00"/>
        <d v="2007-12-03T00:00:00"/>
        <d v="2018-12-05T00:00:00"/>
        <d v="2009-01-01T00:00:00"/>
        <d v="2018-11-12T00:00:00"/>
        <d v="2006-05-09T00:00:00"/>
        <d v="2018-08-06T00:00:00"/>
        <d v="2020-06-18T00:00:00"/>
        <d v="2005-07-16T00:00:00"/>
        <d v="2010-10-05T00:00:00"/>
        <d v="2014-08-08T00:00:00"/>
        <d v="2011-09-05T00:00:00"/>
        <d v="2012-03-06T00:00:00"/>
        <d v="2019-12-04T00:00:00"/>
        <d v="2018-01-07T00:00:00"/>
        <d v="2015-07-20T00:00:00"/>
        <d v="2016-08-16T00:00:00"/>
        <d v="2014-11-11T00:00:00"/>
        <d v="2015-03-12T00:00:00"/>
        <d v="2016-01-08T00:00:00"/>
        <d v="2020-06-12T00:00:00"/>
        <d v="2018-04-22T00:00:00"/>
        <d v="2015-01-20T00:00:00"/>
        <d v="2016-02-17T00:00:00"/>
        <d v="2009-06-10T00:00:00"/>
        <d v="2017-04-18T00:00:00"/>
        <d v="2013-05-02T00:00:00"/>
        <d v="2020-06-16T00:00:00"/>
        <d v="2015-10-09T00:00:00"/>
        <d v="2016-08-18T00:00:00"/>
        <d v="2018-07-01T00:00:00"/>
        <d v="2016-09-07T00:00:00"/>
        <d v="2017-02-26T00:00:00"/>
        <d v="2016-04-20T00:00:00"/>
        <d v="2015-12-14T00:00:00"/>
        <d v="2018-09-02T00:00:00"/>
        <d v="2017-11-24T00:00:00"/>
        <d v="2018-08-07T00:00:00"/>
        <d v="2012-03-29T00:00:00"/>
        <d v="2017-02-10T00:00:00"/>
        <d v="2017-05-05T00:00:00"/>
        <d v="2017-12-26T00:00:00"/>
        <d v="2015-07-28T00:00:00"/>
        <d v="2020-05-16T00:00:00"/>
        <d v="2016-11-10T00:00:00"/>
        <d v="2015-12-31T00:00:00"/>
        <d v="2006-06-07T00:00:00"/>
        <d v="2020-05-06T00:00:00"/>
        <d v="2018-07-10T00:00:00"/>
        <d v="2017-01-05T00:00:00"/>
        <d v="2015-01-26T00:00:00"/>
        <d v="2020-03-14T00:00:00"/>
        <d v="2019-04-01T00:00:00"/>
        <d v="2016-04-01T00:00:00"/>
        <d v="2016-07-25T00:00:00"/>
        <d v="2019-06-10T00:00:00"/>
        <d v="2018-09-14T00:00:00"/>
        <d v="2015-11-20T00:00:00"/>
        <d v="2018-06-17T00:00:00"/>
        <d v="2022-01-01T00:00:00"/>
        <d v="2013-05-14T00:00:00"/>
        <d v="2020-07-26T00:00:00"/>
        <d v="2020-07-25T00:00:00"/>
        <d v="2010-07-24T00:00:00"/>
        <d v="2020-02-13T00:00:00"/>
        <d v="2018-09-13T00:00:00"/>
        <d v="2017-10-07T00:00:00"/>
        <d v="2014-03-03T00:00:00"/>
        <d v="2018-06-11T00:00:00"/>
        <d v="2019-04-22T00:00:00"/>
        <d v="2017-10-14T00:00:00"/>
        <d v="2015-03-09T00:00:00"/>
        <d v="2008-05-05T00:00:00"/>
        <d v="2019-02-18T00:00:00"/>
        <d v="2017-02-01T00:00:00"/>
        <d v="2019-02-19T00:00:00"/>
        <d v="2007-09-30T00:00:00"/>
        <d v="2014-01-20T00:00:00"/>
        <d v="2018-05-09T00:00:00"/>
        <d v="2016-01-06T00:00:00"/>
        <d v="2016-07-08T00:00:00"/>
        <d v="2010-01-03T00:00:00"/>
        <d v="2010-02-03T00:00:00"/>
        <d v="2010-02-14T00:00:00"/>
        <d v="2010-03-06T00:00:00"/>
        <d v="2010-03-25T00:00:00"/>
        <d v="2010-03-31T00:00:00"/>
        <d v="2010-05-14T00:00:00"/>
        <d v="2010-06-08T00:00:00"/>
        <d v="2010-06-25T00:00:00"/>
        <d v="2010-08-05T00:00:00"/>
        <d v="2010-08-08T00:00:00"/>
        <d v="2010-08-27T00:00:00"/>
        <d v="2010-09-07T00:00:00"/>
        <d v="2010-09-09T00:00:00"/>
        <d v="2010-09-12T00:00:00"/>
        <d v="2010-09-15T00:00:00"/>
        <d v="2010-10-03T00:00:00"/>
        <d v="2010-10-19T00:00:00"/>
        <d v="2011-01-01T00:00:00"/>
        <d v="2011-03-02T00:00:00"/>
        <d v="2011-03-05T00:00:00"/>
        <d v="2011-04-09T00:00:00"/>
        <d v="2011-05-12T00:00:00"/>
        <d v="2011-05-22T00:00:00"/>
        <d v="2011-05-23T00:00:00"/>
        <d v="2011-07-06T00:00:00"/>
        <d v="2011-07-29T00:00:00"/>
        <d v="2011-07-30T00:00:00"/>
        <d v="2011-08-14T00:00:00"/>
        <d v="2011-09-17T00:00:00"/>
        <d v="2011-09-22T00:00:00"/>
        <d v="2011-09-24T00:00:00"/>
        <d v="2011-11-09T00:00:00"/>
        <d v="2011-11-10T00:00:00"/>
        <d v="2011-11-13T00:00:00"/>
        <d v="2011-12-10T00:00:00"/>
        <d v="2012-01-03T00:00:00"/>
        <d v="2012-01-14T00:00:00"/>
        <d v="2012-01-23T00:00:00"/>
        <d v="2012-05-31T00:00:00"/>
        <d v="2012-06-26T00:00:00"/>
        <d v="2012-07-27T00:00:00"/>
        <d v="2012-09-16T00:00:00"/>
        <d v="2012-10-10T00:00:00"/>
        <d v="2012-12-22T00:00:00"/>
        <d v="2013-01-04T00:00:00"/>
        <d v="2013-01-18T00:00:00"/>
        <d v="2013-01-23T00:00:00"/>
        <d v="2013-02-15T00:00:00"/>
        <d v="2013-03-06T00:00:00"/>
        <d v="2013-03-26T00:00:00"/>
        <d v="2013-06-01T00:00:00"/>
        <d v="2013-06-14T00:00:00"/>
        <d v="2013-06-15T00:00:00"/>
        <d v="2013-06-29T00:00:00"/>
        <d v="2013-07-11T00:00:00"/>
        <d v="2013-07-13T00:00:00"/>
        <d v="2013-07-17T00:00:00"/>
        <d v="2013-08-11T00:00:00"/>
        <d v="2013-08-27T00:00:00"/>
        <d v="2013-10-12T00:00:00"/>
        <d v="2013-12-11T00:00:00"/>
        <d v="2013-12-22T00:00:00"/>
        <d v="2014-01-05T00:00:00"/>
        <d v="2014-01-15T00:00:00"/>
        <d v="2014-02-17T00:00:00"/>
        <d v="2014-02-27T00:00:00"/>
        <d v="2014-03-10T00:00:00"/>
        <d v="2014-04-02T00:00:00"/>
        <d v="2014-06-06T00:00:00"/>
        <d v="2014-08-10T00:00:00"/>
        <d v="2014-08-21T00:00:00"/>
        <d v="2014-10-06T00:00:00"/>
        <d v="2014-10-07T00:00:00"/>
        <d v="2014-12-22T00:00:00"/>
        <d v="2014-12-24T00:00:00"/>
        <d v="2015-02-04T00:00:00"/>
        <d v="2015-02-10T00:00:00"/>
        <d v="2015-02-27T00:00:00"/>
        <d v="2015-03-04T00:00:00"/>
        <d v="2015-03-06T00:00:00"/>
        <d v="2015-03-08T00:00:00"/>
        <d v="2015-03-19T00:00:00"/>
        <d v="2015-04-08T00:00:00"/>
        <d v="2015-04-09T00:00:00"/>
        <d v="2015-04-12T00:00:00"/>
        <d v="2015-04-23T00:00:00"/>
        <d v="2015-05-07T00:00:00"/>
        <d v="2015-05-10T00:00:00"/>
        <d v="2015-05-31T00:00:00"/>
        <d v="2015-07-07T00:00:00"/>
        <d v="2015-07-08T00:00:00"/>
        <d v="2015-08-07T00:00:00"/>
        <d v="2015-08-08T00:00:00"/>
        <d v="2015-08-09T00:00:00"/>
        <d v="2015-08-10T00:00:00"/>
        <d v="2015-08-13T00:00:00"/>
        <d v="2015-08-29T00:00:00"/>
        <d v="2015-09-07T00:00:00"/>
        <d v="2015-09-08T00:00:00"/>
        <d v="2015-09-11T00:00:00"/>
        <d v="2015-09-12T00:00:00"/>
        <d v="2015-09-26T00:00:00"/>
        <d v="2015-09-27T00:00:00"/>
        <d v="2015-10-02T00:00:00"/>
        <d v="2015-10-19T00:00:00"/>
        <d v="2015-11-01T00:00:00"/>
        <d v="2015-11-14T00:00:00"/>
        <d v="2015-11-19T00:00:00"/>
        <d v="2015-11-23T00:00:00"/>
        <d v="2015-11-25T00:00:00"/>
        <d v="2015-12-04T00:00:00"/>
        <d v="2015-12-05T00:00:00"/>
        <d v="2015-12-09T00:00:00"/>
        <d v="2015-12-15T00:00:00"/>
        <d v="2015-12-27T00:00:00"/>
        <d v="2016-01-07T00:00:00"/>
        <d v="2016-01-10T00:00:00"/>
        <d v="2016-01-16T00:00:00"/>
        <d v="2016-01-22T00:00:00"/>
        <d v="2016-01-31T00:00:00"/>
        <d v="2016-02-04T00:00:00"/>
        <d v="2016-02-06T00:00:00"/>
        <d v="2016-02-09T00:00:00"/>
        <d v="2016-02-18T00:00:00"/>
        <d v="2016-03-01T00:00:00"/>
        <d v="2016-04-05T00:00:00"/>
        <d v="2016-04-14T00:00:00"/>
        <d v="2016-04-16T00:00:00"/>
        <d v="2016-04-23T00:00:00"/>
        <d v="2016-04-26T00:00:00"/>
        <d v="2016-04-27T00:00:00"/>
        <d v="2016-05-07T00:00:00"/>
        <d v="2016-05-12T00:00:00"/>
        <d v="2016-05-13T00:00:00"/>
        <d v="2016-05-24T00:00:00"/>
        <d v="2016-06-13T00:00:00"/>
        <d v="2016-06-21T00:00:00"/>
        <d v="2016-06-23T00:00:00"/>
        <d v="2016-08-06T00:00:00"/>
        <d v="2016-08-19T00:00:00"/>
        <d v="2016-08-22T00:00:00"/>
        <d v="2016-09-30T00:00:00"/>
        <d v="2016-10-01T00:00:00"/>
        <d v="2016-10-03T00:00:00"/>
        <d v="2016-10-17T00:00:00"/>
        <d v="2016-10-22T00:00:00"/>
        <d v="2016-11-20T00:00:00"/>
        <d v="2016-11-24T00:00:00"/>
        <d v="2016-11-25T00:00:00"/>
        <d v="2016-12-04T00:00:00"/>
        <d v="2016-12-06T00:00:00"/>
        <d v="2016-12-08T00:00:00"/>
        <d v="2016-12-09T00:00:00"/>
        <d v="2016-12-10T00:00:00"/>
        <d v="2016-12-31T00:00:00"/>
        <d v="2017-01-04T00:00:00"/>
        <d v="2017-01-09T00:00:00"/>
        <d v="2017-01-31T00:00:00"/>
        <d v="2017-02-15T00:00:00"/>
        <d v="2017-02-18T00:00:00"/>
        <d v="2017-02-25T00:00:00"/>
        <d v="2017-03-05T00:00:00"/>
        <d v="2017-03-07T00:00:00"/>
        <d v="2017-04-07T00:00:00"/>
        <d v="2017-04-12T00:00:00"/>
        <d v="2017-04-15T00:00:00"/>
        <d v="2017-05-27T00:00:00"/>
        <d v="2017-06-01T00:00:00"/>
        <d v="2017-06-17T00:00:00"/>
        <d v="2017-06-18T00:00:00"/>
        <d v="2017-06-25T00:00:00"/>
        <d v="2017-06-27T00:00:00"/>
        <d v="2017-07-26T00:00:00"/>
        <d v="2017-07-31T00:00:00"/>
        <d v="2017-08-04T00:00:00"/>
        <d v="2017-08-15T00:00:00"/>
        <d v="2017-08-18T00:00:00"/>
        <d v="2017-09-15T00:00:00"/>
        <d v="2017-09-25T00:00:00"/>
        <d v="2017-10-11T00:00:00"/>
        <d v="2017-10-12T00:00:00"/>
        <d v="2017-10-20T00:00:00"/>
        <d v="2017-10-24T00:00:00"/>
        <d v="2017-10-30T00:00:00"/>
        <d v="2017-10-31T00:00:00"/>
        <d v="2017-11-01T00:00:00"/>
        <d v="2017-11-04T00:00:00"/>
        <d v="2017-11-14T00:00:00"/>
        <d v="2017-11-29T00:00:00"/>
        <d v="2017-12-13T00:00:00"/>
        <d v="2018-01-10T00:00:00"/>
        <d v="2018-01-12T00:00:00"/>
        <d v="2018-01-14T00:00:00"/>
        <d v="2018-01-25T00:00:00"/>
        <d v="2018-01-31T00:00:00"/>
        <d v="2018-03-14T00:00:00"/>
        <d v="2018-04-02T00:00:00"/>
        <d v="2018-04-07T00:00:00"/>
        <d v="2018-04-08T00:00:00"/>
        <d v="2018-04-12T00:00:00"/>
        <d v="2018-04-13T00:00:00"/>
        <d v="2018-04-16T00:00:00"/>
        <d v="2018-04-19T00:00:00"/>
        <d v="2018-05-02T00:00:00"/>
        <d v="2018-05-16T00:00:00"/>
        <d v="2018-06-13T00:00:00"/>
        <d v="2018-06-18T00:00:00"/>
        <d v="2018-06-26T00:00:00"/>
        <d v="2018-07-07T00:00:00"/>
        <d v="2018-07-19T00:00:00"/>
        <d v="2018-07-31T00:00:00"/>
        <d v="2018-08-31T00:00:00"/>
        <d v="2018-09-23T00:00:00"/>
        <d v="2018-09-24T00:00:00"/>
        <d v="2018-10-01T00:00:00"/>
        <d v="2018-10-02T00:00:00"/>
        <d v="2018-10-04T00:00:00"/>
        <d v="2018-10-05T00:00:00"/>
        <d v="2018-10-06T00:00:00"/>
        <d v="2018-10-07T00:00:00"/>
        <d v="2018-10-30T00:00:00"/>
        <d v="2018-11-06T00:00:00"/>
        <d v="2018-11-25T00:00:00"/>
        <d v="2018-12-02T00:00:00"/>
        <d v="2018-12-04T00:00:00"/>
        <d v="2018-12-06T00:00:00"/>
        <d v="2018-12-14T00:00:00"/>
        <d v="2018-12-16T00:00:00"/>
        <d v="2018-12-18T00:00:00"/>
        <d v="2018-12-29T00:00:00"/>
        <d v="2019-01-03T00:00:00"/>
        <d v="2019-01-17T00:00:00"/>
        <d v="2019-01-19T00:00:00"/>
        <d v="2019-01-20T00:00:00"/>
        <d v="2019-01-27T00:00:00"/>
        <d v="2019-02-01T00:00:00"/>
        <d v="2019-02-03T00:00:00"/>
        <d v="2019-02-05T00:00:00"/>
        <d v="2019-02-15T00:00:00"/>
        <d v="2019-02-16T00:00:00"/>
        <d v="2019-02-21T00:00:00"/>
        <d v="2019-02-22T00:00:00"/>
        <d v="2019-03-02T00:00:00"/>
        <d v="2019-03-22T00:00:00"/>
        <d v="2019-03-31T00:00:00"/>
        <d v="2019-04-24T00:00:00"/>
        <d v="2019-04-26T00:00:00"/>
        <d v="2019-04-27T00:00:00"/>
        <d v="2019-05-02T00:00:00"/>
        <d v="2019-05-10T00:00:00"/>
        <d v="2019-05-12T00:00:00"/>
        <d v="2019-05-23T00:00:00"/>
        <d v="2019-05-24T00:00:00"/>
        <d v="2019-05-30T00:00:00"/>
        <d v="2019-06-07T00:00:00"/>
        <d v="2019-06-08T00:00:00"/>
        <d v="2019-06-09T00:00:00"/>
        <d v="2019-06-23T00:00:00"/>
        <d v="2019-06-28T00:00:00"/>
        <d v="2019-07-07T00:00:00"/>
        <d v="2019-07-10T00:00:00"/>
        <d v="2019-07-16T00:00:00"/>
        <d v="2019-07-22T00:00:00"/>
        <d v="2019-07-24T00:00:00"/>
        <d v="2019-07-26T00:00:00"/>
        <d v="2019-07-27T00:00:00"/>
        <d v="2019-07-30T00:00:00"/>
        <d v="2019-08-13T00:00:00"/>
        <d v="2019-08-23T00:00:00"/>
        <d v="2019-08-31T00:00:00"/>
        <d v="2019-09-08T00:00:00"/>
        <d v="2019-09-15T00:00:00"/>
        <d v="2019-09-20T00:00:00"/>
        <d v="2019-09-23T00:00:00"/>
        <d v="2019-09-25T00:00:00"/>
        <d v="2019-09-30T00:00:00"/>
        <d v="2019-10-16T00:00:00"/>
        <d v="2019-10-20T00:00:00"/>
        <d v="2019-10-26T00:00:00"/>
        <d v="2019-11-02T00:00:00"/>
        <d v="2019-11-03T00:00:00"/>
        <d v="2019-11-06T00:00:00"/>
        <d v="2019-11-09T00:00:00"/>
        <d v="2019-11-13T00:00:00"/>
        <d v="2019-11-19T00:00:00"/>
        <d v="2019-11-23T00:00:00"/>
        <d v="2019-11-26T00:00:00"/>
        <d v="2019-12-01T00:00:00"/>
        <d v="2019-12-05T00:00:00"/>
        <d v="2019-12-10T00:00:00"/>
        <d v="2019-12-24T00:00:00"/>
        <d v="2019-12-26T00:00:00"/>
        <d v="2019-12-27T00:00:00"/>
        <d v="2019-12-28T00:00:00"/>
        <d v="2019-12-31T00:00:00"/>
        <d v="2020-01-06T00:00:00"/>
        <d v="2020-02-28T00:00:00"/>
        <d v="2020-03-10T00:00:00"/>
        <d v="2020-03-17T00:00:00"/>
        <d v="2020-03-24T00:00:00"/>
        <d v="2020-04-01T00:00:00"/>
        <d v="2020-04-02T00:00:00"/>
        <d v="2020-04-08T00:00:00"/>
        <d v="2020-04-09T00:00:00"/>
        <d v="2020-04-12T00:00:00"/>
        <d v="2020-04-18T00:00:00"/>
        <d v="2020-04-20T00:00:00"/>
        <d v="2020-04-24T00:00:00"/>
        <d v="2020-05-13T00:00:00"/>
        <d v="2020-05-14T00:00:00"/>
        <d v="2020-05-17T00:00:00"/>
        <d v="2020-06-21T00:00:00"/>
        <d v="2020-06-29T00:00:00"/>
        <d v="2020-07-24T00:00:00"/>
        <d v="2020-07-27T00:00:00"/>
        <d v="2020-08-06T00:00:00"/>
        <d v="2020-08-07T00:00:00"/>
        <d v="2020-08-16T00:00:00"/>
        <d v="2020-09-05T00:00:00"/>
        <d v="2020-09-07T00:00:00"/>
        <d v="2020-09-10T00:00:00"/>
        <d v="2020-09-12T00:00:00"/>
        <d v="2020-09-15T00:00:00"/>
        <d v="2020-11-12T00:00:00"/>
        <d v="2020-11-25T00:00:00"/>
        <d v="2020-11-26T00:00:00"/>
        <d v="2020-11-30T00:00:00"/>
        <d v="2020-12-01T00:00:00"/>
        <d v="2020-12-06T00:00:00"/>
        <d v="2020-12-07T00:00:00"/>
        <d v="2020-12-08T00:00:00"/>
        <d v="2020-12-10T00:00:00"/>
        <d v="2020-12-11T00:00:00"/>
        <d v="2021-01-12T00:00:00"/>
        <d v="2021-02-14T00:00:00"/>
        <d v="2021-02-20T00:00:00"/>
        <d v="2021-03-22T00:00:00"/>
        <d v="2021-04-03T00:00:00"/>
        <d v="2021-04-21T00:00:00"/>
        <d v="2021-05-05T00:00:00"/>
        <d v="2021-05-24T00:00:00"/>
        <d v="2021-05-25T00:00:00"/>
        <d v="2021-06-01T00:00:00"/>
        <d v="2021-06-11T00:00:00"/>
        <d v="2021-06-14T00:00:00"/>
        <d v="2021-06-28T00:00:00"/>
        <d v="2021-08-29T00:00:00"/>
        <d v="2021-09-12T00:00:00"/>
        <d v="2021-09-13T00:00:00"/>
        <d v="2021-09-29T00:00:00"/>
        <d v="2021-10-03T00:00:00"/>
        <d v="2021-10-11T00:00:00"/>
        <d v="2021-10-12T00:00:00"/>
        <d v="2021-10-15T00:00:00"/>
        <d v="2021-10-17T00:00:00"/>
        <d v="2021-10-22T00:00:00"/>
        <d v="2021-11-22T00:00:00"/>
        <d v="2022-01-22T00:00:00"/>
        <d v="2022-06-27T00:00:00"/>
        <d v="2022-06-28T00:00:00"/>
      </sharedItems>
      <fieldGroup par="52" base="5">
        <rangePr groupBy="months" startDate="1997-11-02T00:00:00" endDate="2022-06-29T00:00:00"/>
        <groupItems count="14">
          <s v="&lt;02/11/1997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9/06/2022"/>
        </groupItems>
      </fieldGroup>
    </cacheField>
    <cacheField name="ANTIG" numFmtId="0">
      <sharedItems containsSemiMixedTypes="0" containsString="0" containsNumber="1" containsInteger="1" minValue="0" maxValue="24"/>
    </cacheField>
    <cacheField name="DEPTO" numFmtId="0">
      <sharedItems count="10">
        <s v="DIRECCIÓN"/>
        <s v="TECNOLOGÍA"/>
        <s v="CONTABILIDAD"/>
        <s v="DIV INGENRIA"/>
        <s v="FINANZAS"/>
        <s v="DIV ARQUIT"/>
        <s v="RCRSO LEGAL"/>
        <s v="AUDITORÍA"/>
        <s v="CPTAL HUMANO"/>
        <s v="CONTRATOS"/>
      </sharedItems>
    </cacheField>
    <cacheField name="SUBDPTO" numFmtId="0">
      <sharedItems count="33">
        <s v="DIRECCIÓN"/>
        <s v="TECNOLOGÍA"/>
        <s v="CONTABILIDAD"/>
        <s v="DIV INGENRIA"/>
        <s v="CRÉDITOS"/>
        <s v="DIV ARQUIT"/>
        <s v="RCRSO LEGAL"/>
        <s v="COMPRAS"/>
        <s v="AUDIT ADMN"/>
        <s v="AUDITORÍA"/>
        <s v="INVERS"/>
        <s v="NÓMINAS"/>
        <s v="CPTAL HUMANO"/>
        <s v="CONTRATOS"/>
        <s v="ARQUITECT"/>
        <s v="FINANZAS"/>
        <s v="AUDIT PROY"/>
        <s v="ADMINCIÓN"/>
        <s v="ANLIS COST"/>
        <s v="MATERIALES"/>
        <s v="ESTRUCTURA"/>
        <s v="INST CAMPO"/>
        <s v="RECLTMTO"/>
        <s v="COLECTIVOS"/>
        <s v="CONTROL"/>
        <s v="RELACIONES"/>
        <s v="SOLUCIONES"/>
        <s v="FACTURAS"/>
        <s v="RENDER"/>
        <s v="CONTA"/>
        <s v="EQUIPOS"/>
        <s v="EXTERNOS"/>
        <s v="SOFTWARE"/>
      </sharedItems>
    </cacheField>
    <cacheField name="PUESTO" numFmtId="0">
      <sharedItems count="4">
        <s v="DIRECT"/>
        <s v="COORDN"/>
        <s v="REPRES"/>
        <s v="ANLST"/>
      </sharedItems>
    </cacheField>
    <cacheField name="JORNADA" numFmtId="0">
      <sharedItems/>
    </cacheField>
    <cacheField name="EXT" numFmtId="0">
      <sharedItems containsString="0" containsBlank="1" containsNumber="1" containsInteger="1" minValue="0" maxValue="1087"/>
    </cacheField>
    <cacheField name="CORREO INSTITUCIONAL" numFmtId="0">
      <sharedItems/>
    </cacheField>
    <cacheField name="LÍDER" numFmtId="0">
      <sharedItems/>
    </cacheField>
    <cacheField name="FCH ULT CMB" numFmtId="0">
      <sharedItems containsString="0" containsBlank="1" containsNumber="1" containsInteger="1" minValue="40577" maxValue="45861"/>
    </cacheField>
    <cacheField name="ÚLT SM" numFmtId="0">
      <sharedItems containsBlank="1" containsMixedTypes="1" containsNumber="1" minValue="3888" maxValue="58320"/>
    </cacheField>
    <cacheField name="ÚLT SUBDPTO" numFmtId="0">
      <sharedItems containsBlank="1"/>
    </cacheField>
    <cacheField name="SUBDPTO ANT 2" numFmtId="0">
      <sharedItems containsBlank="1"/>
    </cacheField>
    <cacheField name="DISP VIA" numFmtId="0">
      <sharedItems/>
    </cacheField>
    <cacheField name="D.VAC." numFmtId="0">
      <sharedItems containsSemiMixedTypes="0" containsString="0" containsNumber="1" containsInteger="1" minValue="6" maxValue="20"/>
    </cacheField>
    <cacheField name="% P.V." numFmtId="0">
      <sharedItems containsSemiMixedTypes="0" containsString="0" containsNumber="1" minValue="0.25" maxValue="0.5"/>
    </cacheField>
    <cacheField name="D.PAG.V." numFmtId="0">
      <sharedItems containsSemiMixedTypes="0" containsString="0" containsNumber="1" minValue="1.5" maxValue="10"/>
    </cacheField>
    <cacheField name="D.AG." numFmtId="0">
      <sharedItems containsSemiMixedTypes="0" containsString="0" containsNumber="1" containsInteger="1" minValue="15" maxValue="30"/>
    </cacheField>
    <cacheField name="FACTOR SDI" numFmtId="0">
      <sharedItems containsSemiMixedTypes="0" containsString="0" containsNumber="1" minValue="1.0452054794520549" maxValue="1.1095890410958904"/>
    </cacheField>
    <cacheField name="SDI" numFmtId="0">
      <sharedItems containsSemiMixedTypes="0" containsString="0" containsNumber="1" minValue="0" maxValue="2374.5205479452056"/>
    </cacheField>
    <cacheField name="SUE X HR" numFmtId="0">
      <sharedItems containsSemiMixedTypes="0" containsString="0" containsNumber="1" minValue="0" maxValue="237.77777777777777"/>
    </cacheField>
    <cacheField name="FECHA NAC" numFmtId="0">
      <sharedItems containsSemiMixedTypes="0" containsString="0" containsNumber="1" containsInteger="1" minValue="25591" maxValue="37196"/>
    </cacheField>
    <cacheField name="COLONIA" numFmtId="0">
      <sharedItems/>
    </cacheField>
    <cacheField name="CDAD DOM" numFmtId="0">
      <sharedItems/>
    </cacheField>
    <cacheField name="CELPER" numFmtId="0">
      <sharedItems containsMixedTypes="1" containsNumber="1" minValue="2099977119" maxValue="9995687412"/>
    </cacheField>
    <cacheField name="CORREO PERS." numFmtId="0">
      <sharedItems/>
    </cacheField>
    <cacheField name="EDO CIVIL" numFmtId="0">
      <sharedItems/>
    </cacheField>
    <cacheField name="ULT NVL EDU" numFmtId="0">
      <sharedItems/>
    </cacheField>
    <cacheField name="SALUD" numFmtId="0">
      <sharedItems/>
    </cacheField>
    <cacheField name="CUMPLEAÑOS" numFmtId="14">
      <sharedItems containsSemiMixedTypes="0" containsNonDate="0" containsDate="1" containsString="0" minDate="2022-01-01T00:00:00" maxDate="2022-12-31T00:00:00"/>
    </cacheField>
    <cacheField name="SEMEST" numFmtId="0">
      <sharedItems containsBlank="1" containsMixedTypes="1" containsNumber="1" containsInteger="1" minValue="0" maxValue="11"/>
    </cacheField>
    <cacheField name="ESCUELA" numFmtId="0">
      <sharedItems/>
    </cacheField>
    <cacheField name="CARRERA" numFmtId="0">
      <sharedItems/>
    </cacheField>
    <cacheField name="ESPECIALIDAD" numFmtId="0">
      <sharedItems containsBlank="1" containsMixedTypes="1" containsNumber="1" containsInteger="1" minValue="0" maxValue="0"/>
    </cacheField>
    <cacheField name="NIV ING" numFmtId="0">
      <sharedItems containsSemiMixedTypes="0" containsString="0" containsNumber="1" containsInteger="1" minValue="20" maxValue="100"/>
    </cacheField>
    <cacheField name="EDD" numFmtId="0">
      <sharedItems containsSemiMixedTypes="0" containsString="0" containsNumber="1" containsInteger="1" minValue="20" maxValue="52"/>
    </cacheField>
    <cacheField name="HIJS" numFmtId="0">
      <sharedItems containsSemiMixedTypes="0" containsString="0" containsNumber="1" containsInteger="1" minValue="0" maxValue="3"/>
    </cacheField>
    <cacheField name="PRST MAIA" numFmtId="0">
      <sharedItems containsSemiMixedTypes="0" containsString="0" containsNumber="1" containsInteger="1" minValue="0" maxValue="1"/>
    </cacheField>
    <cacheField name="DIAS LAB" numFmtId="0">
      <sharedItems containsNonDate="0" containsString="0" containsBlank="1"/>
    </cacheField>
    <cacheField name="Columna16" numFmtId="0">
      <sharedItems containsNonDate="0" containsString="0" containsBlank="1"/>
    </cacheField>
    <cacheField name="Columna15" numFmtId="0">
      <sharedItems containsNonDate="0" containsString="0" containsBlank="1"/>
    </cacheField>
    <cacheField name="Columna14" numFmtId="0">
      <sharedItems containsNonDate="0" containsString="0" containsBlank="1"/>
    </cacheField>
    <cacheField name="Columna13" numFmtId="0">
      <sharedItems containsNonDate="0" containsString="0" containsBlank="1"/>
    </cacheField>
    <cacheField name="Columna12" numFmtId="0">
      <sharedItems containsNonDate="0" containsString="0" containsBlank="1"/>
    </cacheField>
    <cacheField name="Columna2" numFmtId="0">
      <sharedItems containsNonDate="0" containsString="0" containsBlank="1"/>
    </cacheField>
    <cacheField name="FACTOR ALEATORIO" numFmtId="0">
      <sharedItems containsSemiMixedTypes="0" containsString="0" containsNumber="1" containsInteger="1" minValue="1" maxValue="1000"/>
    </cacheField>
    <cacheField name="Trimestres" numFmtId="0" databaseField="0">
      <fieldGroup base="5">
        <rangePr groupBy="quarters" startDate="1997-11-02T00:00:00" endDate="2022-06-29T00:00:00"/>
        <groupItems count="6">
          <s v="&lt;02/11/1997"/>
          <s v="Trim.1"/>
          <s v="Trim.2"/>
          <s v="Trim.3"/>
          <s v="Trim.4"/>
          <s v="&gt;29/06/2022"/>
        </groupItems>
      </fieldGroup>
    </cacheField>
    <cacheField name="Años" numFmtId="0" databaseField="0">
      <fieldGroup base="5">
        <rangePr groupBy="years" startDate="1997-11-02T00:00:00" endDate="2022-06-29T00:00:00"/>
        <groupItems count="28">
          <s v="&lt;02/11/1997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&gt;29/06/2022"/>
        </groupItems>
      </fieldGroup>
    </cacheField>
  </cacheFields>
  <extLst>
    <ext xmlns:x14="http://schemas.microsoft.com/office/spreadsheetml/2009/9/main" uri="{725AE2AE-9491-48be-B2B4-4EB974FC3084}">
      <x14:pivotCacheDefinition pivotCacheId="11751283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3">
  <r>
    <n v="106"/>
    <s v="Enrique Monsivais Jacques"/>
    <n v="18580"/>
    <d v="1998-12-10T00:00:00"/>
    <x v="0"/>
    <x v="0"/>
    <x v="0"/>
    <x v="0"/>
    <n v="20"/>
    <s v="RENUN"/>
    <n v="8933461868"/>
  </r>
  <r>
    <n v="129"/>
    <s v="Eduardo José Cabra Martínez"/>
    <n v="15600"/>
    <d v="2010-10-26T00:00:00"/>
    <x v="1"/>
    <x v="1"/>
    <x v="1"/>
    <x v="0"/>
    <n v="4"/>
    <s v="RENUN"/>
    <n v="8417031487"/>
  </r>
  <r>
    <n v="187"/>
    <s v="Anahí Flores Pineda"/>
    <n v="9540"/>
    <d v="2011-08-29T00:00:00"/>
    <x v="2"/>
    <x v="2"/>
    <x v="2"/>
    <x v="1"/>
    <n v="4"/>
    <s v="RENUN"/>
    <n v="8281899585"/>
  </r>
  <r>
    <n v="133"/>
    <s v="Ileana Mercedes Cabra Joglar"/>
    <n v="8825"/>
    <d v="2017-08-01T00:00:00"/>
    <x v="3"/>
    <x v="2"/>
    <x v="3"/>
    <x v="1"/>
    <n v="2"/>
    <s v="RENUN"/>
    <n v="8901569673"/>
  </r>
  <r>
    <n v="160"/>
    <s v="Jose Carlos Treviño Hernandez"/>
    <n v="7445"/>
    <d v="2015-01-16T00:00:00"/>
    <x v="4"/>
    <x v="3"/>
    <x v="4"/>
    <x v="1"/>
    <n v="2"/>
    <s v="RENUN"/>
    <n v="8890712357"/>
  </r>
  <r>
    <n v="235"/>
    <s v="Areli Betsabe Rodriguez Vazquez"/>
    <n v="6778"/>
    <d v="2010-06-30T00:00:00"/>
    <x v="5"/>
    <x v="4"/>
    <x v="5"/>
    <x v="2"/>
    <n v="2"/>
    <s v="RENUN"/>
    <n v="8655464072"/>
  </r>
  <r>
    <n v="371"/>
    <s v="Cruz Hernandez Hernandez"/>
    <n v="6778"/>
    <d v="2013-01-30T00:00:00"/>
    <x v="6"/>
    <x v="2"/>
    <x v="6"/>
    <x v="3"/>
    <n v="2"/>
    <s v="RENUN"/>
    <n v="8196146206.9840403"/>
  </r>
  <r>
    <n v="416"/>
    <s v="Arely Rubi Ruiz Silva"/>
    <n v="5480"/>
    <d v="2014-02-03T00:00:00"/>
    <x v="7"/>
    <x v="4"/>
    <x v="5"/>
    <x v="4"/>
    <n v="2"/>
    <s v="RENUN"/>
    <n v="8911453995"/>
  </r>
  <r>
    <n v="437"/>
    <s v="Cristina Gazpar Manuel"/>
    <n v="9300"/>
    <d v="2014-06-09T00:00:00"/>
    <x v="8"/>
    <x v="4"/>
    <x v="5"/>
    <x v="3"/>
    <n v="2"/>
    <s v="RENUN"/>
    <n v="8423469120"/>
  </r>
  <r>
    <n v="540"/>
    <s v="Luis Fernando Cruz Pineda"/>
    <n v="7445"/>
    <d v="2016-12-28T00:00:00"/>
    <x v="9"/>
    <x v="3"/>
    <x v="7"/>
    <x v="3"/>
    <n v="2"/>
    <s v="RENUN"/>
    <n v="9879830853"/>
  </r>
  <r>
    <n v="543"/>
    <s v="Mirna Aviles Gudiño"/>
    <n v="6778"/>
    <d v="2017-02-26T00:00:00"/>
    <x v="10"/>
    <x v="5"/>
    <x v="8"/>
    <x v="3"/>
    <n v="2"/>
    <s v="RENUN"/>
    <n v="8884500025"/>
  </r>
  <r>
    <n v="547"/>
    <s v="Rene Benitez Borja"/>
    <n v="6360"/>
    <d v="2017-03-02T00:00:00"/>
    <x v="11"/>
    <x v="0"/>
    <x v="0"/>
    <x v="3"/>
    <n v="2"/>
    <s v="RENUN"/>
    <n v="7634196237"/>
  </r>
  <r>
    <n v="557"/>
    <s v="Diana Jimenez Valladares"/>
    <n v="7445"/>
    <d v="2017-05-17T00:00:00"/>
    <x v="12"/>
    <x v="5"/>
    <x v="9"/>
    <x v="3"/>
    <n v="2"/>
    <s v="FALTA"/>
    <n v="4535987413"/>
  </r>
  <r>
    <n v="148"/>
    <s v="Hector de Jesus Herrera Martínez"/>
    <n v="5700"/>
    <d v="2015-08-22T00:00:00"/>
    <x v="13"/>
    <x v="0"/>
    <x v="10"/>
    <x v="4"/>
    <n v="1"/>
    <s v="RENUN"/>
    <n v="8360299140"/>
  </r>
  <r>
    <n v="201"/>
    <s v="Amada Garcia Jaimes"/>
    <n v="7445"/>
    <d v="2010-03-22T00:00:00"/>
    <x v="14"/>
    <x v="2"/>
    <x v="3"/>
    <x v="3"/>
    <n v="1"/>
    <s v="FALTA"/>
    <n v="4308519687"/>
  </r>
  <r>
    <n v="204"/>
    <s v="Julia Angelica Marin Zaragoza"/>
    <n v="6778"/>
    <d v="2010-04-06T00:00:00"/>
    <x v="15"/>
    <x v="5"/>
    <x v="8"/>
    <x v="5"/>
    <n v="1"/>
    <s v="REAJS"/>
    <n v="6032654874"/>
  </r>
  <r>
    <n v="212"/>
    <s v="Isaac Radilla Lopez"/>
    <n v="6360"/>
    <d v="2010-04-21T00:00:00"/>
    <x v="16"/>
    <x v="6"/>
    <x v="11"/>
    <x v="3"/>
    <n v="1"/>
    <s v="RENUN"/>
    <n v="8209596214.4492798"/>
  </r>
  <r>
    <n v="218"/>
    <s v="Lucia Pavon Maya"/>
    <n v="6360"/>
    <d v="2010-05-16T00:00:00"/>
    <x v="17"/>
    <x v="1"/>
    <x v="1"/>
    <x v="3"/>
    <n v="1"/>
    <s v="REAJS"/>
    <n v="7077000271"/>
  </r>
  <r>
    <n v="219"/>
    <s v="David Alejandro Rodriguez Lugo"/>
    <n v="4860"/>
    <d v="2010-06-14T00:00:00"/>
    <x v="18"/>
    <x v="2"/>
    <x v="2"/>
    <x v="4"/>
    <n v="1"/>
    <s v="RENUN"/>
    <n v="8818069651"/>
  </r>
  <r>
    <n v="226"/>
    <s v="Margarita Estrada Carrasco"/>
    <n v="8825"/>
    <d v="2010-06-21T00:00:00"/>
    <x v="19"/>
    <x v="4"/>
    <x v="12"/>
    <x v="3"/>
    <n v="1"/>
    <s v="RENUN"/>
    <n v="8208853319.4724503"/>
  </r>
  <r>
    <n v="230"/>
    <s v="Reyna Nataly Loza Alarcon"/>
    <n v="6360"/>
    <d v="2010-06-25T00:00:00"/>
    <x v="20"/>
    <x v="3"/>
    <x v="4"/>
    <x v="3"/>
    <n v="1"/>
    <s v="FALTA"/>
    <n v="4306543046"/>
  </r>
  <r>
    <n v="234"/>
    <s v="Maria Guadalupe Alvarez Hernandez"/>
    <n v="5480"/>
    <d v="2010-06-30T00:00:00"/>
    <x v="21"/>
    <x v="5"/>
    <x v="9"/>
    <x v="3"/>
    <n v="1"/>
    <s v="FALTA"/>
    <n v="5586440210"/>
  </r>
  <r>
    <n v="244"/>
    <s v="Priscillia Peña Popoca"/>
    <n v="6360"/>
    <d v="2010-09-14T00:00:00"/>
    <x v="22"/>
    <x v="3"/>
    <x v="7"/>
    <x v="3"/>
    <n v="1"/>
    <s v="FALTA"/>
    <n v="5599081172"/>
  </r>
  <r>
    <n v="248"/>
    <s v="Juana Sarabia Medina"/>
    <n v="8225"/>
    <d v="2010-09-27T00:00:00"/>
    <x v="23"/>
    <x v="2"/>
    <x v="6"/>
    <x v="3"/>
    <n v="1"/>
    <s v="RENUN"/>
    <n v="9877178596"/>
  </r>
  <r>
    <n v="259"/>
    <s v="Alma Cruz Molina"/>
    <n v="7445"/>
    <d v="2010-10-12T00:00:00"/>
    <x v="24"/>
    <x v="4"/>
    <x v="5"/>
    <x v="3"/>
    <n v="1"/>
    <s v="RENUN"/>
    <n v="8208333467.4724503"/>
  </r>
  <r>
    <n v="261"/>
    <s v="Alma Noyola Estrada"/>
    <n v="6500"/>
    <d v="2011-02-26T00:00:00"/>
    <x v="25"/>
    <x v="3"/>
    <x v="13"/>
    <x v="3"/>
    <n v="1"/>
    <s v="ABAND"/>
    <n v="2368295991"/>
  </r>
  <r>
    <n v="287"/>
    <s v="Maria Del Carmen Ramirez Castillo"/>
    <n v="6778"/>
    <d v="2011-03-13T00:00:00"/>
    <x v="26"/>
    <x v="4"/>
    <x v="12"/>
    <x v="5"/>
    <n v="1"/>
    <s v="RENUN"/>
    <n v="8208531665.4724503"/>
  </r>
  <r>
    <n v="294"/>
    <s v="Alberto Manuel Anica Dominguez"/>
    <n v="6778"/>
    <d v="2011-03-16T00:00:00"/>
    <x v="27"/>
    <x v="2"/>
    <x v="6"/>
    <x v="5"/>
    <n v="1"/>
    <s v="RENUN"/>
    <n v="8354031288"/>
  </r>
  <r>
    <n v="298"/>
    <s v="Valeria Hernandez Cervantes"/>
    <n v="6360"/>
    <d v="2011-04-20T00:00:00"/>
    <x v="28"/>
    <x v="5"/>
    <x v="8"/>
    <x v="3"/>
    <n v="1"/>
    <s v="FALTA"/>
    <n v="5599204628"/>
  </r>
  <r>
    <n v="303"/>
    <s v="Jose Orlando Baltazar Najera"/>
    <n v="6778"/>
    <d v="2011-07-24T00:00:00"/>
    <x v="29"/>
    <x v="7"/>
    <x v="14"/>
    <x v="3"/>
    <n v="1"/>
    <s v="RENUN"/>
    <n v="8385208297"/>
  </r>
  <r>
    <n v="305"/>
    <s v="Carmen Gutierrez Soto"/>
    <n v="7445"/>
    <d v="2011-09-09T00:00:00"/>
    <x v="30"/>
    <x v="0"/>
    <x v="10"/>
    <x v="3"/>
    <n v="1"/>
    <s v="RENUN"/>
    <n v="8198807579.4261103"/>
  </r>
  <r>
    <n v="308"/>
    <s v="Orlando Corona Aguirre"/>
    <n v="6778"/>
    <d v="2011-10-07T00:00:00"/>
    <x v="31"/>
    <x v="5"/>
    <x v="9"/>
    <x v="3"/>
    <n v="1"/>
    <s v="RENUN"/>
    <n v="8210462565.4261103"/>
  </r>
  <r>
    <n v="309"/>
    <s v="Ma Angelica Reynoso Reynoso"/>
    <n v="6360"/>
    <d v="2011-12-15T00:00:00"/>
    <x v="32"/>
    <x v="8"/>
    <x v="15"/>
    <x v="3"/>
    <n v="1"/>
    <s v="REAJS"/>
    <n v="6044186404"/>
  </r>
  <r>
    <n v="322"/>
    <s v="Irene Marin Garcia"/>
    <n v="6778"/>
    <d v="2011-12-21T00:00:00"/>
    <x v="33"/>
    <x v="5"/>
    <x v="16"/>
    <x v="3"/>
    <n v="1"/>
    <s v="FALTA"/>
    <n v="5065988754"/>
  </r>
  <r>
    <n v="326"/>
    <s v="Ana Laura Moyado Garcia"/>
    <n v="8225"/>
    <d v="2012-02-21T00:00:00"/>
    <x v="34"/>
    <x v="3"/>
    <x v="7"/>
    <x v="3"/>
    <n v="1"/>
    <s v="FALTA"/>
    <n v="5596316753"/>
  </r>
  <r>
    <n v="344"/>
    <s v="Tomas De Jesus Alvarez"/>
    <n v="7445"/>
    <d v="2012-05-01T00:00:00"/>
    <x v="35"/>
    <x v="2"/>
    <x v="6"/>
    <x v="3"/>
    <n v="1"/>
    <s v="RENUN"/>
    <n v="8207268918.4956198"/>
  </r>
  <r>
    <n v="346"/>
    <s v="David Calixto Solis"/>
    <n v="8225"/>
    <d v="2012-06-10T00:00:00"/>
    <x v="36"/>
    <x v="4"/>
    <x v="5"/>
    <x v="3"/>
    <n v="1"/>
    <s v="RENUN"/>
    <n v="8608635954"/>
  </r>
  <r>
    <n v="349"/>
    <s v="Carmen Julia Angel Silva"/>
    <n v="6778"/>
    <d v="2012-07-10T00:00:00"/>
    <x v="37"/>
    <x v="0"/>
    <x v="17"/>
    <x v="3"/>
    <n v="1"/>
    <s v="CONFL"/>
    <n v="3054067971"/>
  </r>
  <r>
    <n v="363"/>
    <s v="Melisa Bello Martinez"/>
    <n v="7445"/>
    <d v="2012-07-12T00:00:00"/>
    <x v="38"/>
    <x v="5"/>
    <x v="16"/>
    <x v="3"/>
    <n v="1"/>
    <s v="RENUN"/>
    <n v="8284860268"/>
  </r>
  <r>
    <n v="366"/>
    <s v="Ana Arellano Hernandez"/>
    <n v="6778"/>
    <d v="2012-10-28T00:00:00"/>
    <x v="39"/>
    <x v="0"/>
    <x v="0"/>
    <x v="3"/>
    <n v="1"/>
    <s v="FALTA"/>
    <n v="4545863956"/>
  </r>
  <r>
    <n v="370"/>
    <s v="Jesus Nava Adame"/>
    <n v="8225"/>
    <d v="2012-12-07T00:00:00"/>
    <x v="40"/>
    <x v="0"/>
    <x v="10"/>
    <x v="3"/>
    <n v="1"/>
    <s v="REAJS"/>
    <n v="5694271012.5"/>
  </r>
  <r>
    <n v="374"/>
    <s v="Hector Miguel Dorantes Palma"/>
    <n v="7445"/>
    <d v="2013-02-06T00:00:00"/>
    <x v="41"/>
    <x v="2"/>
    <x v="3"/>
    <x v="3"/>
    <n v="1"/>
    <s v="ABAND"/>
    <n v="2378815842"/>
  </r>
  <r>
    <n v="379"/>
    <s v="Guadalupe Del Carmen Velazquez"/>
    <n v="7445"/>
    <d v="2013-04-13T00:00:00"/>
    <x v="42"/>
    <x v="0"/>
    <x v="17"/>
    <x v="3"/>
    <n v="1"/>
    <s v="RENUN"/>
    <n v="8206204369.5187902"/>
  </r>
  <r>
    <n v="390"/>
    <s v="Lorena Montserrat Carrera Ortiz"/>
    <n v="8200"/>
    <d v="2013-05-24T00:00:00"/>
    <x v="43"/>
    <x v="0"/>
    <x v="17"/>
    <x v="1"/>
    <n v="1"/>
    <s v="RENUN"/>
    <n v="8432250126"/>
  </r>
  <r>
    <n v="400"/>
    <s v="Fidel Corona Ramos"/>
    <n v="7698"/>
    <d v="2013-05-28T00:00:00"/>
    <x v="44"/>
    <x v="5"/>
    <x v="9"/>
    <x v="3"/>
    <n v="1"/>
    <s v="RENUN"/>
    <n v="8338665111"/>
  </r>
  <r>
    <n v="406"/>
    <s v="Natividad Juarez Sanchez"/>
    <n v="8825"/>
    <d v="2013-10-16T00:00:00"/>
    <x v="45"/>
    <x v="4"/>
    <x v="12"/>
    <x v="3"/>
    <n v="1"/>
    <s v="FALTA"/>
    <n v="3438798741"/>
  </r>
  <r>
    <n v="409"/>
    <s v="Nataly Periban Arroyo"/>
    <n v="6360"/>
    <d v="2013-10-27T00:00:00"/>
    <x v="46"/>
    <x v="1"/>
    <x v="1"/>
    <x v="3"/>
    <n v="1"/>
    <s v="RENUN"/>
    <n v="8211193037.9145298"/>
  </r>
  <r>
    <n v="412"/>
    <s v="Maria Elizabeth Garcia Nava"/>
    <n v="6360"/>
    <d v="2013-11-08T00:00:00"/>
    <x v="47"/>
    <x v="7"/>
    <x v="14"/>
    <x v="3"/>
    <n v="1"/>
    <s v="RENUN"/>
    <n v="8373353872"/>
  </r>
  <r>
    <n v="419"/>
    <s v="Celina Solis Avila"/>
    <n v="8225"/>
    <d v="2014-04-05T00:00:00"/>
    <x v="48"/>
    <x v="2"/>
    <x v="2"/>
    <x v="3"/>
    <n v="1"/>
    <s v="FALTA"/>
    <n v="5434963452"/>
  </r>
  <r>
    <n v="429"/>
    <s v="Jesus Daniel Perez Cervantes"/>
    <n v="6360"/>
    <d v="2014-04-30T00:00:00"/>
    <x v="49"/>
    <x v="0"/>
    <x v="0"/>
    <x v="3"/>
    <n v="1"/>
    <s v="FALTA"/>
    <n v="5580515884"/>
  </r>
  <r>
    <n v="440"/>
    <s v="Juana Hernandez Mares"/>
    <n v="10500"/>
    <d v="2014-08-24T00:00:00"/>
    <x v="50"/>
    <x v="2"/>
    <x v="6"/>
    <x v="3"/>
    <n v="1"/>
    <s v="RENUN"/>
    <n v="8195081658.0072002"/>
  </r>
  <r>
    <n v="441"/>
    <s v="Maribel Guerrero Herrera"/>
    <n v="6360"/>
    <d v="2014-09-27T00:00:00"/>
    <x v="51"/>
    <x v="1"/>
    <x v="1"/>
    <x v="3"/>
    <n v="1"/>
    <s v="RENUN"/>
    <n v="8973302908"/>
  </r>
  <r>
    <n v="447"/>
    <s v="Esau Ramos Ortiz"/>
    <n v="6778"/>
    <d v="2014-09-28T00:00:00"/>
    <x v="52"/>
    <x v="0"/>
    <x v="17"/>
    <x v="3"/>
    <n v="1"/>
    <s v="RENUN"/>
    <n v="8206934842.0072002"/>
  </r>
  <r>
    <n v="453"/>
    <s v="Daniel Eduardo Del Rio Leal"/>
    <n v="6900"/>
    <d v="2014-10-14T00:00:00"/>
    <x v="53"/>
    <x v="7"/>
    <x v="18"/>
    <x v="2"/>
    <n v="1"/>
    <s v="RENUN"/>
    <n v="8397501094"/>
  </r>
  <r>
    <n v="457"/>
    <s v="Irene Carbajal Contreras"/>
    <n v="9500"/>
    <d v="2014-12-01T00:00:00"/>
    <x v="54"/>
    <x v="0"/>
    <x v="10"/>
    <x v="3"/>
    <n v="1"/>
    <s v="RENUN"/>
    <n v="8988877886"/>
  </r>
  <r>
    <n v="465"/>
    <s v="Carlos Rafael Gaona Romero"/>
    <n v="9500"/>
    <d v="2015-02-27T00:00:00"/>
    <x v="55"/>
    <x v="5"/>
    <x v="9"/>
    <x v="3"/>
    <n v="1"/>
    <s v="FALTA"/>
    <n v="4547642399"/>
  </r>
  <r>
    <n v="471"/>
    <s v="Sandra Iris Chavez Resendiz"/>
    <n v="7445"/>
    <d v="2015-04-22T00:00:00"/>
    <x v="56"/>
    <x v="0"/>
    <x v="10"/>
    <x v="3"/>
    <n v="1"/>
    <s v="FALTA"/>
    <n v="5570639341"/>
  </r>
  <r>
    <n v="480"/>
    <s v="Victor Manuel Adame Carmona"/>
    <n v="6360"/>
    <d v="2015-05-10T00:00:00"/>
    <x v="57"/>
    <x v="2"/>
    <x v="2"/>
    <x v="3"/>
    <n v="1"/>
    <s v="RENUN"/>
    <n v="8206568026"/>
  </r>
  <r>
    <n v="481"/>
    <s v="Jose Aguirre Casiano"/>
    <n v="7445"/>
    <d v="2015-06-20T00:00:00"/>
    <x v="58"/>
    <x v="8"/>
    <x v="15"/>
    <x v="3"/>
    <n v="1"/>
    <s v="REAJS"/>
    <n v="5686583202.5"/>
  </r>
  <r>
    <n v="483"/>
    <s v="Edgar Eduardo Contreras Chaires"/>
    <n v="6300"/>
    <d v="2015-06-28T00:00:00"/>
    <x v="59"/>
    <x v="4"/>
    <x v="5"/>
    <x v="2"/>
    <n v="1"/>
    <s v="RENUN"/>
    <n v="8244525311"/>
  </r>
  <r>
    <n v="490"/>
    <s v="Elias Gallardo Herrera"/>
    <n v="8225"/>
    <d v="2015-07-19T00:00:00"/>
    <x v="60"/>
    <x v="0"/>
    <x v="0"/>
    <x v="3"/>
    <n v="1"/>
    <s v="REAJS"/>
    <n v="6726444516"/>
  </r>
  <r>
    <n v="492"/>
    <s v="Antonio Hernandez Martinez"/>
    <n v="6580"/>
    <d v="2015-09-05T00:00:00"/>
    <x v="61"/>
    <x v="5"/>
    <x v="9"/>
    <x v="3"/>
    <n v="1"/>
    <s v="RENUN"/>
    <n v="8194549383.5187902"/>
  </r>
  <r>
    <n v="499"/>
    <s v="Araceli Guzman Rodriguez"/>
    <n v="8000"/>
    <d v="2015-09-18T00:00:00"/>
    <x v="62"/>
    <x v="7"/>
    <x v="14"/>
    <x v="3"/>
    <n v="1"/>
    <s v="FALTA"/>
    <n v="4077153748"/>
  </r>
  <r>
    <n v="505"/>
    <s v="Victor Manuel Rodriguez Palma"/>
    <n v="7445"/>
    <d v="2015-11-23T00:00:00"/>
    <x v="63"/>
    <x v="4"/>
    <x v="5"/>
    <x v="3"/>
    <n v="1"/>
    <s v="RENUN"/>
    <n v="9889707396"/>
  </r>
  <r>
    <n v="506"/>
    <s v="Fernando Guillen De La Rosa"/>
    <n v="10500"/>
    <d v="2016-02-19T00:00:00"/>
    <x v="64"/>
    <x v="4"/>
    <x v="5"/>
    <x v="3"/>
    <n v="1"/>
    <s v="RENUN"/>
    <n v="8199339853.9145298"/>
  </r>
  <r>
    <n v="508"/>
    <s v="Guadalupe Margarita Bello Sanchez"/>
    <n v="7445"/>
    <d v="2016-03-04T00:00:00"/>
    <x v="65"/>
    <x v="8"/>
    <x v="15"/>
    <x v="3"/>
    <n v="1"/>
    <s v="RENUN"/>
    <n v="7994159203.5"/>
  </r>
  <r>
    <n v="512"/>
    <s v="Alan Cruz Balderas Galván"/>
    <n v="6778"/>
    <d v="2016-04-04T00:00:00"/>
    <x v="66"/>
    <x v="2"/>
    <x v="3"/>
    <x v="2"/>
    <n v="1"/>
    <s v="RENUN"/>
    <n v="8329299115"/>
  </r>
  <r>
    <n v="515"/>
    <s v="Yoali Rafaela Maganda Zarate"/>
    <n v="6360"/>
    <d v="2016-04-20T00:00:00"/>
    <x v="67"/>
    <x v="2"/>
    <x v="3"/>
    <x v="3"/>
    <n v="1"/>
    <s v="INCAP"/>
    <n v="2098322132"/>
  </r>
  <r>
    <n v="534"/>
    <s v="Maria Nava Dominguez"/>
    <n v="8225"/>
    <d v="2016-08-13T00:00:00"/>
    <x v="68"/>
    <x v="5"/>
    <x v="16"/>
    <x v="3"/>
    <n v="1"/>
    <s v="REAJS"/>
    <n v="5696459745.5"/>
  </r>
  <r>
    <n v="549"/>
    <s v="Pedro Miranda Morales"/>
    <n v="7445"/>
    <d v="2017-03-22T00:00:00"/>
    <x v="69"/>
    <x v="3"/>
    <x v="7"/>
    <x v="3"/>
    <n v="1"/>
    <s v="RENUN"/>
    <n v="8206613188.0072002"/>
  </r>
  <r>
    <n v="550"/>
    <s v="Ma Del Consuelo Pineda Vidal"/>
    <n v="6360"/>
    <d v="2017-04-13T00:00:00"/>
    <x v="70"/>
    <x v="6"/>
    <x v="11"/>
    <x v="3"/>
    <n v="1"/>
    <s v="RENUN"/>
    <n v="8210128488.9377003"/>
  </r>
  <r>
    <n v="565"/>
    <s v="Victor Daniel Blanco Toscano"/>
    <n v="7445"/>
    <d v="2017-05-25T00:00:00"/>
    <x v="71"/>
    <x v="7"/>
    <x v="14"/>
    <x v="5"/>
    <n v="1"/>
    <s v="CONFL"/>
    <n v="3287528159"/>
  </r>
  <r>
    <n v="566"/>
    <s v="Adriana Adilene Cortes Castañon"/>
    <n v="7698"/>
    <d v="2017-08-10T00:00:00"/>
    <x v="72"/>
    <x v="0"/>
    <x v="17"/>
    <x v="3"/>
    <n v="1"/>
    <s v="FALTA"/>
    <n v="4308841341"/>
  </r>
  <r>
    <n v="567"/>
    <s v="Felipa Bacilio Escobar"/>
    <n v="7445"/>
    <d v="2017-08-18T00:00:00"/>
    <x v="73"/>
    <x v="6"/>
    <x v="11"/>
    <x v="3"/>
    <n v="1"/>
    <s v="ABAND"/>
    <n v="2358419448"/>
  </r>
  <r>
    <n v="570"/>
    <s v="Julio Cesar Arguello Cisnero"/>
    <n v="7445"/>
    <d v="2017-08-21T00:00:00"/>
    <x v="74"/>
    <x v="6"/>
    <x v="19"/>
    <x v="3"/>
    <n v="1"/>
    <s v="FALTA"/>
    <n v="4537642400"/>
  </r>
  <r>
    <n v="573"/>
    <s v="Ulises Raul Gomez Najera"/>
    <n v="7698"/>
    <d v="2017-10-12T00:00:00"/>
    <x v="75"/>
    <x v="8"/>
    <x v="15"/>
    <x v="3"/>
    <n v="1"/>
    <s v="FALTA"/>
    <n v="5434765254"/>
  </r>
  <r>
    <n v="575"/>
    <s v="Marco Antonio Noyola Hernandez"/>
    <n v="6500"/>
    <d v="2017-10-16T00:00:00"/>
    <x v="76"/>
    <x v="0"/>
    <x v="10"/>
    <x v="3"/>
    <n v="1"/>
    <s v="RENUN"/>
    <n v="9180219213"/>
  </r>
  <r>
    <n v="578"/>
    <s v="Maria Magdalena De La Cruz Reyes"/>
    <n v="7445"/>
    <d v="2017-10-21T00:00:00"/>
    <x v="77"/>
    <x v="2"/>
    <x v="6"/>
    <x v="3"/>
    <n v="1"/>
    <s v="RENUN"/>
    <n v="8206736644.0072002"/>
  </r>
  <r>
    <n v="582"/>
    <s v="Estela Campos Marin"/>
    <n v="8225"/>
    <d v="2017-11-13T00:00:00"/>
    <x v="78"/>
    <x v="6"/>
    <x v="11"/>
    <x v="3"/>
    <n v="1"/>
    <s v="RENUN"/>
    <n v="8462570738"/>
  </r>
  <r>
    <n v="583"/>
    <s v="Reyna Zambrano Flores"/>
    <n v="7698"/>
    <d v="2017-12-21T00:00:00"/>
    <x v="79"/>
    <x v="2"/>
    <x v="6"/>
    <x v="3"/>
    <n v="1"/>
    <s v="RENUN"/>
    <n v="8198333468.4724503"/>
  </r>
  <r>
    <n v="592"/>
    <s v="Karla Herrera Flores"/>
    <n v="7445"/>
    <d v="2017-12-25T00:00:00"/>
    <x v="80"/>
    <x v="2"/>
    <x v="6"/>
    <x v="3"/>
    <n v="1"/>
    <s v="FALTA"/>
    <n v="5584785223"/>
  </r>
  <r>
    <n v="593"/>
    <s v="Maria De Los Angeles Rojas Cardenas"/>
    <n v="7445"/>
    <d v="2017-12-30T00:00:00"/>
    <x v="81"/>
    <x v="2"/>
    <x v="6"/>
    <x v="3"/>
    <n v="1"/>
    <s v="RENUN"/>
    <n v="7877175059"/>
  </r>
  <r>
    <n v="596"/>
    <s v="Naili De Leon Herrera"/>
    <n v="7700"/>
    <d v="2018-02-02T00:00:00"/>
    <x v="82"/>
    <x v="0"/>
    <x v="10"/>
    <x v="1"/>
    <n v="1"/>
    <s v="RENUN"/>
    <n v="8334895974"/>
  </r>
  <r>
    <n v="607"/>
    <s v="Andrea Elizabeth Chavez Aguilar"/>
    <n v="5480"/>
    <d v="2018-04-27T00:00:00"/>
    <x v="83"/>
    <x v="2"/>
    <x v="3"/>
    <x v="4"/>
    <n v="1"/>
    <s v="RENUN"/>
    <n v="8780118383"/>
  </r>
  <r>
    <n v="610"/>
    <s v="Christian Guillermo Dominguez Guerrero"/>
    <n v="7445"/>
    <d v="2018-06-09T00:00:00"/>
    <x v="84"/>
    <x v="2"/>
    <x v="3"/>
    <x v="3"/>
    <n v="1"/>
    <s v="RENUN"/>
    <n v="8205139820.5419598"/>
  </r>
  <r>
    <n v="612"/>
    <s v="Hugo Castillo Vazquez"/>
    <n v="7200"/>
    <d v="2018-07-13T00:00:00"/>
    <x v="85"/>
    <x v="0"/>
    <x v="17"/>
    <x v="3"/>
    <n v="1"/>
    <s v="FALTA"/>
    <n v="4067153749"/>
  </r>
  <r>
    <n v="617"/>
    <s v="Federica Tereza Adame"/>
    <n v="8225"/>
    <d v="2018-07-26T00:00:00"/>
    <x v="86"/>
    <x v="2"/>
    <x v="6"/>
    <x v="5"/>
    <n v="1"/>
    <s v="CONFL"/>
    <n v="3277651616"/>
  </r>
  <r>
    <n v="622"/>
    <s v="Luz Maria Cedano Herrera"/>
    <n v="7698"/>
    <d v="2018-08-10T00:00:00"/>
    <x v="87"/>
    <x v="2"/>
    <x v="3"/>
    <x v="3"/>
    <n v="1"/>
    <s v="RENUN"/>
    <n v="8208321044.9840403"/>
  </r>
  <r>
    <n v="624"/>
    <s v="Araceli Gutierrez Patricio"/>
    <n v="7698"/>
    <d v="2018-12-21T00:00:00"/>
    <x v="88"/>
    <x v="1"/>
    <x v="1"/>
    <x v="3"/>
    <n v="1"/>
    <s v="ABAND"/>
    <n v="2166534851"/>
  </r>
  <r>
    <n v="627"/>
    <s v="Maria Del Rocio Camacho Alvarez"/>
    <n v="8225"/>
    <d v="2018-12-22T00:00:00"/>
    <x v="89"/>
    <x v="7"/>
    <x v="18"/>
    <x v="3"/>
    <n v="1"/>
    <s v="REAJS"/>
    <n v="7087198468"/>
  </r>
  <r>
    <n v="633"/>
    <s v="Antonia Meza Platero"/>
    <n v="7445"/>
    <d v="2019-01-11T00:00:00"/>
    <x v="90"/>
    <x v="0"/>
    <x v="17"/>
    <x v="3"/>
    <n v="1"/>
    <s v="RENUN"/>
    <n v="8207677736.9840403"/>
  </r>
  <r>
    <n v="637"/>
    <s v="Conzuelo Nava Reyes"/>
    <n v="8225"/>
    <d v="2019-05-18T00:00:00"/>
    <x v="91"/>
    <x v="6"/>
    <x v="19"/>
    <x v="3"/>
    <n v="1"/>
    <s v="RENUN"/>
    <n v="9889385742"/>
  </r>
  <r>
    <n v="640"/>
    <s v="Laura Anahi Gallegos Sauceda"/>
    <n v="5900"/>
    <d v="2019-06-21T00:00:00"/>
    <x v="92"/>
    <x v="4"/>
    <x v="12"/>
    <x v="4"/>
    <n v="1"/>
    <s v="RENUN"/>
    <n v="8790062331"/>
  </r>
  <r>
    <n v="641"/>
    <s v="Raul Lozano Lopez"/>
    <n v="6360"/>
    <d v="2019-06-29T00:00:00"/>
    <x v="93"/>
    <x v="5"/>
    <x v="8"/>
    <x v="3"/>
    <n v="1"/>
    <s v="CONFL"/>
    <n v="3265798432"/>
  </r>
  <r>
    <n v="645"/>
    <s v="Maria Elena Ulloa Oceguera"/>
    <n v="9500"/>
    <d v="2019-07-12T00:00:00"/>
    <x v="94"/>
    <x v="2"/>
    <x v="2"/>
    <x v="3"/>
    <n v="1"/>
    <s v="ABAND"/>
    <n v="3044513082"/>
  </r>
  <r>
    <n v="655"/>
    <s v="Omar Salas Emigdio"/>
    <n v="7445"/>
    <d v="2019-08-14T00:00:00"/>
    <x v="95"/>
    <x v="5"/>
    <x v="16"/>
    <x v="3"/>
    <n v="1"/>
    <s v="FALTA"/>
    <n v="5643864731"/>
  </r>
  <r>
    <n v="660"/>
    <s v="Cira Jimenez Tornes"/>
    <n v="10300"/>
    <d v="2019-09-15T00:00:00"/>
    <x v="96"/>
    <x v="5"/>
    <x v="8"/>
    <x v="3"/>
    <n v="1"/>
    <s v="FALTA"/>
    <n v="5632011547"/>
  </r>
  <r>
    <n v="661"/>
    <s v="Jezreel Alberto Torres Diaz"/>
    <n v="9500"/>
    <d v="2019-10-07T00:00:00"/>
    <x v="97"/>
    <x v="6"/>
    <x v="19"/>
    <x v="3"/>
    <n v="1"/>
    <s v="INCAP"/>
    <n v="2110175316"/>
  </r>
  <r>
    <n v="662"/>
    <s v="Paul Vargas Mares"/>
    <n v="9200"/>
    <d v="2020-03-05T00:00:00"/>
    <x v="98"/>
    <x v="1"/>
    <x v="1"/>
    <x v="3"/>
    <n v="1"/>
    <s v="FALTA"/>
    <n v="5599402826"/>
  </r>
  <r>
    <n v="668"/>
    <s v="Luciano Gutierrez Chavez"/>
    <n v="7698"/>
    <d v="2020-04-15T00:00:00"/>
    <x v="99"/>
    <x v="7"/>
    <x v="20"/>
    <x v="3"/>
    <n v="1"/>
    <s v="CONFL"/>
    <n v="3277453418"/>
  </r>
  <r>
    <n v="136"/>
    <s v="Victor Jesus Garcia Carranza"/>
    <n v="8825"/>
    <d v="2020-05-20T00:00:00"/>
    <x v="100"/>
    <x v="1"/>
    <x v="21"/>
    <x v="1"/>
    <n v="0"/>
    <s v="RENUN"/>
    <n v="8826498955"/>
  </r>
  <r>
    <n v="157"/>
    <s v="Juan Gerardo Rodriguez Manzanares"/>
    <n v="5700"/>
    <d v="2020-01-01T00:00:00"/>
    <x v="12"/>
    <x v="2"/>
    <x v="2"/>
    <x v="4"/>
    <n v="0"/>
    <s v="RENUN"/>
    <n v="8906968313"/>
  </r>
  <r>
    <n v="164"/>
    <s v="Fernanda Galindo Canales"/>
    <n v="9540"/>
    <d v="2020-01-03T00:00:00"/>
    <x v="101"/>
    <x v="4"/>
    <x v="5"/>
    <x v="1"/>
    <n v="0"/>
    <s v="RENUN"/>
    <n v="8906562621"/>
  </r>
  <r>
    <n v="173"/>
    <s v="Alejandro Sebastian Cazares Diaz"/>
    <n v="6778"/>
    <d v="2016-10-24T00:00:00"/>
    <x v="102"/>
    <x v="0"/>
    <x v="17"/>
    <x v="2"/>
    <n v="0"/>
    <s v="RENUN"/>
    <n v="8286340317"/>
  </r>
  <r>
    <n v="176"/>
    <s v="Karla Estefanía Lara Mendoza"/>
    <n v="8825"/>
    <d v="2017-12-01T00:00:00"/>
    <x v="103"/>
    <x v="8"/>
    <x v="15"/>
    <x v="1"/>
    <n v="0"/>
    <s v="RENUN"/>
    <n v="8254199095"/>
  </r>
  <r>
    <n v="181"/>
    <s v="Roberto Carlos Rivera"/>
    <n v="4860"/>
    <d v="2012-12-12T00:00:00"/>
    <x v="104"/>
    <x v="7"/>
    <x v="18"/>
    <x v="4"/>
    <n v="0"/>
    <s v="RENUN"/>
    <n v="8861299139"/>
  </r>
  <r>
    <n v="210"/>
    <s v="Juvenal Hernandez Analco"/>
    <n v="7698"/>
    <d v="2010-04-19T00:00:00"/>
    <x v="105"/>
    <x v="0"/>
    <x v="17"/>
    <x v="3"/>
    <n v="0"/>
    <s v="REAJS"/>
    <n v="7077123727"/>
  </r>
  <r>
    <n v="263"/>
    <s v="Elizabeth Barona Hilario"/>
    <n v="4860"/>
    <d v="2011-03-09T00:00:00"/>
    <x v="106"/>
    <x v="1"/>
    <x v="1"/>
    <x v="3"/>
    <n v="0"/>
    <s v="RENUN"/>
    <n v="9170342670"/>
  </r>
  <r>
    <n v="301"/>
    <s v="Alma Delia Alvarez Ponciano"/>
    <n v="8825"/>
    <d v="2011-07-05T00:00:00"/>
    <x v="107"/>
    <x v="3"/>
    <x v="4"/>
    <x v="3"/>
    <n v="0"/>
    <s v="REAJS"/>
    <n v="5684394469.5"/>
  </r>
  <r>
    <n v="338"/>
    <s v="Eva Castañeda Jimenez"/>
    <n v="7445"/>
    <d v="2012-03-13T00:00:00"/>
    <x v="108"/>
    <x v="4"/>
    <x v="12"/>
    <x v="3"/>
    <n v="0"/>
    <s v="ABAND"/>
    <n v="3034314885"/>
  </r>
  <r>
    <n v="375"/>
    <s v="Maria Del Carmen Cortes Peralta"/>
    <n v="7698"/>
    <d v="2013-02-25T00:00:00"/>
    <x v="109"/>
    <x v="8"/>
    <x v="15"/>
    <x v="3"/>
    <n v="0"/>
    <s v="REAJS"/>
    <n v="5684716123.5"/>
  </r>
  <r>
    <n v="376"/>
    <s v="Mario Ramirez Garcia"/>
    <n v="6778"/>
    <d v="2013-02-26T00:00:00"/>
    <x v="110"/>
    <x v="8"/>
    <x v="15"/>
    <x v="3"/>
    <n v="0"/>
    <s v="RENUN"/>
    <n v="8207999390.9840403"/>
  </r>
  <r>
    <n v="380"/>
    <s v="Yasser Rios Guzman"/>
    <n v="6778"/>
    <d v="2013-05-02T00:00:00"/>
    <x v="111"/>
    <x v="2"/>
    <x v="2"/>
    <x v="3"/>
    <n v="0"/>
    <s v="FALTA"/>
    <n v="5596638407"/>
  </r>
  <r>
    <n v="381"/>
    <s v="Osvaldo Buenfil Catalan"/>
    <n v="8225"/>
    <d v="2013-05-17T00:00:00"/>
    <x v="112"/>
    <x v="3"/>
    <x v="13"/>
    <x v="3"/>
    <n v="0"/>
    <s v="RENUN"/>
    <n v="8359989291"/>
  </r>
  <r>
    <n v="417"/>
    <s v="Edilia Hernandez Mena"/>
    <n v="7800"/>
    <d v="2014-04-03T00:00:00"/>
    <x v="113"/>
    <x v="5"/>
    <x v="16"/>
    <x v="3"/>
    <n v="0"/>
    <s v="RENUN"/>
    <n v="8194017109.0303698"/>
  </r>
  <r>
    <n v="423"/>
    <s v="Javier Bazan Diaz"/>
    <n v="7445"/>
    <d v="2014-04-22T00:00:00"/>
    <x v="114"/>
    <x v="2"/>
    <x v="6"/>
    <x v="5"/>
    <n v="0"/>
    <s v="RENUN"/>
    <n v="9866980399"/>
  </r>
  <r>
    <n v="454"/>
    <s v="Julian Alejo Corraltitlan"/>
    <n v="9540"/>
    <d v="2014-10-16T00:00:00"/>
    <x v="115"/>
    <x v="1"/>
    <x v="21"/>
    <x v="3"/>
    <n v="0"/>
    <s v="RENUN"/>
    <n v="9879509199"/>
  </r>
  <r>
    <n v="459"/>
    <s v="Silvino Chegue Zarate"/>
    <n v="6778"/>
    <d v="2015-02-05T00:00:00"/>
    <x v="116"/>
    <x v="2"/>
    <x v="3"/>
    <x v="3"/>
    <n v="0"/>
    <s v="FALTA"/>
    <n v="5599792150"/>
  </r>
  <r>
    <n v="539"/>
    <s v="Elvia Dominguez Renteria"/>
    <n v="7445"/>
    <d v="2016-10-08T00:00:00"/>
    <x v="117"/>
    <x v="5"/>
    <x v="16"/>
    <x v="3"/>
    <n v="0"/>
    <s v="RENUN"/>
    <n v="8204607546.0535402"/>
  </r>
  <r>
    <n v="542"/>
    <s v="Mayra Iris Castañeda Lopez"/>
    <n v="9200"/>
    <d v="2017-02-09T00:00:00"/>
    <x v="118"/>
    <x v="2"/>
    <x v="2"/>
    <x v="3"/>
    <n v="0"/>
    <s v="RENUN"/>
    <n v="8360310945"/>
  </r>
  <r>
    <n v="600"/>
    <s v="Evelia Abarca De Dios"/>
    <n v="6500"/>
    <d v="2018-04-13T00:00:00"/>
    <x v="119"/>
    <x v="4"/>
    <x v="12"/>
    <x v="3"/>
    <n v="0"/>
    <s v="RENUN"/>
    <n v="8195139821.5419598"/>
  </r>
  <r>
    <n v="604"/>
    <s v="Judith Hernandez Adame"/>
    <n v="7445"/>
    <d v="2018-04-24T00:00:00"/>
    <x v="120"/>
    <x v="7"/>
    <x v="14"/>
    <x v="3"/>
    <n v="0"/>
    <s v="RENUN"/>
    <n v="8198275304.9377003"/>
  </r>
  <r>
    <n v="620"/>
    <s v="Lorena Carrillo Rendon"/>
    <n v="9500"/>
    <d v="2018-08-10T00:00:00"/>
    <x v="121"/>
    <x v="0"/>
    <x v="17"/>
    <x v="3"/>
    <n v="0"/>
    <s v="RENUN"/>
    <n v="8226489730.0072002"/>
  </r>
  <r>
    <n v="623"/>
    <s v="Edith Chino Gonzalez"/>
    <n v="6778"/>
    <d v="2018-08-30T00:00:00"/>
    <x v="122"/>
    <x v="4"/>
    <x v="12"/>
    <x v="3"/>
    <n v="0"/>
    <s v="RENUN"/>
    <n v="8210994839.9145298"/>
  </r>
  <r>
    <n v="630"/>
    <s v="Reyna Esperanza Hernandez Sorrosa"/>
    <n v="8900"/>
    <d v="2019-01-08T00:00:00"/>
    <x v="123"/>
    <x v="6"/>
    <x v="19"/>
    <x v="3"/>
    <n v="0"/>
    <s v="RENUN"/>
    <n v="8192952560.0535402"/>
  </r>
  <r>
    <n v="646"/>
    <s v="Judith Selene Cardenas Leon"/>
    <n v="9500"/>
    <d v="2019-07-26T00:00:00"/>
    <x v="124"/>
    <x v="4"/>
    <x v="5"/>
    <x v="5"/>
    <n v="0"/>
    <s v="RENUN"/>
    <n v="8218729862.4724503"/>
  </r>
  <r>
    <n v="656"/>
    <s v="Lucia Hernandez Flores"/>
    <n v="7445"/>
    <d v="2019-08-18T00:00:00"/>
    <x v="125"/>
    <x v="0"/>
    <x v="0"/>
    <x v="3"/>
    <n v="0"/>
    <s v="FALTA"/>
    <n v="5580639340"/>
  </r>
  <r>
    <n v="672"/>
    <s v="Delfina Gallo Bernal"/>
    <n v="8225"/>
    <d v="2020-05-09T00:00:00"/>
    <x v="126"/>
    <x v="2"/>
    <x v="6"/>
    <x v="5"/>
    <n v="0"/>
    <s v="FALTA"/>
    <n v="5643666533"/>
  </r>
  <r>
    <n v="676"/>
    <s v="Yesica Ramirez Valdez"/>
    <n v="6778"/>
    <d v="2020-05-19T00:00:00"/>
    <x v="127"/>
    <x v="5"/>
    <x v="8"/>
    <x v="5"/>
    <n v="0"/>
    <s v="RENUN"/>
    <n v="8207467116.4956198"/>
  </r>
  <r>
    <n v="681"/>
    <s v="Josefina Figueroa Perez"/>
    <n v="9540"/>
    <d v="2020-06-16T00:00:00"/>
    <x v="128"/>
    <x v="5"/>
    <x v="9"/>
    <x v="3"/>
    <n v="0"/>
    <s v="RENUN"/>
    <n v="8501259761"/>
  </r>
  <r>
    <n v="685"/>
    <s v="Yuridia Elizabeth Castro Cano"/>
    <n v="4860"/>
    <d v="2020-08-05T00:00:00"/>
    <x v="129"/>
    <x v="5"/>
    <x v="9"/>
    <x v="3"/>
    <n v="0"/>
    <s v="FALTA"/>
    <n v="5067643741"/>
  </r>
  <r>
    <n v="686"/>
    <s v="Manuel Alejandro Cuadrilla Adame"/>
    <n v="8200"/>
    <d v="2020-11-23T00:00:00"/>
    <x v="130"/>
    <x v="6"/>
    <x v="11"/>
    <x v="3"/>
    <n v="0"/>
    <s v="ABAND"/>
    <n v="2166856505"/>
  </r>
  <r>
    <n v="687"/>
    <s v="Rosa Hernandez Alvarado"/>
    <n v="7698"/>
    <d v="2020-12-10T00:00:00"/>
    <x v="131"/>
    <x v="7"/>
    <x v="20"/>
    <x v="3"/>
    <n v="0"/>
    <s v="REAJS"/>
    <n v="6044309860"/>
  </r>
  <r>
    <n v="696"/>
    <s v="Moises Hernandez Almazan"/>
    <n v="7698"/>
    <d v="2020-12-14T00:00:00"/>
    <x v="132"/>
    <x v="2"/>
    <x v="6"/>
    <x v="3"/>
    <n v="0"/>
    <s v="FALTA"/>
    <n v="5077643740"/>
  </r>
  <r>
    <n v="698"/>
    <s v="Etsaul Amador Archundia Mercado"/>
    <n v="6778"/>
    <d v="2020-12-20T00:00:00"/>
    <x v="133"/>
    <x v="5"/>
    <x v="8"/>
    <x v="3"/>
    <n v="0"/>
    <s v="FALTA"/>
    <n v="5609668693"/>
  </r>
  <r>
    <n v="699"/>
    <s v="Enrique Bello Solis"/>
    <n v="7445"/>
    <d v="2021-02-22T00:00:00"/>
    <x v="134"/>
    <x v="5"/>
    <x v="9"/>
    <x v="3"/>
    <n v="0"/>
    <s v="RENUN"/>
    <n v="8214007472"/>
  </r>
  <r>
    <n v="700"/>
    <s v="Pablo Emilio Vazquez Balderas"/>
    <n v="8825"/>
    <d v="2021-03-03T00:00:00"/>
    <x v="135"/>
    <x v="5"/>
    <x v="9"/>
    <x v="1"/>
    <n v="0"/>
    <s v="RENUN"/>
    <n v="8823567056"/>
  </r>
  <r>
    <n v="706"/>
    <s v="Maria Del Carmen Dina De Los Santos"/>
    <n v="6778"/>
    <d v="2021-03-20T00:00:00"/>
    <x v="136"/>
    <x v="6"/>
    <x v="11"/>
    <x v="3"/>
    <n v="0"/>
    <s v="RENUN"/>
    <n v="7942955889.5"/>
  </r>
  <r>
    <n v="707"/>
    <s v="Deisy Calixto Palma"/>
    <n v="7200"/>
    <d v="2021-04-20T00:00:00"/>
    <x v="137"/>
    <x v="5"/>
    <x v="9"/>
    <x v="3"/>
    <n v="0"/>
    <s v="FALTA"/>
    <n v="4308198033"/>
  </r>
  <r>
    <n v="718"/>
    <s v="Maria De Los Angeles Albino Manuel"/>
    <n v="6360"/>
    <d v="2021-04-21T00:00:00"/>
    <x v="138"/>
    <x v="6"/>
    <x v="11"/>
    <x v="3"/>
    <n v="0"/>
    <s v="ABAND"/>
    <n v="2176733048"/>
  </r>
  <r>
    <n v="727"/>
    <s v="Araceli Lopez Sanchez"/>
    <n v="6360"/>
    <d v="2021-04-28T00:00:00"/>
    <x v="137"/>
    <x v="5"/>
    <x v="9"/>
    <x v="6"/>
    <n v="0"/>
    <s v="RENUN"/>
    <n v="8741070433"/>
  </r>
  <r>
    <n v="729"/>
    <s v="Nidia Eva Manzanarez Tejeda"/>
    <n v="6778"/>
    <d v="2021-06-09T00:00:00"/>
    <x v="139"/>
    <x v="6"/>
    <x v="11"/>
    <x v="3"/>
    <n v="0"/>
    <s v="FALTA"/>
    <n v="4065498762"/>
  </r>
  <r>
    <n v="732"/>
    <s v="Alejandro Burgos Santana"/>
    <n v="8225"/>
    <d v="2021-10-05T00:00:00"/>
    <x v="140"/>
    <x v="4"/>
    <x v="5"/>
    <x v="3"/>
    <n v="0"/>
    <s v="RENUN"/>
    <n v="869421400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0">
  <r>
    <n v="101"/>
    <s v="Joséline Miroslava Valdez Valadez"/>
    <n v="45000"/>
    <n v="1500"/>
    <n v="22500"/>
    <x v="0"/>
    <n v="24"/>
    <x v="0"/>
    <x v="0"/>
    <x v="0"/>
    <s v="LUN VIE"/>
    <n v="1000"/>
    <s v="joseline.valdez@grupomaia.com"/>
    <s v=" "/>
    <m/>
    <n v="48000"/>
    <m/>
    <m/>
    <s v="SÍ"/>
    <n v="20"/>
    <n v="0.5"/>
    <n v="10"/>
    <n v="30"/>
    <n v="1.1095890410958904"/>
    <n v="1664.3835616438357"/>
    <n v="166.66666666666666"/>
    <n v="33663"/>
    <s v="CANTÚ"/>
    <s v="ESCOB"/>
    <n v="8901097153"/>
    <s v="JOSELINE2020@HOTMAIL.COM"/>
    <s v="SOLTE"/>
    <s v="TITUL"/>
    <s v="B"/>
    <d v="2022-03-01T00:00:00"/>
    <m/>
    <s v="UVM"/>
    <s v="ADMINISTRACIÓN        "/>
    <s v=""/>
    <n v="96"/>
    <n v="30"/>
    <n v="0"/>
    <n v="1"/>
    <m/>
    <m/>
    <m/>
    <m/>
    <m/>
    <m/>
    <m/>
    <n v="675"/>
  </r>
  <r>
    <n v="102"/>
    <s v="Deneb Santiago Altair Vega"/>
    <n v="35000"/>
    <n v="1166.6666666666667"/>
    <n v="17500"/>
    <x v="1"/>
    <n v="6"/>
    <x v="1"/>
    <x v="1"/>
    <x v="0"/>
    <s v="LUN VIE"/>
    <n v="1010"/>
    <s v="deneb.altair@grupomaia.com"/>
    <s v=" "/>
    <n v="43194"/>
    <n v="25500"/>
    <s v="SOFTWARE"/>
    <s v="COMPRAS"/>
    <s v="NO"/>
    <n v="16"/>
    <n v="0.5"/>
    <n v="8"/>
    <n v="30"/>
    <n v="1.1041095890410959"/>
    <n v="1288.1278538812787"/>
    <n v="129.62962962962965"/>
    <n v="32874"/>
    <s v="SAN JEME"/>
    <s v="MONTY"/>
    <n v="8709375531"/>
    <s v="DENEB1414@HOTMAIL.COM"/>
    <s v="SOLTE"/>
    <s v="TITUL"/>
    <s v="A"/>
    <d v="2022-01-01T00:00:00"/>
    <m/>
    <s v="UNEZ"/>
    <s v="TECNOLOGÍA DE SOFTWARE      "/>
    <s v=""/>
    <n v="95"/>
    <n v="32"/>
    <n v="1"/>
    <n v="1"/>
    <m/>
    <m/>
    <m/>
    <m/>
    <m/>
    <m/>
    <m/>
    <n v="936"/>
  </r>
  <r>
    <n v="103"/>
    <s v="Irie Dalí Antares Cortés"/>
    <n v="48900"/>
    <n v="1630"/>
    <n v="24450"/>
    <x v="2"/>
    <n v="15"/>
    <x v="2"/>
    <x v="2"/>
    <x v="0"/>
    <s v="LUN VIE"/>
    <n v="1007"/>
    <s v="irie.antares@grupomaia.com"/>
    <s v=" "/>
    <m/>
    <n v="41600"/>
    <m/>
    <m/>
    <s v="NO"/>
    <n v="20"/>
    <n v="0.5"/>
    <n v="10"/>
    <n v="30"/>
    <n v="1.1095890410958904"/>
    <n v="1808.6301369863013"/>
    <n v="181.11111111111111"/>
    <n v="29835"/>
    <s v="RINCÓN DE LAS COLINAS"/>
    <s v="JUARZ"/>
    <n v="8758391207"/>
    <s v="IRIE1616@HOTMAIL.COM"/>
    <s v="SOLTE"/>
    <s v="MAEST"/>
    <s v="A"/>
    <d v="2022-09-06T00:00:00"/>
    <m/>
    <s v="UANL"/>
    <s v="NEGOCIOS INTERNACIONALES       "/>
    <s v="CONTADOR PÚBLICO       "/>
    <n v="59"/>
    <n v="40"/>
    <n v="3"/>
    <n v="1"/>
    <m/>
    <m/>
    <m/>
    <m/>
    <m/>
    <m/>
    <m/>
    <n v="161"/>
  </r>
  <r>
    <n v="104"/>
    <s v="Diego Herrera Girón"/>
    <n v="64200"/>
    <n v="2140"/>
    <n v="32100"/>
    <x v="3"/>
    <n v="19"/>
    <x v="3"/>
    <x v="3"/>
    <x v="0"/>
    <s v="LUN VIE"/>
    <n v="1004"/>
    <s v="diego.herrera@grupomaia.com"/>
    <s v=" "/>
    <m/>
    <n v="32000"/>
    <m/>
    <m/>
    <s v="SÍ"/>
    <n v="20"/>
    <n v="0.5"/>
    <n v="10"/>
    <n v="30"/>
    <n v="1.1095890410958904"/>
    <n v="2374.5205479452056"/>
    <n v="237.77777777777777"/>
    <n v="32484"/>
    <s v="LOMA LINDA"/>
    <s v="STACT"/>
    <n v="8983467974"/>
    <s v="DIEGO1818@HOTMAIL.COM"/>
    <s v="DIVOR"/>
    <s v="MAEST"/>
    <s v="C"/>
    <d v="2022-12-07T00:00:00"/>
    <m/>
    <s v="UANL"/>
    <s v="INGENIERÍA CIVIL       "/>
    <s v="INGENIERO EN MATERIALES      "/>
    <n v="74"/>
    <n v="33"/>
    <n v="1"/>
    <n v="1"/>
    <m/>
    <m/>
    <m/>
    <m/>
    <m/>
    <m/>
    <m/>
    <n v="246"/>
  </r>
  <r>
    <n v="105"/>
    <s v="Carlos Alejandro Ponce Guerrero"/>
    <n v="60000"/>
    <n v="2000"/>
    <n v="30000"/>
    <x v="0"/>
    <n v="24"/>
    <x v="0"/>
    <x v="0"/>
    <x v="0"/>
    <s v="LUN VIE"/>
    <n v="1001"/>
    <s v="carlos.ponce@grupomaia.com"/>
    <s v=" "/>
    <n v="44475"/>
    <n v="21720"/>
    <m/>
    <m/>
    <s v="SÍ"/>
    <n v="20"/>
    <n v="0.5"/>
    <n v="10"/>
    <n v="30"/>
    <n v="1.1095890410958904"/>
    <n v="2219.178082191781"/>
    <n v="222.22222222222223"/>
    <n v="32919"/>
    <s v="RESIDENCIAL RAÚL RANGEL FRÍAS"/>
    <s v="MONTY"/>
    <n v="8181691863"/>
    <s v="CHARLIY98@HOTMAIL.COM"/>
    <s v="SOLTE"/>
    <s v="MAEST"/>
    <s v="A"/>
    <d v="2022-02-15T00:00:00"/>
    <m/>
    <s v="UANL"/>
    <s v="ADMINISTRACIÓN        "/>
    <s v="TECNOLOGÍA DE SOFTWARE   "/>
    <n v="34"/>
    <n v="32"/>
    <n v="0"/>
    <n v="1"/>
    <m/>
    <m/>
    <m/>
    <m/>
    <m/>
    <m/>
    <m/>
    <n v="847"/>
  </r>
  <r>
    <n v="107"/>
    <s v="Fatima Michelle Urbina Carreón"/>
    <n v="25800"/>
    <n v="860"/>
    <n v="12900"/>
    <x v="4"/>
    <n v="6"/>
    <x v="4"/>
    <x v="4"/>
    <x v="1"/>
    <s v="LUN VIE"/>
    <n v="1028"/>
    <s v="fátima.morin@grupomaia.com"/>
    <s v="MARIANO ALDEBARÁN"/>
    <n v="43129"/>
    <n v="17976"/>
    <s v="CONTROL"/>
    <s v="FACTURAS"/>
    <s v="NO"/>
    <n v="16"/>
    <n v="0.5"/>
    <n v="8"/>
    <n v="30"/>
    <n v="1.1041095890410959"/>
    <n v="949.53424657534254"/>
    <n v="95.555555555555557"/>
    <n v="31388"/>
    <s v="PABLO A DE LA GARZA"/>
    <s v="SNPED"/>
    <n v="8880215265"/>
    <s v="FATIMA1212@HOTMAIL.COM"/>
    <s v="UNLIB"/>
    <s v="MAEST"/>
    <s v="B"/>
    <d v="2022-12-07T00:00:00"/>
    <m/>
    <s v="UN"/>
    <s v="BIBLIOTECOLOGÍA Y CIENCIA DE LA INFORMACIÓN   "/>
    <s v="FINANZAS"/>
    <n v="97"/>
    <n v="36"/>
    <n v="3"/>
    <n v="1"/>
    <m/>
    <m/>
    <m/>
    <m/>
    <m/>
    <m/>
    <m/>
    <n v="175"/>
  </r>
  <r>
    <n v="108"/>
    <s v="Mérida Isela Medina Salinas"/>
    <n v="64200"/>
    <n v="2140"/>
    <n v="32100"/>
    <x v="5"/>
    <n v="14"/>
    <x v="5"/>
    <x v="5"/>
    <x v="0"/>
    <s v="LUN VIE"/>
    <n v="1005"/>
    <s v="mérida.medina@grupomaia.com"/>
    <s v=" "/>
    <m/>
    <n v="39120"/>
    <m/>
    <m/>
    <s v="SÍ"/>
    <n v="20"/>
    <n v="0.5"/>
    <n v="10"/>
    <n v="30"/>
    <n v="1.1095890410958904"/>
    <n v="2374.5205479452056"/>
    <n v="237.77777777777777"/>
    <n v="35219"/>
    <s v="LADERAS DEL TOPO CHICO (F-23)"/>
    <s v="STACT"/>
    <n v="8491165814"/>
    <s v="MÉRIDA1616@HOTMAIL.COM"/>
    <s v="SOLTE"/>
    <s v="MAEST"/>
    <s v="A"/>
    <d v="2022-06-03T00:00:00"/>
    <m/>
    <s v="UVM"/>
    <s v="INGENIERÍA CIVIL       "/>
    <s v="CONTADOR PÚBLICO       "/>
    <n v="52"/>
    <n v="26"/>
    <n v="1"/>
    <n v="1"/>
    <m/>
    <m/>
    <m/>
    <m/>
    <m/>
    <m/>
    <m/>
    <n v="247"/>
  </r>
  <r>
    <n v="109"/>
    <s v="Melissa Estefanía Cruz Hernández"/>
    <n v="32100"/>
    <n v="1070"/>
    <n v="16050"/>
    <x v="6"/>
    <n v="3"/>
    <x v="6"/>
    <x v="6"/>
    <x v="2"/>
    <s v="LUN VIE"/>
    <n v="1013"/>
    <s v="melissa.cruz@grupomaia.com"/>
    <s v=" "/>
    <m/>
    <m/>
    <m/>
    <m/>
    <s v="SÍ"/>
    <n v="14"/>
    <n v="0.5"/>
    <n v="7"/>
    <n v="30"/>
    <n v="1.1013698630136985"/>
    <n v="1178.4657534246574"/>
    <n v="118.88888888888889"/>
    <n v="31786"/>
    <s v="VILLAS DE LA HACIENDA"/>
    <s v="APODC"/>
    <n v="8646319843"/>
    <s v="MELISSA88@HOTMAIL.COM"/>
    <s v="SOLTE"/>
    <s v="TITUL"/>
    <s v="A"/>
    <d v="2022-01-09T00:00:00"/>
    <m/>
    <s v="UANL"/>
    <s v="DERECHO Y CIENCIAS JURÍDICAS     "/>
    <s v=""/>
    <n v="47"/>
    <n v="35"/>
    <n v="0"/>
    <n v="1"/>
    <m/>
    <m/>
    <m/>
    <m/>
    <m/>
    <m/>
    <m/>
    <n v="851"/>
  </r>
  <r>
    <n v="110"/>
    <s v="Edson Aldair Galván Ipiña"/>
    <n v="22200"/>
    <n v="740"/>
    <n v="11100"/>
    <x v="7"/>
    <n v="13"/>
    <x v="4"/>
    <x v="7"/>
    <x v="1"/>
    <s v="LUN VIE"/>
    <n v="1037"/>
    <s v="edson.galván@grupomaia.com"/>
    <s v="MARIANO ALDEBARÁN"/>
    <m/>
    <n v="58320"/>
    <m/>
    <m/>
    <s v="NO"/>
    <n v="20"/>
    <n v="0.5"/>
    <n v="10"/>
    <n v="30"/>
    <n v="1.1095890410958904"/>
    <n v="821.09589041095887"/>
    <n v="82.222222222222229"/>
    <n v="30292"/>
    <s v="VILLA CUMBRES"/>
    <s v="GRCIA"/>
    <n v="8514033301"/>
    <s v="EDSON1616@HOTMAIL.COM"/>
    <s v="CASDO"/>
    <s v="TITUL"/>
    <s v="A"/>
    <d v="2022-12-07T00:00:00"/>
    <m/>
    <s v="IPADE"/>
    <s v="EDUCACIÓN        "/>
    <s v=""/>
    <n v="34"/>
    <n v="39"/>
    <n v="1"/>
    <n v="1"/>
    <m/>
    <m/>
    <m/>
    <m/>
    <m/>
    <m/>
    <m/>
    <n v="20"/>
  </r>
  <r>
    <n v="111"/>
    <s v="Edgar Mauricio Cáceres Rivera"/>
    <n v="7445"/>
    <n v="248.16666666666666"/>
    <n v="3722.5"/>
    <x v="8"/>
    <n v="3"/>
    <x v="7"/>
    <x v="8"/>
    <x v="3"/>
    <s v="LUN VIE"/>
    <m/>
    <s v="edgar.cáceres@grupomaia.com"/>
    <s v="MARCO AURELIO URBINO"/>
    <m/>
    <m/>
    <m/>
    <m/>
    <s v="SÍ"/>
    <n v="14"/>
    <n v="0.5"/>
    <n v="7"/>
    <n v="30"/>
    <n v="1.1013698630136985"/>
    <n v="273.32328767123283"/>
    <n v="27.574074074074073"/>
    <n v="30373"/>
    <s v="SANTGA SOFIA"/>
    <s v="ESCOB"/>
    <n v="8894313649"/>
    <s v="EDGAR88@HOTMAIL.COM"/>
    <s v="CASDO"/>
    <s v="CURSA"/>
    <s v="B"/>
    <d v="2022-02-26T00:00:00"/>
    <n v="9"/>
    <s v="UANL"/>
    <s v="FÍSICA        "/>
    <s v=""/>
    <n v="46"/>
    <n v="39"/>
    <n v="3"/>
    <n v="1"/>
    <m/>
    <m/>
    <m/>
    <m/>
    <m/>
    <m/>
    <m/>
    <n v="87"/>
  </r>
  <r>
    <n v="112"/>
    <s v="Marco Aurelio Urbino"/>
    <n v="53600"/>
    <n v="1786.6666666666667"/>
    <n v="26800"/>
    <x v="9"/>
    <n v="16"/>
    <x v="7"/>
    <x v="9"/>
    <x v="0"/>
    <s v="LUN VIE"/>
    <n v="1006"/>
    <s v="marco.aurelio@grupomaia.com"/>
    <s v=" "/>
    <m/>
    <n v="36000"/>
    <m/>
    <m/>
    <s v="SÍ"/>
    <n v="20"/>
    <n v="0.5"/>
    <n v="10"/>
    <n v="30"/>
    <n v="1.1095890410958904"/>
    <n v="1982.4657534246576"/>
    <n v="198.51851851851853"/>
    <n v="29774"/>
    <s v="DEL NORTE"/>
    <s v="MONTY"/>
    <n v="8463485891"/>
    <s v="MARCO1616@HOTMAIL.COM"/>
    <s v="CASDO"/>
    <s v="MAEST"/>
    <s v="A"/>
    <d v="2022-07-07T00:00:00"/>
    <m/>
    <s v="UVM"/>
    <s v="CONTADOR PÚBLICO       "/>
    <s v="INGENIERO EN MATERIALES      "/>
    <n v="44"/>
    <n v="41"/>
    <n v="2"/>
    <n v="1"/>
    <m/>
    <m/>
    <m/>
    <m/>
    <m/>
    <m/>
    <m/>
    <n v="364"/>
  </r>
  <r>
    <n v="113"/>
    <s v="Lorien Geraldine Mauri Cervantes"/>
    <n v="7445"/>
    <n v="248.16666666666666"/>
    <n v="3722.5"/>
    <x v="10"/>
    <n v="3"/>
    <x v="2"/>
    <x v="10"/>
    <x v="3"/>
    <s v="LUN VIE"/>
    <m/>
    <s v="lorien.mauri@grupomaia.com"/>
    <s v="IRIE DALÍ ANTARES CORTÉS"/>
    <n v="43642"/>
    <n v="5088"/>
    <s v="ANLIS COST"/>
    <m/>
    <s v="NO"/>
    <n v="14"/>
    <n v="0.5"/>
    <n v="7"/>
    <n v="30"/>
    <n v="1.1013698630136985"/>
    <n v="273.32328767123283"/>
    <n v="27.574074074074073"/>
    <n v="29429"/>
    <s v="CORTIJO DEL RÍO TERCER Y CUARTO SECTOR"/>
    <s v="SANTG"/>
    <n v="8186931310"/>
    <s v="LORIEN88@HOTMAIL.COM"/>
    <s v="CASDO"/>
    <s v="CURSA"/>
    <s v="A"/>
    <d v="2022-07-27T00:00:00"/>
    <n v="9"/>
    <s v="UANL"/>
    <s v="INGENIERÍA CIVIL       "/>
    <s v=""/>
    <n v="31"/>
    <n v="41"/>
    <n v="2"/>
    <n v="1"/>
    <m/>
    <m/>
    <m/>
    <m/>
    <m/>
    <m/>
    <m/>
    <n v="885"/>
  </r>
  <r>
    <n v="114"/>
    <s v="Paola Judith Fentanes Álvarez"/>
    <n v="7445"/>
    <n v="248.16666666666666"/>
    <n v="3722.5"/>
    <x v="11"/>
    <n v="2"/>
    <x v="8"/>
    <x v="11"/>
    <x v="1"/>
    <s v="LUN VIE"/>
    <m/>
    <s v="paola.fentanes@grupomaia.com"/>
    <s v="EMMA DARIELA GARCÍA LORCA"/>
    <m/>
    <m/>
    <m/>
    <m/>
    <s v="SÍ"/>
    <n v="10"/>
    <n v="0.5"/>
    <n v="5"/>
    <n v="30"/>
    <n v="1.095890410958904"/>
    <n v="271.96347031963467"/>
    <n v="27.574074074074073"/>
    <n v="29905"/>
    <s v="PRIVADA RESIDENCIAL VILLAS DEL URO"/>
    <s v="MONTY"/>
    <n v="8527725882"/>
    <s v="PAOLA66@HOTMAIL.COM"/>
    <s v="CASDO"/>
    <s v="CURSA"/>
    <s v="A"/>
    <d v="2022-11-15T00:00:00"/>
    <n v="8"/>
    <s v="UANL"/>
    <s v="DISEÑO INDUSTRIAL"/>
    <s v=""/>
    <n v="98"/>
    <n v="40"/>
    <n v="2"/>
    <n v="1"/>
    <m/>
    <m/>
    <m/>
    <m/>
    <m/>
    <m/>
    <m/>
    <n v="849"/>
  </r>
  <r>
    <n v="115"/>
    <s v="Emma Dariela García Lorca"/>
    <n v="45000"/>
    <n v="1500"/>
    <n v="22500"/>
    <x v="12"/>
    <n v="16"/>
    <x v="8"/>
    <x v="12"/>
    <x v="0"/>
    <s v="LUN VIE"/>
    <n v="1008"/>
    <s v="emma.garcia@grupomaia.com"/>
    <s v=" "/>
    <m/>
    <n v="58320"/>
    <m/>
    <m/>
    <s v="NO"/>
    <n v="20"/>
    <n v="0.5"/>
    <n v="10"/>
    <n v="30"/>
    <n v="1.1095890410958904"/>
    <n v="1664.3835616438357"/>
    <n v="166.66666666666666"/>
    <n v="32763"/>
    <s v="VILLAS DE SAN SEBASTIÁN"/>
    <s v="STACT"/>
    <n v="8881743559"/>
    <s v="EMMA1818@HOTMAIL.COM"/>
    <s v="SOLTE"/>
    <s v="MAEST"/>
    <s v="B"/>
    <d v="2022-09-12T00:00:00"/>
    <m/>
    <s v="UANL"/>
    <s v="CONTADOR PÚBLICO       "/>
    <s v="INGENIERO EN MATERIALES      "/>
    <n v="37"/>
    <n v="32"/>
    <n v="2"/>
    <n v="1"/>
    <m/>
    <m/>
    <m/>
    <m/>
    <m/>
    <m/>
    <m/>
    <n v="678"/>
  </r>
  <r>
    <n v="116"/>
    <s v="Idalia García Escrivá"/>
    <n v="37500"/>
    <n v="1250"/>
    <n v="18750"/>
    <x v="13"/>
    <n v="11"/>
    <x v="9"/>
    <x v="13"/>
    <x v="0"/>
    <s v="LUN VIE"/>
    <n v="1009"/>
    <s v="idalia.garcia@grupomaia.com"/>
    <s v=" "/>
    <m/>
    <n v="15920"/>
    <m/>
    <m/>
    <s v="SÍ"/>
    <n v="20"/>
    <n v="0.5"/>
    <n v="10"/>
    <n v="30"/>
    <n v="1.1095890410958904"/>
    <n v="1386.986301369863"/>
    <n v="138.88888888888889"/>
    <n v="35266"/>
    <s v="LOS FRESNOS"/>
    <s v="SNPED"/>
    <n v="3265974155"/>
    <s v="IDALIA1616@HOTMAIL.COM"/>
    <s v="SOLTE"/>
    <s v="TITUL"/>
    <s v="A"/>
    <d v="2022-07-20T00:00:00"/>
    <m/>
    <s v="TECMIL"/>
    <s v="NEGOCIOS INTERNACIONALES       "/>
    <s v=""/>
    <n v="30"/>
    <n v="25"/>
    <n v="2"/>
    <n v="1"/>
    <m/>
    <m/>
    <m/>
    <m/>
    <m/>
    <m/>
    <m/>
    <n v="445"/>
  </r>
  <r>
    <n v="117"/>
    <s v="Andrea Arizpe Rodríguez"/>
    <n v="9541"/>
    <n v="318.03333333333336"/>
    <n v="4770.5"/>
    <x v="14"/>
    <n v="7"/>
    <x v="5"/>
    <x v="14"/>
    <x v="3"/>
    <s v="LUN VIE"/>
    <m/>
    <s v="andrea.arizpe@grupomaia.com"/>
    <s v="MÉRIDA ISELA MEDINA SALINAS"/>
    <n v="42954"/>
    <n v="5422.4000000000005"/>
    <s v="ESTRUCTURA"/>
    <s v="ARQUITECT"/>
    <s v="SÍ"/>
    <n v="16"/>
    <n v="0.5"/>
    <n v="8"/>
    <n v="30"/>
    <n v="1.1041095890410959"/>
    <n v="351.14365296803658"/>
    <n v="35.337037037037042"/>
    <n v="31763"/>
    <s v="MITRAS CENTRO"/>
    <s v="ESCOB"/>
    <n v="8554654579"/>
    <s v="ANDREA1414@HOTMAIL.COM"/>
    <s v="DIVOR"/>
    <s v="CURSA"/>
    <s v="A"/>
    <d v="2022-12-17T00:00:00"/>
    <n v="7"/>
    <s v="UANL"/>
    <s v="ARQUITECTURA        "/>
    <s v=""/>
    <n v="95"/>
    <n v="35"/>
    <n v="0"/>
    <n v="1"/>
    <m/>
    <m/>
    <m/>
    <m/>
    <m/>
    <m/>
    <m/>
    <n v="1000"/>
  </r>
  <r>
    <n v="118"/>
    <s v="Maríano Aldebarán"/>
    <n v="64200"/>
    <n v="2140"/>
    <n v="32100"/>
    <x v="15"/>
    <n v="10"/>
    <x v="4"/>
    <x v="15"/>
    <x v="0"/>
    <s v="LUN VIE"/>
    <n v="1003"/>
    <s v="mariano.aldebarán@grupomaia.com"/>
    <s v=" "/>
    <n v="41521"/>
    <n v="7520"/>
    <s v="COLECTIVOS"/>
    <s v="SOFTWARE"/>
    <s v="NO"/>
    <n v="20"/>
    <n v="0.5"/>
    <n v="10"/>
    <n v="30"/>
    <n v="1.1095890410958904"/>
    <n v="2374.5205479452056"/>
    <n v="237.77777777777777"/>
    <n v="30792"/>
    <s v="PLUTARCO ELÍAS CALLES"/>
    <s v="MONTY"/>
    <n v="8212474802"/>
    <s v="MARIANO1414@HOTMAIL.COM"/>
    <s v="DIVOR"/>
    <s v="TITUL"/>
    <s v="A"/>
    <d v="2022-04-20T00:00:00"/>
    <m/>
    <s v="UNEZ"/>
    <s v="AUDITORÍA"/>
    <s v=""/>
    <n v="97"/>
    <n v="38"/>
    <n v="2"/>
    <n v="1"/>
    <m/>
    <m/>
    <m/>
    <m/>
    <m/>
    <m/>
    <m/>
    <n v="87"/>
  </r>
  <r>
    <n v="119"/>
    <s v="Gabriel García Márquez"/>
    <n v="15850"/>
    <n v="528.33333333333337"/>
    <n v="7925"/>
    <x v="16"/>
    <n v="10"/>
    <x v="7"/>
    <x v="8"/>
    <x v="3"/>
    <s v="LUN VIE"/>
    <m/>
    <s v="gabriel.jimenez@grupomaia.com"/>
    <s v="MARCO AURELIO URBINO"/>
    <n v="41339"/>
    <n v="5422.4000000000005"/>
    <s v="RENDER"/>
    <s v="INVERS"/>
    <s v="SÍ"/>
    <n v="20"/>
    <n v="0.5"/>
    <n v="10"/>
    <n v="30"/>
    <n v="1.1095890410958904"/>
    <n v="586.23287671232879"/>
    <n v="58.703703703703709"/>
    <n v="30512"/>
    <s v="LIBERTADORES DE AMÉRICA"/>
    <s v="JUARZ"/>
    <n v="8290207643"/>
    <s v="GABRIEL1414@HOTMAIL.COM"/>
    <s v="CASDO"/>
    <s v="TITUL"/>
    <s v="A"/>
    <d v="2022-07-15T00:00:00"/>
    <m/>
    <s v="UANL"/>
    <s v="CONTADOR PÚBLICO       "/>
    <s v=""/>
    <n v="89"/>
    <n v="38"/>
    <n v="0"/>
    <n v="1"/>
    <m/>
    <m/>
    <m/>
    <m/>
    <m/>
    <m/>
    <m/>
    <n v="601"/>
  </r>
  <r>
    <n v="120"/>
    <s v="Juan Carlos Ortega Huerta"/>
    <n v="7445"/>
    <n v="248.16666666666666"/>
    <n v="3722.5"/>
    <x v="17"/>
    <n v="2"/>
    <x v="4"/>
    <x v="7"/>
    <x v="3"/>
    <s v="LUN VIE"/>
    <m/>
    <s v="juan.ortega@grupomaia.com"/>
    <s v="MARIANO ALDEBARÁN"/>
    <m/>
    <m/>
    <m/>
    <m/>
    <s v="NO"/>
    <n v="10"/>
    <n v="0.5"/>
    <n v="5"/>
    <n v="30"/>
    <n v="1.095890410958904"/>
    <n v="271.96347031963467"/>
    <n v="27.574074074074073"/>
    <n v="32587"/>
    <s v="JARDINES DE SAN JERÓNIMO"/>
    <s v="STACT"/>
    <n v="8496519662"/>
    <s v="JUAN66@HOTMAIL.COM"/>
    <s v="SOLTE"/>
    <s v="CURSA"/>
    <s v="A"/>
    <d v="2022-03-20T00:00:00"/>
    <n v="9"/>
    <s v="UANL"/>
    <s v="NEGOCIOS INTERNACIONALES       "/>
    <s v=""/>
    <n v="33"/>
    <n v="33"/>
    <n v="1"/>
    <n v="1"/>
    <m/>
    <m/>
    <m/>
    <m/>
    <m/>
    <m/>
    <m/>
    <n v="158"/>
  </r>
  <r>
    <n v="121"/>
    <s v="Luis Jorge Boone "/>
    <n v="7950"/>
    <n v="265"/>
    <n v="3975"/>
    <x v="18"/>
    <n v="4"/>
    <x v="7"/>
    <x v="16"/>
    <x v="3"/>
    <s v="LUN VIE"/>
    <m/>
    <s v="luis.jorge@grupomaia.com"/>
    <s v="MARCO AURELIO URBINO"/>
    <n v="44110"/>
    <n v="5956"/>
    <s v="INST CAMPO"/>
    <m/>
    <s v="SÍ"/>
    <n v="14"/>
    <n v="0.5"/>
    <n v="7"/>
    <n v="30"/>
    <n v="1.1013698630136985"/>
    <n v="291.86301369863014"/>
    <n v="29.444444444444443"/>
    <n v="31524"/>
    <s v="CHURUBUSCO"/>
    <s v="APODC"/>
    <n v="8942210106"/>
    <s v="LUIS88@HOTMAIL.COM"/>
    <s v="CASDO"/>
    <s v="CURSA"/>
    <s v="B"/>
    <d v="2022-04-22T00:00:00"/>
    <n v="9"/>
    <s v="UANL"/>
    <s v="NEGOCIOS INTERNACIONALES       "/>
    <s v=""/>
    <n v="62"/>
    <n v="36"/>
    <n v="2"/>
    <n v="1"/>
    <m/>
    <m/>
    <m/>
    <m/>
    <m/>
    <m/>
    <m/>
    <n v="625"/>
  </r>
  <r>
    <n v="122"/>
    <s v="Fausto Eduardo Cedillo Oliva"/>
    <n v="9541"/>
    <n v="318.03333333333336"/>
    <n v="4770.5"/>
    <x v="19"/>
    <n v="6"/>
    <x v="0"/>
    <x v="17"/>
    <x v="3"/>
    <s v="LUN VIE"/>
    <m/>
    <s v="fausto.cedillo@grupomaia.com"/>
    <s v="MARIANA RODRÍGUEZ GUTIERREZ"/>
    <n v="43105"/>
    <n v="6678"/>
    <s v="RECLTMTO"/>
    <m/>
    <s v="SÍ"/>
    <n v="16"/>
    <n v="0.5"/>
    <n v="8"/>
    <n v="30"/>
    <n v="1.1041095890410959"/>
    <n v="351.14365296803658"/>
    <n v="35.337037037037042"/>
    <n v="35704"/>
    <s v="SAN BERNABÉ XIII (F-116)"/>
    <s v="SNICO"/>
    <n v="8256533155"/>
    <s v="FAUSTO1414@HOTMAIL.COM"/>
    <s v="SOLTE"/>
    <s v="PSNTE"/>
    <s v="A"/>
    <d v="2022-10-01T00:00:00"/>
    <m/>
    <s v="UANL"/>
    <s v="NEGOCIOS INTERNACIONALES       "/>
    <s v=""/>
    <n v="88"/>
    <n v="24"/>
    <n v="2"/>
    <n v="1"/>
    <m/>
    <m/>
    <m/>
    <m/>
    <m/>
    <m/>
    <m/>
    <n v="374"/>
  </r>
  <r>
    <n v="123"/>
    <s v="Lorenzo Antonio Cruz Mendoza"/>
    <n v="25800"/>
    <n v="860"/>
    <n v="12900"/>
    <x v="20"/>
    <n v="5"/>
    <x v="7"/>
    <x v="18"/>
    <x v="1"/>
    <s v="LUN VIE"/>
    <n v="1031"/>
    <s v="lorenzo.cruz@grupomaia.com"/>
    <s v="MARCO AURELIO URBINO"/>
    <n v="43598"/>
    <n v="17311"/>
    <s v="SOLUCIONES"/>
    <m/>
    <s v="SÍ"/>
    <n v="16"/>
    <n v="0.5"/>
    <n v="8"/>
    <n v="30"/>
    <n v="1.1041095890410959"/>
    <n v="949.53424657534254"/>
    <n v="95.555555555555557"/>
    <n v="33218"/>
    <s v="LA JOYA PRIVADA RESIDENCIAL"/>
    <s v="SNPED"/>
    <n v="8424161630"/>
    <s v="LORENZO1212@HOTMAIL.COM"/>
    <s v="SOLTE"/>
    <s v="TITUL"/>
    <s v="A"/>
    <d v="2022-12-11T00:00:00"/>
    <n v="8"/>
    <s v="UANL"/>
    <s v="ADMINISTRACIÓN        "/>
    <s v=""/>
    <n v="34"/>
    <n v="31"/>
    <n v="1"/>
    <n v="1"/>
    <m/>
    <m/>
    <m/>
    <m/>
    <m/>
    <m/>
    <m/>
    <n v="285"/>
  </r>
  <r>
    <n v="124"/>
    <s v="Walther Jonathan Urbina Guerrero"/>
    <n v="9541"/>
    <n v="318.03333333333336"/>
    <n v="4770.5"/>
    <x v="21"/>
    <n v="7"/>
    <x v="7"/>
    <x v="16"/>
    <x v="3"/>
    <s v="LUN VIE"/>
    <m/>
    <s v="walther.urbina@grupomaia.com"/>
    <s v="MARCO AURELIO URBINO"/>
    <n v="43049"/>
    <n v="3888"/>
    <s v="CRÉDITOS"/>
    <m/>
    <s v="SÍ"/>
    <n v="16"/>
    <n v="0.5"/>
    <n v="8"/>
    <n v="30"/>
    <n v="1.1041095890410959"/>
    <n v="351.14365296803658"/>
    <n v="35.337037037037042"/>
    <n v="33393"/>
    <s v="SAN BERNABÉ XV (F-119)"/>
    <s v="STACT"/>
    <n v="5528796465"/>
    <s v="WALTHER1414@HOTMAIL.COM"/>
    <s v="SOLTE"/>
    <s v="CURSA"/>
    <s v="A"/>
    <d v="2022-06-04T00:00:00"/>
    <n v="9"/>
    <s v="UNAM"/>
    <s v="EDUCACIÓN        "/>
    <s v=""/>
    <n v="43"/>
    <n v="31"/>
    <n v="3"/>
    <n v="1"/>
    <m/>
    <m/>
    <m/>
    <m/>
    <m/>
    <m/>
    <m/>
    <n v="741"/>
  </r>
  <r>
    <n v="125"/>
    <s v="Antonio de Jesús Hernández Quiroz"/>
    <n v="22200"/>
    <n v="740"/>
    <n v="11100"/>
    <x v="22"/>
    <n v="7"/>
    <x v="7"/>
    <x v="8"/>
    <x v="1"/>
    <s v="LUN VIE"/>
    <n v="1036"/>
    <s v="antonio.jesús@grupomaia.com"/>
    <s v="MARCO AURELIO URBINO"/>
    <n v="43075"/>
    <n v="16450"/>
    <s v="DISEÑO INT"/>
    <m/>
    <s v="SÍ"/>
    <n v="16"/>
    <n v="0.5"/>
    <n v="8"/>
    <n v="30"/>
    <n v="1.1041095890410959"/>
    <n v="817.04109589041093"/>
    <n v="82.222222222222229"/>
    <n v="31682"/>
    <s v="VISTA HERMOSA"/>
    <s v="APODC"/>
    <n v="8863299375"/>
    <s v="ANTONIO1414@HOTMAIL.COM"/>
    <s v="CASDO"/>
    <s v="TITUL"/>
    <s v="B"/>
    <d v="2022-09-27T00:00:00"/>
    <m/>
    <s v="UANL"/>
    <s v="NEGOCIOS INTERNACIONALES       "/>
    <s v=""/>
    <n v="73"/>
    <n v="35"/>
    <n v="3"/>
    <n v="1"/>
    <m/>
    <m/>
    <m/>
    <m/>
    <m/>
    <m/>
    <m/>
    <n v="117"/>
  </r>
  <r>
    <n v="126"/>
    <s v="Paola Alejandra Hernández Garza"/>
    <n v="25800"/>
    <n v="860"/>
    <n v="12900"/>
    <x v="23"/>
    <n v="6"/>
    <x v="7"/>
    <x v="16"/>
    <x v="1"/>
    <s v="LUN VIE"/>
    <n v="1027"/>
    <s v="paola.hernández@grupomaia.com"/>
    <s v="MARCO AURELIO URBINO"/>
    <n v="43077"/>
    <n v="18025"/>
    <s v="EQUIPOS"/>
    <s v="CONTROL"/>
    <s v="SÍ"/>
    <n v="16"/>
    <n v="0.5"/>
    <n v="8"/>
    <n v="30"/>
    <n v="1.1041095890410959"/>
    <n v="949.53424657534254"/>
    <n v="95.555555555555557"/>
    <n v="37196"/>
    <s v="ESPERANZA O PEÑA ELIZONDO"/>
    <s v="GRCIA"/>
    <n v="8204130929"/>
    <s v="PAOLA1212@HOTMAIL.COM"/>
    <s v="SEPAR"/>
    <s v="TITUL"/>
    <s v="A"/>
    <d v="2022-11-01T00:00:00"/>
    <m/>
    <s v="UANL"/>
    <s v="ADMINISTRACIÓN        "/>
    <s v=""/>
    <n v="48"/>
    <n v="20"/>
    <n v="3"/>
    <n v="1"/>
    <m/>
    <m/>
    <m/>
    <m/>
    <m/>
    <m/>
    <m/>
    <n v="13"/>
  </r>
  <r>
    <n v="127"/>
    <s v="Ignacio José Fornés Olmo"/>
    <n v="7445"/>
    <n v="248.16666666666666"/>
    <n v="3722.5"/>
    <x v="24"/>
    <n v="2"/>
    <x v="8"/>
    <x v="11"/>
    <x v="3"/>
    <s v="LUN VIE"/>
    <m/>
    <s v="ignacio.fornés@grupomaia.com"/>
    <s v="EMMA DARIELA GARCÍA LORCA"/>
    <m/>
    <m/>
    <m/>
    <m/>
    <s v="NO"/>
    <n v="10"/>
    <n v="0.5"/>
    <n v="5"/>
    <n v="30"/>
    <n v="1.095890410958904"/>
    <n v="271.96347031963467"/>
    <n v="27.574074074074073"/>
    <n v="30813"/>
    <s v="SARABIA"/>
    <s v="ESCOB"/>
    <n v="8231873555"/>
    <s v="IGNACIO66@HOTMAIL.COM"/>
    <s v="CASDO"/>
    <s v="PSNTE"/>
    <s v="A"/>
    <d v="2022-05-11T00:00:00"/>
    <m/>
    <s v="UANL"/>
    <s v="CIENCIAS DE LA COMUNICACIÓN CON ACENTUACIÓN EN INFORMACIÓN "/>
    <s v=""/>
    <n v="87"/>
    <n v="38"/>
    <n v="0"/>
    <n v="1"/>
    <m/>
    <m/>
    <m/>
    <m/>
    <m/>
    <m/>
    <m/>
    <n v="283"/>
  </r>
  <r>
    <n v="128"/>
    <s v="René Juan Pérez Joglar"/>
    <n v="7950"/>
    <n v="265"/>
    <n v="3975"/>
    <x v="25"/>
    <n v="4"/>
    <x v="7"/>
    <x v="18"/>
    <x v="3"/>
    <s v="LUN VIE"/>
    <m/>
    <s v="rené.pérez@grupomaia.com"/>
    <s v="MARCO AURELIO URBINO"/>
    <n v="43773"/>
    <n v="5956"/>
    <s v="CRÉDITOS"/>
    <m/>
    <s v="SÍ"/>
    <n v="14"/>
    <n v="0.5"/>
    <n v="7"/>
    <n v="30"/>
    <n v="1.1013698630136985"/>
    <n v="291.86301369863014"/>
    <n v="29.444444444444443"/>
    <n v="33254"/>
    <s v="MORELOS"/>
    <s v="MONTY"/>
    <n v="6549876548"/>
    <s v="RENÉ88@HOTMAIL.COM"/>
    <s v="SOLTE"/>
    <s v="CURSA"/>
    <s v="A"/>
    <d v="2022-01-16T00:00:00"/>
    <n v="4"/>
    <s v="IPN"/>
    <s v="CONTADOR PÚBLICO       "/>
    <s v=""/>
    <n v="70"/>
    <n v="31"/>
    <n v="0"/>
    <n v="1"/>
    <m/>
    <m/>
    <m/>
    <m/>
    <m/>
    <m/>
    <m/>
    <n v="522"/>
  </r>
  <r>
    <n v="130"/>
    <s v="Tirone José González Orama"/>
    <n v="10860"/>
    <n v="362"/>
    <n v="5430"/>
    <x v="26"/>
    <n v="7"/>
    <x v="7"/>
    <x v="18"/>
    <x v="3"/>
    <s v="LUN VIE"/>
    <m/>
    <s v="tirone.gonzález@grupomaia.com"/>
    <s v="MARCO AURELIO URBINO"/>
    <n v="43524"/>
    <n v="8800"/>
    <s v="ANLIS COST"/>
    <m/>
    <s v="SÍ"/>
    <n v="16"/>
    <n v="0.5"/>
    <n v="8"/>
    <n v="30"/>
    <n v="1.1041095890410959"/>
    <n v="399.68767123287671"/>
    <n v="40.222222222222221"/>
    <n v="35242"/>
    <s v="AGRÍCOLA"/>
    <s v="MONTY"/>
    <n v="8273191961"/>
    <s v="TIRONE1414@HOTMAIL.COM"/>
    <s v="UNLIB"/>
    <s v="CURSA"/>
    <s v="A"/>
    <d v="2022-06-26T00:00:00"/>
    <n v="8"/>
    <s v="UANL"/>
    <s v="NEGOCIOS INTERNACIONALES       "/>
    <s v=""/>
    <n v="71"/>
    <n v="26"/>
    <n v="2"/>
    <n v="1"/>
    <m/>
    <m/>
    <m/>
    <m/>
    <m/>
    <m/>
    <m/>
    <n v="765"/>
  </r>
  <r>
    <n v="131"/>
    <s v="Vicente Fernández Gómez"/>
    <n v="9450"/>
    <n v="315"/>
    <n v="4725"/>
    <x v="27"/>
    <n v="6"/>
    <x v="3"/>
    <x v="19"/>
    <x v="3"/>
    <s v="LUN VIE"/>
    <m/>
    <s v="vicente.fernández@grupomaia.com"/>
    <s v="DIEGO HERRERA GIRÓN"/>
    <n v="43117"/>
    <n v="5211.5"/>
    <s v="BDD"/>
    <m/>
    <s v="SÍ"/>
    <n v="16"/>
    <n v="0.5"/>
    <n v="8"/>
    <n v="30"/>
    <n v="1.1041095890410959"/>
    <n v="347.79452054794518"/>
    <n v="35"/>
    <n v="33115"/>
    <s v="MODERNA"/>
    <s v="STACT"/>
    <n v="8934301677"/>
    <s v="VICENTE1212@HOTMAIL.COM"/>
    <s v="SOLTE"/>
    <s v="CURSA"/>
    <s v="B"/>
    <d v="2022-08-30T00:00:00"/>
    <n v="6"/>
    <s v="UANL"/>
    <s v="INGENIERÍA CIVIL       "/>
    <s v=""/>
    <n v="67"/>
    <n v="31"/>
    <n v="3"/>
    <n v="1"/>
    <m/>
    <m/>
    <m/>
    <m/>
    <m/>
    <m/>
    <m/>
    <n v="530"/>
  </r>
  <r>
    <n v="132"/>
    <s v="José Rómulo Sosa Ortiz"/>
    <n v="10860"/>
    <n v="362"/>
    <n v="5430"/>
    <x v="28"/>
    <n v="13"/>
    <x v="3"/>
    <x v="20"/>
    <x v="3"/>
    <s v="LUN VIE"/>
    <m/>
    <s v="josé.sosa@grupomaia.com"/>
    <s v="DIEGO HERRERA GIRÓN"/>
    <n v="42197"/>
    <n v="9500"/>
    <s v="RECLTMTO"/>
    <m/>
    <s v="SÍ"/>
    <n v="20"/>
    <n v="0.5"/>
    <n v="10"/>
    <n v="30"/>
    <n v="1.1095890410958904"/>
    <n v="401.67123287671234"/>
    <n v="40.222222222222221"/>
    <n v="32503"/>
    <s v="LOMAS DE TOPO CHICO"/>
    <s v="SNPED"/>
    <n v="8314408209"/>
    <s v="JOSÉ1616@HOTMAIL.COM"/>
    <s v="SOLTE"/>
    <s v="TITUL"/>
    <s v="A"/>
    <d v="2022-12-26T00:00:00"/>
    <m/>
    <s v="UDLAP"/>
    <s v="INGENIERÍA CIVIL       "/>
    <s v=""/>
    <n v="37"/>
    <n v="33"/>
    <n v="2"/>
    <n v="1"/>
    <m/>
    <m/>
    <m/>
    <m/>
    <m/>
    <m/>
    <m/>
    <n v="620"/>
  </r>
  <r>
    <n v="134"/>
    <s v="Julio Maloa Faus"/>
    <n v="22200"/>
    <n v="740"/>
    <n v="11100"/>
    <x v="29"/>
    <n v="5"/>
    <x v="4"/>
    <x v="7"/>
    <x v="3"/>
    <s v="LUN VIE"/>
    <n v="1034"/>
    <s v="julio.maloa@grupomaia.com"/>
    <s v="MARIANO ALDEBARÁN"/>
    <n v="43496"/>
    <n v="19032"/>
    <s v="MATERIALES"/>
    <m/>
    <s v="SÍ"/>
    <n v="16"/>
    <n v="0.5"/>
    <n v="8"/>
    <n v="30"/>
    <n v="1.1041095890410959"/>
    <n v="817.04109589041093"/>
    <n v="82.222222222222229"/>
    <n v="31013"/>
    <s v="7 DE NOVIEMBRE (F-82)"/>
    <s v="MONTY"/>
    <n v="8895275802"/>
    <s v="JULIO1010@HOTMAIL.COM"/>
    <s v="DIVOR"/>
    <s v="TITUL"/>
    <s v="B"/>
    <d v="2022-11-27T00:00:00"/>
    <m/>
    <s v="UVM"/>
    <s v="MULTIMEDIA Y ANIMACIÓN DIGITAL          "/>
    <s v=""/>
    <n v="92"/>
    <n v="37"/>
    <n v="0"/>
    <n v="1"/>
    <m/>
    <m/>
    <m/>
    <m/>
    <m/>
    <m/>
    <m/>
    <n v="748"/>
  </r>
  <r>
    <n v="135"/>
    <s v="Norma Monserrat Bustamante Laferte"/>
    <n v="9541"/>
    <n v="318.03333333333336"/>
    <n v="4770.5"/>
    <x v="30"/>
    <n v="9"/>
    <x v="3"/>
    <x v="21"/>
    <x v="3"/>
    <s v="LUN VIE"/>
    <m/>
    <s v="norma.bustamante@grupomaia.com"/>
    <s v="DIEGO HERRERA GIRÓN"/>
    <n v="42856"/>
    <n v="6158.4000000000005"/>
    <s v="NÓMINAS"/>
    <s v="ARQUITECT"/>
    <s v="SÍ"/>
    <n v="16"/>
    <n v="0.5"/>
    <n v="8"/>
    <n v="30"/>
    <n v="1.1041095890410959"/>
    <n v="351.14365296803658"/>
    <n v="35.337037037037042"/>
    <n v="31711"/>
    <s v="PRIVADAS DEL PEDREGAL"/>
    <s v="GUADL"/>
    <n v="8554702858"/>
    <s v="NORMA1414@HOTMAIL.COM"/>
    <s v="CASDO"/>
    <s v="CURSA"/>
    <s v="A"/>
    <d v="2022-10-26T00:00:00"/>
    <n v="9"/>
    <s v="UANL"/>
    <s v="INGENIERÍA CIVIL       "/>
    <s v=""/>
    <n v="48"/>
    <n v="35"/>
    <n v="2"/>
    <n v="1"/>
    <m/>
    <m/>
    <m/>
    <m/>
    <m/>
    <m/>
    <m/>
    <n v="292"/>
  </r>
  <r>
    <n v="137"/>
    <s v="Vania Fiorely Salas Romero"/>
    <n v="7445"/>
    <n v="248.16666666666666"/>
    <n v="3722.5"/>
    <x v="31"/>
    <n v="2"/>
    <x v="3"/>
    <x v="21"/>
    <x v="3"/>
    <s v="LUN VIE"/>
    <m/>
    <s v="vania.salas@grupomaia.com"/>
    <s v="DIEGO HERRERA GIRÓN"/>
    <m/>
    <m/>
    <m/>
    <m/>
    <s v="SÍ"/>
    <n v="10"/>
    <n v="0.5"/>
    <n v="5"/>
    <n v="30"/>
    <n v="1.095890410958904"/>
    <n v="271.96347031963467"/>
    <n v="27.574074074074073"/>
    <n v="31263"/>
    <s v="SAN BERNABÉ IV (F-124)"/>
    <s v="APODC"/>
    <n v="8438496876"/>
    <s v="VANIA66@HOTMAIL.COM"/>
    <s v="SOLTE"/>
    <s v="CURSA"/>
    <s v="A"/>
    <d v="2022-08-04T00:00:00"/>
    <n v="11"/>
    <s v="UANL"/>
    <s v="INGENIERO MECÁNICO ADMINISTRADOR      "/>
    <s v=""/>
    <n v="72"/>
    <n v="36"/>
    <n v="3"/>
    <n v="1"/>
    <m/>
    <m/>
    <m/>
    <m/>
    <m/>
    <m/>
    <m/>
    <n v="452"/>
  </r>
  <r>
    <n v="138"/>
    <s v="Valeria Santacruz Mendoza"/>
    <n v="9541"/>
    <n v="318.03333333333336"/>
    <n v="4770.5"/>
    <x v="32"/>
    <n v="6"/>
    <x v="7"/>
    <x v="18"/>
    <x v="3"/>
    <s v="LUN VIE"/>
    <m/>
    <s v="valeria.santacruz@grupomaia.com"/>
    <s v="MARCO AURELIO URBINO"/>
    <n v="43016"/>
    <n v="5088"/>
    <s v="ESTRUCTURA"/>
    <m/>
    <s v="SÍ"/>
    <n v="16"/>
    <n v="0.5"/>
    <n v="8"/>
    <n v="30"/>
    <n v="1.1041095890410959"/>
    <n v="351.14365296803658"/>
    <n v="35.337037037037042"/>
    <n v="35701"/>
    <s v="RUBÉN JARAMILLO"/>
    <s v="SNICO"/>
    <n v="8301760494"/>
    <s v="VALERIA1414@HOTMAIL.COM"/>
    <s v="SOLTE"/>
    <s v="CURSA"/>
    <s v="A"/>
    <d v="2022-09-28T00:00:00"/>
    <n v="8"/>
    <s v="UANL"/>
    <s v="CONTADOR PÚBLICO       "/>
    <s v=""/>
    <n v="44"/>
    <n v="24"/>
    <n v="3"/>
    <n v="1"/>
    <m/>
    <m/>
    <m/>
    <m/>
    <m/>
    <m/>
    <m/>
    <n v="466"/>
  </r>
  <r>
    <n v="139"/>
    <s v="Stephanie Banda Leal"/>
    <n v="9450"/>
    <n v="315"/>
    <n v="4725"/>
    <x v="33"/>
    <n v="5"/>
    <x v="3"/>
    <x v="21"/>
    <x v="3"/>
    <s v="LUN VIE"/>
    <m/>
    <s v="stephanie.banda@grupomaia.com"/>
    <s v="DIEGO HERRERA GIRÓN"/>
    <n v="43600"/>
    <n v="5211.5"/>
    <s v="AUDIT PROY"/>
    <m/>
    <s v="SÍ"/>
    <n v="16"/>
    <n v="0.5"/>
    <n v="8"/>
    <n v="30"/>
    <n v="1.1041095890410959"/>
    <n v="347.79452054794518"/>
    <n v="35"/>
    <n v="32570"/>
    <s v="EL URO"/>
    <s v="SNPED"/>
    <n v="8578956423"/>
    <s v="STEPHANIE1212@HOTMAIL.COM"/>
    <s v="SOLTE"/>
    <s v="CURSA"/>
    <s v="A"/>
    <d v="2022-03-03T00:00:00"/>
    <n v="8"/>
    <s v="UANL"/>
    <s v="INGENIERÍA CIVIL       "/>
    <s v=""/>
    <n v="83"/>
    <n v="33"/>
    <n v="0"/>
    <n v="1"/>
    <m/>
    <m/>
    <m/>
    <m/>
    <m/>
    <m/>
    <m/>
    <n v="454"/>
  </r>
  <r>
    <n v="140"/>
    <s v="Melissa susana Pérez Hernández"/>
    <n v="7445"/>
    <n v="248.16666666666666"/>
    <n v="3722.5"/>
    <x v="34"/>
    <n v="3"/>
    <x v="7"/>
    <x v="18"/>
    <x v="3"/>
    <s v="LUN VIE"/>
    <m/>
    <s v="melissa.pérez@grupomaia.com"/>
    <s v="MARCO AURELIO URBINO"/>
    <n v="44042"/>
    <n v="4384"/>
    <s v="ANLIS COST"/>
    <m/>
    <s v="SÍ"/>
    <n v="14"/>
    <n v="0.5"/>
    <n v="7"/>
    <n v="30"/>
    <n v="1.1013698630136985"/>
    <n v="273.32328767123283"/>
    <n v="27.574074074074073"/>
    <n v="29698"/>
    <s v="CERRITOS MODELO (F-76)"/>
    <s v="STACT"/>
    <n v="8237794913"/>
    <s v="SANTGOS88@HOTMAIL.COM"/>
    <s v="DIVOR"/>
    <s v="CURSA"/>
    <s v="A"/>
    <d v="2022-04-22T00:00:00"/>
    <n v="9"/>
    <s v="UANL"/>
    <s v="CONTADOR PÚBLICO       "/>
    <s v=""/>
    <n v="56"/>
    <n v="41"/>
    <n v="0"/>
    <n v="1"/>
    <m/>
    <m/>
    <m/>
    <m/>
    <m/>
    <m/>
    <m/>
    <n v="207"/>
  </r>
  <r>
    <n v="141"/>
    <s v="Salma Jaqueline Arzola Alvarado"/>
    <n v="9450"/>
    <n v="315"/>
    <n v="4725"/>
    <x v="35"/>
    <n v="5"/>
    <x v="7"/>
    <x v="18"/>
    <x v="3"/>
    <s v="LUN VIE"/>
    <m/>
    <s v="salma.arzola@grupomaia.com"/>
    <s v="MARCO AURELIO URBINO"/>
    <n v="43620"/>
    <n v="6177.5"/>
    <s v="ADMINCIÓN"/>
    <m/>
    <s v="SÍ"/>
    <n v="16"/>
    <n v="0.5"/>
    <n v="8"/>
    <n v="30"/>
    <n v="1.1041095890410959"/>
    <n v="347.79452054794518"/>
    <n v="35"/>
    <n v="30849"/>
    <s v="INDUSTRIAS DEL VIDRIO"/>
    <s v="APODC"/>
    <n v="8250783733"/>
    <s v="SALMA1212@HOTMAIL.COM"/>
    <s v="SOLTE"/>
    <s v="PSNTE"/>
    <s v="A"/>
    <d v="2022-06-16T00:00:00"/>
    <m/>
    <s v="UANL"/>
    <s v="CONTADOR PÚBLICO       "/>
    <s v=""/>
    <n v="61"/>
    <n v="38"/>
    <n v="0"/>
    <n v="1"/>
    <m/>
    <m/>
    <m/>
    <m/>
    <m/>
    <m/>
    <m/>
    <n v="291"/>
  </r>
  <r>
    <n v="142"/>
    <s v="Reyna Elizabeth Quezada Sánchez"/>
    <n v="7950"/>
    <n v="265"/>
    <n v="3975"/>
    <x v="36"/>
    <n v="5"/>
    <x v="8"/>
    <x v="22"/>
    <x v="3"/>
    <s v="LUN VIE"/>
    <m/>
    <s v="reyna.quezada@grupomaia.com"/>
    <s v="EMMA DARIELA GARCÍA LORCA"/>
    <n v="43887"/>
    <n v="5956"/>
    <s v="INST CAMPO"/>
    <m/>
    <s v="NO"/>
    <n v="16"/>
    <n v="0.5"/>
    <n v="8"/>
    <n v="30"/>
    <n v="1.1041095890410959"/>
    <n v="292.58904109589042"/>
    <n v="29.444444444444443"/>
    <n v="32765"/>
    <s v="SAN MARTÍN"/>
    <s v="GRCIA"/>
    <n v="8682330331"/>
    <s v="REYNA1010@HOTMAIL.COM"/>
    <s v="SOLTE"/>
    <s v="PSNTE"/>
    <s v="A"/>
    <d v="2022-09-14T00:00:00"/>
    <m/>
    <s v="UVM"/>
    <s v="CONTADOR PÚBLICO       "/>
    <s v=""/>
    <n v="97"/>
    <n v="32"/>
    <n v="1"/>
    <n v="1"/>
    <m/>
    <m/>
    <m/>
    <m/>
    <m/>
    <m/>
    <m/>
    <n v="57"/>
  </r>
  <r>
    <n v="143"/>
    <s v="Ramiro Salazar Martínez"/>
    <n v="9450"/>
    <n v="315"/>
    <n v="4725"/>
    <x v="37"/>
    <n v="6"/>
    <x v="8"/>
    <x v="22"/>
    <x v="3"/>
    <s v="LUN VIE"/>
    <m/>
    <s v="ramiro.salazar@grupomaia.com"/>
    <s v="EMMA DARIELA GARCÍA LORCA"/>
    <n v="42980"/>
    <n v="5211.5"/>
    <s v="CONTROL"/>
    <m/>
    <s v="NO"/>
    <n v="16"/>
    <n v="0.5"/>
    <n v="8"/>
    <n v="30"/>
    <n v="1.1041095890410959"/>
    <n v="347.79452054794518"/>
    <n v="35"/>
    <n v="31359"/>
    <s v="16 DE SEPTIEMBRE"/>
    <s v="ESCOB"/>
    <n v="8350112748"/>
    <s v="RAMIRO1212@HOTMAIL.COM"/>
    <s v="SOLTE"/>
    <s v="CURSA"/>
    <s v="A"/>
    <d v="2022-11-08T00:00:00"/>
    <n v="7"/>
    <s v="UDLAP"/>
    <s v="FÍSICA        "/>
    <s v=""/>
    <n v="81"/>
    <n v="36"/>
    <n v="1"/>
    <n v="1"/>
    <m/>
    <m/>
    <m/>
    <m/>
    <m/>
    <m/>
    <m/>
    <n v="76"/>
  </r>
  <r>
    <n v="144"/>
    <s v="Paulina Aracely Aguilar Juárez"/>
    <n v="9541"/>
    <n v="318.03333333333336"/>
    <n v="4770.5"/>
    <x v="38"/>
    <n v="6"/>
    <x v="8"/>
    <x v="11"/>
    <x v="3"/>
    <s v="LUN VIE"/>
    <m/>
    <s v="paulina.aguilar@grupomaia.com"/>
    <s v="EMMA DARIELA GARCÍA LORCA"/>
    <n v="43052"/>
    <n v="6678"/>
    <s v="EQUIPOS"/>
    <s v="ADMINCIÓN"/>
    <s v="SÍ"/>
    <n v="16"/>
    <n v="0.5"/>
    <n v="8"/>
    <n v="30"/>
    <n v="1.1041095890410959"/>
    <n v="351.14365296803658"/>
    <n v="35.337037037037042"/>
    <n v="30610"/>
    <s v="PRIVADAS DEL PASEO"/>
    <s v="MONTY"/>
    <n v="8731193890"/>
    <s v="PAULINA1212@HOTMAIL.COM"/>
    <s v="SOLTE"/>
    <s v="TITUL"/>
    <s v="A"/>
    <d v="2022-10-21T00:00:00"/>
    <m/>
    <s v="UANL"/>
    <s v="ADMINISTRACIÓN        "/>
    <s v=""/>
    <n v="56"/>
    <n v="38"/>
    <n v="1"/>
    <n v="1"/>
    <m/>
    <m/>
    <m/>
    <m/>
    <m/>
    <m/>
    <m/>
    <n v="734"/>
  </r>
  <r>
    <n v="145"/>
    <s v="Octavio Imanol Vicente Gómez"/>
    <n v="9450"/>
    <n v="315"/>
    <n v="4725"/>
    <x v="39"/>
    <n v="3"/>
    <x v="7"/>
    <x v="8"/>
    <x v="3"/>
    <s v="LUN VIE"/>
    <m/>
    <s v="octavio.vicente@grupomaia.com"/>
    <s v="MARCO AURELIO URBINO"/>
    <n v="43927"/>
    <n v="7060"/>
    <s v="RENDER"/>
    <m/>
    <s v="SÍ"/>
    <n v="14"/>
    <n v="0.5"/>
    <n v="7"/>
    <n v="30"/>
    <n v="1.1013698630136985"/>
    <n v="346.93150684931504"/>
    <n v="35"/>
    <n v="34025"/>
    <s v="LOMA LINDA"/>
    <s v="SANTG"/>
    <n v="8197719242"/>
    <s v="OCTAVIO88@HOTMAIL.COM"/>
    <s v="DIVOR"/>
    <s v="CURSA"/>
    <s v="A"/>
    <d v="2022-02-25T00:00:00"/>
    <n v="7"/>
    <s v="UANL"/>
    <s v="CIENCIAS DE LA COMUNICACIÓN CON ACENTUACIÓN EN INFORMACIÓN "/>
    <s v=""/>
    <n v="76"/>
    <n v="29"/>
    <n v="2"/>
    <n v="1"/>
    <m/>
    <m/>
    <m/>
    <m/>
    <m/>
    <m/>
    <m/>
    <n v="102"/>
  </r>
  <r>
    <n v="146"/>
    <s v="Nydia García Mata"/>
    <n v="7950"/>
    <n v="265"/>
    <n v="3975"/>
    <x v="40"/>
    <n v="4"/>
    <x v="9"/>
    <x v="23"/>
    <x v="3"/>
    <s v="LUN VIE"/>
    <m/>
    <s v="nydia.garcia@grupomaia.com"/>
    <s v="IDALIA GARCÍA ESCRIVÁ"/>
    <n v="43740"/>
    <n v="5956"/>
    <s v="CONTROL"/>
    <m/>
    <s v="NO"/>
    <n v="14"/>
    <n v="0.5"/>
    <n v="7"/>
    <n v="30"/>
    <n v="1.1013698630136985"/>
    <n v="291.86301369863014"/>
    <n v="29.444444444444443"/>
    <n v="36013"/>
    <s v="15 DE MARZO"/>
    <s v="MONTY"/>
    <n v="8823837780"/>
    <s v="NYDIA1010@HOTMAIL.COM"/>
    <s v="CASDO"/>
    <s v="CURSA"/>
    <s v="A"/>
    <d v="2022-08-06T00:00:00"/>
    <n v="7"/>
    <s v="UANL"/>
    <s v="ADMINISTRACIÓN        "/>
    <s v=""/>
    <n v="40"/>
    <n v="23"/>
    <n v="3"/>
    <n v="1"/>
    <m/>
    <m/>
    <m/>
    <m/>
    <m/>
    <m/>
    <m/>
    <n v="240"/>
  </r>
  <r>
    <n v="147"/>
    <s v="Michelle Alejandra Velázquez Martínez"/>
    <n v="7445"/>
    <n v="248.16666666666666"/>
    <n v="3722.5"/>
    <x v="41"/>
    <n v="3"/>
    <x v="8"/>
    <x v="11"/>
    <x v="3"/>
    <s v="LUN VIE"/>
    <m/>
    <s v="michelle.velázquez@grupomaia.com"/>
    <s v="EMMA DARIELA GARCÍA LORCA"/>
    <n v="44075"/>
    <n v="4384"/>
    <s v="ESTRUCTURA"/>
    <m/>
    <s v="NO"/>
    <n v="14"/>
    <n v="0.5"/>
    <n v="7"/>
    <n v="30"/>
    <n v="1.1013698630136985"/>
    <n v="273.32328767123283"/>
    <n v="27.574074074074073"/>
    <n v="31663"/>
    <s v="LOMAS DEL PASEO"/>
    <s v="STACT"/>
    <n v="8802717569"/>
    <s v="MICHELLE88@HOTMAIL.COM"/>
    <s v="DIVOR"/>
    <s v="CURSA"/>
    <s v="A"/>
    <d v="2022-09-08T00:00:00"/>
    <n v="7"/>
    <s v="UANL"/>
    <s v="EDUCACIÓN        "/>
    <s v="FINANZAS"/>
    <n v="94"/>
    <n v="35"/>
    <n v="0"/>
    <n v="1"/>
    <m/>
    <m/>
    <m/>
    <m/>
    <m/>
    <m/>
    <m/>
    <n v="793"/>
  </r>
  <r>
    <n v="149"/>
    <s v="Maríana Rodríguez Gutiérrez"/>
    <n v="34530"/>
    <n v="1151"/>
    <n v="17265"/>
    <x v="42"/>
    <n v="10"/>
    <x v="0"/>
    <x v="0"/>
    <x v="0"/>
    <s v="LUN VIE"/>
    <n v="1011"/>
    <s v="mariana.rodríguez@grupomaia.com"/>
    <s v=" "/>
    <n v="43241"/>
    <n v="28990"/>
    <s v="MATERIALES"/>
    <s v="RELACIONES"/>
    <s v="SÍ"/>
    <n v="20"/>
    <n v="0.5"/>
    <n v="10"/>
    <n v="30"/>
    <n v="1.1095890410958904"/>
    <n v="1277.1369863013699"/>
    <n v="127.88888888888889"/>
    <n v="32679"/>
    <s v="SAN BERNABÉ VIII (F-125)"/>
    <s v="ESCOB"/>
    <n v="3365874562"/>
    <s v="MARIANA1414@HOTMAIL.COM"/>
    <s v="SOLTE"/>
    <s v="MAEST"/>
    <s v="A"/>
    <d v="2022-06-20T00:00:00"/>
    <m/>
    <s v="UVM"/>
    <s v="ADMINISTRACIÓN"/>
    <s v="CONTADOR PÚBLICO       "/>
    <n v="75"/>
    <n v="33"/>
    <n v="2"/>
    <n v="1"/>
    <m/>
    <m/>
    <m/>
    <m/>
    <m/>
    <m/>
    <m/>
    <n v="305"/>
  </r>
  <r>
    <n v="150"/>
    <s v="Karina Alicia Salgado Garizurieta"/>
    <n v="7950"/>
    <n v="265"/>
    <n v="3975"/>
    <x v="43"/>
    <n v="5"/>
    <x v="4"/>
    <x v="4"/>
    <x v="3"/>
    <s v="LUN VIE"/>
    <m/>
    <s v="karina.salgado@grupomaia.com"/>
    <s v="MARIANO ALDEBARÁN"/>
    <n v="43141"/>
    <n v="5956"/>
    <s v="AUDIT ADMN"/>
    <m/>
    <s v="SÍ"/>
    <n v="16"/>
    <n v="0.5"/>
    <n v="8"/>
    <n v="30"/>
    <n v="1.1041095890410959"/>
    <n v="292.58904109589042"/>
    <n v="29.444444444444443"/>
    <n v="36076"/>
    <s v="CENTRO"/>
    <s v="MONTY"/>
    <n v="8540205659"/>
    <s v="MARCELA1010@HOTMAIL.COM"/>
    <s v="SOLTE"/>
    <s v="CURSA"/>
    <s v="A"/>
    <d v="2022-10-08T00:00:00"/>
    <n v="6"/>
    <s v="UANL"/>
    <s v="CONTADOR PÚBLICO       "/>
    <s v=""/>
    <n v="62"/>
    <n v="23"/>
    <n v="2"/>
    <n v="1"/>
    <m/>
    <m/>
    <m/>
    <m/>
    <m/>
    <m/>
    <m/>
    <n v="860"/>
  </r>
  <r>
    <n v="151"/>
    <s v="Luis Brayan Aguilar Ortega"/>
    <n v="7950"/>
    <n v="265"/>
    <n v="3975"/>
    <x v="44"/>
    <n v="5"/>
    <x v="9"/>
    <x v="23"/>
    <x v="3"/>
    <s v="LUN VIE"/>
    <m/>
    <s v="luis.aguilar@grupomaia.com"/>
    <s v="IDALIA GARCÍA ESCRIVÁ"/>
    <n v="43269"/>
    <n v="5956"/>
    <s v="EXTERNOS"/>
    <m/>
    <s v="SÍ"/>
    <n v="16"/>
    <n v="0.5"/>
    <n v="8"/>
    <n v="30"/>
    <n v="1.1041095890410959"/>
    <n v="292.58904109589042"/>
    <n v="29.444444444444443"/>
    <n v="34788"/>
    <s v="REFORMA"/>
    <s v="JUARZ"/>
    <n v="8373032218"/>
    <s v="LUIS1010@HOTMAIL.COM"/>
    <s v="SOLTE"/>
    <s v="CURSA"/>
    <s v="A"/>
    <d v="2022-03-30T00:00:00"/>
    <n v="8"/>
    <s v="UDLAP"/>
    <s v="NEGOCIOS INTERNACIONALES       "/>
    <s v=""/>
    <n v="71"/>
    <n v="27"/>
    <n v="1"/>
    <n v="1"/>
    <m/>
    <m/>
    <m/>
    <m/>
    <m/>
    <m/>
    <m/>
    <n v="20"/>
  </r>
  <r>
    <n v="152"/>
    <s v="Leobardo Fernández Gracián"/>
    <n v="7950"/>
    <n v="265"/>
    <n v="3975"/>
    <x v="45"/>
    <n v="4"/>
    <x v="8"/>
    <x v="22"/>
    <x v="3"/>
    <s v="LUN VIE"/>
    <m/>
    <s v="leobardo.fernández@grupomaia.com"/>
    <s v="EMMA DARIELA GARCÍA LORCA"/>
    <n v="43994"/>
    <n v="5956"/>
    <s v="AUDIT ADMN"/>
    <m/>
    <s v="SÍ"/>
    <n v="14"/>
    <n v="0.5"/>
    <n v="7"/>
    <n v="30"/>
    <n v="1.1013698630136985"/>
    <n v="291.86301369863014"/>
    <n v="29.444444444444443"/>
    <n v="32341"/>
    <s v="REFORMA"/>
    <s v="STACT"/>
    <n v="9876543210"/>
    <s v="LEOBARDO88@HOTMAIL.COM"/>
    <s v="CASDO"/>
    <s v="CURSA"/>
    <s v="C"/>
    <d v="2022-07-17T00:00:00"/>
    <n v="8"/>
    <s v="UANL"/>
    <s v="ADMINISTRACIÓN        "/>
    <s v=""/>
    <n v="95"/>
    <n v="33"/>
    <n v="0"/>
    <n v="1"/>
    <m/>
    <m/>
    <m/>
    <m/>
    <m/>
    <m/>
    <m/>
    <n v="765"/>
  </r>
  <r>
    <n v="153"/>
    <s v="Kevin Denigriz Castañon Castillo"/>
    <n v="9541"/>
    <n v="318.03333333333336"/>
    <n v="4770.5"/>
    <x v="46"/>
    <n v="6"/>
    <x v="0"/>
    <x v="24"/>
    <x v="3"/>
    <s v="LUN VIE"/>
    <m/>
    <s v="kevin.castañon@grupomaia.com"/>
    <s v="MARIANA RODRÍGUEZ GUTIERREZ"/>
    <n v="42943"/>
    <n v="8160"/>
    <s v="CONTA"/>
    <m/>
    <s v="NO"/>
    <n v="16"/>
    <n v="0.5"/>
    <n v="8"/>
    <n v="30"/>
    <n v="1.1041095890410959"/>
    <n v="351.14365296803658"/>
    <n v="35.337037037037042"/>
    <n v="35578"/>
    <s v="SANTGA CRUZ (F- 10)"/>
    <s v="APODC"/>
    <n v="8274983725"/>
    <s v="KEVIN1414@HOTMAIL.COM"/>
    <s v="DIVOR"/>
    <s v="CURSA"/>
    <s v="A"/>
    <d v="2022-05-28T00:00:00"/>
    <n v="7"/>
    <s v="UANL"/>
    <s v="FÍSICA        "/>
    <s v=""/>
    <n v="30"/>
    <n v="25"/>
    <n v="0"/>
    <n v="1"/>
    <m/>
    <m/>
    <m/>
    <m/>
    <m/>
    <m/>
    <m/>
    <n v="513"/>
  </r>
  <r>
    <n v="154"/>
    <s v="Karla Michelle Verdugo Rios"/>
    <n v="7445"/>
    <n v="248.16666666666666"/>
    <n v="3722.5"/>
    <x v="47"/>
    <n v="2"/>
    <x v="3"/>
    <x v="20"/>
    <x v="3"/>
    <s v="LUN VIE"/>
    <m/>
    <s v="karla.verdugo@grupomaia.com"/>
    <s v="DIEGO HERRERA GIRÓN"/>
    <m/>
    <m/>
    <m/>
    <m/>
    <s v="SÍ"/>
    <n v="10"/>
    <n v="0.5"/>
    <n v="5"/>
    <n v="30"/>
    <n v="1.095890410958904"/>
    <n v="271.96347031963467"/>
    <n v="27.574074074074073"/>
    <n v="32016"/>
    <s v="PRIVADAS DEL PASEO"/>
    <s v="SNICO"/>
    <n v="8428308984"/>
    <s v="KARLA66@HOTMAIL.COM"/>
    <s v="SOLTE"/>
    <s v="CURSA"/>
    <s v="A"/>
    <d v="2022-08-27T00:00:00"/>
    <n v="6"/>
    <s v="ITAM"/>
    <s v="INGENIERÍA CIVIL       "/>
    <s v=""/>
    <n v="93"/>
    <n v="34"/>
    <n v="0"/>
    <n v="1"/>
    <m/>
    <m/>
    <m/>
    <m/>
    <m/>
    <m/>
    <m/>
    <n v="225"/>
  </r>
  <r>
    <n v="155"/>
    <s v="Juan Manuel Chaires Martinez"/>
    <n v="7950"/>
    <n v="265"/>
    <n v="3975"/>
    <x v="48"/>
    <n v="5"/>
    <x v="8"/>
    <x v="25"/>
    <x v="3"/>
    <s v="LUN VIE"/>
    <m/>
    <s v="juan.chaires@grupomaia.com"/>
    <s v="EMMA DARIELA GARCÍA LORCA"/>
    <n v="43684"/>
    <n v="5211.5"/>
    <s v="BDD"/>
    <m/>
    <s v="NO"/>
    <n v="16"/>
    <n v="0.5"/>
    <n v="8"/>
    <n v="30"/>
    <n v="1.1041095890410959"/>
    <n v="292.58904109589042"/>
    <n v="29.444444444444443"/>
    <n v="31773"/>
    <s v="MISIÓN DE SAN JERÓNIMO"/>
    <s v="SNPED"/>
    <n v="8987422816"/>
    <s v="JUAN1212@HOTMAIL.COM"/>
    <s v="SOLTE"/>
    <s v="CURSA"/>
    <s v="C"/>
    <d v="2022-12-27T00:00:00"/>
    <n v="6"/>
    <s v="UANL"/>
    <s v="MULTIMEDIA Y ANIMACIÓN DIGITAL          "/>
    <s v=""/>
    <n v="39"/>
    <n v="35"/>
    <n v="0"/>
    <n v="1"/>
    <m/>
    <m/>
    <m/>
    <m/>
    <m/>
    <m/>
    <m/>
    <n v="575"/>
  </r>
  <r>
    <n v="156"/>
    <s v="Juan José Gonzalez Montoya"/>
    <n v="9450"/>
    <n v="315"/>
    <n v="4725"/>
    <x v="49"/>
    <n v="6"/>
    <x v="0"/>
    <x v="26"/>
    <x v="3"/>
    <s v="LUN VIE"/>
    <m/>
    <s v="juan.gonzalez@grupomaia.com"/>
    <s v="MARIANA RODRÍGUEZ GUTIERREZ"/>
    <n v="42734"/>
    <n v="6160"/>
    <s v="RENDER"/>
    <m/>
    <s v="SÍ"/>
    <n v="16"/>
    <n v="0.5"/>
    <n v="8"/>
    <n v="30"/>
    <n v="1.1041095890410959"/>
    <n v="347.79452054794518"/>
    <n v="35"/>
    <n v="35029"/>
    <s v="BOSQUES DE SATÉLITE"/>
    <s v="STACT"/>
    <n v="8284424025"/>
    <s v="JUAN1212@HOTMAIL.COM"/>
    <s v="SOLTE"/>
    <s v="CURSA"/>
    <s v="A"/>
    <d v="2022-11-26T00:00:00"/>
    <n v="7"/>
    <s v="UVM"/>
    <s v="NEGOCIOS INTERNACIONALES       "/>
    <s v=""/>
    <n v="57"/>
    <n v="26"/>
    <n v="1"/>
    <n v="1"/>
    <m/>
    <m/>
    <m/>
    <m/>
    <m/>
    <m/>
    <m/>
    <n v="175"/>
  </r>
  <r>
    <n v="158"/>
    <s v="Marco Antonio Guzmán Loera"/>
    <n v="10860"/>
    <n v="362"/>
    <n v="5430"/>
    <x v="50"/>
    <n v="16"/>
    <x v="0"/>
    <x v="26"/>
    <x v="3"/>
    <s v="LUN VIE"/>
    <m/>
    <s v="marco.guzmán@grupomaia.com"/>
    <s v="MARIANA RODRÍGUEZ GUTIERREZ"/>
    <n v="43812"/>
    <n v="7560"/>
    <s v="INST CAMPO"/>
    <m/>
    <s v="NO"/>
    <n v="20"/>
    <n v="0.5"/>
    <n v="10"/>
    <n v="30"/>
    <n v="1.1095890410958904"/>
    <n v="401.67123287671234"/>
    <n v="40.222222222222221"/>
    <n v="31334"/>
    <s v="LOMAS DEL PASEO"/>
    <s v="GRCIA"/>
    <n v="8485693191"/>
    <s v="JOSE88@HOTMAIL.COM"/>
    <s v="CASDO"/>
    <s v="CURSA"/>
    <s v="A"/>
    <d v="2022-10-14T00:00:00"/>
    <n v="10"/>
    <s v="UANL"/>
    <s v="ADMINISTRACIÓN        "/>
    <s v=""/>
    <n v="50"/>
    <n v="36"/>
    <n v="3"/>
    <n v="1"/>
    <m/>
    <m/>
    <m/>
    <m/>
    <m/>
    <m/>
    <m/>
    <n v="621"/>
  </r>
  <r>
    <n v="159"/>
    <s v="José Mario Sandoval Raudales"/>
    <n v="7445"/>
    <n v="248.16666666666666"/>
    <n v="3722.5"/>
    <x v="51"/>
    <n v="2"/>
    <x v="4"/>
    <x v="27"/>
    <x v="3"/>
    <s v="LUN VIE"/>
    <m/>
    <s v="jose.sandoval@grupomaia.com"/>
    <s v="MARIANO ALDEBARÁN"/>
    <m/>
    <m/>
    <m/>
    <m/>
    <s v="NO"/>
    <n v="10"/>
    <n v="0.5"/>
    <n v="5"/>
    <n v="30"/>
    <n v="1.095890410958904"/>
    <n v="271.96347031963467"/>
    <n v="27.574074074074073"/>
    <n v="29637"/>
    <s v="BOSQUES DE LAS CUMBRES"/>
    <s v="ESCOB"/>
    <n v="8236470880"/>
    <s v="JOSE66@HOTMAIL.COM"/>
    <s v="UNLIB"/>
    <s v="TITUL"/>
    <s v="A"/>
    <d v="2022-02-20T00:00:00"/>
    <m/>
    <s v="UANL"/>
    <s v="ADMINISTRACIÓN        "/>
    <s v=""/>
    <n v="83"/>
    <n v="41"/>
    <n v="2"/>
    <n v="1"/>
    <m/>
    <m/>
    <m/>
    <m/>
    <m/>
    <m/>
    <m/>
    <n v="932"/>
  </r>
  <r>
    <n v="161"/>
    <s v="Jessica Jaredy De Leon Carmona"/>
    <n v="7445"/>
    <n v="248.16666666666666"/>
    <n v="3722.5"/>
    <x v="52"/>
    <n v="3"/>
    <x v="5"/>
    <x v="28"/>
    <x v="3"/>
    <s v="LUN VIE"/>
    <m/>
    <s v="jessica.de@grupomaia.com"/>
    <s v="MÉRIDA ISELA MEDINA SALINAS"/>
    <n v="43384"/>
    <n v="5760"/>
    <s v="ADMINCIÓN"/>
    <m/>
    <s v="SÍ"/>
    <n v="14"/>
    <n v="0.5"/>
    <n v="7"/>
    <n v="30"/>
    <n v="1.1013698630136985"/>
    <n v="273.32328767123283"/>
    <n v="27.574074074074073"/>
    <n v="33988"/>
    <s v="PABLO A DE LA GARZA"/>
    <s v="SANTG"/>
    <n v="8278319855"/>
    <s v="JESSICA88@HOTMAIL.COM"/>
    <s v="SOLTE"/>
    <s v="CURSA"/>
    <s v="A"/>
    <d v="2022-01-19T00:00:00"/>
    <n v="8"/>
    <s v="UANL"/>
    <s v="ARQUITECTURA        "/>
    <s v=""/>
    <n v="37"/>
    <n v="29"/>
    <n v="1"/>
    <n v="1"/>
    <m/>
    <m/>
    <m/>
    <m/>
    <m/>
    <m/>
    <m/>
    <n v="780"/>
  </r>
  <r>
    <n v="162"/>
    <s v="Gustavo Alexis Garduño Lucio"/>
    <n v="7445"/>
    <n v="248.16666666666666"/>
    <n v="3722.5"/>
    <x v="53"/>
    <n v="5"/>
    <x v="7"/>
    <x v="16"/>
    <x v="3"/>
    <s v="LUN VIE"/>
    <m/>
    <s v="gustavo.garduño@grupomaia.com"/>
    <s v="MARCO AURELIO URBINO"/>
    <n v="43955"/>
    <n v="5088"/>
    <s v="INST CAMPO"/>
    <m/>
    <s v="SÍ"/>
    <n v="16"/>
    <n v="0.5"/>
    <n v="8"/>
    <n v="30"/>
    <n v="1.1041095890410959"/>
    <n v="274.00319634703197"/>
    <n v="27.574074074074073"/>
    <n v="30400"/>
    <s v="JARDINES DE SAN JERÓNIMO"/>
    <s v="MONTY"/>
    <n v="3321548799"/>
    <s v="GUSTAVO1010@HOTMAIL.COM"/>
    <s v="SOLTE"/>
    <s v="CURSA"/>
    <s v="A"/>
    <d v="2022-03-25T00:00:00"/>
    <n v="7"/>
    <s v="UANL"/>
    <s v="BIBLIOTECOLOGÍA Y CIENCIA DE LA INFORMACIÓN   "/>
    <s v=""/>
    <n v="61"/>
    <n v="39"/>
    <n v="3"/>
    <n v="1"/>
    <m/>
    <m/>
    <m/>
    <m/>
    <m/>
    <m/>
    <m/>
    <n v="497"/>
  </r>
  <r>
    <n v="163"/>
    <s v="Frida Alejandra Caballero Ovalle"/>
    <n v="9541"/>
    <n v="318.03333333333336"/>
    <n v="4770.5"/>
    <x v="54"/>
    <n v="7"/>
    <x v="8"/>
    <x v="25"/>
    <x v="3"/>
    <s v="LUN VIE"/>
    <m/>
    <s v="frida.caballero@grupomaia.com"/>
    <s v="EMMA DARIELA GARCÍA LORCA"/>
    <n v="42395"/>
    <n v="6580"/>
    <s v="MATERIALES"/>
    <m/>
    <s v="SÍ"/>
    <n v="16"/>
    <n v="0.5"/>
    <n v="8"/>
    <n v="30"/>
    <n v="1.1041095890410959"/>
    <n v="351.14365296803658"/>
    <n v="35.337037037037042"/>
    <n v="31517"/>
    <s v="TALLERES"/>
    <s v="STACT"/>
    <n v="8344154745"/>
    <s v="FRIDA1414@HOTMAIL.COM"/>
    <s v="SOLTE"/>
    <s v="CURSA"/>
    <s v="A"/>
    <d v="2022-04-15T00:00:00"/>
    <n v="9"/>
    <s v="UVM"/>
    <s v="CIENCIAS DE LA COMUNICACIÓN CON ACENTUACIÓN EN INFORMACIÓN "/>
    <s v=""/>
    <n v="94"/>
    <n v="36"/>
    <n v="1"/>
    <n v="1"/>
    <m/>
    <m/>
    <m/>
    <m/>
    <m/>
    <m/>
    <m/>
    <n v="444"/>
  </r>
  <r>
    <n v="165"/>
    <s v="Eduardo Jair Esquivel Burnes"/>
    <n v="7445"/>
    <n v="248.16666666666666"/>
    <n v="3722.5"/>
    <x v="55"/>
    <n v="2"/>
    <x v="8"/>
    <x v="22"/>
    <x v="3"/>
    <s v="LUN VIE"/>
    <m/>
    <s v="eduardo.esquivel@grupomaia.com"/>
    <s v="EMMA DARIELA GARCÍA LORCA"/>
    <m/>
    <m/>
    <m/>
    <m/>
    <s v="SÍ"/>
    <n v="10"/>
    <n v="0.5"/>
    <n v="5"/>
    <n v="30"/>
    <n v="1.095890410958904"/>
    <n v="271.96347031963467"/>
    <n v="27.574074074074073"/>
    <n v="30787"/>
    <s v="SAN BERNABÉ II (F-120)"/>
    <s v="ESCOB"/>
    <n v="8989438311"/>
    <s v="EDUARDO66@HOTMAIL.COM"/>
    <s v="CASDO"/>
    <s v="CURSA"/>
    <s v="C"/>
    <d v="2022-04-15T00:00:00"/>
    <n v="6"/>
    <s v="UANL"/>
    <s v="CIENCIAS DE LA COMUNICACIÓN CON ACENTUACIÓN EN INFORMACIÓN "/>
    <s v=""/>
    <n v="87"/>
    <n v="38"/>
    <n v="3"/>
    <n v="1"/>
    <m/>
    <m/>
    <m/>
    <m/>
    <m/>
    <m/>
    <m/>
    <n v="757"/>
  </r>
  <r>
    <n v="166"/>
    <s v="David Adrian Puente Martinez"/>
    <n v="7445"/>
    <n v="248.16666666666666"/>
    <n v="3722.5"/>
    <x v="56"/>
    <n v="3"/>
    <x v="0"/>
    <x v="17"/>
    <x v="3"/>
    <s v="LUN VIE"/>
    <m/>
    <s v="david.puente@grupomaia.com"/>
    <s v="MARIANA RODRÍGUEZ GUTIERREZ"/>
    <m/>
    <m/>
    <m/>
    <m/>
    <s v="SÍ"/>
    <n v="14"/>
    <n v="0.5"/>
    <n v="7"/>
    <n v="30"/>
    <n v="1.1013698630136985"/>
    <n v="273.32328767123283"/>
    <n v="27.574074074074073"/>
    <n v="33316"/>
    <s v="COLINAS DEL SUR"/>
    <s v="MONTY"/>
    <n v="8254382138"/>
    <s v="DAVID66@HOTMAIL.COM"/>
    <s v="SOLTE"/>
    <s v="CURSA"/>
    <s v="A"/>
    <d v="2022-03-19T00:00:00"/>
    <n v="6"/>
    <s v="UANL"/>
    <s v="CONTADOR PÚBLICO       "/>
    <s v=""/>
    <n v="80"/>
    <n v="31"/>
    <n v="0"/>
    <n v="1"/>
    <m/>
    <m/>
    <m/>
    <m/>
    <m/>
    <m/>
    <m/>
    <n v="47"/>
  </r>
  <r>
    <n v="167"/>
    <s v="Dariana Arjona Herrera"/>
    <n v="9450"/>
    <n v="315"/>
    <n v="4725"/>
    <x v="57"/>
    <n v="6"/>
    <x v="3"/>
    <x v="20"/>
    <x v="3"/>
    <s v="LUN VIE"/>
    <m/>
    <s v="dariana.arjona@grupomaia.com"/>
    <s v="DIEGO HERRERA GIRÓN"/>
    <n v="42961"/>
    <n v="5040"/>
    <s v="FACTURAS"/>
    <m/>
    <s v="SÍ"/>
    <n v="16"/>
    <n v="0.5"/>
    <n v="8"/>
    <n v="30"/>
    <n v="1.1041095890410959"/>
    <n v="347.79452054794518"/>
    <n v="35"/>
    <n v="30624"/>
    <s v="MODELO"/>
    <s v="GUADL"/>
    <n v="8849231386"/>
    <s v="DANIEL1212@HOTMAIL.COM"/>
    <s v="SOLTE"/>
    <s v="CURSA"/>
    <s v="B"/>
    <d v="2022-11-04T00:00:00"/>
    <n v="7"/>
    <s v="UANL"/>
    <s v="INGENIERO MECÁNICO ADMINISTRADOR      "/>
    <s v=""/>
    <n v="97"/>
    <n v="38"/>
    <n v="2"/>
    <n v="1"/>
    <m/>
    <m/>
    <m/>
    <m/>
    <m/>
    <m/>
    <m/>
    <n v="571"/>
  </r>
  <r>
    <n v="168"/>
    <s v="Cristian Tadeo Hernandez Quiroz"/>
    <n v="9450"/>
    <n v="315"/>
    <n v="4725"/>
    <x v="58"/>
    <n v="5"/>
    <x v="0"/>
    <x v="17"/>
    <x v="3"/>
    <s v="LUN VIE"/>
    <m/>
    <s v="cristian.hernandez@grupomaia.com"/>
    <s v="MARIANA RODRÍGUEZ GUTIERREZ"/>
    <n v="42941"/>
    <n v="5088"/>
    <s v="COMPRAS"/>
    <m/>
    <s v="SÍ"/>
    <n v="16"/>
    <n v="0.5"/>
    <n v="8"/>
    <n v="30"/>
    <n v="1.1041095890410959"/>
    <n v="347.79452054794518"/>
    <n v="35"/>
    <n v="32128"/>
    <s v="RINCÓN DE LAS COLINAS"/>
    <s v="STACT"/>
    <n v="8816725703"/>
    <s v="CRISTIAN1212@HOTMAIL.COM"/>
    <s v="DIVOR"/>
    <s v="CURSA"/>
    <s v="A"/>
    <d v="2022-12-17T00:00:00"/>
    <n v="10"/>
    <s v="UANL"/>
    <s v="CIENCIAS DE LA COMUNICACIÓN CON ACENTUACIÓN EN INFORMACIÓN "/>
    <s v=""/>
    <n v="30"/>
    <n v="34"/>
    <n v="2"/>
    <n v="1"/>
    <m/>
    <m/>
    <m/>
    <m/>
    <m/>
    <m/>
    <m/>
    <n v="61"/>
  </r>
  <r>
    <n v="169"/>
    <s v="Cecilia Balderrama Castillo"/>
    <n v="7445"/>
    <n v="248.16666666666666"/>
    <n v="3722.5"/>
    <x v="59"/>
    <n v="3"/>
    <x v="0"/>
    <x v="24"/>
    <x v="3"/>
    <s v="LUN VIE"/>
    <m/>
    <s v="cecilia.balderrama@grupomaia.com"/>
    <s v="MARIANA RODRÍGUEZ GUTIERREZ"/>
    <n v="44134"/>
    <e v="#REF!"/>
    <s v="CONTROL"/>
    <m/>
    <s v="NO"/>
    <n v="14"/>
    <n v="0.5"/>
    <n v="7"/>
    <n v="30"/>
    <n v="1.1013698630136985"/>
    <n v="273.32328767123283"/>
    <n v="27.574074074074073"/>
    <n v="29334"/>
    <s v="LOMAS DE SAN JERÓNIMO"/>
    <s v="APODC"/>
    <n v="8841689602"/>
    <s v="CECILIA66@HOTMAIL.COM"/>
    <s v="SOLTE"/>
    <s v="CURSA"/>
    <s v="B"/>
    <d v="2022-04-23T00:00:00"/>
    <n v="6"/>
    <s v="UANL"/>
    <s v="CONTADOR PÚBLICO       "/>
    <s v=""/>
    <n v="60"/>
    <n v="42"/>
    <n v="3"/>
    <n v="1"/>
    <m/>
    <m/>
    <m/>
    <m/>
    <m/>
    <m/>
    <m/>
    <n v="53"/>
  </r>
  <r>
    <n v="170"/>
    <s v="Brisseidy Guadalupe García Cortes"/>
    <n v="7445"/>
    <n v="248.16666666666666"/>
    <n v="3722.5"/>
    <x v="60"/>
    <n v="3"/>
    <x v="0"/>
    <x v="26"/>
    <x v="3"/>
    <s v="LUN VIE"/>
    <m/>
    <s v="brisseidy.garcia@grupomaia.com"/>
    <s v="MARIANA RODRÍGUEZ GUTIERREZ"/>
    <n v="44030"/>
    <n v="5422.4000000000005"/>
    <s v="ARQUITECT"/>
    <m/>
    <s v="SÍ"/>
    <n v="14"/>
    <n v="0.5"/>
    <n v="7"/>
    <n v="30"/>
    <n v="1.1013698630136985"/>
    <n v="273.32328767123283"/>
    <n v="27.574074074074073"/>
    <n v="33204"/>
    <s v="LA ESTANZUELA VIEJA"/>
    <s v="SNICO"/>
    <n v="8399694790"/>
    <s v="BRISSEIDY88@HOTMAIL.COM"/>
    <s v="SOLTE"/>
    <s v="CURSA"/>
    <s v="A"/>
    <d v="2022-11-27T00:00:00"/>
    <n v="6"/>
    <s v="UR"/>
    <s v="MULTIMEDIA Y ANIMACIÓN DIGITAL          "/>
    <s v=""/>
    <n v="95"/>
    <n v="31"/>
    <n v="1"/>
    <n v="1"/>
    <m/>
    <m/>
    <m/>
    <m/>
    <m/>
    <m/>
    <m/>
    <n v="570"/>
  </r>
  <r>
    <n v="171"/>
    <s v="Angel Mario Castillo Aleman"/>
    <n v="9541"/>
    <n v="318.03333333333336"/>
    <n v="4770.5"/>
    <x v="61"/>
    <n v="6"/>
    <x v="3"/>
    <x v="20"/>
    <x v="3"/>
    <s v="LUN VIE"/>
    <m/>
    <s v="angel.castillo@grupomaia.com"/>
    <s v="DIEGO HERRERA GIRÓN"/>
    <n v="43228"/>
    <n v="6678"/>
    <s v="DISEÑO INT"/>
    <m/>
    <s v="SÍ"/>
    <n v="16"/>
    <n v="0.5"/>
    <n v="8"/>
    <n v="30"/>
    <n v="1.1041095890410959"/>
    <n v="351.14365296803658"/>
    <n v="35.337037037037042"/>
    <n v="33054"/>
    <s v="RUBÉN JARAMILLO"/>
    <s v="SNPED"/>
    <n v="8865534632"/>
    <s v="ANGEL1414@HOTMAIL.COM"/>
    <s v="CASDO"/>
    <s v="CURSA"/>
    <s v="B"/>
    <d v="2022-06-30T00:00:00"/>
    <n v="7"/>
    <s v="UANL"/>
    <s v="INGENIERO MECÁNICO ADMINISTRADOR      "/>
    <s v=""/>
    <n v="63"/>
    <n v="32"/>
    <n v="0"/>
    <n v="1"/>
    <m/>
    <m/>
    <m/>
    <m/>
    <m/>
    <m/>
    <m/>
    <n v="749"/>
  </r>
  <r>
    <n v="172"/>
    <s v="Angel Gerardo Morales Pereyra"/>
    <n v="7445"/>
    <n v="248.16666666666666"/>
    <n v="3722.5"/>
    <x v="62"/>
    <n v="4"/>
    <x v="8"/>
    <x v="25"/>
    <x v="3"/>
    <s v="LUN VIE"/>
    <m/>
    <s v="angel.morales@grupomaia.com"/>
    <s v="EMMA DARIELA GARCÍA LORCA"/>
    <n v="43922"/>
    <n v="3888"/>
    <s v="RECLTMTO"/>
    <m/>
    <s v="NO"/>
    <n v="14"/>
    <n v="0.5"/>
    <n v="7"/>
    <n v="30"/>
    <n v="1.1013698630136985"/>
    <n v="273.32328767123283"/>
    <n v="27.574074074074073"/>
    <n v="33112"/>
    <s v="DIF (F-15)"/>
    <s v="STACT"/>
    <n v="8187255838"/>
    <s v="ANGEL88@HOTMAIL.COM"/>
    <s v="DIVOR"/>
    <s v="CURSA"/>
    <s v="A"/>
    <d v="2022-08-27T00:00:00"/>
    <n v="7"/>
    <s v="UANL"/>
    <s v="ADMINISTRACIÓN        "/>
    <s v=""/>
    <n v="38"/>
    <n v="31"/>
    <n v="2"/>
    <n v="1"/>
    <m/>
    <m/>
    <m/>
    <m/>
    <m/>
    <m/>
    <m/>
    <n v="921"/>
  </r>
  <r>
    <n v="174"/>
    <s v="Abad Gomez Pecorelli"/>
    <n v="7950"/>
    <n v="265"/>
    <n v="3975"/>
    <x v="63"/>
    <n v="0"/>
    <x v="8"/>
    <x v="22"/>
    <x v="3"/>
    <s v="LUN VIE"/>
    <m/>
    <s v="abad.gomez@grupomaia.com"/>
    <s v="EMMA DARIELA GARCÍA LORCA"/>
    <n v="43587"/>
    <n v="5956"/>
    <s v="MATERIALES"/>
    <m/>
    <s v="NO"/>
    <n v="6"/>
    <n v="0.5"/>
    <n v="3"/>
    <n v="30"/>
    <n v="1.0904109589041096"/>
    <n v="288.95890410958901"/>
    <n v="29.444444444444443"/>
    <n v="32228"/>
    <s v="SATÉLITE ACUEDUCTO SEXTO SECTOR"/>
    <s v="GRCIA"/>
    <n v="8502159987"/>
    <s v="ADRIAN88@HOTMAIL.COM"/>
    <s v="SOLTE"/>
    <s v="CURSA"/>
    <s v="A"/>
    <d v="2022-03-26T00:00:00"/>
    <n v="7"/>
    <s v="UANL"/>
    <s v="CONTADOR PÚBLICO       "/>
    <s v=""/>
    <n v="74"/>
    <n v="34"/>
    <n v="0"/>
    <n v="0"/>
    <m/>
    <m/>
    <m/>
    <m/>
    <m/>
    <m/>
    <m/>
    <n v="512"/>
  </r>
  <r>
    <n v="175"/>
    <s v="Mixari Giovanna Ruiz Contreras"/>
    <n v="27150"/>
    <n v="905"/>
    <n v="13575"/>
    <x v="64"/>
    <n v="9"/>
    <x v="8"/>
    <x v="22"/>
    <x v="1"/>
    <s v="LUN VIE"/>
    <n v="1014"/>
    <s v="mixari.ruiz@grupomaia.com"/>
    <s v="EMMA DARIELA GARCÍA LORCA"/>
    <n v="42241"/>
    <n v="20923"/>
    <s v="FACTURAS"/>
    <s v="INVERS"/>
    <s v="NO"/>
    <n v="16"/>
    <n v="0.5"/>
    <n v="8"/>
    <n v="30"/>
    <n v="1.1041095890410959"/>
    <n v="999.21917808219177"/>
    <n v="100.55555555555556"/>
    <n v="34658"/>
    <s v="RESIDENCIAL SAN JERÓNIMO II"/>
    <s v="ESCOB"/>
    <n v="8256657413"/>
    <s v="MIXARI1414@HOTMAIL.COM"/>
    <s v="SOLTE"/>
    <s v="TITUL"/>
    <s v="A"/>
    <d v="2022-11-20T00:00:00"/>
    <m/>
    <s v="UNEZ"/>
    <s v="BIBLIOTECOLOGÍA Y CIENCIA DE LA INFORMACIÓN   "/>
    <s v=""/>
    <n v="38"/>
    <n v="27"/>
    <n v="0"/>
    <n v="1"/>
    <m/>
    <m/>
    <m/>
    <m/>
    <m/>
    <m/>
    <m/>
    <n v="281"/>
  </r>
  <r>
    <n v="177"/>
    <s v="Angélica Lizbeth Guerrero Estanislao"/>
    <n v="27150"/>
    <n v="905"/>
    <n v="13575"/>
    <x v="65"/>
    <n v="1"/>
    <x v="8"/>
    <x v="25"/>
    <x v="1"/>
    <s v="LUN VIE"/>
    <n v="1021"/>
    <s v="angélica.guerrero@grupomaia.com"/>
    <s v="EMMA DARIELA GARCÍA LORCA"/>
    <m/>
    <m/>
    <m/>
    <m/>
    <s v="SÍ"/>
    <n v="10"/>
    <n v="0.5"/>
    <n v="5"/>
    <n v="30"/>
    <n v="1.095890410958904"/>
    <n v="991.78082191780811"/>
    <n v="100.55555555555556"/>
    <n v="33734"/>
    <s v="RESIDENCIAL SAN JERÓNIMO II"/>
    <s v="SANTG"/>
    <n v="8765241644"/>
    <s v="ANGÉLICA66@HOTMAIL.COM"/>
    <s v="SOLTE"/>
    <s v="TITUL"/>
    <s v="A"/>
    <d v="2022-05-10T00:00:00"/>
    <m/>
    <s v="UANL"/>
    <s v="CONTADOR PÚBLICO       "/>
    <s v=""/>
    <n v="46"/>
    <n v="30"/>
    <n v="1"/>
    <n v="1"/>
    <m/>
    <m/>
    <m/>
    <m/>
    <m/>
    <m/>
    <m/>
    <n v="1000"/>
  </r>
  <r>
    <n v="178"/>
    <s v="Nallely Guadalupe Guerrero Estanislao"/>
    <n v="22200"/>
    <n v="740"/>
    <n v="11100"/>
    <x v="66"/>
    <n v="1"/>
    <x v="2"/>
    <x v="29"/>
    <x v="1"/>
    <s v="LUN VIE"/>
    <n v="1032"/>
    <s v="nallely.guerrero@grupomaia.com"/>
    <s v="IRIE DALÍ ANTARES CORTÉS"/>
    <m/>
    <m/>
    <m/>
    <m/>
    <s v="SÍ"/>
    <n v="10"/>
    <n v="0.5"/>
    <n v="5"/>
    <n v="30"/>
    <n v="1.095890410958904"/>
    <n v="810.95890410958896"/>
    <n v="82.222222222222229"/>
    <n v="33617"/>
    <s v="RINCÓN COLONIAL MEDEROS"/>
    <s v="MONTY"/>
    <n v="8863250932"/>
    <s v="NALLELY66@HOTMAIL.COM"/>
    <s v="SOLTE"/>
    <s v="TITUL"/>
    <s v="B"/>
    <d v="2022-01-14T00:00:00"/>
    <m/>
    <s v="UANL"/>
    <s v="CIENCIAS DE LA COMUNICACIÓN CON ACENTUACIÓN EN INFORMACIÓN "/>
    <s v=""/>
    <n v="95"/>
    <n v="30"/>
    <n v="1"/>
    <n v="1"/>
    <m/>
    <m/>
    <m/>
    <m/>
    <m/>
    <m/>
    <m/>
    <n v="822"/>
  </r>
  <r>
    <n v="179"/>
    <s v="Antonio Martinez Manriquez"/>
    <n v="27150"/>
    <n v="905"/>
    <n v="13575"/>
    <x v="67"/>
    <n v="11"/>
    <x v="1"/>
    <x v="30"/>
    <x v="1"/>
    <s v="LUN VIE"/>
    <n v="1012"/>
    <s v="antonio.martinez@grupomaia.com"/>
    <s v="DENEB SANTIAGO ALTAIR VEGA"/>
    <n v="42208"/>
    <n v="5956"/>
    <s v="CRÉDITOS"/>
    <s v="CONTROL"/>
    <s v="SÍ"/>
    <n v="20"/>
    <n v="0.5"/>
    <n v="10"/>
    <n v="30"/>
    <n v="1.1095890410958904"/>
    <n v="1004.1780821917808"/>
    <n v="100.55555555555556"/>
    <n v="35024"/>
    <s v="LOS PINOS"/>
    <s v="STACT"/>
    <n v="8242951422"/>
    <s v="ANTONIO66@HOTMAIL.COM"/>
    <s v="UNLIB"/>
    <s v="TITUL"/>
    <s v="A"/>
    <d v="2022-11-21T00:00:00"/>
    <m/>
    <s v="UR"/>
    <s v="INGENIERO ADMINISTRADOR DE SISTEMAS     "/>
    <s v=""/>
    <n v="48"/>
    <n v="26"/>
    <n v="2"/>
    <n v="1"/>
    <m/>
    <m/>
    <m/>
    <m/>
    <m/>
    <m/>
    <m/>
    <n v="331"/>
  </r>
  <r>
    <n v="180"/>
    <s v="Nallely Patricia Vázquez Vargas"/>
    <n v="7445"/>
    <n v="248.16666666666666"/>
    <n v="3722.5"/>
    <x v="68"/>
    <n v="2"/>
    <x v="7"/>
    <x v="8"/>
    <x v="3"/>
    <s v="LUN VIE"/>
    <m/>
    <s v="nallely.vázquez@grupomaia.com"/>
    <s v="MARCO AURELIO URBINO"/>
    <m/>
    <m/>
    <m/>
    <m/>
    <s v="SÍ"/>
    <n v="10"/>
    <n v="0.5"/>
    <n v="5"/>
    <n v="30"/>
    <n v="1.095890410958904"/>
    <n v="271.96347031963467"/>
    <n v="27.574074074074073"/>
    <n v="30747"/>
    <s v="MARIANO ESCOBEDO"/>
    <s v="SNPED"/>
    <n v="8751679905"/>
    <s v="NALLELY66@HOTMAIL.COM"/>
    <s v="CASDO"/>
    <s v="CURSA"/>
    <s v="A"/>
    <d v="2022-03-06T00:00:00"/>
    <n v="8"/>
    <s v="UANL"/>
    <s v="FÍSICA        "/>
    <s v=""/>
    <n v="32"/>
    <n v="38"/>
    <n v="3"/>
    <n v="1"/>
    <m/>
    <m/>
    <m/>
    <m/>
    <m/>
    <m/>
    <m/>
    <n v="442"/>
  </r>
  <r>
    <n v="182"/>
    <s v="Lucero Cedillo Tovar"/>
    <n v="7445"/>
    <n v="248.16666666666666"/>
    <n v="3722.5"/>
    <x v="69"/>
    <n v="3"/>
    <x v="5"/>
    <x v="28"/>
    <x v="3"/>
    <s v="LUN VIE"/>
    <m/>
    <s v="lucero.cedillo@grupomaia.com"/>
    <s v="MÉRIDA ISELA MEDINA SALINAS"/>
    <n v="43574"/>
    <n v="4384"/>
    <s v="RENDER"/>
    <m/>
    <s v="SÍ"/>
    <n v="14"/>
    <n v="0.5"/>
    <n v="7"/>
    <n v="30"/>
    <n v="1.1013698630136985"/>
    <n v="273.32328767123283"/>
    <n v="27.574074074074073"/>
    <n v="32246"/>
    <s v="EL ENCINO"/>
    <s v="MONTY"/>
    <n v="8739291268"/>
    <s v="LUCERO88@HOTMAIL.COM"/>
    <s v="CASDO"/>
    <s v="PREPA"/>
    <s v="A"/>
    <d v="2022-04-13T00:00:00"/>
    <m/>
    <s v="PREPA 9"/>
    <s v="ARQUITECTURA        "/>
    <s v=""/>
    <n v="84"/>
    <n v="34"/>
    <n v="2"/>
    <n v="1"/>
    <m/>
    <m/>
    <m/>
    <m/>
    <m/>
    <m/>
    <m/>
    <n v="862"/>
  </r>
  <r>
    <n v="183"/>
    <s v="Jennifer Sarahí Coronado Moreno"/>
    <n v="7950"/>
    <n v="265"/>
    <n v="3975"/>
    <x v="70"/>
    <n v="4"/>
    <x v="7"/>
    <x v="16"/>
    <x v="3"/>
    <s v="LUN VIE"/>
    <m/>
    <s v="jennifer.coronado@grupomaia.com"/>
    <s v="MARCO AURELIO URBINO"/>
    <n v="43278"/>
    <n v="5956"/>
    <s v="SOFTWARE"/>
    <m/>
    <s v="SÍ"/>
    <n v="14"/>
    <n v="0.5"/>
    <n v="7"/>
    <n v="30"/>
    <n v="1.1013698630136985"/>
    <n v="291.86301369863014"/>
    <n v="29.444444444444443"/>
    <n v="29862"/>
    <s v="LOMAS MEDEROS"/>
    <s v="GUADL"/>
    <n v="8689692884"/>
    <s v="JENNIFER1010@HOTMAIL.COM"/>
    <s v="SOLTE"/>
    <s v="CURSA"/>
    <s v="A"/>
    <d v="2022-10-03T00:00:00"/>
    <n v="7"/>
    <s v="UVM"/>
    <s v="EDUCACIÓN        "/>
    <s v=""/>
    <n v="86"/>
    <n v="40"/>
    <n v="3"/>
    <n v="1"/>
    <m/>
    <m/>
    <m/>
    <m/>
    <m/>
    <m/>
    <m/>
    <n v="336"/>
  </r>
  <r>
    <n v="184"/>
    <s v="Ofelia Gisel Domínguez Reyes"/>
    <n v="9541"/>
    <n v="318.03333333333336"/>
    <n v="4770.5"/>
    <x v="71"/>
    <n v="8"/>
    <x v="8"/>
    <x v="11"/>
    <x v="3"/>
    <s v="LUN VIE"/>
    <m/>
    <s v="ofelia.domínguez@grupomaia.com"/>
    <s v="EMMA DARIELA GARCÍA LORCA"/>
    <n v="42701"/>
    <n v="10340"/>
    <s v="INVERS"/>
    <m/>
    <s v="SÍ"/>
    <n v="16"/>
    <n v="0.5"/>
    <n v="8"/>
    <n v="30"/>
    <n v="1.1041095890410959"/>
    <n v="351.14365296803658"/>
    <n v="35.337037037037042"/>
    <n v="34346"/>
    <s v="COLONIA"/>
    <s v="STACT"/>
    <n v="8634049500"/>
    <s v="OFELIA1414@HOTMAIL.COM"/>
    <s v="SOLTE"/>
    <s v="TITUL"/>
    <s v="A"/>
    <d v="2022-01-12T00:00:00"/>
    <m/>
    <s v="UANL"/>
    <s v="CONTADOR PÚBLICO       "/>
    <s v=""/>
    <n v="36"/>
    <n v="28"/>
    <n v="3"/>
    <n v="1"/>
    <m/>
    <m/>
    <m/>
    <m/>
    <m/>
    <m/>
    <m/>
    <n v="444"/>
  </r>
  <r>
    <n v="185"/>
    <s v="Karla Judith Espinoza Arias"/>
    <n v="7950"/>
    <n v="265"/>
    <n v="3975"/>
    <x v="72"/>
    <n v="4"/>
    <x v="4"/>
    <x v="7"/>
    <x v="3"/>
    <s v="LUN VIE"/>
    <m/>
    <s v="karla.espinoza@grupomaia.com"/>
    <s v="MARIANO ALDEBARÁN"/>
    <n v="43749"/>
    <n v="5956"/>
    <s v="COMPRAS"/>
    <m/>
    <s v="SÍ"/>
    <n v="14"/>
    <n v="0.5"/>
    <n v="7"/>
    <n v="30"/>
    <n v="1.1013698630136985"/>
    <n v="291.86301369863014"/>
    <n v="29.444444444444443"/>
    <n v="30723"/>
    <s v="5 DE MAYO"/>
    <s v="APODC"/>
    <n v="8671889685"/>
    <s v="KARLA88@HOTMAIL.COM"/>
    <s v="SOLTE"/>
    <s v="CURSA"/>
    <s v="A"/>
    <d v="2022-02-11T00:00:00"/>
    <n v="6"/>
    <s v="UANL"/>
    <s v="PUBLICIDAD   CIENCIAS DE LA COMUNICACIÓN ACENTUACIÓN EN PUBLICIDAD       "/>
    <s v=""/>
    <n v="43"/>
    <n v="38"/>
    <n v="0"/>
    <n v="1"/>
    <m/>
    <m/>
    <m/>
    <m/>
    <m/>
    <m/>
    <m/>
    <n v="317"/>
  </r>
  <r>
    <n v="186"/>
    <s v="Charliy Ezequiel Ryzen Antares"/>
    <n v="7445"/>
    <n v="248.16666666666666"/>
    <n v="3722.5"/>
    <x v="73"/>
    <n v="3"/>
    <x v="5"/>
    <x v="14"/>
    <x v="3"/>
    <s v="LUN VIE"/>
    <m/>
    <s v="charliy.antares@grupomaia.com"/>
    <s v="MÉRIDA ISELA MEDINA SALINAS"/>
    <m/>
    <m/>
    <m/>
    <m/>
    <s v="SÍ"/>
    <n v="14"/>
    <n v="0.5"/>
    <n v="7"/>
    <n v="30"/>
    <n v="1.1013698630136985"/>
    <n v="273.32328767123283"/>
    <n v="27.574074074074073"/>
    <n v="35841"/>
    <s v="CENTRAL"/>
    <s v="APODC"/>
    <n v="8972175819"/>
    <s v="CHARLIY.EZEQUIEL@HOTMAIL.COM"/>
    <s v="SOLTE"/>
    <s v="CURSA"/>
    <s v="B"/>
    <d v="2022-02-15T00:00:00"/>
    <n v="8"/>
    <s v="UR"/>
    <s v="ARQUITECTURA        "/>
    <s v=""/>
    <n v="43"/>
    <n v="24"/>
    <n v="1"/>
    <n v="1"/>
    <m/>
    <m/>
    <m/>
    <m/>
    <m/>
    <m/>
    <m/>
    <n v="972"/>
  </r>
  <r>
    <n v="188"/>
    <s v="Leonardo Daniel García Covarruvias"/>
    <n v="27150"/>
    <n v="905"/>
    <n v="13575"/>
    <x v="74"/>
    <n v="4"/>
    <x v="2"/>
    <x v="10"/>
    <x v="3"/>
    <s v="LUN VIE"/>
    <n v="1015"/>
    <s v="leonardo.garcia@grupomaia.com"/>
    <s v="IRIE DALÍ ANTARES CORTÉS"/>
    <n v="43798"/>
    <n v="23632"/>
    <s v="SOLUCIONES"/>
    <m/>
    <s v="SÍ"/>
    <n v="14"/>
    <n v="0.5"/>
    <n v="7"/>
    <n v="30"/>
    <n v="1.1013698630136985"/>
    <n v="996.73972602739718"/>
    <n v="100.55555555555556"/>
    <n v="34558"/>
    <s v="LOMAS DE SATÉLITE"/>
    <s v="STACT"/>
    <n v="8914607360"/>
    <s v="LEONARDO1010@HOTMAIL.COM"/>
    <s v="SOLTE"/>
    <s v="TITUL"/>
    <s v="B"/>
    <d v="2022-08-12T00:00:00"/>
    <m/>
    <s v="UMM"/>
    <s v="INGENIERÍA CIVIL       "/>
    <s v=""/>
    <n v="79"/>
    <n v="27"/>
    <n v="2"/>
    <n v="1"/>
    <m/>
    <m/>
    <m/>
    <m/>
    <m/>
    <m/>
    <m/>
    <n v="108"/>
  </r>
  <r>
    <n v="189"/>
    <s v="Arturo Ulises Hernandez de la Cruz"/>
    <n v="9450"/>
    <n v="315"/>
    <n v="4725"/>
    <x v="20"/>
    <n v="5"/>
    <x v="5"/>
    <x v="28"/>
    <x v="3"/>
    <s v="LUN VIE"/>
    <m/>
    <s v="arturo.hernandez@grupomaia.com"/>
    <s v="MÉRIDA ISELA MEDINA SALINAS"/>
    <n v="43598"/>
    <n v="5211.5"/>
    <s v="COLECTIVOS"/>
    <m/>
    <s v="SÍ"/>
    <n v="16"/>
    <n v="0.5"/>
    <n v="8"/>
    <n v="30"/>
    <n v="1.1041095890410959"/>
    <n v="347.79452054794518"/>
    <n v="35"/>
    <n v="30407"/>
    <s v="RESIDENCIAL MEDEROS"/>
    <s v="APODC"/>
    <n v="8423147466"/>
    <s v="ARTURO1212@HOTMAIL.COM"/>
    <s v="CASDO"/>
    <s v="CURSA"/>
    <s v="A"/>
    <d v="2022-04-01T00:00:00"/>
    <n v="6"/>
    <s v="UANL"/>
    <s v="ARQUITECTURA        "/>
    <s v=""/>
    <n v="48"/>
    <n v="39"/>
    <n v="0"/>
    <n v="1"/>
    <m/>
    <m/>
    <m/>
    <m/>
    <m/>
    <m/>
    <m/>
    <n v="901"/>
  </r>
  <r>
    <n v="190"/>
    <s v="Dither Osbaldo Hernandez Hernandez"/>
    <n v="10860"/>
    <n v="362"/>
    <n v="5430"/>
    <x v="75"/>
    <n v="7"/>
    <x v="0"/>
    <x v="26"/>
    <x v="3"/>
    <s v="LUN VIE"/>
    <m/>
    <s v="dither.hernandez@grupomaia.com"/>
    <s v="MARIANA RODRÍGUEZ GUTIERREZ"/>
    <n v="43072"/>
    <n v="8641.5"/>
    <s v="EXTERNOS"/>
    <s v="SEGUROS"/>
    <s v="NO"/>
    <n v="16"/>
    <n v="0.5"/>
    <n v="8"/>
    <n v="30"/>
    <n v="1.1041095890410959"/>
    <n v="399.68767123287671"/>
    <n v="40.222222222222221"/>
    <n v="29305"/>
    <s v="BENITO JUÁREZ"/>
    <s v="GRCIA"/>
    <n v="8358722840"/>
    <s v="DITHER1414@HOTMAIL.COM"/>
    <s v="UNLIB"/>
    <s v="CURSA"/>
    <s v="A"/>
    <d v="2022-03-25T00:00:00"/>
    <n v="6"/>
    <s v="UANL"/>
    <s v="BIBLIOTECOLOGÍA Y CIENCIA DE LA INFORMACIÓN   "/>
    <s v=""/>
    <n v="59"/>
    <n v="42"/>
    <n v="0"/>
    <n v="1"/>
    <m/>
    <m/>
    <m/>
    <m/>
    <m/>
    <m/>
    <m/>
    <n v="52"/>
  </r>
  <r>
    <n v="191"/>
    <s v="Violeta Ibarra Páez"/>
    <n v="22200"/>
    <n v="740"/>
    <n v="11100"/>
    <x v="76"/>
    <n v="14"/>
    <x v="9"/>
    <x v="23"/>
    <x v="1"/>
    <s v="LUN VIE"/>
    <n v="1035"/>
    <s v="violeta.ibarra@grupomaia.com"/>
    <s v="IDALIA GARCÍA ESCRIVÁ"/>
    <n v="42013"/>
    <n v="18800"/>
    <s v="RELACIONES"/>
    <s v="FACTURAS"/>
    <s v="NO"/>
    <n v="20"/>
    <n v="0.5"/>
    <n v="10"/>
    <n v="30"/>
    <n v="1.1095890410958904"/>
    <n v="821.09589041095887"/>
    <n v="82.222222222222229"/>
    <n v="34439"/>
    <s v="LAS DILIGENCIAS"/>
    <s v="ESCOB"/>
    <n v="8712435775"/>
    <s v="VIOLETA1616@HOTMAIL.COM"/>
    <s v="SOLTE"/>
    <s v="TITUL"/>
    <s v="A"/>
    <d v="2022-04-15T00:00:00"/>
    <m/>
    <s v="UANL"/>
    <s v="NEGOCIOS INTERNACIONALES       "/>
    <s v=""/>
    <n v="34"/>
    <n v="28"/>
    <n v="1"/>
    <n v="1"/>
    <m/>
    <m/>
    <m/>
    <m/>
    <m/>
    <m/>
    <m/>
    <n v="915"/>
  </r>
  <r>
    <n v="192"/>
    <s v="Leslie Marlene Luna Barboza"/>
    <n v="7445"/>
    <n v="248.16666666666666"/>
    <n v="3722.5"/>
    <x v="77"/>
    <n v="3"/>
    <x v="7"/>
    <x v="18"/>
    <x v="3"/>
    <s v="LUN VIE"/>
    <m/>
    <s v="leslie.luna@grupomaia.com"/>
    <s v="MARCO AURELIO URBINO"/>
    <m/>
    <m/>
    <m/>
    <m/>
    <s v="SÍ"/>
    <n v="14"/>
    <n v="0.5"/>
    <n v="7"/>
    <n v="30"/>
    <n v="1.1013698630136985"/>
    <n v="273.32328767123283"/>
    <n v="27.574074074074073"/>
    <n v="32627"/>
    <s v="JARDINES DE CHURUBUSCO"/>
    <s v="MONTY"/>
    <n v="8737560531"/>
    <s v="LESLIE66@HOTMAIL.COM"/>
    <s v="SOLTE"/>
    <s v="CURSA"/>
    <s v="A"/>
    <d v="2022-04-29T00:00:00"/>
    <n v="8"/>
    <s v="UANL"/>
    <s v="CIENCIAS DE LA COMUNICACIÓN CON ACENTUACIÓN EN INFORMACIÓN "/>
    <s v=""/>
    <n v="85"/>
    <n v="33"/>
    <n v="3"/>
    <n v="1"/>
    <m/>
    <m/>
    <m/>
    <m/>
    <m/>
    <m/>
    <m/>
    <n v="3"/>
  </r>
  <r>
    <n v="193"/>
    <s v="José Angel Marin Santiago"/>
    <n v="7445"/>
    <n v="248.16666666666666"/>
    <n v="3722.5"/>
    <x v="78"/>
    <n v="5"/>
    <x v="7"/>
    <x v="8"/>
    <x v="3"/>
    <s v="LUN VIE"/>
    <m/>
    <s v="jose.marin@grupomaia.com"/>
    <s v="MARCO AURELIO URBINO"/>
    <n v="43368"/>
    <n v="5088"/>
    <s v="RENDER"/>
    <m/>
    <s v="SÍ"/>
    <n v="16"/>
    <n v="0.5"/>
    <n v="8"/>
    <n v="30"/>
    <n v="1.1041095890410959"/>
    <n v="274.00319634703197"/>
    <n v="27.574074074074073"/>
    <n v="35904"/>
    <s v="VIDRIERA"/>
    <s v="SANTG"/>
    <n v="8611403472"/>
    <s v="JOSE1010@HOTMAIL.COM"/>
    <s v="SOLTE"/>
    <s v="CURSA"/>
    <s v="A"/>
    <d v="2022-04-19T00:00:00"/>
    <n v="8"/>
    <s v="UANL"/>
    <s v="PUBLICIDAD   CIENCIAS DE LA COMUNICACIÓN ACENTUACIÓN EN PUBLICIDAD       "/>
    <s v=""/>
    <n v="74"/>
    <n v="24"/>
    <n v="1"/>
    <n v="1"/>
    <m/>
    <m/>
    <m/>
    <m/>
    <m/>
    <m/>
    <m/>
    <n v="43"/>
  </r>
  <r>
    <n v="194"/>
    <s v="Luz Elena Medrano Sida"/>
    <n v="7445"/>
    <n v="248.16666666666666"/>
    <n v="3722.5"/>
    <x v="79"/>
    <n v="3"/>
    <x v="7"/>
    <x v="16"/>
    <x v="3"/>
    <s v="LUN VIE"/>
    <m/>
    <s v="luz.medrano@grupomaia.com"/>
    <s v="MARCO AURELIO URBINO"/>
    <m/>
    <m/>
    <m/>
    <m/>
    <s v="SÍ"/>
    <n v="14"/>
    <n v="0.5"/>
    <n v="7"/>
    <n v="30"/>
    <n v="1.1013698630136985"/>
    <n v="273.32328767123283"/>
    <n v="27.574074074074073"/>
    <n v="35101"/>
    <s v="REAL DE SAN JERÓNIMO"/>
    <s v="MONTY"/>
    <n v="8492789827"/>
    <s v="LUZ66@HOTMAIL.COM"/>
    <s v="CASDO"/>
    <s v="CURSA"/>
    <s v="A"/>
    <d v="2022-02-06T00:00:00"/>
    <n v="9"/>
    <s v="UANL"/>
    <s v="PUBLICIDAD   CIENCIAS DE LA COMUNICACIÓN ACENTUACIÓN EN PUBLICIDAD       "/>
    <s v=""/>
    <n v="94"/>
    <n v="26"/>
    <n v="2"/>
    <n v="1"/>
    <m/>
    <m/>
    <m/>
    <m/>
    <m/>
    <m/>
    <m/>
    <n v="331"/>
  </r>
  <r>
    <n v="195"/>
    <s v="Yuliana Guadalupe Monsiváis Gámez"/>
    <n v="27150"/>
    <n v="905"/>
    <n v="13575"/>
    <x v="80"/>
    <n v="14"/>
    <x v="9"/>
    <x v="31"/>
    <x v="1"/>
    <s v="LUN VIE"/>
    <n v="1023"/>
    <s v="yuliana.monsiváis@grupomaia.com"/>
    <s v="IDALIA GARCÍA ESCRIVÁ"/>
    <n v="42616"/>
    <n v="19900"/>
    <s v="ANLIS COST"/>
    <s v="COLECTIVOS"/>
    <s v="SÍ"/>
    <n v="20"/>
    <n v="0.5"/>
    <n v="10"/>
    <n v="30"/>
    <n v="1.1095890410958904"/>
    <n v="1004.1780821917808"/>
    <n v="100.55555555555556"/>
    <n v="29394"/>
    <s v="LOS PINOS"/>
    <s v="STACT"/>
    <n v="8570473426"/>
    <s v="YULIANA1616@HOTMAIL.COM"/>
    <s v="SOLTE"/>
    <s v="MAEST"/>
    <s v="A"/>
    <d v="2022-06-22T00:00:00"/>
    <m/>
    <s v="UMM"/>
    <s v="FÍSICA        "/>
    <s v="DISEÑO INDUSTRIAL       "/>
    <n v="96"/>
    <n v="42"/>
    <n v="0"/>
    <n v="1"/>
    <m/>
    <m/>
    <m/>
    <m/>
    <m/>
    <m/>
    <m/>
    <n v="245"/>
  </r>
  <r>
    <n v="196"/>
    <s v="Elda Judith Morales Sauceda"/>
    <n v="9541"/>
    <n v="318.03333333333336"/>
    <n v="4770.5"/>
    <x v="81"/>
    <n v="8"/>
    <x v="9"/>
    <x v="31"/>
    <x v="3"/>
    <s v="LUN VIE"/>
    <m/>
    <s v="elda.morales@grupomaia.com"/>
    <s v="IDALIA GARCÍA ESCRIVÁ"/>
    <n v="42754"/>
    <n v="5956"/>
    <s v="INST CAMPO"/>
    <s v="SOLUCIONES"/>
    <s v="NO"/>
    <n v="16"/>
    <n v="0.5"/>
    <n v="8"/>
    <n v="30"/>
    <n v="1.1041095890410959"/>
    <n v="351.14365296803658"/>
    <n v="35.337037037037042"/>
    <n v="34146"/>
    <s v="AGRÍCOLA ACERO"/>
    <s v="SNPED"/>
    <n v="8595764479"/>
    <s v="ELDA1414@HOTMAIL.COM"/>
    <s v="SOLTE"/>
    <s v="CURSA"/>
    <s v="A"/>
    <d v="2022-06-26T00:00:00"/>
    <n v="8"/>
    <s v="UANL"/>
    <s v="INGENIERÍA CIVIL       "/>
    <s v=""/>
    <n v="41"/>
    <n v="29"/>
    <n v="3"/>
    <n v="1"/>
    <m/>
    <m/>
    <m/>
    <m/>
    <m/>
    <m/>
    <m/>
    <n v="66"/>
  </r>
  <r>
    <n v="197"/>
    <s v="Perla Elena Núñez Eguren"/>
    <n v="7950"/>
    <n v="265"/>
    <n v="3975"/>
    <x v="82"/>
    <n v="4"/>
    <x v="0"/>
    <x v="17"/>
    <x v="3"/>
    <s v="LUN VIE"/>
    <m/>
    <s v="perla.núñez@grupomaia.com"/>
    <s v="MARIANA RODRÍGUEZ GUTIERREZ"/>
    <n v="43684"/>
    <n v="5956"/>
    <s v="NÓMINAS"/>
    <m/>
    <s v="NO"/>
    <n v="14"/>
    <n v="0.5"/>
    <n v="7"/>
    <n v="30"/>
    <n v="1.1013698630136985"/>
    <n v="291.86301369863014"/>
    <n v="29.444444444444443"/>
    <n v="32716"/>
    <s v="PASO DEL ÁGUILA"/>
    <s v="ESCOB"/>
    <n v="4879868644"/>
    <s v="PERLA88@HOTMAIL.COM"/>
    <s v="CASDO"/>
    <s v="TITUL"/>
    <s v="A"/>
    <d v="2022-07-27T00:00:00"/>
    <m/>
    <s v="UANL"/>
    <s v="CONTADOR PÚBLICO       "/>
    <s v=""/>
    <n v="96"/>
    <n v="32"/>
    <n v="0"/>
    <n v="1"/>
    <m/>
    <m/>
    <m/>
    <m/>
    <m/>
    <m/>
    <m/>
    <n v="314"/>
  </r>
  <r>
    <n v="198"/>
    <s v="Mary Alejandra Ríos Rodríguez"/>
    <n v="22200"/>
    <n v="740"/>
    <n v="11100"/>
    <x v="83"/>
    <n v="6"/>
    <x v="5"/>
    <x v="14"/>
    <x v="1"/>
    <s v="LUN VIE"/>
    <n v="1033"/>
    <s v="mary.ríos@grupomaia.com"/>
    <s v="MÉRIDA ISELA MEDINA SALINAS"/>
    <n v="43075"/>
    <n v="16660"/>
    <s v="INST CAMPO"/>
    <m/>
    <s v="SÍ"/>
    <n v="16"/>
    <n v="0.5"/>
    <n v="8"/>
    <n v="30"/>
    <n v="1.1041095890410959"/>
    <n v="817.04109589041093"/>
    <n v="82.222222222222229"/>
    <n v="35621"/>
    <s v="SAN BERNABÉ (F-51)"/>
    <s v="MONTY"/>
    <n v="8684337463"/>
    <s v="MARY1212@HOTMAIL.COM"/>
    <s v="SOLTE"/>
    <s v="MAEST"/>
    <s v="A"/>
    <d v="2022-07-10T00:00:00"/>
    <m/>
    <s v="UMM"/>
    <s v="ARQUITECTURA        "/>
    <s v="INGENIERO EN MATERIALES      "/>
    <n v="83"/>
    <n v="24"/>
    <n v="3"/>
    <n v="1"/>
    <m/>
    <m/>
    <m/>
    <m/>
    <m/>
    <m/>
    <m/>
    <n v="775"/>
  </r>
  <r>
    <n v="199"/>
    <s v="Keila Saraí Ruiz García"/>
    <n v="9450"/>
    <n v="315"/>
    <n v="4725"/>
    <x v="84"/>
    <n v="5"/>
    <x v="7"/>
    <x v="8"/>
    <x v="3"/>
    <s v="LUN VIE"/>
    <m/>
    <s v="keila.ruiz@grupomaia.com"/>
    <s v="MARCO AURELIO URBINO"/>
    <n v="43559"/>
    <n v="5211.5"/>
    <s v="MATERIALES"/>
    <m/>
    <s v="SÍ"/>
    <n v="16"/>
    <n v="0.5"/>
    <n v="8"/>
    <n v="30"/>
    <n v="1.1041095890410959"/>
    <n v="347.79452054794518"/>
    <n v="35"/>
    <n v="31453"/>
    <s v="COLINAS DE SAN GERARDO"/>
    <s v="GUADL"/>
    <n v="8374029091"/>
    <s v="KEILA1212@HOTMAIL.COM"/>
    <s v="DIVOR"/>
    <s v="CURSA"/>
    <s v="A"/>
    <d v="2022-02-10T00:00:00"/>
    <n v="7"/>
    <s v="UANL"/>
    <s v="NEGOCIOS INTERNACIONALES       "/>
    <s v=""/>
    <n v="31"/>
    <n v="36"/>
    <n v="2"/>
    <n v="1"/>
    <m/>
    <m/>
    <m/>
    <m/>
    <m/>
    <m/>
    <m/>
    <n v="57"/>
  </r>
  <r>
    <n v="200"/>
    <s v="Leslie Judith Estrada"/>
    <n v="0"/>
    <n v="0"/>
    <n v="0"/>
    <x v="85"/>
    <n v="12"/>
    <x v="4"/>
    <x v="4"/>
    <x v="3"/>
    <s v="LUN VIE"/>
    <n v="0"/>
    <s v="lesli.estrada@grupomaia.com"/>
    <s v="MARIANO ALDEBARÁN"/>
    <m/>
    <m/>
    <m/>
    <m/>
    <s v="SÍ"/>
    <n v="20"/>
    <n v="0.25"/>
    <n v="5"/>
    <n v="15"/>
    <n v="1.0547945205479452"/>
    <n v="0"/>
    <n v="0"/>
    <n v="34654"/>
    <s v="GIRASOLES 2"/>
    <s v="ESCOB"/>
    <n v="8112318654"/>
    <s v="lesli_je94@gmail.com"/>
    <s v="SOLTE"/>
    <s v="TITUL"/>
    <s v="B"/>
    <d v="2022-11-16T00:00:00"/>
    <s v=" "/>
    <s v="UMM"/>
    <s v="LIC ADMIN"/>
    <n v="0"/>
    <n v="45"/>
    <n v="27"/>
    <n v="1"/>
    <n v="1"/>
    <m/>
    <m/>
    <m/>
    <m/>
    <m/>
    <m/>
    <m/>
    <n v="504"/>
  </r>
  <r>
    <n v="202"/>
    <s v="Saulo Hermenegildo Puente Martínez"/>
    <n v="9450"/>
    <n v="315"/>
    <n v="4725"/>
    <x v="86"/>
    <n v="12"/>
    <x v="0"/>
    <x v="17"/>
    <x v="3"/>
    <s v="LUN VIE"/>
    <m/>
    <s v="saulo.puente@grupomaia.com"/>
    <s v="MARIANA RODRÍGUEZ GUTIERREZ"/>
    <m/>
    <m/>
    <m/>
    <m/>
    <s v="SÍ"/>
    <n v="20"/>
    <n v="0.5"/>
    <n v="10"/>
    <n v="30"/>
    <n v="1.1095890410958904"/>
    <n v="349.52054794520546"/>
    <n v="35"/>
    <n v="35435"/>
    <s v="LOMAS DE SANTGA CECILIA"/>
    <s v="MONTY"/>
    <n v="8324786881"/>
    <s v="SAULO1997@HOTMAIL.COM"/>
    <s v="CASDO"/>
    <s v="CURSA"/>
    <s v="A"/>
    <d v="2022-01-05T00:00:00"/>
    <n v="9"/>
    <s v="UVM"/>
    <s v="ADMINISTRACIÓN        "/>
    <s v=""/>
    <n v="91"/>
    <n v="25"/>
    <n v="3"/>
    <n v="1"/>
    <m/>
    <m/>
    <m/>
    <m/>
    <m/>
    <m/>
    <m/>
    <n v="236"/>
  </r>
  <r>
    <n v="203"/>
    <s v="Laura Estefany Alonso Coronado"/>
    <n v="9541"/>
    <n v="318.03333333333336"/>
    <n v="4770.5"/>
    <x v="87"/>
    <n v="12"/>
    <x v="7"/>
    <x v="16"/>
    <x v="3"/>
    <s v="LUN VIE"/>
    <m/>
    <s v="laura.alonso@grupomaia.com"/>
    <s v="MARCO AURELIO URBINO"/>
    <n v="41123"/>
    <n v="5390"/>
    <s v="ADMINCIÓN"/>
    <m/>
    <s v="SÍ"/>
    <n v="20"/>
    <n v="0.5"/>
    <n v="10"/>
    <n v="30"/>
    <n v="1.1095890410958904"/>
    <n v="352.88630136986302"/>
    <n v="35.337037037037042"/>
    <n v="32818"/>
    <s v="COLINAS DE SAN GERARDO"/>
    <s v="SANTG"/>
    <n v="8509399460"/>
    <s v="LAURA1414@HOTMAIL.COM"/>
    <s v="SOLTE"/>
    <s v="CURSA"/>
    <s v="A"/>
    <d v="2022-11-06T00:00:00"/>
    <n v="8"/>
    <s v="UANL"/>
    <s v="CONTADOR PÚBLICO       "/>
    <s v=""/>
    <n v="96"/>
    <n v="32"/>
    <n v="1"/>
    <n v="1"/>
    <m/>
    <m/>
    <m/>
    <m/>
    <m/>
    <m/>
    <m/>
    <n v="855"/>
  </r>
  <r>
    <n v="205"/>
    <s v="Pedro Oliveros Vazquez"/>
    <n v="9450"/>
    <n v="315"/>
    <n v="4725"/>
    <x v="88"/>
    <n v="12"/>
    <x v="3"/>
    <x v="21"/>
    <x v="3"/>
    <s v="LUN VIE"/>
    <m/>
    <s v="pedro.oliveros@grupomaia.com"/>
    <s v="DIEGO HERRERA GIRÓN"/>
    <n v="43696"/>
    <n v="6580"/>
    <s v="MATERIALES"/>
    <m/>
    <s v="SÍ"/>
    <n v="20"/>
    <n v="0.5"/>
    <n v="10"/>
    <n v="30"/>
    <n v="1.1095890410958904"/>
    <n v="349.52054794520546"/>
    <n v="35"/>
    <n v="35085"/>
    <s v="PRIVADAS DEL PEDREGAL"/>
    <s v="MONTY"/>
    <n v="9876856942"/>
    <s v="PEDRO1994@HOTMAIL.COM"/>
    <s v="SOLTE"/>
    <s v="CURSA"/>
    <s v="A"/>
    <d v="2022-01-21T00:00:00"/>
    <n v="10"/>
    <s v="UANL"/>
    <s v="INGENIERO EN MATERIALES      "/>
    <s v=""/>
    <n v="53"/>
    <n v="26"/>
    <n v="2"/>
    <n v="1"/>
    <m/>
    <m/>
    <m/>
    <m/>
    <m/>
    <m/>
    <m/>
    <n v="288"/>
  </r>
  <r>
    <n v="206"/>
    <s v="Evelin Yamileth Cantu Cabral"/>
    <n v="8825"/>
    <n v="294.16666666666669"/>
    <n v="4412.5"/>
    <x v="89"/>
    <n v="12"/>
    <x v="0"/>
    <x v="26"/>
    <x v="3"/>
    <s v="LUN VIE"/>
    <m/>
    <s v="evelin.cantu@grupomaia.com"/>
    <s v="MARIANA RODRÍGUEZ GUTIERREZ"/>
    <n v="43385"/>
    <n v="5956"/>
    <s v="INST CAMPO"/>
    <m/>
    <s v="NO"/>
    <n v="20"/>
    <n v="0.5"/>
    <n v="10"/>
    <n v="30"/>
    <n v="1.1095890410958904"/>
    <n v="326.40410958904113"/>
    <n v="32.68518518518519"/>
    <n v="32184"/>
    <s v="SATÉLITE ACUEDUCTO SEXTO SECTOR"/>
    <s v="GRCIA"/>
    <n v="8915749301"/>
    <s v="EVELIN1010@HOTMAIL.COM"/>
    <s v="SOLTE"/>
    <s v="PSNTE"/>
    <s v="B"/>
    <d v="2022-02-11T00:00:00"/>
    <m/>
    <s v="UANL"/>
    <s v="CONTADOR PÚBLICO       "/>
    <s v=""/>
    <n v="56"/>
    <n v="34"/>
    <n v="0"/>
    <n v="1"/>
    <m/>
    <m/>
    <m/>
    <m/>
    <m/>
    <m/>
    <m/>
    <n v="853"/>
  </r>
  <r>
    <n v="207"/>
    <s v="Efrain Bahena Salgado"/>
    <n v="7445"/>
    <n v="248.16666666666666"/>
    <n v="3722.5"/>
    <x v="90"/>
    <n v="12"/>
    <x v="3"/>
    <x v="21"/>
    <x v="3"/>
    <s v="LUN VIE"/>
    <m/>
    <s v="efrain.bahena@grupomaia.com"/>
    <s v="DIEGO HERRERA GIRÓN"/>
    <m/>
    <m/>
    <m/>
    <m/>
    <s v="SÍ"/>
    <n v="20"/>
    <n v="0.5"/>
    <n v="10"/>
    <n v="30"/>
    <n v="1.1095890410958904"/>
    <n v="275.36301369863014"/>
    <n v="27.574074074074073"/>
    <n v="32746"/>
    <s v="PRADOS DE LA SILLA"/>
    <s v="SNICO"/>
    <n v="5677327431"/>
    <s v="ZAIRA98@HOTMAIL.COM"/>
    <s v="CASDO"/>
    <s v="MAEST"/>
    <s v="A"/>
    <d v="2022-08-26T00:00:00"/>
    <n v="9"/>
    <s v="UDLAP"/>
    <s v="INGENIERÍA CIVIL       "/>
    <s v="INGENIERO INDUSTRIAL ADMINISTRADOR      "/>
    <n v="80"/>
    <n v="32"/>
    <n v="2"/>
    <n v="1"/>
    <m/>
    <m/>
    <m/>
    <m/>
    <m/>
    <m/>
    <m/>
    <n v="424"/>
  </r>
  <r>
    <n v="208"/>
    <s v="Adrian Guzman Cipriano"/>
    <n v="10860"/>
    <n v="362"/>
    <n v="5430"/>
    <x v="91"/>
    <n v="12"/>
    <x v="3"/>
    <x v="21"/>
    <x v="3"/>
    <s v="LUN VIE"/>
    <m/>
    <s v="adrian.guzman@grupomaia.com"/>
    <s v="DIEGO HERRERA GIRÓN"/>
    <n v="42258"/>
    <n v="6400"/>
    <s v="EQUIPOS"/>
    <s v="ANLIS COST"/>
    <s v="SÍ"/>
    <n v="20"/>
    <n v="0.5"/>
    <n v="10"/>
    <n v="30"/>
    <n v="1.1095890410958904"/>
    <n v="401.67123287671234"/>
    <n v="40.222222222222221"/>
    <n v="28912"/>
    <s v="PRIVADAS DEL SUR"/>
    <s v="SNPED"/>
    <n v="2109977118"/>
    <s v="ADRIAN1988@HOTMAIL.COM"/>
    <s v="SOLTE"/>
    <s v="CURSA"/>
    <s v="A"/>
    <d v="2022-02-26T00:00:00"/>
    <n v="9"/>
    <s v="TEC"/>
    <s v="INGENIERÍA CIVIL       "/>
    <s v=""/>
    <n v="42"/>
    <n v="43"/>
    <n v="0"/>
    <n v="1"/>
    <m/>
    <m/>
    <m/>
    <m/>
    <m/>
    <m/>
    <m/>
    <n v="317"/>
  </r>
  <r>
    <n v="209"/>
    <s v="Brigido Martinez Baltazar"/>
    <n v="7445"/>
    <n v="248.16666666666666"/>
    <n v="3722.5"/>
    <x v="92"/>
    <n v="12"/>
    <x v="0"/>
    <x v="26"/>
    <x v="3"/>
    <s v="LUN VIE"/>
    <m/>
    <s v="brigido.martinez@grupomaia.com"/>
    <s v="MARIANA RODRÍGUEZ GUTIERREZ"/>
    <n v="43617"/>
    <n v="5422.4000000000005"/>
    <s v="ARQUITECT"/>
    <m/>
    <s v="SÍ"/>
    <n v="20"/>
    <n v="0.5"/>
    <n v="10"/>
    <n v="30"/>
    <n v="1.1095890410958904"/>
    <n v="275.36301369863014"/>
    <n v="27.574074074074073"/>
    <n v="35183"/>
    <s v="RINCÓN DE SAN JEME"/>
    <s v="STACT"/>
    <n v="8096874545"/>
    <s v="BRIGIDO1991@HOTMAIL.COM"/>
    <s v="CASDO"/>
    <s v="CURSA"/>
    <s v="A"/>
    <d v="2022-04-28T00:00:00"/>
    <n v="7"/>
    <s v="UANL"/>
    <s v="NEGOCIOS INTERNACIONALES       "/>
    <s v=""/>
    <n v="84"/>
    <n v="26"/>
    <n v="1"/>
    <n v="1"/>
    <m/>
    <m/>
    <m/>
    <m/>
    <m/>
    <m/>
    <m/>
    <n v="385"/>
  </r>
  <r>
    <n v="211"/>
    <s v="Erick Rogelio Montelongo Reyes"/>
    <n v="9450"/>
    <n v="315"/>
    <n v="4725"/>
    <x v="93"/>
    <n v="12"/>
    <x v="4"/>
    <x v="27"/>
    <x v="3"/>
    <s v="LUN VIE"/>
    <m/>
    <s v="erick.montelongo@grupomaia.com"/>
    <s v="MARIANO ALDEBARÁN"/>
    <m/>
    <m/>
    <m/>
    <m/>
    <s v="NO"/>
    <n v="20"/>
    <n v="0.5"/>
    <n v="10"/>
    <n v="30"/>
    <n v="1.1095890410958904"/>
    <n v="349.52054794520546"/>
    <n v="35"/>
    <n v="30315"/>
    <s v="RESIDENCIAL RAÚL RANGEL FRÍAS"/>
    <s v="APODC"/>
    <n v="8431230477"/>
    <s v="ERICK66@HOTMAIL.COM"/>
    <s v="UNLIB"/>
    <s v="TITUL"/>
    <s v="A"/>
    <d v="2022-12-30T00:00:00"/>
    <m/>
    <s v="UDLAP"/>
    <s v="CONTADOR PÚBLICO       "/>
    <s v=""/>
    <n v="96"/>
    <n v="39"/>
    <n v="0"/>
    <n v="1"/>
    <m/>
    <m/>
    <m/>
    <m/>
    <m/>
    <m/>
    <m/>
    <n v="57"/>
  </r>
  <r>
    <n v="213"/>
    <s v="Alondra Abigail Bernal Hernandez"/>
    <n v="7445"/>
    <n v="248.16666666666666"/>
    <n v="3722.5"/>
    <x v="94"/>
    <n v="11"/>
    <x v="3"/>
    <x v="21"/>
    <x v="3"/>
    <s v="LUN VIE"/>
    <m/>
    <s v="alondra.bernal@grupomaia.com"/>
    <s v="DIEGO HERRERA GIRÓN"/>
    <n v="43876"/>
    <n v="4384"/>
    <s v="CONTROL"/>
    <m/>
    <s v="SÍ"/>
    <n v="20"/>
    <n v="0.5"/>
    <n v="10"/>
    <n v="30"/>
    <n v="1.1095890410958904"/>
    <n v="275.36301369863014"/>
    <n v="27.574074074074073"/>
    <n v="31007"/>
    <s v="PASO DEL ÁGUILA"/>
    <s v="APODC"/>
    <n v="8270502503"/>
    <s v="ALONDRA1010@HOTMAIL.COM"/>
    <s v="DIVOR"/>
    <s v="CURSA"/>
    <s v="A"/>
    <d v="2022-11-21T00:00:00"/>
    <n v="6"/>
    <s v="UANL"/>
    <s v="INGENIERÍA CIVIL       "/>
    <s v=""/>
    <n v="59"/>
    <n v="37"/>
    <n v="1"/>
    <n v="1"/>
    <m/>
    <m/>
    <m/>
    <m/>
    <m/>
    <m/>
    <m/>
    <n v="797"/>
  </r>
  <r>
    <n v="214"/>
    <s v="Saul Arturo Gámez De León"/>
    <n v="9450"/>
    <n v="315"/>
    <n v="4725"/>
    <x v="95"/>
    <n v="11"/>
    <x v="3"/>
    <x v="21"/>
    <x v="3"/>
    <s v="LUN VIE"/>
    <m/>
    <s v="saul.gámez@grupomaia.com"/>
    <s v="DIEGO HERRERA GIRÓN"/>
    <n v="43568"/>
    <n v="6580"/>
    <s v="RECLTMTO"/>
    <m/>
    <s v="SÍ"/>
    <n v="20"/>
    <n v="0.5"/>
    <n v="10"/>
    <n v="30"/>
    <n v="1.1095890410958904"/>
    <n v="349.52054794520546"/>
    <n v="35"/>
    <n v="35985"/>
    <s v="REAL DE SAN JERÓNIMO"/>
    <s v="STACT"/>
    <n v="8335567504"/>
    <s v="SAUL1995@HOTMAIL.COM"/>
    <s v="DIVOR"/>
    <s v="CURSA"/>
    <s v="A"/>
    <d v="2022-07-09T00:00:00"/>
    <n v="7"/>
    <s v="UANL"/>
    <s v="INGENIERÍA CIVIL       "/>
    <s v=""/>
    <n v="38"/>
    <n v="23"/>
    <n v="0"/>
    <n v="1"/>
    <m/>
    <m/>
    <m/>
    <m/>
    <m/>
    <m/>
    <m/>
    <n v="978"/>
  </r>
  <r>
    <n v="215"/>
    <s v="Dayana Milagros Sanchez Leos"/>
    <n v="7950"/>
    <n v="265"/>
    <n v="3975"/>
    <x v="96"/>
    <n v="11"/>
    <x v="7"/>
    <x v="18"/>
    <x v="3"/>
    <s v="LUN VIE"/>
    <m/>
    <s v="dayana.sanchez@grupomaia.com"/>
    <s v="MARCO AURELIO URBINO"/>
    <n v="43793"/>
    <n v="5956"/>
    <s v="INST CAMPO"/>
    <m/>
    <s v="SÍ"/>
    <n v="20"/>
    <n v="0.5"/>
    <n v="10"/>
    <n v="30"/>
    <n v="1.1095890410958904"/>
    <n v="294.04109589041093"/>
    <n v="29.444444444444443"/>
    <n v="32898"/>
    <s v="PROVILEON SAN BERNABÉ"/>
    <s v="SNICO"/>
    <n v="3378985211"/>
    <s v="DAYANA88@HOTMAIL.COM"/>
    <s v="SOLTE"/>
    <s v="CURSA"/>
    <s v="A"/>
    <d v="2022-01-25T00:00:00"/>
    <n v="10"/>
    <s v="TEC"/>
    <s v="NEGOCIOS INTERNACIONALES       "/>
    <s v=""/>
    <n v="37"/>
    <n v="32"/>
    <n v="1"/>
    <n v="1"/>
    <m/>
    <m/>
    <m/>
    <m/>
    <m/>
    <m/>
    <m/>
    <n v="62"/>
  </r>
  <r>
    <n v="216"/>
    <s v="Melba Antonio Texta"/>
    <n v="9541"/>
    <n v="318.03333333333336"/>
    <n v="4770.5"/>
    <x v="97"/>
    <n v="11"/>
    <x v="4"/>
    <x v="27"/>
    <x v="3"/>
    <s v="LUN VIE"/>
    <m/>
    <s v="melba.antonio@grupomaia.com"/>
    <s v="MARIANO ALDEBARÁN"/>
    <n v="42521"/>
    <n v="5088"/>
    <s v="SOLUCIONES"/>
    <s v="AUDIT PROY"/>
    <s v="NO"/>
    <n v="20"/>
    <n v="0.5"/>
    <n v="10"/>
    <n v="30"/>
    <n v="1.1095890410958904"/>
    <n v="352.88630136986302"/>
    <n v="35.337037037037042"/>
    <n v="29953"/>
    <s v="NUEVA GALICIA"/>
    <s v="STACT"/>
    <n v="7866976862"/>
    <s v="MELBA1985@HOTMAIL.COM"/>
    <s v="CASDO"/>
    <s v="PSNTE"/>
    <s v="A"/>
    <d v="2022-01-02T00:00:00"/>
    <m/>
    <s v="UANL"/>
    <s v="ADMINISTRACIÓN        "/>
    <s v=""/>
    <n v="91"/>
    <n v="40"/>
    <n v="2"/>
    <n v="1"/>
    <m/>
    <m/>
    <m/>
    <m/>
    <m/>
    <m/>
    <m/>
    <n v="372"/>
  </r>
  <r>
    <n v="217"/>
    <s v="Emilene Palma Guzman"/>
    <n v="6778"/>
    <n v="225.93333333333334"/>
    <n v="3389"/>
    <x v="98"/>
    <n v="11"/>
    <x v="5"/>
    <x v="14"/>
    <x v="3"/>
    <s v="LUN VIE"/>
    <m/>
    <s v="emilene.palma@grupomaia.com"/>
    <s v="MÉRIDA ISELA MEDINA SALINAS"/>
    <m/>
    <m/>
    <m/>
    <m/>
    <s v="SÍ"/>
    <n v="20"/>
    <n v="0.25"/>
    <n v="5"/>
    <n v="15"/>
    <n v="1.0547945205479452"/>
    <n v="238.31324200913241"/>
    <n v="25.103703703703705"/>
    <n v="29359"/>
    <s v="PRIVADAS DE LA SILLA"/>
    <s v="STACT"/>
    <n v="4077030292"/>
    <s v="EMILENE1996@HOTMAIL.COM"/>
    <s v="SOLTE"/>
    <s v="CURSA"/>
    <s v="A"/>
    <d v="2022-05-18T00:00:00"/>
    <n v="8"/>
    <s v="UR"/>
    <s v="ARQUITECTURA        "/>
    <s v=""/>
    <n v="72"/>
    <n v="42"/>
    <n v="2"/>
    <n v="1"/>
    <m/>
    <m/>
    <m/>
    <m/>
    <m/>
    <m/>
    <m/>
    <n v="497"/>
  </r>
  <r>
    <n v="220"/>
    <s v="Gabriel  Jimenez Ramos"/>
    <n v="9541"/>
    <n v="318.03333333333336"/>
    <n v="4770.5"/>
    <x v="99"/>
    <n v="11"/>
    <x v="8"/>
    <x v="22"/>
    <x v="3"/>
    <s v="LUN VIE"/>
    <m/>
    <s v="gabriel.lara@grupomaia.com"/>
    <s v="EMMA DARIELA GARCÍA LORCA"/>
    <n v="41433"/>
    <n v="6678"/>
    <s v="DISEÑO INT"/>
    <m/>
    <s v="SÍ"/>
    <n v="20"/>
    <n v="0.5"/>
    <n v="10"/>
    <n v="30"/>
    <n v="1.1095890410958904"/>
    <n v="352.88630136986302"/>
    <n v="35.337037037037042"/>
    <n v="30424"/>
    <s v="SATÉLITE ACUEDUCTO SÉPTIMO SECTOR"/>
    <s v="MONTY"/>
    <n v="8713429668"/>
    <s v="GABRIEL1212@HOTMAIL.COM"/>
    <s v="SOLTE"/>
    <s v="CURSA"/>
    <s v="A"/>
    <d v="2022-04-18T00:00:00"/>
    <n v="10"/>
    <s v="UANL"/>
    <s v="ADMINISTRACIÓN        "/>
    <s v=""/>
    <n v="96"/>
    <n v="39"/>
    <n v="3"/>
    <n v="1"/>
    <m/>
    <m/>
    <m/>
    <m/>
    <m/>
    <m/>
    <m/>
    <n v="631"/>
  </r>
  <r>
    <n v="221"/>
    <s v="Esteban Bonifacio Felipe"/>
    <n v="9450"/>
    <n v="315"/>
    <n v="4725"/>
    <x v="100"/>
    <n v="11"/>
    <x v="3"/>
    <x v="21"/>
    <x v="3"/>
    <s v="LUN VIE"/>
    <m/>
    <s v="esteban.bonifacio@grupomaia.com"/>
    <s v="DIEGO HERRERA GIRÓN"/>
    <n v="43683"/>
    <n v="5422.4000000000005"/>
    <s v="ADMINCIÓN"/>
    <m/>
    <s v="SÍ"/>
    <n v="20"/>
    <n v="0.5"/>
    <n v="10"/>
    <n v="30"/>
    <n v="1.1095890410958904"/>
    <n v="349.52054794520546"/>
    <n v="35"/>
    <n v="31549"/>
    <s v="LOS ÉBANOS"/>
    <s v="MONTY"/>
    <n v="7245879865"/>
    <s v="ESTEBAN1980@HOTMAIL.COM"/>
    <s v="DIVOR"/>
    <s v="TITUL"/>
    <s v="B"/>
    <d v="2022-05-17T00:00:00"/>
    <m/>
    <s v="UANL"/>
    <s v="INGENIERÍA CIVIL       "/>
    <s v=""/>
    <n v="38"/>
    <n v="36"/>
    <n v="1"/>
    <n v="1"/>
    <m/>
    <m/>
    <m/>
    <m/>
    <m/>
    <m/>
    <m/>
    <n v="286"/>
  </r>
  <r>
    <n v="222"/>
    <s v="Yadira Rohde Hernandez Lopez"/>
    <n v="10860"/>
    <n v="362"/>
    <n v="5430"/>
    <x v="101"/>
    <n v="11"/>
    <x v="5"/>
    <x v="28"/>
    <x v="3"/>
    <s v="LUN VIE"/>
    <m/>
    <s v="yadira.hernandez@grupomaia.com"/>
    <s v="MÉRIDA ISELA MEDINA SALINAS"/>
    <n v="40801"/>
    <n v="5422.4000000000005"/>
    <s v="ADMINCIÓN"/>
    <s v="RENDER"/>
    <s v="SÍ"/>
    <n v="20"/>
    <n v="0.5"/>
    <n v="10"/>
    <n v="30"/>
    <n v="1.1095890410958904"/>
    <n v="401.67123287671234"/>
    <n v="40.222222222222221"/>
    <n v="26918"/>
    <s v="VALLE DE SAN MARTÍN (F-24)"/>
    <s v="ESCOB"/>
    <n v="8209719670"/>
    <s v="YADIRA1973@HOTMAIL.COM"/>
    <s v="SOLTE"/>
    <s v="MAEST"/>
    <s v="A"/>
    <d v="2022-09-11T00:00:00"/>
    <m/>
    <s v="UANL"/>
    <s v="DISEÑO INDUSTRIAL"/>
    <s v="FINANZAS"/>
    <n v="63"/>
    <n v="48"/>
    <n v="0"/>
    <n v="1"/>
    <m/>
    <m/>
    <m/>
    <m/>
    <m/>
    <m/>
    <m/>
    <n v="533"/>
  </r>
  <r>
    <n v="223"/>
    <s v="Hector Bracho Cabrera"/>
    <n v="9450"/>
    <n v="315"/>
    <n v="4725"/>
    <x v="102"/>
    <n v="11"/>
    <x v="3"/>
    <x v="21"/>
    <x v="3"/>
    <s v="LUN VIE"/>
    <m/>
    <s v="hector.bracho@grupomaia.com"/>
    <s v="DIEGO HERRERA GIRÓN"/>
    <n v="43660"/>
    <n v="6580"/>
    <s v="COLECTIVOS"/>
    <m/>
    <s v="SÍ"/>
    <n v="20"/>
    <n v="0.5"/>
    <n v="10"/>
    <n v="30"/>
    <n v="1.1095890410958904"/>
    <n v="349.52054794520546"/>
    <n v="35"/>
    <n v="29461"/>
    <s v="TERMINAL"/>
    <s v="GUADL"/>
    <n v="3312457896"/>
    <s v="HECTOR1979@HOTMAIL.COM"/>
    <s v="CASDO"/>
    <s v="CURSA"/>
    <s v="A"/>
    <d v="2022-08-28T00:00:00"/>
    <n v="10"/>
    <s v="UANL"/>
    <s v="INGENIERÍA CIVIL       "/>
    <s v=""/>
    <n v="82"/>
    <n v="41"/>
    <n v="1"/>
    <n v="1"/>
    <m/>
    <m/>
    <m/>
    <m/>
    <m/>
    <m/>
    <m/>
    <n v="109"/>
  </r>
  <r>
    <n v="225"/>
    <s v="Esmeralda Sanchez Hernandez"/>
    <n v="9450"/>
    <n v="315"/>
    <n v="4725"/>
    <x v="103"/>
    <n v="11"/>
    <x v="3"/>
    <x v="21"/>
    <x v="3"/>
    <s v="LUN VIE"/>
    <m/>
    <s v="esmeralda.sanchez@grupomaia.com"/>
    <s v="DIEGO HERRERA GIRÓN"/>
    <m/>
    <m/>
    <m/>
    <m/>
    <s v="SÍ"/>
    <n v="20"/>
    <n v="0.5"/>
    <n v="10"/>
    <n v="30"/>
    <n v="1.1095890410958904"/>
    <n v="349.52054794520546"/>
    <n v="35"/>
    <n v="30208"/>
    <s v="MARIANO ESCOBEDO"/>
    <s v="APODC"/>
    <n v="8255937758"/>
    <s v="ESMERALDA88@HOTMAIL.COM"/>
    <s v="CASDO"/>
    <s v="CURSA"/>
    <s v="A"/>
    <d v="2022-09-14T00:00:00"/>
    <n v="9"/>
    <s v="UANL"/>
    <s v="INGENIERÍA CIVIL       "/>
    <s v=""/>
    <n v="40"/>
    <n v="39"/>
    <n v="0"/>
    <n v="1"/>
    <m/>
    <m/>
    <m/>
    <m/>
    <m/>
    <m/>
    <m/>
    <n v="755"/>
  </r>
  <r>
    <n v="227"/>
    <s v="Beatriz Adriana Zavaleta Minor"/>
    <n v="10860"/>
    <n v="362"/>
    <n v="5430"/>
    <x v="104"/>
    <n v="11"/>
    <x v="2"/>
    <x v="29"/>
    <x v="3"/>
    <s v="LUN VIE"/>
    <m/>
    <s v="beatriz.zavaleta@grupomaia.com"/>
    <s v="IRIE DALÍ ANTARES CORTÉS"/>
    <n v="41797"/>
    <n v="5956"/>
    <s v="INST CAMPO"/>
    <s v="INST CAMPO"/>
    <s v="NO"/>
    <n v="20"/>
    <n v="0.5"/>
    <n v="10"/>
    <n v="30"/>
    <n v="1.1095890410958904"/>
    <n v="401.67123287671234"/>
    <n v="40.222222222222221"/>
    <n v="35853"/>
    <s v="VILLAS DE SAN JERÓNIMO"/>
    <s v="APODC"/>
    <n v="8196204370"/>
    <s v="BEATRIZ1984@HOTMAIL.COM"/>
    <s v="SOLTE"/>
    <s v="TITUL"/>
    <s v="C"/>
    <d v="2022-02-27T00:00:00"/>
    <m/>
    <s v="UANL"/>
    <s v="CIENCIAS DE LA COMUNICACIÓN CON ACENTUACIÓN EN INFORMACIÓN "/>
    <s v=""/>
    <n v="86"/>
    <n v="24"/>
    <n v="3"/>
    <n v="1"/>
    <m/>
    <m/>
    <m/>
    <m/>
    <m/>
    <m/>
    <m/>
    <n v="315"/>
  </r>
  <r>
    <n v="228"/>
    <s v="Angela Yazmin Olivares Rivera"/>
    <n v="9450"/>
    <n v="315"/>
    <n v="4725"/>
    <x v="105"/>
    <n v="11"/>
    <x v="0"/>
    <x v="26"/>
    <x v="3"/>
    <s v="LUN VIE"/>
    <m/>
    <s v="angela.olivares@grupomaia.com"/>
    <s v="MARIANA RODRÍGUEZ GUTIERREZ"/>
    <n v="43581"/>
    <n v="5422.4000000000005"/>
    <s v="ANLIS COST"/>
    <m/>
    <s v="NO"/>
    <n v="20"/>
    <n v="0.5"/>
    <n v="10"/>
    <n v="30"/>
    <n v="1.1095890410958904"/>
    <n v="349.52054794520546"/>
    <n v="35"/>
    <n v="36153"/>
    <s v="CERRITOS MODELO (F-76)"/>
    <s v="SNPED"/>
    <n v="8651094075"/>
    <s v="ANGELA1212@HOTMAIL.COM"/>
    <s v="CASDO"/>
    <s v="PSNTE"/>
    <s v="A"/>
    <d v="2022-12-24T00:00:00"/>
    <m/>
    <s v="UR"/>
    <s v="CIENCIAS DE LA COMUNICACIÓN CON ACENTUACIÓN EN INFORMACIÓN "/>
    <s v=""/>
    <n v="91"/>
    <n v="23"/>
    <n v="2"/>
    <n v="1"/>
    <m/>
    <m/>
    <m/>
    <m/>
    <m/>
    <m/>
    <m/>
    <n v="303"/>
  </r>
  <r>
    <n v="229"/>
    <s v="America Anakaren Coronado Trejo"/>
    <n v="9450"/>
    <n v="315"/>
    <n v="4725"/>
    <x v="106"/>
    <n v="11"/>
    <x v="7"/>
    <x v="18"/>
    <x v="3"/>
    <s v="LUN VIE"/>
    <m/>
    <s v="america.coronado@grupomaia.com"/>
    <s v="MARCO AURELIO URBINO"/>
    <n v="41642"/>
    <n v="5211.5"/>
    <s v="ANLIS COST"/>
    <m/>
    <s v="SÍ"/>
    <n v="20"/>
    <n v="0.5"/>
    <n v="10"/>
    <n v="30"/>
    <n v="1.1095890410958904"/>
    <n v="349.52054794520546"/>
    <n v="35"/>
    <n v="33721"/>
    <s v="FIERRO"/>
    <s v="ESCOB"/>
    <n v="8294964441"/>
    <s v="AMERICA1414@HOTMAIL.COM"/>
    <s v="SOLTE"/>
    <s v="PSNTE"/>
    <s v="A"/>
    <d v="2022-04-27T00:00:00"/>
    <m/>
    <s v="UANL"/>
    <s v="NEGOCIOS INTERNACIONALES       "/>
    <s v=""/>
    <n v="71"/>
    <n v="30"/>
    <n v="1"/>
    <n v="1"/>
    <m/>
    <m/>
    <m/>
    <m/>
    <m/>
    <m/>
    <m/>
    <n v="784"/>
  </r>
  <r>
    <n v="231"/>
    <s v="Luz Adriana Valenzo Lozano"/>
    <n v="9541"/>
    <n v="318.03333333333336"/>
    <n v="4770.5"/>
    <x v="107"/>
    <n v="11"/>
    <x v="4"/>
    <x v="27"/>
    <x v="3"/>
    <s v="LUN VIE"/>
    <m/>
    <s v="luz.valenzo@grupomaia.com"/>
    <s v="MARIANO ALDEBARÁN"/>
    <n v="43350"/>
    <n v="5956"/>
    <s v="EQUIPOS"/>
    <s v="SOLUCIONES"/>
    <s v="NO"/>
    <n v="20"/>
    <n v="0.5"/>
    <n v="10"/>
    <n v="30"/>
    <n v="1.1095890410958904"/>
    <n v="352.88630136986302"/>
    <n v="35.337037037037042"/>
    <n v="29322"/>
    <s v="PRIVADAS DEL PASEO"/>
    <s v="GRCIA"/>
    <n v="7077321925"/>
    <s v="LUZ1981@HOTMAIL.COM"/>
    <s v="CASDO"/>
    <s v="CURSA"/>
    <s v="A"/>
    <d v="2022-04-11T00:00:00"/>
    <n v="10"/>
    <s v="UANL"/>
    <s v="MULTIMEDIA Y ANIMACIÓN DIGITAL          "/>
    <s v=""/>
    <n v="60"/>
    <n v="42"/>
    <n v="2"/>
    <n v="1"/>
    <m/>
    <m/>
    <m/>
    <m/>
    <m/>
    <m/>
    <m/>
    <n v="411"/>
  </r>
  <r>
    <n v="232"/>
    <s v="Karla Odalia Mejia Altamirano"/>
    <n v="7445"/>
    <n v="248.16666666666666"/>
    <n v="3722.5"/>
    <x v="108"/>
    <n v="11"/>
    <x v="5"/>
    <x v="28"/>
    <x v="3"/>
    <s v="LUN VIE"/>
    <m/>
    <s v="karla.mejia@grupomaia.com"/>
    <s v="MÉRIDA ISELA MEDINA SALINAS"/>
    <m/>
    <m/>
    <m/>
    <m/>
    <s v="SÍ"/>
    <n v="20"/>
    <n v="0.5"/>
    <n v="10"/>
    <n v="30"/>
    <n v="1.1095890410958904"/>
    <n v="275.36301369863014"/>
    <n v="27.574074074074073"/>
    <n v="31462"/>
    <s v="MUNICIPAL AMPLIACIÓN"/>
    <s v="APODC"/>
    <n v="8669871759"/>
    <s v="KARLA66@HOTMAIL.COM"/>
    <s v="SOLTE"/>
    <s v="CURSA"/>
    <s v="A"/>
    <d v="2022-02-19T00:00:00"/>
    <n v="6"/>
    <s v="UANL"/>
    <s v="ARQUITECTURA        "/>
    <s v=""/>
    <n v="65"/>
    <n v="36"/>
    <n v="3"/>
    <n v="1"/>
    <m/>
    <m/>
    <m/>
    <m/>
    <m/>
    <m/>
    <m/>
    <n v="613"/>
  </r>
  <r>
    <n v="233"/>
    <s v="Jesús Eduardo Urbina Valdez"/>
    <n v="9541"/>
    <n v="318.03333333333336"/>
    <n v="4770.5"/>
    <x v="109"/>
    <n v="11"/>
    <x v="5"/>
    <x v="28"/>
    <x v="3"/>
    <s v="LUN VIE"/>
    <m/>
    <s v="jesus.benitez@grupomaia.com"/>
    <s v="MÉRIDA ISELA MEDINA SALINAS"/>
    <n v="43276"/>
    <n v="7600"/>
    <s v="ANLIS COST"/>
    <m/>
    <s v="SÍ"/>
    <n v="20"/>
    <n v="0.5"/>
    <n v="10"/>
    <n v="30"/>
    <n v="1.1095890410958904"/>
    <n v="352.88630136986302"/>
    <n v="35.337037037037042"/>
    <n v="36089"/>
    <s v="JUANA DE ARCO"/>
    <s v="GRCIA"/>
    <n v="8124696886"/>
    <s v="JESÚS1998@HOTMAIL.COM"/>
    <s v="SOLTE"/>
    <s v="CURSA"/>
    <s v="A"/>
    <d v="2022-10-21T00:00:00"/>
    <n v="7"/>
    <s v="UDLAP"/>
    <s v="ARQUITECTURA        "/>
    <s v=""/>
    <n v="74"/>
    <n v="23"/>
    <n v="0"/>
    <n v="1"/>
    <m/>
    <m/>
    <m/>
    <m/>
    <m/>
    <m/>
    <m/>
    <n v="377"/>
  </r>
  <r>
    <n v="236"/>
    <s v="Yeni Santibañez Perez"/>
    <n v="10860"/>
    <n v="362"/>
    <n v="5430"/>
    <x v="110"/>
    <n v="10"/>
    <x v="7"/>
    <x v="8"/>
    <x v="3"/>
    <s v="LUN VIE"/>
    <m/>
    <s v="yeni.santibañez@grupomaia.com"/>
    <s v="MARCO AURELIO URBINO"/>
    <n v="41050"/>
    <n v="7600"/>
    <s v="ARQUITECT"/>
    <s v="ADMINCIÓN"/>
    <s v="SÍ"/>
    <n v="20"/>
    <n v="0.5"/>
    <n v="10"/>
    <n v="30"/>
    <n v="1.1095890410958904"/>
    <n v="401.67123287671234"/>
    <n v="40.222222222222221"/>
    <n v="29858"/>
    <s v="INDUSTRIAL"/>
    <s v="SANTG"/>
    <n v="8990504536"/>
    <s v="YENI1991@HOTMAIL.COM"/>
    <s v="SOLTE"/>
    <s v="CURSA"/>
    <s v="B"/>
    <d v="2022-09-29T00:00:00"/>
    <n v="9"/>
    <s v="UVM"/>
    <s v="ADMINISTRACIÓN        "/>
    <s v=""/>
    <n v="47"/>
    <n v="40"/>
    <n v="1"/>
    <n v="1"/>
    <m/>
    <m/>
    <m/>
    <m/>
    <m/>
    <m/>
    <m/>
    <n v="253"/>
  </r>
  <r>
    <n v="237"/>
    <s v="Nailea Alejandra Pérez Sánchez"/>
    <n v="9450"/>
    <n v="315"/>
    <n v="4725"/>
    <x v="111"/>
    <n v="10"/>
    <x v="3"/>
    <x v="21"/>
    <x v="3"/>
    <s v="LUN VIE"/>
    <m/>
    <s v="nailea.pérez@grupomaia.com"/>
    <s v="DIEGO HERRERA GIRÓN"/>
    <n v="44042"/>
    <n v="6560"/>
    <s v="COMPRAS"/>
    <m/>
    <s v="SÍ"/>
    <n v="20"/>
    <n v="0.5"/>
    <n v="10"/>
    <n v="30"/>
    <n v="1.1095890410958904"/>
    <n v="349.52054794520546"/>
    <n v="35"/>
    <n v="30249"/>
    <s v="RINCÓN DE SAN JERÓNIMO"/>
    <s v="SNPED"/>
    <n v="8851889771"/>
    <s v="NAILEA1010@HOTMAIL.COM"/>
    <s v="SOLTE"/>
    <s v="PSNTE"/>
    <s v="B"/>
    <d v="2022-10-25T00:00:00"/>
    <m/>
    <s v="UVM"/>
    <s v="INGENIERÍA CIVIL       "/>
    <s v=""/>
    <n v="58"/>
    <n v="39"/>
    <n v="1"/>
    <n v="1"/>
    <m/>
    <m/>
    <m/>
    <m/>
    <m/>
    <m/>
    <m/>
    <n v="707"/>
  </r>
  <r>
    <n v="238"/>
    <s v="Alejandra Lisette Villavicencio Rodríguez"/>
    <n v="7950"/>
    <n v="265"/>
    <n v="3975"/>
    <x v="112"/>
    <n v="10"/>
    <x v="8"/>
    <x v="25"/>
    <x v="3"/>
    <s v="LUN VIE"/>
    <m/>
    <s v="alejandra.villavicencio@grupomaia.com"/>
    <s v="EMMA DARIELA GARCÍA LORCA"/>
    <n v="43472"/>
    <n v="5956"/>
    <s v="ANLIS COST"/>
    <m/>
    <s v="NO"/>
    <n v="20"/>
    <n v="0.5"/>
    <n v="10"/>
    <n v="30"/>
    <n v="1.1095890410958904"/>
    <n v="294.04109589041093"/>
    <n v="29.444444444444443"/>
    <n v="32209"/>
    <s v="SAN BERNABÉ II (F-120)"/>
    <s v="STACT"/>
    <n v="8123559452.5"/>
    <s v="ALEJANDRA1981@HOTMAIL.COM"/>
    <s v="SOLTE"/>
    <s v="CURSA"/>
    <s v="B"/>
    <d v="2022-03-07T00:00:00"/>
    <n v="10"/>
    <s v="UANL"/>
    <s v="CIENCIAS DE LA COMUNICACIÓN CON ACENTUACIÓN EN INFORMACIÓN "/>
    <s v=""/>
    <n v="31"/>
    <n v="34"/>
    <n v="0"/>
    <n v="1"/>
    <m/>
    <m/>
    <m/>
    <m/>
    <m/>
    <m/>
    <m/>
    <n v="930"/>
  </r>
  <r>
    <n v="239"/>
    <s v="Ma Guadalupe Delgado Pablo"/>
    <n v="10350"/>
    <n v="345"/>
    <n v="5175"/>
    <x v="113"/>
    <n v="10"/>
    <x v="4"/>
    <x v="7"/>
    <x v="3"/>
    <s v="LUN VIE"/>
    <m/>
    <s v="ma.delgado@grupomaia.com"/>
    <s v="MARIANO ALDEBARÁN"/>
    <n v="42891"/>
    <n v="5422.4000000000005"/>
    <s v="AUDIT ADMN"/>
    <s v="SOLUCIONES"/>
    <s v="NO"/>
    <n v="20"/>
    <n v="0.5"/>
    <n v="10"/>
    <n v="30"/>
    <n v="1.1095890410958904"/>
    <n v="382.8082191780822"/>
    <n v="38.333333333333336"/>
    <n v="34559"/>
    <s v="BOSQUES DE LAS CUMBRES"/>
    <s v="ESCOB"/>
    <n v="4512457845"/>
    <s v="MA1976@HOTMAIL.COM"/>
    <s v="SOLTE"/>
    <s v="TITUL"/>
    <s v="A"/>
    <d v="2022-08-13T00:00:00"/>
    <m/>
    <s v="UANL"/>
    <s v="CIENCIAS DE LA COMUNICACIÓN CON ACENTUACIÓN EN INFORMACIÓN "/>
    <s v=""/>
    <n v="30"/>
    <n v="27"/>
    <n v="2"/>
    <n v="1"/>
    <m/>
    <m/>
    <m/>
    <m/>
    <m/>
    <m/>
    <m/>
    <n v="680"/>
  </r>
  <r>
    <n v="240"/>
    <s v="Valeria Lisseth Rodríguez Padilla"/>
    <n v="7950"/>
    <n v="265"/>
    <n v="3975"/>
    <x v="114"/>
    <n v="10"/>
    <x v="7"/>
    <x v="16"/>
    <x v="3"/>
    <s v="LUN VIE"/>
    <m/>
    <s v="valeria.rodríguez@grupomaia.com"/>
    <s v="MARCO AURELIO URBINO"/>
    <n v="41803"/>
    <n v="5211.5"/>
    <s v="SOFTWARE"/>
    <m/>
    <s v="SÍ"/>
    <n v="20"/>
    <n v="0.5"/>
    <n v="10"/>
    <n v="30"/>
    <n v="1.1095890410958904"/>
    <n v="294.04109589041093"/>
    <n v="29.444444444444443"/>
    <n v="35396"/>
    <s v="LIBERTADORES DE AMÉRICA"/>
    <s v="SNPED"/>
    <n v="8214833076"/>
    <s v="VALERIA1212@HOTMAIL.COM"/>
    <s v="SOLTE"/>
    <s v="CURSA"/>
    <s v="A"/>
    <d v="2022-11-27T00:00:00"/>
    <n v="7"/>
    <s v="ITAM"/>
    <s v="ADMINISTRACIÓN        "/>
    <s v=""/>
    <n v="62"/>
    <n v="25"/>
    <n v="1"/>
    <n v="1"/>
    <m/>
    <m/>
    <m/>
    <m/>
    <m/>
    <m/>
    <m/>
    <n v="723"/>
  </r>
  <r>
    <n v="241"/>
    <s v="Katia Nallely De La Rosa Saldaña"/>
    <n v="7445"/>
    <n v="248.16666666666666"/>
    <n v="3722.5"/>
    <x v="115"/>
    <n v="10"/>
    <x v="4"/>
    <x v="7"/>
    <x v="3"/>
    <s v="LUN VIE"/>
    <m/>
    <s v="katia.de@grupomaia.com"/>
    <s v="MARIANO ALDEBARÁN"/>
    <m/>
    <m/>
    <m/>
    <m/>
    <s v="NO"/>
    <n v="20"/>
    <n v="0.5"/>
    <n v="10"/>
    <n v="30"/>
    <n v="1.1095890410958904"/>
    <n v="275.36301369863014"/>
    <n v="27.574074074074073"/>
    <n v="34245"/>
    <s v="FOMERREY"/>
    <s v="MONTY"/>
    <n v="8467937028"/>
    <s v="KATIA66@HOTMAIL.COM"/>
    <s v="SOLTE"/>
    <s v="CURSA"/>
    <s v="A"/>
    <d v="2022-10-03T00:00:00"/>
    <n v="8"/>
    <s v="UANL"/>
    <s v="CONTADOR PÚBLICO       "/>
    <s v=""/>
    <n v="71"/>
    <n v="28"/>
    <n v="1"/>
    <n v="1"/>
    <m/>
    <m/>
    <m/>
    <m/>
    <m/>
    <m/>
    <m/>
    <n v="956"/>
  </r>
  <r>
    <n v="242"/>
    <s v="Feliciana Bueno Alcaraz"/>
    <n v="9541"/>
    <n v="318.03333333333336"/>
    <n v="4770.5"/>
    <x v="116"/>
    <n v="10"/>
    <x v="3"/>
    <x v="21"/>
    <x v="3"/>
    <s v="LUN VIE"/>
    <m/>
    <s v="feliciana.bueno@grupomaia.com"/>
    <s v="DIEGO HERRERA GIRÓN"/>
    <n v="42623"/>
    <n v="5422.4000000000005"/>
    <s v="INST CAMPO"/>
    <m/>
    <s v="SÍ"/>
    <n v="20"/>
    <n v="0.5"/>
    <n v="10"/>
    <n v="30"/>
    <n v="1.1095890410958904"/>
    <n v="352.88630136986302"/>
    <n v="35.337037037037042"/>
    <n v="35616"/>
    <s v="TAMPICO"/>
    <s v="SNICO"/>
    <n v="3325417896"/>
    <s v="FELICIANA1977@HOTMAIL.COM"/>
    <s v="SOLTE"/>
    <s v="CURSA"/>
    <s v="A"/>
    <d v="2022-07-05T00:00:00"/>
    <n v="5"/>
    <s v="UANL"/>
    <s v="INGENIERÍA CIVIL       "/>
    <s v=""/>
    <n v="57"/>
    <n v="24"/>
    <n v="0"/>
    <n v="1"/>
    <m/>
    <m/>
    <m/>
    <m/>
    <m/>
    <m/>
    <m/>
    <n v="218"/>
  </r>
  <r>
    <n v="243"/>
    <s v="Juan Socorro Angeles Martinez"/>
    <n v="10860"/>
    <n v="362"/>
    <n v="5430"/>
    <x v="117"/>
    <n v="10"/>
    <x v="5"/>
    <x v="14"/>
    <x v="3"/>
    <s v="LUN VIE"/>
    <m/>
    <s v="juan.angeles@grupomaia.com"/>
    <s v="MÉRIDA ISELA MEDINA SALINAS"/>
    <n v="42093"/>
    <n v="5956"/>
    <s v="AUDIT PROY"/>
    <s v="MATERIALES"/>
    <s v="SÍ"/>
    <n v="20"/>
    <n v="0.5"/>
    <n v="10"/>
    <n v="30"/>
    <n v="1.1095890410958904"/>
    <n v="401.67123287671234"/>
    <n v="40.222222222222221"/>
    <n v="28598"/>
    <s v="NUEVA MODELO (F-8)"/>
    <s v="SNPED"/>
    <n v="8181478965"/>
    <s v="JUAN1992@HOTMAIL.COM"/>
    <s v="SOLTE"/>
    <s v="TITUL"/>
    <s v="A"/>
    <d v="2022-04-18T00:00:00"/>
    <n v="5"/>
    <s v="UANL"/>
    <s v="ARQUITECTURA        "/>
    <s v=""/>
    <n v="70"/>
    <n v="44"/>
    <n v="3"/>
    <n v="1"/>
    <m/>
    <m/>
    <m/>
    <m/>
    <m/>
    <m/>
    <m/>
    <n v="427"/>
  </r>
  <r>
    <n v="245"/>
    <s v="Eduardo Garza Guerra"/>
    <n v="7445"/>
    <n v="248.16666666666666"/>
    <n v="3722.5"/>
    <x v="118"/>
    <n v="10"/>
    <x v="5"/>
    <x v="28"/>
    <x v="3"/>
    <s v="LUN VIE"/>
    <m/>
    <s v="eduardo.garza@grupomaia.com"/>
    <s v="MÉRIDA ISELA MEDINA SALINAS"/>
    <m/>
    <m/>
    <m/>
    <m/>
    <s v="SÍ"/>
    <n v="20"/>
    <n v="0.5"/>
    <n v="10"/>
    <n v="30"/>
    <n v="1.1095890410958904"/>
    <n v="275.36301369863014"/>
    <n v="27.574074074074073"/>
    <n v="30275"/>
    <s v="PASO DEL ÁGUILA"/>
    <s v="SNPED"/>
    <n v="8206138593"/>
    <s v="EDUARDO66@HOTMAIL.COM"/>
    <s v="SOLTE"/>
    <s v="TITUL"/>
    <s v="A"/>
    <d v="2022-11-20T00:00:00"/>
    <m/>
    <s v="UVM"/>
    <s v="ARQUITECTURA        "/>
    <s v=""/>
    <n v="44"/>
    <n v="39"/>
    <n v="2"/>
    <n v="1"/>
    <m/>
    <m/>
    <m/>
    <m/>
    <m/>
    <m/>
    <m/>
    <n v="195"/>
  </r>
  <r>
    <n v="246"/>
    <s v="Esmeralda Organista Peñaloza"/>
    <n v="6778"/>
    <n v="225.93333333333334"/>
    <n v="3389"/>
    <x v="119"/>
    <n v="10"/>
    <x v="9"/>
    <x v="31"/>
    <x v="3"/>
    <s v="LUN VIE"/>
    <m/>
    <s v="esmeralda.organista@grupomaia.com"/>
    <s v="IDALIA GARCÍA ESCRIVÁ"/>
    <m/>
    <m/>
    <m/>
    <m/>
    <s v="NO"/>
    <n v="20"/>
    <n v="0.25"/>
    <n v="5"/>
    <n v="15"/>
    <n v="1.0547945205479452"/>
    <n v="238.31324200913241"/>
    <n v="25.103703703703705"/>
    <n v="27754"/>
    <s v="COLINAS DE SAN JERÓNIMO"/>
    <s v="ESCOB"/>
    <n v="6514746316"/>
    <s v="ESMERALDA1985@HOTMAIL.COM"/>
    <s v="CASDO"/>
    <s v="CURSA"/>
    <s v="B"/>
    <d v="2022-12-26T00:00:00"/>
    <n v="6"/>
    <s v="UANL"/>
    <s v="INGENIERÍA CIVIL       "/>
    <s v=""/>
    <n v="36"/>
    <n v="46"/>
    <n v="1"/>
    <n v="1"/>
    <m/>
    <m/>
    <m/>
    <m/>
    <m/>
    <m/>
    <m/>
    <n v="642"/>
  </r>
  <r>
    <n v="247"/>
    <s v="Abel Lopez Aguilar"/>
    <n v="9541"/>
    <n v="318.03333333333336"/>
    <n v="4770.5"/>
    <x v="120"/>
    <n v="10"/>
    <x v="5"/>
    <x v="14"/>
    <x v="3"/>
    <s v="LUN VIE"/>
    <m/>
    <s v="abel.lopez@grupomaia.com"/>
    <s v="MÉRIDA ISELA MEDINA SALINAS"/>
    <n v="42659"/>
    <n v="6158.4000000000005"/>
    <s v="COMPRAS"/>
    <s v="MATERIALES"/>
    <s v="SÍ"/>
    <n v="20"/>
    <n v="0.5"/>
    <n v="10"/>
    <n v="30"/>
    <n v="1.1095890410958904"/>
    <n v="352.88630136986302"/>
    <n v="35.337037037037042"/>
    <n v="36259"/>
    <s v="RINCÓN DE SAN JEMO"/>
    <s v="MONTY"/>
    <n v="7632541250"/>
    <s v="ABEL1987@HOTMAIL.COM"/>
    <s v="SOLTE"/>
    <s v="CURSA"/>
    <s v="A"/>
    <d v="2022-04-09T00:00:00"/>
    <n v="7"/>
    <s v="UANL"/>
    <s v="ARQUITECTURA        "/>
    <s v=""/>
    <n v="81"/>
    <n v="23"/>
    <n v="3"/>
    <n v="1"/>
    <m/>
    <m/>
    <m/>
    <m/>
    <m/>
    <m/>
    <m/>
    <n v="686"/>
  </r>
  <r>
    <n v="249"/>
    <s v="Mónica Monserrat Flores García"/>
    <n v="9541"/>
    <n v="318.03333333333336"/>
    <n v="4770.5"/>
    <x v="121"/>
    <n v="10"/>
    <x v="8"/>
    <x v="25"/>
    <x v="3"/>
    <s v="LUN VIE"/>
    <m/>
    <s v="mónica.flores@grupomaia.com"/>
    <s v="EMMA DARIELA GARCÍA LORCA"/>
    <n v="42924"/>
    <n v="5088"/>
    <s v="ARQUITECT"/>
    <m/>
    <s v="SÍ"/>
    <n v="20"/>
    <n v="0.5"/>
    <n v="10"/>
    <n v="30"/>
    <n v="1.1095890410958904"/>
    <n v="352.88630136986302"/>
    <n v="35.337037037037042"/>
    <n v="35985"/>
    <s v="NUEVA GALICIA"/>
    <s v="SNICO"/>
    <n v="8490123947"/>
    <s v="MÓNICA1998@HOTMAIL.COM"/>
    <s v="SOLTE"/>
    <s v="TITUL"/>
    <s v="A"/>
    <d v="2022-07-09T00:00:00"/>
    <m/>
    <s v="UANL"/>
    <s v="ADMINISTRACIÓN        "/>
    <s v=""/>
    <n v="45"/>
    <n v="23"/>
    <n v="3"/>
    <n v="1"/>
    <m/>
    <m/>
    <m/>
    <m/>
    <m/>
    <m/>
    <m/>
    <n v="63"/>
  </r>
  <r>
    <n v="250"/>
    <s v="Higinio Cerros Mayo"/>
    <n v="9450"/>
    <n v="315"/>
    <n v="4725"/>
    <x v="122"/>
    <n v="10"/>
    <x v="0"/>
    <x v="17"/>
    <x v="3"/>
    <s v="LUN VIE"/>
    <m/>
    <s v="higinio.cerros@grupomaia.com"/>
    <s v="MARIANA RODRÍGUEZ GUTIERREZ"/>
    <m/>
    <m/>
    <m/>
    <m/>
    <s v="NO"/>
    <n v="20"/>
    <n v="0.5"/>
    <n v="10"/>
    <n v="30"/>
    <n v="1.1095890410958904"/>
    <n v="349.52054794520546"/>
    <n v="35"/>
    <n v="33056"/>
    <s v="DEL PASEO RESIDENCIAL"/>
    <s v="SNPED"/>
    <n v="8098529532"/>
    <s v="HIGINIO1996@HOTMAIL.COM"/>
    <s v="SOLTE"/>
    <s v="CURSA"/>
    <s v="A"/>
    <d v="2022-07-02T00:00:00"/>
    <n v="6"/>
    <s v="UANL"/>
    <s v="NEGOCIOS INTERNACIONALES       "/>
    <s v=""/>
    <n v="35"/>
    <n v="32"/>
    <n v="3"/>
    <n v="1"/>
    <m/>
    <m/>
    <m/>
    <m/>
    <m/>
    <m/>
    <m/>
    <n v="579"/>
  </r>
  <r>
    <n v="251"/>
    <s v="Brian Rigoberto Quiroz Zamarron"/>
    <n v="7445"/>
    <n v="248.16666666666666"/>
    <n v="3722.5"/>
    <x v="123"/>
    <n v="10"/>
    <x v="0"/>
    <x v="17"/>
    <x v="3"/>
    <s v="LUN VIE"/>
    <m/>
    <s v="brian.quiroz@grupomaia.com"/>
    <s v="MARIANA RODRÍGUEZ GUTIERREZ"/>
    <n v="43404"/>
    <n v="5088"/>
    <s v="INST CAMPO"/>
    <m/>
    <s v="SÍ"/>
    <n v="20"/>
    <n v="0.5"/>
    <n v="10"/>
    <n v="30"/>
    <n v="1.1095890410958904"/>
    <n v="275.36301369863014"/>
    <n v="27.574074074074073"/>
    <n v="34374"/>
    <s v="ACERO"/>
    <s v="GRCIA"/>
    <n v="8338892498"/>
    <s v="BRIAN1010@HOTMAIL.COM"/>
    <s v="DIVOR"/>
    <s v="PREPA"/>
    <s v="A"/>
    <d v="2022-02-09T00:00:00"/>
    <m/>
    <s v="UANL"/>
    <s v="ADMINISTRACIÓN        "/>
    <s v=""/>
    <n v="43"/>
    <n v="28"/>
    <n v="3"/>
    <n v="1"/>
    <m/>
    <m/>
    <m/>
    <m/>
    <m/>
    <m/>
    <m/>
    <n v="569"/>
  </r>
  <r>
    <n v="252"/>
    <s v="Alberto Aldair Caballero Trujillo"/>
    <n v="7950"/>
    <n v="265"/>
    <n v="3975"/>
    <x v="123"/>
    <n v="10"/>
    <x v="1"/>
    <x v="32"/>
    <x v="3"/>
    <s v="LUN VIE"/>
    <m/>
    <s v="alberto.caballero@grupomaia.com"/>
    <s v="DENEB SANTIAGO ALTAIR VEGA"/>
    <m/>
    <m/>
    <m/>
    <m/>
    <s v="NO"/>
    <n v="20"/>
    <n v="0.5"/>
    <n v="10"/>
    <n v="30"/>
    <n v="1.1095890410958904"/>
    <n v="294.04109589041093"/>
    <n v="29.444444444444443"/>
    <n v="33130"/>
    <s v="REAL DE SAN JERÓNIMO"/>
    <s v="SNPED"/>
    <n v="5553497812"/>
    <s v="ALBERTO66@HOTMAIL.COM"/>
    <s v="SOLTE"/>
    <s v="CURSA"/>
    <s v="A"/>
    <d v="2022-09-14T00:00:00"/>
    <n v="9"/>
    <s v="UANL"/>
    <s v="TECNOLOGÍA DE SOFTWARE      "/>
    <s v=""/>
    <n v="78"/>
    <n v="31"/>
    <n v="3"/>
    <n v="1"/>
    <m/>
    <m/>
    <m/>
    <m/>
    <m/>
    <m/>
    <m/>
    <n v="299"/>
  </r>
  <r>
    <n v="253"/>
    <s v="Mayra Alejandra Zamarrón Aguilar"/>
    <n v="8825"/>
    <n v="294.16666666666669"/>
    <n v="4412.5"/>
    <x v="124"/>
    <n v="10"/>
    <x v="2"/>
    <x v="29"/>
    <x v="3"/>
    <s v="LUN VIE"/>
    <m/>
    <s v="mayra.zamarrón@grupomaia.com"/>
    <s v="IRIE DALÍ ANTARES CORTÉS"/>
    <n v="43077"/>
    <n v="6158.4000000000005"/>
    <s v="AUDIT ADMN"/>
    <m/>
    <s v="NO"/>
    <n v="20"/>
    <n v="0.5"/>
    <n v="10"/>
    <n v="30"/>
    <n v="1.1095890410958904"/>
    <n v="326.40410958904113"/>
    <n v="32.68518518518519"/>
    <n v="33553"/>
    <s v="EL ENCINO"/>
    <s v="MONTY"/>
    <n v="7942634235.5"/>
    <s v="MAYRA1995@HOTMAIL.COM"/>
    <s v="DIVOR"/>
    <s v="CURSA"/>
    <s v="C"/>
    <d v="2022-11-11T00:00:00"/>
    <n v="8"/>
    <s v="UANL"/>
    <s v="CONTADOR PÚBLICO       "/>
    <s v=""/>
    <n v="43"/>
    <n v="30"/>
    <n v="3"/>
    <n v="1"/>
    <m/>
    <m/>
    <m/>
    <m/>
    <m/>
    <m/>
    <m/>
    <n v="22"/>
  </r>
  <r>
    <n v="254"/>
    <s v="Odaliz Maríanela López Gutiérrez"/>
    <n v="9450"/>
    <n v="315"/>
    <n v="4725"/>
    <x v="125"/>
    <n v="10"/>
    <x v="0"/>
    <x v="17"/>
    <x v="3"/>
    <s v="LUN VIE"/>
    <m/>
    <s v="odaliz.lópez@grupomaia.com"/>
    <s v="MARIANA RODRÍGUEZ GUTIERREZ"/>
    <n v="43444"/>
    <n v="7060"/>
    <s v="SOFTWARE"/>
    <m/>
    <s v="NO"/>
    <n v="20"/>
    <n v="0.5"/>
    <n v="10"/>
    <n v="30"/>
    <n v="1.1095890410958904"/>
    <n v="349.52054794520546"/>
    <n v="35"/>
    <n v="33449"/>
    <s v="RANCHO LA BOLA"/>
    <s v="STACT"/>
    <n v="8972981254"/>
    <s v="ODALIZ1010@HOTMAIL.COM"/>
    <s v="SOLTE"/>
    <s v="CURSA"/>
    <s v="B"/>
    <d v="2022-07-30T00:00:00"/>
    <n v="7"/>
    <s v="UANL"/>
    <s v="NEGOCIOS INTERNACIONALES       "/>
    <s v=""/>
    <n v="88"/>
    <n v="30"/>
    <n v="3"/>
    <n v="1"/>
    <m/>
    <m/>
    <m/>
    <m/>
    <m/>
    <m/>
    <m/>
    <n v="783"/>
  </r>
  <r>
    <n v="255"/>
    <s v="Debanhy Yamileth Parada Garza"/>
    <n v="7445"/>
    <n v="248.16666666666666"/>
    <n v="3722.5"/>
    <x v="126"/>
    <n v="9"/>
    <x v="5"/>
    <x v="14"/>
    <x v="3"/>
    <s v="LUN VIE"/>
    <m/>
    <s v="debanhy.parada@grupomaia.com"/>
    <s v="MÉRIDA ISELA MEDINA SALINAS"/>
    <m/>
    <m/>
    <m/>
    <m/>
    <s v="SÍ"/>
    <n v="16"/>
    <n v="0.5"/>
    <n v="8"/>
    <n v="30"/>
    <n v="1.1041095890410959"/>
    <n v="274.00319634703197"/>
    <n v="27.574074074074073"/>
    <n v="32184"/>
    <s v="MITRAS CENTRO"/>
    <s v="MONTY"/>
    <n v="8400939067"/>
    <s v="DEBANHY1993@HOTMAIL.COM"/>
    <s v="SOLTE"/>
    <s v="CURSA"/>
    <s v="A"/>
    <d v="2022-02-11T00:00:00"/>
    <n v="9"/>
    <s v="UVM"/>
    <s v="ARQUITECTURA        "/>
    <s v=""/>
    <n v="44"/>
    <n v="34"/>
    <n v="0"/>
    <n v="1"/>
    <m/>
    <m/>
    <m/>
    <m/>
    <m/>
    <m/>
    <m/>
    <n v="135"/>
  </r>
  <r>
    <n v="256"/>
    <s v="Francisco García Rodriguez"/>
    <n v="7445"/>
    <n v="248.16666666666666"/>
    <n v="3722.5"/>
    <x v="126"/>
    <n v="9"/>
    <x v="5"/>
    <x v="14"/>
    <x v="3"/>
    <s v="LUN VIE"/>
    <m/>
    <s v="francisco.garcia@grupomaia.com"/>
    <s v="MÉRIDA ISELA MEDINA SALINAS"/>
    <n v="43710"/>
    <n v="5200"/>
    <s v="ARQUITECT"/>
    <m/>
    <s v="SÍ"/>
    <n v="16"/>
    <n v="0.5"/>
    <n v="8"/>
    <n v="30"/>
    <n v="1.1041095890410959"/>
    <n v="274.00319634703197"/>
    <n v="27.574074074074073"/>
    <n v="35787"/>
    <s v="SANTGA LUCÍA"/>
    <s v="GRCIA"/>
    <n v="8990306338"/>
    <s v="FRANCISCO1996@HOTMAIL.COM"/>
    <s v="SOLTE"/>
    <s v="PSNTE"/>
    <s v="A"/>
    <d v="2022-12-23T00:00:00"/>
    <m/>
    <s v="UANL"/>
    <s v="ARQUITECTURA        "/>
    <s v=""/>
    <n v="39"/>
    <n v="24"/>
    <n v="1"/>
    <n v="1"/>
    <m/>
    <m/>
    <m/>
    <m/>
    <m/>
    <m/>
    <m/>
    <n v="142"/>
  </r>
  <r>
    <n v="257"/>
    <s v="Fernanda Isabel Flores García"/>
    <n v="7445"/>
    <n v="248.16666666666666"/>
    <n v="3722.5"/>
    <x v="127"/>
    <n v="9"/>
    <x v="7"/>
    <x v="16"/>
    <x v="3"/>
    <s v="LUN VIE"/>
    <m/>
    <s v="fernanda.flores@grupomaia.com"/>
    <s v="MARCO AURELIO URBINO"/>
    <m/>
    <m/>
    <m/>
    <m/>
    <s v="SÍ"/>
    <n v="16"/>
    <n v="0.5"/>
    <n v="8"/>
    <n v="30"/>
    <n v="1.1041095890410959"/>
    <n v="274.00319634703197"/>
    <n v="27.574074074074073"/>
    <n v="34400"/>
    <s v="RENÉ ÁLVAREZ"/>
    <s v="APODC"/>
    <n v="8427655244"/>
    <s v="FERNANDA1989@HOTMAIL.COM"/>
    <s v="DIVOR"/>
    <s v="CURSA"/>
    <s v="A"/>
    <d v="2022-03-07T00:00:00"/>
    <n v="6"/>
    <s v="UANL"/>
    <s v="ADMINISTRACIÓN        "/>
    <s v=""/>
    <n v="73"/>
    <n v="28"/>
    <n v="1"/>
    <n v="1"/>
    <m/>
    <m/>
    <m/>
    <m/>
    <m/>
    <m/>
    <m/>
    <n v="591"/>
  </r>
  <r>
    <n v="258"/>
    <s v="Danna Arely Ortiz García"/>
    <n v="7445"/>
    <n v="248.16666666666666"/>
    <n v="3722.5"/>
    <x v="128"/>
    <n v="9"/>
    <x v="2"/>
    <x v="29"/>
    <x v="3"/>
    <s v="LUN VIE"/>
    <m/>
    <s v="danna.ortiz@grupomaia.com"/>
    <s v="IRIE DALÍ ANTARES CORTÉS"/>
    <n v="43998"/>
    <n v="5422.4000000000005"/>
    <s v="ADMINCIÓN"/>
    <m/>
    <s v="NO"/>
    <n v="16"/>
    <n v="0.5"/>
    <n v="8"/>
    <n v="30"/>
    <n v="1.1041095890410959"/>
    <n v="274.00319634703197"/>
    <n v="27.574074074074073"/>
    <n v="35605"/>
    <s v="LOMAS MODELO NORTE"/>
    <s v="GRCIA"/>
    <n v="8825214169"/>
    <s v="DANNA1212@HOTMAIL.COM"/>
    <s v="CASDO"/>
    <s v="CURSA"/>
    <s v="A"/>
    <d v="2022-06-24T00:00:00"/>
    <n v="8"/>
    <s v="UANL"/>
    <s v="CONTADOR PÚBLICO       "/>
    <s v=""/>
    <n v="96"/>
    <n v="25"/>
    <n v="3"/>
    <n v="1"/>
    <m/>
    <m/>
    <m/>
    <m/>
    <m/>
    <m/>
    <m/>
    <n v="716"/>
  </r>
  <r>
    <n v="260"/>
    <s v="Maura Carbajal Crispin"/>
    <n v="9541"/>
    <n v="318.03333333333336"/>
    <n v="4770.5"/>
    <x v="129"/>
    <n v="9"/>
    <x v="0"/>
    <x v="26"/>
    <x v="3"/>
    <s v="LUN VIE"/>
    <m/>
    <s v="maura.carbajal@grupomaia.com"/>
    <s v="MARIANA RODRÍGUEZ GUTIERREZ"/>
    <n v="41685"/>
    <n v="7600"/>
    <s v="INST CAMPO"/>
    <s v="SOFTWARE"/>
    <s v="NO"/>
    <n v="16"/>
    <n v="0.5"/>
    <n v="8"/>
    <n v="30"/>
    <n v="1.1041095890410959"/>
    <n v="351.14365296803658"/>
    <n v="35.337037037037042"/>
    <n v="31675"/>
    <s v="VILLA ALEGRE"/>
    <s v="SNPED"/>
    <n v="2156534852"/>
    <s v="MAURA1991@HOTMAIL.COM"/>
    <s v="SOLTE"/>
    <s v="CURSA"/>
    <s v="A"/>
    <d v="2022-09-20T00:00:00"/>
    <n v="7"/>
    <s v="UNEZ"/>
    <s v="BIBLIOTECOLOGÍA Y CIENCIA DE LA INFORMACIÓN   "/>
    <s v=""/>
    <n v="63"/>
    <n v="35"/>
    <n v="0"/>
    <n v="1"/>
    <m/>
    <m/>
    <m/>
    <m/>
    <m/>
    <m/>
    <m/>
    <n v="447"/>
  </r>
  <r>
    <n v="262"/>
    <s v="Sandra Saguilan Baños"/>
    <n v="7445"/>
    <n v="248.16666666666666"/>
    <n v="3722.5"/>
    <x v="130"/>
    <n v="9"/>
    <x v="5"/>
    <x v="28"/>
    <x v="3"/>
    <s v="LUN VIE"/>
    <m/>
    <s v="sandra.saguilan@grupomaia.com"/>
    <s v="MÉRIDA ISELA MEDINA SALINAS"/>
    <m/>
    <m/>
    <m/>
    <m/>
    <s v="SÍ"/>
    <n v="16"/>
    <n v="0.5"/>
    <n v="8"/>
    <n v="30"/>
    <n v="1.1041095890410959"/>
    <n v="274.00319634703197"/>
    <n v="27.574074074074073"/>
    <n v="35122"/>
    <s v="VILLAS DE SAN AGUSTÍN"/>
    <s v="SNICO"/>
    <n v="6726642714"/>
    <s v="SANDRA1994@HOTMAIL.COM"/>
    <s v="SOLTE"/>
    <s v="CURSA"/>
    <s v="A"/>
    <d v="2022-02-27T00:00:00"/>
    <n v="9"/>
    <s v="IPN"/>
    <s v="ARQUITECTURA        "/>
    <s v=""/>
    <n v="47"/>
    <n v="26"/>
    <n v="1"/>
    <n v="1"/>
    <m/>
    <m/>
    <m/>
    <m/>
    <m/>
    <m/>
    <m/>
    <n v="603"/>
  </r>
  <r>
    <n v="264"/>
    <s v="Julieta Berenice Enriquez Muñoz"/>
    <n v="10350"/>
    <n v="345"/>
    <n v="5175"/>
    <x v="131"/>
    <n v="9"/>
    <x v="8"/>
    <x v="11"/>
    <x v="3"/>
    <s v="LUN VIE"/>
    <m/>
    <s v="julieta.enriquez@grupomaia.com"/>
    <s v="EMMA DARIELA GARCÍA LORCA"/>
    <n v="42292"/>
    <n v="7349.9999999999991"/>
    <s v="ANLIS COST"/>
    <m/>
    <s v="NO"/>
    <n v="16"/>
    <n v="0.5"/>
    <n v="8"/>
    <n v="30"/>
    <n v="1.1041095890410959"/>
    <n v="380.91780821917808"/>
    <n v="38.333333333333336"/>
    <n v="31000"/>
    <s v="SANTGA CRUZ (F- 10)"/>
    <s v="STACT"/>
    <n v="8187925922"/>
    <s v="JULIETA1414@HOTMAIL.COM"/>
    <s v="CASDO"/>
    <s v="TITUL"/>
    <s v="A"/>
    <d v="2022-11-14T00:00:00"/>
    <n v="5"/>
    <s v="UANL"/>
    <s v="NEGOCIOS INTERNACIONALES       "/>
    <s v=""/>
    <n v="96"/>
    <n v="37"/>
    <n v="1"/>
    <n v="1"/>
    <m/>
    <m/>
    <m/>
    <m/>
    <m/>
    <m/>
    <m/>
    <n v="472"/>
  </r>
  <r>
    <n v="265"/>
    <s v="Jesus Esteban Benitez Cervantes"/>
    <n v="9541"/>
    <n v="318.03333333333336"/>
    <n v="4770.5"/>
    <x v="132"/>
    <n v="9"/>
    <x v="3"/>
    <x v="19"/>
    <x v="3"/>
    <s v="LUN VIE"/>
    <m/>
    <s v="jesus.villa@grupomaia.com"/>
    <s v="DIEGO HERRERA GIRÓN"/>
    <n v="43384"/>
    <n v="6580"/>
    <s v="ADMINCIÓN"/>
    <s v="ARQUITECT"/>
    <s v="SÍ"/>
    <n v="16"/>
    <n v="0.5"/>
    <n v="8"/>
    <n v="30"/>
    <n v="1.1041095890410959"/>
    <n v="351.14365296803658"/>
    <n v="35.337037037037042"/>
    <n v="33321"/>
    <s v="JARDINES DEL PASEO"/>
    <s v="MONTY"/>
    <n v="2221457878"/>
    <s v="JESUS1991@HOTMAIL.COM"/>
    <s v="UNLIB"/>
    <s v="CURSA"/>
    <s v="A"/>
    <d v="2022-03-24T00:00:00"/>
    <n v="5"/>
    <s v="UVM"/>
    <s v="INGENIERO MECÁNICO ADMINISTRADOR      "/>
    <s v=""/>
    <n v="40"/>
    <n v="31"/>
    <n v="3"/>
    <n v="1"/>
    <m/>
    <m/>
    <m/>
    <m/>
    <m/>
    <m/>
    <m/>
    <n v="740"/>
  </r>
  <r>
    <n v="266"/>
    <s v="Antonia Delgado Flores"/>
    <n v="9541"/>
    <n v="318.03333333333336"/>
    <n v="4770.5"/>
    <x v="133"/>
    <n v="9"/>
    <x v="3"/>
    <x v="19"/>
    <x v="3"/>
    <s v="LUN VIE"/>
    <m/>
    <s v="antonia.delgado@grupomaia.com"/>
    <s v="DIEGO HERRERA GIRÓN"/>
    <n v="43052"/>
    <n v="5956"/>
    <s v="AUDIT PROY"/>
    <m/>
    <s v="SÍ"/>
    <n v="16"/>
    <n v="0.5"/>
    <n v="8"/>
    <n v="30"/>
    <n v="1.1041095890410959"/>
    <n v="351.14365296803658"/>
    <n v="35.337037037037042"/>
    <n v="32701"/>
    <s v="PERIODISTAS"/>
    <s v="GRCIA"/>
    <n v="8205672095"/>
    <s v="ANTONIA1974@HOTMAIL.COM"/>
    <s v="SOLTE"/>
    <s v="TITUL"/>
    <s v="A"/>
    <d v="2022-07-12T00:00:00"/>
    <m/>
    <s v="UVM"/>
    <s v="INGENIERÍA CIVIL       "/>
    <s v=""/>
    <n v="44"/>
    <n v="32"/>
    <n v="2"/>
    <n v="1"/>
    <m/>
    <m/>
    <m/>
    <m/>
    <m/>
    <m/>
    <m/>
    <n v="51"/>
  </r>
  <r>
    <n v="267"/>
    <s v="Anallely Barona Peñaloza"/>
    <n v="7445"/>
    <n v="248.16666666666666"/>
    <n v="3722.5"/>
    <x v="134"/>
    <n v="9"/>
    <x v="0"/>
    <x v="17"/>
    <x v="3"/>
    <s v="LUN VIE"/>
    <m/>
    <s v="anallely.barona@grupomaia.com"/>
    <s v="MARIANA RODRÍGUEZ GUTIERREZ"/>
    <m/>
    <m/>
    <m/>
    <m/>
    <s v="SÍ"/>
    <n v="16"/>
    <n v="0.5"/>
    <n v="8"/>
    <n v="30"/>
    <n v="1.1041095890410959"/>
    <n v="274.00319634703197"/>
    <n v="27.574074074074073"/>
    <n v="26242"/>
    <s v="ÁLAMOS CORREGIDORA"/>
    <s v="STACT"/>
    <n v="8956231245"/>
    <s v="ANALLELY1976@HOTMAIL.COM"/>
    <s v="SOLTE"/>
    <s v="CURSA"/>
    <s v="A"/>
    <d v="2022-11-05T00:00:00"/>
    <n v="7"/>
    <s v="UANL"/>
    <s v="NEGOCIOS INTERNACIONALES       "/>
    <s v=""/>
    <n v="98"/>
    <n v="50"/>
    <n v="1"/>
    <n v="1"/>
    <m/>
    <m/>
    <m/>
    <m/>
    <m/>
    <m/>
    <m/>
    <n v="475"/>
  </r>
  <r>
    <n v="268"/>
    <s v="Sofia Marlen Zambrano Rangel"/>
    <n v="7445"/>
    <n v="248.16666666666666"/>
    <n v="3722.5"/>
    <x v="135"/>
    <n v="9"/>
    <x v="3"/>
    <x v="21"/>
    <x v="3"/>
    <s v="LUN VIE"/>
    <m/>
    <s v="sofia.zambrano@grupomaia.com"/>
    <s v="DIEGO HERRERA GIRÓN"/>
    <n v="43380"/>
    <n v="5088"/>
    <s v="ADMINCIÓN"/>
    <m/>
    <s v="SÍ"/>
    <n v="16"/>
    <n v="0.5"/>
    <n v="8"/>
    <n v="30"/>
    <n v="1.1041095890410959"/>
    <n v="274.00319634703197"/>
    <n v="27.574074074074073"/>
    <n v="34087"/>
    <s v="ALMAGUER"/>
    <s v="STACT"/>
    <n v="8710009255"/>
    <s v="SOFIA1010@HOTMAIL.COM"/>
    <s v="SOLTE"/>
    <s v="CURSA"/>
    <s v="A"/>
    <d v="2022-04-28T00:00:00"/>
    <n v="6"/>
    <s v="UANL"/>
    <s v="INGENIERÍA CIVIL       "/>
    <s v=""/>
    <n v="33"/>
    <n v="29"/>
    <n v="0"/>
    <n v="1"/>
    <m/>
    <m/>
    <m/>
    <m/>
    <m/>
    <m/>
    <m/>
    <n v="715"/>
  </r>
  <r>
    <n v="269"/>
    <s v="Yesenia Hernandez Guzman"/>
    <n v="7445"/>
    <n v="248.16666666666666"/>
    <n v="3722.5"/>
    <x v="136"/>
    <n v="9"/>
    <x v="0"/>
    <x v="17"/>
    <x v="3"/>
    <s v="LUN VIE"/>
    <m/>
    <s v="yesenia.hernandez@grupomaia.com"/>
    <s v="MARIANA RODRÍGUEZ GUTIERREZ"/>
    <n v="43758"/>
    <n v="4384"/>
    <s v="AUDIT PROY"/>
    <m/>
    <s v="NO"/>
    <n v="16"/>
    <n v="0.5"/>
    <n v="8"/>
    <n v="30"/>
    <n v="1.1041095890410959"/>
    <n v="274.00319634703197"/>
    <n v="27.574074074074073"/>
    <n v="27125"/>
    <s v="SAN MARTÍN"/>
    <s v="APODC"/>
    <n v="8210784219"/>
    <s v="YESENIA1993@HOTMAIL.COM"/>
    <s v="CASDO"/>
    <s v="MAEST"/>
    <s v="A"/>
    <d v="2022-04-06T00:00:00"/>
    <m/>
    <s v="UANL"/>
    <s v="CIENCIAS DE LA COMUNICACIÓN CON ACENTUACIÓN EN INFORMACIÓN "/>
    <s v="FINANZAS"/>
    <n v="69"/>
    <n v="48"/>
    <n v="2"/>
    <n v="1"/>
    <m/>
    <m/>
    <m/>
    <m/>
    <m/>
    <m/>
    <m/>
    <n v="951"/>
  </r>
  <r>
    <n v="270"/>
    <s v="Luis Eduardo Rosales Pérez"/>
    <n v="8825"/>
    <n v="294.16666666666669"/>
    <n v="4412.5"/>
    <x v="137"/>
    <n v="9"/>
    <x v="3"/>
    <x v="19"/>
    <x v="3"/>
    <s v="LUN VIE"/>
    <m/>
    <s v="luis.rosales@grupomaia.com"/>
    <s v="DIEGO HERRERA GIRÓN"/>
    <n v="44012"/>
    <n v="6158.4000000000005"/>
    <s v="AUDIT PROY"/>
    <m/>
    <s v="SÍ"/>
    <n v="16"/>
    <n v="0.5"/>
    <n v="8"/>
    <n v="30"/>
    <n v="1.1041095890410959"/>
    <n v="324.79223744292239"/>
    <n v="32.68518518518519"/>
    <n v="30396"/>
    <s v="COLINAS DEL SUR"/>
    <s v="SNPED"/>
    <n v="8831608742"/>
    <s v="LUIS1998@HOTMAIL.COM"/>
    <s v="DIVOR"/>
    <s v="CURSA"/>
    <s v="A"/>
    <d v="2022-03-21T00:00:00"/>
    <n v="9"/>
    <s v="UANL"/>
    <s v="INGENIERO MECÁNICO ADMINISTRADOR      "/>
    <s v=""/>
    <n v="44"/>
    <n v="39"/>
    <n v="0"/>
    <n v="1"/>
    <m/>
    <m/>
    <m/>
    <m/>
    <m/>
    <m/>
    <m/>
    <n v="113"/>
  </r>
  <r>
    <n v="271"/>
    <s v="José María Maldonado Nieto"/>
    <n v="7445"/>
    <n v="248.16666666666666"/>
    <n v="3722.5"/>
    <x v="138"/>
    <n v="9"/>
    <x v="5"/>
    <x v="28"/>
    <x v="3"/>
    <s v="LUN VIE"/>
    <m/>
    <s v="jose.maldonado@grupomaia.com"/>
    <s v="MÉRIDA ISELA MEDINA SALINAS"/>
    <n v="43330"/>
    <n v="5760"/>
    <s v="AUDIT ADMN"/>
    <m/>
    <s v="SÍ"/>
    <n v="16"/>
    <n v="0.5"/>
    <n v="8"/>
    <n v="30"/>
    <n v="1.1041095890410959"/>
    <n v="274.00319634703197"/>
    <n v="27.574074074074073"/>
    <n v="34238"/>
    <s v="CENTRAL"/>
    <s v="SANTG"/>
    <n v="8534801920"/>
    <s v="JOSE1010@HOTMAIL.COM"/>
    <s v="SOLTE"/>
    <s v="CURSA"/>
    <s v="A"/>
    <d v="2022-09-26T00:00:00"/>
    <n v="7"/>
    <s v="UANL"/>
    <s v="ARQUITECTURA        "/>
    <s v=""/>
    <n v="98"/>
    <n v="28"/>
    <n v="0"/>
    <n v="1"/>
    <m/>
    <m/>
    <m/>
    <m/>
    <m/>
    <m/>
    <m/>
    <n v="988"/>
  </r>
  <r>
    <n v="272"/>
    <s v="Roberto Rodriguez Arroyo"/>
    <n v="9450"/>
    <n v="315"/>
    <n v="4725"/>
    <x v="139"/>
    <n v="9"/>
    <x v="1"/>
    <x v="32"/>
    <x v="3"/>
    <s v="LUN VIE"/>
    <m/>
    <s v="roberto.rodriguez@grupomaia.com"/>
    <s v="DENEB SANTIAGO ALTAIR VEGA"/>
    <n v="43373"/>
    <n v="6158.4000000000005"/>
    <s v="MATERIALES"/>
    <m/>
    <s v="NO"/>
    <n v="16"/>
    <n v="0.5"/>
    <n v="8"/>
    <n v="30"/>
    <n v="1.1041095890410959"/>
    <n v="347.79452054794518"/>
    <n v="35"/>
    <n v="28268"/>
    <s v="RANCHO LA BOLA"/>
    <s v="GRCIA"/>
    <n v="5696781399"/>
    <s v="ROBERTO1982@HOTMAIL.COM"/>
    <s v="SOLTE"/>
    <s v="PSNTE"/>
    <s v="B"/>
    <d v="2022-05-23T00:00:00"/>
    <m/>
    <s v="UANL"/>
    <s v="INGENIERO ADMINISTRADOR DE SISTEMAS     "/>
    <s v=""/>
    <n v="42"/>
    <n v="45"/>
    <n v="2"/>
    <n v="1"/>
    <m/>
    <m/>
    <m/>
    <m/>
    <m/>
    <m/>
    <m/>
    <n v="908"/>
  </r>
  <r>
    <n v="273"/>
    <s v="Roberto Alejandro Martínez Osuna"/>
    <n v="6778"/>
    <n v="225.93333333333334"/>
    <n v="3389"/>
    <x v="140"/>
    <n v="8"/>
    <x v="8"/>
    <x v="22"/>
    <x v="3"/>
    <s v="LUN VIE"/>
    <m/>
    <s v="roberto.martínez@grupomaia.com"/>
    <s v="EMMA DARIELA GARCÍA LORCA"/>
    <m/>
    <m/>
    <m/>
    <m/>
    <s v="SÍ"/>
    <n v="16"/>
    <n v="0.25"/>
    <n v="4"/>
    <n v="15"/>
    <n v="1.0520547945205478"/>
    <n v="237.69424657534245"/>
    <n v="25.103703703703705"/>
    <n v="34227"/>
    <s v="LOS ANGELES"/>
    <s v="SNPED"/>
    <n v="8181495684"/>
    <s v="robertomtz@creativo.com"/>
    <s v="SOLTE"/>
    <s v="TRNCA"/>
    <s v="B"/>
    <d v="2022-09-15T00:00:00"/>
    <n v="8"/>
    <s v="TEC"/>
    <s v="ING SISTEMAS"/>
    <m/>
    <n v="80"/>
    <n v="28"/>
    <n v="0"/>
    <n v="1"/>
    <m/>
    <m/>
    <m/>
    <m/>
    <m/>
    <m/>
    <m/>
    <n v="579"/>
  </r>
  <r>
    <n v="274"/>
    <s v="Jorge Alberto Quintero Corona"/>
    <n v="9541"/>
    <n v="318.03333333333336"/>
    <n v="4770.5"/>
    <x v="141"/>
    <n v="8"/>
    <x v="9"/>
    <x v="31"/>
    <x v="3"/>
    <s v="LUN VIE"/>
    <m/>
    <s v="jorge.quintero@grupomaia.com"/>
    <s v="IDALIA GARCÍA ESCRIVÁ"/>
    <n v="42649"/>
    <n v="5088"/>
    <s v="AUDIT ADMN"/>
    <s v="SOFTWARE"/>
    <s v="NO"/>
    <n v="16"/>
    <n v="0.5"/>
    <n v="8"/>
    <n v="30"/>
    <n v="1.1041095890410959"/>
    <n v="351.14365296803658"/>
    <n v="35.337037037037042"/>
    <n v="34134"/>
    <s v="VALLE VERDE SEGUNDO SECTOR"/>
    <s v="SNPED"/>
    <n v="8347732410"/>
    <s v="JESÚS1998@HOTMAIL.COM"/>
    <s v="SOLTE"/>
    <s v="CURSA"/>
    <s v="A"/>
    <d v="2022-06-14T00:00:00"/>
    <n v="7"/>
    <s v="UANL"/>
    <s v="INGENIERÍA CIVIL       "/>
    <s v=""/>
    <n v="32"/>
    <n v="29"/>
    <n v="1"/>
    <n v="1"/>
    <m/>
    <m/>
    <m/>
    <m/>
    <m/>
    <m/>
    <m/>
    <n v="327"/>
  </r>
  <r>
    <n v="275"/>
    <s v="Priscila Estefanía Hernández Sánchez"/>
    <n v="10350"/>
    <n v="345"/>
    <n v="5175"/>
    <x v="142"/>
    <n v="8"/>
    <x v="0"/>
    <x v="17"/>
    <x v="3"/>
    <s v="LUN VIE"/>
    <m/>
    <s v="priscila.hernández@grupomaia.com"/>
    <s v="MARIANA RODRÍGUEZ GUTIERREZ"/>
    <m/>
    <m/>
    <m/>
    <m/>
    <s v="NO"/>
    <n v="16"/>
    <n v="0.5"/>
    <n v="8"/>
    <n v="30"/>
    <n v="1.1041095890410959"/>
    <n v="380.91780821917808"/>
    <n v="38.333333333333336"/>
    <n v="30109"/>
    <s v="CONQUISTADORES"/>
    <s v="GRCIA"/>
    <n v="8745556056"/>
    <s v="PRISCILA66@HOTMAIL.COM"/>
    <s v="SOLTE"/>
    <s v="TITUL"/>
    <s v="A"/>
    <d v="2022-06-07T00:00:00"/>
    <m/>
    <s v="UANL"/>
    <s v="CIENCIAS DE LA COMUNICACIÓN CON ACENTUACIÓN EN INFORMACIÓN "/>
    <s v=""/>
    <n v="97"/>
    <n v="40"/>
    <n v="1"/>
    <n v="1"/>
    <m/>
    <m/>
    <m/>
    <m/>
    <m/>
    <m/>
    <m/>
    <n v="335"/>
  </r>
  <r>
    <n v="276"/>
    <s v="Cidney Aime Ruan Martínez"/>
    <n v="9541"/>
    <n v="318.03333333333336"/>
    <n v="4770.5"/>
    <x v="143"/>
    <n v="8"/>
    <x v="9"/>
    <x v="31"/>
    <x v="3"/>
    <s v="LUN VIE"/>
    <m/>
    <s v="cidney.ruan@grupomaia.com"/>
    <s v="IDALIA GARCÍA ESCRIVÁ"/>
    <n v="42397"/>
    <n v="5211.5"/>
    <s v="ANLIS COST"/>
    <m/>
    <s v="SÍ"/>
    <n v="16"/>
    <n v="0.5"/>
    <n v="8"/>
    <n v="30"/>
    <n v="1.1041095890410959"/>
    <n v="351.14365296803658"/>
    <n v="35.337037037037042"/>
    <n v="32204"/>
    <s v="VILLAS DE SAN AGUSTÍN"/>
    <s v="ESCOB"/>
    <n v="8963809322"/>
    <s v="KARYME1414@HOTMAIL.COM"/>
    <s v="CASDO"/>
    <s v="CURSA"/>
    <s v="B"/>
    <d v="2022-03-02T00:00:00"/>
    <n v="10"/>
    <s v="UANL"/>
    <s v="INGENIERÍA CIVIL       "/>
    <s v=""/>
    <n v="63"/>
    <n v="34"/>
    <n v="1"/>
    <n v="1"/>
    <m/>
    <m/>
    <m/>
    <m/>
    <m/>
    <m/>
    <m/>
    <n v="225"/>
  </r>
  <r>
    <n v="277"/>
    <s v="Esteban Contreras Torres"/>
    <n v="7445"/>
    <n v="248.16666666666666"/>
    <n v="3722.5"/>
    <x v="144"/>
    <n v="8"/>
    <x v="5"/>
    <x v="28"/>
    <x v="3"/>
    <s v="LUN VIE"/>
    <m/>
    <s v="esteban.contreras@grupomaia.com"/>
    <s v="MÉRIDA ISELA MEDINA SALINAS"/>
    <m/>
    <m/>
    <m/>
    <m/>
    <s v="SÍ"/>
    <n v="16"/>
    <n v="0.5"/>
    <n v="8"/>
    <n v="30"/>
    <n v="1.1041095890410959"/>
    <n v="274.00319634703197"/>
    <n v="27.574074074074073"/>
    <n v="35013"/>
    <s v="MADERO NORTE"/>
    <s v="SNPED"/>
    <n v="8103069296"/>
    <s v="ESTEBAN1990@HOTMAIL.COM"/>
    <s v="SOLTE"/>
    <s v="CURSA"/>
    <s v="A"/>
    <d v="2022-11-10T00:00:00"/>
    <n v="6"/>
    <s v="UANL"/>
    <s v="ARQUITECTURA        "/>
    <s v=""/>
    <n v="83"/>
    <n v="26"/>
    <n v="3"/>
    <n v="1"/>
    <m/>
    <m/>
    <m/>
    <m/>
    <m/>
    <m/>
    <m/>
    <n v="777"/>
  </r>
  <r>
    <n v="278"/>
    <s v="Alexia Fernanda Sánchez López"/>
    <n v="7445"/>
    <n v="248.16666666666666"/>
    <n v="3722.5"/>
    <x v="145"/>
    <n v="8"/>
    <x v="7"/>
    <x v="8"/>
    <x v="3"/>
    <s v="LUN VIE"/>
    <m/>
    <s v="alexia.sánchez@grupomaia.com"/>
    <s v="MARCO AURELIO URBINO"/>
    <n v="43469"/>
    <n v="5422.4000000000005"/>
    <s v="ANLIS COST"/>
    <m/>
    <s v="SÍ"/>
    <n v="16"/>
    <n v="0.5"/>
    <n v="8"/>
    <n v="30"/>
    <n v="1.1041095890410959"/>
    <n v="274.00319634703197"/>
    <n v="27.574074074074073"/>
    <n v="29982"/>
    <s v="LOS FRESNOS"/>
    <s v="GRCIA"/>
    <n v="8187505050"/>
    <s v="ALEXIA1987@HOTMAIL.COM"/>
    <s v="SOLTE"/>
    <s v="CURSA"/>
    <s v="A"/>
    <d v="2022-01-31T00:00:00"/>
    <n v="10"/>
    <s v="IPN"/>
    <s v="ADMINISTRACIÓN        "/>
    <s v=""/>
    <n v="49"/>
    <n v="40"/>
    <n v="2"/>
    <n v="1"/>
    <m/>
    <m/>
    <m/>
    <m/>
    <m/>
    <m/>
    <m/>
    <n v="593"/>
  </r>
  <r>
    <n v="279"/>
    <s v="Francisco Alejandro Torres Méndez"/>
    <n v="15850"/>
    <n v="528.33333333333337"/>
    <n v="7925"/>
    <x v="146"/>
    <n v="8"/>
    <x v="3"/>
    <x v="20"/>
    <x v="3"/>
    <s v="LUN VIE"/>
    <m/>
    <s v="francisco.torres@grupomaia.com"/>
    <s v="DIEGO HERRERA GIRÓN"/>
    <n v="43594"/>
    <n v="12680"/>
    <s v="SOLUCIONES"/>
    <m/>
    <s v="SÍ"/>
    <n v="16"/>
    <n v="0.5"/>
    <n v="8"/>
    <n v="30"/>
    <n v="1.1041095890410959"/>
    <n v="583.33789954337908"/>
    <n v="58.703703703703709"/>
    <n v="30923"/>
    <s v="PROVILEON SAN BERNABÉ"/>
    <s v="SNPED"/>
    <n v="8438021754"/>
    <s v="FRANCISCO1010@HOTMAIL.COM"/>
    <s v="SOLTE"/>
    <s v="TITUL"/>
    <s v="A"/>
    <d v="2022-08-29T00:00:00"/>
    <m/>
    <s v="UANL"/>
    <s v="INGENIERÍA CIVIL       "/>
    <s v=""/>
    <n v="53"/>
    <n v="37"/>
    <n v="1"/>
    <n v="1"/>
    <m/>
    <m/>
    <m/>
    <m/>
    <m/>
    <m/>
    <m/>
    <n v="382"/>
  </r>
  <r>
    <n v="280"/>
    <s v="Katy Flores Villanueva"/>
    <n v="9541"/>
    <n v="318.03333333333336"/>
    <n v="4770.5"/>
    <x v="147"/>
    <n v="8"/>
    <x v="5"/>
    <x v="14"/>
    <x v="3"/>
    <s v="LUN VIE"/>
    <m/>
    <s v="katy.flores@grupomaia.com"/>
    <s v="MÉRIDA ISELA MEDINA SALINAS"/>
    <n v="42019"/>
    <n v="6580"/>
    <s v="RENDER"/>
    <s v="COMPRAS"/>
    <s v="SÍ"/>
    <n v="16"/>
    <n v="0.5"/>
    <n v="8"/>
    <n v="30"/>
    <n v="1.1041095890410959"/>
    <n v="351.14365296803658"/>
    <n v="35.337037037037042"/>
    <n v="36045"/>
    <s v="LAS CUMBRES"/>
    <s v="GRCIA"/>
    <n v="7876976861"/>
    <s v="KATY1972@HOTMAIL.COM"/>
    <s v="SOLTE"/>
    <s v="CURSA"/>
    <s v="A"/>
    <d v="2022-09-07T00:00:00"/>
    <n v="8"/>
    <s v="UANL"/>
    <s v="ARQUITECTURA        "/>
    <s v=""/>
    <n v="35"/>
    <n v="23"/>
    <n v="2"/>
    <n v="1"/>
    <m/>
    <m/>
    <m/>
    <m/>
    <m/>
    <m/>
    <m/>
    <n v="32"/>
  </r>
  <r>
    <n v="281"/>
    <s v="Evelyn Jazmin Escobedo Rodriguez"/>
    <n v="9450"/>
    <n v="315"/>
    <n v="4725"/>
    <x v="147"/>
    <n v="8"/>
    <x v="7"/>
    <x v="16"/>
    <x v="3"/>
    <s v="LUN VIE"/>
    <m/>
    <s v="evelyn.escobedo@grupomaia.com"/>
    <s v="MARCO AURELIO URBINO"/>
    <n v="42330"/>
    <n v="5211.5"/>
    <s v="ESTRUCTURA"/>
    <m/>
    <s v="SÍ"/>
    <n v="16"/>
    <n v="0.5"/>
    <n v="8"/>
    <n v="30"/>
    <n v="1.1041095890410959"/>
    <n v="347.79452054794518"/>
    <n v="35"/>
    <n v="34265"/>
    <s v="GRANJA POSTAL"/>
    <s v="SNICO"/>
    <n v="8616231013"/>
    <s v="EVELYN1414@HOTMAIL.COM"/>
    <s v="SOLTE"/>
    <s v="TITUL"/>
    <s v="A"/>
    <d v="2022-10-23T00:00:00"/>
    <m/>
    <s v="UANL"/>
    <s v="MULTIMEDIA Y ANIMACIÓN DIGITAL          "/>
    <s v=""/>
    <n v="72"/>
    <n v="28"/>
    <n v="3"/>
    <n v="1"/>
    <m/>
    <m/>
    <m/>
    <m/>
    <m/>
    <m/>
    <m/>
    <n v="248"/>
  </r>
  <r>
    <n v="282"/>
    <s v="Itzel Alejandra Flores Hernandez"/>
    <n v="10350"/>
    <n v="345"/>
    <n v="5175"/>
    <x v="148"/>
    <n v="8"/>
    <x v="0"/>
    <x v="24"/>
    <x v="3"/>
    <s v="LUN VIE"/>
    <m/>
    <s v="itzel.flores@grupomaia.com"/>
    <s v="MARIANA RODRÍGUEZ GUTIERREZ"/>
    <n v="43952"/>
    <n v="8400"/>
    <s v="AUDIT ADMN"/>
    <m/>
    <s v="NO"/>
    <n v="16"/>
    <n v="0.5"/>
    <n v="8"/>
    <n v="30"/>
    <n v="1.1041095890410959"/>
    <n v="380.91780821917808"/>
    <n v="38.333333333333336"/>
    <n v="35837"/>
    <s v="PROVILEON SAN BERNABÉ"/>
    <s v="APODC"/>
    <n v="8521454210"/>
    <s v="ITZELFLORES69@HOTMAIL.COM"/>
    <s v="CASDO"/>
    <s v="TITUL"/>
    <s v="A"/>
    <d v="2022-02-11T00:00:00"/>
    <m/>
    <s v="UANL"/>
    <s v="ADMINISTRACIÓN        "/>
    <s v=""/>
    <n v="31"/>
    <n v="24"/>
    <n v="0"/>
    <n v="1"/>
    <m/>
    <m/>
    <m/>
    <m/>
    <m/>
    <m/>
    <m/>
    <n v="155"/>
  </r>
  <r>
    <n v="283"/>
    <s v="Carolina Perez Villarreal"/>
    <n v="7445"/>
    <n v="248.16666666666666"/>
    <n v="3722.5"/>
    <x v="149"/>
    <n v="8"/>
    <x v="7"/>
    <x v="8"/>
    <x v="3"/>
    <s v="LUN VIE"/>
    <m/>
    <s v="carolina.perez@grupomaia.com"/>
    <s v="MARCO AURELIO URBINO"/>
    <m/>
    <m/>
    <m/>
    <m/>
    <s v="SÍ"/>
    <n v="16"/>
    <n v="0.5"/>
    <n v="8"/>
    <n v="30"/>
    <n v="1.1041095890410959"/>
    <n v="274.00319634703197"/>
    <n v="27.574074074074073"/>
    <n v="31021"/>
    <s v="CONDOCASA MITRAS"/>
    <s v="STACT"/>
    <n v="8701444726"/>
    <s v="CAROLINA66@HOTMAIL.COM"/>
    <s v="SOLTE"/>
    <s v="CURSA"/>
    <s v="A"/>
    <d v="2022-12-05T00:00:00"/>
    <n v="7"/>
    <s v="UANL"/>
    <s v="ADMINISTRACIÓN        "/>
    <s v=""/>
    <n v="40"/>
    <n v="37"/>
    <n v="0"/>
    <n v="1"/>
    <m/>
    <m/>
    <m/>
    <m/>
    <m/>
    <m/>
    <m/>
    <n v="298"/>
  </r>
  <r>
    <n v="284"/>
    <s v="Nora Livia Gomez Figueroa"/>
    <n v="7445"/>
    <n v="248.16666666666666"/>
    <n v="3722.5"/>
    <x v="150"/>
    <n v="8"/>
    <x v="9"/>
    <x v="31"/>
    <x v="3"/>
    <s v="LUN VIE"/>
    <m/>
    <s v="nora.gomez@grupomaia.com"/>
    <s v="IDALIA GARCÍA ESCRIVÁ"/>
    <n v="43405"/>
    <n v="5422.4000000000005"/>
    <s v="AUDIT ADMN"/>
    <m/>
    <s v="NO"/>
    <n v="16"/>
    <n v="0.5"/>
    <n v="8"/>
    <n v="30"/>
    <n v="1.1041095890410959"/>
    <n v="274.00319634703197"/>
    <n v="27.574074074074073"/>
    <n v="27445"/>
    <s v="PRIVADAS DE LA SILLA"/>
    <s v="STACT"/>
    <n v="3354987443"/>
    <s v="NORA1973@HOTMAIL.COM"/>
    <s v="SOLTE"/>
    <s v="MAEST"/>
    <s v="A"/>
    <d v="2022-02-20T00:00:00"/>
    <m/>
    <s v="UANL"/>
    <s v="EDUCACIÓN        "/>
    <s v="FINANZAS"/>
    <n v="76"/>
    <n v="47"/>
    <n v="3"/>
    <n v="1"/>
    <m/>
    <m/>
    <m/>
    <m/>
    <m/>
    <m/>
    <m/>
    <n v="760"/>
  </r>
  <r>
    <n v="285"/>
    <s v="José Ines Giron Suastegui"/>
    <n v="9450"/>
    <n v="315"/>
    <n v="4725"/>
    <x v="151"/>
    <n v="8"/>
    <x v="1"/>
    <x v="32"/>
    <x v="3"/>
    <s v="LUN VIE"/>
    <m/>
    <s v="jose.giron@grupomaia.com"/>
    <s v="DENEB SANTIAGO ALTAIR VEGA"/>
    <n v="43842"/>
    <n v="7360"/>
    <s v="SOLUCIONES"/>
    <m/>
    <s v="NO"/>
    <n v="16"/>
    <n v="0.5"/>
    <n v="8"/>
    <n v="30"/>
    <n v="1.1041095890410959"/>
    <n v="347.79452054794518"/>
    <n v="35"/>
    <n v="30771"/>
    <s v="SANTGA CECILIA"/>
    <s v="SANTG"/>
    <n v="6514869772"/>
    <s v="JOSE1971@HOTMAIL.COM"/>
    <s v="SOLTE"/>
    <s v="CURSA"/>
    <s v="A"/>
    <d v="2022-03-30T00:00:00"/>
    <n v="9"/>
    <s v="UANL"/>
    <s v="TECNOLOGÍA DE SOFTWARE      "/>
    <s v=""/>
    <n v="87"/>
    <n v="38"/>
    <n v="0"/>
    <n v="1"/>
    <m/>
    <m/>
    <m/>
    <m/>
    <m/>
    <m/>
    <m/>
    <n v="544"/>
  </r>
  <r>
    <n v="286"/>
    <s v="Joel Alejandro Flores Santiago"/>
    <n v="7445"/>
    <n v="248.16666666666666"/>
    <n v="3722.5"/>
    <x v="152"/>
    <n v="8"/>
    <x v="8"/>
    <x v="25"/>
    <x v="3"/>
    <s v="LUN VIE"/>
    <m/>
    <s v="joel.flores@grupomaia.com"/>
    <s v="EMMA DARIELA GARCÍA LORCA"/>
    <m/>
    <m/>
    <m/>
    <m/>
    <s v="NO"/>
    <n v="16"/>
    <n v="0.5"/>
    <n v="8"/>
    <n v="30"/>
    <n v="1.1041095890410959"/>
    <n v="274.00319634703197"/>
    <n v="27.574074074074073"/>
    <n v="30483"/>
    <s v="CIUDAD SATÉLITE"/>
    <s v="SANTG"/>
    <n v="8690078562"/>
    <s v="JOEL66@HOTMAIL.COM"/>
    <s v="CASDO"/>
    <s v="CURSA"/>
    <s v="A"/>
    <d v="2022-06-16T00:00:00"/>
    <n v="6"/>
    <s v="UANL"/>
    <s v="ADMINISTRACIÓN        "/>
    <s v=""/>
    <n v="32"/>
    <n v="39"/>
    <n v="1"/>
    <n v="1"/>
    <m/>
    <m/>
    <m/>
    <m/>
    <m/>
    <m/>
    <m/>
    <n v="754"/>
  </r>
  <r>
    <n v="289"/>
    <s v="Yessica Macías Ramírez"/>
    <n v="9541"/>
    <n v="318.03333333333336"/>
    <n v="4770.5"/>
    <x v="153"/>
    <n v="8"/>
    <x v="3"/>
    <x v="21"/>
    <x v="3"/>
    <s v="LUN VIE"/>
    <m/>
    <s v="yessica.macías@grupomaia.com"/>
    <s v="DIEGO HERRERA GIRÓN"/>
    <n v="43903"/>
    <n v="7840"/>
    <s v="NÓMINAS"/>
    <m/>
    <s v="SÍ"/>
    <n v="16"/>
    <n v="0.5"/>
    <n v="8"/>
    <n v="30"/>
    <n v="1.1041095890410959"/>
    <n v="351.14365296803658"/>
    <n v="35.337037037037042"/>
    <n v="32460"/>
    <s v="MADERO NORTE"/>
    <s v="SNPED"/>
    <n v="8516588568"/>
    <s v="YESSICA88@HOTMAIL.COM"/>
    <s v="SOLTE"/>
    <s v="CURSA"/>
    <s v="A"/>
    <d v="2022-11-13T00:00:00"/>
    <n v="8"/>
    <s v="UANL"/>
    <s v="INGENIERO MECÁNICO ADMINISTRADOR      "/>
    <s v=""/>
    <n v="83"/>
    <n v="33"/>
    <n v="0"/>
    <n v="1"/>
    <m/>
    <m/>
    <m/>
    <m/>
    <m/>
    <m/>
    <m/>
    <n v="237"/>
  </r>
  <r>
    <n v="290"/>
    <s v="Kevin Daniel Martinez Gomez"/>
    <n v="7445"/>
    <n v="248.16666666666666"/>
    <n v="3722.5"/>
    <x v="154"/>
    <n v="8"/>
    <x v="7"/>
    <x v="8"/>
    <x v="3"/>
    <s v="LUN VIE"/>
    <m/>
    <s v="kevin.martinez@grupomaia.com"/>
    <s v="MARCO AURELIO URBINO"/>
    <m/>
    <m/>
    <m/>
    <m/>
    <s v="SÍ"/>
    <n v="16"/>
    <n v="0.5"/>
    <n v="8"/>
    <n v="30"/>
    <n v="1.1041095890410959"/>
    <n v="274.00319634703197"/>
    <n v="27.574074074074073"/>
    <n v="30653"/>
    <s v="COLINA DE SAN BERNABÉ (F-25)"/>
    <s v="MONTY"/>
    <n v="8517441035"/>
    <s v="KEVIN66@HOTMAIL.COM"/>
    <s v="DIVOR"/>
    <s v="CURSA"/>
    <s v="A"/>
    <d v="2022-12-03T00:00:00"/>
    <n v="10"/>
    <s v="UNAM"/>
    <s v="MULTIMEDIA Y ANIMACIÓN DIGITAL          "/>
    <s v=""/>
    <n v="42"/>
    <n v="38"/>
    <n v="2"/>
    <n v="1"/>
    <m/>
    <m/>
    <m/>
    <m/>
    <m/>
    <m/>
    <m/>
    <n v="471"/>
  </r>
  <r>
    <n v="291"/>
    <s v="Fátima Jaqueline Morin García"/>
    <n v="9450"/>
    <n v="315"/>
    <n v="4725"/>
    <x v="155"/>
    <n v="7"/>
    <x v="7"/>
    <x v="18"/>
    <x v="3"/>
    <s v="LUN VIE"/>
    <m/>
    <s v="fatima.reyna@grupomaia.com"/>
    <s v="MARCO AURELIO URBINO"/>
    <n v="43722"/>
    <n v="6580"/>
    <s v="CONTROL"/>
    <m/>
    <s v="SÍ"/>
    <n v="16"/>
    <n v="0.5"/>
    <n v="8"/>
    <n v="30"/>
    <n v="1.1041095890410959"/>
    <n v="347.79452054794518"/>
    <n v="35"/>
    <n v="35859"/>
    <s v="RINCÓN DEL PASEO SEGUNDO SECTOR"/>
    <s v="MONTY"/>
    <n v="8217284180"/>
    <s v="FÁTIMA1987@HOTMAIL.COM"/>
    <s v="SOLTE"/>
    <s v="CURSA"/>
    <s v="A"/>
    <d v="2022-03-05T00:00:00"/>
    <n v="6"/>
    <s v="UN"/>
    <s v="CIENCIAS DE LA COMUNICACIÓN CON ACENTUACIÓN EN INFORMACIÓN "/>
    <s v=""/>
    <n v="70"/>
    <n v="24"/>
    <n v="2"/>
    <n v="1"/>
    <m/>
    <m/>
    <m/>
    <m/>
    <m/>
    <m/>
    <m/>
    <n v="975"/>
  </r>
  <r>
    <n v="292"/>
    <s v="Samanta Villarreal Núñez"/>
    <n v="9541"/>
    <n v="318.03333333333336"/>
    <n v="4770.5"/>
    <x v="156"/>
    <n v="7"/>
    <x v="7"/>
    <x v="18"/>
    <x v="3"/>
    <s v="LUN VIE"/>
    <m/>
    <s v="samanta.villarreal@grupomaia.com"/>
    <s v="MARCO AURELIO URBINO"/>
    <n v="42872"/>
    <n v="5740"/>
    <s v="INST CAMPO"/>
    <m/>
    <s v="SÍ"/>
    <n v="16"/>
    <n v="0.5"/>
    <n v="8"/>
    <n v="30"/>
    <n v="1.1041095890410959"/>
    <n v="351.14365296803658"/>
    <n v="35.337037037037042"/>
    <n v="33428"/>
    <s v="LAS FLORES"/>
    <s v="STACT"/>
    <n v="8428869654"/>
    <s v="SAMANTA1414@HOTMAIL.COM"/>
    <s v="SOLTE"/>
    <s v="CURSA"/>
    <s v="A"/>
    <d v="2022-07-09T00:00:00"/>
    <n v="10"/>
    <s v="UANL"/>
    <s v="CIENCIAS DE LA COMUNICACIÓN CON ACENTUACIÓN EN INFORMACIÓN "/>
    <s v=""/>
    <n v="53"/>
    <n v="30"/>
    <n v="1"/>
    <n v="1"/>
    <m/>
    <m/>
    <m/>
    <m/>
    <m/>
    <m/>
    <m/>
    <n v="890"/>
  </r>
  <r>
    <n v="293"/>
    <s v="Virgilio Amaro Vega"/>
    <n v="9541"/>
    <n v="318.03333333333336"/>
    <n v="4770.5"/>
    <x v="157"/>
    <n v="7"/>
    <x v="9"/>
    <x v="23"/>
    <x v="3"/>
    <s v="LUN VIE"/>
    <m/>
    <s v="virgilio.amaro@grupomaia.com"/>
    <s v="IDALIA GARCÍA ESCRIVÁ"/>
    <n v="42685"/>
    <n v="6158.4000000000005"/>
    <s v="INST CAMPO"/>
    <s v="ESTRUCTURA"/>
    <s v="NO"/>
    <n v="16"/>
    <n v="0.5"/>
    <n v="8"/>
    <n v="30"/>
    <n v="1.1041095890410959"/>
    <n v="351.14365296803658"/>
    <n v="35.337037037037042"/>
    <n v="26433"/>
    <s v="SAN BERNABÉ VIII (F-125)"/>
    <s v="MONTY"/>
    <n v="8181569600"/>
    <s v="VIRGILIO1983@HOTMAIL.COM"/>
    <s v="CASDO"/>
    <s v="MAEST"/>
    <s v="A"/>
    <d v="2022-05-14T00:00:00"/>
    <m/>
    <s v="UDLAP"/>
    <s v="ECONOMÍA        "/>
    <s v="ECONOMÍA        "/>
    <n v="54"/>
    <n v="50"/>
    <n v="2"/>
    <n v="1"/>
    <m/>
    <m/>
    <m/>
    <m/>
    <m/>
    <m/>
    <m/>
    <n v="412"/>
  </r>
  <r>
    <n v="295"/>
    <s v="Rogelio González Valadez"/>
    <n v="7950"/>
    <n v="265"/>
    <n v="3975"/>
    <x v="158"/>
    <n v="7"/>
    <x v="8"/>
    <x v="25"/>
    <x v="3"/>
    <s v="LUN VIE"/>
    <m/>
    <s v="rogelio.gonzález@grupomaia.com"/>
    <s v="EMMA DARIELA GARCÍA LORCA"/>
    <m/>
    <m/>
    <m/>
    <m/>
    <s v="SÍ"/>
    <n v="16"/>
    <n v="0.5"/>
    <n v="8"/>
    <n v="30"/>
    <n v="1.1041095890410959"/>
    <n v="292.58904109589042"/>
    <n v="29.444444444444443"/>
    <n v="31909"/>
    <s v="CROC"/>
    <s v="SANTG"/>
    <n v="8954895994"/>
    <s v="ROGELIO66@HOTMAIL.COM"/>
    <s v="SOLTE"/>
    <s v="PSNTE"/>
    <s v="B"/>
    <d v="2022-05-12T00:00:00"/>
    <m/>
    <s v="UVM"/>
    <s v="BIBLIOTECOLOGÍA Y CIENCIA DE LA INFORMACIÓN   "/>
    <s v=""/>
    <n v="77"/>
    <n v="35"/>
    <n v="0"/>
    <n v="1"/>
    <m/>
    <m/>
    <m/>
    <m/>
    <m/>
    <m/>
    <m/>
    <n v="342"/>
  </r>
  <r>
    <n v="296"/>
    <s v="Julio Alberto Pastenes Ramirez"/>
    <n v="9541"/>
    <n v="318.03333333333336"/>
    <n v="4770.5"/>
    <x v="159"/>
    <n v="7"/>
    <x v="5"/>
    <x v="14"/>
    <x v="3"/>
    <s v="LUN VIE"/>
    <m/>
    <s v="julio.pastenes@grupomaia.com"/>
    <s v="MÉRIDA ISELA MEDINA SALINAS"/>
    <n v="43212"/>
    <n v="7600"/>
    <s v="INST CAMPO"/>
    <m/>
    <s v="SÍ"/>
    <n v="16"/>
    <n v="0.5"/>
    <n v="8"/>
    <n v="30"/>
    <n v="1.1041095890410959"/>
    <n v="351.14365296803658"/>
    <n v="35.337037037037042"/>
    <n v="32328"/>
    <s v="LOMA LINDA"/>
    <s v="GRCIA"/>
    <n v="6044186404"/>
    <s v="JULIO1998@HOTMAIL.COM"/>
    <s v="CASDO"/>
    <s v="CURSA"/>
    <s v="A"/>
    <d v="2022-07-04T00:00:00"/>
    <n v="6"/>
    <s v="UANL"/>
    <s v="ARQUITECTURA        "/>
    <s v=""/>
    <n v="81"/>
    <n v="34"/>
    <n v="2"/>
    <n v="1"/>
    <m/>
    <m/>
    <m/>
    <m/>
    <m/>
    <m/>
    <m/>
    <n v="883"/>
  </r>
  <r>
    <n v="297"/>
    <s v="Thanya Lizbeth Ceballos Herrera"/>
    <n v="10350"/>
    <n v="345"/>
    <n v="5175"/>
    <x v="160"/>
    <n v="7"/>
    <x v="3"/>
    <x v="20"/>
    <x v="3"/>
    <s v="LUN VIE"/>
    <m/>
    <s v="thanya.ceballos@grupomaia.com"/>
    <s v="DIEGO HERRERA GIRÓN"/>
    <n v="41337"/>
    <n v="5422.4000000000005"/>
    <s v="ARQUITECT"/>
    <s v="SOLUCIONES"/>
    <s v="SÍ"/>
    <n v="16"/>
    <n v="0.5"/>
    <n v="8"/>
    <n v="30"/>
    <n v="1.1041095890410959"/>
    <n v="380.91780821917808"/>
    <n v="38.333333333333336"/>
    <n v="26259"/>
    <s v="UNIÓN DE FIERREROS"/>
    <s v="APODC"/>
    <n v="8156459784"/>
    <s v="THANYA1972@HOTMAIL.COM"/>
    <s v="DIVOR"/>
    <s v="CURSA"/>
    <s v="A"/>
    <d v="2022-11-22T00:00:00"/>
    <n v="10"/>
    <s v="UANL"/>
    <s v="INGENIERÍA CIVIL       "/>
    <s v=""/>
    <n v="37"/>
    <n v="50"/>
    <n v="3"/>
    <n v="1"/>
    <m/>
    <m/>
    <m/>
    <m/>
    <m/>
    <m/>
    <m/>
    <n v="804"/>
  </r>
  <r>
    <n v="299"/>
    <s v="Yuliana Carrillo Rodriguez"/>
    <n v="6778"/>
    <n v="225.93333333333334"/>
    <n v="3389"/>
    <x v="160"/>
    <n v="7"/>
    <x v="1"/>
    <x v="30"/>
    <x v="3"/>
    <s v="LUN VIE"/>
    <m/>
    <s v="yuliana.carrillo@grupomaia.com"/>
    <s v="DENEB SANTIAGO ALTAIR VEGA"/>
    <m/>
    <m/>
    <m/>
    <m/>
    <s v="NO"/>
    <n v="16"/>
    <n v="0.25"/>
    <n v="4"/>
    <n v="15"/>
    <n v="1.0520547945205478"/>
    <n v="237.69424657534245"/>
    <n v="25.103703703703705"/>
    <n v="31182"/>
    <s v="RENÉ ÁLVAREZ"/>
    <s v="STACT"/>
    <n v="3384785210"/>
    <s v="YULIANA1984@HOTMAIL.COM"/>
    <s v="DIVOR"/>
    <s v="CURSA"/>
    <s v="A"/>
    <d v="2022-05-15T00:00:00"/>
    <n v="10"/>
    <s v="UANL"/>
    <s v="ADMINISTRACIÓN        "/>
    <s v=""/>
    <n v="54"/>
    <n v="37"/>
    <n v="2"/>
    <n v="1"/>
    <m/>
    <m/>
    <m/>
    <m/>
    <m/>
    <m/>
    <m/>
    <n v="154"/>
  </r>
  <r>
    <n v="300"/>
    <s v="Jaime Alejandro Colunga Medina"/>
    <n v="7445"/>
    <n v="248.16666666666666"/>
    <n v="3722.5"/>
    <x v="161"/>
    <n v="7"/>
    <x v="0"/>
    <x v="17"/>
    <x v="3"/>
    <s v="LUN VIE"/>
    <m/>
    <s v="jaime.sanchez@grupomaia.com"/>
    <s v="MARIANA RODRÍGUEZ GUTIERREZ"/>
    <m/>
    <m/>
    <m/>
    <m/>
    <s v="NO"/>
    <n v="16"/>
    <n v="0.5"/>
    <n v="8"/>
    <n v="30"/>
    <n v="1.1041095890410959"/>
    <n v="274.00319634703197"/>
    <n v="27.574074074074073"/>
    <n v="34984"/>
    <s v="SAN BERNABÉ (F-51)"/>
    <s v="STACT"/>
    <n v="8282574943"/>
    <s v="JAIME66@HOTMAIL.COM"/>
    <s v="SOLTE"/>
    <s v="CURSA"/>
    <s v="A"/>
    <d v="2022-10-12T00:00:00"/>
    <n v="9"/>
    <s v="UANL"/>
    <s v="CONTADOR PÚBLICO       "/>
    <s v=""/>
    <n v="97"/>
    <n v="26"/>
    <n v="0"/>
    <n v="1"/>
    <m/>
    <m/>
    <m/>
    <m/>
    <m/>
    <m/>
    <m/>
    <n v="119"/>
  </r>
  <r>
    <n v="302"/>
    <s v="Cynthia Lizzeth Zul Hernandez"/>
    <n v="9450"/>
    <n v="315"/>
    <n v="4725"/>
    <x v="162"/>
    <n v="7"/>
    <x v="5"/>
    <x v="14"/>
    <x v="3"/>
    <s v="LUN VIE"/>
    <m/>
    <s v="cynthia.zul@grupomaia.com"/>
    <s v="MÉRIDA ISELA MEDINA SALINAS"/>
    <n v="43205"/>
    <n v="5422.4000000000005"/>
    <s v="ARQUITECT"/>
    <m/>
    <s v="SÍ"/>
    <n v="16"/>
    <n v="0.5"/>
    <n v="8"/>
    <n v="30"/>
    <n v="1.1041095890410959"/>
    <n v="347.79452054794518"/>
    <n v="35"/>
    <n v="29237"/>
    <s v="HERIBERTO JARA"/>
    <s v="ESCOB"/>
    <n v="8620948996"/>
    <s v="CYNTHIA1212@HOTMAIL.COM"/>
    <s v="SOLTE"/>
    <s v="CURSA"/>
    <s v="A"/>
    <d v="2022-01-17T00:00:00"/>
    <n v="7"/>
    <s v="UANL"/>
    <s v="ARQUITECTURA        "/>
    <s v=""/>
    <n v="78"/>
    <n v="42"/>
    <n v="2"/>
    <n v="1"/>
    <m/>
    <m/>
    <m/>
    <m/>
    <m/>
    <m/>
    <m/>
    <n v="514"/>
  </r>
  <r>
    <n v="304"/>
    <s v="Alma Delia Hernandez Bibiano"/>
    <n v="9450"/>
    <n v="315"/>
    <n v="4725"/>
    <x v="163"/>
    <n v="7"/>
    <x v="3"/>
    <x v="19"/>
    <x v="3"/>
    <s v="LUN VIE"/>
    <m/>
    <s v="alma.hernandez@grupomaia.com"/>
    <s v="DIEGO HERRERA GIRÓN"/>
    <n v="42644"/>
    <n v="5422.4000000000005"/>
    <s v="INST CAMPO"/>
    <m/>
    <s v="SÍ"/>
    <n v="16"/>
    <n v="0.5"/>
    <n v="8"/>
    <n v="30"/>
    <n v="1.1041095890410959"/>
    <n v="347.79452054794518"/>
    <n v="35"/>
    <n v="33728"/>
    <s v="RESIDENCIAL RAÚL RANGEL FRÍAS"/>
    <s v="JUARZ"/>
    <n v="8108529531"/>
    <s v="ALMA1981@HOTMAIL.COM"/>
    <s v="SOLTE"/>
    <s v="TITUL"/>
    <s v="A"/>
    <d v="2022-05-04T00:00:00"/>
    <m/>
    <s v="UANL"/>
    <s v="INGENIERÍA CIVIL       "/>
    <s v=""/>
    <n v="33"/>
    <n v="30"/>
    <n v="0"/>
    <n v="1"/>
    <m/>
    <m/>
    <m/>
    <m/>
    <m/>
    <m/>
    <m/>
    <n v="396"/>
  </r>
  <r>
    <n v="306"/>
    <s v="Claudia Mariel Valenzuela Jimenez"/>
    <n v="7445"/>
    <n v="248.16666666666666"/>
    <n v="3722.5"/>
    <x v="164"/>
    <n v="7"/>
    <x v="2"/>
    <x v="29"/>
    <x v="3"/>
    <s v="LUN VIE"/>
    <m/>
    <s v="claudia.valenzuela@grupomaia.com"/>
    <s v="IRIE DALÍ ANTARES CORTÉS"/>
    <m/>
    <m/>
    <m/>
    <m/>
    <s v="SÍ"/>
    <n v="16"/>
    <n v="0.5"/>
    <n v="8"/>
    <n v="30"/>
    <n v="1.1041095890410959"/>
    <n v="274.00319634703197"/>
    <n v="27.574074074074073"/>
    <n v="29683"/>
    <s v="PASEO DE LAS MITRAS"/>
    <s v="ESCOB"/>
    <n v="8108727729"/>
    <s v="CLAUDIA1989@HOTMAIL.COM"/>
    <s v="SOLTE"/>
    <s v="CURSA"/>
    <s v="A"/>
    <d v="2022-04-07T00:00:00"/>
    <n v="4"/>
    <s v="UANL"/>
    <s v="PUBLICIDAD   CIENCIAS DE LA COMUNICACIÓN ACENTUACIÓN EN PUBLICIDAD       "/>
    <s v=""/>
    <n v="75"/>
    <n v="41"/>
    <n v="3"/>
    <n v="1"/>
    <m/>
    <m/>
    <m/>
    <m/>
    <m/>
    <m/>
    <m/>
    <n v="151"/>
  </r>
  <r>
    <n v="307"/>
    <s v="Adamari Rodríguez García"/>
    <n v="7445"/>
    <n v="248.16666666666666"/>
    <n v="3722.5"/>
    <x v="165"/>
    <n v="7"/>
    <x v="4"/>
    <x v="7"/>
    <x v="3"/>
    <s v="LUN VIE"/>
    <m/>
    <s v="adamari.rodríguez@grupomaia.com"/>
    <s v="MARIANO ALDEBARÁN"/>
    <m/>
    <m/>
    <m/>
    <m/>
    <s v="NO"/>
    <n v="16"/>
    <n v="0.5"/>
    <n v="8"/>
    <n v="30"/>
    <n v="1.1041095890410959"/>
    <n v="274.00319634703197"/>
    <n v="27.574074074074073"/>
    <n v="35665"/>
    <s v="NUEVA MORELOS"/>
    <s v="SANTG"/>
    <n v="8491086086"/>
    <s v="ADAMARI@HOTMAIL.COM"/>
    <s v="SOLTE"/>
    <s v="MAEST"/>
    <s v="A"/>
    <d v="2022-08-23T00:00:00"/>
    <m/>
    <s v="UVM"/>
    <s v="ADMINISTRACIÓN        "/>
    <s v="ARQUITECTURA        "/>
    <n v="96"/>
    <n v="24"/>
    <n v="1"/>
    <n v="1"/>
    <m/>
    <m/>
    <m/>
    <m/>
    <m/>
    <m/>
    <m/>
    <n v="525"/>
  </r>
  <r>
    <n v="310"/>
    <s v="Iliana Abigail Ortega Silva"/>
    <n v="7950"/>
    <n v="265"/>
    <n v="3975"/>
    <x v="166"/>
    <n v="7"/>
    <x v="7"/>
    <x v="18"/>
    <x v="3"/>
    <s v="LUN VIE"/>
    <m/>
    <s v="iliana.ortega@grupomaia.com"/>
    <s v="MARCO AURELIO URBINO"/>
    <n v="43460"/>
    <n v="5956"/>
    <s v="CONTROL"/>
    <m/>
    <s v="SÍ"/>
    <n v="16"/>
    <n v="0.5"/>
    <n v="8"/>
    <n v="30"/>
    <n v="1.1041095890410959"/>
    <n v="292.58904109589042"/>
    <n v="29.444444444444443"/>
    <n v="33641"/>
    <s v="LOMAS DE LA UNIDAD MODELO"/>
    <s v="APODC"/>
    <n v="8390062615"/>
    <s v="ILIANA1994@HOTMAIL.COM"/>
    <s v="SOLTE"/>
    <s v="TITUL"/>
    <s v="C"/>
    <d v="2022-02-07T00:00:00"/>
    <m/>
    <s v="UANL"/>
    <s v="NEGOCIOS INTERNACIONALES       "/>
    <s v=""/>
    <n v="95"/>
    <n v="30"/>
    <n v="0"/>
    <n v="1"/>
    <m/>
    <m/>
    <m/>
    <m/>
    <m/>
    <m/>
    <m/>
    <n v="458"/>
  </r>
  <r>
    <n v="311"/>
    <s v="Liliana Peña Popoca"/>
    <n v="7445"/>
    <n v="248.16666666666666"/>
    <n v="3722.5"/>
    <x v="167"/>
    <n v="7"/>
    <x v="9"/>
    <x v="23"/>
    <x v="3"/>
    <s v="LUN VIE"/>
    <m/>
    <s v="liliana.peña@grupomaia.com"/>
    <s v="IDALIA GARCÍA ESCRIVÁ"/>
    <m/>
    <m/>
    <m/>
    <m/>
    <s v="NO"/>
    <n v="16"/>
    <n v="0.5"/>
    <n v="8"/>
    <n v="30"/>
    <n v="1.1041095890410959"/>
    <n v="274.00319634703197"/>
    <n v="27.574074074074073"/>
    <n v="28615"/>
    <s v="UNIÓN DE FIERREROS"/>
    <s v="MONTY"/>
    <n v="8108406075"/>
    <s v="LILIANA1992@HOTMAIL.COM"/>
    <s v="SOLTE"/>
    <s v="CURSA"/>
    <s v="A"/>
    <d v="2022-05-05T00:00:00"/>
    <n v="6"/>
    <s v="UVM"/>
    <s v="CIENCIAS DE LA COMUNICACIÓN CON ACENTUACIÓN EN INFORMACIÓN "/>
    <s v=""/>
    <n v="71"/>
    <n v="44"/>
    <n v="2"/>
    <n v="1"/>
    <m/>
    <m/>
    <m/>
    <m/>
    <m/>
    <m/>
    <m/>
    <n v="960"/>
  </r>
  <r>
    <n v="312"/>
    <s v="Sadrac Said Dávila Cataño"/>
    <n v="9541"/>
    <n v="318.03333333333336"/>
    <n v="4770.5"/>
    <x v="168"/>
    <n v="7"/>
    <x v="7"/>
    <x v="18"/>
    <x v="3"/>
    <s v="LUN VIE"/>
    <m/>
    <s v="sadrac.dávila@grupomaia.com"/>
    <s v="MARCO AURELIO URBINO"/>
    <n v="42558"/>
    <n v="6158.4000000000005"/>
    <s v="CONTA"/>
    <s v="INST CAMPO"/>
    <s v="SÍ"/>
    <n v="16"/>
    <n v="0.5"/>
    <n v="8"/>
    <n v="30"/>
    <n v="1.1041095890410959"/>
    <n v="351.14365296803658"/>
    <n v="35.337037037037042"/>
    <n v="34594"/>
    <s v="PRIVADA RESIDENCIAL VILLAS DEL URO"/>
    <s v="GRCIA"/>
    <n v="8477447997"/>
    <s v="SADRAC1983@HOTMAIL.COM"/>
    <s v="SOLTE"/>
    <s v="TITUL"/>
    <s v="A"/>
    <d v="2022-09-17T00:00:00"/>
    <m/>
    <s v="UANL"/>
    <s v="NEGOCIOS INTERNACIONALES       "/>
    <s v=""/>
    <n v="87"/>
    <n v="27"/>
    <n v="0"/>
    <n v="1"/>
    <m/>
    <m/>
    <m/>
    <m/>
    <m/>
    <m/>
    <m/>
    <n v="973"/>
  </r>
  <r>
    <n v="313"/>
    <s v="Lenda Milena Bazaldua Parra"/>
    <n v="9450"/>
    <n v="315"/>
    <n v="4725"/>
    <x v="169"/>
    <n v="7"/>
    <x v="1"/>
    <x v="30"/>
    <x v="3"/>
    <s v="LUN VIE"/>
    <m/>
    <s v="lenda.bazaldua@grupomaia.com"/>
    <s v="DENEB SANTIAGO ALTAIR VEGA"/>
    <m/>
    <m/>
    <m/>
    <m/>
    <s v="SÍ"/>
    <n v="16"/>
    <n v="0.5"/>
    <n v="8"/>
    <n v="30"/>
    <n v="1.1041095890410959"/>
    <n v="347.79452054794518"/>
    <n v="35"/>
    <n v="32172"/>
    <s v="RENACIMIENTO"/>
    <s v="GRCIA"/>
    <n v="8864367266"/>
    <s v="LENDA66@HOTMAIL.COM"/>
    <s v="SOLTE"/>
    <s v="CURSA"/>
    <s v="B"/>
    <d v="2022-01-30T00:00:00"/>
    <n v="7"/>
    <s v="UMM"/>
    <s v="TECNOLOGÍA DE SOFTWARE      "/>
    <s v=""/>
    <n v="84"/>
    <n v="34"/>
    <n v="2"/>
    <n v="1"/>
    <m/>
    <m/>
    <m/>
    <m/>
    <m/>
    <m/>
    <m/>
    <n v="597"/>
  </r>
  <r>
    <n v="314"/>
    <s v="María Guadalupe Adame Hernandez"/>
    <n v="7445"/>
    <n v="248.16666666666666"/>
    <n v="3722.5"/>
    <x v="170"/>
    <n v="7"/>
    <x v="9"/>
    <x v="23"/>
    <x v="3"/>
    <s v="LUN VIE"/>
    <m/>
    <s v="maria.adame@grupomaia.com"/>
    <s v="IDALIA GARCÍA ESCRIVÁ"/>
    <n v="43721"/>
    <n v="5088"/>
    <s v="EQUIPOS"/>
    <m/>
    <s v="SÍ"/>
    <n v="16"/>
    <n v="0.5"/>
    <n v="8"/>
    <n v="30"/>
    <n v="1.1041095890410959"/>
    <n v="274.00319634703197"/>
    <n v="27.574074074074073"/>
    <n v="34153"/>
    <s v="MODERNA"/>
    <s v="APODC"/>
    <n v="6054062947"/>
    <s v="MARIA1975@HOTMAIL.COM"/>
    <s v="SOLTE"/>
    <s v="TITUL"/>
    <s v="A"/>
    <d v="2022-07-03T00:00:00"/>
    <m/>
    <s v="UANL"/>
    <s v="PUBLICIDAD   CIENCIAS DE LA COMUNICACIÓN ACENTUACIÓN EN PUBLICIDAD       "/>
    <s v=""/>
    <n v="56"/>
    <n v="29"/>
    <n v="0"/>
    <n v="1"/>
    <m/>
    <m/>
    <m/>
    <m/>
    <m/>
    <m/>
    <m/>
    <n v="534"/>
  </r>
  <r>
    <n v="315"/>
    <s v="Uziel Castro García"/>
    <n v="10860"/>
    <n v="362"/>
    <n v="5430"/>
    <x v="170"/>
    <n v="7"/>
    <x v="0"/>
    <x v="24"/>
    <x v="3"/>
    <s v="LUN VIE"/>
    <m/>
    <s v="uziel.castro@grupomaia.com"/>
    <s v="MARIANA RODRÍGUEZ GUTIERREZ"/>
    <n v="41338"/>
    <n v="30000"/>
    <s v="COMPRAS"/>
    <s v="RENDER"/>
    <s v="SÍ"/>
    <n v="16"/>
    <n v="0.5"/>
    <n v="8"/>
    <n v="30"/>
    <n v="1.1041095890410959"/>
    <n v="399.68767123287671"/>
    <n v="40.222222222222221"/>
    <n v="33500"/>
    <s v="VALLE MORELOS"/>
    <s v="STACT"/>
    <n v="8123454766"/>
    <s v="UZIEL1971@HOTMAIL.COM"/>
    <s v="CASDO"/>
    <s v="CURSA"/>
    <s v="C"/>
    <d v="2022-09-19T00:00:00"/>
    <n v="6"/>
    <s v="UANL"/>
    <s v="CIENCIAS DE LA COMUNICACIÓN CON ACENTUACIÓN EN INFORMACIÓN "/>
    <s v=""/>
    <n v="63"/>
    <n v="30"/>
    <n v="2"/>
    <n v="1"/>
    <m/>
    <m/>
    <m/>
    <m/>
    <m/>
    <m/>
    <m/>
    <n v="835"/>
  </r>
  <r>
    <n v="316"/>
    <s v="Devany Alexandra Montoya Muñiz"/>
    <n v="7445"/>
    <n v="248.16666666666666"/>
    <n v="3722.5"/>
    <x v="171"/>
    <n v="7"/>
    <x v="7"/>
    <x v="16"/>
    <x v="3"/>
    <s v="LUN VIE"/>
    <m/>
    <s v="devany.montoya@grupomaia.com"/>
    <s v="MARCO AURELIO URBINO"/>
    <m/>
    <m/>
    <m/>
    <m/>
    <s v="SÍ"/>
    <n v="16"/>
    <n v="0.5"/>
    <n v="8"/>
    <n v="30"/>
    <n v="1.1041095890410959"/>
    <n v="274.00319634703197"/>
    <n v="27.574074074074073"/>
    <n v="33532"/>
    <s v="RUBÉN JARAMILLO"/>
    <s v="ESCOB"/>
    <n v="5547899669"/>
    <s v="DEVANY66@HOTMAIL.COM"/>
    <s v="SOLTE"/>
    <s v="TITUL"/>
    <s v="A"/>
    <d v="2022-10-21T00:00:00"/>
    <m/>
    <s v="UANL"/>
    <s v="CONTADOR PÚBLICO       "/>
    <s v=""/>
    <n v="32"/>
    <n v="30"/>
    <n v="0"/>
    <n v="1"/>
    <m/>
    <m/>
    <m/>
    <m/>
    <m/>
    <m/>
    <m/>
    <n v="849"/>
  </r>
  <r>
    <n v="317"/>
    <s v="Nancy Margarita Sáenz Garza"/>
    <n v="6778"/>
    <n v="225.93333333333334"/>
    <n v="3389"/>
    <x v="172"/>
    <n v="7"/>
    <x v="5"/>
    <x v="14"/>
    <x v="3"/>
    <s v="LUN VIE"/>
    <m/>
    <s v="nancy.sáenz@grupomaia.com"/>
    <s v="MÉRIDA ISELA MEDINA SALINAS"/>
    <m/>
    <m/>
    <m/>
    <m/>
    <s v="SÍ"/>
    <n v="16"/>
    <n v="0.25"/>
    <n v="4"/>
    <n v="15"/>
    <n v="1.0520547945205478"/>
    <n v="237.69424657534245"/>
    <n v="25.103703703703705"/>
    <n v="30757"/>
    <s v="COLINAS DE SAN JERÓNIMO SECTOR PANORAMA 2 SECTOR"/>
    <s v="ESCOB"/>
    <n v="8346289188"/>
    <s v="NANCY66@HOTMAIL.COM"/>
    <s v="SOLTE"/>
    <s v="CURSA"/>
    <s v="A"/>
    <d v="2022-03-16T00:00:00"/>
    <n v="9"/>
    <s v="UDLAP"/>
    <s v="ARQUITECTURA        "/>
    <s v=""/>
    <n v="42"/>
    <n v="38"/>
    <n v="0"/>
    <n v="1"/>
    <m/>
    <m/>
    <m/>
    <m/>
    <m/>
    <m/>
    <m/>
    <n v="462"/>
  </r>
  <r>
    <n v="318"/>
    <s v="Carlos Antonio Rodriguez Campechano"/>
    <n v="10350"/>
    <n v="345"/>
    <n v="5175"/>
    <x v="173"/>
    <n v="7"/>
    <x v="4"/>
    <x v="4"/>
    <x v="3"/>
    <s v="LUN VIE"/>
    <m/>
    <s v="carlos.rodriguez@grupomaia.com"/>
    <s v="MARIANO ALDEBARÁN"/>
    <n v="41781"/>
    <n v="5422.4000000000005"/>
    <s v="SOLUCIONES"/>
    <s v="COMPRAS"/>
    <s v="NO"/>
    <n v="16"/>
    <n v="0.5"/>
    <n v="8"/>
    <n v="30"/>
    <n v="1.1041095890410959"/>
    <n v="380.91780821917808"/>
    <n v="38.333333333333336"/>
    <n v="31248"/>
    <s v="LOMAS DE CUMBRES"/>
    <s v="MONTY"/>
    <n v="3345671214"/>
    <s v="CARLOS1971@HOTMAIL.COM"/>
    <s v="SOLTE"/>
    <s v="MAEST"/>
    <s v="A"/>
    <d v="2022-07-20T00:00:00"/>
    <m/>
    <s v="UANL"/>
    <s v="ECONOMÍA        "/>
    <s v="FINANZAS"/>
    <n v="85"/>
    <n v="36"/>
    <n v="3"/>
    <n v="1"/>
    <m/>
    <m/>
    <m/>
    <m/>
    <m/>
    <m/>
    <m/>
    <n v="385"/>
  </r>
  <r>
    <n v="319"/>
    <s v="Rebeca De La Cruz Salgado"/>
    <n v="6778"/>
    <n v="225.93333333333334"/>
    <n v="3389"/>
    <x v="174"/>
    <n v="7"/>
    <x v="3"/>
    <x v="21"/>
    <x v="3"/>
    <s v="LUN VIE"/>
    <m/>
    <s v="rebeca.la@grupomaia.com"/>
    <s v="DIEGO HERRERA GIRÓN"/>
    <m/>
    <m/>
    <m/>
    <m/>
    <s v="SÍ"/>
    <n v="16"/>
    <n v="0.25"/>
    <n v="4"/>
    <n v="15"/>
    <n v="1.0520547945205478"/>
    <n v="237.69424657534245"/>
    <n v="25.103703703703705"/>
    <n v="35834"/>
    <s v="DEL MAESTRO"/>
    <s v="GRCIA"/>
    <n v="3346877774"/>
    <s v="REBECA1994@HOTMAIL.COM"/>
    <s v="SOLTE"/>
    <s v="CURSA"/>
    <s v="A"/>
    <d v="2022-02-08T00:00:00"/>
    <n v="5"/>
    <s v="UN"/>
    <s v="INGENIERO MECÁNICO ADMINISTRADOR      "/>
    <s v=""/>
    <n v="66"/>
    <n v="24"/>
    <n v="0"/>
    <n v="1"/>
    <m/>
    <m/>
    <m/>
    <m/>
    <m/>
    <m/>
    <m/>
    <n v="405"/>
  </r>
  <r>
    <n v="320"/>
    <s v="Lidia Teresa Palma Zavaleta"/>
    <n v="7950"/>
    <n v="265"/>
    <n v="3975"/>
    <x v="175"/>
    <n v="6"/>
    <x v="0"/>
    <x v="24"/>
    <x v="3"/>
    <s v="LUN VIE"/>
    <m/>
    <s v="lidia.palma@grupomaia.com"/>
    <s v="MARIANA RODRÍGUEZ GUTIERREZ"/>
    <n v="43861"/>
    <n v="6158.4000000000005"/>
    <s v="INVERS"/>
    <m/>
    <s v="SÍ"/>
    <n v="16"/>
    <n v="0.5"/>
    <n v="8"/>
    <n v="30"/>
    <n v="1.1041095890410959"/>
    <n v="292.58904109589042"/>
    <n v="29.444444444444443"/>
    <n v="35070"/>
    <s v="UNIÓN DE FIERREROS"/>
    <s v="APODC"/>
    <n v="5077520284"/>
    <s v="LIDIA1988@HOTMAIL.COM"/>
    <s v="SOLTE"/>
    <s v="CURSA"/>
    <s v="A"/>
    <d v="2022-01-06T00:00:00"/>
    <n v="7"/>
    <s v="UANL"/>
    <s v="CIENCIAS DE LA COMUNICACIÓN CON ACENTUACIÓN EN INFORMACIÓN "/>
    <s v=""/>
    <n v="41"/>
    <n v="26"/>
    <n v="3"/>
    <n v="1"/>
    <m/>
    <m/>
    <m/>
    <m/>
    <m/>
    <m/>
    <m/>
    <n v="727"/>
  </r>
  <r>
    <n v="321"/>
    <s v="Humberto García Balanzar"/>
    <n v="9541"/>
    <n v="318.03333333333336"/>
    <n v="4770.5"/>
    <x v="176"/>
    <n v="6"/>
    <x v="4"/>
    <x v="27"/>
    <x v="3"/>
    <s v="LUN VIE"/>
    <m/>
    <s v="humberto.garcia@grupomaia.com"/>
    <s v="MARIANO ALDEBARÁN"/>
    <n v="42885"/>
    <n v="5200"/>
    <s v="SOFTWARE"/>
    <m/>
    <s v="NO"/>
    <n v="16"/>
    <n v="0.5"/>
    <n v="8"/>
    <n v="30"/>
    <n v="1.1041095890410959"/>
    <n v="351.14365296803658"/>
    <n v="35.337037037037042"/>
    <n v="36464"/>
    <s v="COLONIA"/>
    <s v="MONTY"/>
    <n v="6987421311"/>
    <s v="HUMBERTO1976@HOTMAIL.COM"/>
    <s v="SOLTE"/>
    <s v="TITUL"/>
    <s v="A"/>
    <d v="2022-10-31T00:00:00"/>
    <m/>
    <s v="UANL"/>
    <s v="CIENCIAS DE LA COMUNICACIÓN CON ACENTUACIÓN EN INFORMACIÓN "/>
    <s v=""/>
    <n v="91"/>
    <n v="22"/>
    <n v="1"/>
    <n v="1"/>
    <m/>
    <m/>
    <m/>
    <m/>
    <m/>
    <m/>
    <m/>
    <n v="186"/>
  </r>
  <r>
    <n v="323"/>
    <s v="Karen Jacqueline Rodríguez Puga"/>
    <n v="7445"/>
    <n v="248.16666666666666"/>
    <n v="3722.5"/>
    <x v="1"/>
    <n v="6"/>
    <x v="0"/>
    <x v="17"/>
    <x v="3"/>
    <s v="LUN VIE"/>
    <m/>
    <s v="karen.rodríguez@grupomaia.com"/>
    <s v="MARIANA RODRÍGUEZ GUTIERREZ"/>
    <m/>
    <m/>
    <m/>
    <m/>
    <s v="NO"/>
    <n v="16"/>
    <n v="0.5"/>
    <n v="8"/>
    <n v="30"/>
    <n v="1.1041095890410959"/>
    <n v="274.00319634703197"/>
    <n v="27.574074074074073"/>
    <n v="29538"/>
    <s v="LA JOYA PRIVADA RESIDENCIAL"/>
    <s v="STACT"/>
    <n v="8937192069"/>
    <s v="KAREN1998@HOTMAIL.COM"/>
    <s v="DIVOR"/>
    <s v="MAEST"/>
    <s v="B"/>
    <d v="2022-11-13T00:00:00"/>
    <n v="6"/>
    <s v="UANL"/>
    <s v="ADMINISTRACIÓN        "/>
    <s v="ARQUITECTURA        "/>
    <n v="50"/>
    <n v="41"/>
    <n v="0"/>
    <n v="1"/>
    <m/>
    <m/>
    <m/>
    <m/>
    <m/>
    <m/>
    <m/>
    <n v="309"/>
  </r>
  <r>
    <n v="324"/>
    <s v="María De Jesus Barragan Noyola"/>
    <n v="9541"/>
    <n v="318.03333333333336"/>
    <n v="4770.5"/>
    <x v="1"/>
    <n v="6"/>
    <x v="0"/>
    <x v="17"/>
    <x v="3"/>
    <s v="LUN VIE"/>
    <m/>
    <s v="maria.barragan@grupomaia.com"/>
    <s v="MARIANA RODRÍGUEZ GUTIERREZ"/>
    <n v="42967"/>
    <n v="5956"/>
    <s v="SOLUCIONES"/>
    <s v="NÓMINAS"/>
    <s v="NO"/>
    <n v="16"/>
    <n v="0.5"/>
    <n v="8"/>
    <n v="30"/>
    <n v="1.1041095890410959"/>
    <n v="351.14365296803658"/>
    <n v="35.337037037037042"/>
    <n v="27965"/>
    <s v="JARDINES DE SAN JERÓNIMO"/>
    <s v="APODC"/>
    <n v="7214547896"/>
    <s v="MARIA1988@HOTMAIL.COM"/>
    <s v="CASDO"/>
    <s v="TITUL"/>
    <s v="B"/>
    <d v="2022-07-24T00:00:00"/>
    <m/>
    <s v="UANL"/>
    <s v="CIENCIAS DE LA COMUNICACIÓN CON ACENTUACIÓN EN INFORMACIÓN "/>
    <s v=""/>
    <n v="94"/>
    <n v="45"/>
    <n v="1"/>
    <n v="1"/>
    <m/>
    <m/>
    <m/>
    <m/>
    <m/>
    <m/>
    <m/>
    <n v="983"/>
  </r>
  <r>
    <n v="325"/>
    <s v="Delfina Gutierrez Carbajal"/>
    <n v="7950"/>
    <n v="265"/>
    <n v="3975"/>
    <x v="46"/>
    <n v="6"/>
    <x v="3"/>
    <x v="19"/>
    <x v="3"/>
    <s v="LUN VIE"/>
    <m/>
    <s v="delfina.gutierrez@grupomaia.com"/>
    <s v="DIEGO HERRERA GIRÓN"/>
    <n v="43418"/>
    <n v="6158.4000000000005"/>
    <s v="ANLIS COST"/>
    <m/>
    <s v="SÍ"/>
    <n v="16"/>
    <n v="0.5"/>
    <n v="8"/>
    <n v="30"/>
    <n v="1.1041095890410959"/>
    <n v="292.58904109589042"/>
    <n v="29.444444444444443"/>
    <n v="30491"/>
    <s v="LOMAS DE MONTECRISTO"/>
    <s v="STACT"/>
    <n v="4318198032"/>
    <s v="DELFINA1984@HOTMAIL.COM"/>
    <s v="SOLTE"/>
    <s v="TITUL"/>
    <s v="A"/>
    <d v="2022-06-24T00:00:00"/>
    <m/>
    <s v="UDLAP"/>
    <s v="INGENIERÍA CIVIL       "/>
    <s v=""/>
    <n v="46"/>
    <n v="39"/>
    <n v="2"/>
    <n v="1"/>
    <m/>
    <m/>
    <m/>
    <m/>
    <m/>
    <m/>
    <m/>
    <n v="100"/>
  </r>
  <r>
    <n v="327"/>
    <s v="Roberto Bernal Aguilar"/>
    <n v="7445"/>
    <n v="248.16666666666666"/>
    <n v="3722.5"/>
    <x v="177"/>
    <n v="6"/>
    <x v="0"/>
    <x v="24"/>
    <x v="3"/>
    <s v="LUN VIE"/>
    <m/>
    <s v="roberto.bernal@grupomaia.com"/>
    <s v="MARIANA RODRÍGUEZ GUTIERREZ"/>
    <n v="43156"/>
    <n v="5088"/>
    <s v="ARQUITECT"/>
    <m/>
    <s v="NO"/>
    <n v="16"/>
    <n v="0.5"/>
    <n v="8"/>
    <n v="30"/>
    <n v="1.1041095890410959"/>
    <n v="274.00319634703197"/>
    <n v="27.574074074074073"/>
    <n v="26835"/>
    <s v="COLINAS DE SAN GERARDO"/>
    <s v="ESCOB"/>
    <n v="6504869773"/>
    <s v="ROBERTO1987@HOTMAIL.COM"/>
    <s v="CASDO"/>
    <s v="TITUL"/>
    <s v="A"/>
    <d v="2022-06-20T00:00:00"/>
    <m/>
    <s v="TEC"/>
    <s v="ADMINISTRACIÓN        "/>
    <s v=""/>
    <n v="65"/>
    <n v="49"/>
    <n v="0"/>
    <n v="1"/>
    <m/>
    <m/>
    <m/>
    <m/>
    <m/>
    <m/>
    <m/>
    <n v="829"/>
  </r>
  <r>
    <n v="328"/>
    <s v="Teresa Lopez Juárez"/>
    <n v="7950"/>
    <n v="265"/>
    <n v="3975"/>
    <x v="178"/>
    <n v="6"/>
    <x v="2"/>
    <x v="29"/>
    <x v="3"/>
    <s v="LUN VIE"/>
    <m/>
    <s v="teresa.lopez@grupomaia.com"/>
    <s v="IRIE DALÍ ANTARES CORTÉS"/>
    <m/>
    <m/>
    <m/>
    <m/>
    <s v="NO"/>
    <n v="16"/>
    <n v="0.5"/>
    <n v="8"/>
    <n v="30"/>
    <n v="1.1041095890410959"/>
    <n v="292.58904109589042"/>
    <n v="29.444444444444443"/>
    <n v="32030"/>
    <s v="16 DE SEPTIEMBRE"/>
    <s v="GUADL"/>
    <n v="6503214786"/>
    <s v="TERESA1981@HOTMAIL.COM"/>
    <s v="CASDO"/>
    <s v="CURSA"/>
    <s v="A"/>
    <d v="2022-09-10T00:00:00"/>
    <n v="9"/>
    <s v="UVM"/>
    <s v="ADMINISTRACIÓN        "/>
    <s v=""/>
    <n v="53"/>
    <n v="34"/>
    <n v="0"/>
    <n v="1"/>
    <m/>
    <m/>
    <m/>
    <m/>
    <m/>
    <m/>
    <m/>
    <n v="257"/>
  </r>
  <r>
    <n v="329"/>
    <s v="David Guadalupe Rodriguez Chavez"/>
    <n v="9541"/>
    <n v="318.03333333333336"/>
    <n v="4770.5"/>
    <x v="179"/>
    <n v="6"/>
    <x v="5"/>
    <x v="14"/>
    <x v="3"/>
    <s v="LUN VIE"/>
    <m/>
    <s v="david.rodriguez@grupomaia.com"/>
    <s v="MÉRIDA ISELA MEDINA SALINAS"/>
    <n v="42925"/>
    <n v="5211.5"/>
    <s v="DISEÑO INT"/>
    <m/>
    <s v="SÍ"/>
    <n v="16"/>
    <n v="0.5"/>
    <n v="8"/>
    <n v="30"/>
    <n v="1.1041095890410959"/>
    <n v="351.14365296803658"/>
    <n v="35.337037037037042"/>
    <n v="35981"/>
    <s v="PRIVADAS DEL PASEO"/>
    <s v="GRCIA"/>
    <n v="8338343457"/>
    <s v="DAVID1414@HOTMAIL.COM"/>
    <s v="CASDO"/>
    <s v="TITUL"/>
    <s v="A"/>
    <d v="2022-07-05T00:00:00"/>
    <m/>
    <s v="UANL"/>
    <s v="ARQUITECTURA        "/>
    <s v=""/>
    <n v="91"/>
    <n v="23"/>
    <n v="1"/>
    <n v="1"/>
    <m/>
    <m/>
    <m/>
    <m/>
    <m/>
    <m/>
    <m/>
    <n v="883"/>
  </r>
  <r>
    <n v="330"/>
    <s v="Sandra Berenice Buendía Rodríguez"/>
    <n v="27150"/>
    <n v="905"/>
    <n v="13575"/>
    <x v="180"/>
    <n v="6"/>
    <x v="2"/>
    <x v="10"/>
    <x v="1"/>
    <s v="LUN VIE"/>
    <n v="1025"/>
    <s v="sandra.buendía@grupomaia.com"/>
    <s v="IRIE DALÍ ANTARES CORTÉS"/>
    <n v="43226"/>
    <n v="18130"/>
    <s v="DISEÑO INT"/>
    <m/>
    <s v="NO"/>
    <n v="16"/>
    <n v="0.5"/>
    <n v="8"/>
    <n v="30"/>
    <n v="1.1041095890410959"/>
    <n v="999.21917808219177"/>
    <n v="100.55555555555556"/>
    <n v="34910"/>
    <s v="SAN BERNABÉ XIV (F-109)"/>
    <s v="ESCOB"/>
    <n v="8811892057"/>
    <s v="SANDRA1212@HOTMAIL.COM"/>
    <s v="SOLTE"/>
    <s v="TITUL"/>
    <s v="A"/>
    <d v="2022-07-30T00:00:00"/>
    <m/>
    <s v="UANL"/>
    <s v="INGENIERÍA CIVIL       "/>
    <s v=""/>
    <n v="76"/>
    <n v="26"/>
    <n v="0"/>
    <n v="1"/>
    <m/>
    <m/>
    <m/>
    <m/>
    <m/>
    <m/>
    <m/>
    <n v="34"/>
  </r>
  <r>
    <n v="331"/>
    <s v="Ramiro Adrián Sánchez Moreno"/>
    <n v="7950"/>
    <n v="265"/>
    <n v="3975"/>
    <x v="181"/>
    <n v="6"/>
    <x v="5"/>
    <x v="28"/>
    <x v="3"/>
    <s v="LUN VIE"/>
    <m/>
    <s v="ramiro.sánchez@grupomaia.com"/>
    <s v="MÉRIDA ISELA MEDINA SALINAS"/>
    <n v="44097"/>
    <n v="6000"/>
    <s v="COMPRAS"/>
    <m/>
    <s v="SÍ"/>
    <n v="16"/>
    <n v="0.5"/>
    <n v="8"/>
    <n v="30"/>
    <n v="1.1041095890410959"/>
    <n v="292.58904109589042"/>
    <n v="29.444444444444443"/>
    <n v="31736"/>
    <s v="CAÑADAS DEL SUR"/>
    <s v="APODC"/>
    <n v="8251560407"/>
    <s v="RAMIRO88@HOTMAIL.COM"/>
    <s v="CASDO"/>
    <s v="CURSA"/>
    <s v="A"/>
    <d v="2022-11-20T00:00:00"/>
    <n v="10"/>
    <s v="UANL"/>
    <s v="DISEÑO INDUSTRIAL"/>
    <s v=""/>
    <n v="56"/>
    <n v="35"/>
    <n v="1"/>
    <n v="1"/>
    <m/>
    <m/>
    <m/>
    <m/>
    <m/>
    <m/>
    <m/>
    <n v="526"/>
  </r>
  <r>
    <n v="332"/>
    <s v="María Guadalupe Soto Parra"/>
    <n v="9541"/>
    <n v="318.03333333333336"/>
    <n v="4770.5"/>
    <x v="182"/>
    <n v="6"/>
    <x v="7"/>
    <x v="18"/>
    <x v="3"/>
    <s v="LUN VIE"/>
    <m/>
    <s v="Maria.soto@grupomaia.com"/>
    <s v="MARCO AURELIO URBINO"/>
    <n v="42864"/>
    <n v="5088"/>
    <s v="RECLTMTO"/>
    <m/>
    <s v="SÍ"/>
    <n v="16"/>
    <n v="0.5"/>
    <n v="8"/>
    <n v="30"/>
    <n v="1.1041095890410959"/>
    <n v="351.14365296803658"/>
    <n v="35.337037037037042"/>
    <n v="34296"/>
    <s v="COLINAS DE SAN JERÓNIMO"/>
    <s v="STACT"/>
    <n v="8426091384"/>
    <s v="MARIA1414@HOTMAIL.COM"/>
    <s v="CASDO"/>
    <s v="CURSA"/>
    <s v="A"/>
    <d v="2022-11-23T00:00:00"/>
    <n v="10"/>
    <s v="UANL"/>
    <s v="ADMINISTRACIÓN        "/>
    <s v=""/>
    <n v="33"/>
    <n v="28"/>
    <n v="1"/>
    <n v="1"/>
    <m/>
    <m/>
    <m/>
    <m/>
    <m/>
    <m/>
    <m/>
    <n v="22"/>
  </r>
  <r>
    <n v="333"/>
    <s v="Miguel Everardo Vázquez Morales"/>
    <n v="7445"/>
    <n v="248.16666666666666"/>
    <n v="3722.5"/>
    <x v="183"/>
    <n v="6"/>
    <x v="3"/>
    <x v="21"/>
    <x v="3"/>
    <s v="LUN VIE"/>
    <m/>
    <s v="miguel.vázquez@grupomaia.com"/>
    <s v="DIEGO HERRERA GIRÓN"/>
    <m/>
    <m/>
    <m/>
    <m/>
    <s v="SÍ"/>
    <n v="16"/>
    <n v="0.5"/>
    <n v="8"/>
    <n v="30"/>
    <n v="1.1041095890410959"/>
    <n v="274.00319634703197"/>
    <n v="27.574074074074073"/>
    <n v="31758"/>
    <s v="PROVILEON SAN BERNABÉ"/>
    <s v="MONTY"/>
    <n v="8248403698"/>
    <s v="MIGUEL1995@HOTMAIL.COM"/>
    <s v="SOLTE"/>
    <s v="CURSA"/>
    <s v="A"/>
    <d v="2022-12-12T00:00:00"/>
    <n v="6"/>
    <s v="UANL"/>
    <s v="INGENIERÍA CIVIL       "/>
    <s v=""/>
    <n v="85"/>
    <n v="35"/>
    <n v="0"/>
    <n v="1"/>
    <m/>
    <m/>
    <m/>
    <m/>
    <m/>
    <m/>
    <m/>
    <n v="644"/>
  </r>
  <r>
    <n v="334"/>
    <s v="Alma Meliza García García"/>
    <n v="9450"/>
    <n v="315"/>
    <n v="4725"/>
    <x v="184"/>
    <n v="6"/>
    <x v="3"/>
    <x v="20"/>
    <x v="3"/>
    <s v="LUN VIE"/>
    <m/>
    <s v="alma.garcia@grupomaia.com"/>
    <s v="DIEGO HERRERA GIRÓN"/>
    <m/>
    <m/>
    <m/>
    <m/>
    <s v="SÍ"/>
    <n v="16"/>
    <n v="0.5"/>
    <n v="8"/>
    <n v="30"/>
    <n v="1.1041095890410959"/>
    <n v="347.79452054794518"/>
    <n v="35"/>
    <n v="25591"/>
    <s v="RESIDENCIAL SAN JERÓNIMO II"/>
    <s v="SNPED"/>
    <n v="3450453727"/>
    <s v="ALMA1987@HOTMAIL.COM"/>
    <s v="SOLTE"/>
    <s v="CURSA"/>
    <s v="A"/>
    <d v="2022-01-23T00:00:00"/>
    <n v="5"/>
    <s v="UANL"/>
    <s v="INGENIERÍA CIVIL       "/>
    <s v=""/>
    <n v="81"/>
    <n v="52"/>
    <n v="2"/>
    <n v="1"/>
    <m/>
    <m/>
    <m/>
    <m/>
    <m/>
    <m/>
    <m/>
    <n v="165"/>
  </r>
  <r>
    <n v="335"/>
    <s v="Jaime Jimenez Pelaez"/>
    <n v="9450"/>
    <n v="315"/>
    <n v="4725"/>
    <x v="185"/>
    <n v="6"/>
    <x v="5"/>
    <x v="14"/>
    <x v="3"/>
    <s v="LUN VIE"/>
    <m/>
    <s v="jaime.jimenez@grupomaia.com"/>
    <s v="MÉRIDA ISELA MEDINA SALINAS"/>
    <n v="43894"/>
    <n v="7060"/>
    <s v="RENDER"/>
    <m/>
    <s v="SÍ"/>
    <n v="16"/>
    <n v="0.5"/>
    <n v="8"/>
    <n v="30"/>
    <n v="1.1041095890410959"/>
    <n v="347.79452054794518"/>
    <n v="35"/>
    <n v="34614"/>
    <s v="COLONIA"/>
    <s v="APODC"/>
    <n v="6714789530"/>
    <s v="JAIME1991@HOTMAIL.COM"/>
    <s v="CASDO"/>
    <s v="CURSA"/>
    <s v="A"/>
    <d v="2022-10-07T00:00:00"/>
    <n v="8"/>
    <s v="UVM"/>
    <s v="ARQUITECTURA        "/>
    <s v=""/>
    <n v="71"/>
    <n v="27"/>
    <n v="0"/>
    <n v="1"/>
    <m/>
    <m/>
    <m/>
    <m/>
    <m/>
    <m/>
    <m/>
    <n v="898"/>
  </r>
  <r>
    <n v="336"/>
    <s v="Alejandra Vannesa Casas Dueñas"/>
    <n v="9541"/>
    <n v="318.03333333333336"/>
    <n v="4770.5"/>
    <x v="186"/>
    <n v="6"/>
    <x v="7"/>
    <x v="18"/>
    <x v="3"/>
    <s v="LUN VIE"/>
    <m/>
    <s v="alejandra.casas@grupomaia.com"/>
    <s v="MARCO AURELIO URBINO"/>
    <n v="42752"/>
    <n v="6158.4000000000005"/>
    <s v="ANLIS COST"/>
    <s v="RENDER"/>
    <s v="SÍ"/>
    <n v="16"/>
    <n v="0.5"/>
    <n v="8"/>
    <n v="30"/>
    <n v="1.1041095890410959"/>
    <n v="351.14365296803658"/>
    <n v="35.337037037037042"/>
    <n v="34757"/>
    <s v="JARDINES DE SAN JERÓNIMO"/>
    <s v="SNPED"/>
    <n v="7169936608"/>
    <s v="ALEJANDRA1981@HOTMAIL.COM"/>
    <s v="SOLTE"/>
    <s v="CURSA"/>
    <s v="A"/>
    <d v="2022-02-27T00:00:00"/>
    <n v="6"/>
    <s v="UANL"/>
    <s v="ADMINISTRACIÓN        "/>
    <s v=""/>
    <n v="97"/>
    <n v="27"/>
    <n v="1"/>
    <n v="1"/>
    <m/>
    <m/>
    <m/>
    <m/>
    <m/>
    <m/>
    <m/>
    <n v="34"/>
  </r>
  <r>
    <n v="337"/>
    <s v="Cesar Emiliano Sanchez Pruneda"/>
    <n v="7445"/>
    <n v="248.16666666666666"/>
    <n v="3722.5"/>
    <x v="187"/>
    <n v="6"/>
    <x v="0"/>
    <x v="26"/>
    <x v="3"/>
    <s v="LUN VIE"/>
    <m/>
    <s v="cesar.sanchez@grupomaia.com"/>
    <s v="MARIANA RODRÍGUEZ GUTIERREZ"/>
    <m/>
    <m/>
    <m/>
    <m/>
    <s v="NO"/>
    <n v="16"/>
    <n v="0.5"/>
    <n v="8"/>
    <n v="30"/>
    <n v="1.1041095890410959"/>
    <n v="274.00319634703197"/>
    <n v="27.574074074074073"/>
    <n v="29468"/>
    <s v="FELIPE ÁNGELES"/>
    <s v="STACT"/>
    <n v="8404528041"/>
    <s v="CESAR66@HOTMAIL.COM"/>
    <s v="SOLTE"/>
    <s v="CURSA"/>
    <s v="A"/>
    <d v="2022-09-04T00:00:00"/>
    <n v="6"/>
    <s v="UANL"/>
    <s v="ADMINISTRACIÓN        "/>
    <s v=""/>
    <n v="34"/>
    <n v="41"/>
    <n v="3"/>
    <n v="1"/>
    <m/>
    <m/>
    <m/>
    <m/>
    <m/>
    <m/>
    <m/>
    <n v="168"/>
  </r>
  <r>
    <n v="339"/>
    <s v="Uriel Mendez Flores"/>
    <n v="6778"/>
    <n v="225.93333333333334"/>
    <n v="3389"/>
    <x v="188"/>
    <n v="6"/>
    <x v="7"/>
    <x v="18"/>
    <x v="3"/>
    <s v="LUN VIE"/>
    <n v="0"/>
    <s v="uriel.mendez@grupomaia.com"/>
    <s v="MARCO AURELIO URBINO"/>
    <m/>
    <m/>
    <m/>
    <m/>
    <s v="NO"/>
    <n v="16"/>
    <n v="0.25"/>
    <n v="4"/>
    <n v="15"/>
    <n v="1.0520547945205478"/>
    <n v="237.69424657534245"/>
    <n v="25.103703703703705"/>
    <n v="31963"/>
    <s v="LA HACIENDA"/>
    <s v="JUARZ"/>
    <n v="4458741420"/>
    <s v="URIEL.MENDEZ@HOTMAIL.COM"/>
    <s v="SOLTE"/>
    <s v="PSNTE"/>
    <s v="C"/>
    <d v="2022-07-05T00:00:00"/>
    <n v="9"/>
    <s v="UMM"/>
    <s v="PROGRAMACIÓN"/>
    <n v="0"/>
    <n v="75"/>
    <n v="35"/>
    <n v="1"/>
    <n v="1"/>
    <m/>
    <m/>
    <m/>
    <m/>
    <m/>
    <m/>
    <m/>
    <n v="967"/>
  </r>
  <r>
    <n v="340"/>
    <s v="Jeannethe Escalera Salinas"/>
    <n v="7445"/>
    <n v="248.16666666666666"/>
    <n v="3722.5"/>
    <x v="189"/>
    <n v="6"/>
    <x v="3"/>
    <x v="21"/>
    <x v="3"/>
    <s v="LUN VIE"/>
    <m/>
    <s v="jeannethe.escalera@grupomaia.com"/>
    <s v="DIEGO HERRERA GIRÓN"/>
    <m/>
    <m/>
    <m/>
    <m/>
    <s v="SÍ"/>
    <n v="16"/>
    <n v="0.5"/>
    <n v="8"/>
    <n v="30"/>
    <n v="1.1041095890410959"/>
    <n v="274.00319634703197"/>
    <n v="27.574074074074073"/>
    <n v="32248"/>
    <s v="PRIVADA VILLA ALTA RESIDENCIAL"/>
    <s v="MONTY"/>
    <n v="5596440209"/>
    <s v="JEANNETHE1972@HOTMAIL.COM"/>
    <s v="SOLTE"/>
    <s v="CURSA"/>
    <s v="A"/>
    <d v="2022-04-15T00:00:00"/>
    <n v="5"/>
    <s v="UANL"/>
    <s v="INGENIERÍA CIVIL       "/>
    <s v=""/>
    <n v="74"/>
    <n v="34"/>
    <n v="3"/>
    <n v="1"/>
    <m/>
    <m/>
    <m/>
    <m/>
    <m/>
    <m/>
    <m/>
    <n v="336"/>
  </r>
  <r>
    <n v="341"/>
    <s v="Guadalupe Zuñiga Pioquinto"/>
    <n v="9541"/>
    <n v="318.03333333333336"/>
    <n v="4770.5"/>
    <x v="190"/>
    <n v="6"/>
    <x v="5"/>
    <x v="14"/>
    <x v="3"/>
    <s v="LUN VIE"/>
    <m/>
    <s v="guadalupe.zuñiga@grupomaia.com"/>
    <s v="MÉRIDA ISELA MEDINA SALINAS"/>
    <n v="42782"/>
    <n v="5956"/>
    <s v="AUDIT PROY"/>
    <s v="RENDER"/>
    <s v="SÍ"/>
    <n v="16"/>
    <n v="0.5"/>
    <n v="8"/>
    <n v="30"/>
    <n v="1.1041095890410959"/>
    <n v="351.14365296803658"/>
    <n v="35.337037037037042"/>
    <n v="31025"/>
    <s v="TORRES DE SATÉLITE"/>
    <s v="GRCIA"/>
    <n v="8195672096"/>
    <s v="GUADALUPE1982@HOTMAIL.COM"/>
    <s v="SOLTE"/>
    <s v="CURSA"/>
    <s v="A"/>
    <d v="2022-12-09T00:00:00"/>
    <n v="6"/>
    <s v="UANL"/>
    <s v="ARQUITECTURA        "/>
    <s v=""/>
    <n v="99"/>
    <n v="37"/>
    <n v="0"/>
    <n v="1"/>
    <m/>
    <m/>
    <m/>
    <m/>
    <m/>
    <m/>
    <m/>
    <n v="750"/>
  </r>
  <r>
    <n v="342"/>
    <s v="Daphne Abigail Ramos Castro"/>
    <n v="9541"/>
    <n v="318.03333333333336"/>
    <n v="4770.5"/>
    <x v="191"/>
    <n v="6"/>
    <x v="3"/>
    <x v="19"/>
    <x v="3"/>
    <s v="LUN VIE"/>
    <m/>
    <s v="daphne.ramos@grupomaia.com"/>
    <s v="DIEGO HERRERA GIRÓN"/>
    <n v="42769"/>
    <n v="7520"/>
    <s v="AUDIT PROY"/>
    <m/>
    <s v="SÍ"/>
    <n v="16"/>
    <n v="0.5"/>
    <n v="8"/>
    <n v="30"/>
    <n v="1.1041095890410959"/>
    <n v="351.14365296803658"/>
    <n v="35.337037037037042"/>
    <n v="32180"/>
    <s v="ÁLVARO OBREGÓN"/>
    <s v="STACT"/>
    <n v="8284862085"/>
    <s v="DAPHNE1414@HOTMAIL.COM"/>
    <s v="SOLTE"/>
    <s v="CURSA"/>
    <s v="A"/>
    <d v="2022-02-07T00:00:00"/>
    <n v="6"/>
    <s v="UVM"/>
    <s v="INGENIERÍA CIVIL       "/>
    <s v=""/>
    <n v="66"/>
    <n v="34"/>
    <n v="3"/>
    <n v="1"/>
    <m/>
    <m/>
    <m/>
    <m/>
    <m/>
    <m/>
    <m/>
    <n v="469"/>
  </r>
  <r>
    <n v="343"/>
    <s v="Marcos Adrián Aguilera Clemente"/>
    <n v="9450"/>
    <n v="315"/>
    <n v="4725"/>
    <x v="192"/>
    <n v="6"/>
    <x v="7"/>
    <x v="16"/>
    <x v="3"/>
    <s v="LUN VIE"/>
    <m/>
    <s v="marcos.aguilera@grupomaia.com"/>
    <s v="MARCO AURELIO URBINO"/>
    <n v="44107"/>
    <n v="7556"/>
    <s v="AUDIT PROY"/>
    <m/>
    <s v="SÍ"/>
    <n v="16"/>
    <n v="0.5"/>
    <n v="8"/>
    <n v="30"/>
    <n v="1.1041095890410959"/>
    <n v="347.79452054794518"/>
    <n v="35"/>
    <n v="34543"/>
    <s v="VILLA ALEGRE"/>
    <s v="MONTY"/>
    <n v="8219338411"/>
    <s v="MARCOS88@HOTMAIL.COM"/>
    <s v="CASDO"/>
    <s v="CURSA"/>
    <s v="A"/>
    <d v="2022-07-28T00:00:00"/>
    <n v="10"/>
    <s v="UANL"/>
    <s v="CONTADOR PÚBLICO       "/>
    <s v=""/>
    <n v="89"/>
    <n v="27"/>
    <n v="1"/>
    <n v="1"/>
    <m/>
    <m/>
    <m/>
    <m/>
    <m/>
    <m/>
    <m/>
    <n v="844"/>
  </r>
  <r>
    <n v="345"/>
    <s v="Carla Carolina Juárez Villarreal"/>
    <n v="7445"/>
    <n v="248.16666666666666"/>
    <n v="3722.5"/>
    <x v="193"/>
    <n v="6"/>
    <x v="0"/>
    <x v="17"/>
    <x v="3"/>
    <s v="LUN VIE"/>
    <m/>
    <s v="carla.juárez@grupomaia.com"/>
    <s v="MARIANA RODRÍGUEZ GUTIERREZ"/>
    <m/>
    <m/>
    <m/>
    <m/>
    <s v="NO"/>
    <n v="16"/>
    <n v="0.5"/>
    <n v="8"/>
    <n v="30"/>
    <n v="1.1041095890410959"/>
    <n v="274.00319634703197"/>
    <n v="27.574074074074073"/>
    <n v="32641"/>
    <s v="COLINAS DE LIVERPOOL"/>
    <s v="SNPED"/>
    <n v="8551354290"/>
    <s v="CARLA66@HOTMAIL.COM"/>
    <s v="SOLTE"/>
    <s v="CURSA"/>
    <s v="A"/>
    <d v="2022-05-13T00:00:00"/>
    <n v="9"/>
    <s v="UANL"/>
    <s v="NEGOCIOS INTERNACIONALES       "/>
    <s v=""/>
    <n v="80"/>
    <n v="33"/>
    <n v="2"/>
    <n v="1"/>
    <m/>
    <m/>
    <m/>
    <m/>
    <m/>
    <m/>
    <m/>
    <n v="212"/>
  </r>
  <r>
    <n v="347"/>
    <s v="Tomas Corona Castro"/>
    <n v="10860"/>
    <n v="362"/>
    <n v="5430"/>
    <x v="194"/>
    <n v="6"/>
    <x v="5"/>
    <x v="14"/>
    <x v="3"/>
    <s v="LUN VIE"/>
    <m/>
    <s v="tomas.corona@grupomaia.com"/>
    <s v="MÉRIDA ISELA MEDINA SALINAS"/>
    <n v="40577"/>
    <n v="10800"/>
    <s v="EXTERNOS"/>
    <s v="RELACIONES"/>
    <s v="SÍ"/>
    <n v="16"/>
    <n v="0.5"/>
    <n v="8"/>
    <n v="30"/>
    <n v="1.1041095890410959"/>
    <n v="399.68767123287671"/>
    <n v="40.222222222222221"/>
    <n v="30445"/>
    <s v="LOMAS MODELO NORTE"/>
    <s v="SANTG"/>
    <n v="8209930290"/>
    <s v="TOMAS1997@HOTMAIL.COM"/>
    <s v="SOLTE"/>
    <s v="CURSA"/>
    <s v="A"/>
    <d v="2022-05-09T00:00:00"/>
    <n v="8"/>
    <s v="UANL"/>
    <s v="DISEÑO INDUSTRIAL"/>
    <s v=""/>
    <n v="84"/>
    <n v="39"/>
    <n v="1"/>
    <n v="1"/>
    <m/>
    <m/>
    <m/>
    <m/>
    <m/>
    <m/>
    <m/>
    <n v="338"/>
  </r>
  <r>
    <n v="348"/>
    <s v="Adelaido Sanchez Mejia"/>
    <n v="9541"/>
    <n v="318.03333333333336"/>
    <n v="4770.5"/>
    <x v="195"/>
    <n v="6"/>
    <x v="5"/>
    <x v="14"/>
    <x v="3"/>
    <s v="LUN VIE"/>
    <m/>
    <s v="adelaido.sanchez@grupomaia.com"/>
    <s v="MÉRIDA ISELA MEDINA SALINAS"/>
    <n v="42880"/>
    <n v="6158.4000000000005"/>
    <s v="FACTURAS"/>
    <s v="SOLUCIONES"/>
    <s v="SÍ"/>
    <n v="16"/>
    <n v="0.5"/>
    <n v="8"/>
    <n v="30"/>
    <n v="1.1041095890410959"/>
    <n v="351.14365296803658"/>
    <n v="35.337037037037042"/>
    <n v="34920"/>
    <s v="VILLAS DE LINDA VISTA"/>
    <s v="GRCIA"/>
    <n v="2368617645"/>
    <s v="ADELAIDO1984@HOTMAIL.COM"/>
    <s v="CASDO"/>
    <s v="TITUL"/>
    <s v="A"/>
    <d v="2022-08-09T00:00:00"/>
    <m/>
    <s v="UN"/>
    <s v="ARQUITECTURA        "/>
    <s v=""/>
    <n v="60"/>
    <n v="26"/>
    <n v="1"/>
    <n v="1"/>
    <m/>
    <m/>
    <m/>
    <m/>
    <m/>
    <m/>
    <m/>
    <n v="942"/>
  </r>
  <r>
    <n v="350"/>
    <s v="Silvia Sandoval Castañeda"/>
    <n v="7950"/>
    <n v="265"/>
    <n v="3975"/>
    <x v="196"/>
    <n v="6"/>
    <x v="1"/>
    <x v="32"/>
    <x v="3"/>
    <s v="LUN VIE"/>
    <m/>
    <s v="silvia.sandoval@grupomaia.com"/>
    <s v="DENEB SANTIAGO ALTAIR VEGA"/>
    <m/>
    <m/>
    <m/>
    <m/>
    <s v="NO"/>
    <n v="16"/>
    <n v="0.25"/>
    <n v="4"/>
    <n v="15"/>
    <n v="1.0520547945205478"/>
    <n v="278.79452054794518"/>
    <n v="29.444444444444443"/>
    <n v="30933"/>
    <s v="NUEVA MORELOS"/>
    <s v="ESCOB"/>
    <n v="9180540867"/>
    <s v="SILVIA1981@HOTMAIL.COM"/>
    <s v="SOLTE"/>
    <s v="CURSA"/>
    <s v="A"/>
    <d v="2022-09-08T00:00:00"/>
    <n v="9"/>
    <s v="UANL"/>
    <s v="TECNOLOGÍA DE SOFTWARE      "/>
    <s v=""/>
    <n v="52"/>
    <n v="37"/>
    <n v="3"/>
    <n v="1"/>
    <m/>
    <m/>
    <m/>
    <m/>
    <m/>
    <m/>
    <m/>
    <n v="534"/>
  </r>
  <r>
    <n v="351"/>
    <s v="José Meraz Felix"/>
    <n v="10350"/>
    <n v="345"/>
    <n v="5175"/>
    <x v="197"/>
    <n v="6"/>
    <x v="0"/>
    <x v="17"/>
    <x v="3"/>
    <s v="LUN VIE"/>
    <m/>
    <s v="jose.meraz@grupomaia.com"/>
    <s v="MARIANA RODRÍGUEZ GUTIERREZ"/>
    <n v="41460"/>
    <n v="5956"/>
    <s v="INST CAMPO"/>
    <s v="ANLIS COST"/>
    <s v="NO"/>
    <n v="16"/>
    <n v="0.5"/>
    <n v="8"/>
    <n v="30"/>
    <n v="1.1041095890410959"/>
    <n v="380.91780821917808"/>
    <n v="38.333333333333336"/>
    <n v="33369"/>
    <s v="COLINAS DE SAN JERÓNIMO SECTOR LOMAS"/>
    <s v="STACT"/>
    <n v="8208210011"/>
    <s v="JOSE1970@HOTMAIL.COM"/>
    <s v="SOLTE"/>
    <s v="CURSA"/>
    <s v="A"/>
    <d v="2022-05-11T00:00:00"/>
    <n v="6"/>
    <s v="UANL"/>
    <s v="ADMINISTRACIÓN        "/>
    <s v=""/>
    <n v="78"/>
    <n v="31"/>
    <n v="1"/>
    <n v="1"/>
    <m/>
    <m/>
    <m/>
    <m/>
    <m/>
    <m/>
    <m/>
    <n v="358"/>
  </r>
  <r>
    <n v="352"/>
    <s v="Karla Faryde González Lozano"/>
    <n v="7950"/>
    <n v="265"/>
    <n v="3975"/>
    <x v="198"/>
    <n v="6"/>
    <x v="7"/>
    <x v="18"/>
    <x v="3"/>
    <s v="LUN VIE"/>
    <m/>
    <s v="karla.gonzález@grupomaia.com"/>
    <s v="MARCO AURELIO URBINO"/>
    <n v="43567"/>
    <n v="5956"/>
    <s v="CONTROL"/>
    <m/>
    <s v="SÍ"/>
    <n v="16"/>
    <n v="0.5"/>
    <n v="8"/>
    <n v="30"/>
    <n v="1.1041095890410959"/>
    <n v="292.58904109589042"/>
    <n v="29.444444444444443"/>
    <n v="33530"/>
    <s v="VALLE DE SANTGA LUCÍA (GRANJA SANITARIA)"/>
    <s v="SANTG"/>
    <n v="8127968879"/>
    <s v="KARLA1980@HOTMAIL.COM"/>
    <s v="SOLTE"/>
    <s v="CURSA"/>
    <s v="A"/>
    <d v="2022-10-19T00:00:00"/>
    <n v="6"/>
    <s v="UANL"/>
    <s v="CONTADOR PÚBLICO       "/>
    <s v=""/>
    <n v="88"/>
    <n v="30"/>
    <n v="1"/>
    <n v="1"/>
    <m/>
    <m/>
    <m/>
    <m/>
    <m/>
    <m/>
    <m/>
    <n v="79"/>
  </r>
  <r>
    <n v="353"/>
    <s v="Griselda Fuentes Lugo"/>
    <n v="9450"/>
    <n v="315"/>
    <n v="4725"/>
    <x v="199"/>
    <n v="6"/>
    <x v="0"/>
    <x v="26"/>
    <x v="3"/>
    <s v="LUN VIE"/>
    <m/>
    <s v="griselda.fuentes@grupomaia.com"/>
    <s v="MARIANA RODRÍGUEZ GUTIERREZ"/>
    <n v="43095"/>
    <n v="5956"/>
    <s v="ADMINCIÓN"/>
    <m/>
    <s v="NO"/>
    <n v="16"/>
    <n v="0.5"/>
    <n v="8"/>
    <n v="30"/>
    <n v="1.1041095890410959"/>
    <n v="347.79452054794518"/>
    <n v="35"/>
    <n v="32859"/>
    <s v="CONDOCASA MITRAS"/>
    <s v="APODC"/>
    <n v="3345788511"/>
    <s v="GRISELDA1976@HOTMAIL.COM"/>
    <s v="CASDO"/>
    <s v="CURSA"/>
    <s v="A"/>
    <d v="2022-12-17T00:00:00"/>
    <n v="7"/>
    <s v="UANL"/>
    <s v="ADMINISTRACIÓN        "/>
    <s v=""/>
    <n v="97"/>
    <n v="32"/>
    <n v="3"/>
    <n v="1"/>
    <m/>
    <m/>
    <m/>
    <m/>
    <m/>
    <m/>
    <m/>
    <n v="519"/>
  </r>
  <r>
    <n v="354"/>
    <s v="Evelin Denisse Tovar Martinez"/>
    <n v="7445"/>
    <n v="248.16666666666666"/>
    <n v="3722.5"/>
    <x v="200"/>
    <n v="6"/>
    <x v="5"/>
    <x v="14"/>
    <x v="3"/>
    <s v="LUN VIE"/>
    <m/>
    <s v="evelin.tovar@grupomaia.com"/>
    <s v="MÉRIDA ISELA MEDINA SALINAS"/>
    <m/>
    <m/>
    <m/>
    <m/>
    <s v="SÍ"/>
    <n v="16"/>
    <n v="0.5"/>
    <n v="8"/>
    <n v="30"/>
    <n v="1.1041095890410959"/>
    <n v="274.00319634703197"/>
    <n v="27.574074074074073"/>
    <n v="34454"/>
    <s v="EL URO ORIENTE"/>
    <s v="SNPED"/>
    <n v="8434568360"/>
    <s v="EVELIN66@HOTMAIL.COM"/>
    <s v="SOLTE"/>
    <s v="CURSA"/>
    <s v="A"/>
    <d v="2022-04-30T00:00:00"/>
    <n v="10"/>
    <s v="UANL"/>
    <s v="ARQUITECTURA        "/>
    <s v=""/>
    <n v="30"/>
    <n v="28"/>
    <n v="1"/>
    <n v="1"/>
    <m/>
    <m/>
    <m/>
    <m/>
    <m/>
    <m/>
    <m/>
    <n v="470"/>
  </r>
  <r>
    <n v="355"/>
    <s v="Elda Karyme Espinosa Vela"/>
    <n v="9450"/>
    <n v="315"/>
    <n v="4725"/>
    <x v="201"/>
    <n v="6"/>
    <x v="3"/>
    <x v="19"/>
    <x v="3"/>
    <s v="LUN VIE"/>
    <m/>
    <s v="elda.espinosa@grupomaia.com"/>
    <s v="DIEGO HERRERA GIRÓN"/>
    <m/>
    <m/>
    <m/>
    <m/>
    <s v="SÍ"/>
    <n v="16"/>
    <n v="0.5"/>
    <n v="8"/>
    <n v="30"/>
    <n v="1.1041095890410959"/>
    <n v="347.79452054794518"/>
    <n v="35"/>
    <n v="32285"/>
    <s v="LOMAS DE CUMBRES"/>
    <s v="ESCOB"/>
    <n v="8228857432"/>
    <s v="ELDA1991@HOTMAIL.COM"/>
    <s v="SOLTE"/>
    <s v="CURSA"/>
    <s v="A"/>
    <d v="2022-05-22T00:00:00"/>
    <n v="6"/>
    <s v="UNEZ"/>
    <s v="INGENIERÍA CIVIL       "/>
    <s v=""/>
    <n v="82"/>
    <n v="34"/>
    <n v="3"/>
    <n v="1"/>
    <m/>
    <m/>
    <m/>
    <m/>
    <m/>
    <m/>
    <m/>
    <n v="680"/>
  </r>
  <r>
    <n v="356"/>
    <s v="Carolina Ortiz Montero"/>
    <n v="9541"/>
    <n v="318.03333333333336"/>
    <n v="4770.5"/>
    <x v="202"/>
    <n v="6"/>
    <x v="5"/>
    <x v="14"/>
    <x v="3"/>
    <s v="LUN VIE"/>
    <m/>
    <s v="carolina.ortiz@grupomaia.com"/>
    <s v="MÉRIDA ISELA MEDINA SALINAS"/>
    <n v="41847"/>
    <n v="5956"/>
    <s v="SOFTWARE"/>
    <s v="CONTROL"/>
    <s v="SÍ"/>
    <n v="16"/>
    <n v="0.5"/>
    <n v="8"/>
    <n v="30"/>
    <n v="1.1041095890410959"/>
    <n v="351.14365296803658"/>
    <n v="35.337037037037042"/>
    <n v="31856"/>
    <s v="LAS CUMBRES"/>
    <s v="STACT"/>
    <n v="3277329962"/>
    <s v="CAROLINA1985@HOTMAIL.COM"/>
    <s v="SOLTE"/>
    <s v="CURSA"/>
    <s v="A"/>
    <d v="2022-03-20T00:00:00"/>
    <n v="8"/>
    <s v="UANL"/>
    <s v="ARQUITECTURA        "/>
    <s v=""/>
    <n v="62"/>
    <n v="35"/>
    <n v="3"/>
    <n v="1"/>
    <m/>
    <m/>
    <m/>
    <m/>
    <m/>
    <m/>
    <m/>
    <n v="406"/>
  </r>
  <r>
    <n v="357"/>
    <s v="Fátima Valeria Morales Fabila"/>
    <n v="7445"/>
    <n v="248.16666666666666"/>
    <n v="3722.5"/>
    <x v="203"/>
    <n v="6"/>
    <x v="3"/>
    <x v="21"/>
    <x v="3"/>
    <s v="LUN VIE"/>
    <m/>
    <s v="fátima.morales@grupomaia.com"/>
    <s v="DIEGO HERRERA GIRÓN"/>
    <m/>
    <m/>
    <m/>
    <m/>
    <s v="SÍ"/>
    <n v="16"/>
    <n v="0.5"/>
    <n v="8"/>
    <n v="30"/>
    <n v="1.1041095890410959"/>
    <n v="274.00319634703197"/>
    <n v="27.574074074074073"/>
    <n v="32000"/>
    <s v="LA REPÚBLICA"/>
    <s v="SNPED"/>
    <n v="8141287471"/>
    <s v="FÁTIMA1985@HOTMAIL.COM"/>
    <s v="DIVOR"/>
    <s v="CURSA"/>
    <s v="A"/>
    <d v="2022-08-11T00:00:00"/>
    <n v="8"/>
    <s v="UVM"/>
    <s v="INGENIERO MECÁNICO ADMINISTRADOR      "/>
    <s v=""/>
    <n v="31"/>
    <n v="34"/>
    <n v="2"/>
    <n v="1"/>
    <m/>
    <m/>
    <m/>
    <m/>
    <m/>
    <m/>
    <m/>
    <n v="743"/>
  </r>
  <r>
    <n v="358"/>
    <s v="Rodrigo Silva Contreras"/>
    <n v="9450"/>
    <n v="315"/>
    <n v="4725"/>
    <x v="204"/>
    <n v="6"/>
    <x v="4"/>
    <x v="7"/>
    <x v="3"/>
    <s v="LUN VIE"/>
    <m/>
    <s v="rodrigo.silva@grupomaia.com"/>
    <s v="MARIANO ALDEBARÁN"/>
    <n v="43577"/>
    <n v="6580"/>
    <s v="ARQUITECT"/>
    <m/>
    <s v="SÍ"/>
    <n v="16"/>
    <n v="0.5"/>
    <n v="8"/>
    <n v="30"/>
    <n v="1.1041095890410959"/>
    <n v="347.79452054794518"/>
    <n v="35"/>
    <n v="29046"/>
    <s v="LOMA LINDA"/>
    <s v="SNPED"/>
    <n v="6515067970"/>
    <s v="RODRIGO1972@HOTMAIL.COM"/>
    <s v="SOLTE"/>
    <s v="TITUL"/>
    <s v="C"/>
    <d v="2022-07-10T00:00:00"/>
    <m/>
    <s v="UMM"/>
    <s v="NEGOCIOS INTERNACIONALES       "/>
    <s v=""/>
    <n v="76"/>
    <n v="42"/>
    <n v="3"/>
    <n v="1"/>
    <m/>
    <m/>
    <m/>
    <m/>
    <m/>
    <m/>
    <m/>
    <n v="530"/>
  </r>
  <r>
    <n v="359"/>
    <s v="Tita Hurtado Jimenez"/>
    <n v="7445"/>
    <n v="248.16666666666666"/>
    <n v="3722.5"/>
    <x v="205"/>
    <n v="6"/>
    <x v="0"/>
    <x v="17"/>
    <x v="3"/>
    <s v="LUN VIE"/>
    <m/>
    <s v="tita.hurtado@grupomaia.com"/>
    <s v="MARIANA RODRÍGUEZ GUTIERREZ"/>
    <m/>
    <m/>
    <m/>
    <m/>
    <s v="NO"/>
    <n v="16"/>
    <n v="0.5"/>
    <n v="8"/>
    <n v="30"/>
    <n v="1.1041095890410959"/>
    <n v="274.00319634703197"/>
    <n v="27.574074074074073"/>
    <n v="29389"/>
    <s v="PRIVADAS DEL PEDREGAL"/>
    <s v="APODC"/>
    <n v="5684928215"/>
    <s v="TITA1981@HOTMAIL.COM"/>
    <s v="SOLTE"/>
    <s v="CURSA"/>
    <s v="A"/>
    <d v="2022-06-17T00:00:00"/>
    <n v="6"/>
    <s v="UANL"/>
    <s v="CONTADOR PÚBLICO       "/>
    <s v=""/>
    <n v="75"/>
    <n v="42"/>
    <n v="3"/>
    <n v="1"/>
    <m/>
    <m/>
    <m/>
    <m/>
    <m/>
    <m/>
    <m/>
    <n v="168"/>
  </r>
  <r>
    <n v="360"/>
    <s v="Arturo Guzman Pacheco"/>
    <n v="9541"/>
    <n v="318.03333333333336"/>
    <n v="4770.5"/>
    <x v="206"/>
    <n v="6"/>
    <x v="2"/>
    <x v="29"/>
    <x v="3"/>
    <s v="LUN VIE"/>
    <m/>
    <s v="arturo.guzman@grupomaia.com"/>
    <s v="IRIE DALÍ ANTARES CORTÉS"/>
    <n v="43714"/>
    <n v="5422.4000000000005"/>
    <s v="SOFTWARE"/>
    <s v="AUDIT PROY"/>
    <s v="SÍ"/>
    <n v="16"/>
    <n v="0.5"/>
    <n v="8"/>
    <n v="30"/>
    <n v="1.1041095890410959"/>
    <n v="351.14365296803658"/>
    <n v="35.337037037037042"/>
    <n v="32375"/>
    <s v="PRIVADA RESIDENCIAL VILLAS DEL URO"/>
    <s v="STACT"/>
    <n v="3044314884"/>
    <s v="ARTURO1978@HOTMAIL.COM"/>
    <s v="CASDO"/>
    <s v="TITUL"/>
    <s v="B"/>
    <d v="2022-08-20T00:00:00"/>
    <m/>
    <s v="UANL"/>
    <s v="CONTADOR PÚBLICO       "/>
    <s v=""/>
    <n v="78"/>
    <n v="33"/>
    <n v="3"/>
    <n v="1"/>
    <m/>
    <m/>
    <m/>
    <m/>
    <m/>
    <m/>
    <m/>
    <n v="236"/>
  </r>
  <r>
    <n v="362"/>
    <s v="Armando Hernandez Avila"/>
    <n v="9450"/>
    <n v="315"/>
    <n v="4725"/>
    <x v="207"/>
    <n v="6"/>
    <x v="5"/>
    <x v="14"/>
    <x v="3"/>
    <s v="LUN VIE"/>
    <m/>
    <s v="armando.hernandez@grupomaia.com"/>
    <s v="MÉRIDA ISELA MEDINA SALINAS"/>
    <m/>
    <m/>
    <m/>
    <m/>
    <s v="SÍ"/>
    <n v="16"/>
    <n v="0.5"/>
    <n v="8"/>
    <n v="30"/>
    <n v="1.1041095890410959"/>
    <n v="347.79452054794518"/>
    <n v="35"/>
    <n v="31303"/>
    <s v="RESIDENCIAL SAN JERÓNIMO II"/>
    <s v="SNICO"/>
    <n v="8197743030"/>
    <s v="ARMANDO1987@HOTMAIL.COM"/>
    <s v="SOLTE"/>
    <s v="CURSA"/>
    <s v="A"/>
    <d v="2022-09-13T00:00:00"/>
    <n v="10"/>
    <s v="UANL"/>
    <s v="ARQUITECTURA        "/>
    <s v=""/>
    <n v="43"/>
    <n v="36"/>
    <n v="1"/>
    <n v="1"/>
    <m/>
    <m/>
    <m/>
    <m/>
    <m/>
    <m/>
    <m/>
    <n v="652"/>
  </r>
  <r>
    <n v="364"/>
    <s v="Yasmin Blanco Noyola"/>
    <n v="10860"/>
    <n v="362"/>
    <n v="5430"/>
    <x v="207"/>
    <n v="6"/>
    <x v="3"/>
    <x v="20"/>
    <x v="3"/>
    <s v="LUN VIE"/>
    <m/>
    <s v="yasmin.blanco@grupomaia.com"/>
    <s v="DIEGO HERRERA GIRÓN"/>
    <n v="40953"/>
    <n v="23912"/>
    <s v="INST CAMPO"/>
    <s v="AUDIT ADMN"/>
    <s v="SÍ"/>
    <n v="16"/>
    <n v="0.5"/>
    <n v="8"/>
    <n v="30"/>
    <n v="1.1041095890410959"/>
    <n v="399.68767123287671"/>
    <n v="40.222222222222221"/>
    <n v="33502"/>
    <s v="SAN BERNABÉ IX (F-112)"/>
    <s v="STACT"/>
    <n v="5552569600"/>
    <s v="YASMIN1985@HOTMAIL.COM"/>
    <s v="SOLTE"/>
    <s v="CURSA"/>
    <s v="B"/>
    <d v="2022-09-21T00:00:00"/>
    <n v="10"/>
    <s v="UANL"/>
    <s v="INGENIERO EN MATERIALES      "/>
    <s v=""/>
    <n v="98"/>
    <n v="30"/>
    <n v="2"/>
    <n v="1"/>
    <m/>
    <m/>
    <m/>
    <m/>
    <m/>
    <m/>
    <m/>
    <n v="310"/>
  </r>
  <r>
    <n v="365"/>
    <s v="Jesus Alexis Camarillo Moreno"/>
    <n v="7445"/>
    <n v="248.16666666666666"/>
    <n v="3722.5"/>
    <x v="208"/>
    <n v="6"/>
    <x v="5"/>
    <x v="14"/>
    <x v="3"/>
    <s v="LUN VIE"/>
    <m/>
    <s v="jesus.camarillo@grupomaia.com"/>
    <s v="MÉRIDA ISELA MEDINA SALINAS"/>
    <m/>
    <m/>
    <m/>
    <m/>
    <s v="SÍ"/>
    <n v="16"/>
    <n v="0.5"/>
    <n v="8"/>
    <n v="30"/>
    <n v="1.1041095890410959"/>
    <n v="274.00319634703197"/>
    <n v="27.574074074074073"/>
    <n v="31378"/>
    <s v="SAN BERNABÉ IX (F-112)"/>
    <s v="GUADL"/>
    <n v="8322577924"/>
    <s v="JESUS66@HOTMAIL.COM"/>
    <s v="CASDO"/>
    <s v="PREPA"/>
    <s v="A"/>
    <d v="2022-11-27T00:00:00"/>
    <m/>
    <s v="UANL"/>
    <s v="ARQUITECTURA        "/>
    <s v=""/>
    <n v="65"/>
    <n v="36"/>
    <n v="0"/>
    <n v="1"/>
    <m/>
    <m/>
    <m/>
    <m/>
    <m/>
    <m/>
    <m/>
    <n v="437"/>
  </r>
  <r>
    <n v="367"/>
    <s v="Brisa Celene Hernandez Loeza"/>
    <n v="9450"/>
    <n v="315"/>
    <n v="4725"/>
    <x v="209"/>
    <n v="6"/>
    <x v="3"/>
    <x v="21"/>
    <x v="3"/>
    <s v="LUN VIE"/>
    <m/>
    <s v="brisa.hernandez@grupomaia.com"/>
    <s v="DIEGO HERRERA GIRÓN"/>
    <n v="43601"/>
    <n v="7360"/>
    <s v="ANLIS COST"/>
    <m/>
    <s v="SÍ"/>
    <n v="16"/>
    <n v="0.5"/>
    <n v="8"/>
    <n v="30"/>
    <n v="1.1041095890410959"/>
    <n v="347.79452054794518"/>
    <n v="35"/>
    <n v="28182"/>
    <s v="ASARCO"/>
    <s v="MONTY"/>
    <n v="8195613932"/>
    <s v="BRISA1977@HOTMAIL.COM"/>
    <s v="DIVOR"/>
    <s v="CURSA"/>
    <s v="A"/>
    <d v="2022-02-26T00:00:00"/>
    <n v="5"/>
    <s v="UNAM"/>
    <s v="INGENIERÍA CIVIL       "/>
    <s v=""/>
    <n v="66"/>
    <n v="45"/>
    <n v="3"/>
    <n v="1"/>
    <m/>
    <m/>
    <m/>
    <m/>
    <m/>
    <m/>
    <m/>
    <n v="42"/>
  </r>
  <r>
    <n v="368"/>
    <s v="Daniel Villarreal Acevedo"/>
    <n v="8825"/>
    <n v="294.16666666666669"/>
    <n v="4412.5"/>
    <x v="210"/>
    <n v="6"/>
    <x v="3"/>
    <x v="21"/>
    <x v="3"/>
    <s v="LUN VIE"/>
    <m/>
    <s v="daniel.villarreal@grupomaia.com"/>
    <s v="DIEGO HERRERA GIRÓN"/>
    <m/>
    <m/>
    <m/>
    <m/>
    <s v="SÍ"/>
    <n v="16"/>
    <n v="0.5"/>
    <n v="8"/>
    <n v="30"/>
    <n v="1.1041095890410959"/>
    <n v="324.79223744292239"/>
    <n v="32.68518518518519"/>
    <n v="35520"/>
    <s v="VALLE MORELOS"/>
    <s v="STACT"/>
    <n v="5684928215"/>
    <s v="DANIEL1981@HOTMAIL.COM"/>
    <s v="DIVOR"/>
    <s v="TITUL"/>
    <s v="B"/>
    <d v="2022-03-31T00:00:00"/>
    <m/>
    <s v="UR"/>
    <s v="INGENIERO EN MATERIALES      "/>
    <s v=""/>
    <n v="99"/>
    <n v="25"/>
    <n v="0"/>
    <n v="1"/>
    <m/>
    <m/>
    <m/>
    <m/>
    <m/>
    <m/>
    <m/>
    <n v="976"/>
  </r>
  <r>
    <n v="369"/>
    <s v="Araceli Yuridia Barrera Saldaña"/>
    <n v="7445"/>
    <n v="248.16666666666666"/>
    <n v="3722.5"/>
    <x v="57"/>
    <n v="6"/>
    <x v="5"/>
    <x v="28"/>
    <x v="3"/>
    <s v="LUN VIE"/>
    <m/>
    <s v="araceli.barrera@grupomaia.com"/>
    <s v="MÉRIDA ISELA MEDINA SALINAS"/>
    <n v="43470"/>
    <n v="5088"/>
    <s v="RENDER"/>
    <m/>
    <s v="SÍ"/>
    <n v="16"/>
    <n v="0.5"/>
    <n v="8"/>
    <n v="30"/>
    <n v="1.1041095890410959"/>
    <n v="274.00319634703197"/>
    <n v="27.574074074074073"/>
    <n v="34740"/>
    <s v="LOMAS DE SAN MARTÍN"/>
    <s v="STACT"/>
    <n v="8980306339"/>
    <s v="ARACELI1994@HOTMAIL.COM"/>
    <s v="SOLTE"/>
    <s v="PSNTE"/>
    <s v="A"/>
    <d v="2022-02-10T00:00:00"/>
    <m/>
    <s v="UANL"/>
    <s v="ARQUITECTURA        "/>
    <s v=""/>
    <n v="41"/>
    <n v="27"/>
    <n v="1"/>
    <n v="1"/>
    <m/>
    <m/>
    <m/>
    <m/>
    <m/>
    <m/>
    <m/>
    <n v="491"/>
  </r>
  <r>
    <n v="372"/>
    <s v="Valeria Del Carmen Sánchez Valladares"/>
    <n v="7445"/>
    <n v="248.16666666666666"/>
    <n v="3722.5"/>
    <x v="211"/>
    <n v="6"/>
    <x v="7"/>
    <x v="16"/>
    <x v="3"/>
    <s v="LUN VIE"/>
    <m/>
    <s v="valeria.carmen@grupomaia.com"/>
    <s v="MARCO AURELIO URBINO"/>
    <m/>
    <m/>
    <m/>
    <m/>
    <s v="SÍ"/>
    <n v="16"/>
    <n v="0.5"/>
    <n v="8"/>
    <n v="30"/>
    <n v="1.1041095890410959"/>
    <n v="274.00319634703197"/>
    <n v="27.574074074074073"/>
    <n v="31657"/>
    <s v="RINCÓN SANTGA CECILIA"/>
    <s v="MONTY"/>
    <n v="8182263959"/>
    <s v="VALERIA66@HOTMAIL.COM"/>
    <s v="SOLTE"/>
    <s v="CURSA"/>
    <s v="A"/>
    <d v="2022-09-02T00:00:00"/>
    <n v="9"/>
    <s v="UANL"/>
    <s v="MULTIMEDIA Y ANIMACIÓN DIGITAL          "/>
    <s v=""/>
    <n v="86"/>
    <n v="35"/>
    <n v="2"/>
    <n v="1"/>
    <m/>
    <m/>
    <m/>
    <m/>
    <m/>
    <m/>
    <m/>
    <n v="331"/>
  </r>
  <r>
    <n v="373"/>
    <s v="Yadira Yossary González Leyva"/>
    <n v="25800"/>
    <n v="860"/>
    <n v="12900"/>
    <x v="212"/>
    <n v="6"/>
    <x v="3"/>
    <x v="21"/>
    <x v="1"/>
    <s v="LUN VIE"/>
    <n v="1029"/>
    <s v="yadira.gonzález@grupomaia.com"/>
    <s v="DIEGO HERRERA GIRÓN"/>
    <m/>
    <m/>
    <m/>
    <m/>
    <s v="SÍ"/>
    <n v="16"/>
    <n v="0.5"/>
    <n v="8"/>
    <n v="30"/>
    <n v="1.1041095890410959"/>
    <n v="949.53424657534254"/>
    <n v="95.555555555555557"/>
    <n v="32650"/>
    <s v="BRISAS DE VALLE ALTO"/>
    <s v="STACT"/>
    <n v="8468612531"/>
    <s v="YADIRA66@HOTMAIL.COM"/>
    <s v="SOLTE"/>
    <s v="TITUL"/>
    <s v="A"/>
    <d v="2022-05-22T00:00:00"/>
    <m/>
    <s v="UANL"/>
    <s v="INGENIERÍA CIVIL       "/>
    <s v=""/>
    <n v="53"/>
    <n v="33"/>
    <n v="2"/>
    <n v="1"/>
    <m/>
    <m/>
    <m/>
    <m/>
    <m/>
    <m/>
    <m/>
    <n v="965"/>
  </r>
  <r>
    <n v="377"/>
    <s v="Blas Francisco Cedomio Alvarez"/>
    <n v="9541"/>
    <n v="318.03333333333336"/>
    <n v="4770.5"/>
    <x v="213"/>
    <n v="6"/>
    <x v="3"/>
    <x v="21"/>
    <x v="3"/>
    <s v="LUN VIE"/>
    <m/>
    <s v="blas.cedomio@grupomaia.com"/>
    <s v="DIEGO HERRERA GIRÓN"/>
    <n v="42588"/>
    <n v="5422.4000000000005"/>
    <s v="ESTRUCTURA"/>
    <m/>
    <s v="SÍ"/>
    <n v="16"/>
    <n v="0.5"/>
    <n v="8"/>
    <n v="30"/>
    <n v="1.1041095890410959"/>
    <n v="351.14365296803658"/>
    <n v="35.337037037037042"/>
    <n v="33423"/>
    <s v="COLINAS DE SAN JERÓNIMO SECTOR LOMAS"/>
    <s v="APODC"/>
    <n v="6034309861"/>
    <s v="BLAS1995@HOTMAIL.COM"/>
    <s v="DIVOR"/>
    <s v="CURSA"/>
    <s v="A"/>
    <d v="2022-07-04T00:00:00"/>
    <n v="7"/>
    <s v="UANL"/>
    <s v="INGENIERÍA CIVIL       "/>
    <s v=""/>
    <n v="57"/>
    <n v="31"/>
    <n v="1"/>
    <n v="1"/>
    <m/>
    <m/>
    <m/>
    <m/>
    <m/>
    <m/>
    <m/>
    <n v="642"/>
  </r>
  <r>
    <n v="378"/>
    <s v="Angélica Sarahi Escamilla Puente"/>
    <n v="3900"/>
    <n v="130"/>
    <n v="1950"/>
    <x v="214"/>
    <n v="6"/>
    <x v="2"/>
    <x v="29"/>
    <x v="3"/>
    <s v="LUN VIE"/>
    <m/>
    <s v="angelica.escamilla@grupomaia.com"/>
    <s v="IRIE DALÍ ANTARES CORTÉS"/>
    <m/>
    <m/>
    <m/>
    <m/>
    <s v="SÍ"/>
    <n v="16"/>
    <n v="0.25"/>
    <n v="4"/>
    <n v="15"/>
    <n v="1.0520547945205478"/>
    <n v="136.76712328767121"/>
    <n v="14.444444444444445"/>
    <n v="30380"/>
    <s v="RESIDENCIAL RAÚL RANGEL FRÍAS"/>
    <s v="SNPED"/>
    <n v="8363017177"/>
    <s v="ANGELICA1997@HOTMAIL.COM"/>
    <s v="SOLTE"/>
    <s v="CURSA"/>
    <s v="A"/>
    <d v="2022-03-05T00:00:00"/>
    <n v="10"/>
    <s v="UANL"/>
    <s v="EDUCACIÓN        "/>
    <s v=""/>
    <n v="71"/>
    <n v="39"/>
    <n v="2"/>
    <n v="1"/>
    <m/>
    <m/>
    <m/>
    <m/>
    <m/>
    <m/>
    <m/>
    <n v="495"/>
  </r>
  <r>
    <n v="382"/>
    <s v="Cecilia Jacqueline Loredo Gaytan"/>
    <n v="9450"/>
    <n v="315"/>
    <n v="4725"/>
    <x v="215"/>
    <n v="6"/>
    <x v="9"/>
    <x v="31"/>
    <x v="3"/>
    <s v="LUN VIE"/>
    <m/>
    <s v="cecilia.loredo@grupomaia.com"/>
    <s v="IDALIA GARCÍA ESCRIVÁ"/>
    <n v="43741"/>
    <n v="5422.4000000000005"/>
    <s v="INST CAMPO"/>
    <m/>
    <s v="SÍ"/>
    <n v="16"/>
    <n v="0.5"/>
    <n v="8"/>
    <n v="30"/>
    <n v="1.1041095890410959"/>
    <n v="347.79452054794518"/>
    <n v="35"/>
    <n v="31477"/>
    <s v="VILLA TOLEDO"/>
    <s v="ESCOB"/>
    <n v="8500938107"/>
    <s v="CECILIA1212@HOTMAIL.COM"/>
    <s v="SOLTE"/>
    <s v="CURSA"/>
    <s v="A"/>
    <d v="2022-03-06T00:00:00"/>
    <n v="9"/>
    <s v="UDLAP"/>
    <s v="INGENIERÍA CIVIL       "/>
    <s v=""/>
    <n v="64"/>
    <n v="36"/>
    <n v="3"/>
    <n v="1"/>
    <m/>
    <m/>
    <m/>
    <m/>
    <m/>
    <m/>
    <m/>
    <n v="869"/>
  </r>
  <r>
    <n v="383"/>
    <s v="Mario Alberto Arcos Santiago"/>
    <n v="9450"/>
    <n v="315"/>
    <n v="4725"/>
    <x v="215"/>
    <n v="6"/>
    <x v="4"/>
    <x v="7"/>
    <x v="3"/>
    <s v="LUN VIE"/>
    <m/>
    <s v="mario.arcos@grupomaia.com"/>
    <s v="MARIANO ALDEBARÁN"/>
    <n v="42741"/>
    <n v="6158.4000000000005"/>
    <s v="ADMINCIÓN"/>
    <m/>
    <s v="SÍ"/>
    <n v="16"/>
    <n v="0.5"/>
    <n v="8"/>
    <n v="30"/>
    <n v="1.1041095890410959"/>
    <n v="347.79452054794518"/>
    <n v="35"/>
    <n v="29138"/>
    <s v="LOS CRISTALES"/>
    <s v="JUARZ"/>
    <n v="3365987798"/>
    <s v="MARIO1975@HOTMAIL.COM"/>
    <s v="CASDO"/>
    <s v="TITUL"/>
    <s v="A"/>
    <d v="2022-10-10T00:00:00"/>
    <m/>
    <s v="UANL"/>
    <s v="ADMINISTRACIÓN        "/>
    <s v=""/>
    <n v="61"/>
    <n v="42"/>
    <n v="2"/>
    <n v="1"/>
    <m/>
    <m/>
    <m/>
    <m/>
    <m/>
    <m/>
    <m/>
    <n v="947"/>
  </r>
  <r>
    <n v="384"/>
    <s v="Noemi Villalobos Santana"/>
    <n v="8825"/>
    <n v="294.16666666666669"/>
    <n v="4412.5"/>
    <x v="216"/>
    <n v="6"/>
    <x v="7"/>
    <x v="8"/>
    <x v="3"/>
    <s v="LUN VIE"/>
    <m/>
    <s v="noemi.villalobos@grupomaia.com"/>
    <s v="MARCO AURELIO URBINO"/>
    <n v="44057"/>
    <n v="6160"/>
    <s v="ADMINCIÓN"/>
    <m/>
    <s v="SÍ"/>
    <n v="16"/>
    <n v="0.5"/>
    <n v="8"/>
    <n v="30"/>
    <n v="1.1041095890410959"/>
    <n v="324.79223744292239"/>
    <n v="32.68518518518519"/>
    <n v="35904"/>
    <s v="LOS FRESNOS"/>
    <s v="APODC"/>
    <n v="8374130304"/>
    <s v="NOEMI1010@HOTMAIL.COM"/>
    <s v="CASDO"/>
    <s v="TITUL"/>
    <s v="A"/>
    <d v="2022-04-19T00:00:00"/>
    <m/>
    <s v="UANL"/>
    <s v="CONTADOR PÚBLICO       "/>
    <s v=""/>
    <n v="82"/>
    <n v="24"/>
    <n v="1"/>
    <n v="1"/>
    <m/>
    <m/>
    <m/>
    <m/>
    <m/>
    <m/>
    <m/>
    <n v="100"/>
  </r>
  <r>
    <n v="385"/>
    <s v="Joana Lizeth Pérez Albardín"/>
    <n v="7445"/>
    <n v="248.16666666666666"/>
    <n v="3722.5"/>
    <x v="217"/>
    <n v="6"/>
    <x v="7"/>
    <x v="16"/>
    <x v="3"/>
    <s v="LUN VIE"/>
    <m/>
    <s v="joana.pérez@grupomaia.com"/>
    <s v="MARCO AURELIO URBINO"/>
    <m/>
    <m/>
    <m/>
    <m/>
    <s v="SÍ"/>
    <n v="16"/>
    <n v="0.5"/>
    <n v="8"/>
    <n v="30"/>
    <n v="1.1041095890410959"/>
    <n v="274.00319634703197"/>
    <n v="27.574074074074073"/>
    <n v="35934"/>
    <s v="JUANA DE ARCO"/>
    <s v="SNPED"/>
    <n v="8218352943"/>
    <s v="JOANA1983@HOTMAIL.COM"/>
    <s v="SOLTE"/>
    <s v="CURSA"/>
    <s v="A"/>
    <d v="2022-05-19T00:00:00"/>
    <n v="9"/>
    <s v="UV"/>
    <s v="FÍSICA        "/>
    <s v=""/>
    <n v="58"/>
    <n v="24"/>
    <n v="3"/>
    <n v="1"/>
    <m/>
    <m/>
    <m/>
    <m/>
    <m/>
    <m/>
    <m/>
    <n v="619"/>
  </r>
  <r>
    <n v="386"/>
    <s v="José Madero Tijerina"/>
    <n v="9450"/>
    <n v="315"/>
    <n v="4725"/>
    <x v="218"/>
    <n v="6"/>
    <x v="8"/>
    <x v="25"/>
    <x v="3"/>
    <s v="LUN VIE"/>
    <m/>
    <s v="jose.madero@grupomaia.com"/>
    <s v="EMMA DARIELA GARCÍA LORCA"/>
    <n v="44037"/>
    <n v="7060"/>
    <s v="RENDER"/>
    <m/>
    <s v="NO"/>
    <n v="16"/>
    <n v="0.5"/>
    <n v="8"/>
    <n v="30"/>
    <n v="1.1041095890410959"/>
    <n v="347.79452054794518"/>
    <n v="35"/>
    <n v="30967"/>
    <s v="TIJERINA"/>
    <s v="MONTY"/>
    <n v="8844408364"/>
    <s v="JOSE1212@HOTMAIL.COM"/>
    <s v="SOLTE"/>
    <s v="TITUL"/>
    <s v="B"/>
    <d v="2022-10-12T00:00:00"/>
    <m/>
    <s v="UANL"/>
    <s v="NEGOCIOS INTERNACIONALES       "/>
    <s v=""/>
    <n v="72"/>
    <n v="37"/>
    <n v="3"/>
    <n v="1"/>
    <m/>
    <m/>
    <m/>
    <m/>
    <m/>
    <m/>
    <m/>
    <n v="681"/>
  </r>
  <r>
    <n v="387"/>
    <s v="Salvador Morales Alcocer"/>
    <n v="10860"/>
    <n v="362"/>
    <n v="5430"/>
    <x v="219"/>
    <n v="6"/>
    <x v="4"/>
    <x v="27"/>
    <x v="3"/>
    <s v="LUN VIE"/>
    <m/>
    <s v="salvador.morales@grupomaia.com"/>
    <s v="MARIANO ALDEBARÁN"/>
    <n v="41128"/>
    <n v="5200"/>
    <s v="CONTA"/>
    <s v="COMPRAS"/>
    <s v="SÍ"/>
    <n v="16"/>
    <n v="0.5"/>
    <n v="8"/>
    <n v="30"/>
    <n v="1.1041095890410959"/>
    <n v="399.68767123287671"/>
    <n v="40.222222222222221"/>
    <n v="28920"/>
    <s v="SAN MARTÍN"/>
    <s v="SANTG"/>
    <n v="8205548639"/>
    <s v="SALVADOR1991@HOTMAIL.COM"/>
    <s v="SOLTE"/>
    <s v="CURSA"/>
    <s v="A"/>
    <d v="2022-03-06T00:00:00"/>
    <n v="10"/>
    <s v="UASLP"/>
    <s v="EDUCACIÓN        "/>
    <s v="FINANZAS"/>
    <n v="38"/>
    <n v="43"/>
    <n v="1"/>
    <n v="1"/>
    <m/>
    <m/>
    <m/>
    <m/>
    <m/>
    <m/>
    <m/>
    <n v="422"/>
  </r>
  <r>
    <n v="388"/>
    <s v="Brayan Antonio Lara Torres Carmona"/>
    <n v="9450"/>
    <n v="315"/>
    <n v="4725"/>
    <x v="220"/>
    <n v="6"/>
    <x v="2"/>
    <x v="29"/>
    <x v="3"/>
    <s v="LUN VIE"/>
    <m/>
    <s v="brayan.lara@grupomaia.com"/>
    <s v="IRIE DALÍ ANTARES CORTÉS"/>
    <n v="43571"/>
    <n v="5422.4000000000005"/>
    <s v="CONTA"/>
    <m/>
    <s v="NO"/>
    <n v="16"/>
    <n v="0.5"/>
    <n v="8"/>
    <n v="30"/>
    <n v="1.1041095890410959"/>
    <n v="347.79452054794518"/>
    <n v="35"/>
    <n v="31048"/>
    <s v="VALLE SANTGA CECILIA"/>
    <s v="STACT"/>
    <n v="8926767571"/>
    <s v="BRAYAN1212@HOTMAIL.COM"/>
    <s v="DIVOR"/>
    <s v="CURSA"/>
    <s v="B"/>
    <d v="2022-01-01T00:00:00"/>
    <n v="7"/>
    <s v="UANL"/>
    <s v="NEGOCIOS INTERNACIONALES       "/>
    <s v=""/>
    <n v="42"/>
    <n v="37"/>
    <n v="1"/>
    <n v="1"/>
    <m/>
    <m/>
    <m/>
    <m/>
    <m/>
    <m/>
    <m/>
    <n v="666"/>
  </r>
  <r>
    <n v="389"/>
    <s v="Alma Rely Manrique Cartagena"/>
    <n v="10350"/>
    <n v="345"/>
    <n v="5175"/>
    <x v="221"/>
    <n v="6"/>
    <x v="3"/>
    <x v="20"/>
    <x v="3"/>
    <s v="LUN VIE"/>
    <m/>
    <s v="alma.manrique@grupomaia.com"/>
    <s v="DIEGO HERRERA GIRÓN"/>
    <n v="41587"/>
    <n v="7060"/>
    <s v="CONTA"/>
    <s v="AUDIT ADMN"/>
    <s v="SÍ"/>
    <n v="16"/>
    <n v="0.5"/>
    <n v="8"/>
    <n v="30"/>
    <n v="1.1041095890410959"/>
    <n v="380.91780821917808"/>
    <n v="38.333333333333336"/>
    <n v="31839"/>
    <s v="RINCÓN DE SAN JEME"/>
    <s v="APODC"/>
    <n v="3032659898"/>
    <s v="ALMA1971@HOTMAIL.COM"/>
    <s v="SOLTE"/>
    <s v="CURSA"/>
    <s v="A"/>
    <d v="2022-03-03T00:00:00"/>
    <n v="8"/>
    <s v="UANL"/>
    <s v="INGENIERO EN MATERIALES      "/>
    <s v=""/>
    <n v="98"/>
    <n v="35"/>
    <n v="1"/>
    <n v="1"/>
    <m/>
    <m/>
    <m/>
    <m/>
    <m/>
    <m/>
    <m/>
    <n v="415"/>
  </r>
  <r>
    <n v="391"/>
    <s v="Alfonso Noyola Bustos"/>
    <n v="7445"/>
    <n v="248.16666666666666"/>
    <n v="3722.5"/>
    <x v="222"/>
    <n v="6"/>
    <x v="3"/>
    <x v="21"/>
    <x v="3"/>
    <s v="LUN VIE"/>
    <m/>
    <s v="alfonso.noyola@grupomaia.com"/>
    <s v="DIEGO HERRERA GIRÓN"/>
    <m/>
    <m/>
    <m/>
    <m/>
    <s v="SÍ"/>
    <n v="16"/>
    <n v="0.5"/>
    <n v="8"/>
    <n v="30"/>
    <n v="1.1041095890410959"/>
    <n v="274.00319634703197"/>
    <n v="27.574074074074073"/>
    <n v="34785"/>
    <s v="JARDINES DEL PASEO"/>
    <s v="GRCIA"/>
    <n v="3450330271"/>
    <s v="ALFONSO1993@HOTMAIL.COM"/>
    <s v="SOLTE"/>
    <s v="TITUL"/>
    <s v="A"/>
    <d v="2022-03-27T00:00:00"/>
    <m/>
    <s v="UANL"/>
    <s v="INGENIERÍA CIVIL       "/>
    <s v=""/>
    <n v="32"/>
    <n v="27"/>
    <n v="2"/>
    <n v="1"/>
    <m/>
    <m/>
    <m/>
    <m/>
    <m/>
    <m/>
    <m/>
    <n v="724"/>
  </r>
  <r>
    <n v="392"/>
    <s v="Alexander Islas Gutierrez"/>
    <n v="6778"/>
    <n v="225.93333333333334"/>
    <n v="3389"/>
    <x v="223"/>
    <n v="6"/>
    <x v="0"/>
    <x v="24"/>
    <x v="3"/>
    <s v="LUN VIE"/>
    <n v="0"/>
    <s v="alexander.islas@grupomaia.com"/>
    <s v="MARIANA RODRÍGUEZ GUTIERREZ"/>
    <m/>
    <m/>
    <m/>
    <m/>
    <s v="NO"/>
    <n v="16"/>
    <n v="0.5"/>
    <n v="8"/>
    <n v="25"/>
    <n v="1.0904109589041096"/>
    <n v="246.36018264840183"/>
    <n v="25.103703703703705"/>
    <n v="34157"/>
    <s v="EL FRAILE"/>
    <s v="SNICO"/>
    <n v="8174754125"/>
    <s v="ALEX.ISLAS@HOTMAIL.COM"/>
    <s v="Seleccionar…"/>
    <s v="TITUL"/>
    <s v="A"/>
    <d v="2022-07-07T00:00:00"/>
    <n v="0"/>
    <s v="UN"/>
    <s v="PSICOLOGÍA"/>
    <n v="0"/>
    <n v="50"/>
    <n v="28"/>
    <n v="1"/>
    <n v="1"/>
    <m/>
    <m/>
    <m/>
    <m/>
    <m/>
    <m/>
    <m/>
    <n v="482"/>
  </r>
  <r>
    <n v="393"/>
    <s v="Rocio Diaz Palma"/>
    <n v="10350"/>
    <n v="345"/>
    <n v="5175"/>
    <x v="84"/>
    <n v="5"/>
    <x v="0"/>
    <x v="24"/>
    <x v="3"/>
    <s v="LUN VIE"/>
    <m/>
    <s v="rocio.diaz@grupomaia.com"/>
    <s v="MARIANA RODRÍGUEZ GUTIERREZ"/>
    <n v="41849"/>
    <n v="5956"/>
    <s v="ARQUITECT"/>
    <s v="CONTROL"/>
    <s v="SÍ"/>
    <n v="16"/>
    <n v="0.5"/>
    <n v="8"/>
    <n v="30"/>
    <n v="1.1041095890410959"/>
    <n v="380.91780821917808"/>
    <n v="38.333333333333336"/>
    <n v="27771"/>
    <s v="VILLA MITRAS"/>
    <s v="SANTG"/>
    <e v="#REF!"/>
    <s v="ROCIO1995@HOTMAIL.COM"/>
    <s v="SOLTE"/>
    <s v="TITUL"/>
    <s v="A"/>
    <d v="2022-01-12T00:00:00"/>
    <m/>
    <s v="UANL"/>
    <s v="CONTADOR PÚBLICO       "/>
    <s v=""/>
    <n v="79"/>
    <n v="46"/>
    <n v="0"/>
    <n v="1"/>
    <m/>
    <m/>
    <m/>
    <m/>
    <m/>
    <m/>
    <m/>
    <n v="401"/>
  </r>
  <r>
    <n v="394"/>
    <s v="Edson Alejandro Vazquez Castillo"/>
    <n v="7445"/>
    <n v="248.16666666666666"/>
    <n v="3722.5"/>
    <x v="224"/>
    <n v="5"/>
    <x v="5"/>
    <x v="14"/>
    <x v="3"/>
    <s v="LUN VIE"/>
    <m/>
    <s v="edson.vazquez@grupomaia.com"/>
    <s v="MÉRIDA ISELA MEDINA SALINAS"/>
    <n v="43683"/>
    <n v="5422.4000000000005"/>
    <s v="ANLIS COST"/>
    <m/>
    <s v="SÍ"/>
    <n v="16"/>
    <n v="0.5"/>
    <n v="8"/>
    <n v="30"/>
    <n v="1.1041095890410959"/>
    <n v="274.00319634703197"/>
    <n v="27.574074074074073"/>
    <n v="34915"/>
    <s v="HERIBERTO JARA"/>
    <s v="GUADL"/>
    <n v="8702692686"/>
    <s v="EDSON88@HOTMAIL.COM"/>
    <s v="CASDO"/>
    <s v="CURSA"/>
    <s v="A"/>
    <d v="2022-08-04T00:00:00"/>
    <n v="8"/>
    <s v="UANL"/>
    <s v="ARQUITECTURA        "/>
    <s v=""/>
    <n v="40"/>
    <n v="26"/>
    <n v="0"/>
    <n v="1"/>
    <m/>
    <m/>
    <m/>
    <m/>
    <m/>
    <m/>
    <m/>
    <n v="391"/>
  </r>
  <r>
    <n v="395"/>
    <s v="Irma Solis Bolivar"/>
    <n v="9450"/>
    <n v="315"/>
    <n v="4725"/>
    <x v="225"/>
    <n v="5"/>
    <x v="1"/>
    <x v="30"/>
    <x v="3"/>
    <s v="LUN VIE"/>
    <m/>
    <s v="irma.solis@grupomaia.com"/>
    <s v="DENEB SANTIAGO ALTAIR VEGA"/>
    <n v="42765"/>
    <n v="5088"/>
    <s v="RENDER"/>
    <m/>
    <s v="NO"/>
    <n v="16"/>
    <n v="0.5"/>
    <n v="8"/>
    <n v="30"/>
    <n v="1.1041095890410959"/>
    <n v="347.79452054794518"/>
    <n v="35"/>
    <n v="27373"/>
    <s v="LLAVE DE ORO"/>
    <s v="MONTY"/>
    <n v="4318396230"/>
    <s v="IRMA1994@HOTMAIL.COM"/>
    <s v="SOLTE"/>
    <s v="TITUL"/>
    <s v="A"/>
    <d v="2022-12-10T00:00:00"/>
    <m/>
    <s v="UMM"/>
    <s v="INGENIERO ADMINISTRADOR DE SISTEMAS     "/>
    <s v=""/>
    <n v="72"/>
    <n v="47"/>
    <n v="0"/>
    <n v="1"/>
    <m/>
    <m/>
    <m/>
    <m/>
    <m/>
    <m/>
    <m/>
    <n v="478"/>
  </r>
  <r>
    <n v="396"/>
    <s v="Ingrid Elizabeth Perez Rangel"/>
    <n v="9450"/>
    <n v="315"/>
    <n v="4725"/>
    <x v="226"/>
    <n v="5"/>
    <x v="0"/>
    <x v="26"/>
    <x v="3"/>
    <s v="LUN VIE"/>
    <m/>
    <s v="ingrid.perez@grupomaia.com"/>
    <s v="MARIANA RODRÍGUEZ GUTIERREZ"/>
    <m/>
    <m/>
    <m/>
    <m/>
    <s v="SÍ"/>
    <n v="16"/>
    <n v="0.5"/>
    <n v="8"/>
    <n v="30"/>
    <n v="1.1041095890410959"/>
    <n v="347.79452054794518"/>
    <n v="35"/>
    <n v="33051"/>
    <s v="COLINA DE SAN BERNABÉ (F-25)"/>
    <s v="MONTY"/>
    <n v="8671135008"/>
    <s v="INGRID66@HOTMAIL.COM"/>
    <s v="SOLTE"/>
    <s v="TITUL"/>
    <s v="A"/>
    <d v="2022-06-27T00:00:00"/>
    <m/>
    <s v="UVM"/>
    <s v="CONTADOR PÚBLICO       "/>
    <s v=""/>
    <n v="77"/>
    <n v="32"/>
    <n v="0"/>
    <n v="1"/>
    <m/>
    <m/>
    <m/>
    <m/>
    <m/>
    <m/>
    <m/>
    <n v="710"/>
  </r>
  <r>
    <n v="397"/>
    <s v="Juan Miguel Cruz Bailon"/>
    <n v="9541"/>
    <n v="318.03333333333336"/>
    <n v="4770.5"/>
    <x v="227"/>
    <n v="5"/>
    <x v="0"/>
    <x v="24"/>
    <x v="3"/>
    <s v="LUN VIE"/>
    <m/>
    <s v="juan.cruz@grupomaia.com"/>
    <s v="MARIANA RODRÍGUEZ GUTIERREZ"/>
    <n v="43475"/>
    <n v="7632"/>
    <s v="INVERS"/>
    <m/>
    <s v="NO"/>
    <n v="16"/>
    <n v="0.5"/>
    <n v="8"/>
    <n v="30"/>
    <n v="1.1041095890410959"/>
    <n v="351.14365296803658"/>
    <n v="35.337037037037042"/>
    <n v="34973"/>
    <s v="VILLA TOLEDO"/>
    <s v="STACT"/>
    <n v="9995687412"/>
    <s v="JUAN1993@HOTMAIL.COM"/>
    <s v="DIVOR"/>
    <s v="CURSA"/>
    <s v="A"/>
    <d v="2022-10-01T00:00:00"/>
    <n v="6"/>
    <s v="UANL"/>
    <s v="EDUCACIÓN        "/>
    <s v=""/>
    <n v="44"/>
    <n v="26"/>
    <n v="3"/>
    <n v="1"/>
    <m/>
    <m/>
    <m/>
    <m/>
    <m/>
    <m/>
    <m/>
    <n v="331"/>
  </r>
  <r>
    <n v="398"/>
    <s v="Rocio Del Carmen Hernandez Gallardo"/>
    <n v="7445"/>
    <n v="248.16666666666666"/>
    <n v="3722.5"/>
    <x v="228"/>
    <n v="5"/>
    <x v="3"/>
    <x v="21"/>
    <x v="3"/>
    <s v="LUN VIE"/>
    <m/>
    <s v="rocio.carmen@grupomaia.com"/>
    <s v="DIEGO HERRERA GIRÓN"/>
    <m/>
    <m/>
    <m/>
    <m/>
    <s v="SÍ"/>
    <n v="16"/>
    <n v="0.5"/>
    <n v="8"/>
    <n v="30"/>
    <n v="1.1041095890410959"/>
    <n v="274.00319634703197"/>
    <n v="27.574074074074073"/>
    <n v="25683"/>
    <s v="UNIÓN ANTORCHISTA"/>
    <s v="SNPED"/>
    <n v="5609792149"/>
    <s v="ROCIO1997@HOTMAIL.COM"/>
    <s v="DIVOR"/>
    <s v="MAEST"/>
    <s v="A"/>
    <d v="2022-04-25T00:00:00"/>
    <m/>
    <s v="UANL"/>
    <s v="INGENIERÍA CIVIL       "/>
    <s v="DISEÑO INDUSTRIAL       "/>
    <n v="77"/>
    <n v="52"/>
    <n v="1"/>
    <n v="1"/>
    <m/>
    <m/>
    <m/>
    <m/>
    <m/>
    <m/>
    <m/>
    <n v="867"/>
  </r>
  <r>
    <n v="399"/>
    <s v="Damaris López Cárcamo"/>
    <n v="7445"/>
    <n v="248.16666666666666"/>
    <n v="3722.5"/>
    <x v="229"/>
    <n v="5"/>
    <x v="3"/>
    <x v="19"/>
    <x v="3"/>
    <s v="LUN VIE"/>
    <m/>
    <s v="damaris.lópez@grupomaia.com"/>
    <s v="DIEGO HERRERA GIRÓN"/>
    <m/>
    <m/>
    <m/>
    <m/>
    <s v="SÍ"/>
    <n v="16"/>
    <n v="0.5"/>
    <n v="8"/>
    <n v="30"/>
    <n v="1.1041095890410959"/>
    <n v="274.00319634703197"/>
    <n v="27.574074074074073"/>
    <n v="35998"/>
    <s v="VILLAS DE LA HACIENDA"/>
    <s v="SNPED"/>
    <n v="9874384138"/>
    <s v="YESSICA66@HOTMAIL.COM"/>
    <s v="SOLTE"/>
    <s v="TITUL"/>
    <s v="C"/>
    <d v="2022-07-22T00:00:00"/>
    <m/>
    <s v="UANL"/>
    <s v="INGENIERO EN MATERIALES      "/>
    <s v=""/>
    <n v="95"/>
    <n v="23"/>
    <n v="2"/>
    <n v="1"/>
    <m/>
    <m/>
    <m/>
    <m/>
    <m/>
    <m/>
    <m/>
    <n v="119"/>
  </r>
  <r>
    <n v="401"/>
    <s v="Juan Pablo Arellano Mejia"/>
    <n v="7445"/>
    <n v="248.16666666666666"/>
    <n v="3722.5"/>
    <x v="230"/>
    <n v="5"/>
    <x v="3"/>
    <x v="19"/>
    <x v="3"/>
    <s v="LUN VIE"/>
    <m/>
    <s v="juan.arellano@grupomaia.com"/>
    <s v="DIEGO HERRERA GIRÓN"/>
    <m/>
    <m/>
    <m/>
    <m/>
    <s v="SÍ"/>
    <n v="16"/>
    <n v="0.5"/>
    <n v="8"/>
    <n v="30"/>
    <n v="1.1041095890410959"/>
    <n v="274.00319634703197"/>
    <n v="27.574074074074073"/>
    <n v="31286"/>
    <s v="ABELARDO ZAPATA"/>
    <s v="ESCOB"/>
    <n v="6716444517"/>
    <s v="JUAN1973@HOTMAIL.COM"/>
    <s v="SOLTE"/>
    <s v="TITUL"/>
    <s v="C"/>
    <d v="2022-08-27T00:00:00"/>
    <n v="5"/>
    <s v="UANL"/>
    <s v="INGENIERÍA CIVIL       "/>
    <s v=""/>
    <n v="73"/>
    <n v="36"/>
    <n v="0"/>
    <n v="1"/>
    <m/>
    <m/>
    <m/>
    <m/>
    <m/>
    <m/>
    <m/>
    <n v="761"/>
  </r>
  <r>
    <n v="402"/>
    <s v="José Humberto Peñaflor Galicia"/>
    <n v="9541"/>
    <n v="318.03333333333336"/>
    <n v="4770.5"/>
    <x v="231"/>
    <n v="5"/>
    <x v="3"/>
    <x v="20"/>
    <x v="3"/>
    <s v="LUN VIE"/>
    <m/>
    <s v="jose.peñaflor@grupomaia.com"/>
    <s v="DIEGO HERRERA GIRÓN"/>
    <n v="43039"/>
    <n v="5422.4000000000005"/>
    <s v="ADMINCIÓN"/>
    <m/>
    <s v="SÍ"/>
    <n v="16"/>
    <n v="0.5"/>
    <n v="8"/>
    <n v="30"/>
    <n v="1.1041095890410959"/>
    <n v="351.14365296803658"/>
    <n v="35.337037037037042"/>
    <n v="31683"/>
    <s v="EL PINITO"/>
    <s v="SNICO"/>
    <n v="8866160910"/>
    <s v="JOSE1414@HOTMAIL.COM"/>
    <s v="SOLTE"/>
    <s v="CURSA"/>
    <s v="B"/>
    <d v="2022-09-28T00:00:00"/>
    <n v="7"/>
    <s v="UANL"/>
    <s v="INGENIERÍA CIVIL       "/>
    <s v=""/>
    <n v="100"/>
    <n v="35"/>
    <n v="1"/>
    <n v="1"/>
    <m/>
    <m/>
    <m/>
    <m/>
    <m/>
    <m/>
    <m/>
    <n v="187"/>
  </r>
  <r>
    <n v="403"/>
    <s v="Sheyla Rubi Ocampo Ponce"/>
    <n v="7950"/>
    <n v="265"/>
    <n v="3975"/>
    <x v="232"/>
    <n v="5"/>
    <x v="4"/>
    <x v="7"/>
    <x v="3"/>
    <s v="LUN VIE"/>
    <m/>
    <s v="sheyla.ocampo@grupomaia.com"/>
    <s v="MARIANO ALDEBARÁN"/>
    <m/>
    <m/>
    <m/>
    <m/>
    <s v="SÍ"/>
    <n v="16"/>
    <n v="0.5"/>
    <n v="8"/>
    <n v="30"/>
    <n v="1.1041095890410959"/>
    <n v="292.58904109589042"/>
    <n v="29.444444444444443"/>
    <n v="31638"/>
    <s v="MARTÍNEZ"/>
    <s v="SANTG"/>
    <n v="8990182882"/>
    <s v="SHEYLA1996@HOTMAIL.COM"/>
    <s v="SOLTE"/>
    <s v="CURSA"/>
    <s v="A"/>
    <d v="2022-08-14T00:00:00"/>
    <n v="10"/>
    <s v="UANL"/>
    <s v="MULTIMEDIA Y ANIMACIÓN DIGITAL          "/>
    <s v=""/>
    <n v="86"/>
    <n v="35"/>
    <n v="1"/>
    <n v="1"/>
    <m/>
    <m/>
    <m/>
    <m/>
    <m/>
    <m/>
    <m/>
    <n v="973"/>
  </r>
  <r>
    <n v="404"/>
    <s v="Jaime Alejandro Sanchez Niño"/>
    <n v="9450"/>
    <n v="315"/>
    <n v="4725"/>
    <x v="233"/>
    <n v="5"/>
    <x v="3"/>
    <x v="21"/>
    <x v="3"/>
    <s v="LUN VIE"/>
    <m/>
    <s v="jaime.jaime@grupomaia.com"/>
    <s v="DIEGO HERRERA GIRÓN"/>
    <n v="42750"/>
    <n v="5422.4000000000005"/>
    <s v="FACTURAS"/>
    <m/>
    <s v="SÍ"/>
    <n v="16"/>
    <n v="0.5"/>
    <n v="8"/>
    <n v="30"/>
    <n v="1.1041095890410959"/>
    <n v="347.79452054794518"/>
    <n v="35"/>
    <n v="35328"/>
    <s v="DIF (F-15)"/>
    <s v="APODC"/>
    <n v="8496807397"/>
    <s v="JAIME1212@HOTMAIL.COM"/>
    <s v="SOLTE"/>
    <s v="CURSA"/>
    <s v="A"/>
    <d v="2022-09-20T00:00:00"/>
    <n v="9"/>
    <s v="UANL"/>
    <s v="INGENIERÍA CIVIL       "/>
    <s v=""/>
    <n v="97"/>
    <n v="25"/>
    <n v="1"/>
    <n v="1"/>
    <m/>
    <m/>
    <m/>
    <m/>
    <m/>
    <m/>
    <m/>
    <n v="842"/>
  </r>
  <r>
    <n v="405"/>
    <s v="Eduardo Pacheco Nava"/>
    <n v="6778"/>
    <n v="225.93333333333334"/>
    <n v="3389"/>
    <x v="234"/>
    <n v="5"/>
    <x v="4"/>
    <x v="7"/>
    <x v="3"/>
    <s v="LUN VIE"/>
    <m/>
    <s v="eduardo.pacheco@grupomaia.com"/>
    <s v="MARIANO ALDEBARÁN"/>
    <m/>
    <m/>
    <m/>
    <m/>
    <s v="SÍ"/>
    <n v="16"/>
    <n v="0.25"/>
    <n v="4"/>
    <n v="15"/>
    <n v="1.0520547945205478"/>
    <n v="237.69424657534245"/>
    <n v="25.103703703703705"/>
    <n v="33538"/>
    <s v="LLAVE DE ORO"/>
    <s v="SNICO"/>
    <n v="2109853662"/>
    <s v="EDUARDO1989@HOTMAIL.COM"/>
    <s v="SOLTE"/>
    <s v="CURSA"/>
    <s v="B"/>
    <d v="2022-10-27T00:00:00"/>
    <n v="10"/>
    <s v="UANL"/>
    <s v="FÍSICA        "/>
    <s v=""/>
    <n v="33"/>
    <n v="30"/>
    <n v="1"/>
    <n v="1"/>
    <m/>
    <m/>
    <m/>
    <m/>
    <m/>
    <m/>
    <m/>
    <n v="55"/>
  </r>
  <r>
    <n v="407"/>
    <s v="Bernandina Salgado Lorenzo"/>
    <n v="7950"/>
    <n v="265"/>
    <n v="3975"/>
    <x v="235"/>
    <n v="5"/>
    <x v="3"/>
    <x v="21"/>
    <x v="3"/>
    <s v="LUN VIE"/>
    <m/>
    <s v="bernandina.salgado@grupomaia.com"/>
    <s v="DIEGO HERRERA GIRÓN"/>
    <n v="43977"/>
    <n v="5956"/>
    <s v="INST CAMPO"/>
    <m/>
    <s v="SÍ"/>
    <n v="16"/>
    <n v="0.5"/>
    <n v="8"/>
    <n v="30"/>
    <n v="1.1041095890410959"/>
    <n v="292.58904109589042"/>
    <n v="29.444444444444443"/>
    <n v="29224"/>
    <s v="ARTICULO 27 (F-96)"/>
    <s v="STACT"/>
    <n v="4547840597"/>
    <s v="BERNANDINA1990@HOTMAIL.COM"/>
    <s v="CASDO"/>
    <s v="TITUL"/>
    <s v="A"/>
    <d v="2022-01-04T00:00:00"/>
    <m/>
    <s v="TECMIL"/>
    <s v="INGENIERÍA CIVIL       "/>
    <s v=""/>
    <n v="95"/>
    <n v="42"/>
    <n v="0"/>
    <n v="1"/>
    <m/>
    <m/>
    <m/>
    <m/>
    <m/>
    <m/>
    <m/>
    <n v="365"/>
  </r>
  <r>
    <n v="408"/>
    <s v="Anadela Deyanira Rivera Betancourt"/>
    <n v="6778"/>
    <n v="225.93333333333334"/>
    <n v="3389"/>
    <x v="236"/>
    <n v="5"/>
    <x v="0"/>
    <x v="24"/>
    <x v="3"/>
    <s v="LUN VIE"/>
    <m/>
    <s v="anadela.rivera@grupomaia.com"/>
    <s v="MARIANA RODRÍGUEZ GUTIERREZ"/>
    <m/>
    <m/>
    <m/>
    <m/>
    <s v="NO"/>
    <n v="16"/>
    <n v="0.25"/>
    <n v="4"/>
    <n v="15"/>
    <n v="1.0520547945205478"/>
    <n v="237.69424657534245"/>
    <n v="25.103703703703705"/>
    <n v="28706"/>
    <s v="VILLA CUMBRES"/>
    <s v="JUARZ"/>
    <n v="8178896072"/>
    <s v="ANADELA66@HOTMAIL.COM"/>
    <s v="SOLTE"/>
    <s v="PSNTE"/>
    <s v="A"/>
    <d v="2022-08-04T00:00:00"/>
    <m/>
    <s v="UVM"/>
    <s v="NEGOCIOS INTERNACIONALES       "/>
    <s v=""/>
    <n v="62"/>
    <n v="43"/>
    <n v="2"/>
    <n v="1"/>
    <m/>
    <m/>
    <m/>
    <m/>
    <m/>
    <m/>
    <m/>
    <n v="800"/>
  </r>
  <r>
    <n v="410"/>
    <s v="Paulina Guadalupe Lozano Morales"/>
    <n v="9541"/>
    <n v="318.03333333333336"/>
    <n v="4770.5"/>
    <x v="237"/>
    <n v="5"/>
    <x v="3"/>
    <x v="21"/>
    <x v="3"/>
    <s v="LUN VIE"/>
    <m/>
    <s v="paulina.lozano@grupomaia.com"/>
    <s v="DIEGO HERRERA GIRÓN"/>
    <n v="42432"/>
    <n v="7060"/>
    <s v="AUDIT ADMN"/>
    <m/>
    <s v="SÍ"/>
    <n v="16"/>
    <n v="0.5"/>
    <n v="8"/>
    <n v="30"/>
    <n v="1.1041095890410959"/>
    <n v="351.14365296803658"/>
    <n v="35.337037037037042"/>
    <n v="32575"/>
    <s v="RESIDENCIAL VIDRIERA"/>
    <s v="APODC"/>
    <n v="8649573763"/>
    <s v="PAULINA1414@HOTMAIL.COM"/>
    <s v="SOLTE"/>
    <s v="CURSA"/>
    <s v="A"/>
    <d v="2022-03-08T00:00:00"/>
    <n v="10"/>
    <s v="UANL"/>
    <s v="INGENIERÍA CIVIL       "/>
    <s v=""/>
    <n v="84"/>
    <n v="33"/>
    <n v="2"/>
    <n v="1"/>
    <m/>
    <m/>
    <m/>
    <m/>
    <m/>
    <m/>
    <m/>
    <n v="947"/>
  </r>
  <r>
    <n v="411"/>
    <s v="Debanhi Patricia Escobar Gonzalez"/>
    <n v="7445"/>
    <n v="248.16666666666666"/>
    <n v="3722.5"/>
    <x v="238"/>
    <n v="5"/>
    <x v="4"/>
    <x v="27"/>
    <x v="3"/>
    <s v="LUN VIE"/>
    <m/>
    <s v="debanhi.escobar@grupomaia.com"/>
    <s v="MARIANO ALDEBARÁN"/>
    <m/>
    <m/>
    <m/>
    <m/>
    <s v="NO"/>
    <n v="16"/>
    <n v="0.5"/>
    <n v="8"/>
    <n v="30"/>
    <n v="1.1041095890410959"/>
    <n v="274.00319634703197"/>
    <n v="27.574074074074073"/>
    <n v="29587"/>
    <s v="BENITO JUÁREZ"/>
    <s v="MONTY"/>
    <n v="8901609886"/>
    <s v="DEBANHI66@HOTMAIL.COM"/>
    <s v="SOLTE"/>
    <s v="CURSA"/>
    <s v="B"/>
    <d v="2022-01-01T00:00:00"/>
    <n v="6"/>
    <s v="UANL"/>
    <s v="CONTADOR PÚBLICO       "/>
    <s v=""/>
    <n v="75"/>
    <n v="41"/>
    <n v="1"/>
    <n v="1"/>
    <m/>
    <m/>
    <m/>
    <m/>
    <m/>
    <m/>
    <m/>
    <n v="71"/>
  </r>
  <r>
    <n v="413"/>
    <s v="Silvia Olivia Mondragon Martinez"/>
    <n v="7445"/>
    <n v="248.16666666666666"/>
    <n v="3722.5"/>
    <x v="239"/>
    <n v="5"/>
    <x v="3"/>
    <x v="20"/>
    <x v="3"/>
    <s v="LUN VIE"/>
    <m/>
    <s v="silvia.mondragon@grupomaia.com"/>
    <s v="DIEGO HERRERA GIRÓN"/>
    <m/>
    <m/>
    <m/>
    <m/>
    <s v="SÍ"/>
    <n v="16"/>
    <n v="0.5"/>
    <n v="8"/>
    <n v="30"/>
    <n v="1.1041095890410959"/>
    <n v="274.00319634703197"/>
    <n v="27.574074074074073"/>
    <n v="34324"/>
    <s v="REFORMA"/>
    <s v="MONTY"/>
    <n v="8206080913"/>
    <s v="SILVIA1979@HOTMAIL.COM"/>
    <s v="SOLTE"/>
    <s v="CURSA"/>
    <s v="A"/>
    <d v="2022-12-21T00:00:00"/>
    <n v="9"/>
    <s v="UANL"/>
    <s v="INGENIERÍA CIVIL       "/>
    <s v=""/>
    <n v="79"/>
    <n v="28"/>
    <n v="2"/>
    <n v="1"/>
    <m/>
    <m/>
    <m/>
    <m/>
    <m/>
    <m/>
    <m/>
    <n v="830"/>
  </r>
  <r>
    <n v="414"/>
    <s v="Araceli Martinez Lopez"/>
    <n v="6778"/>
    <n v="225.93333333333334"/>
    <n v="3389"/>
    <x v="239"/>
    <n v="5"/>
    <x v="3"/>
    <x v="20"/>
    <x v="3"/>
    <s v="LUN VIE"/>
    <m/>
    <s v="araceli.martinez@grupomaia.com"/>
    <s v="DIEGO HERRERA GIRÓN"/>
    <m/>
    <m/>
    <m/>
    <m/>
    <s v="SÍ"/>
    <n v="16"/>
    <n v="0.25"/>
    <n v="4"/>
    <n v="15"/>
    <n v="1.0520547945205478"/>
    <n v="237.69424657534245"/>
    <n v="25.103703703703705"/>
    <n v="31766"/>
    <s v="COLONIA"/>
    <s v="MONTY"/>
    <n v="5598137163"/>
    <s v="ARACELI1998@HOTMAIL.COM"/>
    <s v="SOLTE"/>
    <s v="CURSA"/>
    <s v="A"/>
    <d v="2022-12-20T00:00:00"/>
    <n v="5"/>
    <s v="UANL"/>
    <s v="INGENIERÍA CIVIL       "/>
    <s v=""/>
    <n v="42"/>
    <n v="35"/>
    <n v="0"/>
    <n v="1"/>
    <m/>
    <m/>
    <m/>
    <m/>
    <m/>
    <m/>
    <m/>
    <n v="139"/>
  </r>
  <r>
    <n v="415"/>
    <s v="Debany Maríana Galván Galván"/>
    <n v="9450"/>
    <n v="315"/>
    <n v="4725"/>
    <x v="239"/>
    <n v="5"/>
    <x v="7"/>
    <x v="8"/>
    <x v="3"/>
    <s v="LUN VIE"/>
    <m/>
    <s v="debany.galván@grupomaia.com"/>
    <s v="MARCO AURELIO URBINO"/>
    <n v="43501"/>
    <n v="5422.4000000000005"/>
    <s v="AUDIT PROY"/>
    <m/>
    <s v="SÍ"/>
    <n v="16"/>
    <n v="0.5"/>
    <n v="8"/>
    <n v="30"/>
    <n v="1.1041095890410959"/>
    <n v="347.79452054794518"/>
    <n v="35"/>
    <n v="35497"/>
    <s v="15 DE MAYO (LARRALDE)"/>
    <s v="MONTY"/>
    <n v="8157494958"/>
    <s v="DEBANY1980@HOTMAIL.COM"/>
    <s v="CASDO"/>
    <s v="CURSA"/>
    <s v="A"/>
    <d v="2022-03-08T00:00:00"/>
    <n v="7"/>
    <s v="UANL"/>
    <s v="BIBLIOTECOLOGÍA Y CIENCIA DE LA INFORMACIÓN   "/>
    <s v=""/>
    <n v="39"/>
    <n v="25"/>
    <n v="0"/>
    <n v="1"/>
    <m/>
    <m/>
    <m/>
    <m/>
    <m/>
    <m/>
    <m/>
    <n v="657"/>
  </r>
  <r>
    <n v="418"/>
    <s v="Norbella Evangelista Hernandez"/>
    <n v="7950"/>
    <n v="265"/>
    <n v="3975"/>
    <x v="240"/>
    <n v="5"/>
    <x v="0"/>
    <x v="24"/>
    <x v="3"/>
    <s v="LUN VIE"/>
    <m/>
    <s v="norbella.evangelista@grupomaia.com"/>
    <s v="MARIANA RODRÍGUEZ GUTIERREZ"/>
    <n v="43397"/>
    <n v="5956"/>
    <s v="AUDIT PROY"/>
    <m/>
    <s v="SÍ"/>
    <n v="16"/>
    <n v="0.5"/>
    <n v="8"/>
    <n v="30"/>
    <n v="1.1041095890410959"/>
    <n v="292.58904109589042"/>
    <n v="29.444444444444443"/>
    <n v="36436"/>
    <s v="PRIVADAS DEL PEDREGAL"/>
    <s v="STACT"/>
    <n v="8112305975"/>
    <s v="NORBELLA1976@HOTMAIL.COM"/>
    <s v="SOLTE"/>
    <s v="TITUL"/>
    <s v="A"/>
    <d v="2022-10-03T00:00:00"/>
    <m/>
    <s v="UANL"/>
    <s v="NEGOCIOS INTERNACIONALES       "/>
    <s v=""/>
    <n v="81"/>
    <n v="22"/>
    <n v="0"/>
    <n v="1"/>
    <m/>
    <m/>
    <m/>
    <m/>
    <m/>
    <m/>
    <m/>
    <n v="775"/>
  </r>
  <r>
    <n v="420"/>
    <s v="Ana María Amelia Solis Saravia"/>
    <n v="7445"/>
    <n v="248.16666666666666"/>
    <n v="3722.5"/>
    <x v="241"/>
    <n v="5"/>
    <x v="4"/>
    <x v="4"/>
    <x v="3"/>
    <s v="LUN VIE"/>
    <m/>
    <s v="ana.solis@grupomaia.com"/>
    <s v="MARIANO ALDEBARÁN"/>
    <m/>
    <m/>
    <m/>
    <m/>
    <s v="NO"/>
    <n v="16"/>
    <n v="0.5"/>
    <n v="8"/>
    <n v="30"/>
    <n v="1.1041095890410959"/>
    <n v="274.00319634703197"/>
    <n v="27.574074074074073"/>
    <n v="25937"/>
    <s v="PROVILEON SAN BERNABÉ"/>
    <s v="SNPED"/>
    <n v="6698543217"/>
    <s v="ANA1972@HOTMAIL.COM"/>
    <s v="UNLIB"/>
    <s v="MAEST"/>
    <s v="B"/>
    <d v="2022-01-04T00:00:00"/>
    <m/>
    <s v="UANL"/>
    <s v="NEGOCIOS INTERNACIONALES       "/>
    <s v="ECONOMÍA        "/>
    <n v="68"/>
    <n v="51"/>
    <n v="0"/>
    <n v="1"/>
    <m/>
    <m/>
    <m/>
    <m/>
    <m/>
    <m/>
    <m/>
    <n v="596"/>
  </r>
  <r>
    <n v="421"/>
    <s v="Norma Edith Santiago Ramos"/>
    <n v="6778"/>
    <n v="225.93333333333334"/>
    <n v="3389"/>
    <x v="242"/>
    <n v="5"/>
    <x v="7"/>
    <x v="16"/>
    <x v="3"/>
    <s v="LUN VIE"/>
    <m/>
    <s v="norma.santiago@grupomaia.com"/>
    <s v="MARCO AURELIO URBINO"/>
    <m/>
    <m/>
    <m/>
    <m/>
    <s v="SÍ"/>
    <n v="16"/>
    <n v="0.25"/>
    <n v="4"/>
    <n v="15"/>
    <n v="1.0520547945205478"/>
    <n v="237.69424657534245"/>
    <n v="25.103703703703705"/>
    <n v="35193"/>
    <s v="RANCHO LA BOLA"/>
    <s v="SNICO"/>
    <n v="7831234578"/>
    <s v="NORMA1414@HOTMAIL.COM"/>
    <s v="SOLTE"/>
    <s v="TITUL"/>
    <s v="A"/>
    <d v="2022-05-08T00:00:00"/>
    <m/>
    <s v="UV"/>
    <s v="CIENCIAS DE LA COMUNICACIÓN CON ACENTUACIÓN EN INFORMACIÓN "/>
    <s v=""/>
    <n v="88"/>
    <n v="26"/>
    <n v="0"/>
    <n v="1"/>
    <m/>
    <m/>
    <m/>
    <m/>
    <m/>
    <m/>
    <m/>
    <n v="67"/>
  </r>
  <r>
    <n v="424"/>
    <s v="Marcelo García Hernandez"/>
    <n v="9541"/>
    <n v="318.03333333333336"/>
    <n v="4770.5"/>
    <x v="243"/>
    <n v="5"/>
    <x v="0"/>
    <x v="26"/>
    <x v="3"/>
    <s v="LUN VIE"/>
    <m/>
    <s v="marcelo.garcia@grupomaia.com"/>
    <s v="MARIANA RODRÍGUEZ GUTIERREZ"/>
    <n v="43030"/>
    <n v="7600"/>
    <s v="RELACIONES"/>
    <m/>
    <s v="NO"/>
    <n v="16"/>
    <n v="0.5"/>
    <n v="8"/>
    <n v="30"/>
    <n v="1.1041095890410959"/>
    <n v="351.14365296803658"/>
    <n v="35.337037037037042"/>
    <n v="28309"/>
    <s v="CIUDAD SATÉLITE"/>
    <s v="APODC"/>
    <n v="9180342669"/>
    <s v="MARCELO1997@HOTMAIL.COM"/>
    <s v="SOLTE"/>
    <s v="CURSA"/>
    <s v="A"/>
    <d v="2022-07-03T00:00:00"/>
    <n v="7"/>
    <s v="UASLP"/>
    <s v="ADMINISTRACIÓN        "/>
    <s v=""/>
    <n v="62"/>
    <n v="45"/>
    <n v="2"/>
    <n v="1"/>
    <m/>
    <m/>
    <m/>
    <m/>
    <m/>
    <m/>
    <m/>
    <n v="539"/>
  </r>
  <r>
    <n v="425"/>
    <s v="José Ivan Zacarias Moreno"/>
    <n v="10860"/>
    <n v="362"/>
    <n v="5430"/>
    <x v="43"/>
    <n v="5"/>
    <x v="3"/>
    <x v="21"/>
    <x v="3"/>
    <s v="LUN VIE"/>
    <m/>
    <s v="jose.zacarias@grupomaia.com"/>
    <s v="DIEGO HERRERA GIRÓN"/>
    <n v="40819"/>
    <n v="6158.4000000000005"/>
    <s v="INST CAMPO"/>
    <s v="SOLUCIONES"/>
    <s v="SÍ"/>
    <n v="16"/>
    <n v="0.5"/>
    <n v="8"/>
    <n v="30"/>
    <n v="1.1041095890410959"/>
    <n v="399.68767123287671"/>
    <n v="40.222222222222221"/>
    <n v="30544"/>
    <s v="MARTÍNEZ"/>
    <s v="STACT"/>
    <n v="8198865742"/>
    <s v="JOSE1972@HOTMAIL.COM"/>
    <s v="SOLTE"/>
    <s v="CURSA"/>
    <s v="A"/>
    <d v="2022-08-16T00:00:00"/>
    <n v="5"/>
    <s v="UANL"/>
    <s v="INGENIERO EN MATERIALES      "/>
    <s v=""/>
    <n v="34"/>
    <n v="38"/>
    <n v="1"/>
    <n v="1"/>
    <m/>
    <m/>
    <m/>
    <m/>
    <m/>
    <m/>
    <m/>
    <n v="44"/>
  </r>
  <r>
    <n v="426"/>
    <s v="Margarita Salgado Noguez"/>
    <n v="9450"/>
    <n v="315"/>
    <n v="4725"/>
    <x v="244"/>
    <n v="5"/>
    <x v="5"/>
    <x v="14"/>
    <x v="3"/>
    <s v="LUN VIE"/>
    <m/>
    <s v="margarita.salgado@grupomaia.com"/>
    <s v="MÉRIDA ISELA MEDINA SALINAS"/>
    <n v="43637"/>
    <n v="5956"/>
    <s v="COMPRAS"/>
    <m/>
    <s v="SÍ"/>
    <n v="16"/>
    <n v="0.5"/>
    <n v="8"/>
    <n v="30"/>
    <n v="1.1041095890410959"/>
    <n v="347.79452054794518"/>
    <n v="35"/>
    <n v="33095"/>
    <s v="MISIÓN CANTERÍAS"/>
    <s v="APODC"/>
    <n v="3450651925"/>
    <s v="MARGARITA1995@HOTMAIL.COM"/>
    <s v="SOLTE"/>
    <s v="CURSA"/>
    <s v="A"/>
    <d v="2022-08-10T00:00:00"/>
    <n v="8"/>
    <s v="IPN"/>
    <s v="ARQUITECTURA        "/>
    <s v=""/>
    <n v="38"/>
    <n v="31"/>
    <n v="2"/>
    <n v="1"/>
    <m/>
    <m/>
    <m/>
    <m/>
    <m/>
    <m/>
    <m/>
    <n v="229"/>
  </r>
  <r>
    <n v="427"/>
    <s v="Jorge Enrique Arellano Villalobos"/>
    <n v="6778"/>
    <n v="225.93333333333334"/>
    <n v="3389"/>
    <x v="245"/>
    <n v="5"/>
    <x v="4"/>
    <x v="4"/>
    <x v="3"/>
    <s v="LUN VIE"/>
    <m/>
    <s v="jorge.arellano@grupomaia.com"/>
    <s v="MARIANO ALDEBARÁN"/>
    <m/>
    <m/>
    <m/>
    <m/>
    <s v="SÍ"/>
    <n v="16"/>
    <n v="0.25"/>
    <n v="4"/>
    <n v="15"/>
    <n v="1.0520547945205478"/>
    <n v="237.69424657534245"/>
    <n v="25.103703703703705"/>
    <n v="26761"/>
    <s v="SANTGA FE"/>
    <s v="GRCIA"/>
    <n v="5633666534"/>
    <s v="JORGE1990@HOTMAIL.COM"/>
    <s v="SOLTE"/>
    <s v="CURSA"/>
    <s v="A"/>
    <d v="2022-04-07T00:00:00"/>
    <n v="10"/>
    <s v="UANL"/>
    <s v="FÍSICA        "/>
    <s v=""/>
    <n v="73"/>
    <n v="49"/>
    <n v="0"/>
    <n v="1"/>
    <m/>
    <m/>
    <m/>
    <m/>
    <m/>
    <m/>
    <m/>
    <n v="290"/>
  </r>
  <r>
    <n v="428"/>
    <s v="Georgina Mayoral Nabor"/>
    <n v="10350"/>
    <n v="345"/>
    <n v="5175"/>
    <x v="246"/>
    <n v="5"/>
    <x v="5"/>
    <x v="14"/>
    <x v="3"/>
    <s v="LUN VIE"/>
    <m/>
    <s v="georgina.mayoral@grupomaia.com"/>
    <s v="MÉRIDA ISELA MEDINA SALINAS"/>
    <n v="41903"/>
    <n v="5088"/>
    <s v="SOFTWARE"/>
    <s v="ANLIS COST"/>
    <s v="SÍ"/>
    <n v="16"/>
    <n v="0.5"/>
    <n v="8"/>
    <n v="30"/>
    <n v="1.1041095890410959"/>
    <n v="380.91780821917808"/>
    <n v="38.333333333333336"/>
    <n v="36101"/>
    <s v="SATÉLITE ACUEDUCTO SÉPTIMO SECTOR"/>
    <s v="GUADL"/>
    <n v="8210871383"/>
    <s v="GEORGINA1986@HOTMAIL.COM"/>
    <s v="DIVOR"/>
    <s v="CURSA"/>
    <s v="A"/>
    <d v="2022-11-02T00:00:00"/>
    <n v="7"/>
    <s v="UANL"/>
    <s v="ARQUITECTURA        "/>
    <s v=""/>
    <n v="94"/>
    <n v="23"/>
    <n v="3"/>
    <n v="1"/>
    <m/>
    <m/>
    <m/>
    <m/>
    <m/>
    <m/>
    <m/>
    <n v="545"/>
  </r>
  <r>
    <n v="430"/>
    <s v="Miguel Angel Anguiano Blanco"/>
    <n v="9541"/>
    <n v="318.03333333333336"/>
    <n v="4770.5"/>
    <x v="247"/>
    <n v="5"/>
    <x v="3"/>
    <x v="21"/>
    <x v="3"/>
    <s v="LUN VIE"/>
    <m/>
    <s v="miguel.anguiano@grupomaia.com"/>
    <s v="DIEGO HERRERA GIRÓN"/>
    <n v="42714"/>
    <n v="5200"/>
    <s v="COMPRAS"/>
    <s v="INST CAMPO"/>
    <s v="SÍ"/>
    <n v="16"/>
    <n v="0.5"/>
    <n v="8"/>
    <n v="30"/>
    <n v="1.1041095890410959"/>
    <n v="351.14365296803658"/>
    <n v="35.337037037037042"/>
    <n v="31189"/>
    <s v="COLINAS DEL SUR"/>
    <s v="STACT"/>
    <n v="7171591595"/>
    <s v="MIGUEL1983@HOTMAIL.COM"/>
    <s v="SOLTE"/>
    <s v="CURSA"/>
    <s v="A"/>
    <d v="2022-05-22T00:00:00"/>
    <n v="5"/>
    <s v="UDLAP"/>
    <s v="INGENIERÍA CIVIL       "/>
    <s v=""/>
    <n v="75"/>
    <n v="37"/>
    <n v="2"/>
    <n v="1"/>
    <m/>
    <m/>
    <m/>
    <m/>
    <m/>
    <m/>
    <m/>
    <n v="469"/>
  </r>
  <r>
    <n v="431"/>
    <s v="Silvia Lizeth López Gómez"/>
    <n v="7445"/>
    <n v="248.16666666666666"/>
    <n v="3722.5"/>
    <x v="248"/>
    <n v="5"/>
    <x v="7"/>
    <x v="18"/>
    <x v="3"/>
    <s v="LUN VIE"/>
    <m/>
    <s v="silvia.lópez@grupomaia.com"/>
    <s v="MARCO AURELIO URBINO"/>
    <m/>
    <m/>
    <m/>
    <m/>
    <s v="SÍ"/>
    <n v="16"/>
    <n v="0.5"/>
    <n v="8"/>
    <n v="30"/>
    <n v="1.1041095890410959"/>
    <n v="274.00319634703197"/>
    <n v="27.574074074074073"/>
    <n v="32010"/>
    <s v="RUBÉN JARAMILLO"/>
    <s v="APODC"/>
    <n v="8229404573"/>
    <s v="SILVIA66@HOTMAIL.COM"/>
    <s v="SOLTE"/>
    <s v="CURSA"/>
    <s v="A"/>
    <d v="2022-08-21T00:00:00"/>
    <n v="8"/>
    <s v="UANL"/>
    <s v="ADMINISTRACIÓN        "/>
    <s v=""/>
    <n v="91"/>
    <n v="34"/>
    <n v="2"/>
    <n v="1"/>
    <m/>
    <m/>
    <m/>
    <m/>
    <m/>
    <m/>
    <m/>
    <n v="792"/>
  </r>
  <r>
    <n v="432"/>
    <s v="Jesus Alejandro Luna Lucio"/>
    <n v="7445"/>
    <n v="248.16666666666666"/>
    <n v="3722.5"/>
    <x v="249"/>
    <n v="5"/>
    <x v="4"/>
    <x v="7"/>
    <x v="3"/>
    <s v="LUN VIE"/>
    <m/>
    <s v="jesus.luna@grupomaia.com"/>
    <s v="MARIANO ALDEBARÁN"/>
    <m/>
    <m/>
    <m/>
    <m/>
    <s v="SÍ"/>
    <n v="16"/>
    <n v="0.5"/>
    <n v="8"/>
    <n v="30"/>
    <n v="1.1041095890410959"/>
    <n v="274.00319634703197"/>
    <n v="27.574074074074073"/>
    <n v="31998"/>
    <s v="BALCONES DE AZTLÁN"/>
    <s v="MONTY"/>
    <n v="8689628567"/>
    <s v="JESUS66@HOTMAIL.COM"/>
    <s v="SOLTE"/>
    <s v="CURSA"/>
    <s v="A"/>
    <d v="2022-08-09T00:00:00"/>
    <n v="5"/>
    <s v="UANL"/>
    <s v="ADMINISTRACIÓN        "/>
    <s v=""/>
    <n v="63"/>
    <n v="34"/>
    <n v="3"/>
    <n v="1"/>
    <m/>
    <m/>
    <m/>
    <m/>
    <m/>
    <m/>
    <m/>
    <n v="720"/>
  </r>
  <r>
    <n v="433"/>
    <s v="Josélyn Galván Ruiz"/>
    <n v="8825"/>
    <n v="294.16666666666669"/>
    <n v="4412.5"/>
    <x v="250"/>
    <n v="5"/>
    <x v="2"/>
    <x v="29"/>
    <x v="3"/>
    <s v="LUN VIE"/>
    <m/>
    <s v="joselyn.galván@grupomaia.com"/>
    <s v="IRIE DALÍ ANTARES CORTÉS"/>
    <n v="43358"/>
    <n v="6158.4000000000005"/>
    <s v="COLECTIVOS"/>
    <m/>
    <s v="SÍ"/>
    <n v="16"/>
    <n v="0.5"/>
    <n v="8"/>
    <n v="30"/>
    <n v="1.1041095890410959"/>
    <n v="324.79223744292239"/>
    <n v="32.68518518518519"/>
    <n v="35992"/>
    <s v="LA ESTANZUELA VIEJA"/>
    <s v="SANTG"/>
    <n v="8258294284"/>
    <s v="JOSELYN1997@HOTMAIL.COM"/>
    <s v="SOLTE"/>
    <s v="CURSA"/>
    <s v="A"/>
    <d v="2022-07-16T00:00:00"/>
    <n v="6"/>
    <s v="UANL"/>
    <s v="MULTIMEDIA Y ANIMACIÓN DIGITAL          "/>
    <s v=""/>
    <n v="73"/>
    <n v="23"/>
    <n v="1"/>
    <n v="1"/>
    <m/>
    <m/>
    <m/>
    <m/>
    <m/>
    <m/>
    <m/>
    <n v="718"/>
  </r>
  <r>
    <n v="434"/>
    <s v="Francisca Aurea Avila Fuentes"/>
    <n v="10860"/>
    <n v="362"/>
    <n v="5430"/>
    <x v="251"/>
    <n v="5"/>
    <x v="0"/>
    <x v="17"/>
    <x v="3"/>
    <s v="LUN VIE"/>
    <m/>
    <s v="francisca.avila@grupomaia.com"/>
    <s v="MARIANA RODRÍGUEZ GUTIERREZ"/>
    <n v="42179"/>
    <n v="6158.4000000000005"/>
    <s v="ARQUITECT"/>
    <s v="ADMINCIÓN"/>
    <s v="NO"/>
    <n v="16"/>
    <n v="0.5"/>
    <n v="8"/>
    <n v="30"/>
    <n v="1.1041095890410959"/>
    <n v="399.68767123287671"/>
    <n v="40.222222222222221"/>
    <n v="27047"/>
    <s v="CHURUBUSCO"/>
    <s v="APODC"/>
    <n v="3395020145"/>
    <s v="FRANCISCA1974@HOTMAIL.COM"/>
    <s v="CASDO"/>
    <s v="CURSA"/>
    <s v="B"/>
    <d v="2022-01-18T00:00:00"/>
    <n v="6"/>
    <s v="UANL"/>
    <s v="CONTADOR PÚBLICO       "/>
    <s v=""/>
    <n v="73"/>
    <n v="48"/>
    <n v="2"/>
    <n v="1"/>
    <m/>
    <m/>
    <m/>
    <m/>
    <m/>
    <m/>
    <m/>
    <n v="78"/>
  </r>
  <r>
    <n v="435"/>
    <s v="Cinthia Lucero Coronado Segundo"/>
    <n v="7445"/>
    <n v="248.16666666666666"/>
    <n v="3722.5"/>
    <x v="29"/>
    <n v="5"/>
    <x v="7"/>
    <x v="18"/>
    <x v="3"/>
    <s v="LUN VIE"/>
    <m/>
    <s v="cinthia.coronado@grupomaia.com"/>
    <s v="MARCO AURELIO URBINO"/>
    <n v="43208"/>
    <n v="5422.4000000000005"/>
    <s v="COMPRAS"/>
    <m/>
    <s v="SÍ"/>
    <n v="16"/>
    <n v="0.5"/>
    <n v="8"/>
    <n v="30"/>
    <n v="1.1041095890410959"/>
    <n v="274.00319634703197"/>
    <n v="27.574074074074073"/>
    <n v="36023"/>
    <s v="LOMAS DE SAN JERÓNIMO"/>
    <s v="GRCIA"/>
    <n v="8169171728"/>
    <s v="CINTHIA1986@HOTMAIL.COM"/>
    <s v="SOLTE"/>
    <s v="MAEST"/>
    <s v="A"/>
    <d v="2022-08-16T00:00:00"/>
    <m/>
    <s v="UANL"/>
    <s v="CONTADOR PÚBLICO       "/>
    <s v="FINANZAS"/>
    <n v="80"/>
    <n v="23"/>
    <n v="2"/>
    <n v="1"/>
    <m/>
    <m/>
    <m/>
    <m/>
    <m/>
    <m/>
    <m/>
    <n v="224"/>
  </r>
  <r>
    <n v="436"/>
    <s v="Rolando Hernandez Ortiz"/>
    <n v="10860"/>
    <n v="362"/>
    <n v="5430"/>
    <x v="252"/>
    <n v="5"/>
    <x v="3"/>
    <x v="19"/>
    <x v="3"/>
    <s v="LUN VIE"/>
    <m/>
    <s v="rolando.hernandez@grupomaia.com"/>
    <s v="DIEGO HERRERA GIRÓN"/>
    <n v="40992"/>
    <n v="5956"/>
    <s v="NÓMINAS"/>
    <s v="CONTROL"/>
    <s v="SÍ"/>
    <n v="16"/>
    <n v="0.5"/>
    <n v="8"/>
    <n v="30"/>
    <n v="1.1041095890410959"/>
    <n v="399.68767123287671"/>
    <n v="40.222222222222221"/>
    <n v="30079"/>
    <s v="VILLA SANTGA CECILIA"/>
    <s v="SNPED"/>
    <n v="8193484834"/>
    <s v="ROLANDO1977@HOTMAIL.COM"/>
    <s v="SOLTE"/>
    <s v="CURSA"/>
    <s v="A"/>
    <d v="2022-05-08T00:00:00"/>
    <n v="5"/>
    <s v="UANL"/>
    <s v="INGENIERÍA CIVIL       "/>
    <s v=""/>
    <n v="50"/>
    <n v="40"/>
    <n v="2"/>
    <n v="1"/>
    <m/>
    <m/>
    <m/>
    <m/>
    <m/>
    <m/>
    <m/>
    <n v="378"/>
  </r>
  <r>
    <n v="438"/>
    <s v="Cynthia González Sánchez"/>
    <n v="6778"/>
    <n v="225.93333333333334"/>
    <n v="3389"/>
    <x v="253"/>
    <n v="5"/>
    <x v="5"/>
    <x v="14"/>
    <x v="3"/>
    <s v="LUN VIE"/>
    <m/>
    <s v="cynthia.gonzález@grupomaia.com"/>
    <s v="MÉRIDA ISELA MEDINA SALINAS"/>
    <m/>
    <m/>
    <m/>
    <m/>
    <s v="SÍ"/>
    <n v="16"/>
    <n v="0.25"/>
    <n v="4"/>
    <n v="15"/>
    <n v="1.0520547945205478"/>
    <n v="237.69424657534245"/>
    <n v="25.103703703703705"/>
    <n v="33204"/>
    <s v="PRIVADAS DEL PEDREGAL"/>
    <s v="MONTY"/>
    <n v="8308115506.5"/>
    <s v="CYNTHIA1986@HOTMAIL.COM"/>
    <s v="SOLTE"/>
    <s v="CURSA"/>
    <s v="A"/>
    <d v="2022-11-27T00:00:00"/>
    <n v="9"/>
    <s v="UANL"/>
    <s v="ARQUITECTURA        "/>
    <s v=""/>
    <n v="39"/>
    <n v="31"/>
    <n v="0"/>
    <n v="1"/>
    <m/>
    <m/>
    <m/>
    <m/>
    <m/>
    <m/>
    <m/>
    <n v="86"/>
  </r>
  <r>
    <n v="439"/>
    <s v="Adriana Ríos Powers"/>
    <n v="6778"/>
    <n v="225.93333333333334"/>
    <n v="3389"/>
    <x v="254"/>
    <n v="5"/>
    <x v="2"/>
    <x v="29"/>
    <x v="3"/>
    <s v="LUN VIE"/>
    <m/>
    <s v="adriana.ríos@grupomaia.com"/>
    <s v="IRIE DALÍ ANTARES CORTÉS"/>
    <m/>
    <m/>
    <m/>
    <m/>
    <s v="SÍ"/>
    <n v="16"/>
    <n v="0.25"/>
    <n v="4"/>
    <n v="15"/>
    <n v="1.0520547945205478"/>
    <n v="237.69424657534245"/>
    <n v="25.103703703703705"/>
    <n v="33553"/>
    <s v="CANTERAS"/>
    <s v="SNPED"/>
    <n v="2212829371"/>
    <s v="ADRIANA.RIOS@PWC.COM"/>
    <s v="SOLTE"/>
    <s v="MAEST"/>
    <s v="C"/>
    <d v="2022-11-11T00:00:00"/>
    <n v="0"/>
    <s v="UR"/>
    <s v="CONTADOR PÚBLICO"/>
    <s v="CONTADOR PÚBLICO Y AUDITOR"/>
    <n v="80"/>
    <n v="30"/>
    <n v="1"/>
    <n v="1"/>
    <m/>
    <m/>
    <m/>
    <m/>
    <m/>
    <m/>
    <m/>
    <n v="38"/>
  </r>
  <r>
    <n v="442"/>
    <s v="Jesus Ignacio Villa Corrales"/>
    <n v="8825"/>
    <n v="294.16666666666669"/>
    <n v="4412.5"/>
    <x v="255"/>
    <n v="5"/>
    <x v="0"/>
    <x v="26"/>
    <x v="3"/>
    <s v="LUN VIE"/>
    <m/>
    <s v="jesús.urbina@grupomaia.com"/>
    <s v="MARIANA RODRÍGUEZ GUTIERREZ"/>
    <m/>
    <m/>
    <m/>
    <m/>
    <s v="NO"/>
    <n v="16"/>
    <n v="0.5"/>
    <n v="8"/>
    <n v="30"/>
    <n v="1.1041095890410959"/>
    <n v="324.79223744292239"/>
    <n v="32.68518518518519"/>
    <n v="27331"/>
    <s v="EL PORVENIR"/>
    <s v="SNPED"/>
    <n v="8200462566"/>
    <s v="JESUS1974@HOTMAIL.COM"/>
    <s v="SOLTE"/>
    <s v="CURSA"/>
    <s v="A"/>
    <d v="2022-10-29T00:00:00"/>
    <n v="7"/>
    <s v="UANL"/>
    <s v="CIENCIAS DE LA COMUNICACIÓN CON ACENTUACIÓN EN INFORMACIÓN "/>
    <s v=""/>
    <n v="86"/>
    <n v="47"/>
    <n v="1"/>
    <n v="1"/>
    <m/>
    <m/>
    <m/>
    <m/>
    <m/>
    <m/>
    <m/>
    <n v="308"/>
  </r>
  <r>
    <n v="443"/>
    <s v="Javier Nicacio Martinez"/>
    <n v="6778"/>
    <n v="225.93333333333334"/>
    <n v="3389"/>
    <x v="256"/>
    <n v="5"/>
    <x v="3"/>
    <x v="21"/>
    <x v="3"/>
    <s v="LUN VIE"/>
    <m/>
    <s v="javier.nicacio@grupomaia.com"/>
    <s v="DIEGO HERRERA GIRÓN"/>
    <m/>
    <m/>
    <m/>
    <m/>
    <s v="SÍ"/>
    <n v="16"/>
    <n v="0.25"/>
    <n v="4"/>
    <n v="15"/>
    <n v="1.0520547945205478"/>
    <n v="237.69424657534245"/>
    <n v="25.103703703703705"/>
    <n v="31746"/>
    <s v="MITRA DORADA"/>
    <s v="STACT"/>
    <n v="5643543077"/>
    <s v="JAVIER1989@HOTMAIL.COM"/>
    <s v="SOLTE"/>
    <s v="PSNTE"/>
    <s v="A"/>
    <d v="2022-11-30T00:00:00"/>
    <m/>
    <s v="UNEZ"/>
    <s v="INGENIERO EN MATERIALES      "/>
    <s v=""/>
    <n v="35"/>
    <n v="35"/>
    <n v="2"/>
    <n v="1"/>
    <m/>
    <m/>
    <m/>
    <m/>
    <m/>
    <m/>
    <m/>
    <n v="467"/>
  </r>
  <r>
    <n v="444"/>
    <s v="Marco Raúl Hernández Salazar"/>
    <n v="7445"/>
    <n v="248.16666666666666"/>
    <n v="3722.5"/>
    <x v="257"/>
    <n v="5"/>
    <x v="7"/>
    <x v="8"/>
    <x v="3"/>
    <s v="LUN VIE"/>
    <m/>
    <s v="marco.hernández@grupomaia.com"/>
    <s v="MARCO AURELIO URBINO"/>
    <m/>
    <m/>
    <m/>
    <m/>
    <s v="SÍ"/>
    <n v="16"/>
    <n v="0.5"/>
    <n v="8"/>
    <n v="30"/>
    <n v="1.1041095890410959"/>
    <n v="274.00319634703197"/>
    <n v="27.574074074074073"/>
    <n v="35756"/>
    <s v="15 DE MAYO (LARRALDE)"/>
    <s v="APODC"/>
    <n v="8801878134"/>
    <s v="MARCO66@HOTMAIL.COM"/>
    <s v="DIVOR"/>
    <s v="CURSA"/>
    <s v="A"/>
    <d v="2022-11-22T00:00:00"/>
    <n v="10"/>
    <s v="UANL"/>
    <s v="BIBLIOTECOLOGÍA Y CIENCIA DE LA INFORMACIÓN   "/>
    <s v=""/>
    <n v="67"/>
    <n v="24"/>
    <n v="0"/>
    <n v="1"/>
    <m/>
    <m/>
    <m/>
    <m/>
    <m/>
    <m/>
    <m/>
    <n v="55"/>
  </r>
  <r>
    <n v="445"/>
    <s v="Enrique Bolaños Torres"/>
    <n v="9541"/>
    <n v="318.03333333333336"/>
    <n v="4770.5"/>
    <x v="258"/>
    <n v="4"/>
    <x v="5"/>
    <x v="14"/>
    <x v="3"/>
    <s v="LUN VIE"/>
    <m/>
    <s v="enrique.bolaños@grupomaia.com"/>
    <s v="MÉRIDA ISELA MEDINA SALINAS"/>
    <n v="42392"/>
    <n v="7060"/>
    <s v="ESTRUCTURA"/>
    <s v="ANLIS COST"/>
    <s v="SÍ"/>
    <n v="14"/>
    <n v="0.5"/>
    <n v="7"/>
    <n v="30"/>
    <n v="1.1013698630136985"/>
    <n v="350.27232876712327"/>
    <n v="35.337037037037042"/>
    <n v="31842"/>
    <s v="COLINAS DEL SUR"/>
    <s v="SANTG"/>
    <n v="5424765255"/>
    <s v="ENRIQUE1981@HOTMAIL.COM"/>
    <s v="SOLTE"/>
    <s v="MAEST"/>
    <s v="A"/>
    <d v="2022-03-06T00:00:00"/>
    <m/>
    <s v="UNEZ"/>
    <s v="ARQUITECTURA        "/>
    <s v="INGENIERO EN MATERIALES      "/>
    <n v="56"/>
    <n v="35"/>
    <n v="1"/>
    <n v="1"/>
    <m/>
    <m/>
    <m/>
    <m/>
    <m/>
    <m/>
    <m/>
    <n v="552"/>
  </r>
  <r>
    <n v="446"/>
    <s v="Brayan Alexis Reyes Cuellar"/>
    <n v="6778"/>
    <n v="225.93333333333334"/>
    <n v="3389"/>
    <x v="259"/>
    <n v="4"/>
    <x v="3"/>
    <x v="20"/>
    <x v="3"/>
    <s v="LUN VIE"/>
    <m/>
    <s v="brayan.reyes@grupomaia.com"/>
    <s v="DIEGO HERRERA GIRÓN"/>
    <m/>
    <m/>
    <m/>
    <m/>
    <s v="SÍ"/>
    <n v="14"/>
    <n v="0.25"/>
    <n v="3.5"/>
    <n v="15"/>
    <n v="1.0506849315068494"/>
    <n v="237.38474885844749"/>
    <n v="25.103703703703705"/>
    <n v="31587"/>
    <s v="RUBÉN JARAMILLO"/>
    <s v="ESCOB"/>
    <n v="8818202124"/>
    <s v="BRAYAN66@HOTMAIL.COM"/>
    <s v="SOLTE"/>
    <s v="CURSA"/>
    <s v="A"/>
    <d v="2022-06-24T00:00:00"/>
    <n v="8"/>
    <s v="UANL"/>
    <s v="INGENIERÍA CIVIL       "/>
    <s v=""/>
    <n v="65"/>
    <n v="36"/>
    <n v="0"/>
    <n v="1"/>
    <m/>
    <m/>
    <m/>
    <m/>
    <m/>
    <m/>
    <m/>
    <n v="68"/>
  </r>
  <r>
    <n v="448"/>
    <s v="Arturo Nava Atilano"/>
    <n v="9541"/>
    <n v="318.03333333333336"/>
    <n v="4770.5"/>
    <x v="259"/>
    <n v="4"/>
    <x v="5"/>
    <x v="14"/>
    <x v="3"/>
    <s v="LUN VIE"/>
    <m/>
    <s v="arturo.nava@grupomaia.com"/>
    <s v="MÉRIDA ISELA MEDINA SALINAS"/>
    <n v="41652"/>
    <n v="5956"/>
    <s v="ANLIS COST"/>
    <s v="INST CAMPO"/>
    <s v="SÍ"/>
    <n v="14"/>
    <n v="0.5"/>
    <n v="7"/>
    <n v="30"/>
    <n v="1.1013698630136985"/>
    <n v="350.27232876712327"/>
    <n v="35.337037037037042"/>
    <n v="27872"/>
    <s v="MISIÓN DE SAN JERÓNIMO"/>
    <s v="MONTY"/>
    <n v="7181468138"/>
    <s v="ARTURO1977@HOTMAIL.COM"/>
    <s v="DIVOR"/>
    <s v="CURSA"/>
    <s v="A"/>
    <d v="2022-04-22T00:00:00"/>
    <n v="7"/>
    <s v="UVM"/>
    <s v="ARQUITECTURA        "/>
    <s v=""/>
    <n v="73"/>
    <n v="46"/>
    <n v="1"/>
    <n v="1"/>
    <m/>
    <m/>
    <m/>
    <m/>
    <m/>
    <m/>
    <m/>
    <n v="936"/>
  </r>
  <r>
    <n v="449"/>
    <s v="Eduardo Jesus Soto Solis"/>
    <n v="9450"/>
    <n v="315"/>
    <n v="4725"/>
    <x v="260"/>
    <n v="4"/>
    <x v="5"/>
    <x v="14"/>
    <x v="3"/>
    <s v="LUN VIE"/>
    <m/>
    <s v="eduardo.soto@grupomaia.com"/>
    <s v="MÉRIDA ISELA MEDINA SALINAS"/>
    <n v="43651"/>
    <n v="5211.5"/>
    <s v="FACTURAS"/>
    <m/>
    <s v="SÍ"/>
    <n v="14"/>
    <n v="0.5"/>
    <n v="7"/>
    <n v="30"/>
    <n v="1.1013698630136985"/>
    <n v="346.93150684931504"/>
    <n v="35"/>
    <n v="30826"/>
    <s v="VISTA HERMOSA"/>
    <s v="SNPED"/>
    <n v="8794722674"/>
    <s v="EDUARDO1212@HOTMAIL.COM"/>
    <s v="SOLTE"/>
    <s v="CURSA"/>
    <s v="A"/>
    <d v="2022-05-24T00:00:00"/>
    <n v="7"/>
    <s v="UANL"/>
    <s v="ARQUITECTURA        "/>
    <s v=""/>
    <n v="96"/>
    <n v="38"/>
    <n v="2"/>
    <n v="1"/>
    <m/>
    <m/>
    <m/>
    <m/>
    <m/>
    <m/>
    <m/>
    <n v="92"/>
  </r>
  <r>
    <n v="450"/>
    <s v="Alexa Sofia Rivas Sauceda"/>
    <n v="7445"/>
    <n v="248.16666666666666"/>
    <n v="3722.5"/>
    <x v="261"/>
    <n v="4"/>
    <x v="3"/>
    <x v="21"/>
    <x v="3"/>
    <s v="LUN VIE"/>
    <m/>
    <s v="alexa.rivas@grupomaia.com"/>
    <s v="DIEGO HERRERA GIRÓN"/>
    <m/>
    <m/>
    <m/>
    <m/>
    <s v="SÍ"/>
    <n v="14"/>
    <n v="0.5"/>
    <n v="7"/>
    <n v="30"/>
    <n v="1.1013698630136985"/>
    <n v="273.32328767123283"/>
    <n v="27.574074074074073"/>
    <n v="31274"/>
    <s v="EL VERGEL"/>
    <s v="ESCOB"/>
    <n v="5587415632"/>
    <s v="ALEXA66@HOTMAIL.COM"/>
    <s v="CASDO"/>
    <s v="CURSA"/>
    <s v="A"/>
    <d v="2022-08-15T00:00:00"/>
    <n v="9"/>
    <s v="UVM"/>
    <s v="INGENIERO MECÁNICO ADMINISTRADOR      "/>
    <s v=""/>
    <n v="45"/>
    <n v="36"/>
    <n v="2"/>
    <n v="1"/>
    <m/>
    <m/>
    <m/>
    <m/>
    <m/>
    <m/>
    <m/>
    <n v="231"/>
  </r>
  <r>
    <n v="451"/>
    <s v="Melanie Priscila Ibarra García"/>
    <n v="7445"/>
    <n v="248.16666666666666"/>
    <n v="3722.5"/>
    <x v="262"/>
    <n v="4"/>
    <x v="8"/>
    <x v="11"/>
    <x v="3"/>
    <s v="LUN VIE"/>
    <m/>
    <s v="melanie.ibarra@grupomaia.com"/>
    <s v="EMMA DARIELA GARCÍA LORCA"/>
    <m/>
    <m/>
    <m/>
    <m/>
    <s v="NO"/>
    <n v="14"/>
    <n v="0.5"/>
    <n v="7"/>
    <n v="30"/>
    <n v="1.1013698630136985"/>
    <n v="273.32328767123283"/>
    <n v="27.574074074074073"/>
    <n v="33228"/>
    <s v="RENÉ ÁLVAREZ"/>
    <s v="STACT"/>
    <n v="8314989916"/>
    <s v="MELANEE66@HOTMAIL.COM"/>
    <s v="SOLTE"/>
    <s v="CURSA"/>
    <s v="A"/>
    <d v="2022-12-21T00:00:00"/>
    <n v="8"/>
    <s v="UANL"/>
    <s v="BIBLIOTECOLOGÍA Y CIENCIA DE LA INFORMACIÓN   "/>
    <s v=""/>
    <n v="83"/>
    <n v="31"/>
    <n v="0"/>
    <n v="1"/>
    <m/>
    <m/>
    <m/>
    <m/>
    <m/>
    <m/>
    <m/>
    <n v="686"/>
  </r>
  <r>
    <n v="452"/>
    <s v="Lucia Granados Cortez"/>
    <n v="9541"/>
    <n v="318.03333333333336"/>
    <n v="4770.5"/>
    <x v="263"/>
    <n v="4"/>
    <x v="2"/>
    <x v="10"/>
    <x v="3"/>
    <s v="LUN VIE"/>
    <m/>
    <s v="lucia.granados@grupomaia.com"/>
    <s v="IRIE DALÍ ANTARES CORTÉS"/>
    <n v="41995"/>
    <n v="5088"/>
    <s v="RELACIONES"/>
    <s v="INVERS"/>
    <s v="NO"/>
    <n v="14"/>
    <n v="0.5"/>
    <n v="7"/>
    <n v="30"/>
    <n v="1.1013698630136985"/>
    <n v="350.27232876712327"/>
    <n v="35.337037037037042"/>
    <n v="33631"/>
    <s v="JARDINES DE LA MODERNA"/>
    <s v="ESCOB"/>
    <n v="3367974465"/>
    <s v="LUCIA1977@HOTMAIL.COM"/>
    <s v="CASDO"/>
    <s v="TITUL"/>
    <s v="A"/>
    <d v="2022-01-28T00:00:00"/>
    <m/>
    <s v="UANL"/>
    <s v="INGENIERO MECÁNICO ADMINISTRADOR      "/>
    <s v=""/>
    <n v="77"/>
    <n v="30"/>
    <n v="2"/>
    <n v="1"/>
    <m/>
    <m/>
    <m/>
    <m/>
    <m/>
    <m/>
    <m/>
    <n v="206"/>
  </r>
  <r>
    <n v="455"/>
    <s v="Marbella Reyes Santiago"/>
    <n v="7445"/>
    <n v="248.16666666666666"/>
    <n v="3722.5"/>
    <x v="264"/>
    <n v="4"/>
    <x v="3"/>
    <x v="21"/>
    <x v="3"/>
    <s v="LUN VIE"/>
    <m/>
    <s v="marbella.reyes@grupomaia.com"/>
    <s v="DIEGO HERRERA GIRÓN"/>
    <n v="43743"/>
    <n v="5422.4000000000005"/>
    <s v="ANLIS COST"/>
    <m/>
    <s v="SÍ"/>
    <n v="14"/>
    <n v="0.5"/>
    <n v="7"/>
    <n v="30"/>
    <n v="1.1013698630136985"/>
    <n v="273.32328767123283"/>
    <n v="27.574074074074073"/>
    <n v="27006"/>
    <s v="SAN BERNABÉ III"/>
    <s v="MONTY"/>
    <n v="8205870293"/>
    <s v="MARBELLA1976@HOTMAIL.COM"/>
    <s v="SOLTE"/>
    <s v="CURSA"/>
    <s v="B"/>
    <d v="2022-12-08T00:00:00"/>
    <n v="5"/>
    <s v="UANL"/>
    <s v="INGENIERO MECÁNICO ADMINISTRADOR      "/>
    <s v=""/>
    <n v="40"/>
    <n v="48"/>
    <n v="3"/>
    <n v="1"/>
    <m/>
    <m/>
    <m/>
    <m/>
    <m/>
    <m/>
    <m/>
    <n v="751"/>
  </r>
  <r>
    <n v="456"/>
    <s v="Ana Laura Orbe García"/>
    <n v="9541"/>
    <n v="318.03333333333336"/>
    <n v="4770.5"/>
    <x v="265"/>
    <n v="4"/>
    <x v="9"/>
    <x v="31"/>
    <x v="3"/>
    <s v="LUN VIE"/>
    <m/>
    <s v="ana.orbe@grupomaia.com"/>
    <s v="IDALIA GARCÍA ESCRIVÁ"/>
    <n v="43822"/>
    <n v="5422.4000000000005"/>
    <s v="RELACIONES"/>
    <s v="ARQUITECT"/>
    <s v="NO"/>
    <n v="14"/>
    <n v="0.5"/>
    <n v="7"/>
    <n v="30"/>
    <n v="1.1013698630136985"/>
    <n v="350.27232876712327"/>
    <n v="35.337037037037042"/>
    <n v="34604"/>
    <s v="RINCÓN DE SAN JERÓNIMO"/>
    <s v="SNPED"/>
    <n v="7644072780"/>
    <s v="ANA1975@HOTMAIL.COM"/>
    <s v="SOLTE"/>
    <s v="PSNTE"/>
    <s v="B"/>
    <d v="2022-09-27T00:00:00"/>
    <m/>
    <s v="UDLAP"/>
    <s v="INGENIERÍA CIVIL       "/>
    <s v=""/>
    <n v="71"/>
    <n v="27"/>
    <n v="0"/>
    <n v="1"/>
    <m/>
    <m/>
    <m/>
    <m/>
    <m/>
    <m/>
    <m/>
    <n v="696"/>
  </r>
  <r>
    <n v="458"/>
    <s v="Ma Esperanza García Gutierrez"/>
    <n v="9541"/>
    <n v="318.03333333333336"/>
    <n v="4770.5"/>
    <x v="265"/>
    <n v="4"/>
    <x v="3"/>
    <x v="20"/>
    <x v="3"/>
    <s v="LUN VIE"/>
    <m/>
    <s v="ma.garcia@grupomaia.com"/>
    <s v="DIEGO HERRERA GIRÓN"/>
    <n v="42155"/>
    <n v="5956"/>
    <s v="COLECTIVOS"/>
    <s v="INST CAMPO"/>
    <s v="SÍ"/>
    <n v="14"/>
    <n v="0.5"/>
    <n v="7"/>
    <n v="30"/>
    <n v="1.1013698630136985"/>
    <n v="350.27232876712327"/>
    <n v="35.337037037037042"/>
    <n v="31943"/>
    <s v="RANCHO LA BOLA"/>
    <s v="STACT"/>
    <n v="2368419447"/>
    <s v="MA1977@HOTMAIL.COM"/>
    <s v="CASDO"/>
    <s v="CURSA"/>
    <s v="A"/>
    <d v="2022-06-15T00:00:00"/>
    <n v="10"/>
    <s v="UMM"/>
    <s v="INGENIERÍA CIVIL       "/>
    <s v=""/>
    <n v="48"/>
    <n v="35"/>
    <n v="3"/>
    <n v="1"/>
    <m/>
    <m/>
    <m/>
    <m/>
    <m/>
    <m/>
    <m/>
    <n v="213"/>
  </r>
  <r>
    <n v="460"/>
    <s v="Marían Aurora Martínez López"/>
    <n v="9450"/>
    <n v="315"/>
    <n v="4725"/>
    <x v="265"/>
    <n v="4"/>
    <x v="5"/>
    <x v="14"/>
    <x v="3"/>
    <s v="LUN VIE"/>
    <m/>
    <s v="marian.martínez@grupomaia.com"/>
    <s v="MÉRIDA ISELA MEDINA SALINAS"/>
    <n v="43719"/>
    <n v="6177.5"/>
    <s v="AUDIT PROY"/>
    <m/>
    <s v="SÍ"/>
    <n v="14"/>
    <n v="0.5"/>
    <n v="7"/>
    <n v="30"/>
    <n v="1.1013698630136985"/>
    <n v="346.93150684931504"/>
    <n v="35"/>
    <n v="29818"/>
    <s v="LOS PINOS"/>
    <s v="APODC"/>
    <n v="8592807804"/>
    <s v="MARIAN1212@HOTMAIL.COM"/>
    <s v="CASDO"/>
    <s v="CURSA"/>
    <s v="A"/>
    <d v="2022-08-20T00:00:00"/>
    <n v="10"/>
    <s v="UANL"/>
    <s v="ARQUITECTURA        "/>
    <s v=""/>
    <n v="79"/>
    <n v="40"/>
    <n v="2"/>
    <n v="1"/>
    <m/>
    <m/>
    <m/>
    <m/>
    <m/>
    <m/>
    <m/>
    <n v="171"/>
  </r>
  <r>
    <n v="461"/>
    <s v="Marina Mijarez Medina"/>
    <n v="9541"/>
    <n v="318.03333333333336"/>
    <n v="4770.5"/>
    <x v="266"/>
    <n v="4"/>
    <x v="5"/>
    <x v="28"/>
    <x v="3"/>
    <s v="LUN VIE"/>
    <m/>
    <s v="marina.mijarez@grupomaia.com"/>
    <s v="MÉRIDA ISELA MEDINA SALINAS"/>
    <n v="41252"/>
    <n v="6580"/>
    <s v="MATERIALES"/>
    <s v="AUDIT ADMN"/>
    <s v="SÍ"/>
    <n v="14"/>
    <n v="0.5"/>
    <n v="7"/>
    <n v="30"/>
    <n v="1.1013698630136985"/>
    <n v="350.27232876712327"/>
    <n v="35.337037037037042"/>
    <n v="34044"/>
    <s v="BALCONES DE LAS MITRAS"/>
    <s v="GRCIA"/>
    <n v="8207145462"/>
    <s v="MARINA1987@HOTMAIL.COM"/>
    <s v="CASDO"/>
    <s v="CURSA"/>
    <s v="B"/>
    <d v="2022-03-16T00:00:00"/>
    <n v="9"/>
    <s v="UANL"/>
    <s v="ARQUITECTURA        "/>
    <s v=""/>
    <n v="36"/>
    <n v="29"/>
    <n v="3"/>
    <n v="1"/>
    <m/>
    <m/>
    <m/>
    <m/>
    <m/>
    <m/>
    <m/>
    <n v="724"/>
  </r>
  <r>
    <n v="462"/>
    <s v="Yolani Cruz Jacinto"/>
    <n v="9450"/>
    <n v="315"/>
    <n v="4725"/>
    <x v="267"/>
    <n v="4"/>
    <x v="3"/>
    <x v="20"/>
    <x v="3"/>
    <s v="LUN VIE"/>
    <m/>
    <s v="yolani.cruz@grupomaia.com"/>
    <s v="DIEGO HERRERA GIRÓN"/>
    <n v="43139"/>
    <n v="5200"/>
    <s v="ARQUITECT"/>
    <m/>
    <s v="SÍ"/>
    <n v="14"/>
    <n v="0.5"/>
    <n v="7"/>
    <n v="30"/>
    <n v="1.1013698630136985"/>
    <n v="346.93150684931504"/>
    <n v="35"/>
    <n v="29610"/>
    <s v="BENITO JUÁREZ (TIRADEROS DE BASURA)"/>
    <s v="SNICO"/>
    <n v="4456487541"/>
    <s v="YOLANI1984@HOTMAIL.COM"/>
    <s v="SOLTE"/>
    <s v="CURSA"/>
    <s v="A"/>
    <d v="2022-01-24T00:00:00"/>
    <n v="10"/>
    <s v="UANL"/>
    <s v="INGENIERO MECÁNICO ADMINISTRADOR      "/>
    <s v=""/>
    <n v="43"/>
    <n v="41"/>
    <n v="0"/>
    <n v="1"/>
    <m/>
    <m/>
    <m/>
    <m/>
    <m/>
    <m/>
    <m/>
    <n v="34"/>
  </r>
  <r>
    <n v="463"/>
    <s v="Blanca Zuady Chavez Mendoza"/>
    <n v="9541"/>
    <n v="318.03333333333336"/>
    <n v="4770.5"/>
    <x v="267"/>
    <n v="4"/>
    <x v="2"/>
    <x v="10"/>
    <x v="3"/>
    <s v="LUN VIE"/>
    <m/>
    <s v="blanca.chavez@grupomaia.com"/>
    <s v="IRIE DALÍ ANTARES CORTÉS"/>
    <n v="42610"/>
    <n v="5422.4000000000005"/>
    <s v="ADMINCIÓN"/>
    <s v="CONTROL"/>
    <s v="NO"/>
    <n v="14"/>
    <n v="0.5"/>
    <n v="7"/>
    <n v="30"/>
    <n v="1.1013698630136985"/>
    <n v="350.27232876712327"/>
    <n v="35.337037037037042"/>
    <n v="35082"/>
    <s v="RESIDENCIAL VIDRIERA"/>
    <s v="STACT"/>
    <n v="5589204629"/>
    <s v="BLANCA1997@HOTMAIL.COM"/>
    <s v="DIVOR"/>
    <s v="MAEST"/>
    <s v="B"/>
    <d v="2022-01-18T00:00:00"/>
    <m/>
    <s v="UANL"/>
    <s v="INGENIERÍA CIVIL       "/>
    <s v="DISEÑO INDUSTRIAL       "/>
    <n v="62"/>
    <n v="26"/>
    <n v="2"/>
    <n v="1"/>
    <m/>
    <m/>
    <m/>
    <m/>
    <m/>
    <m/>
    <m/>
    <n v="107"/>
  </r>
  <r>
    <n v="464"/>
    <s v="Grecia Alejandra Oyervides Garza"/>
    <n v="7445"/>
    <n v="248.16666666666666"/>
    <n v="3722.5"/>
    <x v="268"/>
    <n v="4"/>
    <x v="0"/>
    <x v="26"/>
    <x v="3"/>
    <s v="LUN VIE"/>
    <m/>
    <s v="grecia.oyervides@grupomaia.com"/>
    <s v="MARIANA RODRÍGUEZ GUTIERREZ"/>
    <n v="43079"/>
    <n v="5088"/>
    <s v="CRÉDITOS"/>
    <m/>
    <s v="SÍ"/>
    <n v="14"/>
    <n v="0.5"/>
    <n v="7"/>
    <n v="30"/>
    <n v="1.1013698630136985"/>
    <n v="273.32328767123283"/>
    <n v="27.574074074074073"/>
    <n v="34777"/>
    <s v="FELIPE ÁNGELES"/>
    <s v="STACT"/>
    <n v="8508827329"/>
    <s v="GRECIA1010@HOTMAIL.COM"/>
    <s v="CASDO"/>
    <s v="CURSA"/>
    <s v="A"/>
    <d v="2022-03-19T00:00:00"/>
    <n v="6"/>
    <s v="UANL"/>
    <s v="ADMINISTRACIÓN        "/>
    <s v=""/>
    <n v="87"/>
    <n v="27"/>
    <n v="3"/>
    <n v="1"/>
    <m/>
    <m/>
    <m/>
    <m/>
    <m/>
    <m/>
    <m/>
    <n v="989"/>
  </r>
  <r>
    <n v="466"/>
    <s v="Rocio Janett Sauceda Delgado"/>
    <n v="9541"/>
    <n v="318.03333333333336"/>
    <n v="4770.5"/>
    <x v="269"/>
    <n v="4"/>
    <x v="7"/>
    <x v="18"/>
    <x v="3"/>
    <s v="LUN VIE"/>
    <m/>
    <s v="rocio.sauceda@grupomaia.com"/>
    <s v="MARCO AURELIO URBINO"/>
    <n v="43938"/>
    <n v="5211.5"/>
    <s v="DISEÑO INT"/>
    <m/>
    <s v="SÍ"/>
    <n v="14"/>
    <n v="0.5"/>
    <n v="7"/>
    <n v="30"/>
    <n v="1.1013698630136985"/>
    <n v="350.27232876712327"/>
    <n v="35.337037037037042"/>
    <n v="32194"/>
    <s v="LOS PINOS"/>
    <s v="SNICO"/>
    <n v="8452694195"/>
    <s v="ROCIO1414@HOTMAIL.COM"/>
    <s v="CASDO"/>
    <s v="CURSA"/>
    <s v="A"/>
    <d v="2022-02-21T00:00:00"/>
    <n v="6"/>
    <s v="UANL"/>
    <s v="CIENCIAS DE LA COMUNICACIÓN CON ACENTUACIÓN EN INFORMACIÓN "/>
    <s v=""/>
    <n v="79"/>
    <n v="34"/>
    <n v="2"/>
    <n v="1"/>
    <m/>
    <m/>
    <m/>
    <m/>
    <m/>
    <m/>
    <m/>
    <n v="115"/>
  </r>
  <r>
    <n v="467"/>
    <s v="Carmela Flores Carrillo"/>
    <n v="9541"/>
    <n v="318.03333333333336"/>
    <n v="4770.5"/>
    <x v="270"/>
    <n v="4"/>
    <x v="3"/>
    <x v="19"/>
    <x v="3"/>
    <s v="LUN VIE"/>
    <m/>
    <s v="carmela.flores@grupomaia.com"/>
    <s v="DIEGO HERRERA GIRÓN"/>
    <n v="43533"/>
    <n v="5956"/>
    <s v="COMPRAS"/>
    <s v="CONTROL"/>
    <s v="SÍ"/>
    <n v="14"/>
    <n v="0.5"/>
    <n v="7"/>
    <n v="30"/>
    <n v="1.1013698630136985"/>
    <n v="350.27232876712327"/>
    <n v="35.337037037037042"/>
    <n v="31311"/>
    <s v="TREVIÑO"/>
    <s v="ESCOB"/>
    <n v="5696583201"/>
    <s v="CARMELA1999@HOTMAIL.COM"/>
    <s v="SOLTE"/>
    <s v="CURSA"/>
    <s v="A"/>
    <d v="2022-09-21T00:00:00"/>
    <n v="6"/>
    <s v="UANL"/>
    <s v="INGENIERÍA CIVIL       "/>
    <s v=""/>
    <n v="70"/>
    <n v="36"/>
    <n v="1"/>
    <n v="1"/>
    <m/>
    <m/>
    <m/>
    <m/>
    <m/>
    <m/>
    <m/>
    <n v="482"/>
  </r>
  <r>
    <n v="468"/>
    <s v="Diana María Melo Jimenez"/>
    <n v="9541"/>
    <n v="318.03333333333336"/>
    <n v="4770.5"/>
    <x v="271"/>
    <n v="4"/>
    <x v="0"/>
    <x v="17"/>
    <x v="3"/>
    <s v="LUN VIE"/>
    <m/>
    <s v="diana.melo@grupomaia.com"/>
    <s v="MARIANA RODRÍGUEZ GUTIERREZ"/>
    <n v="42567"/>
    <n v="7600"/>
    <s v="AUDIT PROY"/>
    <s v="ANLIS COST"/>
    <s v="NO"/>
    <n v="14"/>
    <n v="0.5"/>
    <n v="7"/>
    <n v="30"/>
    <n v="1.1013698630136985"/>
    <n v="350.27232876712327"/>
    <n v="35.337037037037042"/>
    <n v="28365"/>
    <s v="VILLAS DE SAN JERÓNIMO"/>
    <s v="APODC"/>
    <n v="8209806834"/>
    <s v="DIANA1974@HOTMAIL.COM"/>
    <s v="UNLIB"/>
    <s v="TITUL"/>
    <s v="A"/>
    <d v="2022-08-28T00:00:00"/>
    <m/>
    <s v="UANL"/>
    <s v="CIENCIAS DE LA COMUNICACIÓN CON ACENTUACIÓN EN INFORMACIÓN "/>
    <s v=""/>
    <n v="54"/>
    <n v="44"/>
    <n v="2"/>
    <n v="1"/>
    <m/>
    <m/>
    <m/>
    <m/>
    <m/>
    <m/>
    <m/>
    <n v="503"/>
  </r>
  <r>
    <n v="469"/>
    <s v="Sandra Lisia Santiago Cruz"/>
    <n v="10350"/>
    <n v="345"/>
    <n v="5175"/>
    <x v="272"/>
    <n v="4"/>
    <x v="3"/>
    <x v="21"/>
    <x v="3"/>
    <s v="LUN VIE"/>
    <m/>
    <s v="sandra.santiago@grupomaia.com"/>
    <s v="DIEGO HERRERA GIRÓN"/>
    <n v="43808"/>
    <n v="8400"/>
    <s v="ESTRUCTURA"/>
    <m/>
    <s v="SÍ"/>
    <n v="14"/>
    <n v="0.5"/>
    <n v="7"/>
    <n v="30"/>
    <n v="1.1013698630136985"/>
    <n v="379.97260273972597"/>
    <n v="38.333333333333336"/>
    <n v="34242"/>
    <s v="RANCHO LA BOLA"/>
    <s v="MONTY"/>
    <n v="8457714864"/>
    <s v="SANDRA1010@HOTMAIL.COM"/>
    <s v="SOLTE"/>
    <s v="TITUL"/>
    <s v="A"/>
    <d v="2022-09-30T00:00:00"/>
    <m/>
    <s v="UANL"/>
    <s v="INGENIERO MECÁNICO ADMINISTRADOR      "/>
    <s v=""/>
    <n v="83"/>
    <n v="28"/>
    <n v="2"/>
    <n v="1"/>
    <m/>
    <m/>
    <m/>
    <m/>
    <m/>
    <m/>
    <m/>
    <n v="439"/>
  </r>
  <r>
    <n v="470"/>
    <s v="Cecilia Guadalupe Ochoa Rivera"/>
    <n v="9450"/>
    <n v="315"/>
    <n v="4725"/>
    <x v="272"/>
    <n v="4"/>
    <x v="0"/>
    <x v="17"/>
    <x v="3"/>
    <s v="LUN VIE"/>
    <m/>
    <s v="cecilia.ochoa@grupomaia.com"/>
    <s v="MARIANA RODRÍGUEZ GUTIERREZ"/>
    <n v="43121"/>
    <n v="7360"/>
    <s v="INST CAMPO"/>
    <m/>
    <s v="NO"/>
    <n v="14"/>
    <n v="0.5"/>
    <n v="7"/>
    <n v="30"/>
    <n v="1.1013698630136985"/>
    <n v="346.93150684931504"/>
    <n v="35"/>
    <n v="30457"/>
    <s v="GENARO ROJAS VÁZQUEZ"/>
    <s v="SNPED"/>
    <n v="8336808865"/>
    <s v="CECILIA1212@HOTMAIL.COM"/>
    <s v="SOLTE"/>
    <s v="CURSA"/>
    <s v="A"/>
    <d v="2022-05-21T00:00:00"/>
    <n v="8"/>
    <s v="TEC"/>
    <s v="CONTADOR PÚBLICO       "/>
    <s v=""/>
    <n v="47"/>
    <n v="39"/>
    <n v="0"/>
    <n v="1"/>
    <m/>
    <m/>
    <m/>
    <m/>
    <m/>
    <m/>
    <m/>
    <n v="961"/>
  </r>
  <r>
    <n v="472"/>
    <s v="David Alejandro Hernandez Guerra"/>
    <n v="6778"/>
    <n v="225.93333333333334"/>
    <n v="3389"/>
    <x v="273"/>
    <n v="4"/>
    <x v="2"/>
    <x v="29"/>
    <x v="3"/>
    <s v="LUN VIE"/>
    <m/>
    <s v="david.hernandez@grupomaia.com"/>
    <s v="IRIE DALÍ ANTARES CORTÉS"/>
    <m/>
    <m/>
    <m/>
    <m/>
    <s v="SÍ"/>
    <n v="14"/>
    <n v="0.25"/>
    <n v="3.5"/>
    <n v="15"/>
    <n v="1.0506849315068494"/>
    <n v="237.38474885844749"/>
    <n v="25.103703703703705"/>
    <n v="35474"/>
    <s v="RESIDENCIAL MEDEROS"/>
    <s v="STACT"/>
    <n v="8211316493"/>
    <s v="DAVID1974@HOTMAIL.COM"/>
    <s v="SOLTE"/>
    <s v="CURSA"/>
    <s v="A"/>
    <d v="2022-02-13T00:00:00"/>
    <n v="9"/>
    <s v="UANL"/>
    <s v="CIENCIAS DE LA COMUNICACIÓN CON ACENTUACIÓN EN INFORMACIÓN "/>
    <s v=""/>
    <n v="57"/>
    <n v="25"/>
    <n v="3"/>
    <n v="1"/>
    <m/>
    <m/>
    <m/>
    <m/>
    <m/>
    <m/>
    <m/>
    <n v="994"/>
  </r>
  <r>
    <n v="473"/>
    <s v="Cristian Daniel Ramos Hernández"/>
    <n v="7445"/>
    <n v="248.16666666666666"/>
    <n v="3722.5"/>
    <x v="274"/>
    <n v="4"/>
    <x v="0"/>
    <x v="24"/>
    <x v="3"/>
    <s v="LUN VIE"/>
    <m/>
    <s v="cristian.ramos@grupomaia.com"/>
    <s v="MARIANA RODRÍGUEZ GUTIERREZ"/>
    <m/>
    <m/>
    <m/>
    <m/>
    <s v="NO"/>
    <n v="14"/>
    <n v="0.5"/>
    <n v="7"/>
    <n v="30"/>
    <n v="1.1013698630136985"/>
    <n v="273.32328767123283"/>
    <n v="27.574074074074073"/>
    <n v="31895"/>
    <s v="PASEO DE LAS MITRAS"/>
    <s v="MONTY"/>
    <n v="8968970879"/>
    <s v="CRISTIAN66@HOTMAIL.COM"/>
    <s v="SOLTE"/>
    <s v="CURSA"/>
    <s v="B"/>
    <d v="2022-04-28T00:00:00"/>
    <n v="6"/>
    <s v="UANL"/>
    <s v="NEGOCIOS INTERNACIONALES       "/>
    <s v=""/>
    <n v="67"/>
    <n v="35"/>
    <n v="2"/>
    <n v="1"/>
    <m/>
    <m/>
    <m/>
    <m/>
    <m/>
    <m/>
    <m/>
    <n v="311"/>
  </r>
  <r>
    <n v="474"/>
    <s v="Nadya Nallely Rangel "/>
    <n v="9541"/>
    <n v="318.03333333333336"/>
    <n v="4770.5"/>
    <x v="275"/>
    <n v="4"/>
    <x v="8"/>
    <x v="11"/>
    <x v="3"/>
    <s v="LUN VIE"/>
    <m/>
    <s v="nadya.nallely@grupomaia.com"/>
    <s v="EMMA DARIELA GARCÍA LORCA"/>
    <n v="43982"/>
    <n v="6678"/>
    <s v="COMPRAS"/>
    <m/>
    <s v="SÍ"/>
    <n v="14"/>
    <n v="0.5"/>
    <n v="7"/>
    <n v="30"/>
    <n v="1.1013698630136985"/>
    <n v="350.27232876712327"/>
    <n v="35.337037037037042"/>
    <n v="35457"/>
    <s v="SAN FRANCISCO DE ASÍS"/>
    <s v="MONTY"/>
    <n v="8800088469"/>
    <s v="NADYA1414@HOTMAIL.COM"/>
    <s v="SOLTE"/>
    <s v="CURSA"/>
    <s v="A"/>
    <d v="2022-01-27T00:00:00"/>
    <n v="6"/>
    <s v="UANL"/>
    <s v="FÍSICA        "/>
    <s v=""/>
    <n v="91"/>
    <n v="25"/>
    <n v="3"/>
    <n v="1"/>
    <m/>
    <m/>
    <m/>
    <m/>
    <m/>
    <m/>
    <m/>
    <n v="649"/>
  </r>
  <r>
    <n v="475"/>
    <s v="Jaime  Jaime Garza"/>
    <n v="9450"/>
    <n v="315"/>
    <n v="4725"/>
    <x v="276"/>
    <n v="4"/>
    <x v="5"/>
    <x v="14"/>
    <x v="3"/>
    <s v="LUN VIE"/>
    <m/>
    <s v="jaime.colunga@grupomaia.com"/>
    <s v="MÉRIDA ISELA MEDINA SALINAS"/>
    <n v="43810"/>
    <n v="5211.5"/>
    <s v="Proyección"/>
    <s v="EXTERNOS"/>
    <s v="SÍ"/>
    <n v="14"/>
    <n v="0.5"/>
    <n v="7"/>
    <n v="30"/>
    <n v="1.1013698630136985"/>
    <n v="346.93150684931504"/>
    <n v="35"/>
    <n v="31952"/>
    <s v="LOMAS MODELO"/>
    <s v="GRCIA"/>
    <n v="8626695393"/>
    <s v="JAIME1212@HOTMAIL.COM"/>
    <s v="SOLTE"/>
    <s v="CURSA"/>
    <s v="A"/>
    <d v="2022-06-24T00:00:00"/>
    <n v="8"/>
    <s v="UANL"/>
    <s v="ARQUITECTURA        "/>
    <s v=""/>
    <n v="97"/>
    <n v="35"/>
    <n v="0"/>
    <n v="1"/>
    <m/>
    <m/>
    <m/>
    <m/>
    <m/>
    <m/>
    <m/>
    <n v="37"/>
  </r>
  <r>
    <n v="476"/>
    <s v="María De Los Ángeles Toledo López"/>
    <n v="7950"/>
    <n v="265"/>
    <n v="3975"/>
    <x v="277"/>
    <n v="4"/>
    <x v="1"/>
    <x v="32"/>
    <x v="3"/>
    <s v="LUN VIE"/>
    <m/>
    <s v="maria.toledo@grupomaia.com"/>
    <s v="DENEB SANTIAGO ALTAIR VEGA"/>
    <m/>
    <m/>
    <m/>
    <m/>
    <s v="SÍ"/>
    <n v="14"/>
    <n v="0.5"/>
    <n v="7"/>
    <n v="30"/>
    <n v="1.1013698630136985"/>
    <n v="291.86301369863014"/>
    <n v="29.444444444444443"/>
    <n v="31641"/>
    <s v="RENACIMIENTO"/>
    <s v="APODC"/>
    <n v="9874654325"/>
    <s v="MARIA66@HOTMAIL.COM"/>
    <s v="SOLTE"/>
    <s v="CURSA"/>
    <s v="C"/>
    <d v="2022-08-17T00:00:00"/>
    <n v="10"/>
    <s v="UANL"/>
    <s v="TECNOLOGÍA DE SOFTWARE      "/>
    <s v=""/>
    <n v="100"/>
    <n v="35"/>
    <n v="1"/>
    <n v="1"/>
    <m/>
    <m/>
    <m/>
    <m/>
    <m/>
    <m/>
    <m/>
    <n v="319"/>
  </r>
  <r>
    <n v="477"/>
    <s v="Karyme Liliana Netro Chávez"/>
    <n v="7445"/>
    <n v="248.16666666666666"/>
    <n v="3722.5"/>
    <x v="278"/>
    <n v="4"/>
    <x v="8"/>
    <x v="11"/>
    <x v="3"/>
    <s v="LUN VIE"/>
    <m/>
    <s v="karyme.netro@grupomaia.com"/>
    <s v="EMMA DARIELA GARCÍA LORCA"/>
    <n v="43739"/>
    <n v="5422.4000000000005"/>
    <s v="SOFTWARE"/>
    <m/>
    <s v="SÍ"/>
    <n v="14"/>
    <n v="0.5"/>
    <n v="7"/>
    <n v="30"/>
    <n v="1.1013698630136985"/>
    <n v="273.32328767123283"/>
    <n v="27.574074074074073"/>
    <n v="34734"/>
    <s v="RENACIMIENTO"/>
    <s v="ESCOB"/>
    <n v="8432183633"/>
    <s v="KARYME1995@HOTMAIL.COM"/>
    <s v="SOLTE"/>
    <s v="CURSA"/>
    <s v="A"/>
    <d v="2022-02-04T00:00:00"/>
    <n v="9"/>
    <s v="INSUCO"/>
    <s v="ADMINISTRACIÓN        "/>
    <s v=""/>
    <n v="42"/>
    <n v="27"/>
    <n v="2"/>
    <n v="1"/>
    <m/>
    <m/>
    <m/>
    <m/>
    <m/>
    <m/>
    <m/>
    <n v="267"/>
  </r>
  <r>
    <n v="478"/>
    <s v="Alfonso Robles Armijo"/>
    <n v="7950"/>
    <n v="265"/>
    <n v="3975"/>
    <x v="279"/>
    <n v="4"/>
    <x v="1"/>
    <x v="32"/>
    <x v="3"/>
    <s v="LUN VIE"/>
    <m/>
    <s v="alfonso.robles@grupomaia.com"/>
    <s v="DENEB SANTIAGO ALTAIR VEGA"/>
    <n v="44086"/>
    <n v="5422.4000000000005"/>
    <s v="ADMINCIÓN"/>
    <m/>
    <s v="NO"/>
    <n v="14"/>
    <n v="0.5"/>
    <n v="7"/>
    <n v="30"/>
    <n v="1.1013698630136985"/>
    <n v="291.86301369863014"/>
    <n v="29.444444444444443"/>
    <n v="33538"/>
    <s v="COLINAS DE LIVERPOOL"/>
    <s v="STACT"/>
    <n v="8982172172"/>
    <s v="ALFONSO88@HOTMAIL.COM"/>
    <s v="SOLTE"/>
    <s v="CURSA"/>
    <s v="C"/>
    <d v="2022-10-27T00:00:00"/>
    <n v="10"/>
    <s v="UANL"/>
    <s v="TECNOLOGÍA DE SOFTWARE      "/>
    <s v=""/>
    <n v="46"/>
    <n v="30"/>
    <n v="2"/>
    <n v="1"/>
    <m/>
    <m/>
    <m/>
    <m/>
    <m/>
    <m/>
    <m/>
    <n v="58"/>
  </r>
  <r>
    <n v="479"/>
    <s v="Valeria Solís Elizondo"/>
    <n v="9450"/>
    <n v="315"/>
    <n v="4725"/>
    <x v="280"/>
    <n v="4"/>
    <x v="3"/>
    <x v="21"/>
    <x v="3"/>
    <s v="LUN VIE"/>
    <m/>
    <s v="valeria.solís@grupomaia.com"/>
    <s v="DIEGO HERRERA GIRÓN"/>
    <m/>
    <m/>
    <m/>
    <m/>
    <s v="SÍ"/>
    <n v="14"/>
    <n v="0.5"/>
    <n v="7"/>
    <n v="30"/>
    <n v="1.1013698630136985"/>
    <n v="346.93150684931504"/>
    <n v="35"/>
    <n v="32101"/>
    <s v="VILLA MITRAS"/>
    <s v="SNPED"/>
    <n v="8608647284"/>
    <s v="VALERIA66@HOTMAIL.COM"/>
    <s v="SOLTE"/>
    <s v="CURSA"/>
    <s v="A"/>
    <d v="2022-11-20T00:00:00"/>
    <n v="7"/>
    <s v="INSUCO"/>
    <s v="INGENIERO EN MATERIALES      "/>
    <s v=""/>
    <n v="87"/>
    <n v="34"/>
    <n v="3"/>
    <n v="1"/>
    <m/>
    <m/>
    <m/>
    <m/>
    <m/>
    <m/>
    <m/>
    <n v="985"/>
  </r>
  <r>
    <n v="482"/>
    <s v="Miriam Guadalupe Flores Gracida"/>
    <n v="9450"/>
    <n v="315"/>
    <n v="4725"/>
    <x v="281"/>
    <n v="4"/>
    <x v="5"/>
    <x v="28"/>
    <x v="3"/>
    <s v="LUN VIE"/>
    <m/>
    <s v="miriam.flores@grupomaia.com"/>
    <s v="MÉRIDA ISELA MEDINA SALINAS"/>
    <m/>
    <m/>
    <m/>
    <m/>
    <s v="SÍ"/>
    <n v="14"/>
    <n v="0.5"/>
    <n v="7"/>
    <n v="30"/>
    <n v="1.1013698630136985"/>
    <n v="346.93150684931504"/>
    <n v="35"/>
    <n v="36429"/>
    <s v="SATÉLITE MIRADORES"/>
    <s v="MONTY"/>
    <n v="9889509198"/>
    <s v="MIRIAM1998@HOTMAIL.COM"/>
    <s v="CASDO"/>
    <s v="CURSA"/>
    <s v="A"/>
    <d v="2022-09-26T00:00:00"/>
    <n v="9"/>
    <s v="UVM"/>
    <s v="ARQUITECTURA        "/>
    <s v=""/>
    <n v="70"/>
    <n v="22"/>
    <n v="0"/>
    <n v="1"/>
    <m/>
    <m/>
    <m/>
    <m/>
    <m/>
    <m/>
    <m/>
    <n v="209"/>
  </r>
  <r>
    <n v="484"/>
    <s v="Lizeth Anahi Hernandez Sanchez"/>
    <n v="9450"/>
    <n v="315"/>
    <n v="4725"/>
    <x v="282"/>
    <n v="4"/>
    <x v="9"/>
    <x v="23"/>
    <x v="3"/>
    <s v="LUN VIE"/>
    <m/>
    <s v="lizeth.hernandez@grupomaia.com"/>
    <s v="IDALIA GARCÍA ESCRIVÁ"/>
    <n v="44192"/>
    <n v="5211.5"/>
    <s v="DISEÑO INT"/>
    <s v="COMPRAS"/>
    <s v="NO"/>
    <n v="14"/>
    <n v="0.5"/>
    <n v="7"/>
    <n v="30"/>
    <n v="1.1013698630136985"/>
    <n v="346.93150684931504"/>
    <n v="35"/>
    <n v="32077"/>
    <s v="JARDINES DEL PASEO"/>
    <s v="STACT"/>
    <n v="8360246863"/>
    <s v="LIZETH1212@HOTMAIL.COM"/>
    <s v="SOLTE"/>
    <s v="CURSA"/>
    <s v="A"/>
    <d v="2022-10-27T00:00:00"/>
    <n v="9"/>
    <s v="UDLAP"/>
    <s v="ADMINISTRACIÓN        "/>
    <s v=""/>
    <n v="62"/>
    <n v="34"/>
    <n v="3"/>
    <n v="1"/>
    <m/>
    <m/>
    <m/>
    <m/>
    <m/>
    <m/>
    <m/>
    <n v="259"/>
  </r>
  <r>
    <n v="485"/>
    <s v="Elda Guadalupe Aripez Romero"/>
    <n v="9541"/>
    <n v="318.03333333333336"/>
    <n v="4770.5"/>
    <x v="283"/>
    <n v="4"/>
    <x v="0"/>
    <x v="24"/>
    <x v="3"/>
    <s v="LUN VIE"/>
    <m/>
    <s v="elda.aripez@grupomaia.com"/>
    <s v="MARIANA RODRÍGUEZ GUTIERREZ"/>
    <n v="42993"/>
    <n v="6158.4000000000005"/>
    <s v="ARQUITECT"/>
    <s v="SOFTWARE"/>
    <s v="SÍ"/>
    <n v="14"/>
    <n v="0.5"/>
    <n v="7"/>
    <n v="30"/>
    <n v="1.1013698630136985"/>
    <n v="350.27232876712327"/>
    <n v="35.337037037037042"/>
    <n v="33300"/>
    <s v="MODELO"/>
    <s v="MONTY"/>
    <n v="3440453728"/>
    <s v="ELDA1994@HOTMAIL.COM"/>
    <s v="SOLTE"/>
    <s v="MAEST"/>
    <s v="A"/>
    <d v="2022-03-03T00:00:00"/>
    <m/>
    <s v="UANL"/>
    <s v="ECONOMÍA        "/>
    <s v="ECONOMÍA        "/>
    <n v="39"/>
    <n v="31"/>
    <n v="1"/>
    <n v="1"/>
    <m/>
    <m/>
    <m/>
    <m/>
    <m/>
    <m/>
    <m/>
    <n v="161"/>
  </r>
  <r>
    <n v="486"/>
    <s v="Gabriela Judith Alanis Hernandez"/>
    <n v="9450"/>
    <n v="315"/>
    <n v="4725"/>
    <x v="284"/>
    <n v="4"/>
    <x v="7"/>
    <x v="8"/>
    <x v="3"/>
    <s v="LUN VIE"/>
    <m/>
    <s v="gabriela.alanis@grupomaia.com"/>
    <s v="MARCO AURELIO URBINO"/>
    <n v="44018"/>
    <n v="6560"/>
    <s v="ARQUITECT"/>
    <m/>
    <s v="SÍ"/>
    <n v="14"/>
    <n v="0.5"/>
    <n v="7"/>
    <n v="30"/>
    <n v="1.1013698630136985"/>
    <n v="346.93150684931504"/>
    <n v="35"/>
    <n v="34028"/>
    <s v="BALCONES DE GALERÍAS"/>
    <s v="ESCOB"/>
    <n v="8182736637"/>
    <s v="GABRIELA88@HOTMAIL.COM"/>
    <s v="DIVOR"/>
    <s v="CURSA"/>
    <s v="A"/>
    <d v="2022-02-28T00:00:00"/>
    <n v="8"/>
    <s v="UDLAP"/>
    <s v="ADMINISTRACIÓN        "/>
    <s v=""/>
    <n v="62"/>
    <n v="29"/>
    <n v="0"/>
    <n v="1"/>
    <m/>
    <m/>
    <m/>
    <m/>
    <m/>
    <m/>
    <m/>
    <n v="859"/>
  </r>
  <r>
    <n v="487"/>
    <s v="José Antonio Valdez Andraca"/>
    <n v="10350"/>
    <n v="345"/>
    <n v="5175"/>
    <x v="285"/>
    <n v="4"/>
    <x v="0"/>
    <x v="17"/>
    <x v="3"/>
    <s v="LUN VIE"/>
    <m/>
    <s v="jose.valdez@grupomaia.com"/>
    <s v="MARIANA RODRÍGUEZ GUTIERREZ"/>
    <n v="42594"/>
    <n v="5956"/>
    <s v="CONTA"/>
    <s v="MATERIALES"/>
    <s v="SÍ"/>
    <n v="14"/>
    <n v="0.5"/>
    <n v="7"/>
    <n v="30"/>
    <n v="1.1013698630136985"/>
    <n v="379.97260273972597"/>
    <n v="38.333333333333336"/>
    <n v="31848"/>
    <s v="MADERO NORTE"/>
    <s v="SNPED"/>
    <n v="4077351946"/>
    <s v="JOSE1970@HOTMAIL.COM"/>
    <s v="CASDO"/>
    <s v="CURSA"/>
    <s v="A"/>
    <d v="2022-03-12T00:00:00"/>
    <n v="6"/>
    <s v="UANL"/>
    <s v="CIENCIAS DE LA COMUNICACIÓN CON ACENTUACIÓN EN INFORMACIÓN "/>
    <s v=""/>
    <n v="82"/>
    <n v="35"/>
    <n v="3"/>
    <n v="1"/>
    <m/>
    <m/>
    <m/>
    <m/>
    <m/>
    <m/>
    <m/>
    <n v="563"/>
  </r>
  <r>
    <n v="488"/>
    <s v="Biridiana Abrajan Grande"/>
    <n v="10350"/>
    <n v="345"/>
    <n v="5175"/>
    <x v="286"/>
    <n v="4"/>
    <x v="0"/>
    <x v="24"/>
    <x v="3"/>
    <s v="LUN VIE"/>
    <m/>
    <s v="biridiana.abrajan@grupomaia.com"/>
    <s v="MARIANA RODRÍGUEZ GUTIERREZ"/>
    <n v="41951"/>
    <n v="7520"/>
    <s v="SOLUCIONES"/>
    <s v="INST CAMPO"/>
    <s v="SÍ"/>
    <n v="14"/>
    <n v="0.5"/>
    <n v="7"/>
    <n v="30"/>
    <n v="1.1013698630136985"/>
    <n v="379.97260273972597"/>
    <n v="38.333333333333336"/>
    <n v="36351"/>
    <s v="LEONES"/>
    <s v="MONTY"/>
    <n v="8194607547"/>
    <s v="BIRIDIANA1987@HOTMAIL.COM"/>
    <s v="SOLTE"/>
    <s v="CURSA"/>
    <s v="A"/>
    <d v="2022-07-10T00:00:00"/>
    <n v="6"/>
    <s v="UDG"/>
    <s v="PUBLICIDAD   CIENCIAS DE LA COMUNICACIÓN ACENTUACIÓN EN PUBLICIDAD       "/>
    <s v=""/>
    <n v="30"/>
    <n v="22"/>
    <n v="0"/>
    <n v="1"/>
    <m/>
    <m/>
    <m/>
    <m/>
    <m/>
    <m/>
    <m/>
    <n v="373"/>
  </r>
  <r>
    <n v="489"/>
    <s v="Alejandra Dayreb Cisneros Montelongo"/>
    <n v="7445"/>
    <n v="248.16666666666666"/>
    <n v="3722.5"/>
    <x v="287"/>
    <n v="4"/>
    <x v="7"/>
    <x v="8"/>
    <x v="3"/>
    <s v="LUN VIE"/>
    <m/>
    <s v="alejandra.cisneros@grupomaia.com"/>
    <s v="MARCO AURELIO URBINO"/>
    <m/>
    <m/>
    <m/>
    <m/>
    <s v="SÍ"/>
    <n v="14"/>
    <n v="0.5"/>
    <n v="7"/>
    <n v="30"/>
    <n v="1.1013698630136985"/>
    <n v="273.32328767123283"/>
    <n v="27.574074074074073"/>
    <n v="35824"/>
    <s v="VISTA HERMOSA"/>
    <s v="MONTY"/>
    <n v="8499468079"/>
    <s v="ALEJANDRA66@HOTMAIL.COM"/>
    <s v="DIVOR"/>
    <s v="CURSA"/>
    <s v="A"/>
    <d v="2022-01-29T00:00:00"/>
    <n v="9"/>
    <s v="UANL"/>
    <s v="CONTADOR PÚBLICO       "/>
    <s v=""/>
    <n v="37"/>
    <n v="24"/>
    <n v="3"/>
    <n v="1"/>
    <m/>
    <m/>
    <m/>
    <m/>
    <m/>
    <m/>
    <m/>
    <n v="323"/>
  </r>
  <r>
    <n v="491"/>
    <s v="Pedro Emanuel Pérez Barrios"/>
    <n v="9450"/>
    <n v="315"/>
    <n v="4725"/>
    <x v="288"/>
    <n v="4"/>
    <x v="7"/>
    <x v="18"/>
    <x v="3"/>
    <s v="LUN VIE"/>
    <m/>
    <s v="pedro.pérez@grupomaia.com"/>
    <s v="MARCO AURELIO URBINO"/>
    <n v="43100"/>
    <n v="7360"/>
    <s v="SOLUCIONES"/>
    <m/>
    <s v="SÍ"/>
    <n v="14"/>
    <n v="0.5"/>
    <n v="7"/>
    <n v="30"/>
    <n v="1.1013698630136985"/>
    <n v="346.93150684931504"/>
    <n v="35"/>
    <n v="29889"/>
    <s v="PLUTARCO ELÍAS CALLES"/>
    <s v="SNICO"/>
    <n v="8249393772"/>
    <s v="PEDRO1010@HOTMAIL.COM"/>
    <s v="SOLTE"/>
    <s v="CURSA"/>
    <s v="A"/>
    <d v="2022-10-30T00:00:00"/>
    <n v="10"/>
    <s v="UANL"/>
    <s v="NEGOCIOS INTERNACIONALES       "/>
    <s v=""/>
    <n v="80"/>
    <n v="40"/>
    <n v="3"/>
    <n v="1"/>
    <m/>
    <m/>
    <m/>
    <m/>
    <m/>
    <m/>
    <m/>
    <n v="349"/>
  </r>
  <r>
    <n v="493"/>
    <s v="Hugo Alvarado Álvarez"/>
    <n v="6778"/>
    <n v="225.93333333333334"/>
    <n v="3389"/>
    <x v="289"/>
    <n v="4"/>
    <x v="0"/>
    <x v="24"/>
    <x v="3"/>
    <s v="LUN VIE"/>
    <m/>
    <s v="hugo.alvarado@grupomaia.com"/>
    <s v="MARIANA RODRÍGUEZ GUTIERREZ"/>
    <m/>
    <m/>
    <m/>
    <m/>
    <s v="SÍ"/>
    <n v="14"/>
    <n v="0.25"/>
    <n v="3.5"/>
    <n v="15"/>
    <n v="1.0506849315068494"/>
    <n v="237.38474885844749"/>
    <n v="25.103703703703705"/>
    <n v="35222"/>
    <s v="LA UNIÓN"/>
    <s v="MONTY"/>
    <n v="5554879496"/>
    <s v="HUGO.A.A.89@HOTMAIL.COM"/>
    <s v="UNLIB"/>
    <s v="TITUL"/>
    <s v="A"/>
    <d v="2022-06-06T00:00:00"/>
    <n v="0"/>
    <s v="UVM"/>
    <s v="DERECHO"/>
    <s v="LEYES"/>
    <n v="50"/>
    <n v="26"/>
    <n v="1"/>
    <n v="1"/>
    <m/>
    <m/>
    <m/>
    <m/>
    <m/>
    <m/>
    <m/>
    <n v="135"/>
  </r>
  <r>
    <n v="494"/>
    <s v="Aylin Medellín Sanchez"/>
    <n v="27150"/>
    <n v="905"/>
    <n v="13575"/>
    <x v="289"/>
    <n v="4"/>
    <x v="1"/>
    <x v="32"/>
    <x v="1"/>
    <s v="LUN VIE"/>
    <n v="1087"/>
    <s v="aylin.medellín@grupomaia.com"/>
    <s v="DENEB SANTIAGO ALTAIR VEGA"/>
    <n v="44422"/>
    <n v="18830"/>
    <s v="ANLIS COST"/>
    <m/>
    <s v="SÍ"/>
    <n v="14"/>
    <n v="0.5"/>
    <n v="7"/>
    <n v="30"/>
    <n v="1.1013698630136985"/>
    <n v="996.73972602739718"/>
    <n v="100.55555555555556"/>
    <n v="35846"/>
    <s v="RENÉ ÁLVAREZ"/>
    <s v="MONTY"/>
    <n v="8484485439"/>
    <s v="AYLIN1414@HOTMAIL.COM"/>
    <s v="SOLTE"/>
    <s v="MAEST"/>
    <s v="A"/>
    <d v="2022-02-20T00:00:00"/>
    <m/>
    <s v="UANL"/>
    <s v="INGENIERO ADMINISTRADOR DE SISTEMAS     "/>
    <s v="INGENIERO INDUSTRIAL ADMINISTRADOR      "/>
    <n v="76"/>
    <n v="24"/>
    <n v="0"/>
    <n v="1"/>
    <m/>
    <m/>
    <m/>
    <m/>
    <m/>
    <m/>
    <m/>
    <n v="897"/>
  </r>
  <r>
    <n v="495"/>
    <s v="Erick Daniel Izaguirre Valle"/>
    <n v="7445"/>
    <n v="248.16666666666666"/>
    <n v="3722.5"/>
    <x v="290"/>
    <n v="4"/>
    <x v="5"/>
    <x v="14"/>
    <x v="3"/>
    <s v="LUN VIE"/>
    <m/>
    <s v="erick.izaguirre@grupomaia.com"/>
    <s v="MÉRIDA ISELA MEDINA SALINAS"/>
    <n v="43563"/>
    <n v="5088"/>
    <s v="ARQUITECT"/>
    <m/>
    <s v="SÍ"/>
    <n v="14"/>
    <n v="0.5"/>
    <n v="7"/>
    <n v="30"/>
    <n v="1.1013698630136985"/>
    <n v="273.32328767123283"/>
    <n v="27.574074074074073"/>
    <n v="31995"/>
    <s v="COYOACÁN"/>
    <s v="MONTY"/>
    <n v="8806001054"/>
    <s v="ERICK88@HOTMAIL.COM"/>
    <s v="SOLTE"/>
    <s v="CURSA"/>
    <s v="A"/>
    <d v="2022-08-06T00:00:00"/>
    <n v="9"/>
    <s v="UANL"/>
    <s v="ARQUITECTURA        "/>
    <s v=""/>
    <n v="30"/>
    <n v="34"/>
    <n v="0"/>
    <n v="1"/>
    <m/>
    <m/>
    <m/>
    <m/>
    <m/>
    <m/>
    <m/>
    <n v="987"/>
  </r>
  <r>
    <n v="496"/>
    <s v="Enrique Martinez Carbajal"/>
    <n v="7445"/>
    <n v="248.16666666666666"/>
    <n v="3722.5"/>
    <x v="291"/>
    <n v="4"/>
    <x v="3"/>
    <x v="20"/>
    <x v="3"/>
    <s v="LUN VIE"/>
    <m/>
    <s v="enrique.martinez@grupomaia.com"/>
    <s v="DIEGO HERRERA GIRÓN"/>
    <m/>
    <m/>
    <m/>
    <m/>
    <s v="SÍ"/>
    <n v="14"/>
    <n v="0.5"/>
    <n v="7"/>
    <n v="30"/>
    <n v="1.1013698630136985"/>
    <n v="273.32328767123283"/>
    <n v="27.574074074074073"/>
    <n v="33500"/>
    <s v="TAMPICO"/>
    <s v="SNPED"/>
    <n v="5587549642"/>
    <s v="ENRIQUE1988@HOTMAIL.COM"/>
    <s v="CASDO"/>
    <s v="PSNTE"/>
    <s v="A"/>
    <d v="2022-09-19T00:00:00"/>
    <m/>
    <s v="UANL"/>
    <s v="INGENIERÍA CIVIL       "/>
    <s v=""/>
    <n v="32"/>
    <n v="30"/>
    <n v="0"/>
    <n v="1"/>
    <m/>
    <m/>
    <m/>
    <m/>
    <m/>
    <m/>
    <m/>
    <n v="367"/>
  </r>
  <r>
    <n v="497"/>
    <s v="Daniel Alejandro García Tovar"/>
    <n v="7445"/>
    <n v="248.16666666666666"/>
    <n v="3722.5"/>
    <x v="62"/>
    <n v="4"/>
    <x v="7"/>
    <x v="18"/>
    <x v="3"/>
    <s v="LUN VIE"/>
    <m/>
    <s v="daniel.garcia@grupomaia.com"/>
    <s v="MARCO AURELIO URBINO"/>
    <m/>
    <m/>
    <m/>
    <m/>
    <s v="SÍ"/>
    <n v="14"/>
    <n v="0.5"/>
    <n v="7"/>
    <n v="30"/>
    <n v="1.1013698630136985"/>
    <n v="273.32328767123283"/>
    <n v="27.574074074074073"/>
    <n v="34508"/>
    <s v="PRIVADA VILLA ALTA RESIDENCIAL"/>
    <s v="ESCOB"/>
    <n v="3315698420"/>
    <s v="DANIEL66@HOTMAIL.COM"/>
    <s v="SOLTE"/>
    <s v="CURSA"/>
    <s v="A"/>
    <d v="2022-06-23T00:00:00"/>
    <n v="9"/>
    <s v="UANL"/>
    <s v="ADMINISTRACIÓN        "/>
    <s v=""/>
    <n v="46"/>
    <n v="28"/>
    <n v="0"/>
    <n v="1"/>
    <m/>
    <m/>
    <m/>
    <m/>
    <m/>
    <m/>
    <m/>
    <n v="200"/>
  </r>
  <r>
    <n v="498"/>
    <s v="Marcos Eliud Ocanas Tovar"/>
    <n v="8825"/>
    <n v="294.16666666666669"/>
    <n v="4412.5"/>
    <x v="62"/>
    <n v="4"/>
    <x v="7"/>
    <x v="18"/>
    <x v="3"/>
    <s v="LUN VIE"/>
    <m/>
    <s v="marcos.ocanas@grupomaia.com"/>
    <s v="MARCO AURELIO URBINO"/>
    <n v="44073"/>
    <n v="7632.8"/>
    <s v="ANLIS COST"/>
    <m/>
    <s v="SÍ"/>
    <n v="14"/>
    <n v="0.5"/>
    <n v="7"/>
    <n v="30"/>
    <n v="1.1013698630136985"/>
    <n v="323.98630136986299"/>
    <n v="32.68518518518519"/>
    <n v="36001"/>
    <s v="CANTERÍAS NORTE"/>
    <s v="STACT"/>
    <n v="8056296487.5"/>
    <s v="MARCOS1993@HOTMAIL.COM"/>
    <s v="SOLTE"/>
    <s v="TITUL"/>
    <s v="A"/>
    <d v="2022-07-25T00:00:00"/>
    <n v="10"/>
    <s v="UANL"/>
    <s v="NEGOCIOS INTERNACIONALES       "/>
    <s v=""/>
    <n v="83"/>
    <n v="23"/>
    <n v="3"/>
    <n v="1"/>
    <m/>
    <m/>
    <m/>
    <m/>
    <m/>
    <m/>
    <m/>
    <n v="388"/>
  </r>
  <r>
    <n v="500"/>
    <s v="Juanita Enedina Nieves Lara"/>
    <n v="9541"/>
    <n v="318.03333333333336"/>
    <n v="4770.5"/>
    <x v="292"/>
    <n v="4"/>
    <x v="0"/>
    <x v="17"/>
    <x v="3"/>
    <s v="LUN VIE"/>
    <m/>
    <s v="juanita.nieves@grupomaia.com"/>
    <s v="MARIANA RODRÍGUEZ GUTIERREZ"/>
    <n v="43204"/>
    <n v="3888"/>
    <s v="AUDIT ADMN"/>
    <m/>
    <s v="SÍ"/>
    <n v="14"/>
    <n v="0.5"/>
    <n v="7"/>
    <n v="30"/>
    <n v="1.1013698630136985"/>
    <n v="350.27232876712327"/>
    <n v="35.337037037037042"/>
    <n v="32658"/>
    <s v="LADERAS DEL TOPO CHICO (F-23)"/>
    <s v="APODC"/>
    <n v="4547518943"/>
    <s v="JUANITA1995@HOTMAIL.COM"/>
    <s v="DIVOR"/>
    <s v="CURSA"/>
    <s v="A"/>
    <d v="2022-05-30T00:00:00"/>
    <n v="6"/>
    <s v="UANL"/>
    <s v="NEGOCIOS INTERNACIONALES       "/>
    <s v=""/>
    <n v="30"/>
    <n v="33"/>
    <n v="2"/>
    <n v="1"/>
    <m/>
    <m/>
    <m/>
    <m/>
    <m/>
    <m/>
    <m/>
    <n v="728"/>
  </r>
  <r>
    <n v="501"/>
    <s v="Arcenio Gatica Portillo"/>
    <n v="6778"/>
    <n v="225.93333333333334"/>
    <n v="3389"/>
    <x v="293"/>
    <n v="4"/>
    <x v="2"/>
    <x v="29"/>
    <x v="3"/>
    <s v="LUN VIE"/>
    <m/>
    <s v="arcenio.gatica@grupomaia.com"/>
    <s v="IRIE DALÍ ANTARES CORTÉS"/>
    <m/>
    <m/>
    <m/>
    <m/>
    <s v="SÍ"/>
    <n v="14"/>
    <n v="0.25"/>
    <n v="3.5"/>
    <n v="15"/>
    <n v="1.0506849315068494"/>
    <n v="237.38474885844749"/>
    <n v="25.103703703703705"/>
    <n v="26643"/>
    <s v="URDIALES"/>
    <s v="MONTY"/>
    <n v="7644196236"/>
    <s v="ARCENIO1984@HOTMAIL.COM"/>
    <s v="SOLTE"/>
    <s v="CURSA"/>
    <s v="A"/>
    <d v="2022-12-10T00:00:00"/>
    <n v="8"/>
    <s v="UANL"/>
    <s v="FÍSICA        "/>
    <s v=""/>
    <n v="68"/>
    <n v="49"/>
    <n v="0"/>
    <n v="1"/>
    <m/>
    <m/>
    <m/>
    <m/>
    <m/>
    <m/>
    <m/>
    <n v="330"/>
  </r>
  <r>
    <n v="502"/>
    <s v="Aranza Elizabeth Vazquez Rodriguez"/>
    <n v="9450"/>
    <n v="315"/>
    <n v="4725"/>
    <x v="294"/>
    <n v="3"/>
    <x v="3"/>
    <x v="21"/>
    <x v="3"/>
    <s v="LUN VIE"/>
    <m/>
    <s v="aranza.vazquez@grupomaia.com"/>
    <s v="DIEGO HERRERA GIRÓN"/>
    <n v="43739"/>
    <n v="4384"/>
    <s v="ADMINCIÓN"/>
    <m/>
    <s v="SÍ"/>
    <n v="14"/>
    <n v="0.5"/>
    <n v="7"/>
    <n v="30"/>
    <n v="1.1013698630136985"/>
    <n v="346.93150684931504"/>
    <n v="35"/>
    <n v="35276"/>
    <s v="ARGENTINA"/>
    <s v="GUADL"/>
    <n v="8390559420"/>
    <s v="ARANZA1212@HOTMAIL.COM"/>
    <s v="DIVOR"/>
    <s v="CURSA"/>
    <s v="A"/>
    <d v="2022-07-30T00:00:00"/>
    <n v="6"/>
    <s v="UANL"/>
    <s v="INGENIERÍA CIVIL       "/>
    <s v=""/>
    <n v="58"/>
    <n v="25"/>
    <n v="2"/>
    <n v="1"/>
    <m/>
    <m/>
    <m/>
    <m/>
    <m/>
    <m/>
    <m/>
    <n v="27"/>
  </r>
  <r>
    <n v="503"/>
    <s v="Hugo Alejandro Segura Viveros"/>
    <n v="9541"/>
    <n v="318.03333333333336"/>
    <n v="4770.5"/>
    <x v="295"/>
    <n v="3"/>
    <x v="7"/>
    <x v="18"/>
    <x v="3"/>
    <s v="LUN VIE"/>
    <m/>
    <s v="hugo.segura@grupomaia.com"/>
    <s v="MARCO AURELIO URBINO"/>
    <n v="43479"/>
    <n v="7600"/>
    <s v="RENDER"/>
    <m/>
    <s v="SÍ"/>
    <n v="14"/>
    <n v="0.5"/>
    <n v="7"/>
    <n v="30"/>
    <n v="1.1013698630136985"/>
    <n v="350.27232876712327"/>
    <n v="35.337037037037042"/>
    <n v="34801"/>
    <s v="PROVILEON SAN BERNABÉ"/>
    <s v="APODC"/>
    <n v="8294418521"/>
    <s v="HUGO1992@HOTMAIL.COM"/>
    <s v="SOLTE"/>
    <s v="CURSA"/>
    <s v="A"/>
    <d v="2022-04-12T00:00:00"/>
    <n v="4"/>
    <s v="UANL"/>
    <s v="ADMINISTRACIÓN        "/>
    <s v=""/>
    <n v="48"/>
    <n v="27"/>
    <n v="2"/>
    <n v="1"/>
    <m/>
    <m/>
    <m/>
    <m/>
    <m/>
    <m/>
    <m/>
    <n v="871"/>
  </r>
  <r>
    <n v="504"/>
    <s v="Adrian García Villanueva"/>
    <n v="7445"/>
    <n v="248.16666666666666"/>
    <n v="3722.5"/>
    <x v="296"/>
    <n v="3"/>
    <x v="5"/>
    <x v="14"/>
    <x v="3"/>
    <s v="LUN VIE"/>
    <m/>
    <s v="adrian.garcia@grupomaia.com"/>
    <s v="MÉRIDA ISELA MEDINA SALINAS"/>
    <m/>
    <m/>
    <m/>
    <m/>
    <s v="SÍ"/>
    <n v="14"/>
    <n v="0.5"/>
    <n v="7"/>
    <n v="30"/>
    <n v="1.1013698630136985"/>
    <n v="273.32328767123283"/>
    <n v="27.574074074074073"/>
    <n v="35274"/>
    <s v="MUNICIPAL AMPLIACIÓN"/>
    <s v="ESCOB"/>
    <n v="9876980398"/>
    <s v="ADRIAN1972@HOTMAIL.COM"/>
    <s v="SOLTE"/>
    <s v="CURSA"/>
    <s v="A"/>
    <d v="2022-07-28T00:00:00"/>
    <n v="5"/>
    <s v="UANL"/>
    <s v="ARQUITECTURA        "/>
    <s v=""/>
    <n v="78"/>
    <n v="25"/>
    <n v="1"/>
    <n v="1"/>
    <m/>
    <m/>
    <m/>
    <m/>
    <m/>
    <m/>
    <m/>
    <n v="46"/>
  </r>
  <r>
    <n v="507"/>
    <s v="Epifanio Dominguez Ramos"/>
    <n v="6778"/>
    <n v="225.93333333333334"/>
    <n v="3389"/>
    <x v="297"/>
    <n v="3"/>
    <x v="5"/>
    <x v="28"/>
    <x v="3"/>
    <s v="LUN VIE"/>
    <m/>
    <s v="epifanio.dominguez@grupomaia.com"/>
    <s v="MÉRIDA ISELA MEDINA SALINAS"/>
    <m/>
    <m/>
    <m/>
    <m/>
    <s v="SÍ"/>
    <n v="14"/>
    <n v="0.25"/>
    <n v="3.5"/>
    <n v="15"/>
    <n v="1.0506849315068494"/>
    <n v="237.38474885844749"/>
    <n v="25.103703703703705"/>
    <n v="29642"/>
    <s v="MARTÍNEZ"/>
    <s v="SNPED"/>
    <n v="8181677552"/>
    <s v="EPIFANIO1985@HOTMAIL.COM"/>
    <s v="CASDO"/>
    <s v="CURSA"/>
    <s v="A"/>
    <d v="2022-02-25T00:00:00"/>
    <n v="9"/>
    <s v="UNEZ"/>
    <s v="ARQUITECTURA        "/>
    <s v=""/>
    <n v="53"/>
    <n v="41"/>
    <n v="2"/>
    <n v="1"/>
    <m/>
    <m/>
    <m/>
    <m/>
    <m/>
    <m/>
    <m/>
    <n v="752"/>
  </r>
  <r>
    <n v="509"/>
    <s v="Pamela Bibiano González"/>
    <n v="6778"/>
    <n v="225.93333333333334"/>
    <n v="3389"/>
    <x v="39"/>
    <n v="3"/>
    <x v="0"/>
    <x v="24"/>
    <x v="3"/>
    <s v="LUN VIE"/>
    <n v="0"/>
    <s v="pamela.bibiano@grupomaia.com"/>
    <s v="MARIANA RODRÍGUEZ GUTIERREZ"/>
    <m/>
    <m/>
    <m/>
    <m/>
    <s v="SÍ"/>
    <n v="14"/>
    <n v="0.25"/>
    <n v="3.5"/>
    <n v="15"/>
    <n v="1.0506849315068494"/>
    <n v="237.38474885844749"/>
    <n v="25.103703703703705"/>
    <n v="36568"/>
    <s v="MÁRTIRES DE CANANEA"/>
    <s v="STACT"/>
    <n v="6654938122"/>
    <s v="pame_bibiano@hotmail.com"/>
    <s v="SOLTE"/>
    <s v="CURSA"/>
    <s v="A"/>
    <d v="2022-02-12T00:00:00"/>
    <n v="7"/>
    <s v="UANL"/>
    <s v="ADMINISTRACIÓN"/>
    <n v="0"/>
    <n v="45"/>
    <n v="22"/>
    <n v="0"/>
    <n v="1"/>
    <m/>
    <m/>
    <m/>
    <m/>
    <m/>
    <m/>
    <m/>
    <n v="313"/>
  </r>
  <r>
    <n v="510"/>
    <s v="Eduardo Sebastian Escalante Gonzalez"/>
    <n v="9450"/>
    <n v="315"/>
    <n v="4725"/>
    <x v="69"/>
    <n v="3"/>
    <x v="7"/>
    <x v="16"/>
    <x v="3"/>
    <s v="LUN VIE"/>
    <m/>
    <s v="eduardo.escalante@grupomaia.com"/>
    <s v="MARCO AURELIO URBINO"/>
    <n v="44356"/>
    <n v="5390"/>
    <s v="INST CAMPO"/>
    <m/>
    <s v="SÍ"/>
    <n v="14"/>
    <n v="0.5"/>
    <n v="7"/>
    <n v="30"/>
    <n v="1.1013698630136985"/>
    <n v="346.93150684931504"/>
    <n v="35"/>
    <n v="29873"/>
    <s v="LADERAS DEL TOPO CHICO (F-23)"/>
    <s v="APODC"/>
    <n v="8441829766"/>
    <s v="EDUARDO1212@HOTMAIL.COM"/>
    <s v="SOLTE"/>
    <s v="CURSA"/>
    <s v="A"/>
    <d v="2022-10-14T00:00:00"/>
    <n v="6"/>
    <s v="UANL"/>
    <s v="ADMINISTRACIÓN        "/>
    <s v=""/>
    <n v="67"/>
    <n v="40"/>
    <n v="0"/>
    <n v="1"/>
    <m/>
    <m/>
    <m/>
    <m/>
    <m/>
    <m/>
    <m/>
    <n v="592"/>
  </r>
  <r>
    <n v="511"/>
    <s v="Ana Paula Rodríguez Hernández"/>
    <n v="25800"/>
    <n v="860"/>
    <n v="12900"/>
    <x v="60"/>
    <n v="3"/>
    <x v="0"/>
    <x v="17"/>
    <x v="1"/>
    <s v="LUN VIE"/>
    <n v="1030"/>
    <s v="ana.rodríguez@grupomaia.com"/>
    <s v="MARIANA RODRÍGUEZ GUTIERREZ"/>
    <n v="44357"/>
    <n v="17360"/>
    <s v="SEGUROS"/>
    <s v="COLECTIVOS"/>
    <s v="NO"/>
    <n v="14"/>
    <n v="0.5"/>
    <n v="7"/>
    <n v="30"/>
    <n v="1.1013698630136985"/>
    <n v="947.17808219178073"/>
    <n v="95.555555555555557"/>
    <n v="33101"/>
    <s v="PERIODISTAS"/>
    <s v="MONTY"/>
    <n v="8196691483"/>
    <s v="ANA1414@HOTMAIL.COM"/>
    <s v="SOLTE"/>
    <s v="TITUL"/>
    <s v="A"/>
    <d v="2022-08-16T00:00:00"/>
    <m/>
    <s v="UDLAP"/>
    <s v="ADMINISTRACIÓN        "/>
    <s v=""/>
    <n v="58"/>
    <n v="31"/>
    <n v="3"/>
    <n v="1"/>
    <m/>
    <m/>
    <m/>
    <m/>
    <m/>
    <m/>
    <m/>
    <n v="72"/>
  </r>
  <r>
    <n v="513"/>
    <s v="David Alejandro Cuevas Aguilar"/>
    <n v="6778"/>
    <n v="225.93333333333334"/>
    <n v="3389"/>
    <x v="298"/>
    <n v="3"/>
    <x v="7"/>
    <x v="16"/>
    <x v="3"/>
    <s v="LUN VIE"/>
    <n v="0"/>
    <s v="david.cuevas@grupomaia.com"/>
    <s v="MARCO AURELIO URBINO"/>
    <m/>
    <m/>
    <m/>
    <m/>
    <s v="SÍ"/>
    <n v="14"/>
    <n v="0.25"/>
    <n v="3.5"/>
    <n v="15"/>
    <n v="1.0506849315068494"/>
    <n v="237.38474885844749"/>
    <n v="25.103703703703705"/>
    <n v="34745"/>
    <s v="LAS PUENTES"/>
    <s v="SNICO"/>
    <n v="8566987412"/>
    <s v="ALXAGLR@GMAIL.COM"/>
    <s v="SOLTE"/>
    <s v="TITUL"/>
    <s v="B"/>
    <d v="2022-02-15T00:00:00"/>
    <s v=" "/>
    <s v="UANL"/>
    <s v="BIOLOGÍA"/>
    <n v="0"/>
    <n v="60"/>
    <n v="27"/>
    <n v="0"/>
    <n v="1"/>
    <m/>
    <m/>
    <m/>
    <m/>
    <m/>
    <m/>
    <m/>
    <n v="423"/>
  </r>
  <r>
    <n v="514"/>
    <s v="Larry Zamora Avila"/>
    <n v="9541"/>
    <n v="318.03333333333336"/>
    <n v="4770.5"/>
    <x v="299"/>
    <n v="3"/>
    <x v="0"/>
    <x v="24"/>
    <x v="3"/>
    <s v="LUN VIE"/>
    <m/>
    <s v="larry.zamora@grupomaia.com"/>
    <s v="MARIANA RODRÍGUEZ GUTIERREZ"/>
    <n v="42170"/>
    <n v="7632"/>
    <s v="RENDER"/>
    <s v="ANLIS COST"/>
    <s v="NO"/>
    <n v="14"/>
    <n v="0.5"/>
    <n v="7"/>
    <n v="30"/>
    <n v="1.1013698630136985"/>
    <n v="350.27232876712327"/>
    <n v="35.337037037037042"/>
    <n v="36436"/>
    <s v="COYOACÁN"/>
    <s v="SNICO"/>
    <n v="8197801193"/>
    <s v="LARRY1998@HOTMAIL.COM"/>
    <s v="SOLTE"/>
    <s v="CURSA"/>
    <s v="A"/>
    <d v="2022-10-03T00:00:00"/>
    <n v="6"/>
    <s v="UANL"/>
    <s v="CONTADOR PÚBLICO       "/>
    <s v=""/>
    <n v="99"/>
    <n v="22"/>
    <n v="3"/>
    <n v="1"/>
    <m/>
    <m/>
    <m/>
    <m/>
    <m/>
    <m/>
    <m/>
    <n v="919"/>
  </r>
  <r>
    <n v="516"/>
    <s v="Edgar Ismael Rodriguez Vela"/>
    <n v="9450"/>
    <n v="315"/>
    <n v="4725"/>
    <x v="300"/>
    <n v="3"/>
    <x v="0"/>
    <x v="26"/>
    <x v="3"/>
    <s v="LUN VIE"/>
    <m/>
    <s v="edgar.rodriguez@grupomaia.com"/>
    <s v="MARIANA RODRÍGUEZ GUTIERREZ"/>
    <n v="43592"/>
    <n v="6580"/>
    <s v="CONTA"/>
    <m/>
    <s v="NO"/>
    <n v="14"/>
    <n v="0.5"/>
    <n v="7"/>
    <n v="30"/>
    <n v="1.1013698630136985"/>
    <n v="346.93150684931504"/>
    <n v="35"/>
    <n v="33691"/>
    <s v="TIJERINA"/>
    <s v="ESCOB"/>
    <n v="8543221995"/>
    <s v="EDGAR1212@HOTMAIL.COM"/>
    <s v="SOLTE"/>
    <s v="CURSA"/>
    <s v="A"/>
    <d v="2022-03-28T00:00:00"/>
    <n v="10"/>
    <s v="UMM"/>
    <s v="EDUCACIÓN        "/>
    <s v="FINANZAS"/>
    <n v="65"/>
    <n v="30"/>
    <n v="2"/>
    <n v="1"/>
    <m/>
    <m/>
    <m/>
    <m/>
    <m/>
    <m/>
    <m/>
    <n v="163"/>
  </r>
  <r>
    <n v="517"/>
    <s v="Daniel Gervacio Javier"/>
    <n v="9541"/>
    <n v="318.03333333333336"/>
    <n v="4770.5"/>
    <x v="301"/>
    <n v="3"/>
    <x v="3"/>
    <x v="21"/>
    <x v="3"/>
    <s v="LUN VIE"/>
    <m/>
    <s v="daniel.gervacio@grupomaia.com"/>
    <s v="DIEGO HERRERA GIRÓN"/>
    <n v="41724"/>
    <n v="6580"/>
    <s v="ADMINCIÓN"/>
    <s v="ADMINCIÓN"/>
    <s v="SÍ"/>
    <n v="14"/>
    <n v="0.5"/>
    <n v="7"/>
    <n v="30"/>
    <n v="1.1013698630136985"/>
    <n v="350.27232876712327"/>
    <n v="35.337037037037042"/>
    <n v="27064"/>
    <s v="VILLA SANTGA CECILIA"/>
    <s v="MONTY"/>
    <n v="3354875565"/>
    <s v="DANIEL1975@HOTMAIL.COM"/>
    <s v="CASDO"/>
    <s v="CURSA"/>
    <s v="A"/>
    <d v="2022-02-04T00:00:00"/>
    <n v="7"/>
    <s v="UANL"/>
    <s v="INGENIERÍA CIVIL       "/>
    <s v=""/>
    <n v="83"/>
    <n v="48"/>
    <n v="2"/>
    <n v="1"/>
    <m/>
    <m/>
    <m/>
    <m/>
    <m/>
    <m/>
    <m/>
    <n v="761"/>
  </r>
  <r>
    <n v="518"/>
    <s v="José Eduardo Torres Arevalo"/>
    <n v="9541"/>
    <n v="318.03333333333336"/>
    <n v="4770.5"/>
    <x v="302"/>
    <n v="3"/>
    <x v="8"/>
    <x v="22"/>
    <x v="3"/>
    <s v="LUN VIE"/>
    <m/>
    <s v="jose.torres@grupomaia.com"/>
    <s v="EMMA DARIELA GARCÍA LORCA"/>
    <n v="44377"/>
    <n v="5211.5"/>
    <s v="EQUIPOS"/>
    <m/>
    <s v="NO"/>
    <n v="14"/>
    <n v="0.5"/>
    <n v="7"/>
    <n v="30"/>
    <n v="1.1013698630136985"/>
    <n v="350.27232876712327"/>
    <n v="35.337037037037042"/>
    <n v="33101"/>
    <s v="JARDÍN MODELO"/>
    <s v="APODC"/>
    <n v="8979001343"/>
    <s v="JOSE1414@HOTMAIL.COM"/>
    <s v="SOLTE"/>
    <s v="PSNTE"/>
    <s v="C"/>
    <d v="2022-08-16T00:00:00"/>
    <m/>
    <s v="UVM"/>
    <s v="NEGOCIOS INTERNACIONALES       "/>
    <s v=""/>
    <n v="42"/>
    <n v="31"/>
    <n v="2"/>
    <n v="1"/>
    <m/>
    <m/>
    <m/>
    <m/>
    <m/>
    <m/>
    <m/>
    <n v="343"/>
  </r>
  <r>
    <n v="519"/>
    <s v="Janis Lorraine Sanchez García"/>
    <n v="7445"/>
    <n v="248.16666666666666"/>
    <n v="3722.5"/>
    <x v="303"/>
    <n v="3"/>
    <x v="4"/>
    <x v="7"/>
    <x v="3"/>
    <s v="LUN VIE"/>
    <m/>
    <s v="janis.sanchez@grupomaia.com"/>
    <s v="MARIANO ALDEBARÁN"/>
    <m/>
    <m/>
    <m/>
    <m/>
    <s v="NO"/>
    <n v="14"/>
    <n v="0.5"/>
    <n v="7"/>
    <n v="30"/>
    <n v="1.1013698630136985"/>
    <n v="273.32328767123283"/>
    <n v="27.574074074074073"/>
    <n v="35501"/>
    <s v="PRIVADAS DEL SUR"/>
    <s v="ESCOB"/>
    <n v="8260814898"/>
    <s v="JANIS66@HOTMAIL.COM"/>
    <s v="SOLTE"/>
    <s v="CURSA"/>
    <s v="A"/>
    <d v="2022-03-12T00:00:00"/>
    <n v="10"/>
    <s v="UANL"/>
    <s v="CIENCIAS DE LA COMUNICACIÓN CON ACENTUACIÓN EN INFORMACIÓN "/>
    <s v=""/>
    <n v="97"/>
    <n v="25"/>
    <n v="0"/>
    <n v="1"/>
    <m/>
    <m/>
    <m/>
    <m/>
    <m/>
    <m/>
    <m/>
    <n v="27"/>
  </r>
  <r>
    <n v="520"/>
    <s v="Alejandro Turner Aguilar"/>
    <n v="7445"/>
    <n v="248.16666666666666"/>
    <n v="3722.5"/>
    <x v="304"/>
    <n v="3"/>
    <x v="7"/>
    <x v="8"/>
    <x v="3"/>
    <s v="LUN VIE"/>
    <m/>
    <s v="alejandro.turner@grupomaia.com"/>
    <s v="MARCO AURELIO URBINO"/>
    <m/>
    <m/>
    <m/>
    <m/>
    <s v="SÍ"/>
    <n v="14"/>
    <n v="0.5"/>
    <n v="7"/>
    <n v="30"/>
    <n v="1.1013698630136985"/>
    <n v="273.32328767123283"/>
    <n v="27.574074074074073"/>
    <n v="34476"/>
    <s v="RENÉ ÁLVAREZ"/>
    <s v="STACT"/>
    <n v="8304323642"/>
    <s v="DAPHNE1989@HOTMAIL.COM"/>
    <s v="SOLTE"/>
    <s v="PSNTE"/>
    <s v="A"/>
    <d v="2022-05-22T00:00:00"/>
    <n v="10"/>
    <s v="UASLP"/>
    <s v="CIENCIAS DE LA COMUNICACIÓN CON ACENTUACIÓN EN INFORMACIÓN "/>
    <s v=""/>
    <n v="60"/>
    <n v="28"/>
    <n v="3"/>
    <n v="1"/>
    <m/>
    <m/>
    <m/>
    <m/>
    <m/>
    <m/>
    <m/>
    <n v="263"/>
  </r>
  <r>
    <n v="521"/>
    <s v="Angélica Paredes Soriano"/>
    <n v="17750"/>
    <n v="591.66666666666663"/>
    <n v="8875"/>
    <x v="305"/>
    <n v="3"/>
    <x v="1"/>
    <x v="30"/>
    <x v="3"/>
    <s v="LUN VIE"/>
    <m/>
    <s v="angelica.paredes@grupomaia.com"/>
    <s v="DENEB SANTIAGO ALTAIR VEGA"/>
    <n v="44080"/>
    <n v="12425"/>
    <s v="ESTRUCTURA"/>
    <m/>
    <s v="NO"/>
    <n v="14"/>
    <n v="0.5"/>
    <n v="7"/>
    <n v="30"/>
    <n v="1.1013698630136985"/>
    <n v="651.64383561643831"/>
    <n v="65.740740740740733"/>
    <n v="35459"/>
    <s v="COLONIAL SAN FRANCISCO"/>
    <s v="STACT"/>
    <n v="8588837042"/>
    <s v="ANGELICA1212@HOTMAIL.COM"/>
    <s v="SOLTE"/>
    <s v="TITUL"/>
    <s v="A"/>
    <d v="2022-01-29T00:00:00"/>
    <m/>
    <s v="UANL"/>
    <s v="INGENIERO ADMINISTRADOR DE SISTEMAS     "/>
    <s v=""/>
    <n v="72"/>
    <n v="25"/>
    <n v="3"/>
    <n v="1"/>
    <m/>
    <m/>
    <m/>
    <m/>
    <m/>
    <m/>
    <m/>
    <n v="542"/>
  </r>
  <r>
    <n v="522"/>
    <s v="Roxana Bello López"/>
    <n v="6778"/>
    <n v="225.93333333333334"/>
    <n v="3389"/>
    <x v="306"/>
    <n v="3"/>
    <x v="7"/>
    <x v="18"/>
    <x v="3"/>
    <s v="LUN VIE"/>
    <n v="0"/>
    <s v="roxana.bello@grupomaia.com"/>
    <s v="MARCO AURELIO URBINO"/>
    <m/>
    <m/>
    <m/>
    <m/>
    <s v="SÍ"/>
    <n v="14"/>
    <n v="0.25"/>
    <n v="3.5"/>
    <n v="15"/>
    <n v="1.0506849315068494"/>
    <n v="237.38474885844749"/>
    <n v="25.103703703703705"/>
    <n v="32803"/>
    <s v="ÉBANOS"/>
    <s v="APODC"/>
    <n v="8574415263"/>
    <s v="ROXANA.@GMAIL.COM"/>
    <s v="SEPAR"/>
    <s v="CURSA"/>
    <s v="B"/>
    <d v="2022-10-22T00:00:00"/>
    <n v="3"/>
    <s v="UANL"/>
    <s v="GASTRONOMÍA"/>
    <n v="0"/>
    <n v="40"/>
    <n v="32"/>
    <n v="2"/>
    <n v="1"/>
    <m/>
    <m/>
    <m/>
    <m/>
    <m/>
    <m/>
    <m/>
    <n v="438"/>
  </r>
  <r>
    <n v="523"/>
    <s v="Celestino Ceron Velazquez"/>
    <n v="7445"/>
    <n v="248.16666666666666"/>
    <n v="3722.5"/>
    <x v="307"/>
    <n v="3"/>
    <x v="9"/>
    <x v="31"/>
    <x v="3"/>
    <s v="LUN VIE"/>
    <m/>
    <s v="celestino.ceron@grupomaia.com"/>
    <s v="IDALIA GARCÍA ESCRIVÁ"/>
    <m/>
    <m/>
    <m/>
    <m/>
    <s v="NO"/>
    <n v="14"/>
    <n v="0.5"/>
    <n v="7"/>
    <n v="30"/>
    <n v="1.1013698630136985"/>
    <n v="273.32328767123283"/>
    <n v="27.574074074074073"/>
    <n v="34794"/>
    <s v="15 DE MAYO (LARRALDE)"/>
    <s v="SNICO"/>
    <n v="7067123728"/>
    <s v="CELESTINO1990@HOTMAIL.COM"/>
    <s v="CASDO"/>
    <s v="MAEST"/>
    <s v="A"/>
    <d v="2022-04-05T00:00:00"/>
    <m/>
    <s v="UANL"/>
    <s v="INGENIERÍA CIVIL       "/>
    <s v="INGENIERO INDUSTRIAL ADMINISTRADOR      "/>
    <n v="62"/>
    <n v="27"/>
    <n v="2"/>
    <n v="1"/>
    <m/>
    <m/>
    <m/>
    <m/>
    <m/>
    <m/>
    <m/>
    <n v="197"/>
  </r>
  <r>
    <n v="524"/>
    <s v="Victoria Edith Godínez Vélez"/>
    <n v="10860"/>
    <n v="362"/>
    <n v="5430"/>
    <x v="308"/>
    <n v="3"/>
    <x v="7"/>
    <x v="16"/>
    <x v="3"/>
    <s v="LUN VIE"/>
    <m/>
    <s v="victoria.godínez@grupomaia.com"/>
    <s v="MARCO AURELIO URBINO"/>
    <n v="44429"/>
    <n v="8540"/>
    <s v="INVERS"/>
    <s v="CRÉDITOS"/>
    <s v="SÍ"/>
    <n v="14"/>
    <n v="0.5"/>
    <n v="7"/>
    <n v="30"/>
    <n v="1.1013698630136985"/>
    <n v="398.6958904109589"/>
    <n v="40.222222222222221"/>
    <n v="31086"/>
    <s v="MUNICIPAL AMPLIACIÓN"/>
    <s v="MONTY"/>
    <n v="8115127929"/>
    <s v="VICTORIA1414@HOTMAIL.COM"/>
    <s v="SOLTE"/>
    <s v="PSNTE"/>
    <s v="A"/>
    <d v="2022-02-08T00:00:00"/>
    <m/>
    <s v="UANL"/>
    <s v="BIBLIOTECOLOGÍA Y CIENCIA DE LA INFORMACIÓN   "/>
    <s v=""/>
    <n v="77"/>
    <n v="37"/>
    <n v="1"/>
    <n v="1"/>
    <m/>
    <m/>
    <m/>
    <m/>
    <m/>
    <m/>
    <m/>
    <n v="716"/>
  </r>
  <r>
    <n v="525"/>
    <s v="Gregoria Diaz Ramirez"/>
    <n v="10860"/>
    <n v="362"/>
    <n v="5430"/>
    <x v="309"/>
    <n v="3"/>
    <x v="7"/>
    <x v="8"/>
    <x v="3"/>
    <s v="LUN VIE"/>
    <m/>
    <s v="gregoria.diaz@grupomaia.com"/>
    <s v="MARCO AURELIO URBINO"/>
    <n v="42253"/>
    <n v="6158.4000000000005"/>
    <s v="RENDER"/>
    <s v="RENDER"/>
    <s v="SÍ"/>
    <n v="14"/>
    <n v="0.5"/>
    <n v="7"/>
    <n v="30"/>
    <n v="1.1013698630136985"/>
    <n v="398.6958904109589"/>
    <n v="40.222222222222221"/>
    <n v="35031"/>
    <s v="JARDINES DEL PASEO"/>
    <s v="MONTY"/>
    <n v="7231654987"/>
    <s v="GREGORIA1972@HOTMAIL.COM"/>
    <s v="SOLTE"/>
    <s v="TITUL"/>
    <s v="B"/>
    <d v="2022-11-28T00:00:00"/>
    <m/>
    <s v="UANL"/>
    <s v="NEGOCIOS INTERNACIONALES       "/>
    <s v=""/>
    <n v="94"/>
    <n v="26"/>
    <n v="2"/>
    <n v="1"/>
    <m/>
    <m/>
    <m/>
    <m/>
    <m/>
    <m/>
    <m/>
    <n v="251"/>
  </r>
  <r>
    <n v="526"/>
    <s v="Citlaly Yoryeth Segundo Martinez"/>
    <n v="27150"/>
    <n v="905"/>
    <n v="13575"/>
    <x v="310"/>
    <n v="3"/>
    <x v="0"/>
    <x v="24"/>
    <x v="1"/>
    <s v="LUN VIE"/>
    <n v="1022"/>
    <s v="citlaly.segundo@grupomaia.com"/>
    <s v="MARIANA RODRÍGUEZ GUTIERREZ"/>
    <m/>
    <m/>
    <m/>
    <m/>
    <s v="NO"/>
    <n v="14"/>
    <n v="0.5"/>
    <n v="7"/>
    <n v="30"/>
    <n v="1.1013698630136985"/>
    <n v="996.73972602739718"/>
    <n v="100.55555555555556"/>
    <n v="31760"/>
    <s v="TREVIÑO"/>
    <s v="STACT"/>
    <n v="8526267558"/>
    <s v="CITLALY66@HOTMAIL.COM"/>
    <s v="SOLTE"/>
    <s v="MAEST"/>
    <s v="A"/>
    <d v="2022-12-14T00:00:00"/>
    <m/>
    <s v="UN"/>
    <s v="ADMINISTRACIÓN        "/>
    <s v="ARQUITECTURA        "/>
    <n v="75"/>
    <n v="35"/>
    <n v="1"/>
    <n v="1"/>
    <m/>
    <m/>
    <m/>
    <m/>
    <m/>
    <m/>
    <m/>
    <n v="997"/>
  </r>
  <r>
    <n v="527"/>
    <s v="Reyna Esthela Collazo Mariscal"/>
    <n v="7950"/>
    <n v="265"/>
    <n v="3975"/>
    <x v="311"/>
    <n v="3"/>
    <x v="1"/>
    <x v="32"/>
    <x v="3"/>
    <s v="LUN VIE"/>
    <m/>
    <s v="reyna.collazo@grupomaia.com"/>
    <s v="DENEB SANTIAGO ALTAIR VEGA"/>
    <m/>
    <m/>
    <m/>
    <m/>
    <s v="NO"/>
    <n v="14"/>
    <n v="0.5"/>
    <n v="7"/>
    <n v="30"/>
    <n v="1.1013698630136985"/>
    <n v="291.86301369863014"/>
    <n v="29.444444444444443"/>
    <n v="34701"/>
    <s v="LA REPÚBLICA"/>
    <s v="SANTG"/>
    <n v="8855310488"/>
    <s v="REYNA66@HOTMAIL.COM"/>
    <s v="SOLTE"/>
    <s v="CURSA"/>
    <s v="B"/>
    <d v="2022-01-02T00:00:00"/>
    <n v="8"/>
    <s v="UANL"/>
    <s v="TECNOLOGÍA DE SOFTWARE      "/>
    <s v=""/>
    <n v="58"/>
    <n v="27"/>
    <n v="1"/>
    <n v="1"/>
    <m/>
    <m/>
    <m/>
    <m/>
    <m/>
    <m/>
    <m/>
    <n v="419"/>
  </r>
  <r>
    <n v="528"/>
    <s v="Laura Abril Serna Olea"/>
    <n v="9541"/>
    <n v="318.03333333333336"/>
    <n v="4770.5"/>
    <x v="312"/>
    <n v="3"/>
    <x v="3"/>
    <x v="19"/>
    <x v="3"/>
    <s v="LUN VIE"/>
    <m/>
    <s v="laura.serna@grupomaia.com"/>
    <s v="DIEGO HERRERA GIRÓN"/>
    <n v="43563"/>
    <n v="6158.4000000000005"/>
    <s v="ESTRUCTURA"/>
    <s v="CRÉDITOS"/>
    <s v="SÍ"/>
    <n v="14"/>
    <n v="0.5"/>
    <n v="7"/>
    <n v="30"/>
    <n v="1.1013698630136985"/>
    <n v="350.27232876712327"/>
    <n v="35.337037037037042"/>
    <n v="31068"/>
    <s v="SAN BERNABÉ XV (F-119)"/>
    <s v="STACT"/>
    <n v="7644394434"/>
    <s v="LAURA1979@HOTMAIL.COM"/>
    <s v="DIVOR"/>
    <s v="TITUL"/>
    <s v="A"/>
    <d v="2022-01-21T00:00:00"/>
    <n v="8"/>
    <s v="UANL"/>
    <s v="INGENIERÍA CIVIL       "/>
    <s v=""/>
    <n v="80"/>
    <n v="37"/>
    <n v="3"/>
    <n v="1"/>
    <m/>
    <m/>
    <m/>
    <m/>
    <m/>
    <m/>
    <m/>
    <n v="761"/>
  </r>
  <r>
    <n v="529"/>
    <s v="Fatima Guadalupe Castillo Martinez"/>
    <n v="6778"/>
    <n v="225.93333333333334"/>
    <n v="3389"/>
    <x v="313"/>
    <n v="3"/>
    <x v="1"/>
    <x v="30"/>
    <x v="3"/>
    <s v="LUN VIE"/>
    <m/>
    <s v="fatima.castillo@grupomaia.com"/>
    <s v="DENEB SANTIAGO ALTAIR VEGA"/>
    <m/>
    <m/>
    <m/>
    <m/>
    <s v="NO"/>
    <n v="14"/>
    <n v="0.25"/>
    <n v="3.5"/>
    <n v="15"/>
    <n v="1.0506849315068494"/>
    <n v="237.38474885844749"/>
    <n v="25.103703703703705"/>
    <n v="33760"/>
    <s v="MITRAS CENTRO"/>
    <s v="STACT"/>
    <n v="8439497821"/>
    <s v="FATIMA66@HOTMAIL.COM"/>
    <s v="SOLTE"/>
    <s v="CURSA"/>
    <s v="A"/>
    <d v="2022-06-05T00:00:00"/>
    <n v="7"/>
    <s v="UNAM"/>
    <s v="TECNOLOGÍA DE SOFTWARE      "/>
    <s v=""/>
    <n v="34"/>
    <n v="30"/>
    <n v="0"/>
    <n v="1"/>
    <m/>
    <m/>
    <m/>
    <m/>
    <m/>
    <m/>
    <m/>
    <n v="318"/>
  </r>
  <r>
    <n v="530"/>
    <s v="Nataly Guadalupe Zúñiga Cecilio"/>
    <n v="27150"/>
    <n v="905"/>
    <n v="13575"/>
    <x v="314"/>
    <n v="3"/>
    <x v="0"/>
    <x v="26"/>
    <x v="1"/>
    <s v="LUN VIE"/>
    <n v="1016"/>
    <s v="nataly.zúñiga@grupomaia.com"/>
    <s v="MARIANA RODRÍGUEZ GUTIERREZ"/>
    <m/>
    <m/>
    <m/>
    <m/>
    <s v="NO"/>
    <n v="14"/>
    <n v="0.5"/>
    <n v="7"/>
    <n v="30"/>
    <n v="1.1013698630136985"/>
    <n v="996.73972602739718"/>
    <n v="100.55555555555556"/>
    <n v="35995"/>
    <s v="VALLE DE SANTGA LUCÍA (GRANJA SANITARIA)"/>
    <s v="ESCOB"/>
    <n v="8439886853"/>
    <s v="NATALY66@HOTMAIL.COM"/>
    <s v="SOLTE"/>
    <s v="MAEST"/>
    <s v="A"/>
    <d v="2022-07-19T00:00:00"/>
    <m/>
    <s v="UVM"/>
    <s v="EDUCACIÓN        "/>
    <s v="FINANZAS"/>
    <n v="77"/>
    <n v="23"/>
    <n v="0"/>
    <n v="1"/>
    <m/>
    <m/>
    <m/>
    <m/>
    <m/>
    <m/>
    <m/>
    <n v="731"/>
  </r>
  <r>
    <n v="531"/>
    <s v="Lorena Cortez Gaspar"/>
    <n v="7445"/>
    <n v="248.16666666666666"/>
    <n v="3722.5"/>
    <x v="315"/>
    <n v="3"/>
    <x v="3"/>
    <x v="20"/>
    <x v="3"/>
    <s v="LUN VIE"/>
    <m/>
    <s v="lorena.cortez@grupomaia.com"/>
    <s v="DIEGO HERRERA GIRÓN"/>
    <m/>
    <m/>
    <m/>
    <m/>
    <s v="SÍ"/>
    <n v="14"/>
    <n v="0.5"/>
    <n v="7"/>
    <n v="30"/>
    <n v="1.1013698630136985"/>
    <n v="273.32328767123283"/>
    <n v="27.574074074074073"/>
    <n v="28229"/>
    <s v="NUEVA MORELOS"/>
    <s v="MONTY"/>
    <n v="3365989865"/>
    <s v="LORENA1986@HOTMAIL.COM"/>
    <s v="SOLTE"/>
    <s v="CURSA"/>
    <s v="A"/>
    <d v="2022-04-14T00:00:00"/>
    <n v="10"/>
    <s v="UANL"/>
    <s v="INGENIERO MECÁNICO ADMINISTRADOR      "/>
    <s v=""/>
    <n v="56"/>
    <n v="45"/>
    <n v="0"/>
    <n v="1"/>
    <m/>
    <m/>
    <m/>
    <m/>
    <m/>
    <m/>
    <m/>
    <n v="972"/>
  </r>
  <r>
    <n v="532"/>
    <s v="Teresa Cruz Hurtado"/>
    <n v="9541"/>
    <n v="318.03333333333336"/>
    <n v="4770.5"/>
    <x v="316"/>
    <n v="3"/>
    <x v="4"/>
    <x v="7"/>
    <x v="3"/>
    <s v="LUN VIE"/>
    <m/>
    <s v="teresa.cruz@grupomaia.com"/>
    <s v="MARIANO ALDEBARÁN"/>
    <n v="41804"/>
    <n v="6580"/>
    <s v="NÓMINAS"/>
    <s v="ADMINCIÓN"/>
    <s v="SÍ"/>
    <n v="14"/>
    <n v="0.5"/>
    <n v="7"/>
    <n v="30"/>
    <n v="1.1013698630136985"/>
    <n v="350.27232876712327"/>
    <n v="35.337037037037042"/>
    <n v="34289"/>
    <s v="LOMAS DE SATÉLITE"/>
    <s v="APODC"/>
    <n v="8165497522"/>
    <s v="TERESA1981@HOTMAIL.COM"/>
    <s v="SOLTE"/>
    <s v="CURSA"/>
    <s v="B"/>
    <d v="2022-11-16T00:00:00"/>
    <n v="7"/>
    <s v="UANL"/>
    <s v="ADMINISTRACIÓN        "/>
    <s v=""/>
    <n v="77"/>
    <n v="28"/>
    <n v="1"/>
    <n v="1"/>
    <m/>
    <m/>
    <m/>
    <m/>
    <m/>
    <m/>
    <m/>
    <n v="476"/>
  </r>
  <r>
    <n v="533"/>
    <s v="Edgar Omar Aleman Lopez"/>
    <n v="9541"/>
    <n v="318.03333333333336"/>
    <n v="4770.5"/>
    <x v="317"/>
    <n v="3"/>
    <x v="5"/>
    <x v="14"/>
    <x v="3"/>
    <s v="LUN VIE"/>
    <m/>
    <s v="edgar.aleman@grupomaia.com"/>
    <s v="MÉRIDA ISELA MEDINA SALINAS"/>
    <n v="43455"/>
    <n v="8400"/>
    <s v="AUDIT ADMN"/>
    <s v="AUDIT PROY"/>
    <s v="SÍ"/>
    <n v="14"/>
    <n v="0.5"/>
    <n v="7"/>
    <n v="30"/>
    <n v="1.1013698630136985"/>
    <n v="350.27232876712327"/>
    <n v="35.337037037037042"/>
    <n v="33089"/>
    <s v="PROGRESO"/>
    <s v="ESCOB"/>
    <n v="3396854412"/>
    <s v="EDGAR1972@HOTMAIL.COM"/>
    <s v="CASDO"/>
    <s v="CURSA"/>
    <s v="B"/>
    <d v="2022-08-04T00:00:00"/>
    <n v="7"/>
    <s v="UANL"/>
    <s v="ARQUITECTURA        "/>
    <s v=""/>
    <n v="74"/>
    <n v="31"/>
    <n v="1"/>
    <n v="1"/>
    <m/>
    <m/>
    <m/>
    <m/>
    <m/>
    <m/>
    <m/>
    <n v="622"/>
  </r>
  <r>
    <n v="535"/>
    <s v="Heber Espinoza Tadeo"/>
    <n v="9541"/>
    <n v="318.03333333333336"/>
    <n v="4770.5"/>
    <x v="318"/>
    <n v="3"/>
    <x v="0"/>
    <x v="17"/>
    <x v="3"/>
    <s v="LUN VIE"/>
    <m/>
    <s v="heber.espinoza@grupomaia.com"/>
    <s v="MARIANA RODRÍGUEZ GUTIERREZ"/>
    <n v="43293"/>
    <n v="6160"/>
    <s v="RECLTMTO"/>
    <s v="INST CAMPO"/>
    <s v="NO"/>
    <n v="14"/>
    <n v="0.5"/>
    <n v="7"/>
    <n v="30"/>
    <n v="1.1013698630136985"/>
    <n v="350.27232876712327"/>
    <n v="35.337037037037042"/>
    <n v="31106"/>
    <s v="NUEVA MORELOS"/>
    <s v="ESCOB"/>
    <n v="8350722363"/>
    <s v="HEBER1988@HOTMAIL.COM"/>
    <s v="SOLTE"/>
    <s v="CURSA"/>
    <s v="A"/>
    <d v="2022-02-28T00:00:00"/>
    <n v="6"/>
    <s v="UVM"/>
    <s v="ADMINISTRACIÓN        "/>
    <s v=""/>
    <n v="75"/>
    <n v="37"/>
    <n v="3"/>
    <n v="1"/>
    <m/>
    <m/>
    <m/>
    <m/>
    <m/>
    <m/>
    <m/>
    <n v="983"/>
  </r>
  <r>
    <n v="536"/>
    <s v="Imelda Rafaela Mendoza"/>
    <n v="7445"/>
    <n v="248.16666666666666"/>
    <n v="3722.5"/>
    <x v="319"/>
    <n v="3"/>
    <x v="2"/>
    <x v="29"/>
    <x v="3"/>
    <s v="LUN VIE"/>
    <m/>
    <s v="imelda.rafaela@grupomaia.com"/>
    <s v="IRIE DALÍ ANTARES CORTÉS"/>
    <m/>
    <m/>
    <m/>
    <m/>
    <s v="SÍ"/>
    <n v="14"/>
    <n v="0.5"/>
    <n v="7"/>
    <n v="30"/>
    <n v="1.1013698630136985"/>
    <n v="273.32328767123283"/>
    <n v="27.574074074074073"/>
    <n v="31576"/>
    <s v="VISTA HERMOSA"/>
    <s v="APODC"/>
    <n v="8209063939"/>
    <s v="IMELDA1978@HOTMAIL.COM"/>
    <s v="SOLTE"/>
    <s v="CURSA"/>
    <s v="A"/>
    <d v="2022-06-13T00:00:00"/>
    <n v="9"/>
    <s v="UANL"/>
    <s v="NEGOCIOS INTERNACIONALES       "/>
    <s v=""/>
    <n v="61"/>
    <n v="36"/>
    <n v="3"/>
    <n v="1"/>
    <m/>
    <m/>
    <m/>
    <m/>
    <m/>
    <m/>
    <m/>
    <n v="898"/>
  </r>
  <r>
    <n v="537"/>
    <s v="Kenia Priscila Ruiz García"/>
    <n v="9450"/>
    <n v="315"/>
    <n v="4725"/>
    <x v="319"/>
    <n v="3"/>
    <x v="8"/>
    <x v="22"/>
    <x v="3"/>
    <s v="LUN VIE"/>
    <m/>
    <s v="kenia.ruiz@grupomaia.com"/>
    <s v="EMMA DARIELA GARCÍA LORCA"/>
    <n v="44485"/>
    <n v="6177.5"/>
    <s v="SOLUCIONES"/>
    <m/>
    <s v="NO"/>
    <n v="14"/>
    <n v="0.5"/>
    <n v="7"/>
    <n v="30"/>
    <n v="1.1013698630136985"/>
    <n v="346.93150684931504"/>
    <n v="35"/>
    <n v="35587"/>
    <s v="VENUSTIANO CARRANZA"/>
    <s v="STACT"/>
    <n v="8933297370"/>
    <s v="KENIA1212@HOTMAIL.COM"/>
    <s v="SOLTE"/>
    <s v="TITUL"/>
    <s v="B"/>
    <d v="2022-06-06T00:00:00"/>
    <n v="7"/>
    <s v="UANL"/>
    <s v="MULTIMEDIA Y ANIMACIÓN DIGITAL          "/>
    <s v=""/>
    <n v="46"/>
    <n v="25"/>
    <n v="2"/>
    <n v="1"/>
    <m/>
    <m/>
    <m/>
    <m/>
    <m/>
    <m/>
    <m/>
    <n v="888"/>
  </r>
  <r>
    <n v="538"/>
    <s v="Luis Omar Murillo Moreno"/>
    <n v="10350"/>
    <n v="345"/>
    <n v="5175"/>
    <x v="320"/>
    <n v="3"/>
    <x v="3"/>
    <x v="20"/>
    <x v="3"/>
    <s v="LUN VIE"/>
    <m/>
    <s v="luis.murillo@grupomaia.com"/>
    <s v="DIEGO HERRERA GIRÓN"/>
    <m/>
    <m/>
    <m/>
    <m/>
    <s v="SÍ"/>
    <n v="14"/>
    <n v="0.5"/>
    <n v="7"/>
    <n v="30"/>
    <n v="1.1013698630136985"/>
    <n v="379.97260273972597"/>
    <n v="38.333333333333336"/>
    <n v="30223"/>
    <s v="BALCONES DE GALERÍAS"/>
    <s v="STACT"/>
    <n v="8771900027"/>
    <s v="LUIS66@HOTMAIL.COM"/>
    <s v="CASDO"/>
    <s v="TITUL"/>
    <s v="A"/>
    <d v="2022-09-29T00:00:00"/>
    <n v="9"/>
    <s v="UANL"/>
    <s v="INGENIERÍA CIVIL       "/>
    <s v=""/>
    <n v="47"/>
    <n v="39"/>
    <n v="1"/>
    <n v="1"/>
    <m/>
    <m/>
    <m/>
    <m/>
    <m/>
    <m/>
    <m/>
    <n v="683"/>
  </r>
  <r>
    <n v="541"/>
    <s v="Joséfina Javier Miranda"/>
    <n v="6778"/>
    <n v="225.93333333333334"/>
    <n v="3389"/>
    <x v="321"/>
    <n v="3"/>
    <x v="3"/>
    <x v="19"/>
    <x v="3"/>
    <s v="LUN VIE"/>
    <m/>
    <s v="josefina.javier@grupomaia.com"/>
    <s v="DIEGO HERRERA GIRÓN"/>
    <m/>
    <m/>
    <m/>
    <m/>
    <s v="SÍ"/>
    <n v="14"/>
    <n v="0.25"/>
    <n v="3.5"/>
    <n v="15"/>
    <n v="1.0506849315068494"/>
    <n v="237.38474885844749"/>
    <n v="25.103703703703705"/>
    <n v="29812"/>
    <s v="DIF (F-15)"/>
    <s v="SNPED"/>
    <n v="9877854212"/>
    <s v="JOSEFINA1976@HOTMAIL.COM"/>
    <s v="SOLTE"/>
    <s v="CURSA"/>
    <s v="A"/>
    <d v="2022-08-14T00:00:00"/>
    <n v="5"/>
    <s v="IPN"/>
    <s v="INGENIERÍA CIVIL       "/>
    <s v=""/>
    <n v="88"/>
    <n v="40"/>
    <n v="3"/>
    <n v="1"/>
    <m/>
    <m/>
    <m/>
    <m/>
    <m/>
    <m/>
    <m/>
    <n v="740"/>
  </r>
  <r>
    <n v="544"/>
    <s v="Karen Villanueva Moreno"/>
    <n v="7445"/>
    <n v="248.16666666666666"/>
    <n v="3722.5"/>
    <x v="322"/>
    <n v="3"/>
    <x v="7"/>
    <x v="8"/>
    <x v="3"/>
    <s v="LUN VIE"/>
    <m/>
    <s v="karen.villanueva@grupomaia.com"/>
    <s v="MARCO AURELIO URBINO"/>
    <m/>
    <m/>
    <m/>
    <m/>
    <s v="SÍ"/>
    <n v="14"/>
    <n v="0.5"/>
    <n v="7"/>
    <n v="30"/>
    <n v="1.1013698630136985"/>
    <n v="273.32328767123283"/>
    <n v="27.574074074074073"/>
    <n v="34350"/>
    <s v="NUEVA MODELO (F-8)"/>
    <s v="GRCIA"/>
    <n v="8199398017"/>
    <s v="KAREN1983@HOTMAIL.COM"/>
    <s v="SOLTE"/>
    <s v="CURSA"/>
    <s v="A"/>
    <d v="2022-01-16T00:00:00"/>
    <n v="5"/>
    <s v="UNAM"/>
    <s v="CIENCIAS DE LA COMUNICACIÓN CON ACENTUACIÓN EN INFORMACIÓN "/>
    <s v=""/>
    <n v="75"/>
    <n v="28"/>
    <n v="3"/>
    <n v="1"/>
    <m/>
    <m/>
    <m/>
    <m/>
    <m/>
    <m/>
    <m/>
    <n v="877"/>
  </r>
  <r>
    <n v="545"/>
    <s v="Cristina Gonzalez Guevara"/>
    <n v="9541"/>
    <n v="318.03333333333336"/>
    <n v="4770.5"/>
    <x v="323"/>
    <n v="3"/>
    <x v="0"/>
    <x v="17"/>
    <x v="3"/>
    <s v="LUN VIE"/>
    <m/>
    <s v="cristina.gonzalez@grupomaia.com"/>
    <s v="MARIANA RODRÍGUEZ GUTIERREZ"/>
    <n v="42624"/>
    <n v="5088"/>
    <s v="MATERIALES"/>
    <m/>
    <s v="NO"/>
    <n v="14"/>
    <n v="0.5"/>
    <n v="7"/>
    <n v="30"/>
    <n v="1.1013698630136985"/>
    <n v="350.27232876712327"/>
    <n v="35.337037037037042"/>
    <n v="26755"/>
    <s v="PROGRESO"/>
    <s v="SNPED"/>
    <n v="6549873213"/>
    <s v="CRISTINA1992@HOTMAIL.COM"/>
    <s v="SOLTE"/>
    <s v="CURSA"/>
    <s v="A"/>
    <d v="2022-04-01T00:00:00"/>
    <n v="6"/>
    <s v="UANL"/>
    <s v="ADMINISTRACIÓN        "/>
    <s v=""/>
    <n v="100"/>
    <n v="49"/>
    <n v="2"/>
    <n v="1"/>
    <m/>
    <m/>
    <m/>
    <m/>
    <m/>
    <m/>
    <m/>
    <n v="121"/>
  </r>
  <r>
    <n v="546"/>
    <s v="Gabriela Carvajal Rodriguez"/>
    <n v="9541"/>
    <n v="318.03333333333336"/>
    <n v="4770.5"/>
    <x v="324"/>
    <n v="3"/>
    <x v="9"/>
    <x v="23"/>
    <x v="3"/>
    <s v="LUN VIE"/>
    <m/>
    <s v="gabriela.carvajal@grupomaia.com"/>
    <s v="IDALIA GARCÍA ESCRIVÁ"/>
    <n v="42283"/>
    <n v="5422.4000000000005"/>
    <s v="SOLUCIONES"/>
    <s v="RECLTMTO"/>
    <s v="NO"/>
    <n v="14"/>
    <n v="0.5"/>
    <n v="7"/>
    <n v="30"/>
    <n v="1.1013698630136985"/>
    <n v="350.27232876712327"/>
    <n v="35.337037037037042"/>
    <n v="27021"/>
    <s v="VILLAS DE SAN SEBASTIÁN"/>
    <s v="MONTY"/>
    <n v="8165498732"/>
    <s v="GABRIELA1972@HOTMAIL.COM"/>
    <s v="SOLTE"/>
    <s v="CURSA"/>
    <s v="A"/>
    <d v="2022-12-23T00:00:00"/>
    <n v="8"/>
    <s v="PREPA 9"/>
    <s v="CONTADOR PÚBLICO       "/>
    <s v=""/>
    <n v="95"/>
    <n v="48"/>
    <n v="1"/>
    <n v="1"/>
    <m/>
    <m/>
    <m/>
    <m/>
    <m/>
    <m/>
    <m/>
    <n v="332"/>
  </r>
  <r>
    <n v="548"/>
    <s v="Marco Antonio Pineda Vargas"/>
    <n v="9541"/>
    <n v="318.03333333333336"/>
    <n v="4770.5"/>
    <x v="325"/>
    <n v="3"/>
    <x v="1"/>
    <x v="32"/>
    <x v="3"/>
    <s v="LUN VIE"/>
    <m/>
    <s v="marco.pineda@grupomaia.com"/>
    <s v="DENEB SANTIAGO ALTAIR VEGA"/>
    <n v="43338"/>
    <n v="6160"/>
    <s v="AUDIT ADMN"/>
    <s v="ANLIS COST"/>
    <s v="NO"/>
    <n v="14"/>
    <n v="0.5"/>
    <n v="7"/>
    <n v="30"/>
    <n v="1.1013698630136985"/>
    <n v="350.27232876712327"/>
    <n v="35.337037037037042"/>
    <n v="32652"/>
    <s v="LOMAS MODELO"/>
    <s v="ESCOB"/>
    <n v="8210660763"/>
    <s v="MARCO1987@HOTMAIL.COM"/>
    <s v="DIVOR"/>
    <s v="CURSA"/>
    <s v="A"/>
    <d v="2022-05-24T00:00:00"/>
    <n v="9"/>
    <s v="UVM"/>
    <s v="INGENIERO ADMINISTRADOR DE SISTEMAS     "/>
    <s v=""/>
    <n v="93"/>
    <n v="33"/>
    <n v="2"/>
    <n v="1"/>
    <m/>
    <m/>
    <m/>
    <m/>
    <m/>
    <m/>
    <m/>
    <n v="495"/>
  </r>
  <r>
    <n v="551"/>
    <s v="Gabriel Adrian Lara Barajas"/>
    <n v="7445"/>
    <n v="248.16666666666666"/>
    <n v="3722.5"/>
    <x v="79"/>
    <n v="3"/>
    <x v="3"/>
    <x v="20"/>
    <x v="3"/>
    <s v="LUN VIE"/>
    <m/>
    <s v="gabriel.garcia@grupomaia.com"/>
    <s v="DIEGO HERRERA GIRÓN"/>
    <m/>
    <m/>
    <m/>
    <m/>
    <s v="SÍ"/>
    <n v="14"/>
    <n v="0.5"/>
    <n v="7"/>
    <n v="30"/>
    <n v="1.1013698630136985"/>
    <n v="273.32328767123283"/>
    <n v="27.574074074074073"/>
    <n v="26265"/>
    <s v="FABRILES"/>
    <s v="STACT"/>
    <n v="9168687683"/>
    <s v="GABRIEL1980@HOTMAIL.COM"/>
    <s v="CASDO"/>
    <s v="TITUL"/>
    <s v="A"/>
    <d v="2022-11-28T00:00:00"/>
    <m/>
    <s v="UDLAP"/>
    <s v="INGENIERO EN MATERIALES      "/>
    <s v=""/>
    <n v="37"/>
    <n v="50"/>
    <n v="1"/>
    <n v="1"/>
    <m/>
    <m/>
    <m/>
    <m/>
    <m/>
    <m/>
    <m/>
    <n v="86"/>
  </r>
  <r>
    <n v="552"/>
    <s v="Ivonet Campos Manrique"/>
    <n v="9541"/>
    <n v="318.03333333333336"/>
    <n v="4770.5"/>
    <x v="326"/>
    <n v="3"/>
    <x v="5"/>
    <x v="28"/>
    <x v="3"/>
    <s v="LUN VIE"/>
    <m/>
    <s v="ivonet.campos@grupomaia.com"/>
    <s v="MÉRIDA ISELA MEDINA SALINAS"/>
    <n v="42371"/>
    <n v="5422.4000000000005"/>
    <s v="INST CAMPO"/>
    <s v="RELACIONES"/>
    <s v="SÍ"/>
    <n v="14"/>
    <n v="0.5"/>
    <n v="7"/>
    <n v="30"/>
    <n v="1.1013698630136985"/>
    <n v="350.27232876712327"/>
    <n v="35.337037037037042"/>
    <n v="25707"/>
    <s v="RINCÓN DE SAN JEMO"/>
    <s v="STACT"/>
    <n v="3267453419"/>
    <s v="IVONET1986@HOTMAIL.COM"/>
    <s v="SOLTE"/>
    <s v="MAEST"/>
    <s v="A"/>
    <d v="2022-05-19T00:00:00"/>
    <m/>
    <s v="UANL"/>
    <s v="ARQUITECTURA        "/>
    <s v="ARQUITECTURA        "/>
    <n v="83"/>
    <n v="52"/>
    <n v="2"/>
    <n v="1"/>
    <m/>
    <m/>
    <m/>
    <m/>
    <m/>
    <m/>
    <m/>
    <n v="943"/>
  </r>
  <r>
    <n v="553"/>
    <s v="Guadalupe Martinez Chavez"/>
    <n v="7445"/>
    <n v="248.16666666666666"/>
    <n v="3722.5"/>
    <x v="327"/>
    <n v="3"/>
    <x v="4"/>
    <x v="7"/>
    <x v="3"/>
    <s v="LUN VIE"/>
    <m/>
    <s v="guadalupe.martinez@grupomaia.com"/>
    <s v="MARIANO ALDEBARÁN"/>
    <n v="43839"/>
    <n v="5422.4000000000005"/>
    <s v="AUDIT PROY"/>
    <m/>
    <s v="NO"/>
    <n v="14"/>
    <n v="0.5"/>
    <n v="7"/>
    <n v="30"/>
    <n v="1.1013698630136985"/>
    <n v="273.32328767123283"/>
    <n v="27.574074074074073"/>
    <n v="32399"/>
    <s v="PASO DEL ÁGUILA"/>
    <s v="ESCOB"/>
    <n v="5568984354"/>
    <s v="GUADALUPE1986@HOTMAIL.COM"/>
    <s v="SOLTE"/>
    <s v="CURSA"/>
    <s v="A"/>
    <d v="2022-09-13T00:00:00"/>
    <n v="8"/>
    <s v="UANL"/>
    <s v="CONTADOR PÚBLICO       "/>
    <s v=""/>
    <n v="45"/>
    <n v="33"/>
    <n v="1"/>
    <n v="1"/>
    <m/>
    <m/>
    <m/>
    <m/>
    <m/>
    <m/>
    <m/>
    <n v="435"/>
  </r>
  <r>
    <n v="554"/>
    <s v="Rogelio Miguel Mendoza Aguirre"/>
    <n v="7950"/>
    <n v="265"/>
    <n v="3975"/>
    <x v="327"/>
    <n v="3"/>
    <x v="7"/>
    <x v="18"/>
    <x v="3"/>
    <s v="LUN VIE"/>
    <m/>
    <s v="rogelio.mendoza@grupomaia.com"/>
    <s v="MARCO AURELIO URBINO"/>
    <n v="43998"/>
    <n v="5956"/>
    <s v="SOLUCIONES"/>
    <m/>
    <s v="SÍ"/>
    <n v="14"/>
    <n v="0.5"/>
    <n v="7"/>
    <n v="30"/>
    <n v="1.1013698630136985"/>
    <n v="291.86301369863014"/>
    <n v="29.444444444444443"/>
    <n v="32476"/>
    <s v="NUEVA MADERO"/>
    <s v="MONTY"/>
    <n v="8219380417"/>
    <s v="ROGELIO88@HOTMAIL.COM"/>
    <s v="SOLTE"/>
    <s v="CURSA"/>
    <s v="A"/>
    <d v="2022-11-29T00:00:00"/>
    <n v="6"/>
    <s v="UANL"/>
    <s v="ADMINISTRACIÓN        "/>
    <s v=""/>
    <n v="93"/>
    <n v="33"/>
    <n v="1"/>
    <n v="1"/>
    <m/>
    <m/>
    <m/>
    <m/>
    <m/>
    <m/>
    <m/>
    <n v="843"/>
  </r>
  <r>
    <n v="555"/>
    <s v="Devany Yamileth Hernández De Los Santos"/>
    <n v="6778"/>
    <n v="225.93333333333334"/>
    <n v="3389"/>
    <x v="328"/>
    <n v="3"/>
    <x v="5"/>
    <x v="14"/>
    <x v="3"/>
    <s v="LUN VIE"/>
    <m/>
    <s v="devany.hernández@grupomaia.com"/>
    <s v="MÉRIDA ISELA MEDINA SALINAS"/>
    <m/>
    <m/>
    <m/>
    <m/>
    <s v="SÍ"/>
    <n v="14"/>
    <n v="0.25"/>
    <n v="3.5"/>
    <n v="15"/>
    <n v="1.0506849315068494"/>
    <n v="237.38474885844749"/>
    <n v="25.103703703703705"/>
    <n v="32937"/>
    <s v="15 DE MARZO"/>
    <s v="STACT"/>
    <n v="8405674305"/>
    <s v="DEVANY1982@HOTMAIL.COM"/>
    <s v="SOLTE"/>
    <s v="CURSA"/>
    <s v="A"/>
    <d v="2022-03-05T00:00:00"/>
    <n v="10"/>
    <s v="UANL"/>
    <s v="ARQUITECTURA        "/>
    <s v=""/>
    <n v="97"/>
    <n v="32"/>
    <n v="2"/>
    <n v="1"/>
    <m/>
    <m/>
    <m/>
    <m/>
    <m/>
    <m/>
    <m/>
    <n v="4"/>
  </r>
  <r>
    <n v="556"/>
    <s v="Debany Rebeca Morales Rangel"/>
    <n v="8825"/>
    <n v="294.16666666666669"/>
    <n v="4412.5"/>
    <x v="329"/>
    <n v="3"/>
    <x v="4"/>
    <x v="27"/>
    <x v="3"/>
    <s v="LUN VIE"/>
    <m/>
    <s v="debany.morales@grupomaia.com"/>
    <s v="MARIANO ALDEBARÁN"/>
    <m/>
    <m/>
    <m/>
    <m/>
    <s v="NO"/>
    <n v="14"/>
    <n v="0.5"/>
    <n v="7"/>
    <n v="30"/>
    <n v="1.1013698630136985"/>
    <n v="323.98630136986299"/>
    <n v="32.68518518518519"/>
    <n v="30867"/>
    <s v="LOMAS MEDEROS"/>
    <s v="ESCOB"/>
    <n v="8247118905"/>
    <s v="DEBANY66@HOTMAIL.COM"/>
    <s v="SOLTE"/>
    <s v="CURSA"/>
    <s v="A"/>
    <d v="2022-07-04T00:00:00"/>
    <n v="10"/>
    <s v="UANL"/>
    <s v="CIENCIAS DE LA COMUNICACIÓN CON ACENTUACIÓN EN INFORMACIÓN "/>
    <s v=""/>
    <n v="92"/>
    <n v="38"/>
    <n v="2"/>
    <n v="1"/>
    <m/>
    <m/>
    <m/>
    <m/>
    <m/>
    <m/>
    <m/>
    <n v="626"/>
  </r>
  <r>
    <n v="558"/>
    <s v="Miguel Angel Vazquez Parra"/>
    <n v="9541"/>
    <n v="318.03333333333336"/>
    <n v="4770.5"/>
    <x v="330"/>
    <n v="3"/>
    <x v="3"/>
    <x v="21"/>
    <x v="3"/>
    <s v="LUN VIE"/>
    <m/>
    <s v="miguel.arroyo@grupomaia.com"/>
    <s v="DIEGO HERRERA GIRÓN"/>
    <n v="42739"/>
    <n v="3888"/>
    <s v="INST CAMPO"/>
    <s v="COLECTIVOS"/>
    <s v="SÍ"/>
    <n v="14"/>
    <n v="0.5"/>
    <n v="7"/>
    <n v="30"/>
    <n v="1.1013698630136985"/>
    <n v="350.27232876712327"/>
    <n v="35.337037037037042"/>
    <n v="36376"/>
    <s v="PRIVADAS DEL PEDREGAL"/>
    <s v="SANTG"/>
    <n v="5580837538"/>
    <s v="MIGUEL1984@HOTMAIL.COM"/>
    <s v="SOLTE"/>
    <s v="PSNTE"/>
    <s v="B"/>
    <d v="2022-08-04T00:00:00"/>
    <m/>
    <s v="UANL"/>
    <s v="INGENIERO MECÁNICO ADMINISTRADOR      "/>
    <s v=""/>
    <n v="95"/>
    <n v="22"/>
    <n v="3"/>
    <n v="1"/>
    <m/>
    <m/>
    <m/>
    <m/>
    <m/>
    <m/>
    <m/>
    <n v="36"/>
  </r>
  <r>
    <n v="559"/>
    <s v="Elías Arturo Garza Tiburcio"/>
    <n v="7950"/>
    <n v="265"/>
    <n v="3975"/>
    <x v="330"/>
    <n v="3"/>
    <x v="5"/>
    <x v="14"/>
    <x v="3"/>
    <s v="LUN VIE"/>
    <m/>
    <s v="elías.garza@grupomaia.com"/>
    <s v="MÉRIDA ISELA MEDINA SALINAS"/>
    <n v="43752"/>
    <n v="6158.4000000000005"/>
    <s v="CONTA"/>
    <m/>
    <s v="SÍ"/>
    <n v="14"/>
    <n v="0.5"/>
    <n v="7"/>
    <n v="30"/>
    <n v="1.1013698630136985"/>
    <n v="291.86301369863014"/>
    <n v="29.444444444444443"/>
    <n v="34808"/>
    <s v="TALLERES"/>
    <s v="MONTY"/>
    <n v="8144190008"/>
    <s v="ELÍAS1990@HOTMAIL.COM"/>
    <s v="CASDO"/>
    <s v="CURSA"/>
    <s v="A"/>
    <d v="2022-04-19T00:00:00"/>
    <n v="10"/>
    <s v="UANL"/>
    <s v="ARQUITECTURA        "/>
    <s v=""/>
    <n v="45"/>
    <n v="27"/>
    <n v="2"/>
    <n v="1"/>
    <m/>
    <m/>
    <m/>
    <m/>
    <m/>
    <m/>
    <m/>
    <n v="381"/>
  </r>
  <r>
    <n v="560"/>
    <s v="María Fernanda Plata Ruiz"/>
    <n v="9541"/>
    <n v="318.03333333333336"/>
    <n v="4770.5"/>
    <x v="331"/>
    <n v="3"/>
    <x v="4"/>
    <x v="4"/>
    <x v="3"/>
    <s v="LUN VIE"/>
    <m/>
    <s v="Maria.plata@grupomaia.com"/>
    <s v="MARIANO ALDEBARÁN"/>
    <n v="43768"/>
    <n v="7632.8"/>
    <s v="COLECTIVOS"/>
    <m/>
    <s v="NO"/>
    <n v="14"/>
    <n v="0.5"/>
    <n v="7"/>
    <n v="30"/>
    <n v="1.1013698630136985"/>
    <n v="350.27232876712327"/>
    <n v="35.337037037037042"/>
    <n v="34494"/>
    <s v="JARDINES DEL PASEO"/>
    <s v="MONTY"/>
    <n v="8998879179"/>
    <s v="MARIA88@HOTMAIL.COM"/>
    <s v="SOLTE"/>
    <s v="TITUL"/>
    <s v="C"/>
    <d v="2022-06-09T00:00:00"/>
    <m/>
    <s v="TECMIL"/>
    <s v="CIENCIAS DE LA COMUNICACIÓN CON ACENTUACIÓN EN INFORMACIÓN "/>
    <s v=""/>
    <n v="56"/>
    <n v="28"/>
    <n v="0"/>
    <n v="1"/>
    <m/>
    <m/>
    <m/>
    <m/>
    <m/>
    <m/>
    <m/>
    <n v="825"/>
  </r>
  <r>
    <n v="561"/>
    <s v="Patricia Nava Torres"/>
    <n v="9450"/>
    <n v="315"/>
    <n v="4725"/>
    <x v="332"/>
    <n v="3"/>
    <x v="1"/>
    <x v="32"/>
    <x v="3"/>
    <s v="LUN VIE"/>
    <m/>
    <s v="patricia.nava@grupomaia.com"/>
    <s v="DENEB SANTIAGO ALTAIR VEGA"/>
    <n v="43633"/>
    <n v="6580"/>
    <s v="AUDIT ADMN"/>
    <m/>
    <s v="SÍ"/>
    <n v="14"/>
    <n v="0.5"/>
    <n v="7"/>
    <n v="30"/>
    <n v="1.1013698630136985"/>
    <n v="346.93150684931504"/>
    <n v="35"/>
    <n v="34935"/>
    <s v="PRIVADAS DE LA SILLA"/>
    <s v="SNICO"/>
    <n v="7876853405"/>
    <s v="PATRICIA1970@HOTMAIL.COM"/>
    <s v="DIVOR"/>
    <s v="CURSA"/>
    <s v="A"/>
    <d v="2022-08-24T00:00:00"/>
    <n v="9"/>
    <s v="UANL"/>
    <s v="TECNOLOGÍA DE SOFTWARE      "/>
    <s v=""/>
    <n v="53"/>
    <n v="26"/>
    <n v="2"/>
    <n v="1"/>
    <m/>
    <m/>
    <m/>
    <m/>
    <m/>
    <m/>
    <m/>
    <n v="708"/>
  </r>
  <r>
    <n v="562"/>
    <s v="María del Rosario Salinas Rivera"/>
    <n v="27150"/>
    <n v="905"/>
    <n v="13575"/>
    <x v="333"/>
    <n v="3"/>
    <x v="5"/>
    <x v="28"/>
    <x v="1"/>
    <s v="LUN VIE"/>
    <n v="1019"/>
    <s v="Maria.rosario@grupomaia.com"/>
    <s v="MÉRIDA ISELA MEDINA SALINAS"/>
    <n v="42694"/>
    <n v="20850"/>
    <s v="SOLUCIONES"/>
    <s v="RELACIONES"/>
    <s v="SÍ"/>
    <n v="14"/>
    <n v="0.5"/>
    <n v="7"/>
    <n v="30"/>
    <n v="1.1013698630136985"/>
    <n v="996.73972602739718"/>
    <n v="100.55555555555556"/>
    <n v="35586"/>
    <s v="RESIDENCIAL MEDEROS"/>
    <s v="APODC"/>
    <n v="8906249221"/>
    <s v="MARÍA1414@HOTMAIL.COM"/>
    <s v="DIVOR"/>
    <s v="TITUL"/>
    <s v="B"/>
    <d v="2022-06-05T00:00:00"/>
    <n v="10"/>
    <s v="UANL"/>
    <s v="ARQUITECTURA        "/>
    <s v=""/>
    <n v="65"/>
    <n v="25"/>
    <n v="2"/>
    <n v="1"/>
    <m/>
    <m/>
    <m/>
    <m/>
    <m/>
    <m/>
    <m/>
    <n v="519"/>
  </r>
  <r>
    <n v="563"/>
    <s v="María Guadalupe Cortes Trejo"/>
    <n v="6778"/>
    <n v="225.93333333333334"/>
    <n v="3389"/>
    <x v="334"/>
    <n v="3"/>
    <x v="3"/>
    <x v="21"/>
    <x v="3"/>
    <s v="LUN VIE"/>
    <m/>
    <s v="maria.cortes@grupomaia.com"/>
    <s v="DIEGO HERRERA GIRÓN"/>
    <m/>
    <m/>
    <m/>
    <m/>
    <s v="SÍ"/>
    <n v="14"/>
    <n v="0.25"/>
    <n v="3.5"/>
    <n v="15"/>
    <n v="1.0506849315068494"/>
    <n v="237.38474885844749"/>
    <n v="25.103703703703705"/>
    <n v="27814"/>
    <s v="SATÉLITE MIRADORES"/>
    <s v="STACT"/>
    <n v="8208865741"/>
    <s v="MARIA1981@HOTMAIL.COM"/>
    <s v="SOLTE"/>
    <s v="CURSA"/>
    <s v="A"/>
    <d v="2022-02-24T00:00:00"/>
    <n v="5"/>
    <s v="UANL"/>
    <s v="INGENIERÍA CIVIL       "/>
    <s v=""/>
    <n v="38"/>
    <n v="46"/>
    <n v="0"/>
    <n v="1"/>
    <m/>
    <m/>
    <m/>
    <m/>
    <m/>
    <m/>
    <m/>
    <n v="477"/>
  </r>
  <r>
    <n v="564"/>
    <s v="Katya Daniela Rodriguez Ochoa"/>
    <n v="7445"/>
    <n v="248.16666666666666"/>
    <n v="3722.5"/>
    <x v="335"/>
    <n v="3"/>
    <x v="7"/>
    <x v="8"/>
    <x v="3"/>
    <s v="LUN VIE"/>
    <m/>
    <s v="katya.rodriguez@grupomaia.com"/>
    <s v="MARCO AURELIO URBINO"/>
    <m/>
    <m/>
    <m/>
    <m/>
    <s v="SÍ"/>
    <n v="14"/>
    <n v="0.5"/>
    <n v="7"/>
    <n v="30"/>
    <n v="1.1013698630136985"/>
    <n v="273.32328767123283"/>
    <n v="27.574074074074073"/>
    <n v="35832"/>
    <s v="VALLE DE SAN JERÓNIMO"/>
    <s v="STACT"/>
    <n v="8695464821"/>
    <s v="KATYA66@HOTMAIL.COM"/>
    <s v="DIVOR"/>
    <s v="TITUL"/>
    <s v="A"/>
    <d v="2022-02-06T00:00:00"/>
    <n v="7"/>
    <s v="UANL"/>
    <s v="ADMINISTRACIÓN        "/>
    <s v=""/>
    <n v="74"/>
    <n v="24"/>
    <n v="2"/>
    <n v="1"/>
    <m/>
    <m/>
    <m/>
    <m/>
    <m/>
    <m/>
    <m/>
    <n v="924"/>
  </r>
  <r>
    <n v="568"/>
    <s v="Brandon Alexis Fuentes Garza"/>
    <n v="9541"/>
    <n v="318.03333333333336"/>
    <n v="4770.5"/>
    <x v="336"/>
    <n v="3"/>
    <x v="4"/>
    <x v="7"/>
    <x v="3"/>
    <s v="LUN VIE"/>
    <m/>
    <s v="brandon.fuentes@grupomaia.com"/>
    <s v="MARIANO ALDEBARÁN"/>
    <n v="44497"/>
    <n v="5390"/>
    <s v="INST CAMPO"/>
    <m/>
    <s v="NO"/>
    <n v="14"/>
    <n v="0.5"/>
    <n v="7"/>
    <n v="30"/>
    <n v="1.1013698630136985"/>
    <n v="350.27232876712327"/>
    <n v="35.337037037037042"/>
    <n v="35559"/>
    <s v="LAS DILIGENCIAS"/>
    <s v="SNPED"/>
    <n v="8874623482"/>
    <s v="BRANDON1414@HOTMAIL.COM"/>
    <s v="SOLTE"/>
    <s v="TITUL"/>
    <s v="B"/>
    <d v="2022-05-09T00:00:00"/>
    <m/>
    <s v="UANL"/>
    <s v="BIBLIOTECOLOGÍA Y CIENCIA DE LA INFORMACIÓN   "/>
    <s v=""/>
    <n v="81"/>
    <n v="25"/>
    <n v="2"/>
    <n v="1"/>
    <m/>
    <m/>
    <m/>
    <m/>
    <m/>
    <m/>
    <m/>
    <n v="675"/>
  </r>
  <r>
    <n v="569"/>
    <s v="Cassandra Denise Presas Rodarte"/>
    <n v="9541"/>
    <n v="318.03333333333336"/>
    <n v="4770.5"/>
    <x v="337"/>
    <n v="3"/>
    <x v="8"/>
    <x v="11"/>
    <x v="3"/>
    <s v="LUN VIE"/>
    <m/>
    <s v="cassandra.presas@grupomaia.com"/>
    <s v="EMMA DARIELA GARCÍA LORCA"/>
    <n v="42959"/>
    <n v="5088"/>
    <s v="ESTRUCTURA"/>
    <m/>
    <s v="SÍ"/>
    <n v="14"/>
    <n v="0.5"/>
    <n v="7"/>
    <n v="30"/>
    <n v="1.1013698630136985"/>
    <n v="350.27232876712327"/>
    <n v="35.337037037037042"/>
    <n v="30729"/>
    <s v="10 DE MARZO"/>
    <s v="GRCIA"/>
    <n v="8930217582"/>
    <s v="CASSANDRA1414@HOTMAIL.COM"/>
    <s v="CASDO"/>
    <s v="CURSA"/>
    <s v="B"/>
    <d v="2022-02-17T00:00:00"/>
    <n v="10"/>
    <s v="UANL"/>
    <s v="ADMINISTRACIÓN        "/>
    <s v=""/>
    <n v="97"/>
    <n v="38"/>
    <n v="1"/>
    <n v="1"/>
    <m/>
    <m/>
    <m/>
    <m/>
    <m/>
    <m/>
    <m/>
    <n v="928"/>
  </r>
  <r>
    <n v="571"/>
    <s v="Elizabeth Celestino Torralba"/>
    <n v="7950"/>
    <n v="265"/>
    <n v="3975"/>
    <x v="338"/>
    <n v="3"/>
    <x v="0"/>
    <x v="26"/>
    <x v="3"/>
    <s v="LUN VIE"/>
    <m/>
    <s v="elizabeth.celestino@grupomaia.com"/>
    <s v="MARIANA RODRÍGUEZ GUTIERREZ"/>
    <n v="43789"/>
    <n v="6158.4000000000005"/>
    <s v="ANLIS COST"/>
    <m/>
    <s v="NO"/>
    <n v="14"/>
    <n v="0.5"/>
    <n v="7"/>
    <n v="30"/>
    <n v="1.1013698630136985"/>
    <n v="291.86301369863014"/>
    <n v="29.444444444444443"/>
    <n v="27298"/>
    <s v="VIDRIERA"/>
    <s v="SNPED"/>
    <n v="5552160909"/>
    <s v="ELIZABETH1997@HOTMAIL.COM"/>
    <s v="SOLTE"/>
    <s v="CURSA"/>
    <s v="C"/>
    <d v="2022-09-26T00:00:00"/>
    <n v="7"/>
    <s v="UVM"/>
    <s v="FÍSICA        "/>
    <s v=""/>
    <n v="86"/>
    <n v="47"/>
    <n v="3"/>
    <n v="1"/>
    <m/>
    <m/>
    <m/>
    <m/>
    <m/>
    <m/>
    <m/>
    <n v="554"/>
  </r>
  <r>
    <n v="572"/>
    <s v="Yaneth Marcela Vega García"/>
    <n v="7950"/>
    <n v="265"/>
    <n v="3975"/>
    <x v="339"/>
    <n v="3"/>
    <x v="7"/>
    <x v="18"/>
    <x v="3"/>
    <s v="LUN VIE"/>
    <m/>
    <s v="yaneth.vega@grupomaia.com"/>
    <s v="MARCO AURELIO URBINO"/>
    <n v="44021"/>
    <n v="5956"/>
    <s v="ADMINCIÓN"/>
    <m/>
    <s v="SÍ"/>
    <n v="14"/>
    <n v="0.5"/>
    <n v="7"/>
    <n v="30"/>
    <n v="1.1013698630136985"/>
    <n v="291.86301369863014"/>
    <n v="29.444444444444443"/>
    <n v="30136"/>
    <s v="FELIPE ZAMBRANO"/>
    <s v="STACT"/>
    <n v="8288380016"/>
    <s v="YANETH88@HOTMAIL.COM"/>
    <s v="SOLTE"/>
    <s v="CURSA"/>
    <s v="A"/>
    <d v="2022-07-04T00:00:00"/>
    <n v="9"/>
    <s v="UANL"/>
    <s v="ADMINISTRACIÓN        "/>
    <s v=""/>
    <n v="62"/>
    <n v="40"/>
    <n v="0"/>
    <n v="1"/>
    <m/>
    <m/>
    <m/>
    <m/>
    <m/>
    <m/>
    <m/>
    <n v="977"/>
  </r>
  <r>
    <n v="574"/>
    <s v="Karina Lizbeth Estrada Galvan"/>
    <n v="6778"/>
    <n v="225.93333333333334"/>
    <n v="3389"/>
    <x v="340"/>
    <n v="3"/>
    <x v="2"/>
    <x v="29"/>
    <x v="3"/>
    <s v="LUN VIE"/>
    <m/>
    <s v="karina.estrada@grupomaia.com"/>
    <s v="IRIE DALÍ ANTARES CORTÉS"/>
    <m/>
    <m/>
    <m/>
    <m/>
    <s v="NO"/>
    <n v="14"/>
    <n v="0.25"/>
    <n v="3.5"/>
    <n v="15"/>
    <n v="1.0506849315068494"/>
    <n v="237.38474885844749"/>
    <n v="25.103703703703705"/>
    <n v="32803"/>
    <s v="CENTRAL"/>
    <s v="GRCIA"/>
    <n v="8436705886"/>
    <s v="KARINA66@HOTMAIL.COM"/>
    <s v="SOLTE"/>
    <s v="CURSA"/>
    <s v="A"/>
    <d v="2022-10-22T00:00:00"/>
    <n v="7"/>
    <s v="IPN"/>
    <s v="ADMINISTRACIÓN        "/>
    <s v=""/>
    <n v="72"/>
    <n v="32"/>
    <n v="3"/>
    <n v="1"/>
    <m/>
    <m/>
    <m/>
    <m/>
    <m/>
    <m/>
    <m/>
    <n v="840"/>
  </r>
  <r>
    <n v="576"/>
    <s v="Lizbeth Martha Pazcal Escobedo"/>
    <n v="9541"/>
    <n v="318.03333333333336"/>
    <n v="4770.5"/>
    <x v="341"/>
    <n v="3"/>
    <x v="7"/>
    <x v="16"/>
    <x v="3"/>
    <s v="LUN VIE"/>
    <m/>
    <s v="lizbeth.pazcal@grupomaia.com"/>
    <s v="MARCO AURELIO URBINO"/>
    <n v="44046"/>
    <n v="7632"/>
    <s v="CONTA"/>
    <m/>
    <s v="SÍ"/>
    <n v="14"/>
    <n v="0.5"/>
    <n v="7"/>
    <n v="30"/>
    <n v="1.1013698630136985"/>
    <n v="350.27232876712327"/>
    <n v="35.337037037037042"/>
    <n v="33928"/>
    <s v="EMPLEADOS SFEO"/>
    <s v="MONTY"/>
    <n v="8375010100"/>
    <s v="LIZBETH1010@HOTMAIL.COM"/>
    <s v="SOLTE"/>
    <s v="TITUL"/>
    <s v="A"/>
    <d v="2022-11-20T00:00:00"/>
    <n v="8"/>
    <s v="UANL"/>
    <s v="ADMINISTRACIÓN        "/>
    <s v=""/>
    <n v="50"/>
    <n v="29"/>
    <n v="1"/>
    <n v="1"/>
    <m/>
    <m/>
    <m/>
    <m/>
    <m/>
    <m/>
    <m/>
    <n v="66"/>
  </r>
  <r>
    <n v="577"/>
    <s v="Teodoro Contreras Cruz"/>
    <n v="7950"/>
    <n v="265"/>
    <n v="3975"/>
    <x v="342"/>
    <n v="3"/>
    <x v="4"/>
    <x v="27"/>
    <x v="3"/>
    <s v="LUN VIE"/>
    <m/>
    <s v="teodoro.contreras@grupomaia.com"/>
    <s v="MARIANO ALDEBARÁN"/>
    <n v="43449"/>
    <n v="7632.8"/>
    <s v="CONTA"/>
    <m/>
    <s v="NO"/>
    <n v="14"/>
    <n v="0.5"/>
    <n v="7"/>
    <n v="30"/>
    <n v="1.1013698630136985"/>
    <n v="291.86301369863014"/>
    <n v="29.444444444444443"/>
    <n v="26873"/>
    <s v="SAN MARTÍN"/>
    <s v="GRCIA"/>
    <n v="5549687133"/>
    <s v="TEODORO1984@HOTMAIL.COM"/>
    <s v="CASDO"/>
    <s v="CURSA"/>
    <s v="A"/>
    <d v="2022-07-28T00:00:00"/>
    <n v="10"/>
    <s v="UANL"/>
    <s v="FÍSICA        "/>
    <s v=""/>
    <n v="79"/>
    <n v="48"/>
    <n v="3"/>
    <n v="1"/>
    <m/>
    <m/>
    <m/>
    <m/>
    <m/>
    <m/>
    <m/>
    <n v="411"/>
  </r>
  <r>
    <n v="579"/>
    <s v="Alma Susel Andrade Mendez"/>
    <n v="10860"/>
    <n v="362"/>
    <n v="5430"/>
    <x v="343"/>
    <n v="3"/>
    <x v="5"/>
    <x v="28"/>
    <x v="3"/>
    <s v="LUN VIE"/>
    <m/>
    <s v="alma.andrade@grupomaia.com"/>
    <s v="MÉRIDA ISELA MEDINA SALINAS"/>
    <n v="41772"/>
    <n v="5422.4000000000005"/>
    <s v="ESTRUCTURA"/>
    <s v="CONTA"/>
    <s v="SÍ"/>
    <n v="14"/>
    <n v="0.5"/>
    <n v="7"/>
    <n v="30"/>
    <n v="1.1013698630136985"/>
    <n v="398.6958904109589"/>
    <n v="40.222222222222221"/>
    <n v="30535"/>
    <s v="NUEVA MADERO"/>
    <s v="SANTG"/>
    <n v="7256497975"/>
    <s v="ALMA1990@HOTMAIL.COM"/>
    <s v="CASDO"/>
    <s v="CURSA"/>
    <s v="A"/>
    <d v="2022-08-07T00:00:00"/>
    <n v="9"/>
    <s v="UVM"/>
    <s v="INGENIERÍA CIVIL       "/>
    <s v=""/>
    <n v="76"/>
    <n v="38"/>
    <n v="1"/>
    <n v="1"/>
    <m/>
    <m/>
    <m/>
    <m/>
    <m/>
    <m/>
    <m/>
    <n v="25"/>
  </r>
  <r>
    <n v="580"/>
    <s v="Sahara Jackellyn González Aguilar"/>
    <n v="7950"/>
    <n v="265"/>
    <n v="3975"/>
    <x v="344"/>
    <n v="3"/>
    <x v="3"/>
    <x v="21"/>
    <x v="3"/>
    <s v="LUN VIE"/>
    <m/>
    <s v="sahara.gonzález@grupomaia.com"/>
    <s v="DIEGO HERRERA GIRÓN"/>
    <n v="43132"/>
    <n v="5956"/>
    <s v="SOLUCIONES"/>
    <m/>
    <s v="SÍ"/>
    <n v="14"/>
    <n v="0.5"/>
    <n v="7"/>
    <n v="30"/>
    <n v="1.1013698630136985"/>
    <n v="291.86301369863014"/>
    <n v="29.444444444444443"/>
    <n v="31091"/>
    <s v="VENUSTIANO CARRANZA"/>
    <s v="SANTG"/>
    <n v="8796843318"/>
    <s v="SAHARA1010@HOTMAIL.COM"/>
    <s v="SOLTE"/>
    <s v="CURSA"/>
    <s v="A"/>
    <d v="2022-02-13T00:00:00"/>
    <n v="9"/>
    <s v="UANL"/>
    <s v="INGENIERÍA CIVIL       "/>
    <s v=""/>
    <n v="61"/>
    <n v="37"/>
    <n v="0"/>
    <n v="1"/>
    <m/>
    <m/>
    <m/>
    <m/>
    <m/>
    <m/>
    <m/>
    <n v="898"/>
  </r>
  <r>
    <n v="581"/>
    <s v="Mixcel Velazquez Lopez"/>
    <n v="9450"/>
    <n v="315"/>
    <n v="4725"/>
    <x v="345"/>
    <n v="2"/>
    <x v="5"/>
    <x v="14"/>
    <x v="3"/>
    <s v="LUN VIE"/>
    <m/>
    <s v="mixcel.velazquez@grupomaia.com"/>
    <s v="MÉRIDA ISELA MEDINA SALINAS"/>
    <n v="43501"/>
    <n v="5088"/>
    <s v="AUDIT PROY"/>
    <m/>
    <s v="SÍ"/>
    <n v="10"/>
    <n v="0.5"/>
    <n v="5"/>
    <n v="30"/>
    <n v="1.095890410958904"/>
    <n v="345.20547945205476"/>
    <n v="35"/>
    <n v="36368"/>
    <s v="URDIALES"/>
    <s v="STACT"/>
    <n v="8200994840"/>
    <s v="MIXCEL1974@HOTMAIL.COM"/>
    <s v="SOLTE"/>
    <s v="CURSA"/>
    <s v="A"/>
    <d v="2022-07-27T00:00:00"/>
    <n v="7"/>
    <s v="UANL"/>
    <s v="ARQUITECTURA        "/>
    <s v=""/>
    <n v="92"/>
    <n v="22"/>
    <n v="0"/>
    <n v="1"/>
    <m/>
    <m/>
    <m/>
    <m/>
    <m/>
    <m/>
    <m/>
    <n v="984"/>
  </r>
  <r>
    <n v="584"/>
    <s v="Bertha Alejandra Cisneros Ramirez"/>
    <n v="8825"/>
    <n v="294.16666666666669"/>
    <n v="4412.5"/>
    <x v="346"/>
    <n v="2"/>
    <x v="0"/>
    <x v="17"/>
    <x v="3"/>
    <s v="LUN VIE"/>
    <m/>
    <s v="bertha.cisneros@grupomaia.com"/>
    <s v="MARIANA RODRÍGUEZ GUTIERREZ"/>
    <n v="43567"/>
    <n v="6160"/>
    <s v="ARQUITECT"/>
    <m/>
    <s v="NO"/>
    <n v="10"/>
    <n v="0.5"/>
    <n v="5"/>
    <n v="30"/>
    <n v="1.095890410958904"/>
    <n v="322.3744292237443"/>
    <n v="32.68518518518519"/>
    <n v="29738"/>
    <s v="LOMAS DE TOPO CHICO"/>
    <s v="APODC"/>
    <n v="8371502374"/>
    <s v="BERTHA1010@HOTMAIL.COM"/>
    <s v="CASDO"/>
    <s v="TITUL"/>
    <s v="A"/>
    <d v="2022-06-01T00:00:00"/>
    <m/>
    <s v="INSUCO"/>
    <s v="CIENCIAS DE LA COMUNICACIÓN CON ACENTUACIÓN EN INFORMACIÓN "/>
    <s v=""/>
    <n v="66"/>
    <n v="41"/>
    <n v="0"/>
    <n v="1"/>
    <m/>
    <m/>
    <m/>
    <m/>
    <m/>
    <m/>
    <m/>
    <n v="70"/>
  </r>
  <r>
    <n v="585"/>
    <s v="Sofia Idalia Luna Hernández"/>
    <n v="7950"/>
    <n v="265"/>
    <n v="3975"/>
    <x v="347"/>
    <n v="2"/>
    <x v="7"/>
    <x v="16"/>
    <x v="3"/>
    <s v="LUN VIE"/>
    <m/>
    <s v="sofia.luna@grupomaia.com"/>
    <s v="MARCO AURELIO URBINO"/>
    <m/>
    <m/>
    <m/>
    <m/>
    <s v="SÍ"/>
    <n v="10"/>
    <n v="0.5"/>
    <n v="5"/>
    <n v="30"/>
    <n v="1.095890410958904"/>
    <n v="290.41095890410958"/>
    <n v="29.444444444444443"/>
    <n v="31517"/>
    <s v="RENÉ ÁLVAREZ"/>
    <s v="GRCIA"/>
    <n v="5548795348"/>
    <s v="SOFIA66@HOTMAIL.COM"/>
    <s v="SOLTE"/>
    <s v="CURSA"/>
    <s v="A"/>
    <d v="2022-04-15T00:00:00"/>
    <n v="10"/>
    <s v="UNAM"/>
    <s v="NEGOCIOS INTERNACIONALES       "/>
    <s v=""/>
    <n v="82"/>
    <n v="36"/>
    <n v="3"/>
    <n v="1"/>
    <m/>
    <m/>
    <m/>
    <m/>
    <m/>
    <m/>
    <m/>
    <n v="983"/>
  </r>
  <r>
    <n v="586"/>
    <s v="Elizabeth Fierro Lozano"/>
    <n v="7445"/>
    <n v="248.16666666666666"/>
    <n v="3722.5"/>
    <x v="348"/>
    <n v="2"/>
    <x v="5"/>
    <x v="14"/>
    <x v="3"/>
    <s v="LUN VIE"/>
    <m/>
    <s v="elizabeth.fierro@grupomaia.com"/>
    <s v="MÉRIDA ISELA MEDINA SALINAS"/>
    <m/>
    <m/>
    <m/>
    <m/>
    <s v="SÍ"/>
    <n v="10"/>
    <n v="0.5"/>
    <n v="5"/>
    <n v="30"/>
    <n v="1.095890410958904"/>
    <n v="271.96347031963467"/>
    <n v="27.574074074074073"/>
    <n v="28072"/>
    <s v="LOMAS DE SAN MARTÍN"/>
    <s v="APODC"/>
    <n v="5552336897"/>
    <s v="ELIZABETH1970@HOTMAIL.COM"/>
    <s v="SOLTE"/>
    <s v="CURSA"/>
    <s v="A"/>
    <d v="2022-11-08T00:00:00"/>
    <n v="8"/>
    <s v="UANL"/>
    <s v="ARQUITECTURA        "/>
    <s v=""/>
    <n v="42"/>
    <n v="45"/>
    <n v="2"/>
    <n v="1"/>
    <m/>
    <m/>
    <m/>
    <m/>
    <m/>
    <m/>
    <m/>
    <n v="869"/>
  </r>
  <r>
    <n v="587"/>
    <s v="Karina Lizbeth Estrada Galvan"/>
    <n v="7445"/>
    <n v="248.16666666666666"/>
    <n v="3722.5"/>
    <x v="349"/>
    <n v="2"/>
    <x v="3"/>
    <x v="19"/>
    <x v="3"/>
    <s v="LUN VIE"/>
    <m/>
    <s v="karina.estrada@grupomaia.com"/>
    <s v="DIEGO HERRERA GIRÓN"/>
    <m/>
    <m/>
    <m/>
    <m/>
    <s v="SÍ"/>
    <n v="10"/>
    <n v="0.5"/>
    <n v="5"/>
    <n v="30"/>
    <n v="1.095890410958904"/>
    <n v="271.96347031963467"/>
    <n v="27.574074074074073"/>
    <n v="35792"/>
    <s v="PRIVADAS DEL PASEO"/>
    <s v="STACT"/>
    <n v="7968565321"/>
    <s v="KARINA66@HOTMAIL.COM"/>
    <s v="SOLTE"/>
    <s v="CURSA"/>
    <s v="A"/>
    <d v="2022-12-28T00:00:00"/>
    <n v="6"/>
    <s v="UANL"/>
    <s v="INGENIERÍA CIVIL       "/>
    <s v=""/>
    <n v="47"/>
    <n v="24"/>
    <n v="1"/>
    <n v="1"/>
    <m/>
    <m/>
    <m/>
    <m/>
    <m/>
    <m/>
    <m/>
    <n v="574"/>
  </r>
  <r>
    <n v="588"/>
    <s v="Jazmin Valdez Sanchez"/>
    <n v="9450"/>
    <n v="315"/>
    <n v="4725"/>
    <x v="350"/>
    <n v="2"/>
    <x v="3"/>
    <x v="21"/>
    <x v="3"/>
    <s v="LUN VIE"/>
    <m/>
    <s v="jazmin.valdez@grupomaia.com"/>
    <s v="DIEGO HERRERA GIRÓN"/>
    <m/>
    <m/>
    <m/>
    <m/>
    <s v="SÍ"/>
    <n v="10"/>
    <n v="0.5"/>
    <n v="5"/>
    <n v="30"/>
    <n v="1.095890410958904"/>
    <n v="345.20547945205476"/>
    <n v="35"/>
    <n v="25677"/>
    <s v="RINCÓN COLONIAL MEDEROS"/>
    <s v="STACT"/>
    <n v="5077841938"/>
    <s v="JAZMIN1997@HOTMAIL.COM"/>
    <s v="SOLTE"/>
    <s v="CURSA"/>
    <s v="A"/>
    <d v="2022-04-19T00:00:00"/>
    <n v="10"/>
    <s v="UANL"/>
    <s v="INGENIERO MECÁNICO ADMINISTRADOR      "/>
    <s v=""/>
    <n v="31"/>
    <n v="52"/>
    <n v="2"/>
    <n v="1"/>
    <m/>
    <m/>
    <m/>
    <m/>
    <m/>
    <m/>
    <m/>
    <n v="537"/>
  </r>
  <r>
    <n v="589"/>
    <s v="Francisco Javier Mendez Arenas"/>
    <n v="7950"/>
    <n v="265"/>
    <n v="3975"/>
    <x v="351"/>
    <n v="2"/>
    <x v="0"/>
    <x v="17"/>
    <x v="3"/>
    <s v="LUN VIE"/>
    <m/>
    <s v="francisco.mendez@grupomaia.com"/>
    <s v="MARIANA RODRÍGUEZ GUTIERREZ"/>
    <n v="44096"/>
    <n v="5956"/>
    <s v="SOFTWARE"/>
    <m/>
    <s v="SÍ"/>
    <n v="10"/>
    <n v="0.5"/>
    <n v="5"/>
    <n v="30"/>
    <n v="1.095890410958904"/>
    <n v="290.41095890410958"/>
    <n v="29.444444444444443"/>
    <n v="27033"/>
    <s v="REAL DE SAN JERÓNIMO"/>
    <s v="SNICO"/>
    <n v="8209274560"/>
    <s v="FRANCISCO1986@HOTMAIL.COM"/>
    <s v="CASDO"/>
    <s v="CURSA"/>
    <s v="A"/>
    <d v="2022-01-04T00:00:00"/>
    <n v="6"/>
    <s v="UANL"/>
    <s v="CIENCIAS DE LA COMUNICACIÓN CON ACENTUACIÓN EN INFORMACIÓN "/>
    <s v=""/>
    <n v="74"/>
    <n v="48"/>
    <n v="3"/>
    <n v="1"/>
    <m/>
    <m/>
    <m/>
    <m/>
    <m/>
    <m/>
    <m/>
    <n v="133"/>
  </r>
  <r>
    <n v="590"/>
    <s v="Mayra Acevedo Presas"/>
    <n v="27150"/>
    <n v="905"/>
    <n v="13575"/>
    <x v="352"/>
    <n v="2"/>
    <x v="0"/>
    <x v="17"/>
    <x v="3"/>
    <s v="LUN VIE"/>
    <n v="1026"/>
    <s v="mayra.acevedo@grupomaia.com"/>
    <s v="MARIANA RODRÍGUEZ GUTIERREZ"/>
    <m/>
    <m/>
    <m/>
    <m/>
    <s v="NO"/>
    <n v="10"/>
    <n v="0.5"/>
    <n v="5"/>
    <n v="30"/>
    <n v="1.095890410958904"/>
    <n v="991.78082191780811"/>
    <n v="100.55555555555556"/>
    <n v="33703"/>
    <s v="MORELOS"/>
    <s v="SNPED"/>
    <n v="8435877530"/>
    <s v="MAYRA66@HOTMAIL.COM"/>
    <s v="CASDO"/>
    <s v="TITUL"/>
    <s v="A"/>
    <d v="2022-04-09T00:00:00"/>
    <m/>
    <s v="UANL"/>
    <s v="ADMINISTRACIÓN        "/>
    <s v=""/>
    <n v="97"/>
    <n v="30"/>
    <n v="1"/>
    <n v="1"/>
    <m/>
    <m/>
    <m/>
    <m/>
    <m/>
    <m/>
    <m/>
    <n v="451"/>
  </r>
  <r>
    <n v="591"/>
    <s v="Beatriz Basurto Carrillo"/>
    <n v="9541"/>
    <n v="318.03333333333336"/>
    <n v="4770.5"/>
    <x v="353"/>
    <n v="2"/>
    <x v="2"/>
    <x v="10"/>
    <x v="3"/>
    <s v="LUN VIE"/>
    <m/>
    <s v="beatriz.basurto@grupomaia.com"/>
    <s v="IRIE DALÍ ANTARES CORTÉS"/>
    <n v="43896"/>
    <n v="6580"/>
    <s v="AUDIT ADMN"/>
    <s v="RECLTMTO"/>
    <s v="SÍ"/>
    <n v="10"/>
    <n v="0.5"/>
    <n v="5"/>
    <n v="30"/>
    <n v="1.095890410958904"/>
    <n v="348.52968036529683"/>
    <n v="35.337037037037042"/>
    <n v="31625"/>
    <s v="7 DE NOVIEMBRE (F-82)"/>
    <s v="APODC"/>
    <n v="8130407449"/>
    <s v="BEATRIZ1986@HOTMAIL.COM"/>
    <s v="SOLTE"/>
    <s v="CURSA"/>
    <s v="A"/>
    <d v="2022-08-01T00:00:00"/>
    <n v="4"/>
    <s v="UANL"/>
    <s v="INGENIERÍA CIVIL       "/>
    <s v=""/>
    <n v="57"/>
    <n v="35"/>
    <n v="2"/>
    <n v="1"/>
    <m/>
    <m/>
    <m/>
    <m/>
    <m/>
    <m/>
    <m/>
    <n v="682"/>
  </r>
  <r>
    <n v="594"/>
    <s v="Salvador Zanabriga Giron"/>
    <n v="10350"/>
    <n v="345"/>
    <n v="5175"/>
    <x v="354"/>
    <n v="2"/>
    <x v="1"/>
    <x v="30"/>
    <x v="3"/>
    <s v="LUN VIE"/>
    <m/>
    <s v="salvador.zanabriga@grupomaia.com"/>
    <s v="DENEB SANTIAGO ALTAIR VEGA"/>
    <n v="42467"/>
    <n v="51360"/>
    <s v="INST CAMPO"/>
    <s v="ANLIS COST"/>
    <s v="NO"/>
    <n v="10"/>
    <n v="0.5"/>
    <n v="5"/>
    <n v="30"/>
    <n v="1.095890410958904"/>
    <n v="378.08219178082192"/>
    <n v="38.333333333333336"/>
    <n v="35900"/>
    <s v="SAN BERNABÉ XIV (F-109)"/>
    <s v="APODC"/>
    <n v="8197268919"/>
    <s v="SALVADOR1995@HOTMAIL.COM"/>
    <s v="CASDO"/>
    <s v="TITUL"/>
    <s v="A"/>
    <d v="2022-04-15T00:00:00"/>
    <m/>
    <s v="UVM"/>
    <s v="INGENIERO ADMINISTRADOR DE SISTEMAS     "/>
    <s v=""/>
    <n v="91"/>
    <n v="24"/>
    <n v="2"/>
    <n v="1"/>
    <m/>
    <m/>
    <m/>
    <m/>
    <m/>
    <m/>
    <m/>
    <n v="918"/>
  </r>
  <r>
    <n v="595"/>
    <s v="Bartolome Rios Gutierrez"/>
    <n v="6778"/>
    <n v="225.93333333333334"/>
    <n v="3389"/>
    <x v="355"/>
    <n v="2"/>
    <x v="3"/>
    <x v="21"/>
    <x v="3"/>
    <s v="LUN VIE"/>
    <m/>
    <s v="bartolome.rios@grupomaia.com"/>
    <s v="DIEGO HERRERA GIRÓN"/>
    <m/>
    <m/>
    <m/>
    <m/>
    <s v="SÍ"/>
    <n v="10"/>
    <n v="0.25"/>
    <n v="2.5"/>
    <n v="15"/>
    <n v="1.047945205479452"/>
    <n v="236.76575342465753"/>
    <n v="25.103703703703705"/>
    <n v="35486"/>
    <s v="LOS ÉBANOS"/>
    <s v="STACT"/>
    <n v="8204805744"/>
    <s v="BARTOLOME1990@HOTMAIL.COM"/>
    <s v="SOLTE"/>
    <s v="TITUL"/>
    <s v="A"/>
    <d v="2022-02-25T00:00:00"/>
    <m/>
    <s v="UANL"/>
    <s v="INGENIERO MECÁNICO ADMINISTRADOR      "/>
    <s v=""/>
    <n v="51"/>
    <n v="25"/>
    <n v="0"/>
    <n v="1"/>
    <m/>
    <m/>
    <m/>
    <m/>
    <m/>
    <m/>
    <m/>
    <n v="892"/>
  </r>
  <r>
    <n v="597"/>
    <s v="Maríana Márquez Ortiz"/>
    <n v="7445"/>
    <n v="248.16666666666666"/>
    <n v="3722.5"/>
    <x v="356"/>
    <n v="2"/>
    <x v="0"/>
    <x v="24"/>
    <x v="3"/>
    <s v="LUN VIE"/>
    <m/>
    <s v="mariana.márquez@grupomaia.com"/>
    <s v="MARIANA RODRÍGUEZ GUTIERREZ"/>
    <m/>
    <m/>
    <m/>
    <m/>
    <s v="NO"/>
    <n v="10"/>
    <n v="0.5"/>
    <n v="5"/>
    <n v="30"/>
    <n v="1.095890410958904"/>
    <n v="271.96347031963467"/>
    <n v="27.574074074074073"/>
    <n v="34904"/>
    <s v="UNIÓN DE FIERREROS"/>
    <s v="GRCIA"/>
    <n v="8636278802"/>
    <s v="MARIANA66@HOTMAIL.COM"/>
    <s v="CASDO"/>
    <s v="CURSA"/>
    <s v="A"/>
    <d v="2022-07-24T00:00:00"/>
    <n v="10"/>
    <s v="UANL"/>
    <s v="ADMINISTRACIÓN        "/>
    <s v=""/>
    <n v="87"/>
    <n v="26"/>
    <n v="0"/>
    <n v="1"/>
    <m/>
    <m/>
    <m/>
    <m/>
    <m/>
    <m/>
    <m/>
    <n v="629"/>
  </r>
  <r>
    <n v="598"/>
    <s v="Francisco Gerardo Mota Escobedo"/>
    <n v="10860"/>
    <n v="362"/>
    <n v="5430"/>
    <x v="357"/>
    <n v="2"/>
    <x v="0"/>
    <x v="26"/>
    <x v="3"/>
    <s v="LUN VIE"/>
    <m/>
    <s v="francisco.mota@grupomaia.com"/>
    <s v="MARIANA RODRÍGUEZ GUTIERREZ"/>
    <n v="41147"/>
    <n v="5088"/>
    <s v="INST CAMPO"/>
    <s v="EXTERNOS"/>
    <s v="NO"/>
    <n v="10"/>
    <n v="0.5"/>
    <n v="5"/>
    <n v="30"/>
    <n v="1.095890410958904"/>
    <n v="396.71232876712327"/>
    <n v="40.222222222222221"/>
    <n v="33239"/>
    <s v="MITRAS CENTRO"/>
    <s v="MONTY"/>
    <n v="8205016364"/>
    <s v="FRANCISCO1987@HOTMAIL.COM"/>
    <s v="SOLTE"/>
    <s v="CURSA"/>
    <s v="B"/>
    <d v="2022-01-01T00:00:00"/>
    <n v="7"/>
    <s v="UANL"/>
    <s v="CIENCIAS DE LA COMUNICACIÓN CON ACENTUACIÓN EN INFORMACIÓN "/>
    <s v=""/>
    <n v="44"/>
    <n v="31"/>
    <n v="1"/>
    <n v="1"/>
    <m/>
    <m/>
    <m/>
    <m/>
    <m/>
    <m/>
    <m/>
    <n v="742"/>
  </r>
  <r>
    <n v="599"/>
    <s v="Jennifer Coral Carrillo Sanchez"/>
    <n v="10860"/>
    <n v="362"/>
    <n v="5430"/>
    <x v="358"/>
    <n v="2"/>
    <x v="4"/>
    <x v="4"/>
    <x v="3"/>
    <s v="LUN VIE"/>
    <m/>
    <s v="jennifer.carrillo@grupomaia.com"/>
    <s v="MARIANO ALDEBARÁN"/>
    <n v="42006"/>
    <n v="5422.4000000000005"/>
    <s v="ADMINCIÓN"/>
    <s v="ARQUITECT"/>
    <s v="NO"/>
    <n v="10"/>
    <n v="0.5"/>
    <n v="5"/>
    <n v="30"/>
    <n v="1.095890410958904"/>
    <n v="396.71232876712327"/>
    <n v="40.222222222222221"/>
    <n v="30825"/>
    <s v="PRIVADA RESIDENCIAL VILLAS DEL URO"/>
    <s v="ESCOB"/>
    <n v="2225987413"/>
    <s v="JENNIFER1973@HOTMAIL.COM"/>
    <s v="SOLTE"/>
    <s v="MAEST"/>
    <s v="A"/>
    <d v="2022-05-23T00:00:00"/>
    <m/>
    <s v="UANL"/>
    <s v="EDUCACIÓN        "/>
    <s v="FINANZAS"/>
    <n v="43"/>
    <n v="38"/>
    <n v="3"/>
    <n v="1"/>
    <m/>
    <m/>
    <m/>
    <m/>
    <m/>
    <m/>
    <m/>
    <n v="443"/>
  </r>
  <r>
    <n v="601"/>
    <s v="Martha Corona Ocampo"/>
    <n v="10350"/>
    <n v="345"/>
    <n v="5175"/>
    <x v="359"/>
    <n v="2"/>
    <x v="5"/>
    <x v="28"/>
    <x v="3"/>
    <s v="LUN VIE"/>
    <m/>
    <s v="martha.corona@grupomaia.com"/>
    <s v="MÉRIDA ISELA MEDINA SALINAS"/>
    <n v="43090"/>
    <n v="7520"/>
    <s v="INST CAMPO"/>
    <m/>
    <s v="SÍ"/>
    <n v="10"/>
    <n v="0.5"/>
    <n v="5"/>
    <n v="30"/>
    <n v="1.095890410958904"/>
    <n v="378.08219178082192"/>
    <n v="38.333333333333336"/>
    <n v="30860"/>
    <s v="RESIDENCIAL SAN JERÓNIMO II"/>
    <s v="ESCOB"/>
    <n v="9865465465"/>
    <s v="MARTHA1996@HOTMAIL.COM"/>
    <s v="UNLIB"/>
    <s v="TITUL"/>
    <s v="A"/>
    <d v="2022-06-27T00:00:00"/>
    <m/>
    <s v="UANL"/>
    <s v="ARQUITECTURA        "/>
    <s v=""/>
    <n v="51"/>
    <n v="38"/>
    <n v="2"/>
    <n v="1"/>
    <m/>
    <m/>
    <m/>
    <m/>
    <m/>
    <m/>
    <m/>
    <n v="312"/>
  </r>
  <r>
    <n v="602"/>
    <s v="Brandon Javier Orta Reyna"/>
    <n v="7445"/>
    <n v="248.16666666666666"/>
    <n v="3722.5"/>
    <x v="360"/>
    <n v="2"/>
    <x v="2"/>
    <x v="29"/>
    <x v="3"/>
    <s v="LUN VIE"/>
    <m/>
    <s v="brandon.orta@grupomaia.com"/>
    <s v="IRIE DALÍ ANTARES CORTÉS"/>
    <m/>
    <m/>
    <m/>
    <m/>
    <s v="SÍ"/>
    <n v="10"/>
    <n v="0.5"/>
    <n v="5"/>
    <n v="30"/>
    <n v="1.095890410958904"/>
    <n v="271.96347031963467"/>
    <n v="27.574074074074073"/>
    <n v="29506"/>
    <s v="BORTONÍ"/>
    <s v="MONTY"/>
    <n v="8780125230"/>
    <s v="BRANDON66@HOTMAIL.COM"/>
    <s v="CASDO"/>
    <s v="CURSA"/>
    <s v="A"/>
    <d v="2022-10-12T00:00:00"/>
    <n v="6"/>
    <s v="IPN"/>
    <s v="ADMINISTRACIÓN        "/>
    <s v=""/>
    <n v="79"/>
    <n v="41"/>
    <n v="2"/>
    <n v="1"/>
    <m/>
    <m/>
    <m/>
    <m/>
    <m/>
    <m/>
    <m/>
    <n v="535"/>
  </r>
  <r>
    <n v="603"/>
    <s v="Edith García Barrios"/>
    <n v="9541"/>
    <n v="318.03333333333336"/>
    <n v="4770.5"/>
    <x v="361"/>
    <n v="2"/>
    <x v="3"/>
    <x v="21"/>
    <x v="3"/>
    <s v="LUN VIE"/>
    <m/>
    <s v="edith.garcia@grupomaia.com"/>
    <s v="DIEGO HERRERA GIRÓN"/>
    <n v="42549"/>
    <n v="5422.4000000000005"/>
    <s v="FACTURAS"/>
    <s v="ANLIS COST"/>
    <s v="SÍ"/>
    <n v="10"/>
    <n v="0.5"/>
    <n v="5"/>
    <n v="30"/>
    <n v="1.095890410958904"/>
    <n v="348.52968036529683"/>
    <n v="35.337037037037042"/>
    <n v="27947"/>
    <s v="23 DE MARZO"/>
    <s v="GRCIA"/>
    <n v="5552316487"/>
    <s v="EDITH1972@HOTMAIL.COM"/>
    <s v="UNLIB"/>
    <s v="CURSA"/>
    <s v="A"/>
    <d v="2022-07-06T00:00:00"/>
    <n v="5"/>
    <s v="UANL"/>
    <s v="INGENIERO MECÁNICO ADMINISTRADOR      "/>
    <s v=""/>
    <n v="87"/>
    <n v="46"/>
    <n v="3"/>
    <n v="1"/>
    <m/>
    <m/>
    <m/>
    <m/>
    <m/>
    <m/>
    <m/>
    <n v="409"/>
  </r>
  <r>
    <n v="605"/>
    <s v="Filiberto Herrera Nuñez"/>
    <n v="9541"/>
    <n v="318.03333333333336"/>
    <n v="4770.5"/>
    <x v="362"/>
    <n v="2"/>
    <x v="3"/>
    <x v="21"/>
    <x v="3"/>
    <s v="LUN VIE"/>
    <m/>
    <s v="filiberto.herrera@grupomaia.com"/>
    <s v="DIEGO HERRERA GIRÓN"/>
    <n v="41922"/>
    <n v="5422.4000000000005"/>
    <s v="AUDIT ADMN"/>
    <s v="AUDIT ADMN"/>
    <s v="SÍ"/>
    <n v="10"/>
    <n v="0.5"/>
    <n v="5"/>
    <n v="30"/>
    <n v="1.095890410958904"/>
    <n v="348.52968036529683"/>
    <n v="35.337037037037042"/>
    <n v="27432"/>
    <s v="COLONIAL SAN FRANCISCO"/>
    <s v="GUADL"/>
    <n v="5682739482"/>
    <s v="FILIBERTO1979@HOTMAIL.COM"/>
    <s v="SOLTE"/>
    <s v="CURSA"/>
    <s v="A"/>
    <d v="2022-02-07T00:00:00"/>
    <n v="5"/>
    <s v="UANL"/>
    <s v="INGENIERÍA CIVIL       "/>
    <s v=""/>
    <n v="92"/>
    <n v="47"/>
    <n v="0"/>
    <n v="1"/>
    <m/>
    <m/>
    <m/>
    <m/>
    <m/>
    <m/>
    <m/>
    <n v="384"/>
  </r>
  <r>
    <n v="606"/>
    <s v="Inocencia Navarrete Cabañas"/>
    <n v="9541"/>
    <n v="318.03333333333336"/>
    <n v="4770.5"/>
    <x v="363"/>
    <n v="2"/>
    <x v="5"/>
    <x v="14"/>
    <x v="3"/>
    <s v="LUN VIE"/>
    <m/>
    <s v="inocencia.navarrete@grupomaia.com"/>
    <s v="MÉRIDA ISELA MEDINA SALINAS"/>
    <n v="42008"/>
    <n v="5088"/>
    <s v="AUDIT ADMN"/>
    <s v="RENDER"/>
    <s v="SÍ"/>
    <n v="10"/>
    <n v="0.5"/>
    <n v="5"/>
    <n v="30"/>
    <n v="1.095890410958904"/>
    <n v="348.52968036529683"/>
    <n v="35.337037037037042"/>
    <n v="25732"/>
    <s v="REFORMA"/>
    <s v="SNPED"/>
    <n v="6726321060"/>
    <s v="INOCENCIA1986@HOTMAIL.COM"/>
    <s v="SOLTE"/>
    <s v="CURSA"/>
    <s v="A"/>
    <d v="2022-06-13T00:00:00"/>
    <n v="6"/>
    <s v="UNEZ"/>
    <s v="ARQUITECTURA        "/>
    <s v=""/>
    <n v="65"/>
    <n v="52"/>
    <n v="2"/>
    <n v="1"/>
    <m/>
    <m/>
    <m/>
    <m/>
    <m/>
    <m/>
    <m/>
    <n v="386"/>
  </r>
  <r>
    <n v="608"/>
    <s v="Litsi Jaqueline Carvajal Cortez"/>
    <n v="9450"/>
    <n v="315"/>
    <n v="4725"/>
    <x v="364"/>
    <n v="2"/>
    <x v="7"/>
    <x v="16"/>
    <x v="3"/>
    <s v="LUN VIE"/>
    <m/>
    <s v="litsi.carvajal@grupomaia.com"/>
    <s v="MARCO AURELIO URBINO"/>
    <n v="43442"/>
    <n v="5088"/>
    <s v="EXTERNOS"/>
    <m/>
    <s v="SÍ"/>
    <n v="10"/>
    <n v="0.5"/>
    <n v="5"/>
    <n v="30"/>
    <n v="1.095890410958904"/>
    <n v="345.20547945205476"/>
    <n v="35"/>
    <n v="29922"/>
    <s v="10 DE MARZO"/>
    <s v="GRCIA"/>
    <n v="8499439589"/>
    <s v="LITSI1998@HOTMAIL.COM"/>
    <s v="SOLTE"/>
    <s v="CURSA"/>
    <s v="A"/>
    <d v="2022-12-02T00:00:00"/>
    <n v="9"/>
    <s v="UVM"/>
    <s v="CIENCIAS DE LA COMUNICACIÓN CON ACENTUACIÓN EN INFORMACIÓN "/>
    <s v=""/>
    <n v="81"/>
    <n v="40"/>
    <n v="2"/>
    <n v="1"/>
    <m/>
    <m/>
    <m/>
    <m/>
    <m/>
    <m/>
    <m/>
    <n v="59"/>
  </r>
  <r>
    <n v="609"/>
    <s v="Marcela Rosas Villanueva"/>
    <n v="8825"/>
    <n v="294.16666666666669"/>
    <n v="4412.5"/>
    <x v="365"/>
    <n v="2"/>
    <x v="1"/>
    <x v="32"/>
    <x v="3"/>
    <s v="LUN VIE"/>
    <m/>
    <s v="marcela.rosas@grupomaia.com"/>
    <s v="DENEB SANTIAGO ALTAIR VEGA"/>
    <n v="43408"/>
    <n v="6158.4000000000005"/>
    <s v="ANLIS COST"/>
    <m/>
    <s v="NO"/>
    <n v="10"/>
    <n v="0.5"/>
    <n v="5"/>
    <n v="30"/>
    <n v="1.095890410958904"/>
    <n v="322.3744292237443"/>
    <n v="32.68518518518519"/>
    <n v="35941"/>
    <s v="IGNACIO ALTAMIRANO"/>
    <s v="MONTY"/>
    <n v="8057563964.5"/>
    <s v="MARCELA1998@HOTMAIL.COM"/>
    <s v="SOLTE"/>
    <s v="PSNTE"/>
    <s v="A"/>
    <d v="2022-05-26T00:00:00"/>
    <n v="9"/>
    <s v="UANL"/>
    <s v="INGENIERO ADMINISTRADOR DE SISTEMAS     "/>
    <s v=""/>
    <n v="53"/>
    <n v="24"/>
    <n v="2"/>
    <n v="1"/>
    <m/>
    <m/>
    <m/>
    <m/>
    <m/>
    <m/>
    <m/>
    <n v="806"/>
  </r>
  <r>
    <n v="611"/>
    <s v="Santos Daniel Hinojosa Torres"/>
    <n v="9541"/>
    <n v="318.03333333333336"/>
    <n v="4770.5"/>
    <x v="366"/>
    <n v="2"/>
    <x v="5"/>
    <x v="14"/>
    <x v="3"/>
    <s v="LUN VIE"/>
    <m/>
    <s v="santos.hinojosa@grupomaia.com"/>
    <s v="MÉRIDA ISELA MEDINA SALINAS"/>
    <n v="43992"/>
    <n v="7600"/>
    <s v="SOLUCIONES"/>
    <m/>
    <s v="SÍ"/>
    <n v="10"/>
    <n v="0.5"/>
    <n v="5"/>
    <n v="30"/>
    <n v="1.095890410958904"/>
    <n v="348.52968036529683"/>
    <n v="35.337037037037042"/>
    <n v="29346"/>
    <s v="SARABIA"/>
    <s v="STACT"/>
    <n v="8260727105"/>
    <s v="SANTGOS1982@HOTMAIL.COM"/>
    <s v="CASDO"/>
    <s v="CURSA"/>
    <s v="A"/>
    <d v="2022-05-05T00:00:00"/>
    <n v="10"/>
    <s v="UANL"/>
    <s v="DISEÑO INDUSTRIAL"/>
    <s v=""/>
    <n v="98"/>
    <n v="42"/>
    <n v="1"/>
    <n v="1"/>
    <m/>
    <m/>
    <m/>
    <m/>
    <m/>
    <m/>
    <m/>
    <n v="814"/>
  </r>
  <r>
    <n v="613"/>
    <s v="Dorian Gamaiel Martínez Berlanga"/>
    <n v="10350"/>
    <n v="345"/>
    <n v="5175"/>
    <x v="367"/>
    <n v="2"/>
    <x v="4"/>
    <x v="27"/>
    <x v="3"/>
    <s v="LUN VIE"/>
    <m/>
    <s v="dorian.martínez@grupomaia.com"/>
    <s v="MARIANO ALDEBARÁN"/>
    <n v="44275"/>
    <n v="7209.9999999999991"/>
    <s v="ESTRUCTURA"/>
    <m/>
    <s v="NO"/>
    <n v="10"/>
    <n v="0.5"/>
    <n v="5"/>
    <n v="30"/>
    <n v="1.095890410958904"/>
    <n v="378.08219178082192"/>
    <n v="38.333333333333336"/>
    <n v="33909"/>
    <s v="MISIÓN CANTERÍAS"/>
    <s v="ESCOB"/>
    <n v="9663217485"/>
    <s v="DORIAN1212@HOTMAIL.COM"/>
    <s v="SOLTE"/>
    <s v="TITUL"/>
    <s v="C"/>
    <d v="2022-11-01T00:00:00"/>
    <m/>
    <s v="UANL"/>
    <s v="ADMINISTRACIÓN        "/>
    <s v=""/>
    <n v="71"/>
    <n v="29"/>
    <n v="1"/>
    <n v="1"/>
    <m/>
    <m/>
    <m/>
    <m/>
    <m/>
    <m/>
    <m/>
    <n v="24"/>
  </r>
  <r>
    <n v="614"/>
    <s v="Gabriela Alejadra Martinez De Leon"/>
    <n v="9450"/>
    <n v="315"/>
    <n v="4725"/>
    <x v="368"/>
    <n v="2"/>
    <x v="7"/>
    <x v="8"/>
    <x v="3"/>
    <s v="LUN VIE"/>
    <m/>
    <s v="gabriela.martinez@grupomaia.com"/>
    <s v="MARCO AURELIO URBINO"/>
    <n v="43758"/>
    <n v="6640"/>
    <s v="RELACIONES"/>
    <m/>
    <s v="SÍ"/>
    <n v="10"/>
    <n v="0.5"/>
    <n v="5"/>
    <n v="30"/>
    <n v="1.095890410958904"/>
    <n v="345.20547945205476"/>
    <n v="35"/>
    <n v="32833"/>
    <s v="RINCÓN SANTGA CECILIA"/>
    <s v="ESCOB"/>
    <n v="8357792145"/>
    <s v="GABRIELA88@HOTMAIL.COM"/>
    <s v="DIVOR"/>
    <s v="TITUL"/>
    <s v="A"/>
    <d v="2022-11-21T00:00:00"/>
    <m/>
    <s v="UANL"/>
    <s v="CIENCIAS DE LA COMUNICACIÓN CON ACENTUACIÓN EN INFORMACIÓN "/>
    <s v=""/>
    <n v="99"/>
    <n v="32"/>
    <n v="3"/>
    <n v="1"/>
    <m/>
    <m/>
    <m/>
    <m/>
    <m/>
    <m/>
    <m/>
    <n v="905"/>
  </r>
  <r>
    <n v="615"/>
    <s v="María Guadalupe Hernandez Herrera"/>
    <n v="9541"/>
    <n v="318.03333333333336"/>
    <n v="4770.5"/>
    <x v="368"/>
    <n v="2"/>
    <x v="3"/>
    <x v="19"/>
    <x v="3"/>
    <s v="LUN VIE"/>
    <m/>
    <s v="maria.hernandez@grupomaia.com"/>
    <s v="DIEGO HERRERA GIRÓN"/>
    <n v="42026"/>
    <n v="5088"/>
    <s v="CONTA"/>
    <s v="CONTROL"/>
    <s v="SÍ"/>
    <n v="10"/>
    <n v="0.5"/>
    <n v="5"/>
    <n v="30"/>
    <n v="1.095890410958904"/>
    <n v="348.52968036529683"/>
    <n v="35.337037037037042"/>
    <n v="34294"/>
    <s v="SAN JEME"/>
    <s v="GRCIA"/>
    <n v="8210251944"/>
    <s v="MARIA1973@HOTMAIL.COM"/>
    <s v="SOLTE"/>
    <s v="CURSA"/>
    <s v="A"/>
    <d v="2022-11-21T00:00:00"/>
    <n v="6"/>
    <s v="UANL"/>
    <s v="INGENIERÍA CIVIL       "/>
    <s v=""/>
    <n v="75"/>
    <n v="28"/>
    <n v="0"/>
    <n v="1"/>
    <m/>
    <m/>
    <m/>
    <m/>
    <m/>
    <m/>
    <m/>
    <n v="44"/>
  </r>
  <r>
    <n v="616"/>
    <s v="Jeidi Brisa Soto Martínez"/>
    <n v="7445"/>
    <n v="248.16666666666666"/>
    <n v="3722.5"/>
    <x v="369"/>
    <n v="2"/>
    <x v="3"/>
    <x v="20"/>
    <x v="3"/>
    <s v="LUN VIE"/>
    <m/>
    <s v="jeidi.soto@grupomaia.com"/>
    <s v="DIEGO HERRERA GIRÓN"/>
    <n v="43749"/>
    <n v="8280"/>
    <s v="AUDIT PROY"/>
    <m/>
    <s v="SÍ"/>
    <n v="10"/>
    <n v="0.5"/>
    <n v="5"/>
    <n v="30"/>
    <n v="1.095890410958904"/>
    <n v="271.96347031963467"/>
    <n v="27.574074074074073"/>
    <n v="35605"/>
    <s v="PRIVADAS DEL PASEO"/>
    <s v="APODC"/>
    <n v="8117793252"/>
    <s v="JEIDI1992@HOTMAIL.COM"/>
    <s v="SOLTE"/>
    <s v="CURSA"/>
    <s v="A"/>
    <d v="2022-06-24T00:00:00"/>
    <n v="6"/>
    <s v="UANL"/>
    <s v="INGENIERÍA CIVIL       "/>
    <s v=""/>
    <n v="89"/>
    <n v="25"/>
    <n v="2"/>
    <n v="1"/>
    <m/>
    <m/>
    <m/>
    <m/>
    <m/>
    <m/>
    <m/>
    <n v="258"/>
  </r>
  <r>
    <n v="618"/>
    <s v="Brayan Campos Hernández"/>
    <n v="7445"/>
    <n v="248.16666666666666"/>
    <n v="3722.5"/>
    <x v="370"/>
    <n v="2"/>
    <x v="7"/>
    <x v="8"/>
    <x v="3"/>
    <s v="LUN VIE"/>
    <m/>
    <s v="brayan.campos@grupomaia.com"/>
    <s v="MARCO AURELIO URBINO"/>
    <m/>
    <m/>
    <m/>
    <m/>
    <s v="SÍ"/>
    <n v="10"/>
    <n v="0.5"/>
    <n v="5"/>
    <n v="30"/>
    <n v="1.095890410958904"/>
    <n v="271.96347031963467"/>
    <n v="27.574074074074073"/>
    <n v="29649"/>
    <s v="SANTGA LUCÍA"/>
    <s v="STACT"/>
    <n v="8310474498"/>
    <s v="BRAYAN1995@HOTMAIL.COM"/>
    <s v="SOLTE"/>
    <s v="CURSA"/>
    <s v="A"/>
    <d v="2022-03-04T00:00:00"/>
    <n v="10"/>
    <s v="UANL"/>
    <s v="MULTIMEDIA Y ANIMACIÓN DIGITAL          "/>
    <s v=""/>
    <n v="92"/>
    <n v="41"/>
    <n v="3"/>
    <n v="1"/>
    <m/>
    <m/>
    <m/>
    <m/>
    <m/>
    <m/>
    <m/>
    <n v="825"/>
  </r>
  <r>
    <n v="619"/>
    <s v="Daniela Evangelista Gutierrez"/>
    <n v="6778"/>
    <n v="225.93333333333334"/>
    <n v="3389"/>
    <x v="371"/>
    <n v="2"/>
    <x v="0"/>
    <x v="17"/>
    <x v="3"/>
    <s v="LUN VIE"/>
    <m/>
    <s v="daniela.evangelista@grupomaia.com"/>
    <s v="MARIANA RODRÍGUEZ GUTIERREZ"/>
    <m/>
    <m/>
    <m/>
    <m/>
    <s v="SÍ"/>
    <n v="10"/>
    <n v="0.25"/>
    <n v="2.5"/>
    <n v="15"/>
    <n v="1.047945205479452"/>
    <n v="236.76575342465753"/>
    <n v="25.103703703703705"/>
    <n v="29715"/>
    <s v="JARDINES DEL PASEO"/>
    <s v="SNPED"/>
    <n v="7181591594"/>
    <s v="DANIELA1985@HOTMAIL.COM"/>
    <s v="SOLTE"/>
    <s v="CURSA"/>
    <s v="A"/>
    <d v="2022-05-09T00:00:00"/>
    <n v="6"/>
    <s v="UANL"/>
    <s v="NEGOCIOS INTERNACIONALES       "/>
    <s v=""/>
    <n v="75"/>
    <n v="41"/>
    <n v="1"/>
    <n v="1"/>
    <m/>
    <m/>
    <m/>
    <m/>
    <m/>
    <m/>
    <m/>
    <n v="646"/>
  </r>
  <r>
    <n v="621"/>
    <s v="Fatima Jaqueline Reyna Vazquez"/>
    <n v="9450"/>
    <n v="315"/>
    <n v="4725"/>
    <x v="372"/>
    <n v="2"/>
    <x v="3"/>
    <x v="19"/>
    <x v="3"/>
    <s v="LUN VIE"/>
    <m/>
    <s v="fatima.urbina@grupomaia.com"/>
    <s v="DIEGO HERRERA GIRÓN"/>
    <n v="44295"/>
    <n v="5211.5"/>
    <s v="DISEÑO INT"/>
    <s v="SOLUCIONES"/>
    <s v="SÍ"/>
    <n v="10"/>
    <n v="0.5"/>
    <n v="5"/>
    <n v="30"/>
    <n v="1.095890410958904"/>
    <n v="345.20547945205476"/>
    <n v="35"/>
    <n v="34088"/>
    <s v="PROVILEON SAN BERNABÉ"/>
    <s v="SNPED"/>
    <n v="8551445125"/>
    <s v="FATIMA1212@HOTMAIL.COM"/>
    <s v="SOLTE"/>
    <s v="CURSA"/>
    <s v="A"/>
    <d v="2022-04-29T00:00:00"/>
    <n v="6"/>
    <s v="UANL"/>
    <s v="INGENIERÍA CIVIL       "/>
    <s v=""/>
    <n v="93"/>
    <n v="29"/>
    <n v="1"/>
    <n v="1"/>
    <m/>
    <m/>
    <m/>
    <m/>
    <m/>
    <m/>
    <m/>
    <n v="711"/>
  </r>
  <r>
    <n v="625"/>
    <s v="José Francisco Florentino"/>
    <n v="10860"/>
    <n v="362"/>
    <n v="5430"/>
    <x v="373"/>
    <n v="2"/>
    <x v="5"/>
    <x v="28"/>
    <x v="3"/>
    <s v="LUN VIE"/>
    <m/>
    <s v="jose.francisco@grupomaia.com"/>
    <s v="MÉRIDA ISELA MEDINA SALINAS"/>
    <n v="41200"/>
    <n v="5422.4000000000005"/>
    <s v="CONTA"/>
    <s v="FACTURAS"/>
    <s v="SÍ"/>
    <n v="10"/>
    <n v="0.5"/>
    <n v="5"/>
    <n v="30"/>
    <n v="1.095890410958904"/>
    <n v="396.71232876712327"/>
    <n v="40.222222222222221"/>
    <n v="25738"/>
    <s v="TERMINAL"/>
    <s v="STACT"/>
    <n v="7246545120"/>
    <s v="JOSE1989@HOTMAIL.COM"/>
    <s v="SOLTE"/>
    <s v="TITUL"/>
    <s v="B"/>
    <d v="2022-06-19T00:00:00"/>
    <m/>
    <s v="UANL"/>
    <s v="ARQUITECTURA        "/>
    <s v=""/>
    <n v="39"/>
    <n v="52"/>
    <n v="2"/>
    <n v="1"/>
    <m/>
    <m/>
    <m/>
    <m/>
    <m/>
    <m/>
    <m/>
    <n v="614"/>
  </r>
  <r>
    <n v="626"/>
    <s v="Erika Beatriz Rodriguez Arista"/>
    <n v="27150"/>
    <n v="905"/>
    <n v="13575"/>
    <x v="374"/>
    <n v="2"/>
    <x v="3"/>
    <x v="20"/>
    <x v="1"/>
    <s v="LUN VIE"/>
    <n v="1020"/>
    <s v="erika.rodriguez@grupomaia.com"/>
    <s v="DIEGO HERRERA GIRÓN"/>
    <n v="44504"/>
    <n v="20880"/>
    <s v="FACTURAS"/>
    <s v="AUDIT PROY"/>
    <s v="SÍ"/>
    <n v="10"/>
    <n v="0.5"/>
    <n v="5"/>
    <n v="30"/>
    <n v="1.095890410958904"/>
    <n v="991.78082191780811"/>
    <n v="100.55555555555556"/>
    <n v="33046"/>
    <s v="MITRA DORADA"/>
    <s v="GRCIA"/>
    <n v="8660989971"/>
    <s v="ERIKA1414@HOTMAIL.COM"/>
    <s v="SOLTE"/>
    <s v="TITUL"/>
    <s v="A"/>
    <d v="2022-06-22T00:00:00"/>
    <m/>
    <s v="UANL"/>
    <s v="INGENIERÍA CIVIL       "/>
    <s v=""/>
    <n v="80"/>
    <n v="32"/>
    <n v="1"/>
    <n v="1"/>
    <m/>
    <m/>
    <m/>
    <m/>
    <m/>
    <m/>
    <m/>
    <n v="366"/>
  </r>
  <r>
    <n v="628"/>
    <s v="Felipa Hernandez Castro"/>
    <n v="9541"/>
    <n v="318.03333333333336"/>
    <n v="4770.5"/>
    <x v="375"/>
    <n v="2"/>
    <x v="5"/>
    <x v="14"/>
    <x v="3"/>
    <s v="LUN VIE"/>
    <m/>
    <s v="felipa.hernandez@grupomaia.com"/>
    <s v="MÉRIDA ISELA MEDINA SALINAS"/>
    <n v="42062"/>
    <n v="5956"/>
    <s v="CONTROL"/>
    <s v="NÓMINAS"/>
    <s v="SÍ"/>
    <n v="10"/>
    <n v="0.5"/>
    <n v="5"/>
    <n v="30"/>
    <n v="1.095890410958904"/>
    <n v="348.52968036529683"/>
    <n v="35.337037037037042"/>
    <n v="32031"/>
    <s v="U C MARTÍNEZ"/>
    <s v="SNPED"/>
    <n v="8197210755"/>
    <s v="FELIPA1975@HOTMAIL.COM"/>
    <s v="SOLTE"/>
    <s v="CURSA"/>
    <s v="A"/>
    <d v="2022-09-11T00:00:00"/>
    <n v="7"/>
    <s v="UDLAP"/>
    <s v="ARQUITECTURA        "/>
    <s v=""/>
    <n v="51"/>
    <n v="34"/>
    <n v="1"/>
    <n v="1"/>
    <m/>
    <m/>
    <m/>
    <m/>
    <m/>
    <m/>
    <m/>
    <n v="53"/>
  </r>
  <r>
    <n v="629"/>
    <s v="Monserrat Montoya Nájera"/>
    <n v="9450"/>
    <n v="315"/>
    <n v="4725"/>
    <x v="376"/>
    <n v="2"/>
    <x v="7"/>
    <x v="18"/>
    <x v="3"/>
    <s v="LUN VIE"/>
    <m/>
    <s v="monserrat.montoya@grupomaia.com"/>
    <s v="MARCO AURELIO URBINO"/>
    <m/>
    <m/>
    <m/>
    <m/>
    <s v="SÍ"/>
    <n v="10"/>
    <n v="0.5"/>
    <n v="5"/>
    <n v="30"/>
    <n v="1.095890410958904"/>
    <n v="345.20547945205476"/>
    <n v="35"/>
    <n v="34945"/>
    <s v="VALLE SANTGA CECILIA"/>
    <s v="STACT"/>
    <n v="8112592975"/>
    <s v="MONSERRAT66@HOTMAIL.COM"/>
    <s v="CASDO"/>
    <s v="PSNTE"/>
    <s v="A"/>
    <d v="2022-09-03T00:00:00"/>
    <m/>
    <s v="UANL"/>
    <s v="ADMINISTRACIÓN        "/>
    <s v=""/>
    <n v="43"/>
    <n v="26"/>
    <n v="3"/>
    <n v="1"/>
    <m/>
    <m/>
    <m/>
    <m/>
    <m/>
    <m/>
    <m/>
    <n v="909"/>
  </r>
  <r>
    <n v="631"/>
    <s v="Ricardo Reyes Sayago"/>
    <n v="6778"/>
    <n v="225.93333333333334"/>
    <n v="3389"/>
    <x v="377"/>
    <n v="2"/>
    <x v="3"/>
    <x v="21"/>
    <x v="3"/>
    <s v="LUN VIE"/>
    <m/>
    <s v="ricardo.reyes@grupomaia.com"/>
    <s v="DIEGO HERRERA GIRÓN"/>
    <m/>
    <m/>
    <m/>
    <m/>
    <s v="SÍ"/>
    <n v="10"/>
    <n v="0.25"/>
    <n v="2.5"/>
    <n v="15"/>
    <n v="1.047945205479452"/>
    <n v="236.76575342465753"/>
    <n v="25.103703703703705"/>
    <n v="28108"/>
    <s v="LADERAS DEL TOPO CHICO (F-23)"/>
    <s v="SANTG"/>
    <n v="8205338018"/>
    <s v="RICARDO1997@HOTMAIL.COM"/>
    <s v="SOLTE"/>
    <s v="CURSA"/>
    <s v="A"/>
    <d v="2022-12-14T00:00:00"/>
    <n v="10"/>
    <s v="UANL"/>
    <s v="INGENIERÍA CIVIL       "/>
    <s v=""/>
    <n v="74"/>
    <n v="45"/>
    <n v="3"/>
    <n v="1"/>
    <m/>
    <m/>
    <m/>
    <m/>
    <m/>
    <m/>
    <m/>
    <n v="960"/>
  </r>
  <r>
    <n v="632"/>
    <s v="Karla Alejandra Ortiz Hernandez"/>
    <n v="9450"/>
    <n v="315"/>
    <n v="4725"/>
    <x v="378"/>
    <n v="2"/>
    <x v="5"/>
    <x v="28"/>
    <x v="3"/>
    <s v="LUN VIE"/>
    <m/>
    <s v="karla.ortiz@grupomaia.com"/>
    <s v="MÉRIDA ISELA MEDINA SALINAS"/>
    <m/>
    <m/>
    <m/>
    <m/>
    <s v="SÍ"/>
    <n v="10"/>
    <n v="0.5"/>
    <n v="5"/>
    <n v="30"/>
    <n v="1.095890410958904"/>
    <n v="345.20547945205476"/>
    <n v="35"/>
    <n v="33070"/>
    <s v="MORELOS"/>
    <s v="ESCOB"/>
    <n v="8825135014"/>
    <s v="KARLA66@HOTMAIL.COM"/>
    <s v="SOLTE"/>
    <s v="TITUL"/>
    <s v="A"/>
    <d v="2022-07-16T00:00:00"/>
    <m/>
    <s v="TECMIL"/>
    <s v="ARQUITECTURA        "/>
    <s v=""/>
    <n v="67"/>
    <n v="31"/>
    <n v="2"/>
    <n v="1"/>
    <m/>
    <m/>
    <m/>
    <m/>
    <m/>
    <m/>
    <m/>
    <n v="366"/>
  </r>
  <r>
    <n v="634"/>
    <s v="Dulce Elizabeth Santos Martínez"/>
    <n v="7445"/>
    <n v="248.16666666666666"/>
    <n v="3722.5"/>
    <x v="379"/>
    <n v="2"/>
    <x v="7"/>
    <x v="8"/>
    <x v="3"/>
    <s v="LUN VIE"/>
    <m/>
    <s v="dulce.santos@grupomaia.com"/>
    <s v="MARCO AURELIO URBINO"/>
    <m/>
    <m/>
    <m/>
    <m/>
    <s v="SÍ"/>
    <n v="10"/>
    <n v="0.5"/>
    <n v="5"/>
    <n v="30"/>
    <n v="1.095890410958904"/>
    <n v="271.96347031963467"/>
    <n v="27.574074074074073"/>
    <n v="30318"/>
    <s v="DEL NORTE"/>
    <s v="SNPED"/>
    <n v="8234306266"/>
    <s v="DULCE1995@HOTMAIL.COM"/>
    <s v="CASDO"/>
    <s v="CURSA"/>
    <s v="B"/>
    <d v="2022-01-02T00:00:00"/>
    <n v="9"/>
    <s v="UNEZ"/>
    <s v="EDUCACIÓN        "/>
    <s v=""/>
    <n v="45"/>
    <n v="39"/>
    <n v="3"/>
    <n v="1"/>
    <m/>
    <m/>
    <m/>
    <m/>
    <m/>
    <m/>
    <m/>
    <n v="879"/>
  </r>
  <r>
    <n v="635"/>
    <s v="Ana Karen Farias Castillo"/>
    <n v="9450"/>
    <n v="315"/>
    <n v="4725"/>
    <x v="380"/>
    <n v="2"/>
    <x v="1"/>
    <x v="32"/>
    <x v="3"/>
    <s v="LUN VIE"/>
    <m/>
    <s v="ana.farias@grupomaia.com"/>
    <s v="DENEB SANTIAGO ALTAIR VEGA"/>
    <n v="43226"/>
    <n v="5200"/>
    <s v="FACTURAS"/>
    <s v="COMPRAS"/>
    <s v="NO"/>
    <n v="10"/>
    <n v="0.5"/>
    <n v="5"/>
    <n v="30"/>
    <n v="1.095890410958904"/>
    <n v="345.20547945205476"/>
    <n v="35"/>
    <n v="29431"/>
    <s v="MARTÍNEZ"/>
    <s v="MONTY"/>
    <n v="5598996351"/>
    <s v="ANA1414@HOTMAIL.COM"/>
    <s v="SOLTE"/>
    <s v="CURSA"/>
    <s v="A"/>
    <d v="2022-07-29T00:00:00"/>
    <n v="6"/>
    <s v="UNEZ"/>
    <s v="INGENIERO ADMINISTRADOR DE SISTEMAS     "/>
    <s v=""/>
    <n v="49"/>
    <n v="41"/>
    <n v="0"/>
    <n v="1"/>
    <m/>
    <m/>
    <m/>
    <m/>
    <m/>
    <m/>
    <m/>
    <n v="320"/>
  </r>
  <r>
    <n v="636"/>
    <s v="Delsy Yarlet Esparza Cedillo"/>
    <n v="9541"/>
    <n v="318.03333333333336"/>
    <n v="4770.5"/>
    <x v="381"/>
    <n v="2"/>
    <x v="8"/>
    <x v="11"/>
    <x v="3"/>
    <s v="LUN VIE"/>
    <m/>
    <s v="delsy.esparza@grupomaia.com"/>
    <s v="EMMA DARIELA GARCÍA LORCA"/>
    <n v="42590"/>
    <n v="5200"/>
    <s v="AUDIT PROY"/>
    <m/>
    <s v="SÍ"/>
    <n v="10"/>
    <n v="0.5"/>
    <n v="5"/>
    <n v="30"/>
    <n v="1.095890410958904"/>
    <n v="348.52968036529683"/>
    <n v="35.337037037037042"/>
    <n v="31788"/>
    <s v="LAS FLORES"/>
    <s v="ESCOB"/>
    <n v="8457874650"/>
    <s v="DELSY1986@HOTMAIL.COM"/>
    <s v="CASDO"/>
    <s v="TITUL"/>
    <s v="A"/>
    <d v="2022-01-11T00:00:00"/>
    <m/>
    <s v="UANL"/>
    <s v="CONTADOR PÚBLICO       "/>
    <s v=""/>
    <n v="46"/>
    <n v="35"/>
    <n v="2"/>
    <n v="1"/>
    <m/>
    <m/>
    <m/>
    <m/>
    <m/>
    <m/>
    <m/>
    <n v="453"/>
  </r>
  <r>
    <n v="638"/>
    <s v="Magdalena Leon Peña"/>
    <n v="7445"/>
    <n v="248.16666666666666"/>
    <n v="3722.5"/>
    <x v="382"/>
    <n v="2"/>
    <x v="0"/>
    <x v="26"/>
    <x v="3"/>
    <s v="LUN VIE"/>
    <m/>
    <s v="magdalena.leon@grupomaia.com"/>
    <s v="MARIANA RODRÍGUEZ GUTIERREZ"/>
    <m/>
    <m/>
    <m/>
    <m/>
    <s v="SÍ"/>
    <n v="10"/>
    <n v="0.25"/>
    <n v="2.5"/>
    <n v="15"/>
    <n v="1.047945205479452"/>
    <n v="260.06506849315065"/>
    <n v="27.574074074074073"/>
    <n v="29496"/>
    <s v="SAN BERNABÉ XII (F-115)"/>
    <s v="SNPED"/>
    <n v="8978651352"/>
    <s v="MAGDALENA1994@HOTMAIL.COM"/>
    <s v="SOLTE"/>
    <s v="TITUL"/>
    <s v="A"/>
    <d v="2022-10-02T00:00:00"/>
    <m/>
    <s v="UANL"/>
    <s v="MULTIMEDIA Y ANIMACIÓN DIGITAL          "/>
    <s v=""/>
    <n v="85"/>
    <n v="41"/>
    <n v="0"/>
    <n v="1"/>
    <m/>
    <m/>
    <m/>
    <m/>
    <m/>
    <m/>
    <m/>
    <n v="724"/>
  </r>
  <r>
    <n v="639"/>
    <s v="Esthefanía Ramírez Ocampo"/>
    <n v="7445"/>
    <n v="248.16666666666666"/>
    <n v="3722.5"/>
    <x v="383"/>
    <n v="2"/>
    <x v="7"/>
    <x v="16"/>
    <x v="3"/>
    <s v="LUN VIE"/>
    <m/>
    <s v="esthefanía.ramírez@grupomaia.com"/>
    <s v="MARCO AURELIO URBINO"/>
    <m/>
    <m/>
    <m/>
    <m/>
    <s v="SÍ"/>
    <n v="10"/>
    <n v="0.5"/>
    <n v="5"/>
    <n v="30"/>
    <n v="1.095890410958904"/>
    <n v="271.96347031963467"/>
    <n v="27.574074074074073"/>
    <n v="30841"/>
    <s v="FIDEL VELÁZQUEZ (SNAT)"/>
    <s v="MONTY"/>
    <n v="8235586504"/>
    <s v="ESTHEFANÍA66@HOTMAIL.COM"/>
    <s v="SOLTE"/>
    <s v="CURSA"/>
    <s v="A"/>
    <d v="2022-06-08T00:00:00"/>
    <n v="7"/>
    <s v="UANL"/>
    <s v="NEGOCIOS INTERNACIONALES       "/>
    <s v=""/>
    <n v="91"/>
    <n v="38"/>
    <n v="3"/>
    <n v="1"/>
    <m/>
    <m/>
    <m/>
    <m/>
    <m/>
    <m/>
    <m/>
    <n v="285"/>
  </r>
  <r>
    <n v="642"/>
    <s v="Omar Trevino Padilla"/>
    <n v="7445"/>
    <n v="248.16666666666666"/>
    <n v="3722.5"/>
    <x v="384"/>
    <n v="2"/>
    <x v="0"/>
    <x v="26"/>
    <x v="3"/>
    <s v="LUN VIE"/>
    <m/>
    <s v="omar.trevino@grupomaia.com"/>
    <s v="MARIANA RODRÍGUEZ GUTIERREZ"/>
    <m/>
    <m/>
    <m/>
    <m/>
    <s v="NO"/>
    <n v="10"/>
    <n v="0.5"/>
    <n v="5"/>
    <n v="30"/>
    <n v="1.095890410958904"/>
    <n v="271.96347031963467"/>
    <n v="27.574074074074073"/>
    <n v="31577"/>
    <s v="LOMAS DE SATÉLITE"/>
    <s v="ESCOB"/>
    <n v="8093962961"/>
    <s v="OMAR1998@HOTMAIL.COM"/>
    <s v="CASDO"/>
    <s v="MAEST"/>
    <s v="A"/>
    <d v="2022-06-14T00:00:00"/>
    <m/>
    <s v="UVM"/>
    <s v="FÍSICA        "/>
    <s v="DISEÑO INDUSTRIAL       "/>
    <n v="45"/>
    <n v="36"/>
    <n v="3"/>
    <n v="1"/>
    <m/>
    <m/>
    <m/>
    <m/>
    <m/>
    <m/>
    <m/>
    <n v="523"/>
  </r>
  <r>
    <n v="643"/>
    <s v="Arlet Samadhi Reyes Ochoa"/>
    <n v="7445"/>
    <n v="248.16666666666666"/>
    <n v="3722.5"/>
    <x v="385"/>
    <n v="2"/>
    <x v="0"/>
    <x v="17"/>
    <x v="3"/>
    <s v="LUN VIE"/>
    <m/>
    <s v="arlet.reyes@grupomaia.com"/>
    <s v="MARIANA RODRÍGUEZ GUTIERREZ"/>
    <m/>
    <m/>
    <m/>
    <m/>
    <s v="SÍ"/>
    <n v="10"/>
    <n v="0.5"/>
    <n v="5"/>
    <n v="30"/>
    <n v="1.095890410958904"/>
    <n v="271.96347031963467"/>
    <n v="27.574074074074073"/>
    <n v="29491"/>
    <s v="RESIDENCIAL SAN JERÓNIMO II"/>
    <s v="SNICO"/>
    <n v="8388710356"/>
    <s v="ARLET88@HOTMAIL.COM"/>
    <s v="CASDO"/>
    <s v="CURSA"/>
    <s v="A"/>
    <d v="2022-09-27T00:00:00"/>
    <n v="10"/>
    <s v="UANL"/>
    <s v="CONTADOR PÚBLICO       "/>
    <s v=""/>
    <n v="59"/>
    <n v="41"/>
    <n v="3"/>
    <n v="1"/>
    <m/>
    <m/>
    <m/>
    <m/>
    <m/>
    <m/>
    <m/>
    <n v="290"/>
  </r>
  <r>
    <n v="644"/>
    <s v="Nanci Zavala Perez"/>
    <n v="9541"/>
    <n v="318.03333333333336"/>
    <n v="4770.5"/>
    <x v="386"/>
    <n v="2"/>
    <x v="3"/>
    <x v="19"/>
    <x v="3"/>
    <s v="LUN VIE"/>
    <m/>
    <s v="nanci.zavala@grupomaia.com"/>
    <s v="DIEGO HERRERA GIRÓN"/>
    <n v="42546"/>
    <n v="14160"/>
    <s v="ANLIS COST"/>
    <s v="RELACIONES"/>
    <s v="SÍ"/>
    <n v="10"/>
    <n v="0.5"/>
    <n v="5"/>
    <n v="30"/>
    <n v="1.095890410958904"/>
    <n v="348.52968036529683"/>
    <n v="35.337037037037042"/>
    <n v="34756"/>
    <s v="REFORMA"/>
    <s v="STACT"/>
    <n v="8196736645"/>
    <s v="NANCI1998@HOTMAIL.COM"/>
    <s v="SOLTE"/>
    <s v="TITUL"/>
    <s v="A"/>
    <d v="2022-02-26T00:00:00"/>
    <m/>
    <s v="UANL"/>
    <s v="INGENIERÍA CIVIL       "/>
    <s v=""/>
    <n v="30"/>
    <n v="27"/>
    <n v="1"/>
    <n v="1"/>
    <m/>
    <m/>
    <m/>
    <m/>
    <m/>
    <m/>
    <m/>
    <n v="733"/>
  </r>
  <r>
    <n v="647"/>
    <s v="Carlos Jimenez Martinez"/>
    <n v="10860"/>
    <n v="362"/>
    <n v="5430"/>
    <x v="387"/>
    <n v="2"/>
    <x v="5"/>
    <x v="28"/>
    <x v="3"/>
    <s v="LUN VIE"/>
    <m/>
    <s v="carlos.jimenez@grupomaia.com"/>
    <s v="MÉRIDA ISELA MEDINA SALINAS"/>
    <n v="43722"/>
    <n v="9760"/>
    <s v="INST CAMPO"/>
    <m/>
    <s v="SÍ"/>
    <n v="10"/>
    <n v="0.5"/>
    <n v="5"/>
    <n v="30"/>
    <n v="1.095890410958904"/>
    <n v="396.71232876712327"/>
    <n v="40.222222222222221"/>
    <n v="28025"/>
    <s v="LOMAS MEDEROS"/>
    <s v="STACT"/>
    <n v="7865321875"/>
    <s v="CARLOS1994@HOTMAIL.COM"/>
    <s v="SOLTE"/>
    <s v="CURSA"/>
    <s v="B"/>
    <d v="2022-09-22T00:00:00"/>
    <n v="6"/>
    <s v="TEC"/>
    <s v="ARQUITECTURA        "/>
    <s v=""/>
    <n v="56"/>
    <n v="45"/>
    <n v="1"/>
    <n v="1"/>
    <m/>
    <m/>
    <m/>
    <m/>
    <m/>
    <m/>
    <m/>
    <n v="92"/>
  </r>
  <r>
    <n v="648"/>
    <s v="Ana Victoria Fernandez Chavez"/>
    <n v="9450"/>
    <n v="315"/>
    <n v="4725"/>
    <x v="388"/>
    <n v="2"/>
    <x v="3"/>
    <x v="21"/>
    <x v="3"/>
    <s v="LUN VIE"/>
    <m/>
    <s v="ana.fernandez@grupomaia.com"/>
    <s v="DIEGO HERRERA GIRÓN"/>
    <n v="42708"/>
    <n v="5422.4000000000005"/>
    <s v="ARQUITECT"/>
    <m/>
    <s v="SÍ"/>
    <n v="10"/>
    <n v="0.5"/>
    <n v="5"/>
    <n v="30"/>
    <n v="1.095890410958904"/>
    <n v="345.20547945205476"/>
    <n v="35"/>
    <n v="35750"/>
    <s v="LOS CRISTALES"/>
    <s v="GRCIA"/>
    <n v="8726034355"/>
    <s v="ANA1414@HOTMAIL.COM"/>
    <s v="SOLTE"/>
    <s v="CURSA"/>
    <s v="A"/>
    <d v="2022-11-16T00:00:00"/>
    <n v="6"/>
    <s v="UANL"/>
    <s v="INGENIERÍA CIVIL       "/>
    <s v=""/>
    <n v="75"/>
    <n v="24"/>
    <n v="0"/>
    <n v="1"/>
    <m/>
    <m/>
    <m/>
    <m/>
    <m/>
    <m/>
    <m/>
    <n v="501"/>
  </r>
  <r>
    <n v="649"/>
    <s v="Mayra Castañeda Guerrero"/>
    <n v="6778"/>
    <n v="225.93333333333334"/>
    <n v="3389"/>
    <x v="389"/>
    <n v="2"/>
    <x v="0"/>
    <x v="17"/>
    <x v="3"/>
    <s v="LUN VIE"/>
    <m/>
    <s v="mayra.castañeda@grupomaia.com"/>
    <s v="MARIANA RODRÍGUEZ GUTIERREZ"/>
    <m/>
    <m/>
    <m/>
    <m/>
    <s v="SÍ"/>
    <n v="10"/>
    <n v="0.25"/>
    <n v="2.5"/>
    <n v="15"/>
    <n v="1.047945205479452"/>
    <n v="236.76575342465753"/>
    <n v="25.103703703703705"/>
    <n v="34744"/>
    <s v="SAN PABLO"/>
    <s v="SNICO"/>
    <n v="9945781236"/>
    <s v="MAY.CASTA@HOTMAIL.COM"/>
    <s v="DIVOR"/>
    <s v="TITUL"/>
    <s v="B"/>
    <d v="2022-02-14T00:00:00"/>
    <n v="0"/>
    <s v="UDG"/>
    <s v="AUDITORÍA"/>
    <n v="0"/>
    <n v="95"/>
    <n v="27"/>
    <n v="3"/>
    <n v="1"/>
    <m/>
    <m/>
    <m/>
    <m/>
    <m/>
    <m/>
    <m/>
    <n v="924"/>
  </r>
  <r>
    <n v="650"/>
    <s v="Lilia Janice Estrada Esparza"/>
    <n v="9541"/>
    <n v="318.03333333333336"/>
    <n v="4770.5"/>
    <x v="390"/>
    <n v="2"/>
    <x v="7"/>
    <x v="8"/>
    <x v="3"/>
    <s v="LUN VIE"/>
    <m/>
    <s v="lilia.estrada@grupomaia.com"/>
    <s v="MARCO AURELIO URBINO"/>
    <n v="43319"/>
    <n v="3888"/>
    <s v="CONTROL"/>
    <m/>
    <s v="SÍ"/>
    <n v="10"/>
    <n v="0.5"/>
    <n v="5"/>
    <n v="30"/>
    <n v="1.095890410958904"/>
    <n v="348.52968036529683"/>
    <n v="35.337037037037042"/>
    <n v="31724"/>
    <s v="LOS FRESNOS"/>
    <s v="SNPED"/>
    <n v="8811348610"/>
    <s v="LILIA1414@HOTMAIL.COM"/>
    <s v="CASDO"/>
    <s v="CURSA"/>
    <s v="A"/>
    <d v="2022-11-08T00:00:00"/>
    <n v="8"/>
    <s v="UANL"/>
    <s v="ADMINISTRACIÓN        "/>
    <s v=""/>
    <n v="34"/>
    <n v="35"/>
    <n v="0"/>
    <n v="1"/>
    <m/>
    <m/>
    <m/>
    <m/>
    <m/>
    <m/>
    <m/>
    <n v="489"/>
  </r>
  <r>
    <n v="651"/>
    <s v="Eden Francisco Ortega Rodriguez"/>
    <n v="10860"/>
    <n v="362"/>
    <n v="5430"/>
    <x v="391"/>
    <n v="2"/>
    <x v="0"/>
    <x v="17"/>
    <x v="3"/>
    <s v="LUN VIE"/>
    <m/>
    <s v="eden.ortega@grupomaia.com"/>
    <s v="MARIANA RODRÍGUEZ GUTIERREZ"/>
    <n v="40760"/>
    <n v="5422.4000000000005"/>
    <s v="CONTROL"/>
    <s v="ARQUITECT"/>
    <s v="SÍ"/>
    <n v="10"/>
    <n v="0.5"/>
    <n v="5"/>
    <n v="30"/>
    <n v="1.095890410958904"/>
    <n v="396.71232876712327"/>
    <n v="40.222222222222221"/>
    <n v="31379"/>
    <s v="COLINAS DE VALLE VERDE"/>
    <s v="MONTY"/>
    <n v="5434641798"/>
    <s v="EDEN1988@HOTMAIL.COM"/>
    <s v="SOLTE"/>
    <s v="CURSA"/>
    <s v="A"/>
    <d v="2022-11-28T00:00:00"/>
    <n v="6"/>
    <s v="UANL"/>
    <s v="ADMINISTRACIÓN        "/>
    <s v=""/>
    <n v="82"/>
    <n v="36"/>
    <n v="1"/>
    <n v="1"/>
    <m/>
    <m/>
    <m/>
    <m/>
    <m/>
    <m/>
    <m/>
    <n v="329"/>
  </r>
  <r>
    <n v="652"/>
    <s v="Tatiana Lara Sánchez"/>
    <n v="8825"/>
    <n v="294.16666666666669"/>
    <n v="4412.5"/>
    <x v="391"/>
    <n v="2"/>
    <x v="3"/>
    <x v="19"/>
    <x v="3"/>
    <s v="LUN VIE"/>
    <m/>
    <s v="tatiana.lara@grupomaia.com"/>
    <s v="DIEGO HERRERA GIRÓN"/>
    <n v="43573"/>
    <n v="6240"/>
    <s v="FACTURAS"/>
    <m/>
    <s v="SÍ"/>
    <n v="10"/>
    <n v="0.5"/>
    <n v="5"/>
    <n v="30"/>
    <n v="1.095890410958904"/>
    <n v="322.3744292237443"/>
    <n v="32.68518518518519"/>
    <n v="31281"/>
    <s v="CORTIJO DEL RÍO SECTOR LA SILLA"/>
    <s v="APODC"/>
    <n v="8980247894"/>
    <s v="TATIANA1010@HOTMAIL.COM"/>
    <s v="SOLTE"/>
    <s v="TITUL"/>
    <s v="C"/>
    <d v="2022-08-22T00:00:00"/>
    <m/>
    <s v="TECMIL"/>
    <s v="INGENIERO EN MATERIALES      "/>
    <s v=""/>
    <n v="51"/>
    <n v="36"/>
    <n v="1"/>
    <n v="1"/>
    <m/>
    <m/>
    <m/>
    <m/>
    <m/>
    <m/>
    <m/>
    <n v="735"/>
  </r>
  <r>
    <n v="653"/>
    <s v="Erika Alicia Ortiz Castro"/>
    <n v="8825"/>
    <n v="294.16666666666669"/>
    <n v="4412.5"/>
    <x v="392"/>
    <n v="2"/>
    <x v="5"/>
    <x v="14"/>
    <x v="3"/>
    <s v="LUN VIE"/>
    <m/>
    <s v="erika.ortiz@grupomaia.com"/>
    <s v="MÉRIDA ISELA MEDINA SALINAS"/>
    <m/>
    <m/>
    <m/>
    <m/>
    <s v="SÍ"/>
    <n v="10"/>
    <n v="0.5"/>
    <n v="5"/>
    <n v="30"/>
    <n v="1.095890410958904"/>
    <n v="322.3744292237443"/>
    <n v="32.68518518518519"/>
    <n v="32445"/>
    <s v="LOMAS DE LA UNIDAD MODELO"/>
    <s v="GRCIA"/>
    <n v="4318074576"/>
    <s v="ERIKA1987@HOTMAIL.COM"/>
    <s v="DIVOR"/>
    <s v="PREPA"/>
    <s v="A"/>
    <d v="2022-10-29T00:00:00"/>
    <m/>
    <s v="UDG"/>
    <s v="ARQUITECTURA        "/>
    <s v=""/>
    <n v="61"/>
    <n v="33"/>
    <n v="2"/>
    <n v="1"/>
    <m/>
    <m/>
    <m/>
    <m/>
    <m/>
    <m/>
    <m/>
    <n v="388"/>
  </r>
  <r>
    <n v="654"/>
    <s v="Estefani  Gonzalez Carranza"/>
    <n v="7445"/>
    <n v="248.16666666666666"/>
    <n v="3722.5"/>
    <x v="393"/>
    <n v="2"/>
    <x v="5"/>
    <x v="14"/>
    <x v="3"/>
    <s v="LUN VIE"/>
    <m/>
    <s v="estefani.gonzalez@grupomaia.com"/>
    <s v="MÉRIDA ISELA MEDINA SALINAS"/>
    <n v="44356"/>
    <e v="#REF!"/>
    <s v="AUDIT PROY"/>
    <m/>
    <s v="SÍ"/>
    <n v="10"/>
    <n v="0.5"/>
    <n v="5"/>
    <n v="30"/>
    <n v="1.095890410958904"/>
    <n v="271.96347031963467"/>
    <n v="27.574074074074073"/>
    <n v="34835"/>
    <s v="COLINAS DE SAN JERÓNIMO SECTOR PANORAMA 2 SECTOR"/>
    <s v="STACT"/>
    <n v="8580949341"/>
    <s v="ESTEFANI66@HOTMAIL.COM"/>
    <s v="SOLTE"/>
    <s v="PSNTE"/>
    <s v="A"/>
    <d v="2022-05-16T00:00:00"/>
    <m/>
    <s v="UNEZ"/>
    <s v="ARQUITECTURA        "/>
    <s v=""/>
    <n v="92"/>
    <n v="27"/>
    <n v="1"/>
    <n v="1"/>
    <m/>
    <m/>
    <m/>
    <m/>
    <m/>
    <m/>
    <m/>
    <n v="873"/>
  </r>
  <r>
    <n v="657"/>
    <s v="José Gilberto Hernández López"/>
    <n v="7445"/>
    <n v="248.16666666666666"/>
    <n v="3722.5"/>
    <x v="394"/>
    <n v="2"/>
    <x v="0"/>
    <x v="24"/>
    <x v="3"/>
    <s v="LUN VIE"/>
    <m/>
    <s v="josé.hernández@grupomaia.com"/>
    <s v="MARIANA RODRÍGUEZ GUTIERREZ"/>
    <n v="43793"/>
    <n v="5088"/>
    <s v="ANLIS COST"/>
    <m/>
    <s v="SÍ"/>
    <n v="10"/>
    <n v="0.5"/>
    <n v="5"/>
    <n v="30"/>
    <n v="1.095890410958904"/>
    <n v="271.96347031963467"/>
    <n v="27.574074074074073"/>
    <n v="32304"/>
    <s v="SAN FRANCISCO DE ASÍS"/>
    <s v="SNICO"/>
    <n v="8398421659"/>
    <s v="JOSÉ1985@HOTMAIL.COM"/>
    <s v="SOLTE"/>
    <s v="CURSA"/>
    <s v="B"/>
    <d v="2022-06-10T00:00:00"/>
    <n v="7"/>
    <s v="UANL"/>
    <s v="BIBLIOTECOLOGÍA Y CIENCIA DE LA INFORMACIÓN   "/>
    <s v=""/>
    <n v="60"/>
    <n v="34"/>
    <n v="1"/>
    <n v="1"/>
    <m/>
    <m/>
    <m/>
    <m/>
    <m/>
    <m/>
    <m/>
    <n v="294"/>
  </r>
  <r>
    <n v="658"/>
    <s v="Albino Rivera Carranza"/>
    <n v="7445"/>
    <n v="248.16666666666666"/>
    <n v="3722.5"/>
    <x v="395"/>
    <n v="2"/>
    <x v="0"/>
    <x v="26"/>
    <x v="3"/>
    <s v="LUN VIE"/>
    <m/>
    <s v="albino.rivera@grupomaia.com"/>
    <s v="MARIANA RODRÍGUEZ GUTIERREZ"/>
    <n v="43999"/>
    <n v="5422.4000000000005"/>
    <s v="SOLUCIONES"/>
    <m/>
    <s v="NO"/>
    <n v="10"/>
    <n v="0.5"/>
    <n v="5"/>
    <n v="30"/>
    <n v="1.095890410958904"/>
    <n v="271.96347031963467"/>
    <n v="27.574074074074073"/>
    <n v="32618"/>
    <s v="LOMAS MEDEROS"/>
    <s v="MONTY"/>
    <n v="7181789792"/>
    <s v="ALBINO1977@HOTMAIL.COM"/>
    <s v="SOLTE"/>
    <s v="TITUL"/>
    <s v="C"/>
    <d v="2022-04-20T00:00:00"/>
    <m/>
    <s v="UANL"/>
    <s v="ADMINISTRACIÓN        "/>
    <s v=""/>
    <n v="62"/>
    <n v="33"/>
    <n v="1"/>
    <n v="1"/>
    <m/>
    <m/>
    <m/>
    <m/>
    <m/>
    <m/>
    <m/>
    <n v="787"/>
  </r>
  <r>
    <n v="659"/>
    <s v="Yamin Cardenas Martines"/>
    <n v="9541"/>
    <n v="318.03333333333336"/>
    <n v="4770.5"/>
    <x v="395"/>
    <n v="2"/>
    <x v="3"/>
    <x v="21"/>
    <x v="3"/>
    <s v="LUN VIE"/>
    <m/>
    <s v="yamin.cardenas@grupomaia.com"/>
    <s v="DIEGO HERRERA GIRÓN"/>
    <n v="42957"/>
    <n v="7560"/>
    <s v="ANLIS COST"/>
    <s v="ANLIS COST"/>
    <s v="SÍ"/>
    <n v="10"/>
    <n v="0.5"/>
    <n v="5"/>
    <n v="30"/>
    <n v="1.095890410958904"/>
    <n v="348.52968036529683"/>
    <n v="35.337037037037042"/>
    <n v="33330"/>
    <s v="SANTGA FE"/>
    <s v="ESCOB"/>
    <n v="2099977119"/>
    <s v="YAMIN1982@HOTMAIL.COM"/>
    <s v="CASDO"/>
    <s v="MAEST"/>
    <s v="A"/>
    <d v="2022-04-02T00:00:00"/>
    <m/>
    <s v="UDLAP"/>
    <s v="INGENIERO EN MATERIALES      "/>
    <s v="INGENIERO INDUSTRIAL ADMINISTRADOR      "/>
    <n v="67"/>
    <n v="31"/>
    <n v="3"/>
    <n v="1"/>
    <m/>
    <m/>
    <m/>
    <m/>
    <m/>
    <m/>
    <m/>
    <n v="150"/>
  </r>
  <r>
    <n v="663"/>
    <s v="Lizeth Velazquez Lopez"/>
    <n v="8825"/>
    <n v="294.16666666666669"/>
    <n v="4412.5"/>
    <x v="395"/>
    <n v="2"/>
    <x v="3"/>
    <x v="19"/>
    <x v="3"/>
    <s v="LUN VIE"/>
    <m/>
    <s v="lizeth.velazquez@grupomaia.com"/>
    <s v="DIEGO HERRERA GIRÓN"/>
    <m/>
    <m/>
    <m/>
    <m/>
    <s v="SÍ"/>
    <n v="10"/>
    <n v="0.5"/>
    <n v="5"/>
    <n v="30"/>
    <n v="1.095890410958904"/>
    <n v="322.3744292237443"/>
    <n v="32.68518518518519"/>
    <n v="30829"/>
    <s v="SANTGA SOFIA"/>
    <s v="MONTY"/>
    <n v="5609990347"/>
    <s v="LIZETH1999@HOTMAIL.COM"/>
    <s v="SOLTE"/>
    <s v="TITUL"/>
    <s v="A"/>
    <d v="2022-05-27T00:00:00"/>
    <m/>
    <s v="UANL"/>
    <s v="INGENIERÍA CIVIL       "/>
    <s v=""/>
    <n v="43"/>
    <n v="38"/>
    <n v="1"/>
    <n v="1"/>
    <m/>
    <m/>
    <m/>
    <m/>
    <m/>
    <m/>
    <m/>
    <n v="652"/>
  </r>
  <r>
    <n v="664"/>
    <s v="Marcela Camarillo García"/>
    <n v="9541"/>
    <n v="318.03333333333336"/>
    <n v="4770.5"/>
    <x v="396"/>
    <n v="2"/>
    <x v="2"/>
    <x v="29"/>
    <x v="3"/>
    <s v="LUN VIE"/>
    <m/>
    <s v="marcela.camarillo@grupomaia.com"/>
    <s v="IRIE DALÍ ANTARES CORTÉS"/>
    <n v="44968"/>
    <n v="6678"/>
    <s v="AUDIT ADMN"/>
    <m/>
    <s v="NO"/>
    <n v="10"/>
    <n v="0.5"/>
    <n v="5"/>
    <n v="30"/>
    <n v="1.095890410958904"/>
    <n v="348.52968036529683"/>
    <n v="35.337037037037042"/>
    <n v="34634"/>
    <s v="LOMAS DE SATÉLITE"/>
    <s v="SNICO"/>
    <n v="8815094829"/>
    <s v="MARCELA1212@HOTMAIL.COM"/>
    <s v="CASDO"/>
    <s v="TITUL"/>
    <s v="A"/>
    <d v="2022-10-27T00:00:00"/>
    <n v="9"/>
    <s v="UANL"/>
    <s v="BIBLIOTECOLOGÍA Y CIENCIA DE LA INFORMACIÓN   "/>
    <s v=""/>
    <n v="100"/>
    <n v="27"/>
    <n v="2"/>
    <n v="1"/>
    <m/>
    <m/>
    <m/>
    <m/>
    <m/>
    <m/>
    <m/>
    <n v="731"/>
  </r>
  <r>
    <n v="665"/>
    <s v="Felipe Hipolito Carbajal"/>
    <n v="9541"/>
    <n v="318.03333333333336"/>
    <n v="4770.5"/>
    <x v="397"/>
    <n v="2"/>
    <x v="2"/>
    <x v="29"/>
    <x v="3"/>
    <s v="LUN VIE"/>
    <m/>
    <s v="felipe.hipolito@grupomaia.com"/>
    <s v="IRIE DALÍ ANTARES CORTÉS"/>
    <n v="42727"/>
    <n v="5088"/>
    <s v="ANLIS COST"/>
    <m/>
    <s v="NO"/>
    <n v="10"/>
    <n v="0.5"/>
    <n v="5"/>
    <n v="30"/>
    <n v="1.095890410958904"/>
    <n v="348.52968036529683"/>
    <n v="35.337037037037042"/>
    <n v="29134"/>
    <s v="LOMAS DE MONTECRISTO"/>
    <s v="STACT"/>
    <n v="7169936608"/>
    <s v="FELIPE1980@HOTMAIL.COM"/>
    <s v="SOLTE"/>
    <s v="CURSA"/>
    <s v="A"/>
    <d v="2022-10-06T00:00:00"/>
    <n v="9"/>
    <s v="UANL"/>
    <s v="ADMINISTRACIÓN        "/>
    <s v=""/>
    <n v="93"/>
    <n v="42"/>
    <n v="2"/>
    <n v="1"/>
    <m/>
    <m/>
    <m/>
    <m/>
    <m/>
    <m/>
    <m/>
    <n v="403"/>
  </r>
  <r>
    <n v="666"/>
    <s v="Lisset Guadalupe Cristobal Valdez"/>
    <n v="9541"/>
    <n v="318.03333333333336"/>
    <n v="4770.5"/>
    <x v="398"/>
    <n v="1"/>
    <x v="0"/>
    <x v="17"/>
    <x v="3"/>
    <s v="LUN VIE"/>
    <m/>
    <s v="lisset.cristobal@grupomaia.com"/>
    <s v="MARIANA RODRÍGUEZ GUTIERREZ"/>
    <n v="43686"/>
    <n v="3888"/>
    <s v="ARQUITECT"/>
    <s v="SOLUCIONES"/>
    <s v="SÍ"/>
    <n v="10"/>
    <n v="0.5"/>
    <n v="5"/>
    <n v="30"/>
    <n v="1.095890410958904"/>
    <n v="348.52968036529683"/>
    <n v="35.337037037037042"/>
    <n v="31556"/>
    <s v="SATÉLITE MIRADORES"/>
    <s v="GUADL"/>
    <n v="2268984875"/>
    <s v="LISSET1995@HOTMAIL.COM"/>
    <s v="SOLTE"/>
    <s v="CURSA"/>
    <s v="B"/>
    <d v="2022-05-24T00:00:00"/>
    <n v="6"/>
    <s v="UN"/>
    <s v="CONTADOR PÚBLICO       "/>
    <s v=""/>
    <n v="77"/>
    <n v="36"/>
    <n v="3"/>
    <n v="1"/>
    <m/>
    <m/>
    <m/>
    <m/>
    <m/>
    <m/>
    <m/>
    <n v="626"/>
  </r>
  <r>
    <n v="667"/>
    <s v="Angélica Justiniano Galvez"/>
    <n v="10860"/>
    <n v="362"/>
    <n v="5430"/>
    <x v="399"/>
    <n v="1"/>
    <x v="3"/>
    <x v="20"/>
    <x v="3"/>
    <s v="LUN VIE"/>
    <m/>
    <s v="angelica.justiniano@grupomaia.com"/>
    <s v="DIEGO HERRERA GIRÓN"/>
    <m/>
    <n v="18560"/>
    <m/>
    <m/>
    <s v="SÍ"/>
    <n v="10"/>
    <n v="0.5"/>
    <n v="5"/>
    <n v="30"/>
    <n v="1.095890410958904"/>
    <n v="396.71232876712327"/>
    <n v="40.222222222222221"/>
    <n v="35875"/>
    <s v="AGRÍCOLA"/>
    <s v="MONTY"/>
    <n v="2356764461"/>
    <s v="ANGELICA1971@HOTMAIL.COM"/>
    <s v="CASDO"/>
    <s v="CURSA"/>
    <s v="A"/>
    <d v="2022-03-21T00:00:00"/>
    <n v="7"/>
    <s v="TEC"/>
    <s v="INGENIERÍA CIVIL       "/>
    <s v=""/>
    <n v="89"/>
    <n v="24"/>
    <n v="2"/>
    <n v="1"/>
    <m/>
    <m/>
    <m/>
    <m/>
    <m/>
    <m/>
    <m/>
    <n v="539"/>
  </r>
  <r>
    <n v="669"/>
    <s v="Cristina Rivas Vinalay"/>
    <n v="7445"/>
    <n v="248.16666666666666"/>
    <n v="3722.5"/>
    <x v="400"/>
    <n v="1"/>
    <x v="4"/>
    <x v="4"/>
    <x v="3"/>
    <s v="LUN VIE"/>
    <m/>
    <s v="cristina.rivas@grupomaia.com"/>
    <s v="MARIANO ALDEBARÁN"/>
    <n v="43633"/>
    <n v="7060"/>
    <s v="ADMINCIÓN"/>
    <m/>
    <s v="NO"/>
    <n v="10"/>
    <n v="0.5"/>
    <n v="5"/>
    <n v="30"/>
    <n v="1.095890410958904"/>
    <n v="271.96347031963467"/>
    <n v="27.574074074074073"/>
    <n v="34661"/>
    <s v="SATÉLITE ACUEDUCTO SEXTO SECTOR"/>
    <s v="ESCOB"/>
    <n v="5694592666"/>
    <s v="CRISTINA1989@HOTMAIL.COM"/>
    <s v="SOLTE"/>
    <s v="TITUL"/>
    <s v="A"/>
    <d v="2022-11-23T00:00:00"/>
    <m/>
    <s v="UANL"/>
    <s v="ADMINISTRACIÓN        "/>
    <s v=""/>
    <n v="60"/>
    <n v="27"/>
    <n v="3"/>
    <n v="1"/>
    <m/>
    <m/>
    <m/>
    <m/>
    <m/>
    <m/>
    <m/>
    <n v="1"/>
  </r>
  <r>
    <n v="670"/>
    <s v="Ana Bertha Cortez Bautista"/>
    <n v="10350"/>
    <n v="345"/>
    <n v="5175"/>
    <x v="401"/>
    <n v="1"/>
    <x v="0"/>
    <x v="17"/>
    <x v="3"/>
    <s v="LUN VIE"/>
    <m/>
    <s v="ana.cortez@grupomaia.com"/>
    <s v="MARIANA RODRÍGUEZ GUTIERREZ"/>
    <n v="41639"/>
    <n v="6158.4000000000005"/>
    <s v="MATERIALES"/>
    <s v="RENDER"/>
    <s v="SÍ"/>
    <n v="10"/>
    <n v="0.5"/>
    <n v="5"/>
    <n v="30"/>
    <n v="1.095890410958904"/>
    <n v="378.08219178082192"/>
    <n v="38.333333333333336"/>
    <n v="33988"/>
    <s v="VILLAS DE LINDA VISTA"/>
    <s v="ESCOB"/>
    <n v="8995201557"/>
    <s v="ANA1977@HOTMAIL.COM"/>
    <s v="CASDO"/>
    <s v="CURSA"/>
    <s v="C"/>
    <d v="2022-01-19T00:00:00"/>
    <n v="6"/>
    <s v="UANL"/>
    <s v="CIENCIAS DE LA COMUNICACIÓN CON ACENTUACIÓN EN INFORMACIÓN "/>
    <s v=""/>
    <n v="73"/>
    <n v="29"/>
    <n v="1"/>
    <n v="1"/>
    <m/>
    <m/>
    <m/>
    <m/>
    <m/>
    <m/>
    <m/>
    <n v="503"/>
  </r>
  <r>
    <n v="671"/>
    <s v="Diana Laura Lomas Rangel"/>
    <n v="7445"/>
    <n v="248.16666666666666"/>
    <n v="3722.5"/>
    <x v="402"/>
    <n v="1"/>
    <x v="7"/>
    <x v="18"/>
    <x v="3"/>
    <s v="LUN VIE"/>
    <m/>
    <s v="diana.lomas@grupomaia.com"/>
    <s v="MARCO AURELIO URBINO"/>
    <m/>
    <m/>
    <m/>
    <m/>
    <s v="SÍ"/>
    <n v="10"/>
    <n v="0.5"/>
    <n v="5"/>
    <n v="30"/>
    <n v="1.095890410958904"/>
    <n v="271.96347031963467"/>
    <n v="27.574074074074073"/>
    <n v="34219"/>
    <s v="MUNICIPAL AMPLIACIÓN"/>
    <s v="GUADL"/>
    <n v="7498999685"/>
    <s v="DIANA66@HOTMAIL.COM"/>
    <s v="SOLTE"/>
    <s v="CURSA"/>
    <s v="A"/>
    <d v="2022-09-07T00:00:00"/>
    <n v="9"/>
    <s v="UDG"/>
    <s v="CONTADOR PÚBLICO       "/>
    <s v=""/>
    <n v="59"/>
    <n v="28"/>
    <n v="1"/>
    <n v="1"/>
    <m/>
    <m/>
    <m/>
    <m/>
    <m/>
    <m/>
    <m/>
    <n v="295"/>
  </r>
  <r>
    <n v="673"/>
    <s v="Aldo Alejandro Quiroga Vargas"/>
    <n v="7445"/>
    <n v="248.16666666666666"/>
    <n v="3722.5"/>
    <x v="403"/>
    <n v="1"/>
    <x v="5"/>
    <x v="28"/>
    <x v="3"/>
    <s v="LUN VIE"/>
    <m/>
    <s v="aldo.quiroga@grupomaia.com"/>
    <s v="MÉRIDA ISELA MEDINA SALINAS"/>
    <m/>
    <m/>
    <m/>
    <m/>
    <s v="SÍ"/>
    <n v="10"/>
    <n v="0.5"/>
    <n v="5"/>
    <n v="30"/>
    <n v="1.095890410958904"/>
    <n v="271.96347031963467"/>
    <n v="27.574074074074073"/>
    <n v="29880"/>
    <s v="RENÉ ÁLVAREZ"/>
    <s v="APODC"/>
    <n v="6773949834"/>
    <s v="ALDO1994@HOTMAIL.COM"/>
    <s v="DIVOR"/>
    <s v="TITUL"/>
    <s v="A"/>
    <d v="2022-10-21T00:00:00"/>
    <m/>
    <s v="UMM"/>
    <s v="FÍSICA        "/>
    <s v=""/>
    <n v="75"/>
    <n v="40"/>
    <n v="1"/>
    <n v="1"/>
    <m/>
    <m/>
    <m/>
    <m/>
    <m/>
    <m/>
    <m/>
    <n v="358"/>
  </r>
  <r>
    <n v="674"/>
    <s v="María Mendez Mendez"/>
    <n v="7950"/>
    <n v="265"/>
    <n v="3975"/>
    <x v="404"/>
    <n v="1"/>
    <x v="1"/>
    <x v="32"/>
    <x v="3"/>
    <s v="LUN VIE"/>
    <m/>
    <s v="maria.mendez@grupomaia.com"/>
    <s v="DENEB SANTIAGO ALTAIR VEGA"/>
    <n v="44109"/>
    <n v="5956"/>
    <s v="INST CAMPO"/>
    <m/>
    <s v="SÍ"/>
    <n v="10"/>
    <n v="0.5"/>
    <n v="5"/>
    <n v="30"/>
    <n v="1.095890410958904"/>
    <n v="290.41095890410958"/>
    <n v="29.444444444444443"/>
    <n v="31495"/>
    <s v="PRIVADAS DEL SUR"/>
    <s v="SNPED"/>
    <n v="8208742285"/>
    <s v="MARIA1991@HOTMAIL.COM"/>
    <s v="CASDO"/>
    <s v="TITUL"/>
    <s v="A"/>
    <d v="2022-03-24T00:00:00"/>
    <m/>
    <s v="UVM"/>
    <s v="INGENIERO ADMINISTRADOR DE SISTEMAS     "/>
    <s v=""/>
    <n v="51"/>
    <n v="36"/>
    <n v="3"/>
    <n v="1"/>
    <m/>
    <m/>
    <m/>
    <m/>
    <m/>
    <m/>
    <m/>
    <n v="865"/>
  </r>
  <r>
    <n v="675"/>
    <s v="Paola Alejandra Alvarado Guerrero"/>
    <n v="9450"/>
    <n v="315"/>
    <n v="4725"/>
    <x v="405"/>
    <n v="1"/>
    <x v="8"/>
    <x v="11"/>
    <x v="3"/>
    <s v="LUN VIE"/>
    <m/>
    <s v="paola.alvarado@grupomaia.com"/>
    <s v="EMMA DARIELA GARCÍA LORCA"/>
    <n v="42851"/>
    <n v="6158.4000000000005"/>
    <s v="ARQUITECT"/>
    <m/>
    <s v="NO"/>
    <n v="10"/>
    <n v="0.5"/>
    <n v="5"/>
    <n v="30"/>
    <n v="1.095890410958904"/>
    <n v="345.20547945205476"/>
    <n v="35"/>
    <n v="33640"/>
    <s v="COLINAS DE VALLE VERDE"/>
    <s v="SANTG"/>
    <n v="7984282660.5"/>
    <s v="PAOLA1998@HOTMAIL.COM"/>
    <s v="SOLTE"/>
    <s v="CURSA"/>
    <s v="A"/>
    <d v="2022-02-06T00:00:00"/>
    <n v="10"/>
    <s v="UANL"/>
    <s v="CIENCIAS DE LA COMUNICACIÓN CON ACENTUACIÓN EN INFORMACIÓN "/>
    <s v=""/>
    <n v="90"/>
    <n v="30"/>
    <n v="0"/>
    <n v="1"/>
    <m/>
    <m/>
    <m/>
    <m/>
    <m/>
    <m/>
    <m/>
    <n v="32"/>
  </r>
  <r>
    <n v="677"/>
    <s v="Francisco Lopez Adame"/>
    <n v="6778"/>
    <n v="225.93333333333334"/>
    <n v="3389"/>
    <x v="406"/>
    <n v="1"/>
    <x v="5"/>
    <x v="14"/>
    <x v="3"/>
    <s v="LUN VIE"/>
    <m/>
    <s v="francisco.lopez@grupomaia.com"/>
    <s v="MÉRIDA ISELA MEDINA SALINAS"/>
    <m/>
    <m/>
    <m/>
    <m/>
    <s v="SÍ"/>
    <n v="10"/>
    <n v="0.25"/>
    <n v="2.5"/>
    <n v="15"/>
    <n v="1.047945205479452"/>
    <n v="236.76575342465753"/>
    <n v="25.103703703703705"/>
    <n v="34495"/>
    <s v="BRISAS DE VALLE ALTO"/>
    <s v="ESCOB"/>
    <n v="9865325412"/>
    <s v="FRANCISCO1999@HOTMAIL.COM"/>
    <s v="SOLTE"/>
    <s v="CURSA"/>
    <s v="A"/>
    <d v="2022-06-10T00:00:00"/>
    <n v="7"/>
    <s v="UANL"/>
    <s v="ARQUITECTURA        "/>
    <s v=""/>
    <n v="93"/>
    <n v="28"/>
    <n v="0"/>
    <n v="1"/>
    <m/>
    <m/>
    <m/>
    <m/>
    <m/>
    <m/>
    <m/>
    <n v="452"/>
  </r>
  <r>
    <n v="678"/>
    <s v="Eduardo Isai Longoria Hernández"/>
    <n v="7445"/>
    <n v="248.16666666666666"/>
    <n v="3722.5"/>
    <x v="407"/>
    <n v="1"/>
    <x v="7"/>
    <x v="16"/>
    <x v="3"/>
    <s v="LUN VIE"/>
    <m/>
    <s v="eduardo.longoria@grupomaia.com"/>
    <s v="MARCO AURELIO URBINO"/>
    <n v="43896"/>
    <n v="5088"/>
    <s v="MATERIALES"/>
    <m/>
    <s v="SÍ"/>
    <n v="10"/>
    <n v="0.5"/>
    <n v="5"/>
    <n v="30"/>
    <n v="1.095890410958904"/>
    <n v="271.96347031963467"/>
    <n v="27.574074074074073"/>
    <n v="31570"/>
    <s v="REFORMA"/>
    <s v="STACT"/>
    <n v="7444830871"/>
    <s v="EDUARDO1997@HOTMAIL.COM"/>
    <s v="SOLTE"/>
    <s v="MAEST"/>
    <s v="A"/>
    <d v="2022-06-07T00:00:00"/>
    <m/>
    <s v="UASLP"/>
    <s v="CIENCIAS DE LA COMUNICACIÓN CON ACENTUACIÓN EN INFORMACIÓN "/>
    <s v="FINANZAS"/>
    <n v="100"/>
    <n v="36"/>
    <n v="0"/>
    <n v="1"/>
    <m/>
    <m/>
    <m/>
    <m/>
    <m/>
    <m/>
    <m/>
    <n v="197"/>
  </r>
  <r>
    <n v="679"/>
    <s v="Edson Ricardo Rivera Luna"/>
    <n v="7950"/>
    <n v="265"/>
    <n v="3975"/>
    <x v="408"/>
    <n v="1"/>
    <x v="3"/>
    <x v="20"/>
    <x v="3"/>
    <s v="LUN VIE"/>
    <m/>
    <s v="edson.rivera@grupomaia.com"/>
    <s v="DIEGO HERRERA GIRÓN"/>
    <n v="43149"/>
    <n v="5956"/>
    <s v="SOFTWARE"/>
    <m/>
    <s v="SÍ"/>
    <n v="10"/>
    <n v="0.5"/>
    <n v="5"/>
    <n v="30"/>
    <n v="1.095890410958904"/>
    <n v="290.41095890410958"/>
    <n v="29.444444444444443"/>
    <n v="30708"/>
    <s v="SATÉLITE ACUEDUCTO SEXTO SECTOR"/>
    <s v="GRCIA"/>
    <n v="8669516101"/>
    <s v="EDSON1010@HOTMAIL.COM"/>
    <s v="CASDO"/>
    <s v="CURSA"/>
    <s v="A"/>
    <d v="2022-01-27T00:00:00"/>
    <n v="10"/>
    <s v="TECMIL"/>
    <s v="INGENIERÍA CIVIL       "/>
    <s v=""/>
    <n v="51"/>
    <n v="38"/>
    <n v="0"/>
    <n v="1"/>
    <m/>
    <m/>
    <m/>
    <m/>
    <m/>
    <m/>
    <m/>
    <n v="654"/>
  </r>
  <r>
    <n v="680"/>
    <s v="Aide Ortega Anell"/>
    <n v="7445"/>
    <n v="248.16666666666666"/>
    <n v="3722.5"/>
    <x v="409"/>
    <n v="1"/>
    <x v="3"/>
    <x v="21"/>
    <x v="3"/>
    <s v="LUN VIE"/>
    <m/>
    <s v="aide.ortega@grupomaia.com"/>
    <s v="DIEGO HERRERA GIRÓN"/>
    <m/>
    <m/>
    <m/>
    <m/>
    <s v="SÍ"/>
    <n v="10"/>
    <n v="0.5"/>
    <n v="5"/>
    <n v="30"/>
    <n v="1.095890410958904"/>
    <n v="271.96347031963467"/>
    <n v="27.574074074074073"/>
    <n v="30675"/>
    <s v="JARDINES DE CHURUBUSCO"/>
    <s v="APODC"/>
    <n v="8688903116"/>
    <s v="AIDE66@HOTMAIL.COM"/>
    <s v="SOLTE"/>
    <s v="CURSA"/>
    <s v="A"/>
    <d v="2022-12-25T00:00:00"/>
    <n v="9"/>
    <s v="UANL"/>
    <s v="INGENIERO EN MATERIALES      "/>
    <s v=""/>
    <n v="49"/>
    <n v="38"/>
    <n v="1"/>
    <n v="1"/>
    <m/>
    <m/>
    <m/>
    <m/>
    <m/>
    <m/>
    <m/>
    <n v="221"/>
  </r>
  <r>
    <n v="682"/>
    <s v="Cecilia Tamara Farías Flores"/>
    <n v="9450"/>
    <n v="315"/>
    <n v="4725"/>
    <x v="410"/>
    <n v="1"/>
    <x v="0"/>
    <x v="24"/>
    <x v="3"/>
    <s v="LUN VIE"/>
    <m/>
    <s v="cecilia.farías@grupomaia.com"/>
    <s v="MARIANA RODRÍGUEZ GUTIERREZ"/>
    <m/>
    <m/>
    <m/>
    <m/>
    <s v="SÍ"/>
    <n v="10"/>
    <n v="0.5"/>
    <n v="5"/>
    <n v="30"/>
    <n v="1.095890410958904"/>
    <n v="345.20547945205476"/>
    <n v="35"/>
    <n v="29343"/>
    <s v="GARZA NIETO"/>
    <s v="SANTG"/>
    <n v="8922818922"/>
    <s v="CECILIA66@HOTMAIL.COM"/>
    <s v="CASDO"/>
    <s v="TITUL"/>
    <s v="B"/>
    <d v="2022-05-02T00:00:00"/>
    <m/>
    <s v="TECMIL"/>
    <s v="CIENCIAS DE LA COMUNICACIÓN CON ACENTUACIÓN EN INFORMACIÓN "/>
    <s v=""/>
    <n v="71"/>
    <n v="42"/>
    <n v="1"/>
    <n v="1"/>
    <m/>
    <m/>
    <m/>
    <m/>
    <m/>
    <m/>
    <m/>
    <n v="405"/>
  </r>
  <r>
    <n v="683"/>
    <s v="Jair De Jesús Frausto González"/>
    <n v="7950"/>
    <n v="265"/>
    <n v="3975"/>
    <x v="411"/>
    <n v="1"/>
    <x v="5"/>
    <x v="14"/>
    <x v="3"/>
    <s v="LUN VIE"/>
    <m/>
    <s v="jair.jesús@grupomaia.com"/>
    <s v="MÉRIDA ISELA MEDINA SALINAS"/>
    <n v="43506"/>
    <n v="6158.4000000000005"/>
    <s v="CONTROL"/>
    <m/>
    <s v="SÍ"/>
    <n v="10"/>
    <n v="0.5"/>
    <n v="5"/>
    <n v="30"/>
    <n v="1.095890410958904"/>
    <n v="290.41095890410958"/>
    <n v="29.444444444444443"/>
    <n v="34807"/>
    <s v="RENACIMIENTO"/>
    <s v="ESCOB"/>
    <n v="8422204182"/>
    <s v="JAIR1988@HOTMAIL.COM"/>
    <s v="SOLTE"/>
    <s v="CURSA"/>
    <s v="A"/>
    <d v="2022-04-18T00:00:00"/>
    <n v="7"/>
    <s v="UANL"/>
    <s v="ARQUITECTURA        "/>
    <s v=""/>
    <n v="69"/>
    <n v="27"/>
    <n v="1"/>
    <n v="1"/>
    <m/>
    <m/>
    <m/>
    <m/>
    <m/>
    <m/>
    <m/>
    <n v="119"/>
  </r>
  <r>
    <n v="684"/>
    <s v="Mayra Dolores Hernandez García"/>
    <n v="8825"/>
    <n v="294.16666666666669"/>
    <n v="4412.5"/>
    <x v="412"/>
    <n v="1"/>
    <x v="3"/>
    <x v="21"/>
    <x v="3"/>
    <s v="LUN VIE"/>
    <m/>
    <s v="mayra.hernandez@grupomaia.com"/>
    <s v="DIEGO HERRERA GIRÓN"/>
    <n v="43936"/>
    <n v="6160"/>
    <s v="RENDER"/>
    <m/>
    <s v="SÍ"/>
    <n v="10"/>
    <n v="0.5"/>
    <n v="5"/>
    <n v="30"/>
    <n v="1.095890410958904"/>
    <n v="322.3744292237443"/>
    <n v="32.68518518518519"/>
    <n v="27733"/>
    <s v="CAMPESTRE MEDEROS"/>
    <s v="GRCIA"/>
    <n v="8196678481"/>
    <s v="MAYRA1992@HOTMAIL.COM"/>
    <s v="SOLTE"/>
    <s v="TITUL"/>
    <s v="A"/>
    <d v="2022-12-05T00:00:00"/>
    <m/>
    <s v="UDLAP"/>
    <s v="INGENIERÍA CIVIL       "/>
    <s v=""/>
    <n v="62"/>
    <n v="46"/>
    <n v="3"/>
    <n v="1"/>
    <m/>
    <m/>
    <m/>
    <m/>
    <m/>
    <m/>
    <m/>
    <n v="130"/>
  </r>
  <r>
    <n v="688"/>
    <s v="Rafael Lopez Lopez"/>
    <n v="10350"/>
    <n v="345"/>
    <n v="5175"/>
    <x v="413"/>
    <n v="1"/>
    <x v="1"/>
    <x v="32"/>
    <x v="3"/>
    <s v="LUN VIE"/>
    <m/>
    <s v="rafael.lopez@grupomaia.com"/>
    <s v="DENEB SANTIAGO ALTAIR VEGA"/>
    <n v="41175"/>
    <n v="10816"/>
    <s v="ARQUITECT"/>
    <s v="CRÉDITOS"/>
    <s v="NO"/>
    <n v="10"/>
    <n v="0.5"/>
    <n v="5"/>
    <n v="30"/>
    <n v="1.095890410958904"/>
    <n v="378.08219178082192"/>
    <n v="38.333333333333336"/>
    <n v="29888"/>
    <s v="JARDINES DE SAN JERÓNIMO"/>
    <s v="STACT"/>
    <n v="5423110268"/>
    <s v="RAFAEL1983@HOTMAIL.COM"/>
    <s v="DIVOR"/>
    <s v="CURSA"/>
    <s v="B"/>
    <d v="2022-10-29T00:00:00"/>
    <n v="9"/>
    <s v="UVM"/>
    <s v="INGENIERO ADMINISTRADOR DE SISTEMAS     "/>
    <s v=""/>
    <n v="99"/>
    <n v="40"/>
    <n v="0"/>
    <n v="1"/>
    <m/>
    <m/>
    <m/>
    <m/>
    <m/>
    <m/>
    <m/>
    <n v="89"/>
  </r>
  <r>
    <n v="689"/>
    <s v="Alfredo Perez Lopez"/>
    <n v="6778"/>
    <n v="225.93333333333334"/>
    <n v="3389"/>
    <x v="414"/>
    <n v="1"/>
    <x v="0"/>
    <x v="17"/>
    <x v="3"/>
    <s v="LUN VIE"/>
    <m/>
    <s v="alfredo.perez@grupomaia.com"/>
    <s v="MARIANA RODRÍGUEZ GUTIERREZ"/>
    <m/>
    <m/>
    <m/>
    <m/>
    <s v="SÍ"/>
    <n v="10"/>
    <n v="0.25"/>
    <n v="2.5"/>
    <n v="15"/>
    <n v="1.047945205479452"/>
    <n v="236.76575342465753"/>
    <n v="25.103703703703705"/>
    <n v="29404"/>
    <s v="VALLE VERDE SEGUNDO SECTOR"/>
    <s v="STACT"/>
    <n v="5609668693"/>
    <s v="ALFREDO1978@HOTMAIL.COM"/>
    <s v="CASDO"/>
    <s v="CURSA"/>
    <s v="A"/>
    <d v="2022-07-02T00:00:00"/>
    <n v="7"/>
    <s v="UANL"/>
    <s v="CONTADOR PÚBLICO       "/>
    <s v=""/>
    <n v="49"/>
    <n v="42"/>
    <n v="1"/>
    <n v="1"/>
    <m/>
    <m/>
    <m/>
    <m/>
    <m/>
    <m/>
    <m/>
    <n v="737"/>
  </r>
  <r>
    <n v="690"/>
    <s v="Mónica Samantha López Lara"/>
    <n v="7445"/>
    <n v="248.16666666666666"/>
    <n v="3722.5"/>
    <x v="414"/>
    <n v="1"/>
    <x v="8"/>
    <x v="22"/>
    <x v="3"/>
    <s v="LUN VIE"/>
    <m/>
    <s v="mónica.lópez@grupomaia.com"/>
    <s v="EMMA DARIELA GARCÍA LORCA"/>
    <m/>
    <m/>
    <m/>
    <m/>
    <s v="SÍ"/>
    <n v="10"/>
    <n v="0.5"/>
    <n v="5"/>
    <n v="30"/>
    <n v="1.095890410958904"/>
    <n v="271.96347031963467"/>
    <n v="27.574074074074073"/>
    <n v="35865"/>
    <s v="VILLAS DEL CARMEN"/>
    <s v="MONTY"/>
    <n v="8240681821"/>
    <s v="MONICA66@HOTMAIL.COM"/>
    <s v="SOLTE"/>
    <s v="CURSA"/>
    <s v="A"/>
    <d v="2022-03-11T00:00:00"/>
    <n v="9"/>
    <s v="UANL"/>
    <s v="EDUCACIÓN        "/>
    <s v="FINANZAS"/>
    <n v="54"/>
    <n v="24"/>
    <n v="0"/>
    <n v="1"/>
    <m/>
    <m/>
    <m/>
    <m/>
    <m/>
    <m/>
    <m/>
    <n v="768"/>
  </r>
  <r>
    <n v="691"/>
    <s v="Julio Cesar Angel Silva"/>
    <n v="9450"/>
    <n v="315"/>
    <n v="4725"/>
    <x v="414"/>
    <n v="1"/>
    <x v="1"/>
    <x v="30"/>
    <x v="3"/>
    <s v="LUN VIE"/>
    <m/>
    <s v="julio.angel@grupomaia.com"/>
    <s v="DENEB SANTIAGO ALTAIR VEGA"/>
    <n v="43197"/>
    <n v="5422.4000000000005"/>
    <s v="CONTROL"/>
    <m/>
    <s v="SÍ"/>
    <n v="10"/>
    <n v="0.5"/>
    <n v="5"/>
    <n v="30"/>
    <n v="1.095890410958904"/>
    <n v="345.20547945205476"/>
    <n v="35"/>
    <n v="27616"/>
    <s v="RINCÓN DEL PASEO SEGUNDO SECTOR"/>
    <s v="STACT"/>
    <n v="8110246875"/>
    <s v="JULIO1978@HOTMAIL.COM"/>
    <s v="SOLTE"/>
    <s v="MAEST"/>
    <s v="B"/>
    <d v="2022-08-10T00:00:00"/>
    <n v="6"/>
    <s v="UANL"/>
    <s v="INGENIERO ADMINISTRADOR DE SISTEMAS     "/>
    <s v="INGENIERO INDUSTRIAL ADMINISTRADOR      "/>
    <n v="79"/>
    <n v="46"/>
    <n v="1"/>
    <n v="1"/>
    <m/>
    <m/>
    <m/>
    <m/>
    <m/>
    <m/>
    <m/>
    <n v="101"/>
  </r>
  <r>
    <n v="692"/>
    <s v="Amalia Marino Valdovinos"/>
    <n v="7445"/>
    <n v="248.16666666666666"/>
    <n v="3722.5"/>
    <x v="415"/>
    <n v="1"/>
    <x v="0"/>
    <x v="26"/>
    <x v="3"/>
    <s v="LUN VIE"/>
    <m/>
    <s v="amalia.marino@grupomaia.com"/>
    <s v="MARIANA RODRÍGUEZ GUTIERREZ"/>
    <m/>
    <m/>
    <m/>
    <m/>
    <s v="SÍ"/>
    <n v="10"/>
    <n v="0.5"/>
    <n v="5"/>
    <n v="30"/>
    <n v="1.095890410958904"/>
    <n v="271.96347031963467"/>
    <n v="27.574074074074073"/>
    <n v="35551"/>
    <s v="MUNICIPAL AMPLIACIÓN"/>
    <s v="MONTY"/>
    <n v="7065468741"/>
    <s v="AMALIA1996@HOTMAIL.COM"/>
    <s v="SOLTE"/>
    <s v="CURSA"/>
    <s v="A"/>
    <d v="2022-05-01T00:00:00"/>
    <n v="9"/>
    <s v="UANL"/>
    <s v="CONTADOR PÚBLICO       "/>
    <s v=""/>
    <n v="56"/>
    <n v="25"/>
    <n v="0"/>
    <n v="1"/>
    <m/>
    <m/>
    <m/>
    <m/>
    <m/>
    <m/>
    <m/>
    <n v="112"/>
  </r>
  <r>
    <n v="693"/>
    <s v="María Del Carmen Luna Acosta"/>
    <n v="9541"/>
    <n v="318.03333333333336"/>
    <n v="4770.5"/>
    <x v="416"/>
    <n v="1"/>
    <x v="3"/>
    <x v="19"/>
    <x v="3"/>
    <s v="LUN VIE"/>
    <m/>
    <s v="maria.carmen@grupomaia.com"/>
    <s v="DIEGO HERRERA GIRÓN"/>
    <n v="41661"/>
    <n v="5088"/>
    <s v="ADMINCIÓN"/>
    <s v="ARQUITECT"/>
    <s v="SÍ"/>
    <n v="10"/>
    <n v="0.5"/>
    <n v="5"/>
    <n v="30"/>
    <n v="1.095890410958904"/>
    <n v="348.52968036529683"/>
    <n v="35.337037037037042"/>
    <n v="28906"/>
    <s v="RANCHO LA BOLA"/>
    <s v="SNPED"/>
    <n v="2154879865"/>
    <s v="MARIA1997@HOTMAIL.COM"/>
    <s v="CASDO"/>
    <s v="CURSA"/>
    <s v="A"/>
    <d v="2022-02-20T00:00:00"/>
    <n v="5"/>
    <s v="UANL"/>
    <s v="INGENIERÍA CIVIL       "/>
    <s v=""/>
    <n v="68"/>
    <n v="43"/>
    <n v="2"/>
    <n v="1"/>
    <m/>
    <m/>
    <m/>
    <m/>
    <m/>
    <m/>
    <m/>
    <n v="259"/>
  </r>
  <r>
    <n v="694"/>
    <s v="Verónica Lucía Hernández Mata"/>
    <n v="7445"/>
    <n v="248.16666666666666"/>
    <n v="3722.5"/>
    <x v="416"/>
    <n v="1"/>
    <x v="7"/>
    <x v="18"/>
    <x v="3"/>
    <s v="LUN VIE"/>
    <m/>
    <s v="verónica.hernández@grupomaia.com"/>
    <s v="MARCO AURELIO URBINO"/>
    <m/>
    <m/>
    <m/>
    <m/>
    <s v="SÍ"/>
    <n v="10"/>
    <n v="0.5"/>
    <n v="5"/>
    <n v="30"/>
    <n v="1.095890410958904"/>
    <n v="271.96347031963467"/>
    <n v="27.574074074074073"/>
    <n v="31576"/>
    <s v="SANTGA CECILIA"/>
    <s v="SNPED"/>
    <n v="8340397709"/>
    <s v="VERÓNICA66@HOTMAIL.COM"/>
    <s v="SOLTE"/>
    <s v="CURSA"/>
    <s v="A"/>
    <d v="2022-06-13T00:00:00"/>
    <n v="6"/>
    <s v="UANL"/>
    <s v="CIENCIAS DE LA COMUNICACIÓN CON ACENTUACIÓN EN INFORMACIÓN "/>
    <s v=""/>
    <n v="79"/>
    <n v="36"/>
    <n v="1"/>
    <n v="1"/>
    <m/>
    <m/>
    <m/>
    <m/>
    <m/>
    <m/>
    <m/>
    <n v="18"/>
  </r>
  <r>
    <n v="695"/>
    <s v="Rosa Liz Chavez Cortez"/>
    <n v="9541"/>
    <n v="318.03333333333336"/>
    <n v="4770.5"/>
    <x v="417"/>
    <n v="1"/>
    <x v="0"/>
    <x v="26"/>
    <x v="3"/>
    <s v="LUN VIE"/>
    <m/>
    <s v="rosa.chavez@grupomaia.com"/>
    <s v="MARIANA RODRÍGUEZ GUTIERREZ"/>
    <n v="43061"/>
    <n v="5200"/>
    <s v="ADMINCIÓN"/>
    <m/>
    <s v="NO"/>
    <n v="10"/>
    <n v="0.5"/>
    <n v="5"/>
    <n v="30"/>
    <n v="1.095890410958904"/>
    <n v="348.52968036529683"/>
    <n v="35.337037037037042"/>
    <n v="35685"/>
    <s v="OBRERISTA"/>
    <s v="STACT"/>
    <n v="4915661259"/>
    <s v="ROSA1973@HOTMAIL.COM"/>
    <s v="SOLTE"/>
    <s v="CURSA"/>
    <s v="A"/>
    <d v="2022-09-12T00:00:00"/>
    <n v="7"/>
    <s v="UANL"/>
    <s v="CONTADOR PÚBLICO       "/>
    <s v=""/>
    <n v="35"/>
    <n v="24"/>
    <n v="1"/>
    <n v="1"/>
    <m/>
    <m/>
    <m/>
    <m/>
    <m/>
    <m/>
    <m/>
    <n v="2"/>
  </r>
  <r>
    <n v="697"/>
    <s v="Daniel Antonio García Marine"/>
    <n v="9450"/>
    <n v="315"/>
    <n v="4725"/>
    <x v="418"/>
    <n v="1"/>
    <x v="3"/>
    <x v="20"/>
    <x v="3"/>
    <s v="LUN VIE"/>
    <m/>
    <s v="daniel.garcia@grupomaia.com"/>
    <s v="DIEGO HERRERA GIRÓN"/>
    <n v="43217"/>
    <n v="7600"/>
    <s v="NÓMINAS"/>
    <m/>
    <s v="SÍ"/>
    <n v="10"/>
    <n v="0.5"/>
    <n v="5"/>
    <n v="30"/>
    <n v="1.095890410958904"/>
    <n v="345.20547945205476"/>
    <n v="35"/>
    <n v="36101"/>
    <s v="PRADOS DE LA SILLA"/>
    <s v="STACT"/>
    <n v="8173144594"/>
    <s v="DANIEL1998@HOTMAIL.COM"/>
    <s v="DIVOR"/>
    <s v="CURSA"/>
    <s v="A"/>
    <d v="2022-11-02T00:00:00"/>
    <n v="7"/>
    <s v="UANL"/>
    <s v="INGENIERÍA CIVIL       "/>
    <s v=""/>
    <n v="62"/>
    <n v="23"/>
    <n v="1"/>
    <n v="1"/>
    <m/>
    <m/>
    <m/>
    <m/>
    <m/>
    <m/>
    <m/>
    <n v="188"/>
  </r>
  <r>
    <n v="701"/>
    <s v="Marilu Valdovinos Blanco"/>
    <n v="7445"/>
    <n v="248.16666666666666"/>
    <n v="3722.5"/>
    <x v="418"/>
    <n v="1"/>
    <x v="2"/>
    <x v="29"/>
    <x v="3"/>
    <s v="LUN VIE"/>
    <m/>
    <s v="marilu.valdovinos@grupomaia.com"/>
    <s v="IRIE DALÍ ANTARES CORTÉS"/>
    <m/>
    <m/>
    <m/>
    <m/>
    <s v="SÍ"/>
    <n v="10"/>
    <n v="0.5"/>
    <n v="5"/>
    <n v="30"/>
    <n v="1.095890410958904"/>
    <n v="271.96347031963467"/>
    <n v="27.574074074074073"/>
    <n v="35612"/>
    <s v="VALLE DE SAN MARTÍN (F-24)"/>
    <s v="APODC"/>
    <n v="6044508058"/>
    <s v="MARILU1980@HOTMAIL.COM"/>
    <s v="SOLTE"/>
    <s v="CURSA"/>
    <s v="A"/>
    <d v="2022-07-01T00:00:00"/>
    <n v="9"/>
    <s v="UANL"/>
    <s v="EDUCACIÓN        "/>
    <s v=""/>
    <n v="41"/>
    <n v="25"/>
    <n v="2"/>
    <n v="1"/>
    <m/>
    <m/>
    <m/>
    <m/>
    <m/>
    <m/>
    <m/>
    <n v="266"/>
  </r>
  <r>
    <n v="702"/>
    <s v="Roberto Alejandro Jaramillo González"/>
    <n v="10860"/>
    <n v="362"/>
    <n v="5430"/>
    <x v="419"/>
    <n v="1"/>
    <x v="5"/>
    <x v="14"/>
    <x v="3"/>
    <s v="LUN VIE"/>
    <m/>
    <s v="roberto.jaramillo@grupomaia.com"/>
    <s v="MÉRIDA ISELA MEDINA SALINAS"/>
    <n v="45208"/>
    <n v="8105.9999999999991"/>
    <s v="INST CAMPO"/>
    <m/>
    <s v="SÍ"/>
    <n v="10"/>
    <n v="0.5"/>
    <n v="5"/>
    <n v="30"/>
    <n v="1.095890410958904"/>
    <n v="396.71232876712327"/>
    <n v="40.222222222222221"/>
    <n v="29777"/>
    <s v="LOMAS DE VILLA ALEGRE"/>
    <s v="STACT"/>
    <n v="8721027616"/>
    <s v="ROBERTO1212@HOTMAIL.COM"/>
    <s v="SOLTE"/>
    <s v="CURSA"/>
    <s v="A"/>
    <d v="2022-07-10T00:00:00"/>
    <n v="8"/>
    <s v="UANL"/>
    <s v="ARQUITECTURA        "/>
    <s v=""/>
    <n v="50"/>
    <n v="40"/>
    <n v="1"/>
    <n v="1"/>
    <m/>
    <m/>
    <m/>
    <m/>
    <m/>
    <m/>
    <m/>
    <n v="440"/>
  </r>
  <r>
    <n v="703"/>
    <s v="Yesenia Reyes Cordoba"/>
    <n v="10860"/>
    <n v="362"/>
    <n v="5430"/>
    <x v="420"/>
    <n v="1"/>
    <x v="0"/>
    <x v="24"/>
    <x v="3"/>
    <s v="LUN VIE"/>
    <m/>
    <s v="yesenia.reyes@grupomaia.com"/>
    <s v="MARIANA RODRÍGUEZ GUTIERREZ"/>
    <n v="41533"/>
    <n v="5422.4000000000005"/>
    <s v="EQUIPOS"/>
    <s v="ADMINCIÓN"/>
    <s v="NO"/>
    <n v="10"/>
    <n v="0.5"/>
    <n v="5"/>
    <n v="30"/>
    <n v="1.095890410958904"/>
    <n v="396.71232876712327"/>
    <n v="40.222222222222221"/>
    <n v="32461"/>
    <s v="RESIDENCIAL MEDEROS"/>
    <s v="ESCOB"/>
    <n v="8206402564"/>
    <s v="YESENIA1973@HOTMAIL.COM"/>
    <s v="DIVOR"/>
    <s v="TITUL"/>
    <s v="A"/>
    <d v="2022-11-14T00:00:00"/>
    <m/>
    <s v="UANL"/>
    <s v="ADMINISTRACIÓN        "/>
    <s v=""/>
    <n v="62"/>
    <n v="33"/>
    <n v="0"/>
    <n v="1"/>
    <m/>
    <m/>
    <m/>
    <m/>
    <m/>
    <m/>
    <m/>
    <n v="204"/>
  </r>
  <r>
    <n v="704"/>
    <s v="Miriam Denisse Cisneros Sánchez"/>
    <n v="9450"/>
    <n v="315"/>
    <n v="4725"/>
    <x v="421"/>
    <n v="1"/>
    <x v="7"/>
    <x v="18"/>
    <x v="3"/>
    <s v="LUN VIE"/>
    <m/>
    <s v="miriam.cisneros@grupomaia.com"/>
    <s v="MARCO AURELIO URBINO"/>
    <n v="44947"/>
    <n v="6177.5"/>
    <s v="BANCA"/>
    <m/>
    <s v="SÍ"/>
    <n v="10"/>
    <n v="0.5"/>
    <n v="5"/>
    <n v="30"/>
    <n v="1.095890410958904"/>
    <n v="345.20547945205476"/>
    <n v="35"/>
    <n v="33125"/>
    <s v="LOMAS DE VILLA ALEGRE"/>
    <s v="SNPED"/>
    <n v="8598759411"/>
    <s v="MIRIAM1212@HOTMAIL.COM"/>
    <s v="CASDO"/>
    <s v="CURSA"/>
    <s v="A"/>
    <d v="2022-09-09T00:00:00"/>
    <n v="6"/>
    <s v="UANL"/>
    <s v="CIENCIAS DE LA COMUNICACIÓN CON ACENTUACIÓN EN INFORMACIÓN "/>
    <s v=""/>
    <n v="54"/>
    <n v="31"/>
    <n v="3"/>
    <n v="1"/>
    <m/>
    <m/>
    <m/>
    <m/>
    <m/>
    <m/>
    <m/>
    <n v="463"/>
  </r>
  <r>
    <n v="705"/>
    <s v="William Ulises Gómez González"/>
    <n v="6778"/>
    <n v="225.93333333333334"/>
    <n v="3389"/>
    <x v="422"/>
    <n v="1"/>
    <x v="8"/>
    <x v="11"/>
    <x v="3"/>
    <s v="LUN VIE"/>
    <m/>
    <s v="william.gómez@grupomaia.com"/>
    <s v="EMMA DARIELA GARCÍA LORCA"/>
    <m/>
    <m/>
    <m/>
    <m/>
    <s v="NO"/>
    <n v="10"/>
    <n v="0.25"/>
    <n v="2.5"/>
    <n v="15"/>
    <n v="1.047945205479452"/>
    <n v="236.76575342465753"/>
    <n v="25.103703703703705"/>
    <n v="29995"/>
    <s v="FRANCISCO I MADERO"/>
    <s v="SNICO"/>
    <n v="5682739482"/>
    <s v="WILLIAM1991@HOTMAIL.COM"/>
    <s v="CASDO"/>
    <s v="TITUL"/>
    <s v="A"/>
    <d v="2022-02-13T00:00:00"/>
    <m/>
    <s v="UANL"/>
    <s v="ADMINISTRACIÓN        "/>
    <s v=""/>
    <n v="67"/>
    <n v="40"/>
    <n v="3"/>
    <n v="1"/>
    <m/>
    <m/>
    <m/>
    <m/>
    <m/>
    <m/>
    <m/>
    <n v="906"/>
  </r>
  <r>
    <n v="708"/>
    <s v="Jair Elihu Olguin Valdes"/>
    <n v="9541"/>
    <n v="318.03333333333336"/>
    <n v="4770.5"/>
    <x v="423"/>
    <n v="1"/>
    <x v="5"/>
    <x v="14"/>
    <x v="3"/>
    <s v="LUN VIE"/>
    <m/>
    <s v="jair.olguin@grupomaia.com"/>
    <s v="MÉRIDA ISELA MEDINA SALINAS"/>
    <n v="45289"/>
    <n v="5211.5"/>
    <s v="ESTRUCTURA"/>
    <m/>
    <s v="SÍ"/>
    <n v="10"/>
    <n v="0.5"/>
    <n v="5"/>
    <n v="30"/>
    <n v="1.095890410958904"/>
    <n v="348.52968036529683"/>
    <n v="35.337037037037042"/>
    <n v="29588"/>
    <s v="PROVILEON SAN BERNABÉ"/>
    <s v="STACT"/>
    <n v="8775769770"/>
    <s v="JAIR1414@HOTMAIL.COM"/>
    <s v="SOLTE"/>
    <s v="PSNTE"/>
    <s v="A"/>
    <d v="2022-01-02T00:00:00"/>
    <m/>
    <s v="UANL"/>
    <s v="ARQUITECTURA        "/>
    <s v=""/>
    <n v="77"/>
    <n v="41"/>
    <n v="1"/>
    <n v="1"/>
    <m/>
    <m/>
    <m/>
    <m/>
    <m/>
    <m/>
    <m/>
    <n v="340"/>
  </r>
  <r>
    <n v="709"/>
    <s v="Lorena Cortes Torralbo"/>
    <n v="10350"/>
    <n v="345"/>
    <n v="5175"/>
    <x v="424"/>
    <n v="1"/>
    <x v="5"/>
    <x v="14"/>
    <x v="3"/>
    <s v="LUN VIE"/>
    <m/>
    <s v="lorena.cortes@grupomaia.com"/>
    <s v="MÉRIDA ISELA MEDINA SALINAS"/>
    <n v="41405"/>
    <n v="5422.4000000000005"/>
    <s v="ESTRUCTURA"/>
    <s v="SOFTWARE"/>
    <s v="SÍ"/>
    <n v="10"/>
    <n v="0.5"/>
    <n v="5"/>
    <n v="30"/>
    <n v="1.095890410958904"/>
    <n v="378.08219178082192"/>
    <n v="38.333333333333336"/>
    <n v="35477"/>
    <s v="SAN BERNABÉ XII (F-115)"/>
    <s v="MONTY"/>
    <n v="8209398016"/>
    <s v="LORENA1976@HOTMAIL.COM"/>
    <s v="SOLTE"/>
    <s v="CURSA"/>
    <s v="A"/>
    <d v="2022-02-16T00:00:00"/>
    <n v="8"/>
    <s v="TEC"/>
    <s v="ARQUITECTURA        "/>
    <s v=""/>
    <n v="51"/>
    <n v="25"/>
    <n v="1"/>
    <n v="1"/>
    <m/>
    <m/>
    <m/>
    <m/>
    <m/>
    <m/>
    <m/>
    <n v="703"/>
  </r>
  <r>
    <n v="710"/>
    <s v="Angel Estrada Abundiz"/>
    <n v="9450"/>
    <n v="315"/>
    <n v="4725"/>
    <x v="425"/>
    <n v="1"/>
    <x v="2"/>
    <x v="29"/>
    <x v="3"/>
    <s v="LUN VIE"/>
    <m/>
    <s v="angel.estrada@grupomaia.com"/>
    <s v="IRIE DALÍ ANTARES CORTÉS"/>
    <m/>
    <m/>
    <m/>
    <m/>
    <s v="SÍ"/>
    <n v="10"/>
    <n v="0.5"/>
    <n v="5"/>
    <n v="30"/>
    <n v="1.095890410958904"/>
    <n v="345.20547945205476"/>
    <n v="35"/>
    <n v="26628"/>
    <s v="GLORIA MENDIOLA (TIERRA PROPIA)"/>
    <s v="STACT"/>
    <n v="5694394468"/>
    <s v="ANGEL1981@HOTMAIL.COM"/>
    <s v="DIVOR"/>
    <s v="CURSA"/>
    <s v="A"/>
    <d v="2022-11-25T00:00:00"/>
    <n v="8"/>
    <s v="UANL"/>
    <s v="BIBLIOTECOLOGÍA Y CIENCIA DE LA INFORMACIÓN   "/>
    <s v=""/>
    <n v="86"/>
    <n v="49"/>
    <n v="3"/>
    <n v="1"/>
    <m/>
    <m/>
    <m/>
    <m/>
    <m/>
    <m/>
    <m/>
    <n v="629"/>
  </r>
  <r>
    <n v="711"/>
    <s v="Victor Jesus Mota Gomez"/>
    <n v="9450"/>
    <n v="315"/>
    <n v="4725"/>
    <x v="426"/>
    <n v="1"/>
    <x v="3"/>
    <x v="19"/>
    <x v="3"/>
    <s v="LUN VIE"/>
    <m/>
    <s v="victor.mota@grupomaia.com"/>
    <s v="DIEGO HERRERA GIRÓN"/>
    <m/>
    <m/>
    <m/>
    <m/>
    <s v="SÍ"/>
    <n v="10"/>
    <n v="0.5"/>
    <n v="5"/>
    <n v="30"/>
    <n v="1.095890410958904"/>
    <n v="345.20547945205476"/>
    <n v="35"/>
    <n v="31838"/>
    <s v="VALLE DE SAN JERÓNIMO"/>
    <s v="STACT"/>
    <n v="8204484090"/>
    <s v="VICTOR1993@HOTMAIL.COM"/>
    <s v="SOLTE"/>
    <s v="CURSA"/>
    <s v="A"/>
    <d v="2022-03-02T00:00:00"/>
    <n v="6"/>
    <s v="UNEZ"/>
    <s v="INGENIERO EN MATERIALES      "/>
    <s v=""/>
    <n v="54"/>
    <n v="35"/>
    <n v="1"/>
    <n v="1"/>
    <m/>
    <m/>
    <m/>
    <m/>
    <m/>
    <m/>
    <m/>
    <n v="701"/>
  </r>
  <r>
    <n v="712"/>
    <s v="Daniel Alejandro Rojo Berlanga"/>
    <n v="27150"/>
    <n v="905"/>
    <n v="13575"/>
    <x v="427"/>
    <n v="1"/>
    <x v="3"/>
    <x v="19"/>
    <x v="1"/>
    <s v="LUN VIE"/>
    <n v="1024"/>
    <s v="daniel.rojo@grupomaia.com"/>
    <s v="DIEGO HERRERA GIRÓN"/>
    <n v="42977"/>
    <n v="19500"/>
    <s v="BANCA"/>
    <s v="PROYECCIÓN"/>
    <s v="SÍ"/>
    <n v="10"/>
    <n v="0.5"/>
    <n v="5"/>
    <n v="30"/>
    <n v="1.095890410958904"/>
    <n v="991.78082191780811"/>
    <n v="100.55555555555556"/>
    <n v="34490"/>
    <s v="PROVILEON SAN BERNABÉ"/>
    <s v="SANTG"/>
    <n v="8630938324"/>
    <s v="DANIEL1414@HOTMAIL.COM"/>
    <s v="CASDO"/>
    <s v="TITUL"/>
    <s v="A"/>
    <d v="2022-06-05T00:00:00"/>
    <m/>
    <s v="UANL"/>
    <s v="INGENIERO MECÁNICO ADMINISTRADOR      "/>
    <s v=""/>
    <n v="37"/>
    <n v="28"/>
    <n v="0"/>
    <n v="1"/>
    <m/>
    <m/>
    <m/>
    <m/>
    <m/>
    <m/>
    <m/>
    <n v="112"/>
  </r>
  <r>
    <n v="713"/>
    <s v="Daniela Alejandra Delgado Domínguez"/>
    <n v="7445"/>
    <n v="248.16666666666666"/>
    <n v="3722.5"/>
    <x v="428"/>
    <n v="1"/>
    <x v="7"/>
    <x v="16"/>
    <x v="3"/>
    <s v="LUN VIE"/>
    <m/>
    <s v="daniela.delgado@grupomaia.com"/>
    <s v="MARCO AURELIO URBINO"/>
    <m/>
    <m/>
    <m/>
    <m/>
    <s v="SÍ"/>
    <n v="10"/>
    <n v="0.5"/>
    <n v="5"/>
    <n v="30"/>
    <n v="1.095890410958904"/>
    <n v="271.96347031963467"/>
    <n v="27.574074074074073"/>
    <n v="31197"/>
    <s v="PROGRESO"/>
    <s v="SNICO"/>
    <n v="8344451558"/>
    <s v="DANIELA1994@HOTMAIL.COM"/>
    <s v="SOLTE"/>
    <s v="CURSA"/>
    <s v="A"/>
    <d v="2022-05-30T00:00:00"/>
    <n v="9"/>
    <s v="UVM"/>
    <s v="PUBLICIDAD   CIENCIAS DE LA COMUNICACIÓN ACENTUACIÓN EN PUBLICIDAD       "/>
    <s v=""/>
    <n v="98"/>
    <n v="37"/>
    <n v="0"/>
    <n v="1"/>
    <m/>
    <m/>
    <m/>
    <m/>
    <m/>
    <m/>
    <m/>
    <n v="449"/>
  </r>
  <r>
    <n v="714"/>
    <s v="Damaris Michelle Ambriz Ruiz"/>
    <n v="7445"/>
    <n v="248.16666666666666"/>
    <n v="3722.5"/>
    <x v="429"/>
    <n v="1"/>
    <x v="7"/>
    <x v="16"/>
    <x v="3"/>
    <s v="LUN VIE"/>
    <m/>
    <s v="damaris.ambriz@grupomaia.com"/>
    <s v="MARCO AURELIO URBINO"/>
    <m/>
    <m/>
    <m/>
    <m/>
    <s v="SÍ"/>
    <n v="10"/>
    <n v="0.5"/>
    <n v="5"/>
    <n v="30"/>
    <n v="1.095890410958904"/>
    <n v="271.96347031963467"/>
    <n v="27.574074074074073"/>
    <n v="30767"/>
    <s v="UNIÓN ANTORCHISTA"/>
    <s v="SNICO"/>
    <n v="8604542730"/>
    <s v="DAMARIS66@HOTMAIL.COM"/>
    <s v="DIVOR"/>
    <s v="CURSA"/>
    <s v="A"/>
    <d v="2022-03-26T00:00:00"/>
    <n v="10"/>
    <s v="TEC"/>
    <s v="NEGOCIOS INTERNACIONALES       "/>
    <s v=""/>
    <n v="93"/>
    <n v="38"/>
    <n v="3"/>
    <n v="1"/>
    <m/>
    <m/>
    <m/>
    <m/>
    <m/>
    <m/>
    <m/>
    <n v="206"/>
  </r>
  <r>
    <n v="715"/>
    <s v="Perla Yamileth García Olivo"/>
    <n v="27150"/>
    <n v="905"/>
    <n v="13575"/>
    <x v="430"/>
    <n v="1"/>
    <x v="4"/>
    <x v="27"/>
    <x v="1"/>
    <s v="LUN VIE"/>
    <n v="1018"/>
    <s v="perla.garcia@grupomaia.com"/>
    <s v="MARIANO ALDEBARÁN"/>
    <n v="45861"/>
    <n v="19390"/>
    <s v="ANLIS COST"/>
    <m/>
    <s v="SÍ"/>
    <n v="10"/>
    <n v="0.5"/>
    <n v="5"/>
    <n v="30"/>
    <n v="1.095890410958904"/>
    <n v="991.78082191780811"/>
    <n v="100.55555555555556"/>
    <n v="29522"/>
    <s v="MORELOS"/>
    <s v="ESCOB"/>
    <n v="8397024355"/>
    <s v="PERLA1414@HOTMAIL.COM"/>
    <s v="SOLTE"/>
    <s v="TITUL"/>
    <s v="A"/>
    <d v="2022-10-28T00:00:00"/>
    <m/>
    <s v="UANL"/>
    <s v="BIBLIOTECOLOGÍA Y CIENCIA DE LA INFORMACIÓN   "/>
    <s v=""/>
    <n v="96"/>
    <n v="41"/>
    <n v="3"/>
    <n v="1"/>
    <m/>
    <m/>
    <m/>
    <m/>
    <m/>
    <m/>
    <m/>
    <n v="659"/>
  </r>
  <r>
    <n v="716"/>
    <s v="Humberto Pacheco Cabrera"/>
    <n v="9450"/>
    <n v="315"/>
    <n v="4725"/>
    <x v="431"/>
    <n v="1"/>
    <x v="3"/>
    <x v="20"/>
    <x v="3"/>
    <s v="LUN VIE"/>
    <m/>
    <s v="humberto.pacheco@grupomaia.com"/>
    <s v="DIEGO HERRERA GIRÓN"/>
    <n v="43513"/>
    <n v="5422.4000000000005"/>
    <s v="INST CAMPO"/>
    <m/>
    <s v="SÍ"/>
    <n v="10"/>
    <n v="0.5"/>
    <n v="5"/>
    <n v="30"/>
    <n v="1.095890410958904"/>
    <n v="345.20547945205476"/>
    <n v="35"/>
    <n v="31292"/>
    <s v="SAN BERNABÉ XIII (F-116)"/>
    <s v="APODC"/>
    <n v="2166411395"/>
    <s v="HUMBERTO1991@HOTMAIL.COM"/>
    <s v="CASDO"/>
    <s v="CURSA"/>
    <s v="A"/>
    <d v="2022-09-02T00:00:00"/>
    <n v="9"/>
    <s v="UANL"/>
    <s v="INGENIERO MECÁNICO ADMINISTRADOR      "/>
    <s v=""/>
    <n v="97"/>
    <n v="36"/>
    <n v="3"/>
    <n v="1"/>
    <m/>
    <m/>
    <m/>
    <m/>
    <m/>
    <m/>
    <m/>
    <n v="414"/>
  </r>
  <r>
    <n v="717"/>
    <s v="Miguel Ángel Arroyo Villegas"/>
    <n v="9450"/>
    <n v="315"/>
    <n v="4725"/>
    <x v="432"/>
    <n v="0"/>
    <x v="7"/>
    <x v="8"/>
    <x v="3"/>
    <s v="LUN VIE"/>
    <m/>
    <s v="miguel.vazquez@grupomaia.com"/>
    <s v="MARCO AURELIO URBINO"/>
    <n v="42969"/>
    <n v="5088"/>
    <s v="SOLUCIONES"/>
    <m/>
    <s v="SÍ"/>
    <n v="6"/>
    <n v="0.5"/>
    <n v="3"/>
    <n v="30"/>
    <n v="1.0904109589041096"/>
    <n v="343.47945205479454"/>
    <n v="35"/>
    <n v="29546"/>
    <s v="VILLAS DEL CARMEN"/>
    <s v="MONTY"/>
    <n v="8495588393"/>
    <s v="MIGUEL1212@HOTMAIL.COM"/>
    <s v="DIVOR"/>
    <s v="TITUL"/>
    <s v="A"/>
    <d v="2022-11-21T00:00:00"/>
    <m/>
    <s v="UANL"/>
    <s v="EDUCACIÓN        "/>
    <s v=""/>
    <n v="41"/>
    <n v="41"/>
    <n v="3"/>
    <n v="0"/>
    <m/>
    <m/>
    <m/>
    <m/>
    <m/>
    <m/>
    <m/>
    <n v="966"/>
  </r>
  <r>
    <n v="719"/>
    <s v="Carlos Peña González"/>
    <n v="6778"/>
    <n v="225.93333333333334"/>
    <n v="3389"/>
    <x v="433"/>
    <n v="0"/>
    <x v="0"/>
    <x v="24"/>
    <x v="3"/>
    <s v="LUN VIE"/>
    <n v="0"/>
    <s v="carlos.peña@grupomaia.com"/>
    <s v="MARIANA RODRÍGUEZ GUTIERREZ"/>
    <m/>
    <m/>
    <m/>
    <m/>
    <s v="SÍ"/>
    <n v="6"/>
    <n v="0.25"/>
    <n v="1.5"/>
    <n v="15"/>
    <n v="1.0452054794520549"/>
    <n v="236.1467579908676"/>
    <n v="25.103703703703705"/>
    <n v="34365"/>
    <s v="NUESTRA SEÑORA DE FÁTIMA"/>
    <s v="ESCOB"/>
    <n v="8119125987"/>
    <s v="LUPITA_GRO@HOTMAIL.COM"/>
    <s v="DIVOR"/>
    <s v="TRNCA"/>
    <s v="B"/>
    <d v="2022-01-31T00:00:00"/>
    <n v="6"/>
    <s v="UANL"/>
    <s v="SECRETARIA CONTADOR"/>
    <n v="0"/>
    <n v="20"/>
    <n v="28"/>
    <n v="2"/>
    <n v="0"/>
    <m/>
    <m/>
    <m/>
    <m/>
    <m/>
    <m/>
    <m/>
    <n v="642"/>
  </r>
  <r>
    <n v="720"/>
    <s v="Julian Mejia Hernandez"/>
    <n v="10350"/>
    <n v="345"/>
    <n v="5175"/>
    <x v="434"/>
    <n v="0"/>
    <x v="4"/>
    <x v="27"/>
    <x v="3"/>
    <s v="LUN VIE"/>
    <m/>
    <s v="julian.mejia@grupomaia.com"/>
    <s v="MARIANO ALDEBARÁN"/>
    <n v="42064"/>
    <n v="5088"/>
    <s v="CONTA"/>
    <s v="COLECTIVOS"/>
    <s v="NO"/>
    <n v="6"/>
    <n v="0.5"/>
    <n v="3"/>
    <n v="30"/>
    <n v="1.0904109589041096"/>
    <n v="376.1917808219178"/>
    <n v="38.333333333333336"/>
    <n v="31695"/>
    <s v="LEONES"/>
    <s v="STACT"/>
    <n v="8210339109"/>
    <s v="JULIAN1977@HOTMAIL.COM"/>
    <s v="SOLTE"/>
    <s v="PSNTE"/>
    <s v="A"/>
    <d v="2022-10-10T00:00:00"/>
    <n v="5"/>
    <s v="UANL"/>
    <s v="NEGOCIOS INTERNACIONALES       "/>
    <s v=""/>
    <n v="61"/>
    <n v="35"/>
    <n v="2"/>
    <n v="0"/>
    <m/>
    <m/>
    <m/>
    <m/>
    <m/>
    <m/>
    <m/>
    <n v="460"/>
  </r>
  <r>
    <n v="721"/>
    <s v="Edwin Palma Alvarez"/>
    <n v="9541"/>
    <n v="318.03333333333336"/>
    <n v="4770.5"/>
    <x v="434"/>
    <n v="0"/>
    <x v="9"/>
    <x v="23"/>
    <x v="3"/>
    <s v="LUN VIE"/>
    <m/>
    <s v="edwin.palma@grupomaia.com"/>
    <s v="IDALIA GARCÍA ESCRIVÁ"/>
    <n v="42461"/>
    <n v="5956"/>
    <s v="ESTRUCTURA"/>
    <s v="ESTRUCTURA"/>
    <s v="NO"/>
    <n v="6"/>
    <n v="0.5"/>
    <n v="3"/>
    <n v="30"/>
    <n v="1.0904109589041096"/>
    <n v="346.78703196347033"/>
    <n v="35.337037037037042"/>
    <n v="32593"/>
    <s v="PRIVADA VILLA ALTA RESIDENCIAL"/>
    <s v="SNPED"/>
    <n v="3044191428"/>
    <s v="EDWIN1980@HOTMAIL.COM"/>
    <s v="SOLTE"/>
    <s v="TITUL"/>
    <s v="B"/>
    <d v="2022-03-26T00:00:00"/>
    <m/>
    <s v="PREPA 3"/>
    <s v="FÍSICA        "/>
    <s v=""/>
    <n v="64"/>
    <n v="33"/>
    <n v="1"/>
    <n v="0"/>
    <m/>
    <m/>
    <m/>
    <m/>
    <m/>
    <m/>
    <m/>
    <n v="492"/>
  </r>
  <r>
    <n v="722"/>
    <s v="Clara Guadalupe Ramirez Mata"/>
    <n v="7445"/>
    <n v="248.16666666666666"/>
    <n v="3722.5"/>
    <x v="435"/>
    <n v="0"/>
    <x v="7"/>
    <x v="18"/>
    <x v="3"/>
    <s v="LUN VIE"/>
    <m/>
    <s v="clara.ramirez@grupomaia.com"/>
    <s v="MARCO AURELIO URBINO"/>
    <m/>
    <m/>
    <m/>
    <m/>
    <s v="SÍ"/>
    <n v="6"/>
    <n v="0.5"/>
    <n v="3"/>
    <n v="30"/>
    <n v="1.0904109589041096"/>
    <n v="270.6036529680365"/>
    <n v="27.574074074074073"/>
    <n v="35881"/>
    <s v="U C MARTÍNEZ"/>
    <s v="SNICO"/>
    <n v="6889661742"/>
    <s v="CLARA66@HOTMAIL.COM"/>
    <s v="SOLTE"/>
    <s v="CURSA"/>
    <s v="A"/>
    <d v="2022-03-27T00:00:00"/>
    <n v="10"/>
    <s v="UNEZ"/>
    <s v="CIENCIAS DE LA COMUNICACIÓN CON ACENTUACIÓN EN INFORMACIÓN "/>
    <s v=""/>
    <n v="55"/>
    <n v="24"/>
    <n v="1"/>
    <n v="0"/>
    <m/>
    <m/>
    <m/>
    <m/>
    <m/>
    <m/>
    <m/>
    <n v="671"/>
  </r>
  <r>
    <n v="723"/>
    <s v="Jair Alejandro Garza Elizondo"/>
    <n v="7445"/>
    <n v="248.16666666666666"/>
    <n v="3722.5"/>
    <x v="436"/>
    <n v="0"/>
    <x v="8"/>
    <x v="11"/>
    <x v="3"/>
    <s v="LUN VIE"/>
    <m/>
    <s v="jair.garza@grupomaia.com"/>
    <s v="EMMA DARIELA GARCÍA LORCA"/>
    <m/>
    <m/>
    <m/>
    <m/>
    <s v="NO"/>
    <n v="6"/>
    <n v="0.5"/>
    <n v="3"/>
    <n v="30"/>
    <n v="1.0904109589041096"/>
    <n v="270.6036529680365"/>
    <n v="27.574074074074073"/>
    <n v="29874"/>
    <s v="SAN BERNABÉ III"/>
    <s v="MONTY"/>
    <n v="8190963530"/>
    <s v="JAIR66@HOTMAIL.COM"/>
    <s v="SOLTE"/>
    <s v="CURSA"/>
    <s v="A"/>
    <d v="2022-10-15T00:00:00"/>
    <n v="10"/>
    <s v="UANL"/>
    <s v="ADMINISTRACIÓN        "/>
    <s v=""/>
    <n v="48"/>
    <n v="40"/>
    <n v="2"/>
    <n v="0"/>
    <m/>
    <m/>
    <m/>
    <m/>
    <m/>
    <m/>
    <m/>
    <n v="104"/>
  </r>
  <r>
    <n v="724"/>
    <s v="Stephany Alondra Sarmiento Hernández"/>
    <n v="7950"/>
    <n v="265"/>
    <n v="3975"/>
    <x v="437"/>
    <n v="0"/>
    <x v="0"/>
    <x v="17"/>
    <x v="3"/>
    <s v="LUN VIE"/>
    <m/>
    <s v="stephany.sarmiento@grupomaia.com"/>
    <s v="MARIANA RODRÍGUEZ GUTIERREZ"/>
    <n v="44229"/>
    <e v="#REF!"/>
    <s v="AUDIT ADMN"/>
    <m/>
    <s v="NO"/>
    <n v="6"/>
    <n v="0.5"/>
    <n v="3"/>
    <n v="30"/>
    <n v="1.0904109589041096"/>
    <n v="288.95890410958901"/>
    <n v="29.444444444444443"/>
    <n v="32120"/>
    <s v="RESIDENCIAL SAN JERÓNIMO II"/>
    <s v="GRCIA"/>
    <n v="6339873216"/>
    <s v="STEPHANY1010@HOTMAIL.COM"/>
    <s v="SOLTE"/>
    <s v="CURSA"/>
    <s v="A"/>
    <d v="2022-12-09T00:00:00"/>
    <n v="10"/>
    <s v="IPN"/>
    <s v="NEGOCIOS INTERNACIONALES       "/>
    <s v=""/>
    <n v="65"/>
    <n v="34"/>
    <n v="1"/>
    <n v="0"/>
    <m/>
    <m/>
    <m/>
    <m/>
    <m/>
    <m/>
    <m/>
    <n v="640"/>
  </r>
  <r>
    <n v="725"/>
    <s v="Nancy Abigail Cazares Herrera"/>
    <n v="9450"/>
    <n v="315"/>
    <n v="4725"/>
    <x v="438"/>
    <n v="0"/>
    <x v="9"/>
    <x v="23"/>
    <x v="3"/>
    <s v="LUN VIE"/>
    <m/>
    <s v="nancy.cazares@grupomaia.com"/>
    <s v="IDALIA GARCÍA ESCRIVÁ"/>
    <n v="43809"/>
    <n v="7560"/>
    <s v="CONTROL"/>
    <m/>
    <s v="NO"/>
    <n v="6"/>
    <n v="0.5"/>
    <n v="3"/>
    <n v="30"/>
    <n v="1.0904109589041096"/>
    <n v="343.47945205479454"/>
    <n v="35"/>
    <n v="35921"/>
    <s v="OBRERISTA"/>
    <s v="SANTG"/>
    <n v="8400094103"/>
    <s v="NANCY1010@HOTMAIL.COM"/>
    <s v="SOLTE"/>
    <s v="TITUL"/>
    <s v="A"/>
    <d v="2022-05-06T00:00:00"/>
    <m/>
    <s v="UANL"/>
    <s v="CIENCIAS DE LA COMUNICACIÓN CON ACENTUACIÓN EN INFORMACIÓN "/>
    <s v=""/>
    <n v="73"/>
    <n v="24"/>
    <n v="0"/>
    <n v="0"/>
    <m/>
    <m/>
    <m/>
    <m/>
    <m/>
    <m/>
    <m/>
    <n v="724"/>
  </r>
  <r>
    <n v="726"/>
    <s v="Devany Maríana Galvan Galvan"/>
    <n v="9541"/>
    <n v="318.03333333333336"/>
    <n v="4770.5"/>
    <x v="438"/>
    <n v="0"/>
    <x v="9"/>
    <x v="31"/>
    <x v="3"/>
    <s v="LUN VIE"/>
    <m/>
    <s v="devany.galvan@grupomaia.com"/>
    <s v="IDALIA GARCÍA ESCRIVÁ"/>
    <n v="45481"/>
    <n v="5211.5"/>
    <s v="ANLIS COST"/>
    <m/>
    <s v="SÍ"/>
    <n v="6"/>
    <n v="0.5"/>
    <n v="3"/>
    <n v="30"/>
    <n v="1.0904109589041096"/>
    <n v="346.78703196347033"/>
    <n v="35.337037037037042"/>
    <n v="30217"/>
    <s v="SATÉLITE MIRADORES"/>
    <s v="MONTY"/>
    <n v="8211737856"/>
    <s v="DEVANY1414@HOTMAIL.COM"/>
    <s v="SOLTE"/>
    <s v="CURSA"/>
    <s v="A"/>
    <d v="2022-09-23T00:00:00"/>
    <n v="6"/>
    <s v="UANL"/>
    <s v="INGENIERO MECÁNICO ADMINISTRADOR      "/>
    <s v=""/>
    <n v="37"/>
    <n v="39"/>
    <n v="3"/>
    <n v="0"/>
    <m/>
    <m/>
    <m/>
    <m/>
    <m/>
    <m/>
    <m/>
    <n v="39"/>
  </r>
  <r>
    <n v="728"/>
    <s v="Maritza Samantha Ramos Serna"/>
    <n v="9541"/>
    <n v="318.03333333333336"/>
    <n v="4770.5"/>
    <x v="438"/>
    <n v="0"/>
    <x v="2"/>
    <x v="29"/>
    <x v="3"/>
    <s v="LUN VIE"/>
    <m/>
    <s v="maritza.ramos@grupomaia.com"/>
    <s v="IRIE DALÍ ANTARES CORTÉS"/>
    <n v="45381"/>
    <n v="5211.5"/>
    <s v="DISEÑO INT"/>
    <m/>
    <s v="NO"/>
    <n v="6"/>
    <n v="0.5"/>
    <n v="3"/>
    <n v="30"/>
    <n v="1.0904109589041096"/>
    <n v="346.78703196347033"/>
    <n v="35.337037037037042"/>
    <n v="32242"/>
    <s v="CERRITOS MODELO (F-76)"/>
    <s v="APODC"/>
    <n v="8393283932"/>
    <s v="MARITZA1414@HOTMAIL.COM"/>
    <s v="SOLTE"/>
    <s v="CURSA"/>
    <s v="A"/>
    <d v="2022-04-09T00:00:00"/>
    <n v="10"/>
    <s v="UANL"/>
    <s v="FÍSICA        "/>
    <s v=""/>
    <n v="85"/>
    <n v="34"/>
    <n v="0"/>
    <n v="0"/>
    <m/>
    <m/>
    <m/>
    <m/>
    <m/>
    <m/>
    <m/>
    <n v="3"/>
  </r>
  <r>
    <n v="730"/>
    <s v="Areli Suzette Vázquez Hernández"/>
    <n v="9450"/>
    <n v="315"/>
    <n v="4725"/>
    <x v="439"/>
    <n v="0"/>
    <x v="0"/>
    <x v="26"/>
    <x v="3"/>
    <s v="LUN VIE"/>
    <m/>
    <s v="areli.vázquez@grupomaia.com"/>
    <s v="MARIANA RODRÍGUEZ GUTIERREZ"/>
    <n v="43855"/>
    <n v="7360"/>
    <s v="INST CAMPO"/>
    <m/>
    <s v="SÍ"/>
    <n v="6"/>
    <n v="0.5"/>
    <n v="3"/>
    <n v="30"/>
    <n v="1.0904109589041096"/>
    <n v="343.47945205479454"/>
    <n v="35"/>
    <n v="34033"/>
    <s v="SAN BERNABÉ IV (F-124)"/>
    <s v="GRCIA"/>
    <n v="8461409461"/>
    <s v="ARELI1988@HOTMAIL.COM"/>
    <s v="SOLTE"/>
    <s v="PSNTE"/>
    <s v="A"/>
    <d v="2022-03-05T00:00:00"/>
    <n v="9"/>
    <s v="UANL"/>
    <s v="ADMINISTRACIÓN        "/>
    <s v=""/>
    <n v="54"/>
    <n v="29"/>
    <n v="1"/>
    <n v="0"/>
    <m/>
    <m/>
    <m/>
    <m/>
    <m/>
    <m/>
    <m/>
    <n v="975"/>
  </r>
  <r>
    <n v="731"/>
    <s v="Silvia Villalva Guzman"/>
    <n v="8825"/>
    <n v="294.16666666666669"/>
    <n v="4412.5"/>
    <x v="440"/>
    <n v="0"/>
    <x v="3"/>
    <x v="21"/>
    <x v="3"/>
    <s v="LUN VIE"/>
    <m/>
    <s v="silvia.villalva@grupomaia.com"/>
    <s v="DIEGO HERRERA GIRÓN"/>
    <n v="43440"/>
    <n v="6158.4000000000005"/>
    <m/>
    <m/>
    <s v="SÍ"/>
    <n v="6"/>
    <n v="0.5"/>
    <n v="3"/>
    <n v="30"/>
    <n v="1.0904109589041096"/>
    <n v="320.76255707762556"/>
    <n v="32.68518518518519"/>
    <n v="27176"/>
    <s v="PRIVADAS DE LA SILLA"/>
    <s v="MONTY"/>
    <n v="8199930291"/>
    <s v="SILVIA1994@HOTMAIL.COM"/>
    <s v="SOLTE"/>
    <s v="TITUL"/>
    <s v="A"/>
    <d v="2022-05-27T00:00:00"/>
    <m/>
    <s v="UANL"/>
    <s v="INGENIERÍA CIVIL       "/>
    <s v=""/>
    <n v="56"/>
    <n v="48"/>
    <n v="0"/>
    <n v="0"/>
    <m/>
    <m/>
    <m/>
    <m/>
    <m/>
    <m/>
    <m/>
    <n v="33"/>
  </r>
  <r>
    <n v="733"/>
    <s v="María Guadalupe Carrillo Chavez"/>
    <n v="7445"/>
    <n v="248.16666666666666"/>
    <n v="3722.5"/>
    <x v="441"/>
    <n v="0"/>
    <x v="9"/>
    <x v="23"/>
    <x v="3"/>
    <s v="LUN VIE"/>
    <m/>
    <s v="maria.carrillo@grupomaia.com"/>
    <s v="IDALIA GARCÍA ESCRIVÁ"/>
    <m/>
    <m/>
    <m/>
    <m/>
    <s v="SÍ"/>
    <n v="6"/>
    <n v="0.5"/>
    <n v="3"/>
    <n v="30"/>
    <n v="1.0904109589041096"/>
    <n v="270.6036529680365"/>
    <n v="27.574074074074073"/>
    <n v="29783"/>
    <s v="PRIVADAS DEL SUR"/>
    <s v="SANTG"/>
    <n v="4666548745"/>
    <s v="MARIA1993@HOTMAIL.COM"/>
    <s v="DIVOR"/>
    <s v="CURSA"/>
    <s v="A"/>
    <d v="2022-07-16T00:00:00"/>
    <n v="6"/>
    <s v="UANL"/>
    <s v="CONTADOR PÚBLICO       "/>
    <s v=""/>
    <n v="57"/>
    <n v="40"/>
    <n v="2"/>
    <n v="0"/>
    <m/>
    <m/>
    <m/>
    <m/>
    <m/>
    <m/>
    <m/>
    <n v="9"/>
  </r>
  <r>
    <n v="734"/>
    <s v="Ruby Isela Tolentino Bernal"/>
    <n v="9541"/>
    <n v="318.03333333333336"/>
    <n v="4770.5"/>
    <x v="442"/>
    <n v="0"/>
    <x v="3"/>
    <x v="21"/>
    <x v="3"/>
    <s v="LUN VIE"/>
    <m/>
    <s v="ruby.tolentino@grupomaia.com"/>
    <s v="DIEGO HERRERA GIRÓN"/>
    <n v="42434"/>
    <n v="5422.4000000000005"/>
    <s v="AUDIT PROY"/>
    <s v="ADMINCIÓN"/>
    <s v="SÍ"/>
    <n v="6"/>
    <n v="0.5"/>
    <n v="3"/>
    <n v="30"/>
    <n v="1.0904109589041096"/>
    <n v="346.78703196347033"/>
    <n v="35.337037037037042"/>
    <n v="25851"/>
    <s v="PRIVADA VILLA ALTA RESIDENCIAL"/>
    <s v="STACT"/>
    <n v="2166733049"/>
    <s v="RUBY1971@HOTMAIL.COM"/>
    <s v="SOLTE"/>
    <s v="CURSA"/>
    <s v="A"/>
    <d v="2022-10-10T00:00:00"/>
    <n v="10"/>
    <s v="UANL"/>
    <s v="INGENIERÍA CIVIL       "/>
    <s v=""/>
    <n v="48"/>
    <n v="51"/>
    <n v="1"/>
    <n v="0"/>
    <m/>
    <m/>
    <m/>
    <m/>
    <m/>
    <m/>
    <m/>
    <n v="541"/>
  </r>
  <r>
    <n v="735"/>
    <s v="Emiliana Cruz Ramirez"/>
    <n v="7445"/>
    <n v="248.16666666666666"/>
    <n v="3722.5"/>
    <x v="443"/>
    <n v="0"/>
    <x v="3"/>
    <x v="21"/>
    <x v="3"/>
    <s v="LUN VIE"/>
    <m/>
    <s v="emiliana.cruz@grupomaia.com"/>
    <s v="DIEGO HERRERA GIRÓN"/>
    <m/>
    <m/>
    <m/>
    <m/>
    <s v="SÍ"/>
    <n v="6"/>
    <n v="0.5"/>
    <n v="3"/>
    <n v="30"/>
    <n v="1.0904109589041096"/>
    <n v="270.6036529680365"/>
    <n v="27.574074074074073"/>
    <n v="32130"/>
    <s v="MADERO NORTE"/>
    <s v="SNICO"/>
    <n v="8207801192"/>
    <s v="EMILIANA1978@HOTMAIL.COM"/>
    <s v="SOLTE"/>
    <s v="CURSA"/>
    <s v="A"/>
    <d v="2022-12-19T00:00:00"/>
    <n v="5"/>
    <s v="UANL"/>
    <s v="INGENIERÍA CIVIL       "/>
    <s v=""/>
    <n v="39"/>
    <n v="34"/>
    <n v="3"/>
    <n v="0"/>
    <m/>
    <m/>
    <m/>
    <m/>
    <m/>
    <m/>
    <m/>
    <n v="988"/>
  </r>
  <r>
    <n v="736"/>
    <s v="Marco Antonio Martínez Guerrero"/>
    <n v="7950"/>
    <n v="265"/>
    <n v="3975"/>
    <x v="444"/>
    <n v="0"/>
    <x v="3"/>
    <x v="21"/>
    <x v="3"/>
    <s v="LUN VIE"/>
    <m/>
    <s v="marco.martínez@grupomaia.com"/>
    <s v="DIEGO HERRERA GIRÓN"/>
    <n v="43312"/>
    <n v="5956"/>
    <s v="RELACIONES"/>
    <m/>
    <s v="SÍ"/>
    <n v="6"/>
    <n v="0.5"/>
    <n v="3"/>
    <n v="30"/>
    <n v="1.0904109589041096"/>
    <n v="288.95890410958901"/>
    <n v="29.444444444444443"/>
    <n v="32757"/>
    <s v="PROGRESO"/>
    <s v="SNPED"/>
    <n v="8412607084.5"/>
    <s v="MARCO1997@HOTMAIL.COM"/>
    <s v="SOLTE"/>
    <s v="CURSA"/>
    <s v="A"/>
    <d v="2022-09-06T00:00:00"/>
    <n v="10"/>
    <s v="UANL"/>
    <s v="INGENIERÍA CIVIL       "/>
    <s v=""/>
    <n v="83"/>
    <n v="32"/>
    <n v="0"/>
    <n v="0"/>
    <m/>
    <m/>
    <m/>
    <m/>
    <m/>
    <m/>
    <m/>
    <n v="210"/>
  </r>
  <r>
    <n v="737"/>
    <s v="Josélyn Lara Garza"/>
    <n v="7445"/>
    <n v="248.16666666666666"/>
    <n v="3722.5"/>
    <x v="445"/>
    <n v="0"/>
    <x v="7"/>
    <x v="8"/>
    <x v="3"/>
    <s v="LUN VIE"/>
    <m/>
    <s v="joselyn.lara@grupomaia.com"/>
    <s v="MARCO AURELIO URBINO"/>
    <m/>
    <m/>
    <m/>
    <m/>
    <s v="SÍ"/>
    <n v="6"/>
    <n v="0.5"/>
    <n v="3"/>
    <n v="30"/>
    <n v="1.0904109589041096"/>
    <n v="270.6036529680365"/>
    <n v="27.574074074074073"/>
    <n v="35884"/>
    <s v="LOMAS DE SANTGA CECILIA"/>
    <s v="MONTY"/>
    <n v="3354654863"/>
    <s v="JOSELYN88@HOTMAIL.COM"/>
    <s v="SOLTE"/>
    <s v="CURSA"/>
    <s v="A"/>
    <d v="2022-03-30T00:00:00"/>
    <n v="10"/>
    <s v="UANL"/>
    <s v="CONTADOR PÚBLICO       "/>
    <s v=""/>
    <n v="61"/>
    <n v="24"/>
    <n v="2"/>
    <n v="0"/>
    <m/>
    <m/>
    <m/>
    <m/>
    <m/>
    <m/>
    <m/>
    <n v="6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B0547F-1A1B-47B1-AC37-16C5D03E828F}" name="TablaDinámica4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3">
  <location ref="E6:G17" firstHeaderRow="1" firstDataRow="3" firstDataCol="1" rowPageCount="1" colPageCount="1"/>
  <pivotFields count="53">
    <pivotField showAll="0"/>
    <pivotField showAll="0"/>
    <pivotField showAll="0"/>
    <pivotField showAll="0"/>
    <pivotField showAll="0"/>
    <pivotField dataField="1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11">
        <item x="7"/>
        <item x="2"/>
        <item x="9"/>
        <item x="8"/>
        <item x="0"/>
        <item x="5"/>
        <item x="3"/>
        <item x="4"/>
        <item x="6"/>
        <item x="1"/>
        <item t="default"/>
      </items>
    </pivotField>
    <pivotField showAll="0">
      <items count="34">
        <item x="17"/>
        <item x="18"/>
        <item x="14"/>
        <item x="8"/>
        <item x="16"/>
        <item x="9"/>
        <item x="23"/>
        <item x="7"/>
        <item x="29"/>
        <item x="2"/>
        <item x="13"/>
        <item x="24"/>
        <item x="12"/>
        <item x="4"/>
        <item x="0"/>
        <item x="5"/>
        <item x="3"/>
        <item x="30"/>
        <item x="20"/>
        <item x="31"/>
        <item x="27"/>
        <item x="15"/>
        <item x="21"/>
        <item x="10"/>
        <item x="19"/>
        <item x="11"/>
        <item x="6"/>
        <item x="22"/>
        <item x="25"/>
        <item x="28"/>
        <item x="32"/>
        <item x="26"/>
        <item x="1"/>
        <item t="default"/>
      </items>
    </pivotField>
    <pivotField axis="axisPage" multipleItemSelectionAllowed="1" showAll="0">
      <items count="5">
        <item x="3"/>
        <item x="1"/>
        <item h="1"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Col" showAll="0">
      <items count="29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  <item h="1" sd="0" x="14"/>
        <item h="1" sd="0" x="15"/>
        <item h="1" sd="0" x="16"/>
        <item h="1" sd="0" x="17"/>
        <item h="1" sd="0" x="18"/>
        <item h="1" sd="0" x="19"/>
        <item h="1" sd="0" x="20"/>
        <item h="1" sd="0" x="21"/>
        <item h="1" sd="0" x="22"/>
        <item h="1" sd="0" x="23"/>
        <item h="1" sd="0" x="24"/>
        <item sd="0" x="25"/>
        <item h="1" sd="0" x="26"/>
        <item h="1" x="27"/>
        <item t="default"/>
      </items>
    </pivotField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2">
    <field x="52"/>
    <field x="51"/>
  </colFields>
  <colItems count="2">
    <i>
      <x v="25"/>
    </i>
    <i t="grand">
      <x/>
    </i>
  </colItems>
  <pageFields count="1">
    <pageField fld="9" hier="-1"/>
  </pageFields>
  <dataFields count="1">
    <dataField name="Cuenta de FECHA ING." fld="5" subtotal="countNums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DA3FEC-A503-4E23-A8C7-637E16EE1D6E}" name="TablaDinámica3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6">
  <location ref="B6:C39" firstHeaderRow="1" firstDataRow="1" firstDataCol="1" rowPageCount="2" colPageCount="1"/>
  <pivotFields count="53">
    <pivotField dataField="1" showAll="0"/>
    <pivotField showAll="0"/>
    <pivotField showAll="0"/>
    <pivotField showAll="0"/>
    <pivotField showAll="0"/>
    <pivotField numFmtId="14" showAll="0" countASubtotal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countA"/>
      </items>
    </pivotField>
    <pivotField showAll="0"/>
    <pivotField axis="axisRow" showAll="0">
      <items count="11">
        <item x="7"/>
        <item x="2"/>
        <item x="9"/>
        <item x="8"/>
        <item x="0"/>
        <item x="5"/>
        <item x="3"/>
        <item x="4"/>
        <item x="6"/>
        <item x="1"/>
        <item t="default"/>
      </items>
    </pivotField>
    <pivotField axis="axisRow" showAll="0">
      <items count="34">
        <item x="17"/>
        <item x="18"/>
        <item x="14"/>
        <item x="8"/>
        <item x="16"/>
        <item x="9"/>
        <item x="23"/>
        <item x="7"/>
        <item x="29"/>
        <item x="2"/>
        <item x="13"/>
        <item x="24"/>
        <item x="12"/>
        <item x="4"/>
        <item x="0"/>
        <item x="5"/>
        <item x="3"/>
        <item x="30"/>
        <item x="20"/>
        <item x="31"/>
        <item x="27"/>
        <item x="15"/>
        <item x="21"/>
        <item x="10"/>
        <item x="19"/>
        <item x="11"/>
        <item x="6"/>
        <item x="22"/>
        <item x="25"/>
        <item x="28"/>
        <item x="32"/>
        <item x="26"/>
        <item x="1"/>
        <item t="default"/>
      </items>
    </pivotField>
    <pivotField axis="axisPage" multipleItemSelectionAllowed="1" showAll="0">
      <items count="5">
        <item x="3"/>
        <item x="1"/>
        <item h="1"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axis="axisPage" multipleItemSelectionAllowed="1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27"/>
        <item t="default"/>
      </items>
    </pivotField>
  </pivotFields>
  <rowFields count="2">
    <field x="7"/>
    <field x="8"/>
  </rowFields>
  <rowItems count="33">
    <i>
      <x/>
    </i>
    <i r="1">
      <x v="1"/>
    </i>
    <i r="1">
      <x v="3"/>
    </i>
    <i r="1">
      <x v="4"/>
    </i>
    <i>
      <x v="1"/>
    </i>
    <i r="1">
      <x v="8"/>
    </i>
    <i r="1">
      <x v="23"/>
    </i>
    <i>
      <x v="2"/>
    </i>
    <i r="1">
      <x v="6"/>
    </i>
    <i r="1">
      <x v="19"/>
    </i>
    <i>
      <x v="3"/>
    </i>
    <i r="1">
      <x v="25"/>
    </i>
    <i r="1">
      <x v="27"/>
    </i>
    <i r="1">
      <x v="28"/>
    </i>
    <i>
      <x v="4"/>
    </i>
    <i r="1">
      <x/>
    </i>
    <i r="1">
      <x v="11"/>
    </i>
    <i r="1">
      <x v="31"/>
    </i>
    <i>
      <x v="5"/>
    </i>
    <i r="1">
      <x v="2"/>
    </i>
    <i r="1">
      <x v="29"/>
    </i>
    <i>
      <x v="6"/>
    </i>
    <i r="1">
      <x v="18"/>
    </i>
    <i r="1">
      <x v="22"/>
    </i>
    <i r="1">
      <x v="24"/>
    </i>
    <i>
      <x v="7"/>
    </i>
    <i r="1">
      <x v="7"/>
    </i>
    <i r="1">
      <x v="13"/>
    </i>
    <i r="1">
      <x v="20"/>
    </i>
    <i>
      <x v="9"/>
    </i>
    <i r="1">
      <x v="17"/>
    </i>
    <i r="1">
      <x v="30"/>
    </i>
    <i t="grand">
      <x/>
    </i>
  </rowItems>
  <colItems count="1">
    <i/>
  </colItems>
  <pageFields count="2">
    <pageField fld="52" hier="-1"/>
    <pageField fld="9" hier="-1"/>
  </pageFields>
  <dataFields count="1">
    <dataField name="Cuenta de NEM" fld="0" subtotal="countNums" baseField="7" baseItem="0"/>
  </dataFields>
  <formats count="18">
    <format dxfId="233">
      <pivotArea collapsedLevelsAreSubtotals="1" fieldPosition="0">
        <references count="1">
          <reference field="7" count="1">
            <x v="0"/>
          </reference>
        </references>
      </pivotArea>
    </format>
    <format dxfId="232">
      <pivotArea collapsedLevelsAreSubtotals="1" fieldPosition="0">
        <references count="2">
          <reference field="7" count="1" selected="0">
            <x v="0"/>
          </reference>
          <reference field="8" count="3">
            <x v="1"/>
            <x v="3"/>
            <x v="4"/>
          </reference>
        </references>
      </pivotArea>
    </format>
    <format dxfId="231">
      <pivotArea collapsedLevelsAreSubtotals="1" fieldPosition="0">
        <references count="1">
          <reference field="7" count="1">
            <x v="1"/>
          </reference>
        </references>
      </pivotArea>
    </format>
    <format dxfId="230">
      <pivotArea collapsedLevelsAreSubtotals="1" fieldPosition="0">
        <references count="2">
          <reference field="7" count="1" selected="0">
            <x v="1"/>
          </reference>
          <reference field="8" count="2">
            <x v="8"/>
            <x v="23"/>
          </reference>
        </references>
      </pivotArea>
    </format>
    <format dxfId="229">
      <pivotArea collapsedLevelsAreSubtotals="1" fieldPosition="0">
        <references count="1">
          <reference field="7" count="1">
            <x v="2"/>
          </reference>
        </references>
      </pivotArea>
    </format>
    <format dxfId="228">
      <pivotArea collapsedLevelsAreSubtotals="1" fieldPosition="0">
        <references count="2">
          <reference field="7" count="1" selected="0">
            <x v="2"/>
          </reference>
          <reference field="8" count="2">
            <x v="6"/>
            <x v="19"/>
          </reference>
        </references>
      </pivotArea>
    </format>
    <format dxfId="227">
      <pivotArea collapsedLevelsAreSubtotals="1" fieldPosition="0">
        <references count="1">
          <reference field="7" count="1">
            <x v="3"/>
          </reference>
        </references>
      </pivotArea>
    </format>
    <format dxfId="226">
      <pivotArea collapsedLevelsAreSubtotals="1" fieldPosition="0">
        <references count="2">
          <reference field="7" count="1" selected="0">
            <x v="3"/>
          </reference>
          <reference field="8" count="3">
            <x v="25"/>
            <x v="27"/>
            <x v="28"/>
          </reference>
        </references>
      </pivotArea>
    </format>
    <format dxfId="225">
      <pivotArea collapsedLevelsAreSubtotals="1" fieldPosition="0">
        <references count="1">
          <reference field="7" count="1">
            <x v="4"/>
          </reference>
        </references>
      </pivotArea>
    </format>
    <format dxfId="224">
      <pivotArea collapsedLevelsAreSubtotals="1" fieldPosition="0">
        <references count="2">
          <reference field="7" count="1" selected="0">
            <x v="4"/>
          </reference>
          <reference field="8" count="3">
            <x v="0"/>
            <x v="11"/>
            <x v="31"/>
          </reference>
        </references>
      </pivotArea>
    </format>
    <format dxfId="223">
      <pivotArea collapsedLevelsAreSubtotals="1" fieldPosition="0">
        <references count="1">
          <reference field="7" count="1">
            <x v="5"/>
          </reference>
        </references>
      </pivotArea>
    </format>
    <format dxfId="222">
      <pivotArea collapsedLevelsAreSubtotals="1" fieldPosition="0">
        <references count="2">
          <reference field="7" count="1" selected="0">
            <x v="5"/>
          </reference>
          <reference field="8" count="2">
            <x v="2"/>
            <x v="29"/>
          </reference>
        </references>
      </pivotArea>
    </format>
    <format dxfId="221">
      <pivotArea collapsedLevelsAreSubtotals="1" fieldPosition="0">
        <references count="1">
          <reference field="7" count="1">
            <x v="6"/>
          </reference>
        </references>
      </pivotArea>
    </format>
    <format dxfId="220">
      <pivotArea collapsedLevelsAreSubtotals="1" fieldPosition="0">
        <references count="2">
          <reference field="7" count="1" selected="0">
            <x v="6"/>
          </reference>
          <reference field="8" count="3">
            <x v="18"/>
            <x v="22"/>
            <x v="24"/>
          </reference>
        </references>
      </pivotArea>
    </format>
    <format dxfId="219">
      <pivotArea collapsedLevelsAreSubtotals="1" fieldPosition="0">
        <references count="1">
          <reference field="7" count="1">
            <x v="7"/>
          </reference>
        </references>
      </pivotArea>
    </format>
    <format dxfId="218">
      <pivotArea collapsedLevelsAreSubtotals="1" fieldPosition="0">
        <references count="2">
          <reference field="7" count="1" selected="0">
            <x v="7"/>
          </reference>
          <reference field="8" count="3">
            <x v="7"/>
            <x v="13"/>
            <x v="20"/>
          </reference>
        </references>
      </pivotArea>
    </format>
    <format dxfId="217">
      <pivotArea collapsedLevelsAreSubtotals="1" fieldPosition="0">
        <references count="1">
          <reference field="7" count="1">
            <x v="9"/>
          </reference>
        </references>
      </pivotArea>
    </format>
    <format dxfId="216">
      <pivotArea collapsedLevelsAreSubtotals="1" fieldPosition="0">
        <references count="2">
          <reference field="7" count="1" selected="0">
            <x v="9"/>
          </reference>
          <reference field="8" count="2">
            <x v="17"/>
            <x v="3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2F586-283F-49C1-AF5D-F00076DD2CF9}" name="TablaDinámica2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1">
  <location ref="J8:K18" firstHeaderRow="1" firstDataRow="1" firstDataCol="1" rowPageCount="2" colPageCount="1"/>
  <pivotFields count="53">
    <pivotField dataField="1" showAll="0"/>
    <pivotField showAll="0"/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11">
        <item x="7"/>
        <item x="2"/>
        <item x="9"/>
        <item x="8"/>
        <item x="0"/>
        <item x="5"/>
        <item x="3"/>
        <item x="4"/>
        <item x="6"/>
        <item x="1"/>
        <item t="default"/>
      </items>
    </pivotField>
    <pivotField showAll="0">
      <items count="34">
        <item x="17"/>
        <item x="18"/>
        <item x="14"/>
        <item x="8"/>
        <item x="16"/>
        <item x="9"/>
        <item x="23"/>
        <item x="7"/>
        <item x="29"/>
        <item x="2"/>
        <item x="13"/>
        <item x="24"/>
        <item x="12"/>
        <item x="4"/>
        <item x="0"/>
        <item x="5"/>
        <item x="3"/>
        <item x="30"/>
        <item x="20"/>
        <item x="31"/>
        <item x="27"/>
        <item x="15"/>
        <item x="21"/>
        <item x="10"/>
        <item x="19"/>
        <item x="11"/>
        <item x="6"/>
        <item x="22"/>
        <item x="25"/>
        <item x="28"/>
        <item x="32"/>
        <item x="26"/>
        <item x="1"/>
        <item t="default"/>
      </items>
    </pivotField>
    <pivotField axis="axisPage" multipleItemSelectionAllowed="1" showAll="0">
      <items count="5">
        <item x="3"/>
        <item x="1"/>
        <item h="1"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axis="axisPage" multipleItemSelectionAllowed="1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27"/>
        <item t="default"/>
      </items>
    </pivotField>
  </pivotFields>
  <rowFields count="1">
    <field x="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Items count="1">
    <i/>
  </colItems>
  <pageFields count="2">
    <pageField fld="52" hier="-1"/>
    <pageField fld="9" hier="-1"/>
  </pageFields>
  <dataFields count="1">
    <dataField name="Cuenta de NEM" fld="0" subtotal="count" baseField="7" baseItem="0"/>
  </dataFields>
  <formats count="10">
    <format dxfId="243">
      <pivotArea collapsedLevelsAreSubtotals="1" fieldPosition="0">
        <references count="1">
          <reference field="7" count="1">
            <x v="0"/>
          </reference>
        </references>
      </pivotArea>
    </format>
    <format dxfId="242">
      <pivotArea collapsedLevelsAreSubtotals="1" fieldPosition="0">
        <references count="1">
          <reference field="7" count="1">
            <x v="1"/>
          </reference>
        </references>
      </pivotArea>
    </format>
    <format dxfId="241">
      <pivotArea collapsedLevelsAreSubtotals="1" fieldPosition="0">
        <references count="1">
          <reference field="7" count="1">
            <x v="2"/>
          </reference>
        </references>
      </pivotArea>
    </format>
    <format dxfId="240">
      <pivotArea collapsedLevelsAreSubtotals="1" fieldPosition="0">
        <references count="1">
          <reference field="7" count="1">
            <x v="3"/>
          </reference>
        </references>
      </pivotArea>
    </format>
    <format dxfId="239">
      <pivotArea collapsedLevelsAreSubtotals="1" fieldPosition="0">
        <references count="1">
          <reference field="7" count="1">
            <x v="4"/>
          </reference>
        </references>
      </pivotArea>
    </format>
    <format dxfId="238">
      <pivotArea collapsedLevelsAreSubtotals="1" fieldPosition="0">
        <references count="1">
          <reference field="7" count="1">
            <x v="5"/>
          </reference>
        </references>
      </pivotArea>
    </format>
    <format dxfId="237">
      <pivotArea collapsedLevelsAreSubtotals="1" fieldPosition="0">
        <references count="1">
          <reference field="7" count="1">
            <x v="6"/>
          </reference>
        </references>
      </pivotArea>
    </format>
    <format dxfId="236">
      <pivotArea collapsedLevelsAreSubtotals="1" fieldPosition="0">
        <references count="1">
          <reference field="7" count="1">
            <x v="7"/>
          </reference>
        </references>
      </pivotArea>
    </format>
    <format dxfId="235">
      <pivotArea collapsedLevelsAreSubtotals="1" fieldPosition="0">
        <references count="1">
          <reference field="7" count="1">
            <x v="9"/>
          </reference>
        </references>
      </pivotArea>
    </format>
    <format dxfId="234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CC2A35-BB4C-424D-960C-8BCF2AA7AE33}" name="TablaDinámica7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B63:F82" firstHeaderRow="1" firstDataRow="4" firstDataCol="1" rowPageCount="1" colPageCount="1"/>
  <pivotFields count="13">
    <pivotField showAll="0"/>
    <pivotField showAll="0"/>
    <pivotField numFmtId="165" showAll="0"/>
    <pivotField numFmtId="14" showAll="0"/>
    <pivotField dataField="1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10">
        <item x="5"/>
        <item x="8"/>
        <item x="6"/>
        <item x="7"/>
        <item x="0"/>
        <item x="4"/>
        <item x="2"/>
        <item x="3"/>
        <item x="1"/>
        <item t="default"/>
      </items>
    </pivotField>
    <pivotField axis="axisRow" showAll="0">
      <items count="23">
        <item x="17"/>
        <item x="9"/>
        <item x="5"/>
        <item x="8"/>
        <item x="16"/>
        <item x="11"/>
        <item x="4"/>
        <item x="15"/>
        <item x="0"/>
        <item x="13"/>
        <item x="21"/>
        <item x="2"/>
        <item x="19"/>
        <item x="7"/>
        <item x="6"/>
        <item x="3"/>
        <item x="14"/>
        <item x="18"/>
        <item x="20"/>
        <item x="12"/>
        <item x="1"/>
        <item x="10"/>
        <item t="default"/>
      </items>
    </pivotField>
    <pivotField axis="axisPage" showAll="0">
      <items count="8">
        <item x="2"/>
        <item x="3"/>
        <item x="5"/>
        <item x="6"/>
        <item x="0"/>
        <item x="1"/>
        <item x="4"/>
        <item t="default"/>
      </items>
    </pivotField>
    <pivotField showAll="0"/>
    <pivotField dataField="1" showAll="0"/>
    <pivotField showAll="0"/>
    <pivotField axis="axisCol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sd="0" x="12"/>
        <item h="1" sd="0" x="13"/>
        <item t="default"/>
      </items>
    </pivotField>
  </pivotFields>
  <rowFields count="2">
    <field x="5"/>
    <field x="6"/>
  </rowFields>
  <rowItems count="16">
    <i>
      <x/>
    </i>
    <i r="1">
      <x v="1"/>
    </i>
    <i r="1">
      <x v="3"/>
    </i>
    <i>
      <x v="2"/>
    </i>
    <i r="1">
      <x v="5"/>
    </i>
    <i r="1">
      <x v="12"/>
    </i>
    <i>
      <x v="3"/>
    </i>
    <i r="1">
      <x v="18"/>
    </i>
    <i>
      <x v="5"/>
    </i>
    <i r="1">
      <x v="2"/>
    </i>
    <i>
      <x v="6"/>
    </i>
    <i r="1">
      <x v="11"/>
    </i>
    <i r="1">
      <x v="14"/>
    </i>
    <i>
      <x v="8"/>
    </i>
    <i r="1">
      <x v="20"/>
    </i>
    <i t="grand">
      <x/>
    </i>
  </rowItems>
  <colFields count="3">
    <field x="12"/>
    <field x="11"/>
    <field x="-2"/>
  </colFields>
  <colItems count="4">
    <i>
      <x v="12"/>
      <x v="1048832"/>
      <x/>
    </i>
    <i r="2" i="1">
      <x v="1"/>
    </i>
    <i t="grand">
      <x/>
    </i>
    <i t="grand" i="1">
      <x/>
    </i>
  </colItems>
  <pageFields count="1">
    <pageField fld="7" hier="-1"/>
  </pageFields>
  <dataFields count="2">
    <dataField name="Cuenta de FECHA SAL." fld="4" subtotal="count" baseField="0" baseItem="0"/>
    <dataField name="Cuenta de MOTIVO SALIDA" fld="9" subtotal="count" baseField="0" baseItem="0"/>
  </dataFields>
  <chartFormats count="21"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1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24">
      <pivotArea type="data" outline="0" fieldPosition="0">
        <references count="5">
          <reference field="4294967294" count="1" selected="0">
            <x v="0"/>
          </reference>
          <reference field="5" count="1" selected="0">
            <x v="0"/>
          </reference>
          <reference field="6" count="1" selected="0">
            <x v="1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25">
      <pivotArea type="data" outline="0" fieldPosition="0">
        <references count="5">
          <reference field="4294967294" count="1" selected="0">
            <x v="0"/>
          </reference>
          <reference field="5" count="1" selected="0">
            <x v="0"/>
          </reference>
          <reference field="6" count="1" selected="0">
            <x v="3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26">
      <pivotArea type="data" outline="0" fieldPosition="0">
        <references count="5">
          <reference field="4294967294" count="1" selected="0">
            <x v="0"/>
          </reference>
          <reference field="5" count="1" selected="0">
            <x v="2"/>
          </reference>
          <reference field="6" count="1" selected="0">
            <x v="5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27">
      <pivotArea type="data" outline="0" fieldPosition="0">
        <references count="5">
          <reference field="4294967294" count="1" selected="0">
            <x v="0"/>
          </reference>
          <reference field="5" count="1" selected="0">
            <x v="2"/>
          </reference>
          <reference field="6" count="1" selected="0">
            <x v="12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28">
      <pivotArea type="data" outline="0" fieldPosition="0">
        <references count="5">
          <reference field="4294967294" count="1" selected="0">
            <x v="0"/>
          </reference>
          <reference field="5" count="1" selected="0">
            <x v="3"/>
          </reference>
          <reference field="6" count="1" selected="0">
            <x v="18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29">
      <pivotArea type="data" outline="0" fieldPosition="0">
        <references count="5">
          <reference field="4294967294" count="1" selected="0">
            <x v="0"/>
          </reference>
          <reference field="5" count="1" selected="0">
            <x v="5"/>
          </reference>
          <reference field="6" count="1" selected="0">
            <x v="2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30">
      <pivotArea type="data" outline="0" fieldPosition="0">
        <references count="5">
          <reference field="4294967294" count="1" selected="0">
            <x v="0"/>
          </reference>
          <reference field="5" count="1" selected="0">
            <x v="6"/>
          </reference>
          <reference field="6" count="1" selected="0">
            <x v="11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31">
      <pivotArea type="data" outline="0" fieldPosition="0">
        <references count="5">
          <reference field="4294967294" count="1" selected="0">
            <x v="0"/>
          </reference>
          <reference field="5" count="1" selected="0">
            <x v="6"/>
          </reference>
          <reference field="6" count="1" selected="0">
            <x v="14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32">
      <pivotArea type="data" outline="0" fieldPosition="0">
        <references count="5">
          <reference field="4294967294" count="1" selected="0">
            <x v="0"/>
          </reference>
          <reference field="5" count="1" selected="0">
            <x v="8"/>
          </reference>
          <reference field="6" count="1" selected="0">
            <x v="20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33">
      <pivotArea type="data" outline="0" fieldPosition="0">
        <references count="5">
          <reference field="4294967294" count="1" selected="0">
            <x v="1"/>
          </reference>
          <reference field="5" count="1" selected="0">
            <x v="0"/>
          </reference>
          <reference field="6" count="1" selected="0">
            <x v="1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34">
      <pivotArea type="data" outline="0" fieldPosition="0">
        <references count="5">
          <reference field="429496729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35">
      <pivotArea type="data" outline="0" fieldPosition="0">
        <references count="5">
          <reference field="4294967294" count="1" selected="0">
            <x v="1"/>
          </reference>
          <reference field="5" count="1" selected="0">
            <x v="2"/>
          </reference>
          <reference field="6" count="1" selected="0">
            <x v="5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36">
      <pivotArea type="data" outline="0" fieldPosition="0">
        <references count="5">
          <reference field="4294967294" count="1" selected="0">
            <x v="1"/>
          </reference>
          <reference field="5" count="1" selected="0">
            <x v="2"/>
          </reference>
          <reference field="6" count="1" selected="0">
            <x v="12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37">
      <pivotArea type="data" outline="0" fieldPosition="0">
        <references count="5">
          <reference field="4294967294" count="1" selected="0">
            <x v="1"/>
          </reference>
          <reference field="5" count="1" selected="0">
            <x v="3"/>
          </reference>
          <reference field="6" count="1" selected="0">
            <x v="18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38">
      <pivotArea type="data" outline="0" fieldPosition="0">
        <references count="5">
          <reference field="4294967294" count="1" selected="0">
            <x v="1"/>
          </reference>
          <reference field="5" count="1" selected="0">
            <x v="5"/>
          </reference>
          <reference field="6" count="1" selected="0">
            <x v="2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39">
      <pivotArea type="data" outline="0" fieldPosition="0">
        <references count="5">
          <reference field="4294967294" count="1" selected="0">
            <x v="1"/>
          </reference>
          <reference field="5" count="1" selected="0">
            <x v="6"/>
          </reference>
          <reference field="6" count="1" selected="0">
            <x v="11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40">
      <pivotArea type="data" outline="0" fieldPosition="0">
        <references count="5">
          <reference field="4294967294" count="1" selected="0">
            <x v="1"/>
          </reference>
          <reference field="5" count="1" selected="0">
            <x v="6"/>
          </reference>
          <reference field="6" count="1" selected="0">
            <x v="14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  <chartFormat chart="3" format="41">
      <pivotArea type="data" outline="0" fieldPosition="0">
        <references count="5">
          <reference field="4294967294" count="1" selected="0">
            <x v="1"/>
          </reference>
          <reference field="5" count="1" selected="0">
            <x v="8"/>
          </reference>
          <reference field="6" count="1" selected="0">
            <x v="20"/>
          </reference>
          <reference field="11" count="1" selected="0">
            <x v="1048832"/>
          </reference>
          <reference field="12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48710C-B360-4F8E-B3E7-E295AD96784C}" name="TablaDinámica5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1">
  <location ref="M8:N18" firstHeaderRow="1" firstDataRow="1" firstDataCol="1" rowPageCount="2" colPageCount="1"/>
  <pivotFields count="53">
    <pivotField showAll="0"/>
    <pivotField showAll="0"/>
    <pivotField dataField="1"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11">
        <item x="7"/>
        <item x="2"/>
        <item x="9"/>
        <item x="8"/>
        <item x="0"/>
        <item x="5"/>
        <item x="3"/>
        <item x="4"/>
        <item x="6"/>
        <item x="1"/>
        <item t="default"/>
      </items>
    </pivotField>
    <pivotField showAll="0">
      <items count="34">
        <item x="17"/>
        <item x="18"/>
        <item x="14"/>
        <item x="8"/>
        <item x="16"/>
        <item x="9"/>
        <item x="23"/>
        <item x="7"/>
        <item x="29"/>
        <item x="2"/>
        <item x="13"/>
        <item x="24"/>
        <item x="12"/>
        <item x="4"/>
        <item x="0"/>
        <item x="5"/>
        <item x="3"/>
        <item x="30"/>
        <item x="20"/>
        <item x="31"/>
        <item x="27"/>
        <item x="15"/>
        <item x="21"/>
        <item x="10"/>
        <item x="19"/>
        <item x="11"/>
        <item x="6"/>
        <item x="22"/>
        <item x="25"/>
        <item x="28"/>
        <item x="32"/>
        <item x="26"/>
        <item x="1"/>
        <item t="default"/>
      </items>
    </pivotField>
    <pivotField axis="axisPage" multipleItemSelectionAllowed="1" showAll="0">
      <items count="5">
        <item x="3"/>
        <item x="1"/>
        <item h="1"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axis="axisPage" multipleItemSelectionAllowed="1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27"/>
        <item t="default"/>
      </items>
    </pivotField>
  </pivotFields>
  <rowFields count="1">
    <field x="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Items count="1">
    <i/>
  </colItems>
  <pageFields count="2">
    <pageField fld="52" hier="-1"/>
    <pageField fld="9" hier="-1"/>
  </pageFields>
  <dataFields count="1">
    <dataField name="Promedio de SUE MENS" fld="2" subtotal="average" baseField="7" baseItem="1"/>
  </dataFields>
  <formats count="2">
    <format dxfId="245">
      <pivotArea grandRow="1" outline="0" collapsedLevelsAreSubtotals="1" fieldPosition="0"/>
    </format>
    <format dxfId="244">
      <pivotArea collapsedLevelsAreSubtotals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231762-72EA-4B78-84F9-1E9B92E02B46}" name="TablaDinámica1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5">
  <location ref="J24:K34" firstHeaderRow="1" firstDataRow="1" firstDataCol="1" rowPageCount="2" colPageCount="1"/>
  <pivotFields count="53">
    <pivotField showAll="0"/>
    <pivotField showAll="0"/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11">
        <item x="7"/>
        <item x="2"/>
        <item x="9"/>
        <item x="8"/>
        <item x="0"/>
        <item x="5"/>
        <item x="3"/>
        <item x="4"/>
        <item x="6"/>
        <item x="1"/>
        <item t="default"/>
      </items>
    </pivotField>
    <pivotField showAll="0">
      <items count="34">
        <item x="17"/>
        <item x="18"/>
        <item x="14"/>
        <item x="8"/>
        <item x="16"/>
        <item x="9"/>
        <item x="23"/>
        <item x="7"/>
        <item x="29"/>
        <item x="2"/>
        <item x="13"/>
        <item x="24"/>
        <item x="12"/>
        <item x="4"/>
        <item x="0"/>
        <item x="5"/>
        <item x="3"/>
        <item x="30"/>
        <item x="20"/>
        <item x="31"/>
        <item x="27"/>
        <item x="15"/>
        <item x="21"/>
        <item x="10"/>
        <item x="19"/>
        <item x="11"/>
        <item x="6"/>
        <item x="22"/>
        <item x="25"/>
        <item x="28"/>
        <item x="32"/>
        <item x="26"/>
        <item x="1"/>
        <item t="default"/>
      </items>
    </pivotField>
    <pivotField axis="axisPage" multipleItemSelectionAllowed="1" showAll="0">
      <items count="5">
        <item x="3"/>
        <item x="1"/>
        <item h="1"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axis="axisPage" multipleItemSelectionAllowed="1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27"/>
        <item t="default"/>
      </items>
    </pivotField>
  </pivotFields>
  <rowFields count="1">
    <field x="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Items count="1">
    <i/>
  </colItems>
  <pageFields count="2">
    <pageField fld="52" hier="-1"/>
    <pageField fld="9" hier="-1"/>
  </pageFields>
  <dataFields count="1">
    <dataField name="Promedio de EDD" fld="40" subtotal="average" baseField="7" baseItem="0"/>
  </dataFields>
  <formats count="10">
    <format dxfId="255">
      <pivotArea collapsedLevelsAreSubtotals="1" fieldPosition="0">
        <references count="1">
          <reference field="7" count="1">
            <x v="0"/>
          </reference>
        </references>
      </pivotArea>
    </format>
    <format dxfId="254">
      <pivotArea collapsedLevelsAreSubtotals="1" fieldPosition="0">
        <references count="1">
          <reference field="7" count="1">
            <x v="1"/>
          </reference>
        </references>
      </pivotArea>
    </format>
    <format dxfId="253">
      <pivotArea collapsedLevelsAreSubtotals="1" fieldPosition="0">
        <references count="1">
          <reference field="7" count="1">
            <x v="2"/>
          </reference>
        </references>
      </pivotArea>
    </format>
    <format dxfId="252">
      <pivotArea collapsedLevelsAreSubtotals="1" fieldPosition="0">
        <references count="1">
          <reference field="7" count="1">
            <x v="3"/>
          </reference>
        </references>
      </pivotArea>
    </format>
    <format dxfId="251">
      <pivotArea collapsedLevelsAreSubtotals="1" fieldPosition="0">
        <references count="1">
          <reference field="7" count="1">
            <x v="4"/>
          </reference>
        </references>
      </pivotArea>
    </format>
    <format dxfId="250">
      <pivotArea collapsedLevelsAreSubtotals="1" fieldPosition="0">
        <references count="1">
          <reference field="7" count="1">
            <x v="5"/>
          </reference>
        </references>
      </pivotArea>
    </format>
    <format dxfId="249">
      <pivotArea collapsedLevelsAreSubtotals="1" fieldPosition="0">
        <references count="1">
          <reference field="7" count="1">
            <x v="6"/>
          </reference>
        </references>
      </pivotArea>
    </format>
    <format dxfId="248">
      <pivotArea collapsedLevelsAreSubtotals="1" fieldPosition="0">
        <references count="1">
          <reference field="7" count="1">
            <x v="7"/>
          </reference>
        </references>
      </pivotArea>
    </format>
    <format dxfId="247">
      <pivotArea collapsedLevelsAreSubtotals="1" fieldPosition="0">
        <references count="1">
          <reference field="7" count="1">
            <x v="9"/>
          </reference>
        </references>
      </pivotArea>
    </format>
    <format dxfId="246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05CAE-F83C-4ABD-BB0D-E4EA6905EAF9}" name="TablaDinámica7" cacheId="1" applyNumberFormats="0" applyBorderFormats="0" applyFontFormats="0" applyPatternFormats="0" applyAlignmentFormats="0" applyWidthHeightFormats="1" dataCaption="Valores" grandTotalCaption="TOTAL GENERAL" updatedVersion="7" minRefreshableVersion="3" showDrill="0" useAutoFormatting="1" itemPrintTitles="1" createdVersion="7" indent="0" outline="1" outlineData="1" multipleFieldFilters="0" chartFormat="11" rowHeaderCaption="DEPARTAMENTO">
  <location ref="B21:E31" firstHeaderRow="0" firstDataRow="1" firstDataCol="1" rowPageCount="2" colPageCount="1"/>
  <pivotFields count="53">
    <pivotField dataField="1" showAll="0"/>
    <pivotField showAll="0"/>
    <pivotField dataField="1"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axis="axisRow" showAll="0">
      <items count="11">
        <item x="7"/>
        <item x="2"/>
        <item x="9"/>
        <item x="8"/>
        <item x="0"/>
        <item x="5"/>
        <item x="3"/>
        <item x="4"/>
        <item x="6"/>
        <item x="1"/>
        <item t="default"/>
      </items>
    </pivotField>
    <pivotField showAll="0">
      <items count="34">
        <item x="17"/>
        <item x="18"/>
        <item x="14"/>
        <item x="8"/>
        <item x="16"/>
        <item x="9"/>
        <item x="23"/>
        <item x="7"/>
        <item x="29"/>
        <item x="2"/>
        <item x="13"/>
        <item x="24"/>
        <item x="12"/>
        <item x="4"/>
        <item x="0"/>
        <item x="5"/>
        <item x="3"/>
        <item x="30"/>
        <item x="20"/>
        <item x="31"/>
        <item x="27"/>
        <item x="15"/>
        <item x="21"/>
        <item x="10"/>
        <item x="19"/>
        <item x="11"/>
        <item x="6"/>
        <item x="22"/>
        <item x="25"/>
        <item x="28"/>
        <item x="32"/>
        <item x="26"/>
        <item x="1"/>
        <item t="default"/>
      </items>
    </pivotField>
    <pivotField axis="axisPage" multipleItemSelectionAllowed="1" showAll="0">
      <items count="5">
        <item x="3"/>
        <item x="1"/>
        <item h="1"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axis="axisPage" multipleItemSelectionAllowed="1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27"/>
        <item t="default"/>
      </items>
    </pivotField>
  </pivotFields>
  <rowFields count="1">
    <field x="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52" hier="-1"/>
    <pageField fld="9" hier="-1"/>
  </pageFields>
  <dataFields count="3">
    <dataField name="Total de empleados" fld="0" subtotal="countNums" baseField="7" baseItem="2"/>
    <dataField name="Prom. sueldo mensual" fld="2" subtotal="average" baseField="7" baseItem="1"/>
    <dataField name="Prom de antigüedad" fld="6" subtotal="average" baseField="7" baseItem="0" numFmtId="169"/>
  </dataFields>
  <formats count="48">
    <format dxfId="120">
      <pivotArea grandRow="1" outline="0" collapsedLevelsAreSubtotals="1" fieldPosition="0"/>
    </format>
    <format dxfId="119">
      <pivotArea collapsedLevelsAreSubtotals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118">
      <pivotArea type="all" dataOnly="0" outline="0" fieldPosition="0"/>
    </format>
    <format dxfId="117">
      <pivotArea outline="0" collapsedLevelsAreSubtotals="1" fieldPosition="0"/>
    </format>
    <format dxfId="116">
      <pivotArea field="7" type="button" dataOnly="0" labelOnly="1" outline="0" axis="axisRow" fieldPosition="0"/>
    </format>
    <format dxfId="115">
      <pivotArea dataOnly="0" labelOnly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114">
      <pivotArea dataOnly="0" labelOnly="1" grandRow="1" outline="0" fieldPosition="0"/>
    </format>
    <format dxfId="113">
      <pivotArea dataOnly="0" labelOnly="1" outline="0" axis="axisValues" fieldPosition="0"/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7" type="button" dataOnly="0" labelOnly="1" outline="0" axis="axisRow" fieldPosition="0"/>
    </format>
    <format dxfId="109">
      <pivotArea dataOnly="0" labelOnly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108">
      <pivotArea dataOnly="0" labelOnly="1" grandRow="1" outline="0" fieldPosition="0"/>
    </format>
    <format dxfId="107">
      <pivotArea dataOnly="0" labelOnly="1" outline="0" axis="axisValues" fieldPosition="0"/>
    </format>
    <format dxfId="106">
      <pivotArea type="all" dataOnly="0" outline="0" fieldPosition="0"/>
    </format>
    <format dxfId="105">
      <pivotArea outline="0" collapsedLevelsAreSubtotals="1" fieldPosition="0"/>
    </format>
    <format dxfId="104">
      <pivotArea field="7" type="button" dataOnly="0" labelOnly="1" outline="0" axis="axisRow" fieldPosition="0"/>
    </format>
    <format dxfId="103">
      <pivotArea dataOnly="0" labelOnly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102">
      <pivotArea dataOnly="0" labelOnly="1" grandRow="1" outline="0" fieldPosition="0"/>
    </format>
    <format dxfId="10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7" type="button" dataOnly="0" labelOnly="1" outline="0" axis="axisRow" fieldPosition="0"/>
    </format>
    <format dxfId="97">
      <pivotArea dataOnly="0" labelOnly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96">
      <pivotArea dataOnly="0" labelOnly="1" grandRow="1" outline="0" fieldPosition="0"/>
    </format>
    <format dxfId="9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4">
      <pivotArea collapsedLevelsAreSubtotals="1" fieldPosition="0">
        <references count="2">
          <reference field="4294967294" count="1" selected="0">
            <x v="0"/>
          </reference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93">
      <pivotArea field="7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92">
      <pivotArea collapsedLevelsAreSubtotals="1" fieldPosition="0">
        <references count="2">
          <reference field="4294967294" count="1" selected="0">
            <x v="2"/>
          </reference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0">
      <pivotArea type="all" dataOnly="0" outline="0" fieldPosition="0"/>
    </format>
    <format dxfId="89">
      <pivotArea outline="0" collapsedLevelsAreSubtotals="1" fieldPosition="0"/>
    </format>
    <format dxfId="88">
      <pivotArea field="7" type="button" dataOnly="0" labelOnly="1" outline="0" axis="axisRow" fieldPosition="0"/>
    </format>
    <format dxfId="87">
      <pivotArea dataOnly="0" labelOnly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86">
      <pivotArea dataOnly="0" labelOnly="1" grandRow="1" outline="0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7" type="button" dataOnly="0" labelOnly="1" outline="0" axis="axisRow" fieldPosition="0"/>
    </format>
    <format dxfId="81">
      <pivotArea dataOnly="0" labelOnly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80">
      <pivotArea dataOnly="0" labelOnly="1" grandRow="1" outline="0" fieldPosition="0"/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type="all" dataOnly="0" outline="0" fieldPosition="0"/>
    </format>
    <format dxfId="77">
      <pivotArea outline="0" collapsedLevelsAreSubtotals="1" fieldPosition="0"/>
    </format>
    <format dxfId="76">
      <pivotArea field="7" type="button" dataOnly="0" labelOnly="1" outline="0" axis="axisRow" fieldPosition="0"/>
    </format>
    <format dxfId="75">
      <pivotArea dataOnly="0" labelOnly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74">
      <pivotArea dataOnly="0" labelOnly="1" grandRow="1" outline="0" fieldPosition="0"/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8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61DD24-8805-4E50-B937-DA64BFC05098}" name="TablaDinámica9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 rowHeaderCaption="DEPARTAMENTO">
  <location ref="I39:N47" firstHeaderRow="1" firstDataRow="2" firstDataCol="1" rowPageCount="2" colPageCount="1"/>
  <pivotFields count="13">
    <pivotField showAll="0"/>
    <pivotField showAll="0"/>
    <pivotField numFmtId="165" showAll="0"/>
    <pivotField numFmtId="14" showAll="0"/>
    <pivotField dataField="1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10">
        <item x="5"/>
        <item x="8"/>
        <item x="6"/>
        <item x="7"/>
        <item x="0"/>
        <item x="4"/>
        <item x="2"/>
        <item x="3"/>
        <item x="1"/>
        <item t="default"/>
      </items>
    </pivotField>
    <pivotField showAll="0">
      <items count="23">
        <item x="17"/>
        <item x="9"/>
        <item x="5"/>
        <item x="8"/>
        <item x="16"/>
        <item x="11"/>
        <item x="4"/>
        <item x="15"/>
        <item x="0"/>
        <item x="13"/>
        <item x="21"/>
        <item x="2"/>
        <item x="19"/>
        <item x="7"/>
        <item x="6"/>
        <item x="3"/>
        <item x="14"/>
        <item x="18"/>
        <item x="20"/>
        <item x="12"/>
        <item x="1"/>
        <item x="10"/>
        <item t="default"/>
      </items>
    </pivotField>
    <pivotField axis="axisPage" showAll="0">
      <items count="8">
        <item x="2"/>
        <item x="3"/>
        <item x="5"/>
        <item x="6"/>
        <item x="0"/>
        <item x="1"/>
        <item x="4"/>
        <item t="default"/>
      </items>
    </pivotField>
    <pivotField showAll="0"/>
    <pivotField showAll="0"/>
    <pivotField showAll="0"/>
    <pivotField axis="axisCol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x="12"/>
        <item h="1" sd="0" x="13"/>
        <item t="default"/>
      </items>
    </pivotField>
  </pivotFields>
  <rowFields count="1">
    <field x="5"/>
  </rowFields>
  <rowItems count="7">
    <i>
      <x/>
    </i>
    <i>
      <x v="2"/>
    </i>
    <i>
      <x v="3"/>
    </i>
    <i>
      <x v="5"/>
    </i>
    <i>
      <x v="6"/>
    </i>
    <i>
      <x v="8"/>
    </i>
    <i t="grand">
      <x/>
    </i>
  </rowItems>
  <colFields count="1">
    <field x="11"/>
  </colFields>
  <colItems count="5">
    <i>
      <x v="1"/>
    </i>
    <i>
      <x v="2"/>
    </i>
    <i>
      <x v="3"/>
    </i>
    <i>
      <x v="4"/>
    </i>
    <i t="grand">
      <x/>
    </i>
  </colItems>
  <pageFields count="2">
    <pageField fld="7" hier="-1"/>
    <pageField fld="12" hier="-1"/>
  </pageFields>
  <dataFields count="1">
    <dataField name="Cuenta de FECHA SAL." fld="4" subtotal="count" baseField="0" baseItem="0"/>
  </dataFields>
  <formats count="50">
    <format dxfId="170">
      <pivotArea type="all" dataOnly="0" outline="0" fieldPosition="0"/>
    </format>
    <format dxfId="169">
      <pivotArea outline="0" collapsedLevelsAreSubtotals="1" fieldPosition="0"/>
    </format>
    <format dxfId="168">
      <pivotArea type="origin" dataOnly="0" labelOnly="1" outline="0" fieldPosition="0"/>
    </format>
    <format dxfId="167">
      <pivotArea field="12" type="button" dataOnly="0" labelOnly="1" outline="0" axis="axisPage" fieldPosition="1"/>
    </format>
    <format dxfId="166">
      <pivotArea field="11" type="button" dataOnly="0" labelOnly="1" outline="0" axis="axisCol" fieldPosition="0"/>
    </format>
    <format dxfId="165">
      <pivotArea field="5" type="button" dataOnly="0" labelOnly="1" outline="0" axis="axisRow" fieldPosition="0"/>
    </format>
    <format dxfId="164">
      <pivotArea dataOnly="0" labelOnly="1" fieldPosition="0">
        <references count="1">
          <reference field="5" count="6">
            <x v="0"/>
            <x v="2"/>
            <x v="3"/>
            <x v="5"/>
            <x v="6"/>
            <x v="8"/>
          </reference>
        </references>
      </pivotArea>
    </format>
    <format dxfId="163">
      <pivotArea dataOnly="0" labelOnly="1" grandRow="1" outline="0" fieldPosition="0"/>
    </format>
    <format dxfId="162">
      <pivotArea dataOnly="0" labelOnly="1" fieldPosition="0">
        <references count="1">
          <reference field="12" count="0"/>
        </references>
      </pivotArea>
    </format>
    <format dxfId="161">
      <pivotArea dataOnly="0" labelOnly="1" grandCol="1" outline="0" fieldPosition="0"/>
    </format>
    <format dxfId="160">
      <pivotArea type="all" dataOnly="0" outline="0" fieldPosition="0"/>
    </format>
    <format dxfId="159">
      <pivotArea outline="0" collapsedLevelsAreSubtotals="1" fieldPosition="0"/>
    </format>
    <format dxfId="158">
      <pivotArea type="origin" dataOnly="0" labelOnly="1" outline="0" fieldPosition="0"/>
    </format>
    <format dxfId="157">
      <pivotArea field="12" type="button" dataOnly="0" labelOnly="1" outline="0" axis="axisPage" fieldPosition="1"/>
    </format>
    <format dxfId="156">
      <pivotArea field="11" type="button" dataOnly="0" labelOnly="1" outline="0" axis="axisCol" fieldPosition="0"/>
    </format>
    <format dxfId="155">
      <pivotArea field="5" type="button" dataOnly="0" labelOnly="1" outline="0" axis="axisRow" fieldPosition="0"/>
    </format>
    <format dxfId="154">
      <pivotArea dataOnly="0" labelOnly="1" fieldPosition="0">
        <references count="1">
          <reference field="5" count="6">
            <x v="0"/>
            <x v="2"/>
            <x v="3"/>
            <x v="5"/>
            <x v="6"/>
            <x v="8"/>
          </reference>
        </references>
      </pivotArea>
    </format>
    <format dxfId="153">
      <pivotArea dataOnly="0" labelOnly="1" grandRow="1" outline="0" fieldPosition="0"/>
    </format>
    <format dxfId="152">
      <pivotArea dataOnly="0" labelOnly="1" fieldPosition="0">
        <references count="1">
          <reference field="12" count="0"/>
        </references>
      </pivotArea>
    </format>
    <format dxfId="151">
      <pivotArea dataOnly="0" labelOnly="1" grandCol="1" outline="0" fieldPosition="0"/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type="origin" dataOnly="0" labelOnly="1" outline="0" fieldPosition="0"/>
    </format>
    <format dxfId="147">
      <pivotArea field="11" type="button" dataOnly="0" labelOnly="1" outline="0" axis="axisCol" fieldPosition="0"/>
    </format>
    <format dxfId="146">
      <pivotArea type="topRight" dataOnly="0" labelOnly="1" outline="0" fieldPosition="0"/>
    </format>
    <format dxfId="145">
      <pivotArea field="5" type="button" dataOnly="0" labelOnly="1" outline="0" axis="axisRow" fieldPosition="0"/>
    </format>
    <format dxfId="144">
      <pivotArea dataOnly="0" labelOnly="1" fieldPosition="0">
        <references count="1">
          <reference field="5" count="6">
            <x v="0"/>
            <x v="2"/>
            <x v="3"/>
            <x v="5"/>
            <x v="6"/>
            <x v="8"/>
          </reference>
        </references>
      </pivotArea>
    </format>
    <format dxfId="143">
      <pivotArea dataOnly="0" labelOnly="1" grandRow="1" outline="0" fieldPosition="0"/>
    </format>
    <format dxfId="142">
      <pivotArea dataOnly="0" labelOnly="1" fieldPosition="0">
        <references count="1">
          <reference field="11" count="4">
            <x v="1"/>
            <x v="2"/>
            <x v="3"/>
            <x v="4"/>
          </reference>
        </references>
      </pivotArea>
    </format>
    <format dxfId="141">
      <pivotArea dataOnly="0" labelOnly="1" grandCol="1" outline="0" fieldPosition="0"/>
    </format>
    <format dxfId="140">
      <pivotArea outline="0" collapsedLevelsAreSubtotals="1" fieldPosition="0"/>
    </format>
    <format dxfId="139">
      <pivotArea field="5" type="button" dataOnly="0" labelOnly="1" outline="0" axis="axisRow" fieldPosition="0"/>
    </format>
    <format dxfId="138">
      <pivotArea dataOnly="0" labelOnly="1" fieldPosition="0">
        <references count="1">
          <reference field="5" count="6">
            <x v="0"/>
            <x v="2"/>
            <x v="3"/>
            <x v="5"/>
            <x v="6"/>
            <x v="8"/>
          </reference>
        </references>
      </pivotArea>
    </format>
    <format dxfId="137">
      <pivotArea dataOnly="0" labelOnly="1" grandRow="1" outline="0" fieldPosition="0"/>
    </format>
    <format dxfId="136">
      <pivotArea dataOnly="0" labelOnly="1" fieldPosition="0">
        <references count="1">
          <reference field="11" count="4">
            <x v="1"/>
            <x v="2"/>
            <x v="3"/>
            <x v="4"/>
          </reference>
        </references>
      </pivotArea>
    </format>
    <format dxfId="135">
      <pivotArea dataOnly="0" labelOnly="1" grandCol="1" outline="0" fieldPosition="0"/>
    </format>
    <format dxfId="134">
      <pivotArea dataOnly="0" grandCol="1" outline="0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type="origin" dataOnly="0" labelOnly="1" outline="0" fieldPosition="0"/>
    </format>
    <format dxfId="130">
      <pivotArea field="11" type="button" dataOnly="0" labelOnly="1" outline="0" axis="axisCol" fieldPosition="0"/>
    </format>
    <format dxfId="129">
      <pivotArea type="topRight" dataOnly="0" labelOnly="1" outline="0" fieldPosition="0"/>
    </format>
    <format dxfId="128">
      <pivotArea field="5" type="button" dataOnly="0" labelOnly="1" outline="0" axis="axisRow" fieldPosition="0"/>
    </format>
    <format dxfId="127">
      <pivotArea dataOnly="0" labelOnly="1" fieldPosition="0">
        <references count="1">
          <reference field="5" count="6">
            <x v="0"/>
            <x v="2"/>
            <x v="3"/>
            <x v="5"/>
            <x v="6"/>
            <x v="8"/>
          </reference>
        </references>
      </pivotArea>
    </format>
    <format dxfId="126">
      <pivotArea dataOnly="0" labelOnly="1" grandRow="1" outline="0" fieldPosition="0"/>
    </format>
    <format dxfId="125">
      <pivotArea dataOnly="0" labelOnly="1" fieldPosition="0">
        <references count="1">
          <reference field="11" count="4">
            <x v="1"/>
            <x v="2"/>
            <x v="3"/>
            <x v="4"/>
          </reference>
        </references>
      </pivotArea>
    </format>
    <format dxfId="124">
      <pivotArea dataOnly="0" labelOnly="1" grandCol="1" outline="0" fieldPosition="0"/>
    </format>
    <format dxfId="123">
      <pivotArea field="5" type="button" dataOnly="0" labelOnly="1" outline="0" axis="axisRow" fieldPosition="0"/>
    </format>
    <format dxfId="122">
      <pivotArea dataOnly="0" labelOnly="1" fieldPosition="0">
        <references count="1">
          <reference field="5" count="6">
            <x v="0"/>
            <x v="2"/>
            <x v="3"/>
            <x v="5"/>
            <x v="6"/>
            <x v="8"/>
          </reference>
        </references>
      </pivotArea>
    </format>
    <format dxfId="121">
      <pivotArea dataOnly="0" labelOnly="1" grandRow="1" outline="0" fieldPosition="0"/>
    </format>
  </formats>
  <chartFormats count="1"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"/>
          </reference>
        </references>
      </pivotArea>
    </chartFormat>
  </chartFormats>
  <pivotTableStyleInfo name="PivotStyleMedium1" showRowHeaders="0" showColHeaders="0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6CB9F5-5FCF-4E02-AF55-89155D5A4473}" name="TablaDinámica8" cacheId="1" applyNumberFormats="0" applyBorderFormats="0" applyFontFormats="0" applyPatternFormats="0" applyAlignmentFormats="0" applyWidthHeightFormats="1" dataCaption="Valores" grandTotalCaption="TOTAL" updatedVersion="7" minRefreshableVersion="3" useAutoFormatting="1" itemPrintTitles="1" createdVersion="7" indent="0" outline="1" outlineData="1" multipleFieldFilters="0" chartFormat="13" rowHeaderCaption="DEPARTAMENTO">
  <location ref="I20:N30" firstHeaderRow="1" firstDataRow="2" firstDataCol="1" rowPageCount="2" colPageCount="1"/>
  <pivotFields count="53">
    <pivotField showAll="0"/>
    <pivotField showAll="0"/>
    <pivotField showAll="0"/>
    <pivotField showAll="0"/>
    <pivotField showAll="0"/>
    <pivotField dataField="1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11">
        <item x="7"/>
        <item x="2"/>
        <item x="9"/>
        <item x="8"/>
        <item x="0"/>
        <item x="5"/>
        <item x="3"/>
        <item x="4"/>
        <item x="6"/>
        <item x="1"/>
        <item t="default"/>
      </items>
    </pivotField>
    <pivotField showAll="0">
      <items count="34">
        <item x="17"/>
        <item x="18"/>
        <item x="14"/>
        <item x="8"/>
        <item x="16"/>
        <item x="9"/>
        <item x="23"/>
        <item x="7"/>
        <item x="29"/>
        <item x="2"/>
        <item x="13"/>
        <item x="24"/>
        <item x="12"/>
        <item x="4"/>
        <item x="0"/>
        <item x="5"/>
        <item x="3"/>
        <item x="30"/>
        <item x="20"/>
        <item x="31"/>
        <item x="27"/>
        <item x="15"/>
        <item x="21"/>
        <item x="10"/>
        <item x="19"/>
        <item x="11"/>
        <item x="6"/>
        <item x="22"/>
        <item x="25"/>
        <item x="28"/>
        <item x="32"/>
        <item x="26"/>
        <item x="1"/>
        <item t="default"/>
      </items>
    </pivotField>
    <pivotField axis="axisPage" multipleItemSelectionAllowed="1" showAll="0">
      <items count="5">
        <item x="3"/>
        <item x="1"/>
        <item h="1"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Page" multipleItemSelectionAllowed="1" showAll="0">
      <items count="29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  <item h="1" sd="0" x="14"/>
        <item h="1" sd="0" x="15"/>
        <item h="1" sd="0" x="16"/>
        <item h="1" sd="0" x="17"/>
        <item h="1" sd="0" x="18"/>
        <item h="1" sd="0" x="19"/>
        <item h="1" sd="0" x="20"/>
        <item h="1" sd="0" x="21"/>
        <item h="1" sd="0" x="22"/>
        <item h="1" sd="0" x="23"/>
        <item h="1" sd="0" x="24"/>
        <item sd="0" x="25"/>
        <item h="1" sd="0" x="26"/>
        <item h="1" x="27"/>
        <item t="default"/>
      </items>
    </pivotField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51"/>
  </colFields>
  <colItems count="5">
    <i>
      <x v="1"/>
    </i>
    <i>
      <x v="2"/>
    </i>
    <i>
      <x v="3"/>
    </i>
    <i>
      <x v="4"/>
    </i>
    <i t="grand">
      <x/>
    </i>
  </colItems>
  <pageFields count="2">
    <pageField fld="9" hier="-1"/>
    <pageField fld="52" hier="-1"/>
  </pageFields>
  <dataFields count="1">
    <dataField name="Cuenta de FECHA ING." fld="5" subtotal="countNums" baseField="7" baseItem="0"/>
  </dataFields>
  <formats count="45">
    <format dxfId="215">
      <pivotArea type="all" dataOnly="0" outline="0" fieldPosition="0"/>
    </format>
    <format dxfId="214">
      <pivotArea outline="0" collapsedLevelsAreSubtotals="1" fieldPosition="0"/>
    </format>
    <format dxfId="213">
      <pivotArea type="origin" dataOnly="0" labelOnly="1" outline="0" fieldPosition="0"/>
    </format>
    <format dxfId="212">
      <pivotArea field="52" type="button" dataOnly="0" labelOnly="1" outline="0" axis="axisPage" fieldPosition="1"/>
    </format>
    <format dxfId="211">
      <pivotArea field="51" type="button" dataOnly="0" labelOnly="1" outline="0" axis="axisCol" fieldPosition="0"/>
    </format>
    <format dxfId="210">
      <pivotArea field="7" type="button" dataOnly="0" labelOnly="1" outline="0" axis="axisRow" fieldPosition="0"/>
    </format>
    <format dxfId="209">
      <pivotArea dataOnly="0" labelOnly="1" fieldPosition="0">
        <references count="1">
          <reference field="7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08">
      <pivotArea dataOnly="0" labelOnly="1" grandRow="1" outline="0" fieldPosition="0"/>
    </format>
    <format dxfId="207">
      <pivotArea dataOnly="0" labelOnly="1" grandCol="1" outline="0" fieldPosition="0"/>
    </format>
    <format dxfId="206">
      <pivotArea type="all" dataOnly="0" outline="0" fieldPosition="0"/>
    </format>
    <format dxfId="205">
      <pivotArea outline="0" collapsedLevelsAreSubtotals="1" fieldPosition="0"/>
    </format>
    <format dxfId="204">
      <pivotArea type="origin" dataOnly="0" labelOnly="1" outline="0" fieldPosition="0"/>
    </format>
    <format dxfId="203">
      <pivotArea field="52" type="button" dataOnly="0" labelOnly="1" outline="0" axis="axisPage" fieldPosition="1"/>
    </format>
    <format dxfId="202">
      <pivotArea field="51" type="button" dataOnly="0" labelOnly="1" outline="0" axis="axisCol" fieldPosition="0"/>
    </format>
    <format dxfId="201">
      <pivotArea field="7" type="button" dataOnly="0" labelOnly="1" outline="0" axis="axisRow" fieldPosition="0"/>
    </format>
    <format dxfId="200">
      <pivotArea dataOnly="0" labelOnly="1" fieldPosition="0">
        <references count="1">
          <reference field="7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99">
      <pivotArea dataOnly="0" labelOnly="1" grandRow="1" outline="0" fieldPosition="0"/>
    </format>
    <format dxfId="198">
      <pivotArea dataOnly="0" labelOnly="1" grandCol="1" outline="0" fieldPosition="0"/>
    </format>
    <format dxfId="197">
      <pivotArea type="all" dataOnly="0" outline="0" fieldPosition="0"/>
    </format>
    <format dxfId="196">
      <pivotArea outline="0" collapsedLevelsAreSubtotals="1" fieldPosition="0"/>
    </format>
    <format dxfId="195">
      <pivotArea type="origin" dataOnly="0" labelOnly="1" outline="0" fieldPosition="0"/>
    </format>
    <format dxfId="194">
      <pivotArea field="51" type="button" dataOnly="0" labelOnly="1" outline="0" axis="axisCol" fieldPosition="0"/>
    </format>
    <format dxfId="193">
      <pivotArea type="topRight" dataOnly="0" labelOnly="1" outline="0" fieldPosition="0"/>
    </format>
    <format dxfId="192">
      <pivotArea field="7" type="button" dataOnly="0" labelOnly="1" outline="0" axis="axisRow" fieldPosition="0"/>
    </format>
    <format dxfId="191">
      <pivotArea dataOnly="0" labelOnly="1" fieldPosition="0">
        <references count="1">
          <reference field="7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90">
      <pivotArea dataOnly="0" labelOnly="1" grandRow="1" outline="0" fieldPosition="0"/>
    </format>
    <format dxfId="189">
      <pivotArea dataOnly="0" labelOnly="1" fieldPosition="0">
        <references count="1">
          <reference field="51" count="4">
            <x v="1"/>
            <x v="2"/>
            <x v="3"/>
            <x v="4"/>
          </reference>
        </references>
      </pivotArea>
    </format>
    <format dxfId="188">
      <pivotArea dataOnly="0" labelOnly="1" grandCol="1" outline="0" fieldPosition="0"/>
    </format>
    <format dxfId="187">
      <pivotArea outline="0" collapsedLevelsAreSubtotals="1" fieldPosition="0"/>
    </format>
    <format dxfId="186">
      <pivotArea field="7" type="button" dataOnly="0" labelOnly="1" outline="0" axis="axisRow" fieldPosition="0"/>
    </format>
    <format dxfId="185">
      <pivotArea dataOnly="0" labelOnly="1" fieldPosition="0">
        <references count="1">
          <reference field="7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84">
      <pivotArea dataOnly="0" labelOnly="1" grandRow="1" outline="0" fieldPosition="0"/>
    </format>
    <format dxfId="183">
      <pivotArea dataOnly="0" labelOnly="1" fieldPosition="0">
        <references count="1">
          <reference field="51" count="4">
            <x v="1"/>
            <x v="2"/>
            <x v="3"/>
            <x v="4"/>
          </reference>
        </references>
      </pivotArea>
    </format>
    <format dxfId="182">
      <pivotArea dataOnly="0" labelOnly="1" grandCol="1" outline="0" fieldPosition="0"/>
    </format>
    <format dxfId="181">
      <pivotArea dataOnly="0" grandCol="1" outline="0" fieldPosition="0"/>
    </format>
    <format dxfId="180">
      <pivotArea type="all" dataOnly="0" outline="0" fieldPosition="0"/>
    </format>
    <format dxfId="179">
      <pivotArea outline="0" collapsedLevelsAreSubtotals="1" fieldPosition="0"/>
    </format>
    <format dxfId="178">
      <pivotArea type="origin" dataOnly="0" labelOnly="1" outline="0" fieldPosition="0"/>
    </format>
    <format dxfId="177">
      <pivotArea field="51" type="button" dataOnly="0" labelOnly="1" outline="0" axis="axisCol" fieldPosition="0"/>
    </format>
    <format dxfId="176">
      <pivotArea type="topRight" dataOnly="0" labelOnly="1" outline="0" fieldPosition="0"/>
    </format>
    <format dxfId="175">
      <pivotArea field="7" type="button" dataOnly="0" labelOnly="1" outline="0" axis="axisRow" fieldPosition="0"/>
    </format>
    <format dxfId="174">
      <pivotArea dataOnly="0" labelOnly="1" fieldPosition="0">
        <references count="1">
          <reference field="7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73">
      <pivotArea dataOnly="0" labelOnly="1" grandRow="1" outline="0" fieldPosition="0"/>
    </format>
    <format dxfId="172">
      <pivotArea dataOnly="0" labelOnly="1" fieldPosition="0">
        <references count="1">
          <reference field="51" count="4">
            <x v="1"/>
            <x v="2"/>
            <x v="3"/>
            <x v="4"/>
          </reference>
        </references>
      </pivotArea>
    </format>
    <format dxfId="171">
      <pivotArea dataOnly="0" labelOnly="1" grandCol="1" outline="0" fieldPosition="0"/>
    </format>
  </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501839B-D12C-42C8-A28E-98FEE90691C8}" name="IMSS" displayName="IMSS" ref="C125:AN615" headerRowDxfId="355" dataDxfId="354" totalsRowDxfId="353">
  <autoFilter ref="C125:AN615" xr:uid="{9501839B-D12C-42C8-A28E-98FEE90691C8}"/>
  <sortState xmlns:xlrd2="http://schemas.microsoft.com/office/spreadsheetml/2017/richdata2" ref="C126:AN614">
    <sortCondition ref="C125:C614"/>
  </sortState>
  <tableColumns count="38">
    <tableColumn id="1" xr3:uid="{3D5C3ADD-D446-4AEE-A1F3-32275279423A}" name="NEM" totalsRowLabel="Total" dataDxfId="352" totalsRowDxfId="351"/>
    <tableColumn id="2" xr3:uid="{E1FFA602-D265-4330-96FA-52C8EE4E9279}" name="NOMBRE" dataDxfId="350" totalsRowDxfId="349">
      <calculatedColumnFormula>VLOOKUP(IMSS[[#This Row],[NEM]],BDD[],2,0)</calculatedColumnFormula>
    </tableColumn>
    <tableColumn id="40" xr3:uid="{12AE0C33-A7D8-41D5-9D6A-B8EF4B2BCBC9}" name="DEPT" dataDxfId="348" totalsRowDxfId="347">
      <calculatedColumnFormula>VLOOKUP(IMSS[[#This Row],[NEM]],BDD[],9,0)</calculatedColumnFormula>
    </tableColumn>
    <tableColumn id="3" xr3:uid="{5CDD19F3-1290-4B42-89B5-44D16A0D8A92}" name="DIAS LAB" dataDxfId="346" totalsRowDxfId="345"/>
    <tableColumn id="12" xr3:uid="{24C2D86B-B2F4-4592-A600-E4D122E2311A}" name="SUE MENS" dataDxfId="344" totalsRowDxfId="343">
      <calculatedColumnFormula>VLOOKUP(IMSS[[#This Row],[NEM]],BDD[],3,0)</calculatedColumnFormula>
    </tableColumn>
    <tableColumn id="4" xr3:uid="{14D093B1-1E57-4A08-ABE2-96D400DD8AFC}" name="SDI" dataDxfId="342" totalsRowDxfId="341">
      <calculatedColumnFormula>VLOOKUP(IMSS[[#This Row],[NEM]],BDD[],25,0)</calculatedColumnFormula>
    </tableColumn>
    <tableColumn id="5" xr3:uid="{83BB3EAB-BC70-4467-AE4C-159ED615DE97}" name="% RSG" dataDxfId="340" totalsRowDxfId="339" dataCellStyle="Porcentaje">
      <calculatedColumnFormula>VLOOKUP(IMSS[[#This Row],[DEPT]],$B$3:$G$49,6,0)</calculatedColumnFormula>
    </tableColumn>
    <tableColumn id="6" xr3:uid="{D916E7A0-D90A-42F8-BB4E-C35547EA4A3D}" name="P RSG TRB" dataDxfId="338" totalsRowDxfId="337">
      <calculatedColumnFormula>IMSS[[#This Row],[DIAS LAB]]*IMSS[[#This Row],[SDI]]*IMSS[[#This Row],[% RSG]]*$Q$108</calculatedColumnFormula>
    </tableColumn>
    <tableColumn id="11" xr3:uid="{EA220EAC-9572-41C6-81A4-3287014ADF6F}" name="P ESP 1" dataDxfId="336" totalsRowDxfId="335">
      <calculatedColumnFormula>IMSS[[#This Row],[DIAS LAB]]*$J$110*$Q$109</calculatedColumnFormula>
    </tableColumn>
    <tableColumn id="10" xr3:uid="{800FC4DC-15B8-4EEE-A2D2-1F8B38AFBB9A}" name="P SDI-3UMA2" dataDxfId="334" totalsRowDxfId="333" dataCellStyle="Porcentaje">
      <calculatedColumnFormula>IMSS[[#This Row],[DIAS LAB]]*IF(IMSS[[#This Row],[SDI]]-$J$113&gt;0,IMSS[[#This Row],[SDI]]-$J$113,0)*$Q$110</calculatedColumnFormula>
    </tableColumn>
    <tableColumn id="14" xr3:uid="{94B422A6-19B5-4214-B090-20A0E4382742}" name="P GST MDC" dataDxfId="332" totalsRowDxfId="331">
      <calculatedColumnFormula>IMSS[[#This Row],[DIAS LAB]]*IMSS[[#This Row],[SDI]]*$Q$111</calculatedColumnFormula>
    </tableColumn>
    <tableColumn id="16" xr3:uid="{5AD0841B-8A01-40DC-A6FA-3F280C934540}" name="P EFF" dataDxfId="330" totalsRowDxfId="329">
      <calculatedColumnFormula>IMSS[[#This Row],[DIAS LAB]]*IMSS[[#This Row],[SDI]]*$Q$112</calculatedColumnFormula>
    </tableColumn>
    <tableColumn id="18" xr3:uid="{5F2C9DFD-BBDD-4E85-A513-72764B471356}" name="P INV&amp;VDA" dataDxfId="328" totalsRowDxfId="327">
      <calculatedColumnFormula>IMSS[[#This Row],[DIAS LAB]]*IMSS[[#This Row],[SDI]]*$Q$113</calculatedColumnFormula>
    </tableColumn>
    <tableColumn id="19" xr3:uid="{9A5D257A-A31B-4E3B-9A8A-0F67C3D7975B}" name="P GRD Y PNS SCL" dataDxfId="326" totalsRowDxfId="325">
      <calculatedColumnFormula>IMSS[[#This Row],[DIAS LAB]]*IMSS[[#This Row],[SDI]]*$Q$114</calculatedColumnFormula>
    </tableColumn>
    <tableColumn id="20" xr3:uid="{349CAA1D-90D6-42AB-A4BA-2A2C863B432B}" name="P RCV RET" dataDxfId="324" totalsRowDxfId="323">
      <calculatedColumnFormula>IMSS[[#This Row],[DIAS LAB]]*IMSS[[#This Row],[SDI]]*$Q$115</calculatedColumnFormula>
    </tableColumn>
    <tableColumn id="21" xr3:uid="{77F2C706-7D29-40CF-AD34-115A7164579C}" name="P CEAV" dataDxfId="322" totalsRowDxfId="321">
      <calculatedColumnFormula>IMSS[[#This Row],[DIAS LAB]]*IMSS[[#This Row],[SDI]]*$Q$116</calculatedColumnFormula>
    </tableColumn>
    <tableColumn id="22" xr3:uid="{582354BD-12EF-483C-899D-A8E8A6A5BB21}" name="P INFONAVIT" dataDxfId="320" totalsRowDxfId="319">
      <calculatedColumnFormula>IMSS[[#This Row],[DIAS LAB]]*IMSS[[#This Row],[SDI]]*$Q$117</calculatedColumnFormula>
    </tableColumn>
    <tableColumn id="23" xr3:uid="{518E8324-2066-4C46-AB58-F4F5FCD99BCD}" name="P TOTAL" dataDxfId="318">
      <calculatedColumnFormula>SUM(IMSS[[#This Row],[P RSG TRB]:[P INFONAVIT]])</calculatedColumnFormula>
    </tableColumn>
    <tableColumn id="24" xr3:uid="{156DEF99-1134-47A4-8BBE-F0D83D8E1657}" name="O RSG TRB" dataDxfId="317" totalsRowDxfId="316">
      <calculatedColumnFormula>IMSS[[#This Row],[DIAS LAB]]*IMSS[[#This Row],[SDI]]*IMSS[[#This Row],[% RSG]]*$R$108</calculatedColumnFormula>
    </tableColumn>
    <tableColumn id="28" xr3:uid="{F5663137-932C-4235-A0B5-06A468B73701}" name="O EFF" dataDxfId="315" totalsRowDxfId="314">
      <calculatedColumnFormula>IMSS[[#This Row],[DIAS LAB]]*IMSS[[#This Row],[SDI]]*$R$112</calculatedColumnFormula>
    </tableColumn>
    <tableColumn id="41" xr3:uid="{821A87C6-9C7E-4831-9735-04BCC03787F8}" name="Columna1" dataDxfId="313" totalsRowDxfId="312"/>
    <tableColumn id="30" xr3:uid="{14E5C0B7-A29D-4A80-BCFE-87CFF384F9AD}" name="O INV&amp;VDA" dataDxfId="311" totalsRowDxfId="310">
      <calculatedColumnFormula>IMSS[[#This Row],[DIAS LAB]]*IMSS[[#This Row],[SDI]]*$R$113</calculatedColumnFormula>
    </tableColumn>
    <tableColumn id="31" xr3:uid="{55518A56-96F5-431F-8B34-3DBFDF4CDED4}" name="O GRD Y PNS SCL" dataDxfId="309" totalsRowDxfId="308">
      <calculatedColumnFormula>IMSS[[#This Row],[DIAS LAB]]*IMSS[[#This Row],[SDI]]*$R$114</calculatedColumnFormula>
    </tableColumn>
    <tableColumn id="32" xr3:uid="{1DE7EB00-6AFC-4E0E-B5DA-E97754E8B95B}" name="O RCV RET" dataDxfId="307" totalsRowDxfId="306">
      <calculatedColumnFormula>IMSS[[#This Row],[DIAS LAB]]*IMSS[[#This Row],[SDI]]*$R$115</calculatedColumnFormula>
    </tableColumn>
    <tableColumn id="33" xr3:uid="{84AB0898-453F-4AA1-8714-0CE5C38476EA}" name="O CEAV" dataDxfId="305" totalsRowDxfId="304">
      <calculatedColumnFormula>IMSS[[#This Row],[DIAS LAB]]*IMSS[[#This Row],[SDI]]*$R$116</calculatedColumnFormula>
    </tableColumn>
    <tableColumn id="34" xr3:uid="{598751FF-76CA-42A3-A5A8-FF7797565472}" name="O INFONAVIT" dataDxfId="303" totalsRowDxfId="302">
      <calculatedColumnFormula>IMSS[[#This Row],[DIAS LAB]]*IMSS[[#This Row],[SDI]]*$R$117</calculatedColumnFormula>
    </tableColumn>
    <tableColumn id="35" xr3:uid="{66967A46-8AD3-44AF-93C8-400F4F0B9C24}" name="O TOTAL" dataDxfId="301" totalsRowDxfId="300">
      <calculatedColumnFormula>SUM(IMSS[[#This Row],[O RSG TRB]:[O INFONAVIT]])</calculatedColumnFormula>
    </tableColumn>
    <tableColumn id="36" xr3:uid="{EED660FC-3C36-4186-9910-6C71A41C4369}" name="." dataDxfId="299" totalsRowDxfId="298"/>
    <tableColumn id="37" xr3:uid="{B8894F8B-D488-41BB-979B-BA740E3EFBBC}" name="Ʃ TOT" dataDxfId="297">
      <calculatedColumnFormula>IMSS[[#This Row],[P TOTAL]]+IMSS[[#This Row],[O TOTAL]]</calculatedColumnFormula>
    </tableColumn>
    <tableColumn id="7" xr3:uid="{F9D4946F-3ACC-40C4-BCE9-C4433912F097}" name="ISR" totalsRowFunction="count" dataDxfId="296" totalsRowDxfId="295"/>
    <tableColumn id="8" xr3:uid="{CC589555-41F7-4CCC-8627-F9AF423BA160}" name="LIM INF" dataDxfId="294">
      <calculatedColumnFormula>VLOOKUP(IMSS[[#This Row],[SUE MENS]],$AG$110:$AJ$120,1,1)</calculatedColumnFormula>
    </tableColumn>
    <tableColumn id="9" xr3:uid="{3DD9568D-2BDF-435D-8B65-011D521569E5}" name="EXC LIM INF" dataDxfId="293">
      <calculatedColumnFormula>IMSS[[#This Row],[SUE MENS]]-IMSS[[#This Row],[LIM INF]]</calculatedColumnFormula>
    </tableColumn>
    <tableColumn id="13" xr3:uid="{3A2ACB0A-176E-4B4E-B35C-BB4FC9E111E7}" name="TASA EXC" dataDxfId="292">
      <calculatedColumnFormula>IMSS[[#This Row],[EXC LIM INF]]*(VLOOKUP(IMSS[[#This Row],[LIM INF]],$AG$110:$AJ$120,4,0))</calculatedColumnFormula>
    </tableColumn>
    <tableColumn id="15" xr3:uid="{370E4347-9FA1-470A-A44B-7298059B3B55}" name="CUOTA FIJA" dataDxfId="291">
      <calculatedColumnFormula>VLOOKUP(IMSS[[#This Row],[LIM INF]],$AG$110:$AJ$120,3)</calculatedColumnFormula>
    </tableColumn>
    <tableColumn id="17" xr3:uid="{5514A5F5-C4D5-40E6-935A-A3F4F762EA41}" name="ISR CARGO" dataDxfId="290">
      <calculatedColumnFormula>SUM(IMSS[[#This Row],[TASA EXC]]+IMSS[[#This Row],[CUOTA FIJA]])</calculatedColumnFormula>
    </tableColumn>
    <tableColumn id="29" xr3:uid="{54C1222E-37AC-491E-962D-C428509F7D13}" name="SUBS ISR" dataDxfId="289">
      <calculatedColumnFormula>VLOOKUP(IMSS[[#This Row],[SUE MENS]],$AL$110:$AN$120,3,1)</calculatedColumnFormula>
    </tableColumn>
    <tableColumn id="38" xr3:uid="{E21EA42C-FC33-425E-9EC4-E4B9E8FBF198}" name="ISR RETE" dataDxfId="288">
      <calculatedColumnFormula>IF(IMSS[[#This Row],[ISR CARGO]]-IMSS[[#This Row],[SUBS ISR]]&gt;0,IMSS[[#This Row],[ISR CARGO]]-IMSS[[#This Row],[SUBS ISR]],0)</calculatedColumnFormula>
    </tableColumn>
    <tableColumn id="39" xr3:uid="{0A9F47E7-BEFC-43A1-8D28-F4DC1122CB8C}" name="SUBS APL" dataDxfId="287">
      <calculatedColumnFormula>IF(IMSS[[#This Row],[SUBS ISR]]-IMSS[[#This Row],[ISR CARGO]]&gt;0,IMSS[[#This Row],[SUBS ISR]]-IMSS[[#This Row],[ISR CARGO]],0)</calculatedColumnFormula>
    </tableColumn>
  </tableColumns>
  <tableStyleInfo name="TableStyleLight1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02A028C-EB80-42CC-A89D-D8F64B758B82}" name="DIASXANT18" displayName="DIASXANT18" ref="S2:T9" totalsRowShown="0" headerRowDxfId="286" dataDxfId="285">
  <autoFilter ref="S2:T9" xr:uid="{202A028C-EB80-42CC-A89D-D8F64B758B82}"/>
  <tableColumns count="2">
    <tableColumn id="1" xr3:uid="{E3542077-5D2D-4D7C-9985-F449657E1BE2}" name="ANT" dataDxfId="284"/>
    <tableColumn id="2" xr3:uid="{69531D2E-0978-46B1-958E-FF00BD47227A}" name="DÍAS" dataDxfId="283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D01F80-86B1-4BC5-A6ED-73F07AAA8A70}" name="Tabla1" displayName="Tabla1" ref="B1024:U1514" totalsRowShown="0" headerRowDxfId="282" dataDxfId="281">
  <autoFilter ref="B1024:U1514" xr:uid="{17D01F80-86B1-4BC5-A6ED-73F07AAA8A70}"/>
  <sortState xmlns:xlrd2="http://schemas.microsoft.com/office/spreadsheetml/2017/richdata2" ref="B1025:U1514">
    <sortCondition ref="U1024:U1514"/>
  </sortState>
  <tableColumns count="20">
    <tableColumn id="1" xr3:uid="{DA5C8DA8-9314-44D5-8D6E-1733C07EBC8A}" name="NEM" dataDxfId="280"/>
    <tableColumn id="2" xr3:uid="{164D5165-87B7-457E-BD09-F8E3D4215A9F}" name="NOMBRE" dataDxfId="279">
      <calculatedColumnFormula>VLOOKUP(B1025,BDD[],2,0)</calculatedColumnFormula>
    </tableColumn>
    <tableColumn id="6" xr3:uid="{AE08E9BE-8652-4947-9AEB-5AC7F8E1B26C}" name="SUE MENS" dataDxfId="278">
      <calculatedColumnFormula>VLOOKUP(B1025,BDD[],3,0)</calculatedColumnFormula>
    </tableColumn>
    <tableColumn id="7" xr3:uid="{E9A6B7B8-6A62-4723-BE2D-24FE14C46234}" name="SUE DIA" dataDxfId="277">
      <calculatedColumnFormula>VLOOKUP(B1025,BDD[],4,0)</calculatedColumnFormula>
    </tableColumn>
    <tableColumn id="3" xr3:uid="{B661D68B-747E-4152-B997-0406D739DA5F}" name="SUE X HR" dataDxfId="276">
      <calculatedColumnFormula>VLOOKUP(B1025,BDD[],26,0)</calculatedColumnFormula>
    </tableColumn>
    <tableColumn id="5" xr3:uid="{0FF10D74-C37F-4426-AC3C-66360414E424}" name="FECHA ING" dataDxfId="275">
      <calculatedColumnFormula>VLOOKUP(B1025,BDD[],6,0)</calculatedColumnFormula>
    </tableColumn>
    <tableColumn id="4" xr3:uid="{9FF6CF1B-354E-448B-85C1-34FBCEBA8E05}" name="ANTIG" dataDxfId="274">
      <calculatedColumnFormula>VLOOKUP(B1025,BDD[],7,0)</calculatedColumnFormula>
    </tableColumn>
    <tableColumn id="22" xr3:uid="{9BDF981A-FCCA-439D-A560-8DA003E0551E}" name="DIAS VAC PAG" dataDxfId="273">
      <calculatedColumnFormula>VLOOKUP(B1025,BDD[],22,0)</calculatedColumnFormula>
    </tableColumn>
    <tableColumn id="8" xr3:uid="{FDB9A4A5-A727-4BC5-B36D-8CE9F5CDC9F2}" name="DIAS LAB" dataDxfId="272"/>
    <tableColumn id="9" xr3:uid="{AC2B582C-757A-4AF1-BA29-0736D04D6B0B}" name="SUE X PAG" dataDxfId="271">
      <calculatedColumnFormula>Tabla1[[#This Row],[DIAS LAB]]*Tabla1[[#This Row],[SUE DIA]]</calculatedColumnFormula>
    </tableColumn>
    <tableColumn id="10" xr3:uid="{D065C6B3-C5A3-44FD-A5BA-AC742DBF0FEF}" name="HRS EXT" dataDxfId="270"/>
    <tableColumn id="11" xr3:uid="{DC8AE3E8-738E-44F9-B5E4-9C3389178D83}" name="HRS X PAG" dataDxfId="269">
      <calculatedColumnFormula>Tabla1[[#This Row],[HRS EXT]]*Tabla1[[#This Row],[SUE X HR]]</calculatedColumnFormula>
    </tableColumn>
    <tableColumn id="12" xr3:uid="{FF2395AC-9D55-477B-8298-797C6A85FB9D}" name="ASUETO" dataDxfId="268"/>
    <tableColumn id="13" xr3:uid="{FFDA96E0-CF08-47C3-936B-56899E0DBD21}" name="ASUE X PAG" dataDxfId="267">
      <calculatedColumnFormula>Tabla1[[#This Row],[ASUETO]]*Tabla1[[#This Row],[SUE DIA]]</calculatedColumnFormula>
    </tableColumn>
    <tableColumn id="14" xr3:uid="{2C471C4E-7B91-4FBD-A701-B129EA0CAD75}" name="FECHAS CONTB AGNLDO" dataDxfId="266">
      <calculatedColumnFormula>IF(Tabla1[[#This Row],[FECHA ING]]&lt;$P$1007,365,_xlfn.DAYS($P$1008,Tabla1[[#This Row],[FECHA ING]])+1)</calculatedColumnFormula>
    </tableColumn>
    <tableColumn id="15" xr3:uid="{85FC7476-90FA-4F39-8D9E-DBB683BA99C5}" name="DIAS PAG AGNLDO" dataDxfId="265">
      <calculatedColumnFormula>INT(30*(Tabla1[[#This Row],[FECHAS CONTB AGNLDO]]/365))</calculatedColumnFormula>
    </tableColumn>
    <tableColumn id="16" xr3:uid="{BB26234E-F7E4-41F1-B627-61FA7195D34D}" name="FECHA PAGO" dataDxfId="264">
      <calculatedColumnFormula>IF($W$32=$W$26,Tabla1[[#This Row],[SUE DIA]]*Tabla1[[#This Row],[DIAS PAG AGNLDO]],0)</calculatedColumnFormula>
    </tableColumn>
    <tableColumn id="17" xr3:uid="{0B430B1A-DED3-42A7-999E-4A081680D3DA}" name="DIAS VAC" dataDxfId="263">
      <calculatedColumnFormula>(_xlfn.DAYS(TODAY(),Tabla1[[#This Row],[FECHA ING]])/365)</calculatedColumnFormula>
    </tableColumn>
    <tableColumn id="18" xr3:uid="{26176BBD-758B-4DE8-9714-9DE6397527AF}" name="VALID ANTIG" dataDxfId="262">
      <calculatedColumnFormula>IF(Tabla1[[#This Row],[DIAS VAC]]&gt;1,Tabla1[[#This Row],[DIAS VAC]]-Tabla1[[#This Row],[ANTIG]],Tabla1[[#This Row],[DIAS VAC]])</calculatedColumnFormula>
    </tableColumn>
    <tableColumn id="21" xr3:uid="{19ACE139-AE67-4C64-91F8-5DBEA34EA1F5}" name="DIAS PAG" dataDxfId="261">
      <calculatedColumnFormula>Tabla1[[#This Row],[VALID ANTIG]]*Tabla1[[#This Row],[SUE DIA]]*Tabla1[[#This Row],[DIAS VAC PAG]]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7AF916-76C6-43DA-B01E-03FBF4B95809}" name="FECHAS" displayName="FECHAS" ref="V5:W29" totalsRowShown="0" headerRowDxfId="260" dataDxfId="259" tableBorderDxfId="258">
  <autoFilter ref="V5:W29" xr:uid="{0F7AF916-76C6-43DA-B01E-03FBF4B95809}"/>
  <tableColumns count="2">
    <tableColumn id="1" xr3:uid="{C56AA54D-682C-4FED-8DA3-4017A2205603}" name="INICIO" dataDxfId="257"/>
    <tableColumn id="2" xr3:uid="{8A07D69B-B50B-4E33-A263-6EC841B29E75}" name="FINAL" dataDxfId="25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B3700B-EB98-4D7F-B90F-F2434BECA359}" name="BDD" displayName="BDD" ref="B8:AZ498" totalsRowShown="0" headerRowDxfId="71" dataDxfId="70">
  <autoFilter ref="B8:AZ498" xr:uid="{E3B3700B-EB98-4D7F-B90F-F2434BECA359}"/>
  <sortState xmlns:xlrd2="http://schemas.microsoft.com/office/spreadsheetml/2017/richdata2" ref="B9:AZ498">
    <sortCondition ref="B8:B498"/>
  </sortState>
  <tableColumns count="51">
    <tableColumn id="1" xr3:uid="{E3E42C66-7505-4A65-9F6B-0D744CFAC5AC}" name="NEM" dataDxfId="69"/>
    <tableColumn id="2" xr3:uid="{CA8DF722-DA10-497B-9F04-CF413EAF47C7}" name="NOMBRE" dataDxfId="68"/>
    <tableColumn id="3" xr3:uid="{9A755404-FA2B-4320-BD12-CAC105DB3D88}" name="SUE MENS" dataDxfId="67"/>
    <tableColumn id="4" xr3:uid="{145339AC-6184-4B06-8FD0-58798F0C9179}" name="SUE DIA" dataDxfId="66">
      <calculatedColumnFormula>(BDD[[#This Row],[SUE MENS]]/30)</calculatedColumnFormula>
    </tableColumn>
    <tableColumn id="35" xr3:uid="{2318E44B-61B8-4EC3-B63E-822C9A0BB02C}" name="SUE QUIN" dataDxfId="65">
      <calculatedColumnFormula>BDD[[#This Row],[SUE MENS]]/2</calculatedColumnFormula>
    </tableColumn>
    <tableColumn id="5" xr3:uid="{A42BF8DB-1F08-48FE-B90B-DB902BEDC948}" name="FECHA ING." dataDxfId="64"/>
    <tableColumn id="8" xr3:uid="{5072BE73-77BB-4D18-A238-E9458A6D421F}" name="ANTIG" dataDxfId="63">
      <calculatedColumnFormula>INT(_xlfn.DAYS(TODAY(),BDD[[#This Row],[FECHA ING.]])/365)</calculatedColumnFormula>
    </tableColumn>
    <tableColumn id="7" xr3:uid="{E6E0562C-41A1-4EDE-950E-C76C6197BC89}" name="DEPTO" dataDxfId="62">
      <calculatedColumnFormula>VLOOKUP(J9,TABLAS!$B$3:$G$49,2,FALSE)</calculatedColumnFormula>
    </tableColumn>
    <tableColumn id="19" xr3:uid="{CC526B4B-BDCE-4D28-B5B2-E58A62D6B7F1}" name="SUBDPTO" dataDxfId="61"/>
    <tableColumn id="6" xr3:uid="{F3FC68BB-EB83-4082-A76C-6B5FAD851FA9}" name="PUESTO" dataDxfId="60"/>
    <tableColumn id="16" xr3:uid="{0B05B153-0EEE-4352-ACD4-A5131765F0D5}" name="JORNADA" dataDxfId="59"/>
    <tableColumn id="24" xr3:uid="{7DDBCC59-84C4-436D-A590-1F8C6B1EAACE}" name="EXT" dataDxfId="58"/>
    <tableColumn id="25" xr3:uid="{93BE612A-4852-444B-BCAB-57918531EB86}" name="CORREO INSTITUCIONAL" dataDxfId="57"/>
    <tableColumn id="27" xr3:uid="{63D06F1C-6373-411D-949D-7EB2AB3D2A20}" name="LÍDER" dataDxfId="56">
      <calculatedColumnFormula>IFERROR(VLOOKUP(BDD[[#This Row],[SUBDPTO]],TABLAS!$B$4:$D$36,3,0)," ")</calculatedColumnFormula>
    </tableColumn>
    <tableColumn id="31" xr3:uid="{7E2F5D48-CC78-4B12-92B3-7C753DCF4BF2}" name="FCH ULT CMB" dataDxfId="55"/>
    <tableColumn id="32" xr3:uid="{2CFE7756-10DF-4151-B66B-C7F647457C84}" name="ÚLT SM" dataDxfId="54" dataCellStyle="Moneda"/>
    <tableColumn id="29" xr3:uid="{7291040A-91F5-43AB-A234-CFBEC6844EDB}" name="ÚLT SUBDPTO" dataDxfId="53"/>
    <tableColumn id="30" xr3:uid="{27111282-3A2D-4882-9918-A671C83F24D6}" name="SUBDPTO ANT 2" dataDxfId="52"/>
    <tableColumn id="36" xr3:uid="{1B2F0AA2-E210-410D-91C0-3D9B18F3DDB7}" name="DISP VIA" dataDxfId="51"/>
    <tableColumn id="9" xr3:uid="{FE3CC2A8-BBBF-4A98-9082-FFBFAF17DC0D}" name="D.VAC." dataDxfId="50">
      <calculatedColumnFormula>VLOOKUP(BDD[[#This Row],[ANTIG]],DIASXANT18[#All],2)</calculatedColumnFormula>
    </tableColumn>
    <tableColumn id="10" xr3:uid="{0B070C62-A5C1-4CA2-9788-CDD15F485DDD}" name="% P.V." dataDxfId="49" dataCellStyle="Porcentaje">
      <calculatedColumnFormula>100/200</calculatedColumnFormula>
    </tableColumn>
    <tableColumn id="11" xr3:uid="{A075E0DB-D326-430A-94F9-6A0AAE672B39}" name="D.PAG.V." dataDxfId="48">
      <calculatedColumnFormula>BDD[[#This Row],[D.VAC.]]*BDD[[#This Row],[% P.V.]]</calculatedColumnFormula>
    </tableColumn>
    <tableColumn id="12" xr3:uid="{8DD1C4E5-916E-444E-899B-67A0DB8710F0}" name="D.AG." dataDxfId="47">
      <calculatedColumnFormula>100/4</calculatedColumnFormula>
    </tableColumn>
    <tableColumn id="13" xr3:uid="{BB538601-AB33-48A3-ACC6-BB37EDAD16D0}" name="FACTOR SDI" dataDxfId="46">
      <calculatedColumnFormula>(365+BDD[[#This Row],[D.PAG.V.]]+BDD[[#This Row],[D.AG.]])/365</calculatedColumnFormula>
    </tableColumn>
    <tableColumn id="14" xr3:uid="{510F1041-4292-4020-BA1A-4A9322181CA5}" name="SDI" dataDxfId="45">
      <calculatedColumnFormula>BDD[[#This Row],[SUE DIA]]*BDD[[#This Row],[FACTOR SDI]]</calculatedColumnFormula>
    </tableColumn>
    <tableColumn id="15" xr3:uid="{621BA9BF-B1A2-43E3-9B7D-2309DC0D2D29}" name="SUE X HR" dataDxfId="44">
      <calculatedColumnFormula>BDD[[#This Row],[SUE DIA]]/9</calculatedColumnFormula>
    </tableColumn>
    <tableColumn id="21" xr3:uid="{BE17DDC6-5524-4CEC-9E47-770578C54452}" name="FECHA NAC" dataDxfId="43"/>
    <tableColumn id="20" xr3:uid="{384ECB94-C4F5-4169-BBD8-370A1B57EAB1}" name="COLONIA" dataDxfId="42"/>
    <tableColumn id="22" xr3:uid="{74BA7FB7-5DBC-4536-99B0-915EE5BB4430}" name="CDAD DOM" dataDxfId="41"/>
    <tableColumn id="23" xr3:uid="{E603C636-D934-405C-BB0A-4BDE4D21941C}" name="CELPER" dataDxfId="40"/>
    <tableColumn id="26" xr3:uid="{1E574AA1-1658-4C9B-8ADF-93FFAF1DB6A9}" name="CORREO PERS." dataDxfId="39"/>
    <tableColumn id="18" xr3:uid="{1478F8D4-5674-4D2B-8065-B7EEFAFB18CD}" name="EDO CIVIL" dataDxfId="38"/>
    <tableColumn id="17" xr3:uid="{97EE043C-B579-4AEF-831C-D89DAD607E96}" name="ULT NVL EDU" dataDxfId="37"/>
    <tableColumn id="28" xr3:uid="{5A2986CB-DD11-4247-BF34-CAC791D6F5AF}" name="SALUD" dataDxfId="36"/>
    <tableColumn id="33" xr3:uid="{8F7A2202-8C4B-4296-95A6-A6417AF0CDE6}" name="CUMPLEAÑOS" dataDxfId="35">
      <calculatedColumnFormula array="1">DATE(YEAR(FECH.CONS[FECHA DE CONSULTA:]),MONTH(BDD[[#This Row],[FECHA NAC]]),DAY(BDD[[#This Row],[FECHA NAC]]))</calculatedColumnFormula>
    </tableColumn>
    <tableColumn id="34" xr3:uid="{91CC13B3-E1F6-4CA2-BBC7-01202BEF375A}" name="SEMEST" dataDxfId="34"/>
    <tableColumn id="39" xr3:uid="{B06D154E-53BF-466B-81EF-D1F856CE7E2C}" name="ESCUELA" dataDxfId="33"/>
    <tableColumn id="40" xr3:uid="{8A6CA44A-51B0-440D-877C-CA8C9E048764}" name="CARRERA" dataDxfId="32"/>
    <tableColumn id="41" xr3:uid="{17225407-3588-4BB7-8B4F-81F98BF90D43}" name="ESPECIALIDAD" dataDxfId="31"/>
    <tableColumn id="42" xr3:uid="{5BAA514C-521D-4D0B-8325-03A8F4D9E729}" name="NIV ING" dataDxfId="30"/>
    <tableColumn id="37" xr3:uid="{7705F185-FE07-4CAE-9A08-806AA016C9C3}" name="EDD" dataDxfId="29">
      <calculatedColumnFormula>INT((TODAY()-BDD[[#This Row],[FECHA NAC]])/365)</calculatedColumnFormula>
    </tableColumn>
    <tableColumn id="38" xr3:uid="{D5CDBBC6-696F-4F10-8E19-51946D531D25}" name="HIJS" dataDxfId="28"/>
    <tableColumn id="44" xr3:uid="{B35C794D-4722-45B5-81FC-5536DBF112B2}" name="PRST MAIA" dataDxfId="27">
      <calculatedColumnFormula>IF(BDD[[#This Row],[ANTIG]]=0,0,1)</calculatedColumnFormula>
    </tableColumn>
    <tableColumn id="52" xr3:uid="{E37DC163-C82C-4C93-B3B0-18BE0ABFEE43}" name="DIAS LAB" dataDxfId="26"/>
    <tableColumn id="51" xr3:uid="{ECB4E550-8390-4D75-9B6E-6C9BC7FA1A18}" name="Columna16" dataDxfId="25"/>
    <tableColumn id="50" xr3:uid="{CCE49B88-BB23-4DA5-952C-28519E2448BA}" name="Columna15" dataDxfId="24"/>
    <tableColumn id="49" xr3:uid="{93952F4D-15BF-4FBC-8099-5EFD7EC8BF5B}" name="Columna14" dataDxfId="23"/>
    <tableColumn id="48" xr3:uid="{51F5E094-6592-4218-89B4-144BF142B805}" name="Columna13" dataDxfId="22"/>
    <tableColumn id="47" xr3:uid="{A42765B7-AC67-49D6-AC32-C1443CF9DBAC}" name="Columna12" dataDxfId="21"/>
    <tableColumn id="46" xr3:uid="{2CA81A3C-2683-40AE-B148-08B639DE0C11}" name="Columna2" dataDxfId="20"/>
    <tableColumn id="43" xr3:uid="{B874721C-086B-4F33-B6DC-971041DE9D50}" name="FACTOR ALEATORIO" dataDxfId="19">
      <calculatedColumnFormula>RANDBETWEEN(1,1000)</calculatedColumnFormula>
    </tableColumn>
  </tableColumns>
  <tableStyleInfo name="TableStyleMedium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0C2610-3817-4ADF-A4B2-C962F3674A5E}" name="FECH.CONS" displayName="FECH.CONS" ref="C2:C3" totalsRowShown="0" headerRowDxfId="18" dataDxfId="17">
  <autoFilter ref="C2:C3" xr:uid="{3AC019CA-D9EB-4B5A-864A-A602C4977324}">
    <filterColumn colId="0" hiddenButton="1"/>
  </autoFilter>
  <tableColumns count="1">
    <tableColumn id="1" xr3:uid="{D20D6A70-9AC1-42A5-8EA3-A3277EA4A5E6}" name="FECHA DE CONSULTA:" dataDxfId="16">
      <calculatedColumnFormula>TODAY()</calculatedColumnFormula>
    </tableColumn>
  </tableColumns>
  <tableStyleInfo name="TableStyleMedium4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5B218BB2-6472-44E2-920D-07A116CA2DB5}" name="BDDBAJAS" displayName="BDDBAJAS" ref="B9:L152" totalsRowShown="0" headerRowDxfId="12" dataDxfId="11">
  <autoFilter ref="B9:L152" xr:uid="{3E9350D5-6925-4DCD-9D38-9C493470BD11}"/>
  <sortState xmlns:xlrd2="http://schemas.microsoft.com/office/spreadsheetml/2017/richdata2" ref="B10:L152">
    <sortCondition descending="1" ref="J9:J152"/>
  </sortState>
  <tableColumns count="11">
    <tableColumn id="1" xr3:uid="{D550C00C-43C5-4CB4-AD6E-DF71A0B3037F}" name="NO. EMP" dataDxfId="10"/>
    <tableColumn id="2" xr3:uid="{D2ADCC94-4365-452E-9BDF-71D561FE65C1}" name="NOMBRE COMPLETO" dataDxfId="9"/>
    <tableColumn id="3" xr3:uid="{76F93327-50D6-45A8-B81D-AF067228C6BC}" name="ULT SUE MENS" dataDxfId="8"/>
    <tableColumn id="5" xr3:uid="{83BE2DEB-B4F4-485E-B0A7-690EE46E505B}" name="FECHA ING." dataDxfId="7"/>
    <tableColumn id="16" xr3:uid="{0DC53145-1490-4933-8BF2-427B5A851ACE}" name="FECHA SAL." dataDxfId="6"/>
    <tableColumn id="6" xr3:uid="{66260C0E-DBFD-4D57-8EE8-F41AE84277A4}" name="DEPARTAMENTO" dataDxfId="5"/>
    <tableColumn id="7" xr3:uid="{23C80B88-C54C-4110-84DB-8FAB1EA47C55}" name="SUBDEPARTAMENTO" dataDxfId="4"/>
    <tableColumn id="8" xr3:uid="{A07CAD43-E9DC-40C9-B769-370AA855849B}" name="PUESTO" dataDxfId="3"/>
    <tableColumn id="10" xr3:uid="{A0261E89-46DE-425C-9DDA-369E96F6C7F6}" name="ANTIG.AÑOS" dataDxfId="2">
      <calculatedColumnFormula>INT((BDDBAJAS[[#This Row],[FECHA SAL.]]-BDDBAJAS[[#This Row],[FECHA ING.]])/365)</calculatedColumnFormula>
    </tableColumn>
    <tableColumn id="17" xr3:uid="{466BF7C5-069E-41BC-887E-BA02F82E4412}" name="MOTIVO SALIDA" dataDxfId="1"/>
    <tableColumn id="20" xr3:uid="{8D951928-A07B-4F99-80B1-08CFD9C2D45F}" name="CEL. CONTACT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D6" dT="2022-07-18T15:17:25.89" personId="{28122560-B430-42B5-AFEB-E0A86EE2A174}" id="{5FBE2DEB-40BC-416B-B12C-24BD17EACDBF}" done="1">
    <text>Instrucciones para mí mismo, de cómo se trabaja el doc</text>
  </threadedComment>
  <threadedComment ref="D10" dT="2022-07-18T15:18:53.39" personId="{28122560-B430-42B5-AFEB-E0A86EE2A174}" id="{7EC1886C-2547-42B0-9239-621AFC1AD95D}" done="1">
    <text>Puedes dar clic en el ícono para ser redirigido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2" dT="2022-07-18T15:20:20.75" personId="{28122560-B430-42B5-AFEB-E0A86EE2A174}" id="{999A884F-1963-4B44-9B90-D47803EF2891}" done="1">
    <text>Bloqueo de celdas para sólo modif. la requerida.
Puedes ingresar un número de empleado (del 101 al 700)</text>
  </threadedComment>
  <threadedComment ref="B59" dT="2022-07-18T15:22:20.91" personId="{28122560-B430-42B5-AFEB-E0A86EE2A174}" id="{6E22D763-13CC-46DF-A652-287EAFC3EC77}" done="1">
    <text>Da clic en la tecla TAB para ver el movimiento.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P1024" dT="2022-06-17T18:33:32.59" personId="{28122560-B430-42B5-AFEB-E0A86EE2A174}" id="{4BA05C92-0381-4978-B756-9558B3B4D47A}" done="1">
    <text>Se agrega un +1 al final para SÍ contabilizar el día en curso (o el día de ingreso, es igual)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Contrato%20de%20trabajo.docx" TargetMode="External"/><Relationship Id="rId1" Type="http://schemas.openxmlformats.org/officeDocument/2006/relationships/hyperlink" Target="Carta%20renuncia.docx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0FB7C-7FB8-4DBD-8D0D-5106A0C455C6}">
  <sheetPr codeName="Hoja4"/>
  <dimension ref="A1:AJ28"/>
  <sheetViews>
    <sheetView tabSelected="1" workbookViewId="0">
      <selection activeCell="B4" sqref="B4:O5"/>
    </sheetView>
  </sheetViews>
  <sheetFormatPr baseColWidth="10" defaultColWidth="11.42578125" defaultRowHeight="15" x14ac:dyDescent="0.25"/>
  <cols>
    <col min="1" max="1" width="2.85546875" style="139" customWidth="1"/>
    <col min="2" max="3" width="7.140625" style="139" customWidth="1"/>
    <col min="4" max="4" width="8" style="139" customWidth="1"/>
    <col min="5" max="21" width="7.140625" style="139" customWidth="1"/>
    <col min="22" max="28" width="8.5703125" style="139" customWidth="1"/>
    <col min="29" max="16384" width="11.42578125" style="139"/>
  </cols>
  <sheetData>
    <row r="1" spans="1:36" x14ac:dyDescent="0.25">
      <c r="A1" s="208" t="s">
        <v>2239</v>
      </c>
    </row>
    <row r="2" spans="1:36" ht="15" customHeight="1" x14ac:dyDescent="0.25">
      <c r="B2" s="358" t="s">
        <v>19</v>
      </c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169"/>
      <c r="Q2" s="169"/>
      <c r="R2" s="169"/>
      <c r="S2" s="169"/>
      <c r="V2" s="209" t="s">
        <v>329</v>
      </c>
      <c r="W2" s="353">
        <f ca="1">TODAY()</f>
        <v>44760</v>
      </c>
      <c r="X2" s="353"/>
      <c r="Y2" s="353"/>
      <c r="Z2" s="353"/>
      <c r="AA2" s="353"/>
      <c r="AB2" s="241"/>
      <c r="AC2" s="241"/>
      <c r="AD2" s="241"/>
    </row>
    <row r="3" spans="1:36" ht="24" customHeight="1" thickBot="1" x14ac:dyDescent="0.3">
      <c r="B3" s="359"/>
      <c r="C3" s="359"/>
      <c r="D3" s="359"/>
      <c r="E3" s="359"/>
      <c r="F3" s="359"/>
      <c r="G3" s="359"/>
      <c r="H3" s="359"/>
      <c r="I3" s="359"/>
      <c r="J3" s="359"/>
      <c r="K3" s="359"/>
      <c r="L3" s="359"/>
      <c r="M3" s="359"/>
      <c r="N3" s="359"/>
      <c r="O3" s="359"/>
      <c r="P3" s="169"/>
      <c r="Q3" s="169"/>
      <c r="R3" s="169"/>
      <c r="S3" s="169"/>
      <c r="U3" s="355"/>
      <c r="V3" s="355"/>
      <c r="W3" s="355"/>
      <c r="X3" s="355"/>
      <c r="Y3" s="355"/>
      <c r="Z3" s="355"/>
      <c r="AA3" s="355"/>
      <c r="AB3" s="355"/>
      <c r="AC3" s="355"/>
    </row>
    <row r="4" spans="1:36" ht="15" customHeight="1" thickBot="1" x14ac:dyDescent="0.3">
      <c r="B4" s="357" t="s">
        <v>1674</v>
      </c>
      <c r="C4" s="357"/>
      <c r="D4" s="357"/>
      <c r="E4" s="357"/>
      <c r="F4" s="357"/>
      <c r="G4" s="357"/>
      <c r="H4" s="357"/>
      <c r="I4" s="357"/>
      <c r="J4" s="357"/>
      <c r="K4" s="357"/>
      <c r="L4" s="357"/>
      <c r="M4" s="357"/>
      <c r="N4" s="357"/>
      <c r="O4" s="357"/>
      <c r="P4" s="170"/>
      <c r="Q4" s="170"/>
      <c r="R4" s="225"/>
      <c r="S4" s="171"/>
      <c r="AI4" s="309"/>
      <c r="AJ4" s="172" t="s">
        <v>2269</v>
      </c>
    </row>
    <row r="5" spans="1:36" ht="15" customHeight="1" x14ac:dyDescent="0.25">
      <c r="B5" s="357"/>
      <c r="C5" s="357"/>
      <c r="D5" s="357"/>
      <c r="E5" s="357"/>
      <c r="F5" s="357"/>
      <c r="G5" s="357"/>
      <c r="H5" s="357"/>
      <c r="I5" s="357"/>
      <c r="J5" s="357"/>
      <c r="K5" s="357"/>
      <c r="L5" s="357"/>
      <c r="M5" s="357"/>
      <c r="N5" s="357"/>
      <c r="O5" s="357"/>
      <c r="P5" s="170"/>
      <c r="Q5" s="170"/>
      <c r="R5" s="225"/>
      <c r="S5" s="171"/>
    </row>
    <row r="6" spans="1:36" ht="13.5" customHeight="1" x14ac:dyDescent="0.25">
      <c r="AI6" s="249"/>
      <c r="AJ6" s="172" t="s">
        <v>2271</v>
      </c>
    </row>
    <row r="7" spans="1:36" ht="16.5" customHeight="1" x14ac:dyDescent="0.25">
      <c r="D7" s="141"/>
    </row>
    <row r="8" spans="1:36" s="172" customFormat="1" x14ac:dyDescent="0.25">
      <c r="I8" s="139"/>
      <c r="J8" s="173"/>
      <c r="K8" s="173"/>
      <c r="L8" s="173"/>
      <c r="M8" s="173"/>
      <c r="N8" s="173"/>
      <c r="O8" s="139"/>
      <c r="P8" s="139"/>
      <c r="Q8" s="139"/>
      <c r="AI8" s="237"/>
      <c r="AJ8" s="172" t="s">
        <v>2270</v>
      </c>
    </row>
    <row r="9" spans="1:36" ht="13.5" customHeight="1" x14ac:dyDescent="0.25">
      <c r="L9" s="140"/>
    </row>
    <row r="10" spans="1:36" ht="13.5" customHeight="1" x14ac:dyDescent="0.25">
      <c r="L10" s="140"/>
      <c r="AI10" s="238"/>
      <c r="AJ10" s="172" t="s">
        <v>2272</v>
      </c>
    </row>
    <row r="11" spans="1:36" s="141" customFormat="1" ht="13.5" customHeight="1" x14ac:dyDescent="0.25">
      <c r="C11" s="354"/>
      <c r="D11" s="354"/>
      <c r="F11" s="354"/>
      <c r="G11" s="354"/>
      <c r="I11" s="354"/>
      <c r="J11" s="354"/>
      <c r="L11" s="354"/>
      <c r="M11" s="354"/>
      <c r="N11" s="228"/>
    </row>
    <row r="12" spans="1:36" s="141" customFormat="1" ht="13.5" customHeight="1" x14ac:dyDescent="0.25">
      <c r="C12" s="354"/>
      <c r="D12" s="354"/>
      <c r="F12" s="354"/>
      <c r="G12" s="354"/>
      <c r="I12" s="354"/>
      <c r="J12" s="354"/>
      <c r="L12" s="354"/>
      <c r="M12" s="354"/>
      <c r="R12" s="227"/>
    </row>
    <row r="13" spans="1:36" s="141" customFormat="1" ht="13.5" customHeight="1" x14ac:dyDescent="0.25">
      <c r="A13" s="228"/>
      <c r="C13" s="354"/>
      <c r="D13" s="354"/>
      <c r="F13" s="354"/>
      <c r="G13" s="354"/>
      <c r="I13" s="354"/>
      <c r="J13" s="354"/>
      <c r="L13" s="354"/>
      <c r="M13" s="354"/>
      <c r="AI13" s="141" t="s">
        <v>2275</v>
      </c>
    </row>
    <row r="14" spans="1:36" s="229" customFormat="1" x14ac:dyDescent="0.25">
      <c r="B14" s="141"/>
      <c r="C14" s="354"/>
      <c r="D14" s="354"/>
      <c r="E14" s="141"/>
      <c r="F14" s="354"/>
      <c r="G14" s="354"/>
      <c r="I14" s="354"/>
      <c r="J14" s="354"/>
      <c r="K14" s="228"/>
      <c r="L14" s="354"/>
      <c r="M14" s="354"/>
      <c r="N14" s="228"/>
      <c r="O14" s="141"/>
      <c r="P14" s="141"/>
      <c r="Q14" s="141"/>
    </row>
    <row r="15" spans="1:36" s="141" customFormat="1" ht="13.5" customHeight="1" x14ac:dyDescent="0.25">
      <c r="C15" s="354"/>
      <c r="D15" s="354"/>
      <c r="F15" s="354"/>
      <c r="G15" s="354"/>
      <c r="I15" s="354"/>
      <c r="J15" s="354"/>
      <c r="L15" s="354"/>
      <c r="M15" s="354"/>
    </row>
    <row r="16" spans="1:36" ht="13.5" customHeight="1" x14ac:dyDescent="0.25">
      <c r="C16" s="356" t="s">
        <v>2241</v>
      </c>
      <c r="D16" s="356"/>
      <c r="F16" s="356" t="s">
        <v>2240</v>
      </c>
      <c r="G16" s="356"/>
      <c r="I16" s="356" t="s">
        <v>2242</v>
      </c>
      <c r="J16" s="356"/>
      <c r="L16" s="356" t="s">
        <v>2249</v>
      </c>
      <c r="M16" s="356"/>
    </row>
    <row r="17" spans="1:17" ht="13.5" customHeight="1" x14ac:dyDescent="0.25">
      <c r="C17" s="356"/>
      <c r="D17" s="356"/>
      <c r="F17" s="356"/>
      <c r="G17" s="356"/>
      <c r="I17" s="356"/>
      <c r="J17" s="356"/>
      <c r="L17" s="356"/>
      <c r="M17" s="356"/>
    </row>
    <row r="18" spans="1:17" ht="13.5" customHeight="1" x14ac:dyDescent="0.25">
      <c r="A18" s="173"/>
    </row>
    <row r="19" spans="1:17" ht="13.5" customHeight="1" x14ac:dyDescent="0.25">
      <c r="A19" s="173"/>
    </row>
    <row r="20" spans="1:17" ht="13.5" customHeight="1" x14ac:dyDescent="0.25">
      <c r="C20" s="174"/>
    </row>
    <row r="21" spans="1:17" ht="13.5" customHeight="1" x14ac:dyDescent="0.25">
      <c r="C21" s="174"/>
    </row>
    <row r="22" spans="1:17" ht="13.5" customHeight="1" x14ac:dyDescent="0.25">
      <c r="A22" s="141"/>
      <c r="B22" s="141"/>
      <c r="C22" s="354"/>
      <c r="D22" s="354"/>
      <c r="E22" s="141"/>
      <c r="F22" s="354"/>
      <c r="G22" s="354"/>
      <c r="H22" s="141"/>
      <c r="I22" s="354"/>
      <c r="J22" s="354"/>
      <c r="K22" s="141"/>
      <c r="L22" s="354"/>
      <c r="M22" s="354"/>
      <c r="N22" s="228"/>
      <c r="O22" s="141"/>
      <c r="P22" s="141"/>
      <c r="Q22" s="141"/>
    </row>
    <row r="23" spans="1:17" ht="13.5" customHeight="1" x14ac:dyDescent="0.25">
      <c r="A23" s="141"/>
      <c r="B23" s="141"/>
      <c r="C23" s="354"/>
      <c r="D23" s="354"/>
      <c r="E23" s="141"/>
      <c r="F23" s="354"/>
      <c r="G23" s="354"/>
      <c r="H23" s="141"/>
      <c r="I23" s="354"/>
      <c r="J23" s="354"/>
      <c r="K23" s="141"/>
      <c r="L23" s="354"/>
      <c r="M23" s="354"/>
      <c r="N23" s="141"/>
      <c r="O23" s="141"/>
      <c r="P23" s="141"/>
      <c r="Q23" s="141"/>
    </row>
    <row r="24" spans="1:17" ht="13.5" customHeight="1" x14ac:dyDescent="0.25">
      <c r="A24" s="228"/>
      <c r="B24" s="141"/>
      <c r="C24" s="354"/>
      <c r="D24" s="354"/>
      <c r="E24" s="141"/>
      <c r="F24" s="354"/>
      <c r="G24" s="354"/>
      <c r="H24" s="141"/>
      <c r="I24" s="354"/>
      <c r="J24" s="354"/>
      <c r="K24" s="141"/>
      <c r="L24" s="354"/>
      <c r="M24" s="354"/>
      <c r="N24" s="141"/>
      <c r="O24" s="141"/>
      <c r="P24" s="141"/>
      <c r="Q24" s="141"/>
    </row>
    <row r="25" spans="1:17" ht="13.5" customHeight="1" x14ac:dyDescent="0.25">
      <c r="A25" s="229"/>
      <c r="B25" s="141"/>
      <c r="C25" s="354"/>
      <c r="D25" s="354"/>
      <c r="E25" s="141"/>
      <c r="F25" s="354"/>
      <c r="G25" s="354"/>
      <c r="H25" s="229"/>
      <c r="I25" s="354"/>
      <c r="J25" s="354"/>
      <c r="K25" s="228"/>
      <c r="L25" s="354"/>
      <c r="M25" s="354"/>
      <c r="N25" s="228"/>
      <c r="O25" s="141"/>
      <c r="P25" s="141"/>
      <c r="Q25" s="141"/>
    </row>
    <row r="26" spans="1:17" x14ac:dyDescent="0.25">
      <c r="A26" s="141"/>
      <c r="B26" s="141"/>
      <c r="C26" s="354"/>
      <c r="D26" s="354"/>
      <c r="E26" s="141"/>
      <c r="F26" s="354"/>
      <c r="G26" s="354"/>
      <c r="H26" s="141"/>
      <c r="I26" s="354"/>
      <c r="J26" s="354"/>
      <c r="K26" s="141"/>
      <c r="L26" s="354"/>
      <c r="M26" s="354"/>
      <c r="N26" s="141"/>
      <c r="O26" s="141"/>
      <c r="P26" s="141"/>
      <c r="Q26" s="141"/>
    </row>
    <row r="27" spans="1:17" x14ac:dyDescent="0.25">
      <c r="C27" s="356" t="s">
        <v>2264</v>
      </c>
      <c r="D27" s="356"/>
      <c r="F27" s="356" t="s">
        <v>2240</v>
      </c>
      <c r="G27" s="356"/>
      <c r="I27" s="356" t="s">
        <v>2242</v>
      </c>
      <c r="J27" s="356"/>
      <c r="L27" s="356" t="s">
        <v>2286</v>
      </c>
      <c r="M27" s="356"/>
    </row>
    <row r="28" spans="1:17" x14ac:dyDescent="0.25">
      <c r="C28" s="356"/>
      <c r="D28" s="356"/>
      <c r="F28" s="356"/>
      <c r="G28" s="356"/>
      <c r="I28" s="356"/>
      <c r="J28" s="356"/>
      <c r="L28" s="356"/>
      <c r="M28" s="356"/>
    </row>
  </sheetData>
  <mergeCells count="20">
    <mergeCell ref="C27:D28"/>
    <mergeCell ref="F27:G28"/>
    <mergeCell ref="I27:J28"/>
    <mergeCell ref="L27:M28"/>
    <mergeCell ref="W2:AA2"/>
    <mergeCell ref="C22:D26"/>
    <mergeCell ref="F22:G26"/>
    <mergeCell ref="I22:J26"/>
    <mergeCell ref="L22:M26"/>
    <mergeCell ref="U3:AC3"/>
    <mergeCell ref="L16:M17"/>
    <mergeCell ref="F11:G15"/>
    <mergeCell ref="C11:D15"/>
    <mergeCell ref="I11:J15"/>
    <mergeCell ref="L11:M15"/>
    <mergeCell ref="F16:G17"/>
    <mergeCell ref="C16:D17"/>
    <mergeCell ref="I16:J17"/>
    <mergeCell ref="B4:O5"/>
    <mergeCell ref="B2:O3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5099-023C-41D3-9B0A-D35EFADCA729}">
  <sheetPr codeName="Hoja12"/>
  <dimension ref="B1:AU124"/>
  <sheetViews>
    <sheetView workbookViewId="0">
      <selection activeCell="F2" sqref="F2:G2"/>
    </sheetView>
  </sheetViews>
  <sheetFormatPr baseColWidth="10" defaultColWidth="11.42578125" defaultRowHeight="15" x14ac:dyDescent="0.25"/>
  <cols>
    <col min="1" max="1" width="2.85546875" style="96" customWidth="1"/>
    <col min="2" max="45" width="4.28515625" style="96" customWidth="1"/>
    <col min="46" max="85" width="7.140625" style="96" customWidth="1"/>
    <col min="86" max="106" width="5.7109375" style="96" customWidth="1"/>
    <col min="107" max="112" width="4.28515625" style="96" customWidth="1"/>
    <col min="113" max="16384" width="11.42578125" style="96"/>
  </cols>
  <sheetData>
    <row r="1" spans="2:41" ht="15" customHeight="1" thickBot="1" x14ac:dyDescent="0.3"/>
    <row r="2" spans="2:41" ht="15" customHeight="1" thickBot="1" x14ac:dyDescent="0.3">
      <c r="B2" s="469" t="s">
        <v>381</v>
      </c>
      <c r="C2" s="469"/>
      <c r="D2" s="469"/>
      <c r="E2" s="469"/>
      <c r="F2" s="470">
        <v>149</v>
      </c>
      <c r="G2" s="471"/>
      <c r="H2" s="97"/>
      <c r="I2" s="123" t="s">
        <v>59</v>
      </c>
      <c r="N2" s="363">
        <f ca="1">TODAY()</f>
        <v>44760</v>
      </c>
      <c r="O2" s="363"/>
      <c r="P2" s="363"/>
      <c r="Q2" s="120"/>
      <c r="R2" s="120"/>
      <c r="S2" s="121"/>
      <c r="T2" s="121"/>
      <c r="U2" s="121"/>
      <c r="V2" s="121"/>
      <c r="W2" s="121"/>
      <c r="X2" s="121"/>
      <c r="Y2" s="121"/>
      <c r="AF2" s="122"/>
    </row>
    <row r="3" spans="2:41" ht="15" customHeight="1" x14ac:dyDescent="0.25"/>
    <row r="4" spans="2:41" ht="15" customHeight="1" x14ac:dyDescent="0.25">
      <c r="B4" s="96" t="s">
        <v>380</v>
      </c>
      <c r="O4" s="97" t="s">
        <v>290</v>
      </c>
      <c r="P4" s="97"/>
      <c r="Q4" s="97"/>
      <c r="S4" s="108" t="s">
        <v>293</v>
      </c>
      <c r="U4" s="97" t="s">
        <v>74</v>
      </c>
      <c r="V4" s="97"/>
      <c r="X4" s="97" t="s">
        <v>22</v>
      </c>
      <c r="Y4" s="97"/>
      <c r="AA4" s="96" t="s">
        <v>275</v>
      </c>
      <c r="AB4" s="108"/>
      <c r="AG4" s="96" t="s">
        <v>53</v>
      </c>
    </row>
    <row r="5" spans="2:41" ht="15" customHeight="1" x14ac:dyDescent="0.25">
      <c r="B5" s="460" t="str">
        <f>IFERROR(VLOOKUP($F$2,BDD[],2,FALSE),"")</f>
        <v>Maríana Rodríguez Gutiérrez</v>
      </c>
      <c r="C5" s="461"/>
      <c r="D5" s="461"/>
      <c r="E5" s="461"/>
      <c r="F5" s="461"/>
      <c r="G5" s="461"/>
      <c r="H5" s="461"/>
      <c r="I5" s="461"/>
      <c r="J5" s="461"/>
      <c r="K5" s="461"/>
      <c r="L5" s="461"/>
      <c r="M5" s="462"/>
      <c r="O5" s="449">
        <f>IFERROR(VLOOKUP($F$2,BDD[],6,FALSE),"")</f>
        <v>40997</v>
      </c>
      <c r="P5" s="475"/>
      <c r="Q5" s="450"/>
      <c r="S5" s="107">
        <f ca="1">IFERROR(VLOOKUP($F$2,BDD[],7,FALSE),"")</f>
        <v>10</v>
      </c>
      <c r="U5" s="447" t="str">
        <f>IFERROR(VLOOKUP($F$2,BDD[],11,FALSE),"")</f>
        <v>LUN VIE</v>
      </c>
      <c r="V5" s="448"/>
      <c r="X5" s="449" t="str">
        <f>IFERROR(VLOOKUP($F$2,BDD[],10,FALSE),"")</f>
        <v>DIRECT</v>
      </c>
      <c r="Y5" s="450"/>
      <c r="AA5" s="451">
        <f>IFERROR(VLOOKUP($F$2,BDD[],12,FALSE),"")</f>
        <v>1011</v>
      </c>
      <c r="AB5" s="453"/>
      <c r="AD5" s="460" t="str">
        <f>IFERROR(VLOOKUP($F$2,BDDBAJAS[],2,FALSE),"")</f>
        <v/>
      </c>
      <c r="AE5" s="461"/>
      <c r="AF5" s="461"/>
      <c r="AG5" s="461"/>
      <c r="AH5" s="461"/>
      <c r="AI5" s="461"/>
      <c r="AJ5" s="461"/>
      <c r="AK5" s="461"/>
      <c r="AL5" s="461"/>
      <c r="AM5" s="461"/>
      <c r="AN5" s="461"/>
      <c r="AO5" s="462"/>
    </row>
    <row r="6" spans="2:41" ht="15" customHeight="1" x14ac:dyDescent="0.25"/>
    <row r="7" spans="2:41" ht="15" customHeight="1" x14ac:dyDescent="0.25">
      <c r="B7" s="97" t="s">
        <v>274</v>
      </c>
      <c r="C7" s="97"/>
      <c r="D7" s="97"/>
      <c r="E7" s="97"/>
      <c r="F7" s="97" t="s">
        <v>273</v>
      </c>
      <c r="G7" s="97"/>
      <c r="H7" s="97"/>
      <c r="J7" s="97" t="s">
        <v>729</v>
      </c>
      <c r="K7" s="97"/>
      <c r="L7" s="97"/>
      <c r="M7" s="108" t="s">
        <v>1748</v>
      </c>
      <c r="O7" s="97" t="s">
        <v>386</v>
      </c>
      <c r="P7" s="97"/>
      <c r="Q7" s="97"/>
      <c r="S7" s="97" t="s">
        <v>387</v>
      </c>
      <c r="T7" s="97"/>
      <c r="U7" s="97"/>
      <c r="V7" s="97"/>
      <c r="W7" s="96" t="s">
        <v>307</v>
      </c>
      <c r="AD7" s="96" t="s">
        <v>290</v>
      </c>
      <c r="AH7" s="96" t="s">
        <v>382</v>
      </c>
      <c r="AL7" s="108" t="s">
        <v>293</v>
      </c>
    </row>
    <row r="8" spans="2:41" s="110" customFormat="1" x14ac:dyDescent="0.25">
      <c r="B8" s="460">
        <f>IFERROR(VLOOKUP($F$2,BDD[],30,FALSE),"")</f>
        <v>3365874562</v>
      </c>
      <c r="C8" s="461"/>
      <c r="D8" s="462"/>
      <c r="E8" s="109"/>
      <c r="F8" s="449">
        <f>IFERROR(VLOOKUP($F$2,BDD[],27,FALSE),"")</f>
        <v>32679</v>
      </c>
      <c r="G8" s="475"/>
      <c r="H8" s="450"/>
      <c r="J8" s="460" t="str">
        <f>IFERROR(VLOOKUP($F$2,BDD[],32,FALSE),"")</f>
        <v>SOLTE</v>
      </c>
      <c r="K8" s="462"/>
      <c r="M8" s="111">
        <f ca="1">IFERROR(VLOOKUP($F$2,BDD[],41,FALSE),"")</f>
        <v>33</v>
      </c>
      <c r="O8" s="460" t="str">
        <f>IFERROR(VLOOKUP($F$2,BDD[],9,FALSE),"")</f>
        <v>DIRECCIÓN</v>
      </c>
      <c r="P8" s="461"/>
      <c r="Q8" s="462"/>
      <c r="S8" s="460" t="str">
        <f>IFERROR(VLOOKUP($F$2,BDD[],8,FALSE),"")</f>
        <v>DIRECCIÓN</v>
      </c>
      <c r="T8" s="461"/>
      <c r="U8" s="462"/>
      <c r="W8" s="460" t="str">
        <f>IFERROR(VLOOKUP($F$2,BDD[],14,FALSE),"")</f>
        <v xml:space="preserve"> </v>
      </c>
      <c r="X8" s="461"/>
      <c r="Y8" s="461"/>
      <c r="Z8" s="461"/>
      <c r="AA8" s="462"/>
      <c r="AD8" s="427" t="str">
        <f>IFERROR(VLOOKUP($F$2,BDDBAJAS[],4,FALSE),"")</f>
        <v/>
      </c>
      <c r="AE8" s="428"/>
      <c r="AF8" s="429"/>
      <c r="AH8" s="427" t="str">
        <f>IFERROR(VLOOKUP($F$2,BDDBAJAS[],5,FALSE),"")</f>
        <v/>
      </c>
      <c r="AI8" s="428"/>
      <c r="AJ8" s="429"/>
      <c r="AL8" s="111" t="str">
        <f>IFERROR(VLOOKUP($F$2,BDDBAJAS[],9,FALSE),"")</f>
        <v/>
      </c>
    </row>
    <row r="9" spans="2:41" ht="15" customHeight="1" x14ac:dyDescent="0.25">
      <c r="O9" s="112"/>
      <c r="P9" s="112"/>
      <c r="Q9" s="112"/>
      <c r="S9" s="112"/>
      <c r="T9" s="112"/>
      <c r="U9" s="112"/>
      <c r="V9" s="113"/>
    </row>
    <row r="10" spans="2:41" ht="15" customHeight="1" x14ac:dyDescent="0.25">
      <c r="B10" s="97" t="s">
        <v>772</v>
      </c>
      <c r="C10" s="97"/>
      <c r="D10" s="97"/>
      <c r="E10" s="97"/>
      <c r="L10" s="96" t="s">
        <v>289</v>
      </c>
      <c r="O10" s="96" t="s">
        <v>303</v>
      </c>
      <c r="Y10" s="96" t="s">
        <v>842</v>
      </c>
      <c r="AD10" s="97" t="s">
        <v>274</v>
      </c>
      <c r="AE10" s="97"/>
      <c r="AF10" s="97"/>
      <c r="AH10" s="96" t="s">
        <v>306</v>
      </c>
      <c r="AL10" s="96" t="s">
        <v>835</v>
      </c>
    </row>
    <row r="11" spans="2:41" ht="15" customHeight="1" x14ac:dyDescent="0.25">
      <c r="B11" s="460" t="str">
        <f>IFERROR(VLOOKUP($F$2,BDD[],31,FALSE),"")</f>
        <v>MARIANA1414@HOTMAIL.COM</v>
      </c>
      <c r="C11" s="461"/>
      <c r="D11" s="461"/>
      <c r="E11" s="461"/>
      <c r="F11" s="461"/>
      <c r="G11" s="461"/>
      <c r="H11" s="461"/>
      <c r="I11" s="461"/>
      <c r="J11" s="462"/>
      <c r="L11" s="451" t="str">
        <f>IFERROR(VLOOKUP($F$2,BDD[],34,FALSE),"")</f>
        <v>A</v>
      </c>
      <c r="M11" s="453"/>
      <c r="O11" s="460" t="str">
        <f>IFERROR(VLOOKUP($F$2,BDD[],13,FALSE),"")</f>
        <v>mariana.rodríguez@grupomaia.com</v>
      </c>
      <c r="P11" s="461"/>
      <c r="Q11" s="461"/>
      <c r="R11" s="461"/>
      <c r="S11" s="461"/>
      <c r="T11" s="461"/>
      <c r="U11" s="461"/>
      <c r="V11" s="461"/>
      <c r="W11" s="462"/>
      <c r="Y11" s="466">
        <f ca="1">IFERROR(VLOOKUP($F$2,BDD[],43,FALSE),"")</f>
        <v>1</v>
      </c>
      <c r="Z11" s="467">
        <f>IFERROR(VLOOKUP($F$2,BDD[],42,FALSE),"")</f>
        <v>2</v>
      </c>
      <c r="AA11" s="468">
        <f>IFERROR(VLOOKUP($F$2,BDD[],42,FALSE),"")</f>
        <v>2</v>
      </c>
      <c r="AB11" s="108"/>
      <c r="AD11" s="368" t="str">
        <f>IFERROR(VLOOKUP($F$2,BDDBAJAS[],11,FALSE),"")</f>
        <v/>
      </c>
      <c r="AE11" s="369"/>
      <c r="AF11" s="370"/>
      <c r="AH11" s="417" t="str">
        <f>IFERROR(VLOOKUP($F$2,BDDBAJAS[],3,FALSE),"")</f>
        <v/>
      </c>
      <c r="AI11" s="418"/>
      <c r="AJ11" s="419"/>
      <c r="AL11" s="463" t="str">
        <f>IFERROR(VLOOKUP($F$2,BDDBAJAS[],10,FALSE)," ")</f>
        <v xml:space="preserve"> </v>
      </c>
      <c r="AM11" s="465"/>
    </row>
    <row r="12" spans="2:41" ht="15" customHeight="1" x14ac:dyDescent="0.25"/>
    <row r="13" spans="2:41" ht="15" customHeight="1" x14ac:dyDescent="0.25">
      <c r="B13" s="207" t="s">
        <v>808</v>
      </c>
      <c r="C13" s="207"/>
      <c r="E13" s="96" t="s">
        <v>310</v>
      </c>
      <c r="H13" s="96" t="s">
        <v>385</v>
      </c>
      <c r="K13" s="96" t="s">
        <v>391</v>
      </c>
      <c r="N13" s="97" t="s">
        <v>733</v>
      </c>
      <c r="O13" s="97"/>
      <c r="Q13" s="97"/>
      <c r="R13" s="97" t="s">
        <v>390</v>
      </c>
      <c r="S13" s="97"/>
      <c r="V13" s="97" t="s">
        <v>388</v>
      </c>
      <c r="W13" s="97"/>
      <c r="X13" s="97"/>
      <c r="Y13" s="97"/>
      <c r="Z13" s="97" t="s">
        <v>389</v>
      </c>
      <c r="AD13" s="97" t="s">
        <v>833</v>
      </c>
      <c r="AE13" s="97"/>
      <c r="AF13" s="97"/>
      <c r="AG13" s="97"/>
      <c r="AH13" s="97" t="s">
        <v>834</v>
      </c>
      <c r="AI13" s="97"/>
      <c r="AJ13" s="97"/>
    </row>
    <row r="14" spans="2:41" x14ac:dyDescent="0.25">
      <c r="B14" s="451" t="str">
        <f>IFERROR(VLOOKUP($F$2,BDD[],33,FALSE),"")</f>
        <v>MAEST</v>
      </c>
      <c r="C14" s="453"/>
      <c r="E14" s="451" t="str">
        <f>IFERROR(VLOOKUP($F$2,BDD[],37,FALSE),"")</f>
        <v>UVM</v>
      </c>
      <c r="F14" s="453"/>
      <c r="H14" s="451">
        <f>IFERROR(VLOOKUP($F$2,BDD[],36,FALSE),"")</f>
        <v>0</v>
      </c>
      <c r="I14" s="453"/>
      <c r="K14" s="460">
        <f>IFERROR(VLOOKUP($F$2,BDD[],40,FALSE),"")</f>
        <v>75</v>
      </c>
      <c r="L14" s="462"/>
      <c r="N14" s="449">
        <f>IFERROR(VLOOKUP($F$2,BDD[],15,FALSE)," ")</f>
        <v>43241</v>
      </c>
      <c r="O14" s="475"/>
      <c r="P14" s="450"/>
      <c r="Q14" s="112"/>
      <c r="R14" s="454">
        <f>IFERROR(VLOOKUP($F$2,BDD[],16,FALSE),"")</f>
        <v>28990</v>
      </c>
      <c r="S14" s="455"/>
      <c r="T14" s="456"/>
      <c r="V14" s="451" t="str">
        <f>IFERROR(VLOOKUP($F$2,BDD[],17,FALSE)," ")</f>
        <v>MATERIALES</v>
      </c>
      <c r="W14" s="452"/>
      <c r="X14" s="453"/>
      <c r="Y14" s="112"/>
      <c r="Z14" s="451" t="str">
        <f>IFERROR(VLOOKUP($F$2,BDD[],18,FALSE)," ")</f>
        <v>RELACIONES</v>
      </c>
      <c r="AA14" s="452"/>
      <c r="AB14" s="453"/>
      <c r="AD14" s="463" t="str">
        <f>IFERROR(VLOOKUP($F$2,BDDBAJAS[],6,FALSE)," ")</f>
        <v xml:space="preserve"> </v>
      </c>
      <c r="AE14" s="464"/>
      <c r="AF14" s="465"/>
      <c r="AG14" s="113"/>
      <c r="AH14" s="463" t="str">
        <f>IFERROR(VLOOKUP($F$2,BDDBAJAS[],7,FALSE)," ")</f>
        <v xml:space="preserve"> </v>
      </c>
      <c r="AI14" s="464"/>
      <c r="AJ14" s="465"/>
      <c r="AK14" s="113"/>
    </row>
    <row r="15" spans="2:41" ht="15" customHeight="1" x14ac:dyDescent="0.25"/>
    <row r="16" spans="2:41" ht="15" customHeight="1" x14ac:dyDescent="0.25">
      <c r="B16" s="96" t="s">
        <v>392</v>
      </c>
      <c r="K16" s="96" t="s">
        <v>839</v>
      </c>
      <c r="N16" s="96" t="s">
        <v>298</v>
      </c>
      <c r="R16" s="114" t="s">
        <v>374</v>
      </c>
      <c r="S16" s="114"/>
      <c r="T16" s="114"/>
      <c r="V16" s="114" t="s">
        <v>330</v>
      </c>
      <c r="W16" s="114"/>
      <c r="X16" s="114"/>
      <c r="Z16" s="114" t="s">
        <v>299</v>
      </c>
      <c r="AA16" s="114"/>
      <c r="AB16" s="114"/>
      <c r="AD16" s="96" t="s">
        <v>836</v>
      </c>
      <c r="AH16" s="96" t="s">
        <v>848</v>
      </c>
    </row>
    <row r="17" spans="2:41" s="97" customFormat="1" ht="15" customHeight="1" x14ac:dyDescent="0.25">
      <c r="B17" s="472" t="str">
        <f>IFERROR(VLOOKUP($F$2,BDD[],38,FALSE),"")</f>
        <v>ADMINISTRACIÓN</v>
      </c>
      <c r="C17" s="473"/>
      <c r="D17" s="473"/>
      <c r="E17" s="473"/>
      <c r="F17" s="473"/>
      <c r="G17" s="473"/>
      <c r="H17" s="473"/>
      <c r="I17" s="474"/>
      <c r="K17" s="472" t="str">
        <f>IFERROR(VLOOKUP($F$2,BDD[],29,FALSE),"")</f>
        <v>ESCOB</v>
      </c>
      <c r="L17" s="474"/>
      <c r="N17" s="454">
        <f>IFERROR(VLOOKUP($F$2,BDD[],3,FALSE),"")</f>
        <v>34530</v>
      </c>
      <c r="O17" s="455"/>
      <c r="P17" s="456"/>
      <c r="Q17" s="114"/>
      <c r="R17" s="454">
        <f>IFERROR(VLOOKUP($F$2,BDD[],5,FALSE),"")</f>
        <v>17265</v>
      </c>
      <c r="S17" s="455"/>
      <c r="T17" s="456"/>
      <c r="U17" s="96"/>
      <c r="V17" s="457">
        <f>IFERROR(VLOOKUP($F$2,BDD[],4,FALSE),"")</f>
        <v>1151</v>
      </c>
      <c r="W17" s="458"/>
      <c r="X17" s="459"/>
      <c r="Y17" s="96"/>
      <c r="Z17" s="457">
        <f>IFERROR(VLOOKUP($F$2,BDD[],26,FALSE),"")</f>
        <v>127.88888888888889</v>
      </c>
      <c r="AA17" s="458"/>
      <c r="AB17" s="459"/>
      <c r="AD17" s="466" t="s">
        <v>841</v>
      </c>
      <c r="AE17" s="467"/>
      <c r="AF17" s="468"/>
      <c r="AH17" s="463" t="s">
        <v>841</v>
      </c>
      <c r="AI17" s="464"/>
      <c r="AJ17" s="465"/>
      <c r="AO17" s="96"/>
    </row>
    <row r="18" spans="2:41" ht="15" customHeight="1" x14ac:dyDescent="0.25"/>
    <row r="19" spans="2:41" ht="15" customHeight="1" x14ac:dyDescent="0.25">
      <c r="B19" s="96" t="s">
        <v>807</v>
      </c>
      <c r="J19" s="96" t="s">
        <v>286</v>
      </c>
      <c r="O19" s="96" t="s">
        <v>812</v>
      </c>
      <c r="R19" s="96" t="s">
        <v>814</v>
      </c>
      <c r="V19" s="96" t="s">
        <v>294</v>
      </c>
      <c r="Y19" s="96" t="s">
        <v>813</v>
      </c>
      <c r="AB19" s="114" t="s">
        <v>0</v>
      </c>
      <c r="AC19" s="115"/>
      <c r="AD19" s="115"/>
      <c r="AF19" s="96" t="s">
        <v>838</v>
      </c>
      <c r="AJ19" s="96" t="s">
        <v>849</v>
      </c>
    </row>
    <row r="20" spans="2:41" s="97" customFormat="1" x14ac:dyDescent="0.25">
      <c r="B20" s="472" t="str">
        <f>IFERROR(VLOOKUP($F$2,BDD[],39,FALSE),"")</f>
        <v xml:space="preserve">CONTADOR PÚBLICO       </v>
      </c>
      <c r="C20" s="473"/>
      <c r="D20" s="473"/>
      <c r="E20" s="473"/>
      <c r="F20" s="473"/>
      <c r="G20" s="473"/>
      <c r="H20" s="474"/>
      <c r="I20" s="116"/>
      <c r="J20" s="472" t="str">
        <f>IFERROR(VLOOKUP($F$2,BDD[],28,FALSE),"")</f>
        <v>SAN BERNABÉ VIII (F-125)</v>
      </c>
      <c r="K20" s="473"/>
      <c r="L20" s="473"/>
      <c r="M20" s="474"/>
      <c r="O20" s="479">
        <f>IFERROR(VLOOKUP($F$2,BDD[],21,FALSE),"")</f>
        <v>0.5</v>
      </c>
      <c r="P20" s="480"/>
      <c r="R20" s="472">
        <f ca="1">IFERROR(VLOOKUP($F$2,BDD[],22,FALSE),"")</f>
        <v>10</v>
      </c>
      <c r="S20" s="473"/>
      <c r="T20" s="474"/>
      <c r="V20" s="472">
        <f ca="1">IFERROR(VLOOKUP($F$2,BDD[],20,FALSE),"")</f>
        <v>20</v>
      </c>
      <c r="W20" s="474"/>
      <c r="Y20" s="451">
        <f>IFERROR(VLOOKUP($F$2,BDD[],23,FALSE),"")</f>
        <v>30</v>
      </c>
      <c r="Z20" s="453"/>
      <c r="AB20" s="454">
        <f ca="1">IFERROR(VLOOKUP($F$2,BDD[],25,FALSE),"")</f>
        <v>1277.1369863013699</v>
      </c>
      <c r="AC20" s="455"/>
      <c r="AD20" s="456"/>
      <c r="AF20" s="466" t="s">
        <v>841</v>
      </c>
      <c r="AG20" s="467"/>
      <c r="AH20" s="468"/>
      <c r="AJ20" s="463" t="s">
        <v>841</v>
      </c>
      <c r="AK20" s="464"/>
      <c r="AL20" s="465"/>
    </row>
    <row r="21" spans="2:41" ht="15" customHeight="1" x14ac:dyDescent="0.25">
      <c r="G21" s="117"/>
      <c r="H21" s="117"/>
      <c r="I21" s="117"/>
      <c r="J21" s="117"/>
      <c r="K21" s="117"/>
      <c r="L21" s="117"/>
      <c r="M21" s="117"/>
    </row>
    <row r="22" spans="2:41" ht="15" customHeight="1" x14ac:dyDescent="0.25">
      <c r="B22" s="96" t="s">
        <v>843</v>
      </c>
      <c r="D22" s="96" t="s">
        <v>769</v>
      </c>
      <c r="G22" s="96" t="s">
        <v>855</v>
      </c>
      <c r="I22" s="96" t="s">
        <v>856</v>
      </c>
      <c r="K22" s="96" t="s">
        <v>857</v>
      </c>
      <c r="M22" s="108" t="s">
        <v>847</v>
      </c>
      <c r="O22" s="96" t="s">
        <v>296</v>
      </c>
      <c r="R22" s="115"/>
      <c r="S22" s="96" t="s">
        <v>295</v>
      </c>
      <c r="W22" s="96" t="s">
        <v>815</v>
      </c>
      <c r="AA22" s="96" t="s">
        <v>860</v>
      </c>
      <c r="AE22" s="96" t="s">
        <v>837</v>
      </c>
      <c r="AI22" s="96" t="s">
        <v>850</v>
      </c>
    </row>
    <row r="23" spans="2:41" x14ac:dyDescent="0.25">
      <c r="B23" s="107">
        <f>IFERROR(VLOOKUP($F$2,BDD[],42,FALSE),"")</f>
        <v>2</v>
      </c>
      <c r="D23" s="451" t="str">
        <f>IFERROR(VLOOKUP($F$2,BDD[],19,FALSE),"")</f>
        <v>SÍ</v>
      </c>
      <c r="E23" s="453"/>
      <c r="G23" s="111" t="s">
        <v>858</v>
      </c>
      <c r="I23" s="111" t="s">
        <v>858</v>
      </c>
      <c r="K23" s="111" t="s">
        <v>858</v>
      </c>
      <c r="M23" s="111" t="s">
        <v>858</v>
      </c>
      <c r="O23" s="451">
        <v>44011</v>
      </c>
      <c r="P23" s="452"/>
      <c r="Q23" s="453"/>
      <c r="R23" s="118"/>
      <c r="S23" s="472" t="s">
        <v>841</v>
      </c>
      <c r="T23" s="473"/>
      <c r="U23" s="474"/>
      <c r="V23" s="97"/>
      <c r="W23" s="451" t="s">
        <v>841</v>
      </c>
      <c r="X23" s="452"/>
      <c r="Y23" s="453"/>
      <c r="AA23" s="476">
        <f ca="1">IFERROR(PRODUCT(R20,V17),"")</f>
        <v>11510</v>
      </c>
      <c r="AB23" s="477"/>
      <c r="AC23" s="478"/>
      <c r="AE23" s="466" t="s">
        <v>841</v>
      </c>
      <c r="AF23" s="467"/>
      <c r="AG23" s="468"/>
      <c r="AH23" s="113"/>
      <c r="AI23" s="463" t="s">
        <v>841</v>
      </c>
      <c r="AJ23" s="464"/>
      <c r="AK23" s="465"/>
      <c r="AN23" s="97"/>
    </row>
    <row r="24" spans="2:41" ht="15" customHeight="1" x14ac:dyDescent="0.25">
      <c r="E24" s="112"/>
    </row>
    <row r="25" spans="2:41" x14ac:dyDescent="0.25">
      <c r="B25" s="96" t="s">
        <v>304</v>
      </c>
      <c r="E25" s="96" t="s">
        <v>302</v>
      </c>
      <c r="F25" s="97"/>
      <c r="H25" s="96" t="s">
        <v>770</v>
      </c>
      <c r="R25" s="115"/>
      <c r="AE25" s="96" t="s">
        <v>840</v>
      </c>
      <c r="AI25" s="96" t="s">
        <v>851</v>
      </c>
    </row>
    <row r="26" spans="2:41" x14ac:dyDescent="0.25">
      <c r="B26" s="463" t="s">
        <v>841</v>
      </c>
      <c r="C26" s="465"/>
      <c r="E26" s="463" t="s">
        <v>841</v>
      </c>
      <c r="F26" s="465"/>
      <c r="H26" s="466" t="s">
        <v>841</v>
      </c>
      <c r="I26" s="468"/>
      <c r="R26" s="114"/>
      <c r="AE26" s="466" t="s">
        <v>841</v>
      </c>
      <c r="AF26" s="467"/>
      <c r="AG26" s="468"/>
      <c r="AI26" s="463" t="s">
        <v>841</v>
      </c>
      <c r="AJ26" s="464"/>
      <c r="AK26" s="465"/>
    </row>
    <row r="28" spans="2:41" s="84" customFormat="1" hidden="1" x14ac:dyDescent="0.25">
      <c r="C28" s="444"/>
      <c r="D28" s="444"/>
      <c r="E28" s="119"/>
      <c r="F28" s="119"/>
      <c r="G28" s="90"/>
      <c r="H28" s="90"/>
      <c r="I28" s="90"/>
      <c r="L28" s="90"/>
      <c r="M28" s="90"/>
      <c r="N28" s="90"/>
    </row>
    <row r="29" spans="2:41" s="84" customFormat="1" hidden="1" x14ac:dyDescent="0.25">
      <c r="B29" s="360" t="s">
        <v>381</v>
      </c>
      <c r="C29" s="360"/>
      <c r="D29" s="360"/>
      <c r="E29" s="360"/>
      <c r="F29" s="361">
        <f>F2</f>
        <v>149</v>
      </c>
      <c r="G29" s="362"/>
      <c r="H29" s="86"/>
      <c r="I29" s="97" t="s">
        <v>59</v>
      </c>
      <c r="J29" s="96"/>
      <c r="K29" s="96"/>
      <c r="L29" s="96"/>
      <c r="M29" s="96"/>
      <c r="N29" s="363">
        <f ca="1">TODAY()</f>
        <v>44760</v>
      </c>
      <c r="O29" s="363"/>
      <c r="P29" s="363"/>
      <c r="Q29" s="101"/>
      <c r="R29" s="101"/>
      <c r="S29" s="102"/>
      <c r="T29" s="102"/>
      <c r="U29" s="102"/>
      <c r="V29" s="102"/>
      <c r="W29" s="102"/>
      <c r="X29" s="102"/>
      <c r="Y29" s="102"/>
      <c r="AF29" s="103"/>
    </row>
    <row r="30" spans="2:41" s="84" customFormat="1" hidden="1" x14ac:dyDescent="0.25">
      <c r="O30" s="90"/>
      <c r="P30" s="90"/>
      <c r="Q30" s="90"/>
      <c r="R30" s="90"/>
      <c r="T30" s="90"/>
    </row>
    <row r="31" spans="2:41" s="84" customFormat="1" ht="15" hidden="1" customHeight="1" x14ac:dyDescent="0.25">
      <c r="B31" s="84" t="s">
        <v>380</v>
      </c>
      <c r="O31" s="86" t="s">
        <v>290</v>
      </c>
      <c r="P31" s="86"/>
      <c r="Q31" s="86"/>
      <c r="S31" s="104" t="s">
        <v>293</v>
      </c>
      <c r="U31" s="86" t="s">
        <v>74</v>
      </c>
      <c r="V31" s="86"/>
      <c r="X31" s="86" t="s">
        <v>22</v>
      </c>
      <c r="Y31" s="86"/>
      <c r="AA31" s="84" t="s">
        <v>275</v>
      </c>
      <c r="AB31" s="86"/>
      <c r="AG31" s="84" t="s">
        <v>53</v>
      </c>
    </row>
    <row r="32" spans="2:41" s="84" customFormat="1" ht="15" hidden="1" customHeight="1" x14ac:dyDescent="0.25">
      <c r="B32" s="406" t="s">
        <v>1742</v>
      </c>
      <c r="C32" s="407"/>
      <c r="D32" s="407"/>
      <c r="E32" s="407"/>
      <c r="F32" s="407"/>
      <c r="G32" s="407"/>
      <c r="H32" s="407"/>
      <c r="I32" s="407"/>
      <c r="J32" s="407"/>
      <c r="K32" s="407"/>
      <c r="L32" s="407"/>
      <c r="M32" s="408"/>
      <c r="O32" s="424">
        <v>44583</v>
      </c>
      <c r="P32" s="425"/>
      <c r="Q32" s="426"/>
      <c r="S32" s="91">
        <f ca="1">IF(INT(_xlfn.DAYS(TODAY(),O32)/365)=121,"",INT(_xlfn.DAYS(TODAY(),O32)/365))</f>
        <v>0</v>
      </c>
      <c r="U32" s="430" t="s">
        <v>763</v>
      </c>
      <c r="V32" s="431"/>
      <c r="X32" s="424" t="s">
        <v>778</v>
      </c>
      <c r="Y32" s="426"/>
      <c r="AA32" s="445">
        <v>0</v>
      </c>
      <c r="AB32" s="446"/>
      <c r="AD32" s="389" t="str">
        <f>IFERROR(VLOOKUP($F$2,BDDBAJAS[],2,FALSE),"")</f>
        <v/>
      </c>
      <c r="AE32" s="397"/>
      <c r="AF32" s="397"/>
      <c r="AG32" s="397"/>
      <c r="AH32" s="397"/>
      <c r="AI32" s="397"/>
      <c r="AJ32" s="397"/>
      <c r="AK32" s="397"/>
      <c r="AL32" s="397"/>
      <c r="AM32" s="397"/>
      <c r="AN32" s="397"/>
      <c r="AO32" s="390"/>
    </row>
    <row r="33" spans="2:47" s="84" customFormat="1" ht="15" hidden="1" customHeight="1" x14ac:dyDescent="0.25"/>
    <row r="34" spans="2:47" s="84" customFormat="1" ht="15" hidden="1" customHeight="1" x14ac:dyDescent="0.25">
      <c r="B34" s="86" t="s">
        <v>274</v>
      </c>
      <c r="C34" s="86"/>
      <c r="D34" s="86"/>
      <c r="E34" s="86"/>
      <c r="F34" s="86" t="s">
        <v>273</v>
      </c>
      <c r="G34" s="86"/>
      <c r="H34" s="86"/>
      <c r="J34" s="86" t="s">
        <v>729</v>
      </c>
      <c r="K34" s="86"/>
      <c r="L34" s="86"/>
      <c r="M34" s="84" t="s">
        <v>832</v>
      </c>
      <c r="O34" s="86" t="s">
        <v>386</v>
      </c>
      <c r="P34" s="86"/>
      <c r="Q34" s="86"/>
      <c r="S34" s="86" t="s">
        <v>387</v>
      </c>
      <c r="T34" s="86"/>
      <c r="U34" s="86"/>
      <c r="V34" s="86"/>
      <c r="W34" s="84" t="s">
        <v>307</v>
      </c>
      <c r="AD34" s="84" t="s">
        <v>290</v>
      </c>
      <c r="AH34" s="84" t="s">
        <v>382</v>
      </c>
      <c r="AL34" s="90" t="s">
        <v>293</v>
      </c>
    </row>
    <row r="35" spans="2:47" s="84" customFormat="1" ht="15" hidden="1" customHeight="1" x14ac:dyDescent="0.25">
      <c r="B35" s="387">
        <v>8112318654</v>
      </c>
      <c r="C35" s="423"/>
      <c r="D35" s="388"/>
      <c r="E35" s="95"/>
      <c r="F35" s="440">
        <v>34654</v>
      </c>
      <c r="G35" s="441"/>
      <c r="H35" s="442"/>
      <c r="J35" s="387" t="s">
        <v>776</v>
      </c>
      <c r="K35" s="388"/>
      <c r="M35" s="91">
        <f ca="1">IF(INT(_xlfn.DAYS(TODAY(),F35)/365)=121," ",INT(_xlfn.DAYS(TODAY(),F35)/365))</f>
        <v>27</v>
      </c>
      <c r="O35" s="435" t="s">
        <v>757</v>
      </c>
      <c r="P35" s="443"/>
      <c r="Q35" s="436"/>
      <c r="R35" s="94"/>
      <c r="S35" s="373" t="str">
        <f>IFERROR(VLOOKUP(O35,#REF!,2,0),"")</f>
        <v/>
      </c>
      <c r="T35" s="375"/>
      <c r="U35" s="374"/>
      <c r="V35" s="94"/>
      <c r="W35" s="389" t="str">
        <f>IFERROR(VLOOKUP(O35,#REF!,3,0),"")</f>
        <v/>
      </c>
      <c r="X35" s="397"/>
      <c r="Y35" s="397"/>
      <c r="Z35" s="397"/>
      <c r="AA35" s="390"/>
      <c r="AD35" s="427" t="str">
        <f>IFERROR(VLOOKUP($F$2,BDDBAJAS[],4,FALSE),"")</f>
        <v/>
      </c>
      <c r="AE35" s="428"/>
      <c r="AF35" s="429"/>
      <c r="AH35" s="427" t="str">
        <f>IFERROR(VLOOKUP($F$2,BDDBAJAS[],5,FALSE),"")</f>
        <v/>
      </c>
      <c r="AI35" s="428"/>
      <c r="AJ35" s="429"/>
      <c r="AL35" s="105" t="str">
        <f>IFERROR(VLOOKUP($F$2,BDDBAJAS[],9,FALSE),"")</f>
        <v/>
      </c>
    </row>
    <row r="36" spans="2:47" s="84" customFormat="1" ht="15" hidden="1" customHeight="1" x14ac:dyDescent="0.25">
      <c r="O36" s="95"/>
      <c r="P36" s="95"/>
      <c r="Q36" s="95"/>
      <c r="S36" s="95"/>
      <c r="T36" s="95"/>
      <c r="U36" s="95"/>
      <c r="V36" s="94"/>
    </row>
    <row r="37" spans="2:47" s="84" customFormat="1" ht="15" hidden="1" customHeight="1" x14ac:dyDescent="0.25">
      <c r="B37" s="86" t="s">
        <v>772</v>
      </c>
      <c r="C37" s="86"/>
      <c r="D37" s="86"/>
      <c r="E37" s="86"/>
      <c r="L37" s="84" t="s">
        <v>289</v>
      </c>
      <c r="O37" s="84" t="s">
        <v>303</v>
      </c>
      <c r="Y37" s="84" t="s">
        <v>842</v>
      </c>
      <c r="AD37" s="86" t="s">
        <v>274</v>
      </c>
      <c r="AE37" s="86"/>
      <c r="AF37" s="86"/>
      <c r="AH37" s="84" t="s">
        <v>306</v>
      </c>
      <c r="AL37" s="84" t="s">
        <v>835</v>
      </c>
    </row>
    <row r="38" spans="2:47" s="84" customFormat="1" ht="15" hidden="1" customHeight="1" x14ac:dyDescent="0.25">
      <c r="B38" s="420" t="s">
        <v>1743</v>
      </c>
      <c r="C38" s="421"/>
      <c r="D38" s="421"/>
      <c r="E38" s="421"/>
      <c r="F38" s="421"/>
      <c r="G38" s="421"/>
      <c r="H38" s="421"/>
      <c r="I38" s="421"/>
      <c r="J38" s="422"/>
      <c r="L38" s="387" t="s">
        <v>152</v>
      </c>
      <c r="M38" s="388"/>
      <c r="O38" s="406" t="s">
        <v>1744</v>
      </c>
      <c r="P38" s="407"/>
      <c r="Q38" s="407"/>
      <c r="R38" s="407"/>
      <c r="S38" s="407"/>
      <c r="T38" s="407"/>
      <c r="U38" s="407"/>
      <c r="V38" s="407"/>
      <c r="W38" s="408"/>
      <c r="Y38" s="437">
        <v>0</v>
      </c>
      <c r="Z38" s="438">
        <v>1</v>
      </c>
      <c r="AA38" s="439">
        <v>1</v>
      </c>
      <c r="AB38" s="90"/>
      <c r="AD38" s="368" t="str">
        <f>IFERROR(VLOOKUP($F$2,BDDBAJAS[],11,FALSE),"")</f>
        <v/>
      </c>
      <c r="AE38" s="369"/>
      <c r="AF38" s="370"/>
      <c r="AH38" s="417" t="str">
        <f>IFERROR(VLOOKUP($F$2,BDDBAJAS[],3,FALSE),"")</f>
        <v/>
      </c>
      <c r="AI38" s="418"/>
      <c r="AJ38" s="419"/>
      <c r="AL38" s="368" t="str">
        <f>IFERROR(VLOOKUP($F$2,BDDBAJAS[],10,FALSE)," ")</f>
        <v xml:space="preserve"> </v>
      </c>
      <c r="AM38" s="370"/>
    </row>
    <row r="39" spans="2:47" s="84" customFormat="1" ht="15" hidden="1" customHeight="1" x14ac:dyDescent="0.25"/>
    <row r="40" spans="2:47" s="84" customFormat="1" ht="15" hidden="1" customHeight="1" x14ac:dyDescent="0.25">
      <c r="B40" s="98" t="s">
        <v>808</v>
      </c>
      <c r="C40" s="86"/>
      <c r="E40" s="84" t="s">
        <v>310</v>
      </c>
      <c r="H40" s="84" t="s">
        <v>385</v>
      </c>
      <c r="K40" s="84" t="s">
        <v>391</v>
      </c>
      <c r="N40" s="86" t="s">
        <v>733</v>
      </c>
      <c r="O40" s="86"/>
      <c r="Q40" s="86"/>
      <c r="R40" s="86" t="s">
        <v>390</v>
      </c>
      <c r="S40" s="86"/>
      <c r="V40" s="86" t="s">
        <v>388</v>
      </c>
      <c r="W40" s="86"/>
      <c r="X40" s="86"/>
      <c r="Y40" s="86"/>
      <c r="Z40" s="86" t="s">
        <v>389</v>
      </c>
      <c r="AD40" s="86" t="s">
        <v>833</v>
      </c>
      <c r="AE40" s="86"/>
      <c r="AF40" s="86"/>
      <c r="AG40" s="86"/>
      <c r="AH40" s="86" t="s">
        <v>834</v>
      </c>
      <c r="AI40" s="86"/>
      <c r="AJ40" s="86"/>
    </row>
    <row r="41" spans="2:47" s="84" customFormat="1" ht="15" hidden="1" customHeight="1" x14ac:dyDescent="0.25">
      <c r="B41" s="387" t="s">
        <v>1555</v>
      </c>
      <c r="C41" s="388"/>
      <c r="E41" s="387" t="s">
        <v>313</v>
      </c>
      <c r="F41" s="388"/>
      <c r="H41" s="435" t="s">
        <v>44</v>
      </c>
      <c r="I41" s="436"/>
      <c r="K41" s="406">
        <v>45</v>
      </c>
      <c r="L41" s="408"/>
      <c r="N41" s="424">
        <v>0</v>
      </c>
      <c r="O41" s="425"/>
      <c r="P41" s="426"/>
      <c r="Q41" s="95"/>
      <c r="R41" s="414">
        <v>0</v>
      </c>
      <c r="S41" s="415"/>
      <c r="T41" s="416"/>
      <c r="V41" s="387">
        <v>0</v>
      </c>
      <c r="W41" s="423"/>
      <c r="X41" s="388"/>
      <c r="Y41" s="95"/>
      <c r="Z41" s="387">
        <v>0</v>
      </c>
      <c r="AA41" s="423"/>
      <c r="AB41" s="388"/>
      <c r="AD41" s="368" t="str">
        <f>IFERROR(VLOOKUP($F$2,BDDBAJAS[],6,FALSE)," ")</f>
        <v xml:space="preserve"> </v>
      </c>
      <c r="AE41" s="369"/>
      <c r="AF41" s="370"/>
      <c r="AG41" s="94"/>
      <c r="AH41" s="368" t="str">
        <f>IFERROR(VLOOKUP($F$2,BDDBAJAS[],7,FALSE)," ")</f>
        <v xml:space="preserve"> </v>
      </c>
      <c r="AI41" s="369"/>
      <c r="AJ41" s="370"/>
      <c r="AK41" s="94"/>
    </row>
    <row r="42" spans="2:47" s="84" customFormat="1" ht="15" hidden="1" customHeight="1" x14ac:dyDescent="0.25"/>
    <row r="43" spans="2:47" s="84" customFormat="1" ht="15" hidden="1" customHeight="1" x14ac:dyDescent="0.25">
      <c r="B43" s="84" t="s">
        <v>392</v>
      </c>
      <c r="K43" s="84" t="s">
        <v>839</v>
      </c>
      <c r="N43" s="84" t="s">
        <v>298</v>
      </c>
      <c r="R43" s="85" t="s">
        <v>374</v>
      </c>
      <c r="S43" s="85"/>
      <c r="T43" s="85"/>
      <c r="V43" s="85" t="s">
        <v>330</v>
      </c>
      <c r="W43" s="85"/>
      <c r="X43" s="85"/>
      <c r="Z43" s="85" t="s">
        <v>299</v>
      </c>
      <c r="AA43" s="85"/>
      <c r="AB43" s="85"/>
      <c r="AD43" s="84" t="s">
        <v>836</v>
      </c>
      <c r="AH43" s="84" t="s">
        <v>848</v>
      </c>
    </row>
    <row r="44" spans="2:47" s="86" customFormat="1" ht="15" hidden="1" customHeight="1" x14ac:dyDescent="0.25">
      <c r="B44" s="409" t="s">
        <v>1745</v>
      </c>
      <c r="C44" s="410"/>
      <c r="D44" s="410"/>
      <c r="E44" s="410"/>
      <c r="F44" s="410"/>
      <c r="G44" s="410"/>
      <c r="H44" s="410"/>
      <c r="I44" s="411"/>
      <c r="K44" s="409" t="s">
        <v>786</v>
      </c>
      <c r="L44" s="411"/>
      <c r="N44" s="414">
        <v>0</v>
      </c>
      <c r="O44" s="415"/>
      <c r="P44" s="416"/>
      <c r="Q44" s="85"/>
      <c r="R44" s="384">
        <f>N44/2</f>
        <v>0</v>
      </c>
      <c r="S44" s="385"/>
      <c r="T44" s="386"/>
      <c r="U44" s="84"/>
      <c r="V44" s="379">
        <f>N44/30</f>
        <v>0</v>
      </c>
      <c r="W44" s="380"/>
      <c r="X44" s="381"/>
      <c r="Y44" s="84"/>
      <c r="Z44" s="379">
        <f>V44/9</f>
        <v>0</v>
      </c>
      <c r="AA44" s="380"/>
      <c r="AB44" s="381"/>
      <c r="AD44" s="365" t="str">
        <f>Extendido!AD17</f>
        <v>PEND</v>
      </c>
      <c r="AE44" s="366"/>
      <c r="AF44" s="367"/>
      <c r="AH44" s="365" t="str">
        <f>Extendido!AH17</f>
        <v>PEND</v>
      </c>
      <c r="AI44" s="366"/>
      <c r="AJ44" s="367"/>
      <c r="AO44" s="84"/>
    </row>
    <row r="45" spans="2:47" s="84" customFormat="1" ht="15" hidden="1" customHeight="1" x14ac:dyDescent="0.25">
      <c r="AU45" s="95"/>
    </row>
    <row r="46" spans="2:47" s="84" customFormat="1" ht="15" hidden="1" customHeight="1" x14ac:dyDescent="0.25">
      <c r="B46" s="84" t="s">
        <v>807</v>
      </c>
      <c r="J46" s="84" t="s">
        <v>286</v>
      </c>
      <c r="O46" s="84" t="s">
        <v>812</v>
      </c>
      <c r="R46" s="84" t="s">
        <v>814</v>
      </c>
      <c r="V46" s="84" t="s">
        <v>294</v>
      </c>
      <c r="Y46" s="84" t="s">
        <v>813</v>
      </c>
      <c r="AB46" s="85" t="s">
        <v>0</v>
      </c>
      <c r="AC46" s="87"/>
      <c r="AD46" s="87"/>
      <c r="AF46" s="84" t="s">
        <v>838</v>
      </c>
      <c r="AJ46" s="84" t="s">
        <v>849</v>
      </c>
    </row>
    <row r="47" spans="2:47" s="86" customFormat="1" ht="15" hidden="1" customHeight="1" x14ac:dyDescent="0.25">
      <c r="B47" s="432">
        <v>0</v>
      </c>
      <c r="C47" s="433"/>
      <c r="D47" s="433"/>
      <c r="E47" s="433"/>
      <c r="F47" s="433"/>
      <c r="G47" s="433"/>
      <c r="H47" s="434"/>
      <c r="I47" s="88"/>
      <c r="J47" s="409" t="s">
        <v>1746</v>
      </c>
      <c r="K47" s="410"/>
      <c r="L47" s="410"/>
      <c r="M47" s="411"/>
      <c r="O47" s="412">
        <v>0.25</v>
      </c>
      <c r="P47" s="413"/>
      <c r="R47" s="376">
        <f ca="1">Extendido!R20</f>
        <v>10</v>
      </c>
      <c r="S47" s="377"/>
      <c r="T47" s="378"/>
      <c r="V47" s="376">
        <f ca="1">Extendido!V20</f>
        <v>20</v>
      </c>
      <c r="W47" s="378"/>
      <c r="Y47" s="387">
        <v>15</v>
      </c>
      <c r="Z47" s="388"/>
      <c r="AB47" s="384">
        <f ca="1">Extendido!AB20</f>
        <v>1277.1369863013699</v>
      </c>
      <c r="AC47" s="385"/>
      <c r="AD47" s="386"/>
      <c r="AF47" s="365" t="str">
        <f>Extendido!AF20</f>
        <v>PEND</v>
      </c>
      <c r="AG47" s="366"/>
      <c r="AH47" s="367"/>
      <c r="AJ47" s="365" t="str">
        <f>Extendido!AJ20</f>
        <v>PEND</v>
      </c>
      <c r="AK47" s="366"/>
      <c r="AL47" s="367"/>
    </row>
    <row r="48" spans="2:47" s="84" customFormat="1" ht="15" hidden="1" customHeight="1" x14ac:dyDescent="0.25">
      <c r="G48" s="89"/>
      <c r="H48" s="89"/>
      <c r="I48" s="89"/>
      <c r="J48" s="89"/>
      <c r="K48" s="89"/>
      <c r="L48" s="89"/>
      <c r="M48" s="89"/>
    </row>
    <row r="49" spans="2:41" s="84" customFormat="1" ht="15" hidden="1" customHeight="1" x14ac:dyDescent="0.25">
      <c r="B49" s="84" t="s">
        <v>843</v>
      </c>
      <c r="D49" s="84" t="s">
        <v>769</v>
      </c>
      <c r="G49" s="84" t="s">
        <v>855</v>
      </c>
      <c r="I49" s="84" t="s">
        <v>856</v>
      </c>
      <c r="K49" s="84" t="s">
        <v>857</v>
      </c>
      <c r="M49" s="90" t="s">
        <v>847</v>
      </c>
      <c r="O49" s="84" t="s">
        <v>296</v>
      </c>
      <c r="R49" s="87"/>
      <c r="S49" s="84" t="s">
        <v>295</v>
      </c>
      <c r="W49" s="84" t="s">
        <v>815</v>
      </c>
      <c r="AA49" s="84" t="s">
        <v>860</v>
      </c>
      <c r="AE49" s="84" t="s">
        <v>837</v>
      </c>
      <c r="AI49" s="84" t="s">
        <v>850</v>
      </c>
    </row>
    <row r="50" spans="2:41" s="84" customFormat="1" hidden="1" x14ac:dyDescent="0.25">
      <c r="B50" s="48">
        <v>1</v>
      </c>
      <c r="D50" s="387" t="s">
        <v>811</v>
      </c>
      <c r="E50" s="388"/>
      <c r="G50" s="92" t="str">
        <f>Extendido!G23</f>
        <v>P</v>
      </c>
      <c r="I50" s="92" t="str">
        <f>Extendido!I23</f>
        <v>P</v>
      </c>
      <c r="K50" s="92" t="str">
        <f>Extendido!K23</f>
        <v>P</v>
      </c>
      <c r="M50" s="92" t="str">
        <f>Extendido!M23</f>
        <v>P</v>
      </c>
      <c r="O50" s="373">
        <f>Extendido!O23</f>
        <v>44011</v>
      </c>
      <c r="P50" s="375"/>
      <c r="Q50" s="374"/>
      <c r="R50" s="93"/>
      <c r="S50" s="373" t="str">
        <f>Extendido!S23</f>
        <v>PEND</v>
      </c>
      <c r="T50" s="375"/>
      <c r="U50" s="374"/>
      <c r="V50" s="86"/>
      <c r="W50" s="373" t="str">
        <f>Extendido!W23</f>
        <v>PEND</v>
      </c>
      <c r="X50" s="375"/>
      <c r="Y50" s="374"/>
      <c r="AA50" s="417">
        <f ca="1">IFERROR(PRODUCT(R47,V44),"")</f>
        <v>0</v>
      </c>
      <c r="AB50" s="369"/>
      <c r="AC50" s="370"/>
      <c r="AE50" s="365" t="str">
        <f>Extendido!AE23</f>
        <v>PEND</v>
      </c>
      <c r="AF50" s="366"/>
      <c r="AG50" s="367"/>
      <c r="AH50" s="94"/>
      <c r="AI50" s="365" t="str">
        <f>Extendido!AI23</f>
        <v>PEND</v>
      </c>
      <c r="AJ50" s="366"/>
      <c r="AK50" s="367"/>
      <c r="AN50" s="86"/>
    </row>
    <row r="51" spans="2:41" s="84" customFormat="1" ht="15" hidden="1" customHeight="1" x14ac:dyDescent="0.25">
      <c r="E51" s="95"/>
    </row>
    <row r="52" spans="2:41" s="84" customFormat="1" hidden="1" x14ac:dyDescent="0.25">
      <c r="B52" s="84" t="s">
        <v>304</v>
      </c>
      <c r="E52" s="84" t="s">
        <v>302</v>
      </c>
      <c r="F52" s="86"/>
      <c r="H52" s="84" t="s">
        <v>770</v>
      </c>
      <c r="R52" s="87"/>
      <c r="AE52" s="84" t="s">
        <v>840</v>
      </c>
      <c r="AI52" s="84" t="s">
        <v>851</v>
      </c>
    </row>
    <row r="53" spans="2:41" s="84" customFormat="1" hidden="1" x14ac:dyDescent="0.25">
      <c r="B53" s="368" t="str">
        <f>Extendido!B26</f>
        <v>PEND</v>
      </c>
      <c r="C53" s="370"/>
      <c r="E53" s="368" t="str">
        <f>Extendido!E26</f>
        <v>PEND</v>
      </c>
      <c r="F53" s="370"/>
      <c r="H53" s="368" t="str">
        <f>Extendido!H26</f>
        <v>PEND</v>
      </c>
      <c r="I53" s="370"/>
      <c r="R53" s="85"/>
      <c r="AE53" s="365" t="str">
        <f>Extendido!AE26</f>
        <v>PEND</v>
      </c>
      <c r="AF53" s="366"/>
      <c r="AG53" s="367"/>
      <c r="AI53" s="365" t="str">
        <f>Extendido!AI26</f>
        <v>PEND</v>
      </c>
      <c r="AJ53" s="366"/>
      <c r="AK53" s="367"/>
    </row>
    <row r="54" spans="2:41" s="84" customFormat="1" hidden="1" x14ac:dyDescent="0.25"/>
    <row r="55" spans="2:41" s="106" customFormat="1" ht="15" hidden="1" customHeight="1" x14ac:dyDescent="0.25"/>
    <row r="56" spans="2:41" s="106" customFormat="1" ht="15" hidden="1" customHeight="1" x14ac:dyDescent="0.25">
      <c r="B56" s="360" t="s">
        <v>381</v>
      </c>
      <c r="C56" s="360"/>
      <c r="D56" s="360"/>
      <c r="E56" s="360"/>
      <c r="F56" s="361">
        <f>BDD!L3</f>
        <v>738</v>
      </c>
      <c r="G56" s="362"/>
      <c r="H56" s="86"/>
      <c r="I56" s="97" t="s">
        <v>59</v>
      </c>
      <c r="J56" s="96"/>
      <c r="K56" s="96"/>
      <c r="L56" s="96"/>
      <c r="M56" s="96"/>
      <c r="N56" s="363">
        <f ca="1">TODAY()</f>
        <v>44760</v>
      </c>
      <c r="O56" s="363"/>
      <c r="P56" s="363"/>
    </row>
    <row r="57" spans="2:41" s="84" customFormat="1" ht="15" hidden="1" customHeight="1" x14ac:dyDescent="0.25"/>
    <row r="58" spans="2:41" s="84" customFormat="1" ht="15" hidden="1" customHeight="1" x14ac:dyDescent="0.25">
      <c r="B58" s="84" t="s">
        <v>380</v>
      </c>
      <c r="O58" s="86" t="s">
        <v>290</v>
      </c>
      <c r="P58" s="86"/>
      <c r="Q58" s="86"/>
      <c r="S58" s="104" t="s">
        <v>293</v>
      </c>
      <c r="U58" s="86" t="s">
        <v>74</v>
      </c>
      <c r="V58" s="86"/>
      <c r="X58" s="86" t="s">
        <v>22</v>
      </c>
      <c r="Y58" s="86"/>
      <c r="AA58" s="84" t="s">
        <v>275</v>
      </c>
      <c r="AB58" s="86"/>
      <c r="AG58" s="84" t="s">
        <v>53</v>
      </c>
    </row>
    <row r="59" spans="2:41" s="84" customFormat="1" ht="15" hidden="1" customHeight="1" x14ac:dyDescent="0.25">
      <c r="B59" s="406"/>
      <c r="C59" s="407"/>
      <c r="D59" s="407"/>
      <c r="E59" s="407"/>
      <c r="F59" s="407"/>
      <c r="G59" s="407"/>
      <c r="H59" s="407"/>
      <c r="I59" s="407"/>
      <c r="J59" s="407"/>
      <c r="K59" s="407"/>
      <c r="L59" s="407"/>
      <c r="M59" s="408"/>
      <c r="O59" s="424">
        <f ca="1">TODAY()</f>
        <v>44760</v>
      </c>
      <c r="P59" s="425"/>
      <c r="Q59" s="426"/>
      <c r="S59" s="91"/>
      <c r="U59" s="430" t="s">
        <v>763</v>
      </c>
      <c r="V59" s="431"/>
      <c r="X59" s="424" t="s">
        <v>723</v>
      </c>
      <c r="Y59" s="426"/>
      <c r="AA59" s="387"/>
      <c r="AB59" s="388"/>
      <c r="AD59" s="389" t="str">
        <f>IFERROR(VLOOKUP($F$2,BDDBAJAS[],2,FALSE),"")</f>
        <v/>
      </c>
      <c r="AE59" s="397"/>
      <c r="AF59" s="397"/>
      <c r="AG59" s="397"/>
      <c r="AH59" s="397"/>
      <c r="AI59" s="397"/>
      <c r="AJ59" s="397"/>
      <c r="AK59" s="397"/>
      <c r="AL59" s="397"/>
      <c r="AM59" s="397"/>
      <c r="AN59" s="397"/>
      <c r="AO59" s="390"/>
    </row>
    <row r="60" spans="2:41" s="84" customFormat="1" ht="15" hidden="1" customHeight="1" x14ac:dyDescent="0.25"/>
    <row r="61" spans="2:41" s="84" customFormat="1" ht="15" hidden="1" customHeight="1" x14ac:dyDescent="0.25">
      <c r="B61" s="86" t="s">
        <v>274</v>
      </c>
      <c r="C61" s="86"/>
      <c r="D61" s="86"/>
      <c r="E61" s="86"/>
      <c r="F61" s="86" t="s">
        <v>273</v>
      </c>
      <c r="G61" s="86"/>
      <c r="H61" s="86"/>
      <c r="J61" s="86" t="s">
        <v>729</v>
      </c>
      <c r="K61" s="86"/>
      <c r="L61" s="86"/>
      <c r="M61" s="90" t="s">
        <v>1748</v>
      </c>
      <c r="O61" s="86" t="s">
        <v>2235</v>
      </c>
      <c r="P61" s="86"/>
      <c r="Q61" s="86"/>
      <c r="S61" s="86" t="s">
        <v>2236</v>
      </c>
      <c r="T61" s="86"/>
      <c r="U61" s="86"/>
      <c r="V61" s="86"/>
      <c r="W61" s="84" t="s">
        <v>2238</v>
      </c>
      <c r="AD61" s="84" t="s">
        <v>290</v>
      </c>
      <c r="AH61" s="84" t="s">
        <v>382</v>
      </c>
      <c r="AL61" s="90" t="s">
        <v>293</v>
      </c>
    </row>
    <row r="62" spans="2:41" s="84" customFormat="1" ht="15" hidden="1" customHeight="1" x14ac:dyDescent="0.25">
      <c r="B62" s="387"/>
      <c r="C62" s="423"/>
      <c r="D62" s="388"/>
      <c r="E62" s="95"/>
      <c r="F62" s="424"/>
      <c r="G62" s="425"/>
      <c r="H62" s="426"/>
      <c r="J62" s="387" t="s">
        <v>723</v>
      </c>
      <c r="K62" s="388"/>
      <c r="L62" s="179"/>
      <c r="M62" s="91">
        <f ca="1">IF(INT(_xlfn.DAYS(TODAY(),F62)/365)=121," ",INT(_xlfn.DAYS(TODAY(),F62)/365))</f>
        <v>122</v>
      </c>
      <c r="O62" s="387" t="s">
        <v>723</v>
      </c>
      <c r="P62" s="423"/>
      <c r="Q62" s="388"/>
      <c r="R62" s="94"/>
      <c r="S62" s="373">
        <f>VLOOKUP(O62,TABLAS!$B$3:$D$36,2,0)</f>
        <v>0</v>
      </c>
      <c r="T62" s="375"/>
      <c r="U62" s="374"/>
      <c r="V62" s="94"/>
      <c r="W62" s="389">
        <f>VLOOKUP(O62,TABLAS!$B$3:$D$36,3,0)</f>
        <v>0</v>
      </c>
      <c r="X62" s="397"/>
      <c r="Y62" s="397"/>
      <c r="Z62" s="397"/>
      <c r="AA62" s="390"/>
      <c r="AD62" s="427" t="str">
        <f>IFERROR(VLOOKUP($F$2,BDDBAJAS[],4,FALSE),"")</f>
        <v/>
      </c>
      <c r="AE62" s="428"/>
      <c r="AF62" s="429"/>
      <c r="AH62" s="427" t="str">
        <f>IFERROR(VLOOKUP($F$2,BDDBAJAS[],5,FALSE),"")</f>
        <v/>
      </c>
      <c r="AI62" s="428"/>
      <c r="AJ62" s="429"/>
      <c r="AL62" s="105" t="str">
        <f>IFERROR(VLOOKUP($F$2,BDDBAJAS[],9,FALSE),"")</f>
        <v/>
      </c>
    </row>
    <row r="63" spans="2:41" s="84" customFormat="1" ht="15" hidden="1" customHeight="1" x14ac:dyDescent="0.25">
      <c r="O63" s="95"/>
      <c r="P63" s="95"/>
      <c r="Q63" s="95"/>
      <c r="S63" s="95"/>
      <c r="T63" s="95"/>
      <c r="U63" s="95"/>
      <c r="V63" s="94"/>
    </row>
    <row r="64" spans="2:41" s="84" customFormat="1" ht="15" hidden="1" customHeight="1" x14ac:dyDescent="0.25">
      <c r="B64" s="86" t="s">
        <v>772</v>
      </c>
      <c r="C64" s="86"/>
      <c r="D64" s="86"/>
      <c r="E64" s="86"/>
      <c r="L64" s="84" t="s">
        <v>289</v>
      </c>
      <c r="O64" s="84" t="s">
        <v>303</v>
      </c>
      <c r="Y64" s="84" t="s">
        <v>842</v>
      </c>
      <c r="AD64" s="86" t="s">
        <v>274</v>
      </c>
      <c r="AE64" s="86"/>
      <c r="AF64" s="86"/>
      <c r="AH64" s="84" t="s">
        <v>306</v>
      </c>
      <c r="AL64" s="84" t="s">
        <v>835</v>
      </c>
    </row>
    <row r="65" spans="2:47" s="84" customFormat="1" ht="15" hidden="1" customHeight="1" x14ac:dyDescent="0.25">
      <c r="B65" s="420"/>
      <c r="C65" s="421"/>
      <c r="D65" s="421"/>
      <c r="E65" s="421"/>
      <c r="F65" s="421"/>
      <c r="G65" s="421"/>
      <c r="H65" s="421"/>
      <c r="I65" s="421"/>
      <c r="J65" s="422"/>
      <c r="L65" s="387" t="s">
        <v>723</v>
      </c>
      <c r="M65" s="388"/>
      <c r="O65" s="406"/>
      <c r="P65" s="407"/>
      <c r="Q65" s="407"/>
      <c r="R65" s="407"/>
      <c r="S65" s="407"/>
      <c r="T65" s="407"/>
      <c r="U65" s="407"/>
      <c r="V65" s="407"/>
      <c r="W65" s="408"/>
      <c r="Y65" s="365">
        <v>0</v>
      </c>
      <c r="Z65" s="366">
        <f>IFERROR(VLOOKUP($F$2,BDD[],42,FALSE),"")</f>
        <v>2</v>
      </c>
      <c r="AA65" s="367">
        <f>IFERROR(VLOOKUP($F$2,BDD[],42,FALSE),"")</f>
        <v>2</v>
      </c>
      <c r="AB65" s="90"/>
      <c r="AD65" s="368" t="str">
        <f>IFERROR(VLOOKUP($F$2,BDDBAJAS[],11,FALSE),"")</f>
        <v/>
      </c>
      <c r="AE65" s="369"/>
      <c r="AF65" s="370"/>
      <c r="AH65" s="417" t="str">
        <f>IFERROR(VLOOKUP($F$2,BDDBAJAS[],3,FALSE),"")</f>
        <v/>
      </c>
      <c r="AI65" s="418"/>
      <c r="AJ65" s="419"/>
      <c r="AL65" s="368" t="str">
        <f>IFERROR(VLOOKUP($F$2,BDDBAJAS[],10,FALSE)," ")</f>
        <v xml:space="preserve"> </v>
      </c>
      <c r="AM65" s="370"/>
    </row>
    <row r="66" spans="2:47" s="84" customFormat="1" ht="15" hidden="1" customHeight="1" x14ac:dyDescent="0.25"/>
    <row r="67" spans="2:47" s="84" customFormat="1" ht="15" hidden="1" customHeight="1" x14ac:dyDescent="0.25">
      <c r="B67" s="98" t="s">
        <v>808</v>
      </c>
      <c r="C67" s="86"/>
      <c r="E67" s="84" t="s">
        <v>310</v>
      </c>
      <c r="H67" s="84" t="s">
        <v>385</v>
      </c>
      <c r="K67" s="84" t="s">
        <v>391</v>
      </c>
      <c r="N67" s="86" t="s">
        <v>733</v>
      </c>
      <c r="O67" s="86"/>
      <c r="Q67" s="86"/>
      <c r="R67" s="86" t="s">
        <v>390</v>
      </c>
      <c r="S67" s="86"/>
      <c r="V67" s="86" t="s">
        <v>388</v>
      </c>
      <c r="W67" s="86"/>
      <c r="X67" s="86"/>
      <c r="Y67" s="86"/>
      <c r="Z67" s="86" t="s">
        <v>389</v>
      </c>
      <c r="AD67" s="86" t="s">
        <v>833</v>
      </c>
      <c r="AE67" s="86"/>
      <c r="AF67" s="86"/>
      <c r="AG67" s="86"/>
      <c r="AH67" s="86" t="s">
        <v>834</v>
      </c>
      <c r="AI67" s="86"/>
      <c r="AJ67" s="86"/>
    </row>
    <row r="68" spans="2:47" s="84" customFormat="1" hidden="1" x14ac:dyDescent="0.25">
      <c r="B68" s="387" t="s">
        <v>723</v>
      </c>
      <c r="C68" s="388"/>
      <c r="E68" s="387" t="s">
        <v>723</v>
      </c>
      <c r="F68" s="388"/>
      <c r="H68" s="387"/>
      <c r="I68" s="388"/>
      <c r="K68" s="406"/>
      <c r="L68" s="408"/>
      <c r="N68" s="391"/>
      <c r="O68" s="392"/>
      <c r="P68" s="393"/>
      <c r="Q68" s="95"/>
      <c r="R68" s="384"/>
      <c r="S68" s="385"/>
      <c r="T68" s="386"/>
      <c r="V68" s="373"/>
      <c r="W68" s="375"/>
      <c r="X68" s="374"/>
      <c r="Y68" s="95"/>
      <c r="Z68" s="373"/>
      <c r="AA68" s="375"/>
      <c r="AB68" s="374"/>
      <c r="AD68" s="368" t="str">
        <f>IFERROR(VLOOKUP($F$2,BDDBAJAS[],6,FALSE)," ")</f>
        <v xml:space="preserve"> </v>
      </c>
      <c r="AE68" s="369"/>
      <c r="AF68" s="370"/>
      <c r="AG68" s="94"/>
      <c r="AH68" s="368" t="str">
        <f>IFERROR(VLOOKUP($F$2,BDDBAJAS[],7,FALSE)," ")</f>
        <v xml:space="preserve"> </v>
      </c>
      <c r="AI68" s="369"/>
      <c r="AJ68" s="370"/>
      <c r="AK68" s="94"/>
    </row>
    <row r="69" spans="2:47" s="84" customFormat="1" ht="15" hidden="1" customHeight="1" x14ac:dyDescent="0.25"/>
    <row r="70" spans="2:47" s="84" customFormat="1" ht="15" hidden="1" customHeight="1" x14ac:dyDescent="0.25">
      <c r="B70" s="84" t="s">
        <v>392</v>
      </c>
      <c r="K70" s="84" t="s">
        <v>839</v>
      </c>
      <c r="N70" s="84" t="s">
        <v>298</v>
      </c>
      <c r="R70" s="85" t="s">
        <v>374</v>
      </c>
      <c r="S70" s="85"/>
      <c r="T70" s="85"/>
      <c r="V70" s="85" t="s">
        <v>330</v>
      </c>
      <c r="W70" s="85"/>
      <c r="X70" s="85"/>
      <c r="Z70" s="85" t="s">
        <v>299</v>
      </c>
      <c r="AA70" s="85"/>
      <c r="AB70" s="85"/>
      <c r="AD70" s="84" t="s">
        <v>836</v>
      </c>
      <c r="AH70" s="84" t="s">
        <v>848</v>
      </c>
    </row>
    <row r="71" spans="2:47" s="86" customFormat="1" ht="15" hidden="1" customHeight="1" x14ac:dyDescent="0.25">
      <c r="B71" s="409"/>
      <c r="C71" s="410"/>
      <c r="D71" s="410"/>
      <c r="E71" s="410"/>
      <c r="F71" s="410"/>
      <c r="G71" s="410"/>
      <c r="H71" s="410"/>
      <c r="I71" s="411"/>
      <c r="K71" s="409" t="s">
        <v>723</v>
      </c>
      <c r="L71" s="411"/>
      <c r="N71" s="414"/>
      <c r="O71" s="415"/>
      <c r="P71" s="416"/>
      <c r="Q71" s="85"/>
      <c r="R71" s="384">
        <f>N71/2</f>
        <v>0</v>
      </c>
      <c r="S71" s="385"/>
      <c r="T71" s="386"/>
      <c r="U71" s="84"/>
      <c r="V71" s="379">
        <f>N71/30</f>
        <v>0</v>
      </c>
      <c r="W71" s="380"/>
      <c r="X71" s="381"/>
      <c r="Y71" s="84"/>
      <c r="Z71" s="379">
        <f>V71/9</f>
        <v>0</v>
      </c>
      <c r="AA71" s="380"/>
      <c r="AB71" s="381"/>
      <c r="AD71" s="365"/>
      <c r="AE71" s="366"/>
      <c r="AF71" s="367"/>
      <c r="AH71" s="368"/>
      <c r="AI71" s="369"/>
      <c r="AJ71" s="370"/>
      <c r="AO71" s="84"/>
    </row>
    <row r="72" spans="2:47" s="84" customFormat="1" ht="15" hidden="1" customHeight="1" x14ac:dyDescent="0.25">
      <c r="AU72" s="95"/>
    </row>
    <row r="73" spans="2:47" s="84" customFormat="1" ht="15" hidden="1" customHeight="1" x14ac:dyDescent="0.25">
      <c r="B73" s="84" t="s">
        <v>807</v>
      </c>
      <c r="J73" s="84" t="s">
        <v>286</v>
      </c>
      <c r="O73" s="84" t="s">
        <v>812</v>
      </c>
      <c r="R73" s="84" t="s">
        <v>814</v>
      </c>
      <c r="V73" s="84" t="s">
        <v>294</v>
      </c>
      <c r="Y73" s="84" t="s">
        <v>813</v>
      </c>
      <c r="AB73" s="85" t="s">
        <v>0</v>
      </c>
      <c r="AC73" s="87"/>
      <c r="AD73" s="87"/>
      <c r="AF73" s="84" t="s">
        <v>838</v>
      </c>
      <c r="AJ73" s="84" t="s">
        <v>849</v>
      </c>
    </row>
    <row r="74" spans="2:47" s="86" customFormat="1" hidden="1" x14ac:dyDescent="0.25">
      <c r="B74" s="409"/>
      <c r="C74" s="410"/>
      <c r="D74" s="410"/>
      <c r="E74" s="410"/>
      <c r="F74" s="410"/>
      <c r="G74" s="410"/>
      <c r="H74" s="411"/>
      <c r="I74" s="88"/>
      <c r="J74" s="409"/>
      <c r="K74" s="410"/>
      <c r="L74" s="410"/>
      <c r="M74" s="411"/>
      <c r="O74" s="412">
        <v>0.25</v>
      </c>
      <c r="P74" s="413"/>
      <c r="R74" s="376"/>
      <c r="S74" s="377"/>
      <c r="T74" s="378"/>
      <c r="V74" s="376"/>
      <c r="W74" s="378"/>
      <c r="Y74" s="387">
        <v>15</v>
      </c>
      <c r="Z74" s="388"/>
      <c r="AB74" s="384"/>
      <c r="AC74" s="385"/>
      <c r="AD74" s="386"/>
      <c r="AF74" s="365"/>
      <c r="AG74" s="366"/>
      <c r="AH74" s="367"/>
      <c r="AJ74" s="368"/>
      <c r="AK74" s="369"/>
      <c r="AL74" s="370"/>
    </row>
    <row r="75" spans="2:47" s="84" customFormat="1" ht="15" hidden="1" customHeight="1" x14ac:dyDescent="0.25">
      <c r="G75" s="89"/>
      <c r="H75" s="89"/>
      <c r="I75" s="89"/>
      <c r="J75" s="89"/>
      <c r="K75" s="89"/>
      <c r="L75" s="89"/>
      <c r="M75" s="89"/>
    </row>
    <row r="76" spans="2:47" s="84" customFormat="1" ht="15" hidden="1" customHeight="1" x14ac:dyDescent="0.25">
      <c r="B76" s="84" t="s">
        <v>843</v>
      </c>
      <c r="D76" s="84" t="s">
        <v>769</v>
      </c>
      <c r="G76" s="84" t="s">
        <v>855</v>
      </c>
      <c r="I76" s="84" t="s">
        <v>856</v>
      </c>
      <c r="K76" s="84" t="s">
        <v>857</v>
      </c>
      <c r="M76" s="90" t="s">
        <v>847</v>
      </c>
      <c r="O76" s="84" t="s">
        <v>296</v>
      </c>
      <c r="R76" s="87"/>
      <c r="S76" s="84" t="s">
        <v>295</v>
      </c>
      <c r="W76" s="84" t="s">
        <v>815</v>
      </c>
      <c r="AA76" s="84" t="s">
        <v>860</v>
      </c>
      <c r="AE76" s="84" t="s">
        <v>837</v>
      </c>
      <c r="AI76" s="84" t="s">
        <v>850</v>
      </c>
    </row>
    <row r="77" spans="2:47" s="84" customFormat="1" hidden="1" x14ac:dyDescent="0.25">
      <c r="B77" s="48"/>
      <c r="D77" s="387" t="s">
        <v>723</v>
      </c>
      <c r="E77" s="388"/>
      <c r="G77" s="92"/>
      <c r="I77" s="92"/>
      <c r="K77" s="92"/>
      <c r="M77" s="92"/>
      <c r="O77" s="373"/>
      <c r="P77" s="375"/>
      <c r="Q77" s="374"/>
      <c r="R77" s="93"/>
      <c r="S77" s="376"/>
      <c r="T77" s="377"/>
      <c r="U77" s="378"/>
      <c r="V77" s="86"/>
      <c r="W77" s="373"/>
      <c r="X77" s="375"/>
      <c r="Y77" s="374"/>
      <c r="AA77" s="368"/>
      <c r="AB77" s="369"/>
      <c r="AC77" s="370"/>
      <c r="AE77" s="365"/>
      <c r="AF77" s="366"/>
      <c r="AG77" s="367"/>
      <c r="AH77" s="94"/>
      <c r="AI77" s="368"/>
      <c r="AJ77" s="369"/>
      <c r="AK77" s="370"/>
      <c r="AN77" s="86"/>
    </row>
    <row r="78" spans="2:47" s="84" customFormat="1" ht="15" hidden="1" customHeight="1" x14ac:dyDescent="0.25">
      <c r="E78" s="95"/>
    </row>
    <row r="79" spans="2:47" s="84" customFormat="1" hidden="1" x14ac:dyDescent="0.25">
      <c r="B79" s="84" t="s">
        <v>304</v>
      </c>
      <c r="E79" s="84" t="s">
        <v>302</v>
      </c>
      <c r="F79" s="86"/>
      <c r="H79" s="84" t="s">
        <v>770</v>
      </c>
      <c r="R79" s="87"/>
      <c r="AE79" s="84" t="s">
        <v>840</v>
      </c>
      <c r="AI79" s="84" t="s">
        <v>851</v>
      </c>
    </row>
    <row r="80" spans="2:47" s="84" customFormat="1" hidden="1" x14ac:dyDescent="0.25">
      <c r="B80" s="368"/>
      <c r="C80" s="370"/>
      <c r="E80" s="368">
        <v>354</v>
      </c>
      <c r="F80" s="370"/>
      <c r="H80" s="371"/>
      <c r="I80" s="372"/>
      <c r="R80" s="85"/>
      <c r="AE80" s="365"/>
      <c r="AF80" s="366"/>
      <c r="AG80" s="367"/>
      <c r="AI80" s="368"/>
      <c r="AJ80" s="369"/>
      <c r="AK80" s="370"/>
    </row>
    <row r="81" spans="2:41" s="84" customFormat="1" hidden="1" x14ac:dyDescent="0.25"/>
    <row r="82" spans="2:41" s="84" customFormat="1" hidden="1" x14ac:dyDescent="0.25"/>
    <row r="83" spans="2:41" s="84" customFormat="1" ht="15" hidden="1" customHeight="1" x14ac:dyDescent="0.25">
      <c r="B83" s="360" t="s">
        <v>381</v>
      </c>
      <c r="C83" s="360"/>
      <c r="D83" s="360"/>
      <c r="E83" s="360"/>
      <c r="F83" s="361">
        <f>F2</f>
        <v>149</v>
      </c>
      <c r="G83" s="362"/>
      <c r="H83" s="86"/>
      <c r="I83" s="100" t="s">
        <v>59</v>
      </c>
      <c r="J83" s="100"/>
      <c r="K83" s="100"/>
      <c r="L83" s="100"/>
      <c r="M83" s="100"/>
      <c r="N83" s="363">
        <f ca="1">TODAY()</f>
        <v>44760</v>
      </c>
      <c r="O83" s="363"/>
      <c r="P83" s="363"/>
      <c r="Q83" s="101"/>
      <c r="R83" s="101"/>
      <c r="S83" s="102"/>
      <c r="T83" s="102"/>
      <c r="U83" s="102"/>
      <c r="V83" s="102"/>
      <c r="W83" s="102"/>
      <c r="X83" s="102"/>
      <c r="Y83" s="102"/>
      <c r="AF83" s="103"/>
    </row>
    <row r="84" spans="2:41" s="84" customFormat="1" hidden="1" x14ac:dyDescent="0.25"/>
    <row r="85" spans="2:41" s="84" customFormat="1" ht="15" hidden="1" customHeight="1" x14ac:dyDescent="0.25">
      <c r="B85" s="84" t="s">
        <v>380</v>
      </c>
      <c r="O85" s="86" t="s">
        <v>290</v>
      </c>
      <c r="P85" s="86"/>
      <c r="Q85" s="86"/>
      <c r="S85" s="104" t="s">
        <v>293</v>
      </c>
      <c r="U85" s="86" t="s">
        <v>74</v>
      </c>
      <c r="V85" s="86"/>
      <c r="X85" s="86" t="s">
        <v>22</v>
      </c>
      <c r="Y85" s="86"/>
      <c r="AA85" s="84" t="s">
        <v>275</v>
      </c>
      <c r="AB85" s="86"/>
      <c r="AD85" s="84" t="s">
        <v>380</v>
      </c>
    </row>
    <row r="86" spans="2:41" s="84" customFormat="1" ht="15" hidden="1" customHeight="1" x14ac:dyDescent="0.25">
      <c r="B86" s="389"/>
      <c r="C86" s="397"/>
      <c r="D86" s="397"/>
      <c r="E86" s="397"/>
      <c r="F86" s="397"/>
      <c r="G86" s="397"/>
      <c r="H86" s="397"/>
      <c r="I86" s="397"/>
      <c r="J86" s="397"/>
      <c r="K86" s="397"/>
      <c r="L86" s="397"/>
      <c r="M86" s="390"/>
      <c r="O86" s="391"/>
      <c r="P86" s="392"/>
      <c r="Q86" s="393"/>
      <c r="S86" s="91"/>
      <c r="U86" s="404"/>
      <c r="V86" s="405"/>
      <c r="X86" s="391"/>
      <c r="Y86" s="393"/>
      <c r="AA86" s="373"/>
      <c r="AB86" s="374"/>
      <c r="AD86" s="406" t="s">
        <v>65</v>
      </c>
      <c r="AE86" s="407"/>
      <c r="AF86" s="407"/>
      <c r="AG86" s="407"/>
      <c r="AH86" s="407"/>
      <c r="AI86" s="407"/>
      <c r="AJ86" s="407"/>
      <c r="AK86" s="407"/>
      <c r="AL86" s="407"/>
      <c r="AM86" s="407"/>
      <c r="AN86" s="407"/>
      <c r="AO86" s="408"/>
    </row>
    <row r="87" spans="2:41" s="84" customFormat="1" ht="15" hidden="1" customHeight="1" x14ac:dyDescent="0.25"/>
    <row r="88" spans="2:41" s="84" customFormat="1" ht="15" hidden="1" customHeight="1" x14ac:dyDescent="0.25">
      <c r="B88" s="86" t="s">
        <v>274</v>
      </c>
      <c r="C88" s="86"/>
      <c r="D88" s="86"/>
      <c r="E88" s="86"/>
      <c r="F88" s="86" t="s">
        <v>273</v>
      </c>
      <c r="G88" s="86"/>
      <c r="H88" s="86"/>
      <c r="J88" s="86" t="s">
        <v>729</v>
      </c>
      <c r="K88" s="86"/>
      <c r="L88" s="86"/>
      <c r="M88" s="84" t="s">
        <v>832</v>
      </c>
      <c r="O88" s="86" t="s">
        <v>386</v>
      </c>
      <c r="P88" s="86"/>
      <c r="Q88" s="86"/>
      <c r="S88" s="86" t="s">
        <v>387</v>
      </c>
      <c r="T88" s="86"/>
      <c r="U88" s="86"/>
      <c r="V88" s="86"/>
      <c r="W88" s="84" t="s">
        <v>307</v>
      </c>
      <c r="AD88" s="84" t="s">
        <v>290</v>
      </c>
      <c r="AH88" s="84" t="s">
        <v>382</v>
      </c>
      <c r="AL88" s="90" t="s">
        <v>293</v>
      </c>
    </row>
    <row r="89" spans="2:41" s="84" customFormat="1" ht="15" hidden="1" customHeight="1" x14ac:dyDescent="0.25">
      <c r="B89" s="373"/>
      <c r="C89" s="375"/>
      <c r="D89" s="374"/>
      <c r="E89" s="95"/>
      <c r="F89" s="391"/>
      <c r="G89" s="392"/>
      <c r="H89" s="393"/>
      <c r="J89" s="373"/>
      <c r="K89" s="374"/>
      <c r="M89" s="91"/>
      <c r="O89" s="373"/>
      <c r="P89" s="375"/>
      <c r="Q89" s="374"/>
      <c r="R89" s="94"/>
      <c r="S89" s="373"/>
      <c r="T89" s="375"/>
      <c r="U89" s="374"/>
      <c r="V89" s="94"/>
      <c r="W89" s="389"/>
      <c r="X89" s="397"/>
      <c r="Y89" s="397"/>
      <c r="Z89" s="397"/>
      <c r="AA89" s="390"/>
      <c r="AD89" s="398">
        <v>35736</v>
      </c>
      <c r="AE89" s="399"/>
      <c r="AF89" s="400"/>
      <c r="AH89" s="398">
        <v>44486</v>
      </c>
      <c r="AI89" s="399"/>
      <c r="AJ89" s="400"/>
      <c r="AL89" s="99">
        <v>24</v>
      </c>
    </row>
    <row r="90" spans="2:41" s="84" customFormat="1" ht="15" hidden="1" customHeight="1" x14ac:dyDescent="0.25">
      <c r="O90" s="95"/>
      <c r="P90" s="95"/>
      <c r="Q90" s="95"/>
      <c r="S90" s="95"/>
      <c r="T90" s="95"/>
      <c r="U90" s="95"/>
      <c r="V90" s="94"/>
    </row>
    <row r="91" spans="2:41" s="84" customFormat="1" ht="15" hidden="1" customHeight="1" x14ac:dyDescent="0.25">
      <c r="B91" s="86" t="s">
        <v>772</v>
      </c>
      <c r="C91" s="86"/>
      <c r="D91" s="86"/>
      <c r="E91" s="86"/>
      <c r="L91" s="84" t="s">
        <v>289</v>
      </c>
      <c r="O91" s="84" t="s">
        <v>303</v>
      </c>
      <c r="Y91" s="84" t="s">
        <v>842</v>
      </c>
      <c r="AD91" s="86" t="s">
        <v>274</v>
      </c>
      <c r="AE91" s="86"/>
      <c r="AF91" s="86"/>
      <c r="AH91" s="84" t="s">
        <v>306</v>
      </c>
      <c r="AL91" s="84" t="s">
        <v>835</v>
      </c>
    </row>
    <row r="92" spans="2:41" s="84" customFormat="1" ht="15" hidden="1" customHeight="1" x14ac:dyDescent="0.25">
      <c r="B92" s="389"/>
      <c r="C92" s="397"/>
      <c r="D92" s="397"/>
      <c r="E92" s="397"/>
      <c r="F92" s="397"/>
      <c r="G92" s="397"/>
      <c r="H92" s="397"/>
      <c r="I92" s="397"/>
      <c r="J92" s="390"/>
      <c r="L92" s="373"/>
      <c r="M92" s="374"/>
      <c r="O92" s="389"/>
      <c r="P92" s="397"/>
      <c r="Q92" s="397"/>
      <c r="R92" s="397"/>
      <c r="S92" s="397"/>
      <c r="T92" s="397"/>
      <c r="U92" s="397"/>
      <c r="V92" s="397"/>
      <c r="W92" s="390"/>
      <c r="Y92" s="365"/>
      <c r="Z92" s="366"/>
      <c r="AA92" s="367"/>
      <c r="AB92" s="90"/>
      <c r="AD92" s="394">
        <v>8181691863</v>
      </c>
      <c r="AE92" s="395"/>
      <c r="AF92" s="396"/>
      <c r="AH92" s="401">
        <v>60000</v>
      </c>
      <c r="AI92" s="402"/>
      <c r="AJ92" s="403"/>
      <c r="AL92" s="387" t="s">
        <v>723</v>
      </c>
      <c r="AM92" s="388"/>
    </row>
    <row r="93" spans="2:41" s="84" customFormat="1" ht="15" hidden="1" customHeight="1" x14ac:dyDescent="0.25"/>
    <row r="94" spans="2:41" s="84" customFormat="1" ht="15" hidden="1" customHeight="1" x14ac:dyDescent="0.25">
      <c r="B94" s="98" t="s">
        <v>808</v>
      </c>
      <c r="C94" s="86"/>
      <c r="E94" s="84" t="s">
        <v>310</v>
      </c>
      <c r="H94" s="84" t="s">
        <v>385</v>
      </c>
      <c r="K94" s="84" t="s">
        <v>391</v>
      </c>
      <c r="N94" s="86" t="s">
        <v>733</v>
      </c>
      <c r="O94" s="86"/>
      <c r="Q94" s="86"/>
      <c r="R94" s="86" t="s">
        <v>390</v>
      </c>
      <c r="S94" s="86"/>
      <c r="V94" s="86" t="s">
        <v>388</v>
      </c>
      <c r="W94" s="86"/>
      <c r="X94" s="86"/>
      <c r="Y94" s="86"/>
      <c r="Z94" s="86" t="s">
        <v>389</v>
      </c>
      <c r="AD94" s="86" t="s">
        <v>833</v>
      </c>
      <c r="AE94" s="86"/>
      <c r="AF94" s="86"/>
      <c r="AG94" s="86"/>
      <c r="AH94" s="86" t="s">
        <v>834</v>
      </c>
      <c r="AI94" s="86"/>
      <c r="AJ94" s="86"/>
    </row>
    <row r="95" spans="2:41" s="84" customFormat="1" hidden="1" x14ac:dyDescent="0.25">
      <c r="B95" s="373"/>
      <c r="C95" s="374"/>
      <c r="E95" s="373"/>
      <c r="F95" s="374"/>
      <c r="H95" s="373"/>
      <c r="I95" s="374"/>
      <c r="K95" s="389"/>
      <c r="L95" s="390"/>
      <c r="N95" s="391"/>
      <c r="O95" s="392"/>
      <c r="P95" s="393"/>
      <c r="Q95" s="95"/>
      <c r="R95" s="384"/>
      <c r="S95" s="385"/>
      <c r="T95" s="386"/>
      <c r="V95" s="373"/>
      <c r="W95" s="375"/>
      <c r="X95" s="374"/>
      <c r="Y95" s="95"/>
      <c r="Z95" s="373"/>
      <c r="AA95" s="375"/>
      <c r="AB95" s="374"/>
      <c r="AD95" s="394" t="s">
        <v>164</v>
      </c>
      <c r="AE95" s="395"/>
      <c r="AF95" s="396"/>
      <c r="AG95" s="94"/>
      <c r="AH95" s="394" t="s">
        <v>164</v>
      </c>
      <c r="AI95" s="395"/>
      <c r="AJ95" s="396"/>
      <c r="AK95" s="94"/>
    </row>
    <row r="96" spans="2:41" s="84" customFormat="1" ht="15" hidden="1" customHeight="1" x14ac:dyDescent="0.25"/>
    <row r="97" spans="2:41" s="84" customFormat="1" ht="15" hidden="1" customHeight="1" x14ac:dyDescent="0.25">
      <c r="B97" s="84" t="s">
        <v>392</v>
      </c>
      <c r="K97" s="84" t="s">
        <v>839</v>
      </c>
      <c r="N97" s="84" t="s">
        <v>298</v>
      </c>
      <c r="R97" s="85" t="s">
        <v>374</v>
      </c>
      <c r="S97" s="85"/>
      <c r="T97" s="85"/>
      <c r="V97" s="85" t="s">
        <v>330</v>
      </c>
      <c r="W97" s="85"/>
      <c r="X97" s="85"/>
      <c r="Z97" s="85" t="s">
        <v>299</v>
      </c>
      <c r="AA97" s="85"/>
      <c r="AB97" s="85"/>
      <c r="AD97" s="84" t="s">
        <v>836</v>
      </c>
      <c r="AH97" s="84" t="s">
        <v>848</v>
      </c>
    </row>
    <row r="98" spans="2:41" s="86" customFormat="1" ht="15" hidden="1" customHeight="1" x14ac:dyDescent="0.25">
      <c r="B98" s="376"/>
      <c r="C98" s="377"/>
      <c r="D98" s="377"/>
      <c r="E98" s="377"/>
      <c r="F98" s="377"/>
      <c r="G98" s="377"/>
      <c r="H98" s="377"/>
      <c r="I98" s="378"/>
      <c r="K98" s="376"/>
      <c r="L98" s="378"/>
      <c r="N98" s="384"/>
      <c r="O98" s="385"/>
      <c r="P98" s="386"/>
      <c r="Q98" s="85"/>
      <c r="R98" s="384"/>
      <c r="S98" s="385"/>
      <c r="T98" s="386"/>
      <c r="U98" s="84"/>
      <c r="V98" s="379"/>
      <c r="W98" s="380"/>
      <c r="X98" s="381"/>
      <c r="Y98" s="84"/>
      <c r="Z98" s="379"/>
      <c r="AA98" s="380"/>
      <c r="AB98" s="381"/>
      <c r="AD98" s="365"/>
      <c r="AE98" s="366"/>
      <c r="AF98" s="367"/>
      <c r="AH98" s="368"/>
      <c r="AI98" s="369"/>
      <c r="AJ98" s="370"/>
      <c r="AO98" s="84"/>
    </row>
    <row r="99" spans="2:41" s="84" customFormat="1" ht="15" hidden="1" customHeight="1" x14ac:dyDescent="0.25"/>
    <row r="100" spans="2:41" s="84" customFormat="1" ht="15" hidden="1" customHeight="1" x14ac:dyDescent="0.25">
      <c r="B100" s="84" t="s">
        <v>807</v>
      </c>
      <c r="J100" s="84" t="s">
        <v>286</v>
      </c>
      <c r="O100" s="84" t="s">
        <v>812</v>
      </c>
      <c r="R100" s="84" t="s">
        <v>814</v>
      </c>
      <c r="V100" s="84" t="s">
        <v>294</v>
      </c>
      <c r="Y100" s="84" t="s">
        <v>813</v>
      </c>
      <c r="AB100" s="85" t="s">
        <v>0</v>
      </c>
      <c r="AC100" s="87"/>
      <c r="AD100" s="87"/>
      <c r="AF100" s="84" t="s">
        <v>838</v>
      </c>
      <c r="AJ100" s="84" t="s">
        <v>849</v>
      </c>
    </row>
    <row r="101" spans="2:41" s="86" customFormat="1" hidden="1" x14ac:dyDescent="0.25">
      <c r="B101" s="376"/>
      <c r="C101" s="377"/>
      <c r="D101" s="377"/>
      <c r="E101" s="377"/>
      <c r="F101" s="377"/>
      <c r="G101" s="377"/>
      <c r="H101" s="378"/>
      <c r="I101" s="88"/>
      <c r="J101" s="376"/>
      <c r="K101" s="377"/>
      <c r="L101" s="377"/>
      <c r="M101" s="378"/>
      <c r="O101" s="382"/>
      <c r="P101" s="383"/>
      <c r="R101" s="376"/>
      <c r="S101" s="377"/>
      <c r="T101" s="378"/>
      <c r="V101" s="376"/>
      <c r="W101" s="378"/>
      <c r="Y101" s="373"/>
      <c r="Z101" s="374"/>
      <c r="AB101" s="384"/>
      <c r="AC101" s="385"/>
      <c r="AD101" s="386"/>
      <c r="AF101" s="365"/>
      <c r="AG101" s="366"/>
      <c r="AH101" s="367"/>
      <c r="AJ101" s="368"/>
      <c r="AK101" s="369"/>
      <c r="AL101" s="370"/>
    </row>
    <row r="102" spans="2:41" s="84" customFormat="1" ht="15" hidden="1" customHeight="1" x14ac:dyDescent="0.25">
      <c r="G102" s="89"/>
      <c r="H102" s="89"/>
      <c r="I102" s="89"/>
      <c r="J102" s="89"/>
      <c r="K102" s="89"/>
      <c r="L102" s="89"/>
      <c r="M102" s="89"/>
    </row>
    <row r="103" spans="2:41" s="84" customFormat="1" ht="15" hidden="1" customHeight="1" x14ac:dyDescent="0.25">
      <c r="B103" s="84" t="s">
        <v>843</v>
      </c>
      <c r="D103" s="84" t="s">
        <v>769</v>
      </c>
      <c r="G103" s="84" t="s">
        <v>855</v>
      </c>
      <c r="I103" s="84" t="s">
        <v>856</v>
      </c>
      <c r="K103" s="84" t="s">
        <v>857</v>
      </c>
      <c r="M103" s="90" t="s">
        <v>847</v>
      </c>
      <c r="O103" s="84" t="s">
        <v>296</v>
      </c>
      <c r="R103" s="87"/>
      <c r="S103" s="84" t="s">
        <v>295</v>
      </c>
      <c r="W103" s="84" t="s">
        <v>815</v>
      </c>
      <c r="AA103" s="84" t="s">
        <v>860</v>
      </c>
      <c r="AE103" s="84" t="s">
        <v>837</v>
      </c>
      <c r="AI103" s="84" t="s">
        <v>850</v>
      </c>
    </row>
    <row r="104" spans="2:41" s="84" customFormat="1" hidden="1" x14ac:dyDescent="0.25">
      <c r="B104" s="91"/>
      <c r="D104" s="373"/>
      <c r="E104" s="374"/>
      <c r="G104" s="92"/>
      <c r="I104" s="92"/>
      <c r="K104" s="92"/>
      <c r="M104" s="92"/>
      <c r="O104" s="373"/>
      <c r="P104" s="375"/>
      <c r="Q104" s="374"/>
      <c r="R104" s="93"/>
      <c r="S104" s="376"/>
      <c r="T104" s="377"/>
      <c r="U104" s="378"/>
      <c r="V104" s="86"/>
      <c r="W104" s="373"/>
      <c r="X104" s="375"/>
      <c r="Y104" s="374"/>
      <c r="AA104" s="368"/>
      <c r="AB104" s="369"/>
      <c r="AC104" s="370"/>
      <c r="AE104" s="365"/>
      <c r="AF104" s="366"/>
      <c r="AG104" s="367"/>
      <c r="AH104" s="94"/>
      <c r="AI104" s="368"/>
      <c r="AJ104" s="369"/>
      <c r="AK104" s="370"/>
      <c r="AN104" s="86"/>
    </row>
    <row r="105" spans="2:41" s="84" customFormat="1" ht="15" hidden="1" customHeight="1" x14ac:dyDescent="0.25">
      <c r="E105" s="95"/>
    </row>
    <row r="106" spans="2:41" s="84" customFormat="1" hidden="1" x14ac:dyDescent="0.25">
      <c r="B106" s="84" t="s">
        <v>304</v>
      </c>
      <c r="E106" s="84" t="s">
        <v>302</v>
      </c>
      <c r="F106" s="86"/>
      <c r="H106" s="84" t="s">
        <v>770</v>
      </c>
      <c r="R106" s="87"/>
      <c r="AE106" s="84" t="s">
        <v>840</v>
      </c>
      <c r="AI106" s="84" t="s">
        <v>851</v>
      </c>
    </row>
    <row r="107" spans="2:41" s="84" customFormat="1" hidden="1" x14ac:dyDescent="0.25">
      <c r="B107" s="368"/>
      <c r="C107" s="370"/>
      <c r="E107" s="368"/>
      <c r="F107" s="370"/>
      <c r="H107" s="371"/>
      <c r="I107" s="372"/>
      <c r="R107" s="85"/>
      <c r="AE107" s="365"/>
      <c r="AF107" s="366"/>
      <c r="AG107" s="367"/>
      <c r="AI107" s="368"/>
      <c r="AJ107" s="369"/>
      <c r="AK107" s="370"/>
    </row>
    <row r="108" spans="2:41" s="84" customFormat="1" hidden="1" x14ac:dyDescent="0.25"/>
    <row r="109" spans="2:41" hidden="1" x14ac:dyDescent="0.25"/>
    <row r="110" spans="2:41" hidden="1" x14ac:dyDescent="0.25"/>
    <row r="124" spans="11:18" x14ac:dyDescent="0.25">
      <c r="K124" s="97"/>
      <c r="P124" s="364"/>
      <c r="Q124" s="364"/>
      <c r="R124" s="364"/>
    </row>
  </sheetData>
  <sheetProtection algorithmName="SHA-512" hashValue="RZOuYBMgZGiBi4gpCZ+j3RI465mwZsTBT9rWCCvrGruuF0gKzaHJ1Jen+6tWzyP4gEwM5PpqkBCsEB1AteyGyQ==" saltValue="DL5Y4w9NE9JMbQmOQRS6VA==" spinCount="100000" sheet="1" formatCells="0" formatRows="0" selectLockedCells="1" sort="0" autoFilter="0" pivotTables="0"/>
  <mergeCells count="254">
    <mergeCell ref="F8:H8"/>
    <mergeCell ref="J8:K8"/>
    <mergeCell ref="O8:Q8"/>
    <mergeCell ref="S8:U8"/>
    <mergeCell ref="W8:AA8"/>
    <mergeCell ref="O20:P20"/>
    <mergeCell ref="R17:T17"/>
    <mergeCell ref="R20:T20"/>
    <mergeCell ref="Y20:Z20"/>
    <mergeCell ref="B11:J11"/>
    <mergeCell ref="V20:W20"/>
    <mergeCell ref="K17:L17"/>
    <mergeCell ref="J20:M20"/>
    <mergeCell ref="N17:P17"/>
    <mergeCell ref="AD17:AF17"/>
    <mergeCell ref="AF20:AH20"/>
    <mergeCell ref="AE26:AG26"/>
    <mergeCell ref="V17:X17"/>
    <mergeCell ref="AH14:AJ14"/>
    <mergeCell ref="AL11:AM11"/>
    <mergeCell ref="AA23:AC23"/>
    <mergeCell ref="AD8:AF8"/>
    <mergeCell ref="AH8:AJ8"/>
    <mergeCell ref="B2:E2"/>
    <mergeCell ref="F2:G2"/>
    <mergeCell ref="N2:P2"/>
    <mergeCell ref="H26:I26"/>
    <mergeCell ref="B26:C26"/>
    <mergeCell ref="B17:I17"/>
    <mergeCell ref="L11:M11"/>
    <mergeCell ref="B14:C14"/>
    <mergeCell ref="H14:I14"/>
    <mergeCell ref="E14:F14"/>
    <mergeCell ref="K14:L14"/>
    <mergeCell ref="O5:Q5"/>
    <mergeCell ref="B20:H20"/>
    <mergeCell ref="B5:M5"/>
    <mergeCell ref="D23:E23"/>
    <mergeCell ref="N14:P14"/>
    <mergeCell ref="O11:W11"/>
    <mergeCell ref="R14:T14"/>
    <mergeCell ref="S23:U23"/>
    <mergeCell ref="O23:Q23"/>
    <mergeCell ref="E26:F26"/>
    <mergeCell ref="W23:Y23"/>
    <mergeCell ref="Y11:AA11"/>
    <mergeCell ref="B8:D8"/>
    <mergeCell ref="C28:D28"/>
    <mergeCell ref="U32:V32"/>
    <mergeCell ref="X32:Y32"/>
    <mergeCell ref="AA32:AB32"/>
    <mergeCell ref="U5:V5"/>
    <mergeCell ref="X5:Y5"/>
    <mergeCell ref="V14:X14"/>
    <mergeCell ref="Z14:AB14"/>
    <mergeCell ref="AB20:AD20"/>
    <mergeCell ref="Z17:AB17"/>
    <mergeCell ref="B29:E29"/>
    <mergeCell ref="F29:G29"/>
    <mergeCell ref="N29:P29"/>
    <mergeCell ref="AA5:AB5"/>
    <mergeCell ref="AD5:AO5"/>
    <mergeCell ref="AD14:AF14"/>
    <mergeCell ref="AH11:AJ11"/>
    <mergeCell ref="AD11:AF11"/>
    <mergeCell ref="AD32:AO32"/>
    <mergeCell ref="AI26:AK26"/>
    <mergeCell ref="AH17:AJ17"/>
    <mergeCell ref="AJ20:AL20"/>
    <mergeCell ref="AE23:AG23"/>
    <mergeCell ref="AI23:AK23"/>
    <mergeCell ref="B35:D35"/>
    <mergeCell ref="F35:H35"/>
    <mergeCell ref="J35:K35"/>
    <mergeCell ref="O35:Q35"/>
    <mergeCell ref="S35:U35"/>
    <mergeCell ref="W35:AA35"/>
    <mergeCell ref="AD35:AF35"/>
    <mergeCell ref="AH35:AJ35"/>
    <mergeCell ref="B32:M32"/>
    <mergeCell ref="O32:Q32"/>
    <mergeCell ref="AH38:AJ38"/>
    <mergeCell ref="AL38:AM38"/>
    <mergeCell ref="B41:C41"/>
    <mergeCell ref="E41:F41"/>
    <mergeCell ref="H41:I41"/>
    <mergeCell ref="K41:L41"/>
    <mergeCell ref="N41:P41"/>
    <mergeCell ref="R41:T41"/>
    <mergeCell ref="V41:X41"/>
    <mergeCell ref="Z41:AB41"/>
    <mergeCell ref="AD41:AF41"/>
    <mergeCell ref="AH41:AJ41"/>
    <mergeCell ref="B38:J38"/>
    <mergeCell ref="L38:M38"/>
    <mergeCell ref="O38:W38"/>
    <mergeCell ref="Y38:AA38"/>
    <mergeCell ref="AD38:AF38"/>
    <mergeCell ref="Z44:AB44"/>
    <mergeCell ref="AD44:AF44"/>
    <mergeCell ref="AH44:AJ44"/>
    <mergeCell ref="B47:H47"/>
    <mergeCell ref="J47:M47"/>
    <mergeCell ref="O47:P47"/>
    <mergeCell ref="R47:T47"/>
    <mergeCell ref="V47:W47"/>
    <mergeCell ref="Y47:Z47"/>
    <mergeCell ref="AB47:AD47"/>
    <mergeCell ref="AF47:AH47"/>
    <mergeCell ref="AJ47:AL47"/>
    <mergeCell ref="B44:I44"/>
    <mergeCell ref="K44:L44"/>
    <mergeCell ref="N44:P44"/>
    <mergeCell ref="R44:T44"/>
    <mergeCell ref="V44:X44"/>
    <mergeCell ref="AE50:AG50"/>
    <mergeCell ref="AI50:AK50"/>
    <mergeCell ref="B53:C53"/>
    <mergeCell ref="E53:F53"/>
    <mergeCell ref="H53:I53"/>
    <mergeCell ref="AE53:AG53"/>
    <mergeCell ref="AI53:AK53"/>
    <mergeCell ref="D50:E50"/>
    <mergeCell ref="O50:Q50"/>
    <mergeCell ref="S50:U50"/>
    <mergeCell ref="W50:Y50"/>
    <mergeCell ref="AA50:AC50"/>
    <mergeCell ref="AD59:AO59"/>
    <mergeCell ref="B62:D62"/>
    <mergeCell ref="F62:H62"/>
    <mergeCell ref="J62:K62"/>
    <mergeCell ref="O62:Q62"/>
    <mergeCell ref="S62:U62"/>
    <mergeCell ref="W62:AA62"/>
    <mergeCell ref="AD62:AF62"/>
    <mergeCell ref="AH62:AJ62"/>
    <mergeCell ref="B59:M59"/>
    <mergeCell ref="O59:Q59"/>
    <mergeCell ref="U59:V59"/>
    <mergeCell ref="X59:Y59"/>
    <mergeCell ref="AA59:AB59"/>
    <mergeCell ref="AH65:AJ65"/>
    <mergeCell ref="AL65:AM65"/>
    <mergeCell ref="B68:C68"/>
    <mergeCell ref="E68:F68"/>
    <mergeCell ref="H68:I68"/>
    <mergeCell ref="K68:L68"/>
    <mergeCell ref="N68:P68"/>
    <mergeCell ref="R68:T68"/>
    <mergeCell ref="V68:X68"/>
    <mergeCell ref="Z68:AB68"/>
    <mergeCell ref="AD68:AF68"/>
    <mergeCell ref="AH68:AJ68"/>
    <mergeCell ref="B65:J65"/>
    <mergeCell ref="L65:M65"/>
    <mergeCell ref="O65:W65"/>
    <mergeCell ref="Y65:AA65"/>
    <mergeCell ref="AD65:AF65"/>
    <mergeCell ref="Z71:AB71"/>
    <mergeCell ref="AD71:AF71"/>
    <mergeCell ref="AH71:AJ71"/>
    <mergeCell ref="B74:H74"/>
    <mergeCell ref="J74:M74"/>
    <mergeCell ref="O74:P74"/>
    <mergeCell ref="R74:T74"/>
    <mergeCell ref="V74:W74"/>
    <mergeCell ref="Y74:Z74"/>
    <mergeCell ref="AB74:AD74"/>
    <mergeCell ref="AF74:AH74"/>
    <mergeCell ref="AJ74:AL74"/>
    <mergeCell ref="B71:I71"/>
    <mergeCell ref="K71:L71"/>
    <mergeCell ref="N71:P71"/>
    <mergeCell ref="R71:T71"/>
    <mergeCell ref="V71:X71"/>
    <mergeCell ref="B83:E83"/>
    <mergeCell ref="F83:G83"/>
    <mergeCell ref="N83:P83"/>
    <mergeCell ref="B86:M86"/>
    <mergeCell ref="O86:Q86"/>
    <mergeCell ref="AE77:AG77"/>
    <mergeCell ref="AI77:AK77"/>
    <mergeCell ref="B80:C80"/>
    <mergeCell ref="E80:F80"/>
    <mergeCell ref="H80:I80"/>
    <mergeCell ref="AE80:AG80"/>
    <mergeCell ref="AI80:AK80"/>
    <mergeCell ref="D77:E77"/>
    <mergeCell ref="O77:Q77"/>
    <mergeCell ref="S77:U77"/>
    <mergeCell ref="W77:Y77"/>
    <mergeCell ref="AA77:AC77"/>
    <mergeCell ref="U86:V86"/>
    <mergeCell ref="X86:Y86"/>
    <mergeCell ref="AA86:AB86"/>
    <mergeCell ref="AD86:AO86"/>
    <mergeCell ref="B89:D89"/>
    <mergeCell ref="F89:H89"/>
    <mergeCell ref="J89:K89"/>
    <mergeCell ref="O89:Q89"/>
    <mergeCell ref="S89:U89"/>
    <mergeCell ref="W89:AA89"/>
    <mergeCell ref="AD89:AF89"/>
    <mergeCell ref="AH89:AJ89"/>
    <mergeCell ref="AH92:AJ92"/>
    <mergeCell ref="AL92:AM92"/>
    <mergeCell ref="B95:C95"/>
    <mergeCell ref="E95:F95"/>
    <mergeCell ref="H95:I95"/>
    <mergeCell ref="K95:L95"/>
    <mergeCell ref="N95:P95"/>
    <mergeCell ref="R95:T95"/>
    <mergeCell ref="V95:X95"/>
    <mergeCell ref="Z95:AB95"/>
    <mergeCell ref="AD95:AF95"/>
    <mergeCell ref="AH95:AJ95"/>
    <mergeCell ref="B92:J92"/>
    <mergeCell ref="L92:M92"/>
    <mergeCell ref="O92:W92"/>
    <mergeCell ref="Y92:AA92"/>
    <mergeCell ref="AD92:AF92"/>
    <mergeCell ref="Y101:Z101"/>
    <mergeCell ref="AB101:AD101"/>
    <mergeCell ref="AF101:AH101"/>
    <mergeCell ref="AJ101:AL101"/>
    <mergeCell ref="B98:I98"/>
    <mergeCell ref="K98:L98"/>
    <mergeCell ref="N98:P98"/>
    <mergeCell ref="R98:T98"/>
    <mergeCell ref="V98:X98"/>
    <mergeCell ref="B56:E56"/>
    <mergeCell ref="F56:G56"/>
    <mergeCell ref="N56:P56"/>
    <mergeCell ref="P124:R124"/>
    <mergeCell ref="AE104:AG104"/>
    <mergeCell ref="AI104:AK104"/>
    <mergeCell ref="B107:C107"/>
    <mergeCell ref="E107:F107"/>
    <mergeCell ref="H107:I107"/>
    <mergeCell ref="AE107:AG107"/>
    <mergeCell ref="AI107:AK107"/>
    <mergeCell ref="D104:E104"/>
    <mergeCell ref="O104:Q104"/>
    <mergeCell ref="S104:U104"/>
    <mergeCell ref="W104:Y104"/>
    <mergeCell ref="AA104:AC104"/>
    <mergeCell ref="Z98:AB98"/>
    <mergeCell ref="AD98:AF98"/>
    <mergeCell ref="AH98:AJ98"/>
    <mergeCell ref="B101:H101"/>
    <mergeCell ref="J101:M101"/>
    <mergeCell ref="O101:P101"/>
    <mergeCell ref="R101:T101"/>
    <mergeCell ref="V101:W101"/>
  </mergeCells>
  <dataValidations count="2">
    <dataValidation type="list" allowBlank="1" showInputMessage="1" showErrorMessage="1" sqref="J62:K62" xr:uid="{9A501474-1FA1-46C8-B3C5-21477619075B}">
      <formula1>#REF!</formula1>
    </dataValidation>
    <dataValidation type="list" allowBlank="1" showInputMessage="1" showErrorMessage="1" sqref="X59:Y59 H95:I95 J89:K89" xr:uid="{984A18C1-1476-4AB2-87D3-6FA2E8532DDB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72B60955-C682-404C-BF46-37FA72A233DD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67</xm:f>
              </x14:cfvo>
              <x14:cfIcon iconSet="NoIcons" iconId="0"/>
              <x14:cfIcon iconSet="NoIcons" iconId="0"/>
              <x14:cfIcon iconSet="4TrafficLights" iconId="0"/>
            </x14:iconSet>
          </x14:cfRule>
          <xm:sqref>AF2</xm:sqref>
        </x14:conditionalFormatting>
        <x14:conditionalFormatting xmlns:xm="http://schemas.microsoft.com/office/excel/2006/main">
          <x14:cfRule type="iconSet" priority="6" id="{4D849A54-092C-4736-80BE-A50D367BA9A1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67</xm:f>
              </x14:cfvo>
              <x14:cfIcon iconSet="NoIcons" iconId="0"/>
              <x14:cfIcon iconSet="NoIcons" iconId="0"/>
              <x14:cfIcon iconSet="4TrafficLights" iconId="0"/>
            </x14:iconSet>
          </x14:cfRule>
          <xm:sqref>AF29</xm:sqref>
        </x14:conditionalFormatting>
        <x14:conditionalFormatting xmlns:xm="http://schemas.microsoft.com/office/excel/2006/main">
          <x14:cfRule type="iconSet" priority="1" id="{AE6A279B-4E5D-4824-80F4-D92225F34F08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67</xm:f>
              </x14:cfvo>
              <x14:cfIcon iconSet="NoIcons" iconId="0"/>
              <x14:cfIcon iconSet="NoIcons" iconId="0"/>
              <x14:cfIcon iconSet="4TrafficLights" iconId="0"/>
            </x14:iconSet>
          </x14:cfRule>
          <xm:sqref>AF83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5D9D8DC-7182-4DF1-B3D8-B27E2CBF829A}">
          <x14:formula1>
            <xm:f>TABLAS!$B$3:$B$49</xm:f>
          </x14:formula1>
          <xm:sqref>O35:Q35 O62:Q62</xm:sqref>
        </x14:dataValidation>
        <x14:dataValidation type="list" allowBlank="1" showInputMessage="1" showErrorMessage="1" xr:uid="{0DB87C67-6CC7-4E0E-AAEF-12D6A6F0D72A}">
          <x14:formula1>
            <xm:f>TABLAS!$Q$3:$Q$5</xm:f>
          </x14:formula1>
          <xm:sqref>D50:E50 D104:E104 D77:E77</xm:sqref>
        </x14:dataValidation>
        <x14:dataValidation type="list" allowBlank="1" showInputMessage="1" showErrorMessage="1" xr:uid="{C611C2DA-03B2-43B5-AF39-4D7869E27760}">
          <x14:formula1>
            <xm:f>TABLAS!$I$3:$I$17</xm:f>
          </x14:formula1>
          <xm:sqref>K44:L44 K98:L98 K71:L71</xm:sqref>
        </x14:dataValidation>
        <x14:dataValidation type="list" allowBlank="1" showInputMessage="1" showErrorMessage="1" xr:uid="{1F45D703-C1AD-40D5-A046-6A46374704CA}">
          <x14:formula1>
            <xm:f>TABLAS!$O$3:$O$22</xm:f>
          </x14:formula1>
          <xm:sqref>E41:F41 E95:F95 E68:F68</xm:sqref>
        </x14:dataValidation>
        <x14:dataValidation type="list" allowBlank="1" showInputMessage="1" showErrorMessage="1" xr:uid="{EE3EE8A6-1384-476E-8E97-78DBDA953BF4}">
          <x14:formula1>
            <xm:f>TABLAS!$J$3:$J$8</xm:f>
          </x14:formula1>
          <xm:sqref>L38:M38 L92:M92 L65:M65</xm:sqref>
        </x14:dataValidation>
        <x14:dataValidation type="list" allowBlank="1" showInputMessage="1" showErrorMessage="1" xr:uid="{D8BF8C87-4BCE-41E1-975A-1FFE2DBE82A9}">
          <x14:formula1>
            <xm:f>TABLAS!$M$3:$M$8</xm:f>
          </x14:formula1>
          <xm:sqref>B41:C41 B68:C68 B95:C95</xm:sqref>
        </x14:dataValidation>
        <x14:dataValidation type="list" allowBlank="1" showInputMessage="1" showErrorMessage="1" xr:uid="{9A074076-8C45-4ACA-B703-F09CB51AD922}">
          <x14:formula1>
            <xm:f>TABLAS!$N$3:$N$9</xm:f>
          </x14:formula1>
          <xm:sqref>AL92:AM92</xm:sqref>
        </x14:dataValidation>
        <x14:dataValidation type="list" allowBlank="1" showInputMessage="1" showErrorMessage="1" xr:uid="{C64E877F-66E3-425B-8CBE-3254140136B8}">
          <x14:formula1>
            <xm:f>TABLAS!$L$3:$L$7</xm:f>
          </x14:formula1>
          <xm:sqref>X32:Y32</xm:sqref>
        </x14:dataValidation>
        <x14:dataValidation type="list" allowBlank="1" showInputMessage="1" showErrorMessage="1" xr:uid="{ED2BC384-9AAD-42B8-97A4-DEA15204E32D}">
          <x14:formula1>
            <xm:f>TABLAS!$K$3:$K$8</xm:f>
          </x14:formula1>
          <xm:sqref>J35:K35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3661E-83A4-4BFA-A985-3327F84C2FFC}">
  <sheetPr codeName="Hoja5">
    <tabColor theme="8" tint="-0.499984740745262"/>
    <pageSetUpPr fitToPage="1"/>
  </sheetPr>
  <dimension ref="A1:AE58"/>
  <sheetViews>
    <sheetView showGridLines="0" workbookViewId="0">
      <selection activeCell="D16" sqref="D16:H18"/>
    </sheetView>
  </sheetViews>
  <sheetFormatPr baseColWidth="10" defaultColWidth="11.42578125" defaultRowHeight="14.25" x14ac:dyDescent="0.2"/>
  <cols>
    <col min="1" max="1" width="2.85546875" style="12" customWidth="1"/>
    <col min="2" max="2" width="14.28515625" style="12" customWidth="1"/>
    <col min="3" max="3" width="4" style="12" customWidth="1"/>
    <col min="4" max="4" width="5.5703125" style="12" customWidth="1"/>
    <col min="5" max="5" width="19.140625" style="12" customWidth="1"/>
    <col min="6" max="6" width="4.42578125" style="12" customWidth="1"/>
    <col min="7" max="7" width="9.28515625" style="12" customWidth="1"/>
    <col min="8" max="8" width="12.85546875" style="12" customWidth="1"/>
    <col min="9" max="9" width="6.5703125" style="12" customWidth="1"/>
    <col min="10" max="10" width="5.7109375" style="12" customWidth="1"/>
    <col min="11" max="11" width="13.5703125" style="12" customWidth="1"/>
    <col min="12" max="12" width="21.42578125" style="12" customWidth="1"/>
    <col min="13" max="13" width="12.85546875" style="12" customWidth="1"/>
    <col min="14" max="14" width="6.5703125" style="12" customWidth="1"/>
    <col min="15" max="16" width="2.85546875" style="12" customWidth="1"/>
    <col min="17" max="17" width="7.140625" style="12" customWidth="1"/>
    <col min="18" max="21" width="21.42578125" style="12" customWidth="1"/>
    <col min="22" max="23" width="71.42578125" style="12" customWidth="1"/>
    <col min="24" max="25" width="11.42578125" style="12" customWidth="1"/>
    <col min="26" max="26" width="5.140625" style="12" customWidth="1"/>
    <col min="27" max="28" width="19.5703125" style="12" customWidth="1"/>
    <col min="29" max="29" width="3.85546875" style="12" customWidth="1"/>
    <col min="30" max="31" width="19.5703125" style="12" customWidth="1"/>
    <col min="32" max="33" width="11.42578125" style="12" customWidth="1"/>
    <col min="34" max="16384" width="11.42578125" style="12"/>
  </cols>
  <sheetData>
    <row r="1" spans="1:31" x14ac:dyDescent="0.2">
      <c r="A1" s="50"/>
      <c r="B1" s="50"/>
      <c r="C1" s="50"/>
    </row>
    <row r="2" spans="1:31" ht="15" customHeight="1" x14ac:dyDescent="0.2"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  <c r="O2" s="3"/>
    </row>
    <row r="3" spans="1:31" ht="15" customHeight="1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3"/>
      <c r="O3" s="3"/>
    </row>
    <row r="4" spans="1:31" ht="15" customHeight="1" thickBot="1" x14ac:dyDescent="0.25">
      <c r="C4" s="2"/>
      <c r="D4" s="5"/>
      <c r="E4" s="5"/>
      <c r="F4" s="2"/>
      <c r="G4" s="2"/>
      <c r="H4" s="2"/>
      <c r="I4" s="2"/>
      <c r="J4" s="2"/>
      <c r="K4" s="2"/>
      <c r="L4" s="2"/>
      <c r="M4" s="2"/>
      <c r="N4" s="3"/>
      <c r="O4" s="3"/>
      <c r="R4" s="312">
        <v>105</v>
      </c>
    </row>
    <row r="5" spans="1:31" ht="15" customHeight="1" x14ac:dyDescent="0.35">
      <c r="C5" s="2"/>
      <c r="D5" s="5"/>
      <c r="E5" s="5"/>
      <c r="F5" s="508" t="s">
        <v>19</v>
      </c>
      <c r="G5" s="508"/>
      <c r="H5" s="508"/>
      <c r="I5" s="508"/>
      <c r="J5" s="508"/>
      <c r="K5" s="508"/>
      <c r="L5" s="508"/>
      <c r="M5" s="508"/>
      <c r="N5" s="25"/>
      <c r="O5" s="25"/>
      <c r="Z5" s="51">
        <v>1</v>
      </c>
      <c r="AA5" s="52"/>
      <c r="AB5" s="53"/>
      <c r="AC5" s="53"/>
      <c r="AD5" s="52"/>
      <c r="AE5" s="53"/>
    </row>
    <row r="6" spans="1:31" ht="15" customHeight="1" x14ac:dyDescent="0.35">
      <c r="C6" s="2"/>
      <c r="D6" s="5"/>
      <c r="E6" s="5"/>
      <c r="F6" s="508"/>
      <c r="G6" s="508"/>
      <c r="H6" s="508"/>
      <c r="I6" s="508"/>
      <c r="J6" s="508"/>
      <c r="K6" s="508"/>
      <c r="L6" s="508"/>
      <c r="M6" s="508"/>
      <c r="N6" s="25"/>
      <c r="O6" s="25"/>
      <c r="Z6" s="55"/>
      <c r="AA6" s="502" t="s">
        <v>14</v>
      </c>
      <c r="AB6" s="503"/>
      <c r="AC6" s="56"/>
      <c r="AD6" s="502" t="s">
        <v>29</v>
      </c>
      <c r="AE6" s="503"/>
    </row>
    <row r="7" spans="1:31" x14ac:dyDescent="0.2">
      <c r="C7" s="2"/>
      <c r="D7" s="5"/>
      <c r="E7" s="5"/>
      <c r="F7" s="483" t="s">
        <v>46</v>
      </c>
      <c r="G7" s="483"/>
      <c r="H7" s="483"/>
      <c r="I7" s="483"/>
      <c r="J7" s="483"/>
      <c r="K7" s="483"/>
      <c r="L7" s="483"/>
      <c r="M7" s="483"/>
      <c r="N7" s="14"/>
      <c r="O7" s="14"/>
      <c r="Z7" s="55"/>
      <c r="AA7" s="57"/>
      <c r="AB7" s="56"/>
      <c r="AC7" s="56"/>
      <c r="AD7" s="57"/>
      <c r="AE7" s="56"/>
    </row>
    <row r="8" spans="1:31" ht="15.75" customHeight="1" x14ac:dyDescent="0.2">
      <c r="C8" s="2"/>
      <c r="D8" s="5"/>
      <c r="E8" s="5"/>
      <c r="F8" s="483" t="s">
        <v>2248</v>
      </c>
      <c r="G8" s="483"/>
      <c r="H8" s="483"/>
      <c r="I8" s="483"/>
      <c r="J8" s="483"/>
      <c r="K8" s="483"/>
      <c r="L8" s="483"/>
      <c r="M8" s="483"/>
      <c r="N8" s="14"/>
      <c r="O8" s="14"/>
      <c r="Z8" s="55"/>
      <c r="AA8" s="15" t="s">
        <v>38</v>
      </c>
      <c r="AB8" s="58">
        <f>Extendido!O5</f>
        <v>40997</v>
      </c>
      <c r="AC8" s="56"/>
      <c r="AD8" s="37" t="s">
        <v>39</v>
      </c>
      <c r="AE8" s="59">
        <f>AB8</f>
        <v>40997</v>
      </c>
    </row>
    <row r="9" spans="1:31" ht="15" customHeight="1" x14ac:dyDescent="0.2">
      <c r="C9" s="2"/>
      <c r="D9" s="5"/>
      <c r="E9" s="5"/>
      <c r="F9" s="490" t="s">
        <v>18</v>
      </c>
      <c r="G9" s="490"/>
      <c r="H9" s="490"/>
      <c r="I9" s="490"/>
      <c r="J9" s="490"/>
      <c r="K9" s="124">
        <v>44562</v>
      </c>
      <c r="L9" s="124">
        <f ca="1">VLOOKUP(K9,FECHAS[],2,0)</f>
        <v>44575</v>
      </c>
      <c r="M9" s="9"/>
      <c r="N9" s="14"/>
      <c r="O9" s="14"/>
      <c r="Z9" s="55"/>
      <c r="AA9" s="504" t="s">
        <v>30</v>
      </c>
      <c r="AB9" s="58">
        <f ca="1">DATE(YEAR(AB8)+AB12,MONTH(AB8),DAY(AB8))</f>
        <v>44649</v>
      </c>
      <c r="AC9" s="56"/>
      <c r="AD9" s="505" t="s">
        <v>30</v>
      </c>
      <c r="AE9" s="59" t="e">
        <f ca="1">IF(AE8&gt;#REF!,AE8,DATE(YEAR(TODAY()),1,1))</f>
        <v>#REF!</v>
      </c>
    </row>
    <row r="10" spans="1:31" ht="15" customHeight="1" x14ac:dyDescent="0.2">
      <c r="C10" s="2"/>
      <c r="D10" s="5"/>
      <c r="E10" s="5"/>
      <c r="F10" s="490" t="s">
        <v>17</v>
      </c>
      <c r="G10" s="490"/>
      <c r="H10" s="490"/>
      <c r="I10" s="490"/>
      <c r="J10" s="490"/>
      <c r="K10" s="507"/>
      <c r="L10" s="507"/>
      <c r="M10" s="2"/>
      <c r="N10" s="26"/>
      <c r="O10" s="26"/>
      <c r="Z10" s="55"/>
      <c r="AA10" s="504"/>
      <c r="AB10" s="60">
        <f ca="1">TODAY()</f>
        <v>44760</v>
      </c>
      <c r="AC10" s="56"/>
      <c r="AD10" s="506"/>
      <c r="AE10" s="60">
        <f ca="1">TODAY()</f>
        <v>44760</v>
      </c>
    </row>
    <row r="11" spans="1:31" ht="15" customHeight="1" x14ac:dyDescent="0.2">
      <c r="C11" s="2"/>
      <c r="D11" s="5"/>
      <c r="E11" s="5"/>
      <c r="F11" s="125"/>
      <c r="G11" s="125"/>
      <c r="H11" s="125"/>
      <c r="I11" s="125"/>
      <c r="J11" s="125"/>
      <c r="K11" s="125"/>
      <c r="L11" s="125"/>
      <c r="M11" s="125"/>
      <c r="N11" s="3"/>
      <c r="O11" s="3"/>
      <c r="Z11" s="55"/>
      <c r="AA11" s="16" t="s">
        <v>31</v>
      </c>
      <c r="AB11" s="61">
        <f ca="1">_xlfn.DAYS(DATE(YEAR(AB8)+AB12,MONTH(AB8),DAY(AB8)),AB9)</f>
        <v>0</v>
      </c>
      <c r="AC11" s="56"/>
      <c r="AD11" s="38" t="s">
        <v>31</v>
      </c>
      <c r="AE11" s="62" t="e">
        <f ca="1">_xlfn.DAYS(AE10,AE9)</f>
        <v>#REF!</v>
      </c>
    </row>
    <row r="12" spans="1:31" ht="15" customHeight="1" x14ac:dyDescent="0.2">
      <c r="C12" s="2"/>
      <c r="D12" s="5"/>
      <c r="E12" s="5"/>
      <c r="F12" s="2"/>
      <c r="G12" s="2"/>
      <c r="H12" s="2"/>
      <c r="I12" s="2"/>
      <c r="J12" s="2"/>
      <c r="K12" s="2"/>
      <c r="L12" s="2"/>
      <c r="M12" s="2"/>
      <c r="N12" s="3"/>
      <c r="O12" s="3"/>
      <c r="Z12" s="55"/>
      <c r="AA12" s="49" t="s">
        <v>32</v>
      </c>
      <c r="AB12" s="63">
        <f ca="1">Extendido!S5</f>
        <v>10</v>
      </c>
      <c r="AC12" s="56"/>
      <c r="AD12" s="16" t="s">
        <v>33</v>
      </c>
      <c r="AE12" s="64" t="e">
        <f ca="1">AE11/365</f>
        <v>#REF!</v>
      </c>
    </row>
    <row r="13" spans="1:31" ht="15" customHeight="1" x14ac:dyDescent="0.2">
      <c r="C13" s="2"/>
      <c r="D13" s="5"/>
      <c r="E13" s="5"/>
      <c r="F13" s="2"/>
      <c r="G13" s="2"/>
      <c r="H13" s="2"/>
      <c r="I13" s="2"/>
      <c r="J13" s="2"/>
      <c r="K13" s="2"/>
      <c r="L13" s="2"/>
      <c r="M13" s="2"/>
      <c r="N13" s="3"/>
      <c r="O13" s="3"/>
      <c r="Z13" s="55"/>
      <c r="AA13" s="16" t="s">
        <v>33</v>
      </c>
      <c r="AB13" s="64">
        <f ca="1">IF(AB11&lt;&gt;365,AB11/365,0)</f>
        <v>0</v>
      </c>
      <c r="AC13" s="56"/>
      <c r="AD13" s="16" t="s">
        <v>34</v>
      </c>
      <c r="AE13" s="65">
        <f>Extendido!AY31</f>
        <v>0</v>
      </c>
    </row>
    <row r="14" spans="1:31" ht="15.75" customHeight="1" x14ac:dyDescent="0.2">
      <c r="C14" s="2"/>
      <c r="D14" s="2"/>
      <c r="E14" s="2"/>
      <c r="F14" s="2"/>
      <c r="G14" s="2"/>
      <c r="H14" s="2"/>
      <c r="I14" s="1"/>
      <c r="J14" s="2"/>
      <c r="K14" s="2"/>
      <c r="L14" s="2"/>
      <c r="M14" s="2"/>
      <c r="N14" s="3"/>
      <c r="O14" s="3"/>
      <c r="Z14" s="55"/>
      <c r="AA14" s="16" t="s">
        <v>34</v>
      </c>
      <c r="AB14" s="65">
        <f>Extendido!AY31</f>
        <v>0</v>
      </c>
      <c r="AC14" s="56"/>
      <c r="AD14" s="49" t="s">
        <v>378</v>
      </c>
      <c r="AE14" s="63">
        <f>Extendido!BB34</f>
        <v>0</v>
      </c>
    </row>
    <row r="15" spans="1:31" ht="13.5" customHeight="1" x14ac:dyDescent="0.2">
      <c r="C15" s="2"/>
      <c r="D15" s="509" t="s">
        <v>20</v>
      </c>
      <c r="E15" s="509"/>
      <c r="F15" s="509"/>
      <c r="G15" s="483">
        <f>Extendido!F2</f>
        <v>149</v>
      </c>
      <c r="H15" s="483"/>
      <c r="I15" s="491" t="s">
        <v>15</v>
      </c>
      <c r="J15" s="491"/>
      <c r="K15" s="491"/>
      <c r="L15" s="491" t="s">
        <v>1</v>
      </c>
      <c r="M15" s="491"/>
      <c r="N15" s="4"/>
      <c r="O15" s="4"/>
      <c r="Z15" s="55"/>
      <c r="AA15" s="49" t="s">
        <v>35</v>
      </c>
      <c r="AB15" s="63">
        <f>Extendido!AY34</f>
        <v>0</v>
      </c>
      <c r="AC15" s="56"/>
      <c r="AD15" s="17" t="s">
        <v>42</v>
      </c>
      <c r="AE15" s="66" t="e">
        <f ca="1">AE14*AE12</f>
        <v>#REF!</v>
      </c>
    </row>
    <row r="16" spans="1:31" ht="15" customHeight="1" x14ac:dyDescent="0.2">
      <c r="C16" s="2"/>
      <c r="D16" s="494" t="str">
        <f>Extendido!B5</f>
        <v>Maríana Rodríguez Gutiérrez</v>
      </c>
      <c r="E16" s="494"/>
      <c r="F16" s="494"/>
      <c r="G16" s="494"/>
      <c r="H16" s="494"/>
      <c r="I16" s="483" t="str">
        <f>Extendido!S8</f>
        <v>DIRECCIÓN</v>
      </c>
      <c r="J16" s="483"/>
      <c r="K16" s="483"/>
      <c r="L16" s="498" t="str">
        <f>Extendido!X5</f>
        <v>DIRECT</v>
      </c>
      <c r="M16" s="483"/>
      <c r="N16" s="2"/>
      <c r="O16" s="2"/>
      <c r="Z16" s="55"/>
      <c r="AA16" s="36" t="s">
        <v>40</v>
      </c>
      <c r="AB16" s="62">
        <f ca="1">AB15*AB13</f>
        <v>0</v>
      </c>
      <c r="AC16" s="56"/>
      <c r="AD16" s="492" t="s">
        <v>48</v>
      </c>
      <c r="AE16" s="67"/>
    </row>
    <row r="17" spans="3:31" ht="13.5" customHeight="1" x14ac:dyDescent="0.2">
      <c r="C17" s="2"/>
      <c r="D17" s="494"/>
      <c r="E17" s="494"/>
      <c r="F17" s="494"/>
      <c r="G17" s="494"/>
      <c r="H17" s="494"/>
      <c r="I17" s="491" t="s">
        <v>1573</v>
      </c>
      <c r="J17" s="491"/>
      <c r="K17" s="491"/>
      <c r="L17" s="510" t="s">
        <v>1574</v>
      </c>
      <c r="M17" s="510"/>
      <c r="N17" s="2"/>
      <c r="O17" s="2"/>
      <c r="Z17" s="55"/>
      <c r="AA17" s="16" t="s">
        <v>376</v>
      </c>
      <c r="AB17" s="68">
        <f ca="1">AB16*AB14</f>
        <v>0</v>
      </c>
      <c r="AC17" s="56"/>
      <c r="AD17" s="493"/>
      <c r="AE17" s="69" t="e">
        <f ca="1">AE15*AE13</f>
        <v>#REF!</v>
      </c>
    </row>
    <row r="18" spans="3:31" ht="15" customHeight="1" x14ac:dyDescent="0.2">
      <c r="C18" s="2"/>
      <c r="D18" s="494"/>
      <c r="E18" s="494"/>
      <c r="F18" s="494"/>
      <c r="G18" s="494"/>
      <c r="H18" s="494"/>
      <c r="I18" s="495">
        <f>Extendido!V17</f>
        <v>1151</v>
      </c>
      <c r="J18" s="495"/>
      <c r="K18" s="495"/>
      <c r="L18" s="498">
        <f>Extendido!O5</f>
        <v>40997</v>
      </c>
      <c r="M18" s="498"/>
      <c r="N18" s="2"/>
      <c r="O18" s="2"/>
      <c r="Z18" s="55"/>
      <c r="AA18" s="49" t="s">
        <v>36</v>
      </c>
      <c r="AB18" s="70">
        <f>Extendido!AR34</f>
        <v>0</v>
      </c>
      <c r="AC18" s="71"/>
      <c r="AD18" s="72"/>
      <c r="AE18" s="73"/>
    </row>
    <row r="19" spans="3:31" ht="15" customHeight="1" x14ac:dyDescent="0.25">
      <c r="C19" s="2"/>
      <c r="D19" s="2"/>
      <c r="E19" s="2"/>
      <c r="F19" s="2"/>
      <c r="G19" s="2"/>
      <c r="H19" s="2"/>
      <c r="I19" s="2"/>
      <c r="J19" s="2"/>
      <c r="K19" s="2"/>
      <c r="L19" s="3"/>
      <c r="M19" s="3"/>
      <c r="N19" s="3"/>
      <c r="O19" s="3"/>
      <c r="Z19" s="55"/>
      <c r="AA19" s="36" t="s">
        <v>37</v>
      </c>
      <c r="AB19" s="74">
        <f>AB15*AB18</f>
        <v>0</v>
      </c>
      <c r="AC19" s="71"/>
      <c r="AD19" s="15" t="s">
        <v>375</v>
      </c>
      <c r="AE19" s="75">
        <f ca="1">DATE(YEAR(TODAY()),11,20)</f>
        <v>44885</v>
      </c>
    </row>
    <row r="20" spans="3:31" ht="15" customHeight="1" x14ac:dyDescent="0.2">
      <c r="C20" s="2"/>
      <c r="D20" s="2"/>
      <c r="E20" s="2"/>
      <c r="F20" s="2"/>
      <c r="G20" s="2"/>
      <c r="H20" s="2"/>
      <c r="I20" s="2" t="s">
        <v>44</v>
      </c>
      <c r="J20" s="13"/>
      <c r="K20" s="13"/>
      <c r="L20" s="2"/>
      <c r="M20" s="4"/>
      <c r="N20" s="11"/>
      <c r="O20" s="11"/>
      <c r="Z20" s="55"/>
      <c r="AA20" s="126" t="s">
        <v>379</v>
      </c>
      <c r="AB20" s="74">
        <f ca="1">AB19*AB13</f>
        <v>0</v>
      </c>
      <c r="AC20" s="71"/>
      <c r="AD20" s="76"/>
      <c r="AE20" s="71"/>
    </row>
    <row r="21" spans="3:31" ht="15" customHeight="1" x14ac:dyDescent="0.2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3"/>
      <c r="Z21" s="55"/>
      <c r="AA21" s="16" t="s">
        <v>377</v>
      </c>
      <c r="AB21" s="77">
        <f ca="1">(AB20)*AB14</f>
        <v>0</v>
      </c>
      <c r="AC21" s="56"/>
      <c r="AD21" s="78"/>
      <c r="AE21" s="56"/>
    </row>
    <row r="22" spans="3:31" ht="15" customHeight="1" x14ac:dyDescent="0.2">
      <c r="C22" s="2"/>
      <c r="D22" s="491" t="s">
        <v>2</v>
      </c>
      <c r="E22" s="491"/>
      <c r="F22" s="491"/>
      <c r="G22" s="491"/>
      <c r="H22" s="491"/>
      <c r="I22" s="2"/>
      <c r="J22" s="491" t="s">
        <v>3</v>
      </c>
      <c r="K22" s="491"/>
      <c r="L22" s="491"/>
      <c r="M22" s="491"/>
      <c r="N22" s="14"/>
      <c r="O22" s="14"/>
      <c r="Z22" s="55"/>
      <c r="AA22" s="496" t="s">
        <v>41</v>
      </c>
      <c r="AB22" s="67"/>
      <c r="AC22" s="56"/>
      <c r="AD22" s="54"/>
      <c r="AE22" s="54"/>
    </row>
    <row r="23" spans="3:31" ht="15" customHeight="1" x14ac:dyDescent="0.25">
      <c r="C23" s="19"/>
      <c r="D23" s="20">
        <v>1</v>
      </c>
      <c r="E23" s="543" t="s">
        <v>2319</v>
      </c>
      <c r="F23" s="543"/>
      <c r="G23" s="543"/>
      <c r="H23" s="35" t="str">
        <f>IFERROR(VLOOKUP(D23,#REF!,3,FALSE),"")</f>
        <v/>
      </c>
      <c r="I23" s="19"/>
      <c r="J23" s="19">
        <v>1</v>
      </c>
      <c r="K23" s="486" t="str">
        <f>IFERROR(VLOOKUP(J23,#REF!,2,FALSE),"")</f>
        <v/>
      </c>
      <c r="L23" s="486"/>
      <c r="M23" s="32" t="str">
        <f>IFERROR(VLOOKUP(J23,#REF!,3,FALSE),"")</f>
        <v/>
      </c>
      <c r="N23" s="27"/>
      <c r="O23" s="27"/>
      <c r="Z23" s="55"/>
      <c r="AA23" s="497"/>
      <c r="AB23" s="69">
        <f ca="1">AB21+AB17</f>
        <v>0</v>
      </c>
      <c r="AC23" s="56"/>
      <c r="AD23" s="54"/>
      <c r="AE23" s="54"/>
    </row>
    <row r="24" spans="3:31" ht="15" customHeight="1" x14ac:dyDescent="0.25">
      <c r="C24" s="19"/>
      <c r="D24" s="21">
        <v>2</v>
      </c>
      <c r="E24" s="482" t="str">
        <f>IFERROR(VLOOKUP(D24,#REF!,2,FALSE),"")</f>
        <v/>
      </c>
      <c r="F24" s="482"/>
      <c r="G24" s="482"/>
      <c r="H24" s="33" t="str">
        <f>IFERROR(VLOOKUP(D24,#REF!,3,FALSE),"")</f>
        <v/>
      </c>
      <c r="I24" s="19"/>
      <c r="J24" s="22">
        <v>2</v>
      </c>
      <c r="K24" s="481" t="str">
        <f>IFERROR(VLOOKUP(J24,#REF!,2,FALSE),"")</f>
        <v/>
      </c>
      <c r="L24" s="481"/>
      <c r="M24" s="33" t="str">
        <f>IFERROR(VLOOKUP(J24,#REF!,3,FALSE),"")</f>
        <v/>
      </c>
      <c r="N24" s="27"/>
      <c r="O24" s="27"/>
      <c r="Z24" s="79"/>
      <c r="AA24" s="80"/>
      <c r="AB24" s="80"/>
      <c r="AC24" s="80"/>
      <c r="AD24" s="487" t="s">
        <v>43</v>
      </c>
      <c r="AE24" s="488"/>
    </row>
    <row r="25" spans="3:31" ht="15" customHeight="1" x14ac:dyDescent="0.25">
      <c r="C25" s="19"/>
      <c r="D25" s="20">
        <v>3</v>
      </c>
      <c r="E25" s="484" t="str">
        <f>IFERROR(VLOOKUP(D25,#REF!,2,FALSE),"")</f>
        <v/>
      </c>
      <c r="F25" s="484"/>
      <c r="G25" s="484"/>
      <c r="H25" s="32" t="str">
        <f>IFERROR(VLOOKUP(D25,#REF!,3,FALSE),"")</f>
        <v/>
      </c>
      <c r="I25" s="19"/>
      <c r="J25" s="24">
        <v>3</v>
      </c>
      <c r="K25" s="486" t="str">
        <f>IFERROR(VLOOKUP(J25,#REF!,2,FALSE),"")</f>
        <v/>
      </c>
      <c r="L25" s="486"/>
      <c r="M25" s="32" t="str">
        <f>IFERROR(VLOOKUP(J25,#REF!,3,FALSE),"")</f>
        <v/>
      </c>
      <c r="N25" s="7"/>
      <c r="O25" s="7"/>
      <c r="Z25" s="79"/>
      <c r="AA25" s="15" t="s">
        <v>375</v>
      </c>
      <c r="AB25" s="75">
        <f ca="1">DATE(YEAR(TODAY()),MONTH(AB8),DAY(AB8))</f>
        <v>44649</v>
      </c>
      <c r="AC25" s="80"/>
      <c r="AD25" s="18"/>
      <c r="AE25" s="69" t="e">
        <f ca="1">AB23+AE17</f>
        <v>#REF!</v>
      </c>
    </row>
    <row r="26" spans="3:31" ht="15" customHeight="1" x14ac:dyDescent="0.2">
      <c r="C26" s="19"/>
      <c r="D26" s="21">
        <v>4</v>
      </c>
      <c r="E26" s="482" t="str">
        <f>IFERROR(VLOOKUP(D26,#REF!,2,FALSE),"")</f>
        <v/>
      </c>
      <c r="F26" s="482"/>
      <c r="G26" s="482"/>
      <c r="H26" s="33" t="str">
        <f>IFERROR(VLOOKUP(D26,#REF!,3,FALSE),"")</f>
        <v/>
      </c>
      <c r="I26" s="19"/>
      <c r="J26" s="22">
        <v>4</v>
      </c>
      <c r="K26" s="481" t="str">
        <f>IFERROR(VLOOKUP(J26,#REF!,2,FALSE),"")</f>
        <v/>
      </c>
      <c r="L26" s="481"/>
      <c r="M26" s="33" t="str">
        <f>IFERROR(VLOOKUP(J26,#REF!,3,FALSE),"")</f>
        <v/>
      </c>
      <c r="N26" s="7"/>
      <c r="O26" s="7"/>
      <c r="Z26" s="81"/>
      <c r="AA26" s="489"/>
      <c r="AB26" s="489"/>
      <c r="AC26" s="82"/>
      <c r="AD26" s="83"/>
      <c r="AE26" s="82"/>
    </row>
    <row r="27" spans="3:31" ht="15" customHeight="1" x14ac:dyDescent="0.2">
      <c r="C27" s="19"/>
      <c r="D27" s="20">
        <v>5</v>
      </c>
      <c r="E27" s="483" t="str">
        <f>IFERROR(VLOOKUP(D27,#REF!,2,FALSE),"")</f>
        <v/>
      </c>
      <c r="F27" s="483"/>
      <c r="G27" s="483"/>
      <c r="H27" s="32" t="str">
        <f>IFERROR(VLOOKUP(D27,#REF!,3,FALSE),"")</f>
        <v/>
      </c>
      <c r="I27" s="19"/>
      <c r="J27" s="23">
        <v>5</v>
      </c>
      <c r="K27" s="485" t="str">
        <f>IFERROR(VLOOKUP(J27,#REF!,2,FALSE),"")</f>
        <v/>
      </c>
      <c r="L27" s="485"/>
      <c r="M27" s="34" t="str">
        <f>IFERROR(VLOOKUP(J27,#REF!,3,FALSE),"")</f>
        <v/>
      </c>
      <c r="N27" s="7"/>
      <c r="O27" s="7"/>
    </row>
    <row r="28" spans="3:31" ht="15" customHeight="1" x14ac:dyDescent="0.2">
      <c r="C28" s="19"/>
      <c r="D28" s="21">
        <v>6</v>
      </c>
      <c r="E28" s="482" t="str">
        <f>IFERROR(VLOOKUP(D28,#REF!,2,FALSE),"")</f>
        <v/>
      </c>
      <c r="F28" s="482"/>
      <c r="G28" s="482"/>
      <c r="H28" s="33" t="str">
        <f>IFERROR(VLOOKUP(D28,#REF!,3,FALSE),"")</f>
        <v/>
      </c>
      <c r="I28" s="19"/>
      <c r="J28" s="22">
        <v>6</v>
      </c>
      <c r="K28" s="481" t="str">
        <f>IFERROR(VLOOKUP(J28,#REF!,2,FALSE),"")</f>
        <v/>
      </c>
      <c r="L28" s="481"/>
      <c r="M28" s="33" t="str">
        <f>IFERROR(VLOOKUP(J28,#REF!,3,FALSE),"")</f>
        <v/>
      </c>
      <c r="N28" s="7"/>
      <c r="O28" s="7"/>
    </row>
    <row r="29" spans="3:31" ht="15" customHeight="1" x14ac:dyDescent="0.2">
      <c r="C29" s="19"/>
      <c r="D29" s="20">
        <v>7</v>
      </c>
      <c r="E29" s="483" t="str">
        <f>IFERROR(VLOOKUP(D29,#REF!,2,FALSE),"")</f>
        <v/>
      </c>
      <c r="F29" s="483"/>
      <c r="G29" s="483"/>
      <c r="H29" s="32" t="str">
        <f>IFERROR(VLOOKUP(D29,#REF!,3,FALSE),"")</f>
        <v/>
      </c>
      <c r="I29" s="19"/>
      <c r="J29" s="23">
        <v>7</v>
      </c>
      <c r="K29" s="485" t="str">
        <f>IFERROR(VLOOKUP(J29,#REF!,2,FALSE),"")</f>
        <v/>
      </c>
      <c r="L29" s="485"/>
      <c r="M29" s="34" t="str">
        <f>IFERROR(VLOOKUP(J29,#REF!,3,FALSE),"")</f>
        <v/>
      </c>
      <c r="N29" s="7"/>
      <c r="O29" s="7"/>
    </row>
    <row r="30" spans="3:31" ht="15" customHeight="1" x14ac:dyDescent="0.2">
      <c r="C30" s="19"/>
      <c r="D30" s="21">
        <v>8</v>
      </c>
      <c r="E30" s="482" t="str">
        <f>IFERROR(VLOOKUP(D30,#REF!,2,FALSE),"")</f>
        <v/>
      </c>
      <c r="F30" s="482"/>
      <c r="G30" s="482"/>
      <c r="H30" s="33" t="str">
        <f>IFERROR(VLOOKUP(D30,#REF!,3,FALSE),"")</f>
        <v/>
      </c>
      <c r="I30" s="19"/>
      <c r="J30" s="22">
        <v>8</v>
      </c>
      <c r="K30" s="481" t="str">
        <f>IFERROR(VLOOKUP(J30,#REF!,2,FALSE),"")</f>
        <v/>
      </c>
      <c r="L30" s="481"/>
      <c r="M30" s="33" t="str">
        <f>IFERROR(VLOOKUP(J30,#REF!,3,FALSE),"")</f>
        <v/>
      </c>
      <c r="N30" s="11"/>
      <c r="O30" s="11"/>
    </row>
    <row r="31" spans="3:31" ht="15" customHeight="1" x14ac:dyDescent="0.2">
      <c r="C31" s="2"/>
      <c r="D31" s="20">
        <v>9</v>
      </c>
      <c r="E31" s="483"/>
      <c r="F31" s="483"/>
      <c r="G31" s="483"/>
      <c r="H31" s="32"/>
      <c r="I31" s="2"/>
      <c r="J31" s="19">
        <v>9</v>
      </c>
      <c r="K31" s="486" t="str">
        <f>IFERROR(VLOOKUP(J31,#REF!,2,FALSE),"")</f>
        <v/>
      </c>
      <c r="L31" s="486"/>
      <c r="M31" s="32" t="str">
        <f>IFERROR(VLOOKUP(J31,#REF!,3,FALSE),"")</f>
        <v/>
      </c>
      <c r="N31" s="11"/>
      <c r="O31" s="11"/>
    </row>
    <row r="32" spans="3:31" ht="15" customHeight="1" x14ac:dyDescent="0.2">
      <c r="C32" s="2"/>
      <c r="D32" s="20"/>
      <c r="E32" s="13"/>
      <c r="F32" s="13"/>
      <c r="G32" s="13"/>
      <c r="H32" s="32"/>
      <c r="I32" s="2"/>
      <c r="J32" s="19"/>
      <c r="K32" s="5"/>
      <c r="L32" s="5"/>
      <c r="M32" s="32"/>
      <c r="N32" s="11"/>
      <c r="O32" s="11"/>
    </row>
    <row r="33" spans="3:15" ht="15" customHeight="1" x14ac:dyDescent="0.2">
      <c r="C33" s="2"/>
      <c r="D33" s="20"/>
      <c r="E33" s="13"/>
      <c r="F33" s="13"/>
      <c r="G33" s="13"/>
      <c r="H33" s="32"/>
      <c r="I33" s="2"/>
      <c r="J33" s="19"/>
      <c r="K33" s="5"/>
      <c r="L33" s="5"/>
      <c r="M33" s="32"/>
      <c r="N33" s="11"/>
      <c r="O33" s="11"/>
    </row>
    <row r="34" spans="3:15" ht="15" customHeight="1" x14ac:dyDescent="0.2">
      <c r="C34" s="2"/>
      <c r="D34" s="20"/>
      <c r="E34" s="13"/>
      <c r="F34" s="13"/>
      <c r="G34" s="13"/>
      <c r="H34" s="32"/>
      <c r="I34" s="2"/>
      <c r="J34" s="19"/>
      <c r="K34" s="5"/>
      <c r="L34" s="5"/>
      <c r="M34" s="32"/>
      <c r="N34" s="11"/>
      <c r="O34" s="11"/>
    </row>
    <row r="35" spans="3:15" ht="15" customHeight="1" x14ac:dyDescent="0.2">
      <c r="C35" s="2"/>
      <c r="D35" s="2"/>
      <c r="E35" s="483"/>
      <c r="F35" s="483"/>
      <c r="G35" s="483"/>
      <c r="H35" s="10"/>
      <c r="I35" s="2"/>
      <c r="J35" s="2"/>
      <c r="K35" s="2"/>
      <c r="L35" s="2"/>
      <c r="M35" s="10"/>
      <c r="N35" s="3"/>
      <c r="O35" s="3"/>
    </row>
    <row r="36" spans="3:15" ht="15.75" customHeight="1" x14ac:dyDescent="0.2">
      <c r="C36" s="2"/>
      <c r="D36" s="491" t="s">
        <v>13</v>
      </c>
      <c r="E36" s="491"/>
      <c r="F36" s="491"/>
      <c r="G36" s="491"/>
      <c r="H36" s="491"/>
      <c r="I36" s="2"/>
      <c r="J36" s="491" t="s">
        <v>12</v>
      </c>
      <c r="K36" s="491"/>
      <c r="L36" s="491"/>
      <c r="M36" s="491"/>
      <c r="N36" s="14"/>
      <c r="O36" s="14"/>
    </row>
    <row r="37" spans="3:15" ht="15" customHeight="1" x14ac:dyDescent="0.2">
      <c r="C37" s="2"/>
      <c r="D37" s="501">
        <f>SUM(G23:H31)</f>
        <v>0</v>
      </c>
      <c r="E37" s="501"/>
      <c r="F37" s="501"/>
      <c r="G37" s="501"/>
      <c r="H37" s="501"/>
      <c r="I37" s="2"/>
      <c r="J37" s="501">
        <f>SUM(M23:M31)</f>
        <v>0</v>
      </c>
      <c r="K37" s="501"/>
      <c r="L37" s="501"/>
      <c r="M37" s="501"/>
      <c r="N37" s="28"/>
      <c r="O37" s="28"/>
    </row>
    <row r="38" spans="3:15" ht="15.75" customHeight="1" x14ac:dyDescent="0.2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3"/>
    </row>
    <row r="39" spans="3:15" ht="15" customHeight="1" x14ac:dyDescent="0.2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3"/>
    </row>
    <row r="40" spans="3:15" ht="15" customHeight="1" x14ac:dyDescent="0.2">
      <c r="C40" s="2"/>
      <c r="D40" s="491" t="s">
        <v>11</v>
      </c>
      <c r="E40" s="491"/>
      <c r="F40" s="491"/>
      <c r="G40" s="491"/>
      <c r="H40" s="491"/>
      <c r="I40" s="8"/>
      <c r="J40" s="8"/>
      <c r="K40" s="8"/>
      <c r="L40" s="8"/>
      <c r="M40" s="8"/>
      <c r="N40" s="8"/>
      <c r="O40" s="39"/>
    </row>
    <row r="41" spans="3:15" ht="15" customHeight="1" x14ac:dyDescent="0.2">
      <c r="C41" s="2"/>
      <c r="D41" s="501">
        <f>D37-J37</f>
        <v>0</v>
      </c>
      <c r="E41" s="501"/>
      <c r="F41" s="501"/>
      <c r="G41" s="501"/>
      <c r="H41" s="501"/>
      <c r="I41" s="5"/>
      <c r="J41" s="5"/>
      <c r="K41" s="5"/>
      <c r="L41" s="5"/>
      <c r="M41" s="5"/>
      <c r="N41" s="8"/>
      <c r="O41" s="39"/>
    </row>
    <row r="42" spans="3:15" ht="15" customHeight="1" x14ac:dyDescent="0.2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3"/>
    </row>
    <row r="43" spans="3:15" ht="15" customHeight="1" x14ac:dyDescent="0.2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3"/>
    </row>
    <row r="44" spans="3:15" ht="15" customHeight="1" x14ac:dyDescent="0.2">
      <c r="C44" s="2"/>
      <c r="D44" s="491" t="s">
        <v>10</v>
      </c>
      <c r="E44" s="491"/>
      <c r="F44" s="491"/>
      <c r="G44" s="491"/>
      <c r="H44" s="491"/>
      <c r="I44" s="2"/>
      <c r="J44" s="491" t="s">
        <v>45</v>
      </c>
      <c r="K44" s="491"/>
      <c r="L44" s="491"/>
      <c r="M44" s="491"/>
      <c r="N44" s="14"/>
      <c r="O44" s="14"/>
    </row>
    <row r="45" spans="3:15" ht="15" customHeight="1" x14ac:dyDescent="0.2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3"/>
    </row>
    <row r="46" spans="3:15" ht="15" customHeight="1" x14ac:dyDescent="0.2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3"/>
    </row>
    <row r="47" spans="3:15" ht="15" customHeight="1" x14ac:dyDescent="0.2">
      <c r="C47" s="2"/>
      <c r="D47" s="2"/>
      <c r="E47" s="2"/>
      <c r="F47" s="2"/>
      <c r="G47" s="483" t="s">
        <v>9</v>
      </c>
      <c r="H47" s="483"/>
      <c r="I47" s="483"/>
      <c r="J47" s="483"/>
      <c r="K47" s="500" t="s">
        <v>8</v>
      </c>
      <c r="L47" s="500"/>
      <c r="M47" s="500"/>
      <c r="N47" s="29"/>
      <c r="O47" s="29"/>
    </row>
    <row r="48" spans="3:15" ht="15" customHeight="1" x14ac:dyDescent="0.2">
      <c r="C48" s="2"/>
      <c r="D48" s="2"/>
      <c r="E48" s="2"/>
      <c r="F48" s="2"/>
      <c r="G48" s="483" t="s">
        <v>7</v>
      </c>
      <c r="H48" s="483"/>
      <c r="I48" s="483"/>
      <c r="J48" s="483"/>
      <c r="K48" s="483" t="s">
        <v>6</v>
      </c>
      <c r="L48" s="483"/>
      <c r="M48" s="483"/>
      <c r="N48" s="14"/>
      <c r="O48" s="14"/>
    </row>
    <row r="49" spans="3:15" ht="15" customHeight="1" x14ac:dyDescent="0.2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3"/>
    </row>
    <row r="50" spans="3:15" ht="17.25" customHeight="1" x14ac:dyDescent="0.2">
      <c r="C50" s="2"/>
      <c r="D50" s="2"/>
      <c r="E50" s="2"/>
      <c r="F50" s="2"/>
      <c r="G50" s="499" t="s">
        <v>49</v>
      </c>
      <c r="H50" s="499"/>
      <c r="I50" s="499"/>
      <c r="J50" s="499"/>
      <c r="K50" s="499" t="s">
        <v>5</v>
      </c>
      <c r="L50" s="499"/>
      <c r="M50" s="499"/>
      <c r="N50" s="30"/>
      <c r="O50" s="30"/>
    </row>
    <row r="51" spans="3:15" ht="11.25" customHeight="1" x14ac:dyDescent="0.2">
      <c r="C51" s="2"/>
      <c r="D51" s="2"/>
      <c r="E51" s="2"/>
      <c r="F51" s="2"/>
      <c r="G51" s="499"/>
      <c r="H51" s="499"/>
      <c r="I51" s="499"/>
      <c r="J51" s="499"/>
      <c r="K51" s="499"/>
      <c r="L51" s="499"/>
      <c r="M51" s="499"/>
      <c r="N51" s="30"/>
      <c r="O51" s="30"/>
    </row>
    <row r="52" spans="3:15" ht="15" customHeight="1" x14ac:dyDescent="0.2">
      <c r="C52" s="2"/>
      <c r="D52" s="2"/>
      <c r="E52" s="2"/>
      <c r="F52" s="2"/>
      <c r="G52" s="499"/>
      <c r="H52" s="499"/>
      <c r="I52" s="499"/>
      <c r="J52" s="499"/>
      <c r="K52" s="499"/>
      <c r="L52" s="499"/>
      <c r="M52" s="499"/>
      <c r="N52" s="30"/>
      <c r="O52" s="30"/>
    </row>
    <row r="53" spans="3:15" ht="15" customHeight="1" x14ac:dyDescent="0.2">
      <c r="C53" s="2"/>
      <c r="D53" s="2"/>
      <c r="E53" s="2"/>
      <c r="F53" s="2"/>
      <c r="G53" s="499"/>
      <c r="H53" s="499"/>
      <c r="I53" s="499"/>
      <c r="J53" s="499"/>
      <c r="K53" s="499"/>
      <c r="L53" s="499"/>
      <c r="M53" s="499"/>
      <c r="N53" s="30"/>
      <c r="O53" s="30"/>
    </row>
    <row r="54" spans="3:15" ht="15" customHeight="1" x14ac:dyDescent="0.2">
      <c r="C54" s="2"/>
      <c r="D54" s="2"/>
      <c r="E54" s="2"/>
      <c r="F54" s="2"/>
      <c r="G54" s="6"/>
      <c r="H54" s="6"/>
      <c r="I54" s="6"/>
      <c r="J54" s="6"/>
      <c r="K54" s="2"/>
      <c r="L54" s="6"/>
      <c r="M54" s="6"/>
      <c r="N54" s="31"/>
      <c r="O54" s="31"/>
    </row>
    <row r="55" spans="3:15" ht="15.75" customHeight="1" x14ac:dyDescent="0.2">
      <c r="C55" s="2"/>
      <c r="D55" s="2"/>
      <c r="E55" s="2"/>
      <c r="F55" s="2"/>
      <c r="G55" s="6"/>
      <c r="H55" s="6"/>
      <c r="I55" s="6"/>
      <c r="J55" s="6"/>
      <c r="K55" s="2"/>
      <c r="L55" s="6"/>
      <c r="M55" s="6"/>
      <c r="N55" s="31"/>
      <c r="O55" s="31"/>
    </row>
    <row r="56" spans="3:15" ht="15" customHeight="1" x14ac:dyDescent="0.2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3"/>
      <c r="O56" s="3"/>
    </row>
    <row r="57" spans="3:15" x14ac:dyDescent="0.2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3"/>
      <c r="O57" s="3"/>
    </row>
    <row r="58" spans="3:15" x14ac:dyDescent="0.2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3"/>
      <c r="O58" s="3"/>
    </row>
  </sheetData>
  <mergeCells count="60">
    <mergeCell ref="G15:H15"/>
    <mergeCell ref="D15:F15"/>
    <mergeCell ref="K23:L23"/>
    <mergeCell ref="L17:M17"/>
    <mergeCell ref="D22:H22"/>
    <mergeCell ref="J22:M22"/>
    <mergeCell ref="I17:K17"/>
    <mergeCell ref="AA6:AB6"/>
    <mergeCell ref="AD6:AE6"/>
    <mergeCell ref="AA9:AA10"/>
    <mergeCell ref="AD9:AD10"/>
    <mergeCell ref="F9:J9"/>
    <mergeCell ref="K10:L10"/>
    <mergeCell ref="F5:M6"/>
    <mergeCell ref="F7:M7"/>
    <mergeCell ref="F8:M8"/>
    <mergeCell ref="D41:H41"/>
    <mergeCell ref="D44:H44"/>
    <mergeCell ref="J44:M44"/>
    <mergeCell ref="K31:L31"/>
    <mergeCell ref="D37:H37"/>
    <mergeCell ref="D36:H36"/>
    <mergeCell ref="J36:M36"/>
    <mergeCell ref="D40:H40"/>
    <mergeCell ref="J37:M37"/>
    <mergeCell ref="E35:G35"/>
    <mergeCell ref="E31:G31"/>
    <mergeCell ref="K50:M53"/>
    <mergeCell ref="G48:J48"/>
    <mergeCell ref="K48:M48"/>
    <mergeCell ref="G50:J53"/>
    <mergeCell ref="G47:J47"/>
    <mergeCell ref="K47:M47"/>
    <mergeCell ref="AD24:AE24"/>
    <mergeCell ref="AA26:AB26"/>
    <mergeCell ref="K24:L24"/>
    <mergeCell ref="F10:J10"/>
    <mergeCell ref="L15:M15"/>
    <mergeCell ref="E26:G26"/>
    <mergeCell ref="K26:L26"/>
    <mergeCell ref="AD16:AD17"/>
    <mergeCell ref="D16:H18"/>
    <mergeCell ref="I16:K16"/>
    <mergeCell ref="I18:K18"/>
    <mergeCell ref="E23:G23"/>
    <mergeCell ref="AA22:AA23"/>
    <mergeCell ref="L18:M18"/>
    <mergeCell ref="L16:M16"/>
    <mergeCell ref="I15:K15"/>
    <mergeCell ref="K30:L30"/>
    <mergeCell ref="E24:G24"/>
    <mergeCell ref="E28:G28"/>
    <mergeCell ref="K28:L28"/>
    <mergeCell ref="E27:G27"/>
    <mergeCell ref="E25:G25"/>
    <mergeCell ref="K29:L29"/>
    <mergeCell ref="K25:L25"/>
    <mergeCell ref="K27:L27"/>
    <mergeCell ref="E30:G30"/>
    <mergeCell ref="E29:G29"/>
  </mergeCells>
  <conditionalFormatting sqref="D23:E27 H23:H27 H29 D29:E29">
    <cfRule type="cellIs" dxfId="360" priority="5" operator="equal">
      <formula>#N/A</formula>
    </cfRule>
  </conditionalFormatting>
  <conditionalFormatting sqref="D28:E28 H28">
    <cfRule type="cellIs" dxfId="359" priority="4" operator="equal">
      <formula>#N/A</formula>
    </cfRule>
  </conditionalFormatting>
  <conditionalFormatting sqref="D30:E30 H30">
    <cfRule type="cellIs" dxfId="358" priority="3" operator="equal">
      <formula>#N/A</formula>
    </cfRule>
  </conditionalFormatting>
  <pageMargins left="0.25" right="0.25" top="0.75" bottom="0.75" header="0.3" footer="0.3"/>
  <pageSetup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0DCBF7A-B1A9-43AE-BF20-A399510BA467}">
          <x14:formula1>
            <xm:f>TABLAS!$V$6:$V$29</xm:f>
          </x14:formula1>
          <xm:sqref>K9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82D63-49F4-47E6-8C6A-7F1C013128DA}">
  <dimension ref="B3:D9"/>
  <sheetViews>
    <sheetView workbookViewId="0">
      <selection activeCell="B31" sqref="B31"/>
    </sheetView>
  </sheetViews>
  <sheetFormatPr baseColWidth="10" defaultRowHeight="15" x14ac:dyDescent="0.25"/>
  <cols>
    <col min="1" max="1" width="11.42578125" style="41"/>
    <col min="2" max="2" width="57.140625" style="41" customWidth="1"/>
    <col min="3" max="3" width="11.42578125" style="41"/>
    <col min="4" max="4" width="57.140625" style="41" customWidth="1"/>
    <col min="5" max="16384" width="11.42578125" style="41"/>
  </cols>
  <sheetData>
    <row r="3" spans="2:4" s="232" customFormat="1" ht="15.75" x14ac:dyDescent="0.25">
      <c r="B3" s="232" t="s">
        <v>2252</v>
      </c>
      <c r="D3" s="232" t="s">
        <v>2252</v>
      </c>
    </row>
    <row r="5" spans="2:4" x14ac:dyDescent="0.25">
      <c r="B5" s="231" t="s">
        <v>2250</v>
      </c>
      <c r="D5" s="41" t="s">
        <v>2254</v>
      </c>
    </row>
    <row r="7" spans="2:4" x14ac:dyDescent="0.25">
      <c r="B7" s="231" t="s">
        <v>2251</v>
      </c>
    </row>
    <row r="9" spans="2:4" x14ac:dyDescent="0.25">
      <c r="B9" s="41" t="s">
        <v>2253</v>
      </c>
    </row>
  </sheetData>
  <hyperlinks>
    <hyperlink ref="B7" r:id="rId1" xr:uid="{38366783-EE63-4686-9F56-A3B232A983AE}"/>
    <hyperlink ref="B5" r:id="rId2" xr:uid="{F1B68148-9299-4F81-BA17-879C8844DAA7}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71BD-C674-4F1D-9DC9-870274CC0082}">
  <sheetPr codeName="Hoja8">
    <tabColor theme="1"/>
    <pageSetUpPr fitToPage="1"/>
  </sheetPr>
  <dimension ref="B1:AQ1899"/>
  <sheetViews>
    <sheetView workbookViewId="0">
      <selection activeCell="E104" sqref="E104"/>
    </sheetView>
  </sheetViews>
  <sheetFormatPr baseColWidth="10" defaultColWidth="11.42578125" defaultRowHeight="15" x14ac:dyDescent="0.25"/>
  <cols>
    <col min="1" max="1" width="3.140625" style="139" customWidth="1"/>
    <col min="2" max="2" width="14.28515625" style="139" customWidth="1"/>
    <col min="3" max="3" width="14.28515625" style="140" customWidth="1"/>
    <col min="4" max="4" width="14.28515625" style="142" customWidth="1"/>
    <col min="5" max="11" width="14.28515625" style="139" customWidth="1"/>
    <col min="12" max="12" width="14.28515625" style="143" customWidth="1"/>
    <col min="13" max="13" width="14.28515625" style="139" customWidth="1"/>
    <col min="14" max="14" width="14.28515625" style="143" customWidth="1"/>
    <col min="15" max="15" width="14.28515625" style="139" customWidth="1"/>
    <col min="16" max="16" width="14.28515625" style="143" customWidth="1"/>
    <col min="17" max="29" width="14.28515625" style="139" customWidth="1"/>
    <col min="30" max="226" width="14.140625" style="139" customWidth="1"/>
    <col min="227" max="16384" width="11.42578125" style="139"/>
  </cols>
  <sheetData>
    <row r="1" spans="2:23" x14ac:dyDescent="0.25">
      <c r="B1" s="215" t="s">
        <v>2243</v>
      </c>
    </row>
    <row r="2" spans="2:23" hidden="1" x14ac:dyDescent="0.25">
      <c r="C2" s="196"/>
      <c r="D2" s="196"/>
      <c r="E2" s="174"/>
      <c r="H2" s="196"/>
      <c r="I2" s="196" t="s">
        <v>383</v>
      </c>
      <c r="J2" s="196" t="s">
        <v>289</v>
      </c>
      <c r="K2" s="196" t="s">
        <v>729</v>
      </c>
      <c r="L2" s="196" t="s">
        <v>22</v>
      </c>
      <c r="M2" s="196" t="s">
        <v>728</v>
      </c>
      <c r="N2" s="196" t="s">
        <v>724</v>
      </c>
      <c r="O2" s="196" t="s">
        <v>310</v>
      </c>
      <c r="P2" s="196"/>
      <c r="Q2" s="196" t="s">
        <v>859</v>
      </c>
      <c r="R2" s="196"/>
      <c r="S2" s="200" t="s">
        <v>393</v>
      </c>
      <c r="T2" s="200" t="s">
        <v>64</v>
      </c>
      <c r="V2" s="524" t="s">
        <v>2245</v>
      </c>
      <c r="W2" s="525"/>
    </row>
    <row r="3" spans="2:23" hidden="1" x14ac:dyDescent="0.25">
      <c r="B3" s="201" t="s">
        <v>723</v>
      </c>
      <c r="C3" s="196"/>
      <c r="D3" s="196"/>
      <c r="E3" s="202"/>
      <c r="H3" s="196"/>
      <c r="I3" s="201" t="s">
        <v>723</v>
      </c>
      <c r="J3" s="201" t="s">
        <v>723</v>
      </c>
      <c r="K3" s="201" t="s">
        <v>723</v>
      </c>
      <c r="L3" s="201" t="s">
        <v>723</v>
      </c>
      <c r="M3" s="201" t="s">
        <v>723</v>
      </c>
      <c r="N3" s="201" t="s">
        <v>723</v>
      </c>
      <c r="O3" s="201" t="s">
        <v>723</v>
      </c>
      <c r="P3" s="201"/>
      <c r="Q3" s="201" t="s">
        <v>723</v>
      </c>
      <c r="R3" s="196"/>
      <c r="S3" s="200"/>
      <c r="T3" s="200"/>
      <c r="V3" s="514">
        <f ca="1">TODAY()</f>
        <v>44760</v>
      </c>
      <c r="W3" s="515"/>
    </row>
    <row r="4" spans="2:23" hidden="1" x14ac:dyDescent="0.25">
      <c r="B4" s="198" t="s">
        <v>734</v>
      </c>
      <c r="C4" s="139" t="s">
        <v>159</v>
      </c>
      <c r="D4" s="139" t="s">
        <v>797</v>
      </c>
      <c r="E4" s="202" t="s">
        <v>1575</v>
      </c>
      <c r="F4" s="139" t="s">
        <v>1600</v>
      </c>
      <c r="G4" s="199">
        <v>5.4355000000000002E-3</v>
      </c>
      <c r="I4" s="139" t="s">
        <v>809</v>
      </c>
      <c r="J4" s="139" t="s">
        <v>151</v>
      </c>
      <c r="K4" s="139" t="s">
        <v>773</v>
      </c>
      <c r="L4" s="139" t="s">
        <v>778</v>
      </c>
      <c r="M4" s="203" t="s">
        <v>864</v>
      </c>
      <c r="N4" s="139" t="s">
        <v>782</v>
      </c>
      <c r="O4" s="139" t="s">
        <v>311</v>
      </c>
      <c r="P4" s="139"/>
      <c r="Q4" s="139" t="s">
        <v>811</v>
      </c>
      <c r="S4" s="142">
        <v>0</v>
      </c>
      <c r="T4" s="142">
        <v>6</v>
      </c>
      <c r="V4" s="216"/>
      <c r="W4" s="217"/>
    </row>
    <row r="5" spans="2:23" ht="15.75" hidden="1" thickBot="1" x14ac:dyDescent="0.3">
      <c r="B5" s="198" t="s">
        <v>735</v>
      </c>
      <c r="C5" s="139" t="s">
        <v>159</v>
      </c>
      <c r="D5" s="139" t="s">
        <v>797</v>
      </c>
      <c r="E5" s="174" t="s">
        <v>1576</v>
      </c>
      <c r="F5" s="139" t="s">
        <v>1601</v>
      </c>
      <c r="G5" s="199">
        <v>1.130658E-2</v>
      </c>
      <c r="I5" s="139" t="s">
        <v>796</v>
      </c>
      <c r="J5" s="139" t="s">
        <v>152</v>
      </c>
      <c r="K5" s="139" t="s">
        <v>774</v>
      </c>
      <c r="L5" s="139" t="s">
        <v>779</v>
      </c>
      <c r="M5" s="203" t="s">
        <v>730</v>
      </c>
      <c r="N5" s="139" t="s">
        <v>783</v>
      </c>
      <c r="O5" s="139" t="s">
        <v>312</v>
      </c>
      <c r="P5" s="139"/>
      <c r="Q5" s="139" t="s">
        <v>301</v>
      </c>
      <c r="S5" s="142">
        <v>1</v>
      </c>
      <c r="T5" s="142">
        <v>10</v>
      </c>
      <c r="V5" s="220" t="s">
        <v>2246</v>
      </c>
      <c r="W5" s="220" t="s">
        <v>2247</v>
      </c>
    </row>
    <row r="6" spans="2:23" ht="15.75" hidden="1" thickBot="1" x14ac:dyDescent="0.3">
      <c r="B6" s="198" t="s">
        <v>736</v>
      </c>
      <c r="C6" s="139" t="s">
        <v>159</v>
      </c>
      <c r="D6" s="139" t="s">
        <v>797</v>
      </c>
      <c r="E6" s="202" t="s">
        <v>260</v>
      </c>
      <c r="F6" s="139" t="s">
        <v>1601</v>
      </c>
      <c r="G6" s="199">
        <v>1.130658E-2</v>
      </c>
      <c r="I6" s="139" t="s">
        <v>794</v>
      </c>
      <c r="J6" s="139" t="s">
        <v>153</v>
      </c>
      <c r="K6" s="139" t="s">
        <v>775</v>
      </c>
      <c r="L6" s="139" t="s">
        <v>780</v>
      </c>
      <c r="M6" s="204" t="s">
        <v>726</v>
      </c>
      <c r="N6" s="139" t="s">
        <v>267</v>
      </c>
      <c r="O6" s="139" t="s">
        <v>319</v>
      </c>
      <c r="P6" s="139"/>
      <c r="S6" s="142">
        <v>3</v>
      </c>
      <c r="T6" s="142">
        <v>14</v>
      </c>
      <c r="V6" s="308">
        <v>44562</v>
      </c>
      <c r="W6" s="310">
        <f ca="1">DATE(YEAR(TODAY()),MONTH(V6),DAY(14))</f>
        <v>44575</v>
      </c>
    </row>
    <row r="7" spans="2:23" hidden="1" x14ac:dyDescent="0.25">
      <c r="B7" s="198"/>
      <c r="C7" s="139"/>
      <c r="D7" s="139"/>
      <c r="E7" s="202"/>
      <c r="I7" s="139" t="s">
        <v>786</v>
      </c>
      <c r="J7" s="139" t="s">
        <v>394</v>
      </c>
      <c r="K7" s="139" t="s">
        <v>776</v>
      </c>
      <c r="L7" s="139" t="s">
        <v>781</v>
      </c>
      <c r="M7" s="204" t="s">
        <v>1555</v>
      </c>
      <c r="N7" s="139" t="s">
        <v>784</v>
      </c>
      <c r="O7" s="139" t="s">
        <v>314</v>
      </c>
      <c r="P7" s="139"/>
      <c r="S7" s="142">
        <v>5</v>
      </c>
      <c r="T7" s="142">
        <v>16</v>
      </c>
      <c r="V7" s="310">
        <f ca="1">DATE(YEAR(TODAY()),MONTH(W6),DAY(15))</f>
        <v>44576</v>
      </c>
      <c r="W7" s="310">
        <f ca="1">DATE(YEAR(TODAY()),MONTH(V7),DAY(31))</f>
        <v>44592</v>
      </c>
    </row>
    <row r="8" spans="2:23" hidden="1" x14ac:dyDescent="0.25">
      <c r="B8" s="198" t="s">
        <v>758</v>
      </c>
      <c r="C8" s="139" t="s">
        <v>753</v>
      </c>
      <c r="D8" s="139" t="s">
        <v>798</v>
      </c>
      <c r="E8" s="202" t="s">
        <v>69</v>
      </c>
      <c r="F8" s="139" t="s">
        <v>1600</v>
      </c>
      <c r="G8" s="199">
        <v>5.4355000000000002E-3</v>
      </c>
      <c r="I8" s="139" t="s">
        <v>791</v>
      </c>
      <c r="J8" s="139" t="s">
        <v>721</v>
      </c>
      <c r="K8" s="139" t="s">
        <v>777</v>
      </c>
      <c r="L8" s="139"/>
      <c r="M8" s="204" t="s">
        <v>727</v>
      </c>
      <c r="N8" s="139" t="s">
        <v>785</v>
      </c>
      <c r="O8" s="139" t="s">
        <v>313</v>
      </c>
      <c r="P8" s="139"/>
      <c r="S8" s="142">
        <v>10</v>
      </c>
      <c r="T8" s="142">
        <v>20</v>
      </c>
      <c r="V8" s="311">
        <f ca="1">DATE(YEAR(TODAY()), MONTH(V7)+1,DAY(1))</f>
        <v>44593</v>
      </c>
      <c r="W8" s="311">
        <f ca="1">DATE(YEAR(TODAY()),MONTH(V8),DAY(14))</f>
        <v>44606</v>
      </c>
    </row>
    <row r="9" spans="2:23" hidden="1" x14ac:dyDescent="0.25">
      <c r="B9" s="198" t="s">
        <v>767</v>
      </c>
      <c r="C9" s="139" t="s">
        <v>753</v>
      </c>
      <c r="D9" s="139" t="s">
        <v>798</v>
      </c>
      <c r="E9" s="202" t="s">
        <v>1577</v>
      </c>
      <c r="F9" s="139" t="s">
        <v>1600</v>
      </c>
      <c r="G9" s="199">
        <v>5.4355000000000002E-3</v>
      </c>
      <c r="I9" s="139" t="s">
        <v>793</v>
      </c>
      <c r="L9" s="139"/>
      <c r="N9" s="139" t="s">
        <v>268</v>
      </c>
      <c r="O9" s="139" t="s">
        <v>325</v>
      </c>
      <c r="P9" s="139"/>
      <c r="S9" s="142">
        <v>25</v>
      </c>
      <c r="T9" s="142">
        <v>26</v>
      </c>
      <c r="V9" s="311">
        <f ca="1">DATE(YEAR(TODAY()),MONTH(W8),DAY(15))</f>
        <v>44607</v>
      </c>
      <c r="W9" s="311">
        <f ca="1">DATE(YEAR(TODAY()),MONTH(V9),DAY(28))</f>
        <v>44620</v>
      </c>
    </row>
    <row r="10" spans="2:23" hidden="1" x14ac:dyDescent="0.25">
      <c r="B10" s="198" t="s">
        <v>768</v>
      </c>
      <c r="C10" s="139" t="s">
        <v>753</v>
      </c>
      <c r="D10" s="139" t="s">
        <v>798</v>
      </c>
      <c r="E10" s="202" t="s">
        <v>1578</v>
      </c>
      <c r="F10" s="139" t="s">
        <v>1600</v>
      </c>
      <c r="G10" s="199">
        <v>5.4355000000000002E-3</v>
      </c>
      <c r="I10" s="139" t="s">
        <v>788</v>
      </c>
      <c r="L10" s="139"/>
      <c r="N10" s="139"/>
      <c r="O10" s="139" t="s">
        <v>322</v>
      </c>
      <c r="P10" s="139"/>
      <c r="V10" s="310">
        <f t="shared" ref="V10" ca="1" si="0">DATE(YEAR(TODAY()), MONTH(V9)+1,DAY(1))</f>
        <v>44621</v>
      </c>
      <c r="W10" s="310">
        <f ca="1">DATE(YEAR(TODAY()),MONTH(V10),DAY(14))</f>
        <v>44634</v>
      </c>
    </row>
    <row r="11" spans="2:23" hidden="1" x14ac:dyDescent="0.25">
      <c r="B11" s="198"/>
      <c r="C11" s="139"/>
      <c r="D11" s="139"/>
      <c r="E11" s="202"/>
      <c r="I11" s="139" t="s">
        <v>787</v>
      </c>
      <c r="L11" s="139"/>
      <c r="N11" s="139"/>
      <c r="O11" s="139" t="s">
        <v>316</v>
      </c>
      <c r="P11" s="139"/>
      <c r="V11" s="310">
        <f ca="1">DATE(YEAR(TODAY()),MONTH(W10),DAY(15))</f>
        <v>44635</v>
      </c>
      <c r="W11" s="310">
        <f t="shared" ref="W11" ca="1" si="1">DATE(YEAR(TODAY()),MONTH(V11),DAY(31))</f>
        <v>44651</v>
      </c>
    </row>
    <row r="12" spans="2:23" hidden="1" x14ac:dyDescent="0.25">
      <c r="B12" s="198" t="s">
        <v>737</v>
      </c>
      <c r="C12" s="139" t="s">
        <v>160</v>
      </c>
      <c r="D12" s="139" t="s">
        <v>799</v>
      </c>
      <c r="E12" s="202" t="s">
        <v>62</v>
      </c>
      <c r="F12" s="139" t="s">
        <v>1600</v>
      </c>
      <c r="G12" s="199">
        <v>5.4355000000000002E-3</v>
      </c>
      <c r="I12" s="139" t="s">
        <v>795</v>
      </c>
      <c r="L12" s="139"/>
      <c r="N12" s="139"/>
      <c r="O12" s="139" t="s">
        <v>326</v>
      </c>
      <c r="P12" s="139"/>
      <c r="V12" s="311">
        <f t="shared" ref="V12" ca="1" si="2">DATE(YEAR(TODAY()), MONTH(V11)+1,DAY(1))</f>
        <v>44652</v>
      </c>
      <c r="W12" s="311">
        <f ca="1">DATE(YEAR(TODAY()),MONTH(V12),DAY(14))</f>
        <v>44665</v>
      </c>
    </row>
    <row r="13" spans="2:23" hidden="1" x14ac:dyDescent="0.25">
      <c r="B13" s="198" t="s">
        <v>742</v>
      </c>
      <c r="C13" s="139" t="s">
        <v>160</v>
      </c>
      <c r="D13" s="139" t="s">
        <v>799</v>
      </c>
      <c r="E13" s="202" t="s">
        <v>1579</v>
      </c>
      <c r="F13" s="139" t="s">
        <v>1600</v>
      </c>
      <c r="G13" s="199">
        <v>5.4355000000000002E-3</v>
      </c>
      <c r="I13" s="139" t="s">
        <v>792</v>
      </c>
      <c r="L13" s="139"/>
      <c r="N13" s="139"/>
      <c r="O13" s="139" t="s">
        <v>317</v>
      </c>
      <c r="P13" s="139"/>
      <c r="V13" s="311">
        <f ca="1">DATE(YEAR(TODAY()),MONTH(W12),DAY(15))</f>
        <v>44666</v>
      </c>
      <c r="W13" s="311">
        <f ca="1">DATE(YEAR(TODAY()),MONTH(V13),DAY(30))</f>
        <v>44681</v>
      </c>
    </row>
    <row r="14" spans="2:23" hidden="1" x14ac:dyDescent="0.25">
      <c r="B14" s="198"/>
      <c r="C14" s="139"/>
      <c r="D14" s="139"/>
      <c r="E14" s="202"/>
      <c r="I14" s="139" t="s">
        <v>810</v>
      </c>
      <c r="L14" s="139"/>
      <c r="N14" s="139"/>
      <c r="O14" s="139" t="s">
        <v>315</v>
      </c>
      <c r="P14" s="139"/>
      <c r="V14" s="310">
        <f t="shared" ref="V14" ca="1" si="3">DATE(YEAR(TODAY()), MONTH(V13)+1,DAY(1))</f>
        <v>44682</v>
      </c>
      <c r="W14" s="310">
        <f ca="1">DATE(YEAR(TODAY()),MONTH(V14),DAY(14))</f>
        <v>44695</v>
      </c>
    </row>
    <row r="15" spans="2:23" hidden="1" x14ac:dyDescent="0.25">
      <c r="B15" s="198" t="s">
        <v>738</v>
      </c>
      <c r="C15" s="139" t="s">
        <v>161</v>
      </c>
      <c r="D15" s="139" t="s">
        <v>800</v>
      </c>
      <c r="E15" s="202" t="s">
        <v>1580</v>
      </c>
      <c r="F15" s="139" t="s">
        <v>1600</v>
      </c>
      <c r="G15" s="199">
        <v>5.4355000000000002E-3</v>
      </c>
      <c r="I15" s="139" t="s">
        <v>790</v>
      </c>
      <c r="L15" s="139"/>
      <c r="N15" s="139"/>
      <c r="O15" s="139" t="s">
        <v>318</v>
      </c>
      <c r="P15" s="139"/>
      <c r="V15" s="310">
        <f ca="1">DATE(YEAR(TODAY()),MONTH(W14),DAY(15))</f>
        <v>44696</v>
      </c>
      <c r="W15" s="310">
        <f t="shared" ref="W15" ca="1" si="4">DATE(YEAR(TODAY()),MONTH(V15),DAY(31))</f>
        <v>44712</v>
      </c>
    </row>
    <row r="16" spans="2:23" hidden="1" x14ac:dyDescent="0.25">
      <c r="B16" s="198" t="s">
        <v>739</v>
      </c>
      <c r="C16" s="139" t="s">
        <v>161</v>
      </c>
      <c r="D16" s="139" t="s">
        <v>800</v>
      </c>
      <c r="E16" s="202" t="s">
        <v>88</v>
      </c>
      <c r="F16" s="139" t="s">
        <v>1600</v>
      </c>
      <c r="G16" s="199">
        <v>5.4355000000000002E-3</v>
      </c>
      <c r="I16" s="139" t="s">
        <v>789</v>
      </c>
      <c r="L16" s="139"/>
      <c r="N16" s="139"/>
      <c r="O16" s="139" t="s">
        <v>323</v>
      </c>
      <c r="P16" s="139"/>
      <c r="V16" s="311">
        <f t="shared" ref="V16" ca="1" si="5">DATE(YEAR(TODAY()), MONTH(V15)+1,DAY(1))</f>
        <v>44713</v>
      </c>
      <c r="W16" s="311">
        <f ca="1">DATE(YEAR(TODAY()),MONTH(V16),DAY(14))</f>
        <v>44726</v>
      </c>
    </row>
    <row r="17" spans="2:23" hidden="1" x14ac:dyDescent="0.25">
      <c r="B17" s="198"/>
      <c r="C17" s="139"/>
      <c r="D17" s="139"/>
      <c r="E17" s="202"/>
      <c r="I17" s="139" t="s">
        <v>722</v>
      </c>
      <c r="L17" s="139"/>
      <c r="N17" s="139"/>
      <c r="O17" s="139" t="s">
        <v>321</v>
      </c>
      <c r="P17" s="139"/>
      <c r="V17" s="311">
        <f ca="1">DATE(YEAR(TODAY()),MONTH(W16),DAY(15))</f>
        <v>44727</v>
      </c>
      <c r="W17" s="311">
        <f ca="1">DATE(YEAR(TODAY()),MONTH(V17),DAY(30))</f>
        <v>44742</v>
      </c>
    </row>
    <row r="18" spans="2:23" hidden="1" x14ac:dyDescent="0.25">
      <c r="B18" s="198" t="s">
        <v>740</v>
      </c>
      <c r="C18" s="139" t="s">
        <v>752</v>
      </c>
      <c r="D18" s="139" t="s">
        <v>801</v>
      </c>
      <c r="E18" s="202" t="s">
        <v>1581</v>
      </c>
      <c r="F18" s="139" t="s">
        <v>1602</v>
      </c>
      <c r="G18" s="199">
        <v>2.5984400000000001E-2</v>
      </c>
      <c r="L18" s="139"/>
      <c r="N18" s="139"/>
      <c r="O18" s="139" t="s">
        <v>320</v>
      </c>
      <c r="P18" s="139"/>
      <c r="V18" s="310">
        <f t="shared" ref="V18" ca="1" si="6">DATE(YEAR(TODAY()), MONTH(V17)+1,DAY(1))</f>
        <v>44743</v>
      </c>
      <c r="W18" s="310">
        <f ca="1">DATE(YEAR(TODAY()),MONTH(V18),DAY(14))</f>
        <v>44756</v>
      </c>
    </row>
    <row r="19" spans="2:23" hidden="1" x14ac:dyDescent="0.25">
      <c r="B19" s="198" t="s">
        <v>741</v>
      </c>
      <c r="C19" s="139" t="s">
        <v>752</v>
      </c>
      <c r="D19" s="139" t="s">
        <v>801</v>
      </c>
      <c r="E19" s="202" t="s">
        <v>1582</v>
      </c>
      <c r="F19" s="139" t="s">
        <v>1602</v>
      </c>
      <c r="G19" s="199">
        <v>2.5984400000000001E-2</v>
      </c>
      <c r="L19" s="139"/>
      <c r="N19" s="139"/>
      <c r="O19" s="139" t="s">
        <v>373</v>
      </c>
      <c r="P19" s="139"/>
      <c r="V19" s="310">
        <f ca="1">DATE(YEAR(TODAY()),MONTH(W18),DAY(15))</f>
        <v>44757</v>
      </c>
      <c r="W19" s="310">
        <f t="shared" ref="W19" ca="1" si="7">DATE(YEAR(TODAY()),MONTH(V19),DAY(31))</f>
        <v>44773</v>
      </c>
    </row>
    <row r="20" spans="2:23" hidden="1" x14ac:dyDescent="0.25">
      <c r="B20" s="198"/>
      <c r="C20" s="139"/>
      <c r="D20" s="139"/>
      <c r="E20" s="202"/>
      <c r="L20" s="139"/>
      <c r="N20" s="139"/>
      <c r="O20" s="139" t="s">
        <v>324</v>
      </c>
      <c r="P20" s="139"/>
      <c r="V20" s="311">
        <f t="shared" ref="V20" ca="1" si="8">DATE(YEAR(TODAY()), MONTH(V19)+1,DAY(1))</f>
        <v>44774</v>
      </c>
      <c r="W20" s="311">
        <f ca="1">DATE(YEAR(TODAY()),MONTH(V20),DAY(14))</f>
        <v>44787</v>
      </c>
    </row>
    <row r="21" spans="2:23" hidden="1" x14ac:dyDescent="0.25">
      <c r="B21" s="198" t="s">
        <v>756</v>
      </c>
      <c r="C21" s="139" t="s">
        <v>754</v>
      </c>
      <c r="D21" s="139" t="s">
        <v>802</v>
      </c>
      <c r="E21" s="202" t="s">
        <v>1583</v>
      </c>
      <c r="F21" s="139" t="s">
        <v>1602</v>
      </c>
      <c r="G21" s="199">
        <v>2.5984400000000001E-2</v>
      </c>
      <c r="L21" s="139"/>
      <c r="N21" s="139"/>
      <c r="O21" s="139" t="s">
        <v>725</v>
      </c>
      <c r="P21" s="139"/>
      <c r="V21" s="311">
        <f ca="1">DATE(YEAR(TODAY()),MONTH(W20),DAY(15))</f>
        <v>44788</v>
      </c>
      <c r="W21" s="311">
        <f t="shared" ref="W21" ca="1" si="9">DATE(YEAR(TODAY()),MONTH(V21),DAY(31))</f>
        <v>44804</v>
      </c>
    </row>
    <row r="22" spans="2:23" hidden="1" x14ac:dyDescent="0.25">
      <c r="B22" s="198" t="s">
        <v>743</v>
      </c>
      <c r="C22" s="139" t="s">
        <v>754</v>
      </c>
      <c r="D22" s="139" t="s">
        <v>802</v>
      </c>
      <c r="E22" s="202" t="s">
        <v>102</v>
      </c>
      <c r="F22" s="139" t="s">
        <v>1603</v>
      </c>
      <c r="G22" s="199">
        <v>4.6532499999999997E-2</v>
      </c>
      <c r="L22" s="139"/>
      <c r="N22" s="139"/>
      <c r="O22" s="139" t="s">
        <v>731</v>
      </c>
      <c r="P22" s="139"/>
      <c r="V22" s="310">
        <f t="shared" ref="V22" ca="1" si="10">DATE(YEAR(TODAY()), MONTH(V21)+1,DAY(1))</f>
        <v>44805</v>
      </c>
      <c r="W22" s="310">
        <f ca="1">DATE(YEAR(TODAY()),MONTH(V22),DAY(14))</f>
        <v>44818</v>
      </c>
    </row>
    <row r="23" spans="2:23" hidden="1" x14ac:dyDescent="0.25">
      <c r="B23" s="198" t="s">
        <v>744</v>
      </c>
      <c r="C23" s="139" t="s">
        <v>754</v>
      </c>
      <c r="D23" s="139" t="s">
        <v>802</v>
      </c>
      <c r="E23" s="202" t="s">
        <v>1584</v>
      </c>
      <c r="F23" s="139" t="s">
        <v>1603</v>
      </c>
      <c r="G23" s="199">
        <v>4.6532499999999997E-2</v>
      </c>
      <c r="L23" s="139"/>
      <c r="N23" s="139"/>
      <c r="P23" s="139"/>
      <c r="V23" s="310">
        <f ca="1">DATE(YEAR(TODAY()),MONTH(W22),DAY(15))</f>
        <v>44819</v>
      </c>
      <c r="W23" s="310">
        <f ca="1">DATE(YEAR(TODAY()),MONTH(V23),DAY(0))</f>
        <v>44804</v>
      </c>
    </row>
    <row r="24" spans="2:23" hidden="1" x14ac:dyDescent="0.25">
      <c r="B24" s="198"/>
      <c r="C24" s="139"/>
      <c r="D24" s="139"/>
      <c r="E24" s="202"/>
      <c r="L24" s="139"/>
      <c r="N24" s="139"/>
      <c r="P24" s="139"/>
      <c r="V24" s="311">
        <f t="shared" ref="V24" ca="1" si="11">DATE(YEAR(TODAY()), MONTH(V23)+1,DAY(1))</f>
        <v>44835</v>
      </c>
      <c r="W24" s="311">
        <f ca="1">DATE(YEAR(TODAY()),MONTH(V24),DAY(14))</f>
        <v>44848</v>
      </c>
    </row>
    <row r="25" spans="2:23" hidden="1" x14ac:dyDescent="0.25">
      <c r="B25" s="198" t="s">
        <v>759</v>
      </c>
      <c r="C25" s="139" t="s">
        <v>164</v>
      </c>
      <c r="D25" s="139" t="s">
        <v>803</v>
      </c>
      <c r="E25" s="202" t="s">
        <v>263</v>
      </c>
      <c r="F25" s="139" t="s">
        <v>1600</v>
      </c>
      <c r="G25" s="199">
        <v>5.4355000000000002E-3</v>
      </c>
      <c r="L25" s="139"/>
      <c r="N25" s="139"/>
      <c r="P25" s="139"/>
      <c r="V25" s="311">
        <f ca="1">DATE(YEAR(TODAY()),MONTH(W24),DAY(15))</f>
        <v>44849</v>
      </c>
      <c r="W25" s="311">
        <f t="shared" ref="W25" ca="1" si="12">DATE(YEAR(TODAY()),MONTH(V25),DAY(31))</f>
        <v>44865</v>
      </c>
    </row>
    <row r="26" spans="2:23" hidden="1" x14ac:dyDescent="0.25">
      <c r="B26" s="198" t="s">
        <v>745</v>
      </c>
      <c r="C26" s="139" t="s">
        <v>164</v>
      </c>
      <c r="D26" s="139" t="s">
        <v>803</v>
      </c>
      <c r="E26" s="202" t="s">
        <v>1585</v>
      </c>
      <c r="F26" s="139" t="s">
        <v>1600</v>
      </c>
      <c r="G26" s="199">
        <v>5.4355000000000002E-3</v>
      </c>
      <c r="L26" s="139"/>
      <c r="N26" s="139"/>
      <c r="P26" s="139"/>
      <c r="V26" s="310">
        <f t="shared" ref="V26" ca="1" si="13">DATE(YEAR(TODAY()), MONTH(V25)+1,DAY(1))</f>
        <v>44866</v>
      </c>
      <c r="W26" s="310">
        <f ca="1">DATE(YEAR(TODAY()),MONTH(V26),DAY(14))</f>
        <v>44879</v>
      </c>
    </row>
    <row r="27" spans="2:23" hidden="1" x14ac:dyDescent="0.25">
      <c r="B27" s="198" t="s">
        <v>746</v>
      </c>
      <c r="C27" s="139" t="s">
        <v>164</v>
      </c>
      <c r="D27" s="139" t="s">
        <v>803</v>
      </c>
      <c r="E27" s="202" t="s">
        <v>262</v>
      </c>
      <c r="F27" s="139" t="s">
        <v>1600</v>
      </c>
      <c r="G27" s="199">
        <v>5.4355000000000002E-3</v>
      </c>
      <c r="L27" s="139"/>
      <c r="N27" s="139"/>
      <c r="P27" s="139"/>
      <c r="V27" s="310">
        <f ca="1">DATE(YEAR(TODAY()),MONTH(W26),DAY(15))</f>
        <v>44880</v>
      </c>
      <c r="W27" s="310">
        <f ca="1">DATE(YEAR(TODAY()),MONTH(V27),DAY(30))</f>
        <v>44895</v>
      </c>
    </row>
    <row r="28" spans="2:23" hidden="1" x14ac:dyDescent="0.25">
      <c r="B28" s="198"/>
      <c r="C28" s="139"/>
      <c r="D28" s="139"/>
      <c r="E28" s="202"/>
      <c r="L28" s="139"/>
      <c r="N28" s="139"/>
      <c r="P28" s="139"/>
      <c r="V28" s="311">
        <f t="shared" ref="V28" ca="1" si="14">DATE(YEAR(TODAY()), MONTH(V27)+1,DAY(1))</f>
        <v>44896</v>
      </c>
      <c r="W28" s="311">
        <f ca="1">DATE(YEAR(TODAY()),MONTH(V28),DAY(14))</f>
        <v>44909</v>
      </c>
    </row>
    <row r="29" spans="2:23" hidden="1" x14ac:dyDescent="0.25">
      <c r="B29" s="198" t="s">
        <v>747</v>
      </c>
      <c r="C29" s="139" t="s">
        <v>162</v>
      </c>
      <c r="D29" s="139" t="s">
        <v>804</v>
      </c>
      <c r="E29" s="202" t="s">
        <v>1586</v>
      </c>
      <c r="F29" s="139" t="s">
        <v>1600</v>
      </c>
      <c r="G29" s="199">
        <v>5.4355000000000002E-3</v>
      </c>
      <c r="L29" s="139"/>
      <c r="N29" s="139"/>
      <c r="P29" s="139"/>
      <c r="V29" s="311">
        <f ca="1">DATE(YEAR(TODAY()),MONTH(W28),DAY(15))</f>
        <v>44910</v>
      </c>
      <c r="W29" s="311">
        <f t="shared" ref="W29" ca="1" si="15">DATE(YEAR(TODAY()),MONTH(V29),DAY(31))</f>
        <v>44926</v>
      </c>
    </row>
    <row r="30" spans="2:23" hidden="1" x14ac:dyDescent="0.25">
      <c r="B30" s="198" t="s">
        <v>757</v>
      </c>
      <c r="C30" s="139" t="s">
        <v>162</v>
      </c>
      <c r="D30" s="139" t="s">
        <v>804</v>
      </c>
      <c r="E30" s="202" t="s">
        <v>1587</v>
      </c>
      <c r="F30" s="139" t="s">
        <v>1600</v>
      </c>
      <c r="G30" s="199">
        <v>5.4355000000000002E-3</v>
      </c>
      <c r="L30" s="139"/>
      <c r="N30" s="139"/>
      <c r="P30" s="139"/>
      <c r="V30" s="218"/>
      <c r="W30" s="219"/>
    </row>
    <row r="31" spans="2:23" hidden="1" x14ac:dyDescent="0.25">
      <c r="B31" s="198" t="s">
        <v>748</v>
      </c>
      <c r="C31" s="139" t="s">
        <v>162</v>
      </c>
      <c r="D31" s="139" t="s">
        <v>804</v>
      </c>
      <c r="E31" s="202" t="s">
        <v>77</v>
      </c>
      <c r="F31" s="139" t="s">
        <v>1600</v>
      </c>
      <c r="G31" s="199">
        <v>5.4355000000000002E-3</v>
      </c>
      <c r="L31" s="139"/>
      <c r="N31" s="139"/>
      <c r="P31" s="139"/>
      <c r="V31" s="528" t="s">
        <v>2279</v>
      </c>
      <c r="W31" s="529"/>
    </row>
    <row r="32" spans="2:23" hidden="1" x14ac:dyDescent="0.25">
      <c r="B32" s="198"/>
      <c r="C32" s="139"/>
      <c r="D32" s="139"/>
      <c r="E32" s="202"/>
      <c r="L32" s="139"/>
      <c r="N32" s="139"/>
      <c r="P32" s="139"/>
      <c r="V32" s="313">
        <f ca="1">VLOOKUP(V3,FECHAS[],1,TRUE)</f>
        <v>44757</v>
      </c>
      <c r="W32" s="314">
        <f ca="1">VLOOKUP(V3,FECHAS[],2,TRUE)</f>
        <v>44773</v>
      </c>
    </row>
    <row r="33" spans="2:18" hidden="1" x14ac:dyDescent="0.25">
      <c r="B33" s="198" t="s">
        <v>749</v>
      </c>
      <c r="C33" s="139" t="s">
        <v>755</v>
      </c>
      <c r="D33" s="139" t="s">
        <v>805</v>
      </c>
      <c r="E33" s="202" t="s">
        <v>1588</v>
      </c>
      <c r="F33" s="139" t="s">
        <v>1600</v>
      </c>
      <c r="G33" s="199">
        <v>5.4355000000000002E-3</v>
      </c>
      <c r="L33" s="139"/>
      <c r="N33" s="139"/>
      <c r="P33" s="139"/>
    </row>
    <row r="34" spans="2:18" hidden="1" x14ac:dyDescent="0.25">
      <c r="B34" s="198"/>
      <c r="C34" s="139"/>
      <c r="D34" s="139"/>
      <c r="E34" s="202"/>
      <c r="L34" s="139"/>
      <c r="N34" s="139"/>
      <c r="P34" s="139"/>
    </row>
    <row r="35" spans="2:18" hidden="1" x14ac:dyDescent="0.25">
      <c r="B35" s="198" t="s">
        <v>750</v>
      </c>
      <c r="C35" s="139" t="s">
        <v>163</v>
      </c>
      <c r="D35" s="139" t="s">
        <v>806</v>
      </c>
      <c r="E35" s="202" t="s">
        <v>95</v>
      </c>
      <c r="F35" s="139" t="s">
        <v>1601</v>
      </c>
      <c r="G35" s="199">
        <v>1.130658E-2</v>
      </c>
      <c r="L35" s="139"/>
      <c r="N35" s="139"/>
      <c r="P35" s="139"/>
    </row>
    <row r="36" spans="2:18" hidden="1" x14ac:dyDescent="0.25">
      <c r="B36" s="198" t="s">
        <v>751</v>
      </c>
      <c r="C36" s="139" t="s">
        <v>163</v>
      </c>
      <c r="D36" s="139" t="s">
        <v>806</v>
      </c>
      <c r="E36" s="202" t="s">
        <v>1589</v>
      </c>
      <c r="F36" s="139" t="s">
        <v>1601</v>
      </c>
      <c r="G36" s="199">
        <v>1.130658E-2</v>
      </c>
      <c r="L36" s="139"/>
      <c r="N36" s="139"/>
      <c r="P36" s="139"/>
    </row>
    <row r="37" spans="2:18" hidden="1" x14ac:dyDescent="0.25">
      <c r="B37" s="205"/>
      <c r="C37" s="139"/>
      <c r="D37" s="139"/>
      <c r="E37" s="202"/>
      <c r="L37" s="139"/>
      <c r="N37" s="139"/>
      <c r="P37" s="139"/>
    </row>
    <row r="38" spans="2:18" hidden="1" x14ac:dyDescent="0.25">
      <c r="B38" s="174" t="s">
        <v>159</v>
      </c>
      <c r="C38" s="174" t="s">
        <v>159</v>
      </c>
      <c r="D38" s="139"/>
      <c r="E38" s="174" t="s">
        <v>1590</v>
      </c>
      <c r="F38" s="139" t="s">
        <v>1600</v>
      </c>
      <c r="G38" s="199">
        <v>5.4355000000000002E-3</v>
      </c>
      <c r="L38" s="139"/>
      <c r="N38" s="139"/>
      <c r="P38" s="139"/>
    </row>
    <row r="39" spans="2:18" hidden="1" x14ac:dyDescent="0.25">
      <c r="B39" s="174" t="s">
        <v>753</v>
      </c>
      <c r="C39" s="174" t="s">
        <v>753</v>
      </c>
      <c r="D39" s="139"/>
      <c r="E39" s="174" t="s">
        <v>1591</v>
      </c>
      <c r="F39" s="139" t="s">
        <v>1600</v>
      </c>
      <c r="G39" s="199">
        <v>5.4355000000000002E-3</v>
      </c>
      <c r="L39" s="139"/>
      <c r="N39" s="139"/>
      <c r="P39" s="139"/>
    </row>
    <row r="40" spans="2:18" hidden="1" x14ac:dyDescent="0.25">
      <c r="B40" s="174" t="s">
        <v>160</v>
      </c>
      <c r="C40" s="174" t="s">
        <v>160</v>
      </c>
      <c r="D40" s="206"/>
      <c r="E40" s="174" t="s">
        <v>62</v>
      </c>
      <c r="F40" s="139" t="s">
        <v>1600</v>
      </c>
      <c r="G40" s="199">
        <v>5.4355000000000002E-3</v>
      </c>
      <c r="H40" s="206"/>
      <c r="I40" s="196"/>
      <c r="J40" s="174"/>
      <c r="L40" s="139"/>
      <c r="N40" s="139"/>
      <c r="P40" s="139"/>
    </row>
    <row r="41" spans="2:18" hidden="1" x14ac:dyDescent="0.25">
      <c r="B41" s="174" t="s">
        <v>161</v>
      </c>
      <c r="C41" s="174" t="s">
        <v>161</v>
      </c>
      <c r="D41" s="139"/>
      <c r="E41" s="174" t="s">
        <v>63</v>
      </c>
      <c r="F41" s="139" t="s">
        <v>1600</v>
      </c>
      <c r="G41" s="199">
        <v>5.4355000000000002E-3</v>
      </c>
      <c r="J41" s="198"/>
      <c r="L41" s="139"/>
      <c r="N41" s="139"/>
      <c r="P41" s="139"/>
    </row>
    <row r="42" spans="2:18" hidden="1" x14ac:dyDescent="0.25">
      <c r="B42" s="174" t="s">
        <v>752</v>
      </c>
      <c r="C42" s="174" t="s">
        <v>752</v>
      </c>
      <c r="D42" s="139"/>
      <c r="E42" s="174" t="s">
        <v>1592</v>
      </c>
      <c r="F42" s="139" t="s">
        <v>1600</v>
      </c>
      <c r="G42" s="199">
        <v>5.4355000000000002E-3</v>
      </c>
      <c r="J42" s="198"/>
      <c r="L42" s="139"/>
      <c r="N42" s="139"/>
      <c r="P42" s="139"/>
    </row>
    <row r="43" spans="2:18" hidden="1" x14ac:dyDescent="0.25">
      <c r="B43" s="174" t="s">
        <v>754</v>
      </c>
      <c r="C43" s="174" t="s">
        <v>754</v>
      </c>
      <c r="D43" s="139"/>
      <c r="E43" s="174" t="s">
        <v>1593</v>
      </c>
      <c r="F43" s="139" t="s">
        <v>1600</v>
      </c>
      <c r="G43" s="199">
        <v>5.4355000000000002E-3</v>
      </c>
      <c r="J43" s="198"/>
      <c r="L43" s="139"/>
      <c r="N43" s="139"/>
      <c r="P43" s="139"/>
    </row>
    <row r="44" spans="2:18" hidden="1" x14ac:dyDescent="0.25">
      <c r="B44" s="174" t="s">
        <v>164</v>
      </c>
      <c r="C44" s="174" t="s">
        <v>164</v>
      </c>
      <c r="D44" s="139"/>
      <c r="E44" s="174" t="s">
        <v>167</v>
      </c>
      <c r="F44" s="139" t="s">
        <v>1600</v>
      </c>
      <c r="G44" s="199">
        <v>5.4355000000000002E-3</v>
      </c>
      <c r="J44" s="174"/>
      <c r="L44" s="139"/>
      <c r="N44" s="139"/>
      <c r="P44" s="139"/>
    </row>
    <row r="45" spans="2:18" hidden="1" x14ac:dyDescent="0.25">
      <c r="B45" s="174" t="s">
        <v>162</v>
      </c>
      <c r="C45" s="174" t="s">
        <v>162</v>
      </c>
      <c r="D45" s="139"/>
      <c r="E45" s="174" t="s">
        <v>61</v>
      </c>
      <c r="F45" s="139" t="s">
        <v>1600</v>
      </c>
      <c r="G45" s="199">
        <v>5.4355000000000002E-3</v>
      </c>
      <c r="J45" s="198"/>
      <c r="L45" s="139"/>
      <c r="N45" s="139"/>
      <c r="P45" s="139"/>
      <c r="Q45" s="198"/>
      <c r="R45" s="198"/>
    </row>
    <row r="46" spans="2:18" hidden="1" x14ac:dyDescent="0.25">
      <c r="B46" s="174" t="s">
        <v>755</v>
      </c>
      <c r="C46" s="174" t="s">
        <v>755</v>
      </c>
      <c r="D46" s="139"/>
      <c r="E46" s="174" t="s">
        <v>265</v>
      </c>
      <c r="F46" s="139" t="s">
        <v>1600</v>
      </c>
      <c r="G46" s="199">
        <v>5.4355000000000002E-3</v>
      </c>
      <c r="J46" s="198"/>
      <c r="L46" s="139"/>
      <c r="N46" s="139"/>
      <c r="P46" s="139"/>
      <c r="Q46" s="198"/>
      <c r="R46" s="198"/>
    </row>
    <row r="47" spans="2:18" hidden="1" x14ac:dyDescent="0.25">
      <c r="B47" s="174" t="s">
        <v>163</v>
      </c>
      <c r="C47" s="174" t="s">
        <v>163</v>
      </c>
      <c r="D47" s="139"/>
      <c r="E47" s="174" t="s">
        <v>82</v>
      </c>
      <c r="F47" s="139" t="s">
        <v>1600</v>
      </c>
      <c r="G47" s="199">
        <v>5.4355000000000002E-3</v>
      </c>
      <c r="J47" s="198"/>
      <c r="L47" s="139"/>
      <c r="N47" s="139"/>
      <c r="P47" s="139"/>
      <c r="Q47" s="198"/>
      <c r="R47" s="198"/>
    </row>
    <row r="48" spans="2:18" hidden="1" x14ac:dyDescent="0.25">
      <c r="B48" s="198" t="s">
        <v>765</v>
      </c>
      <c r="C48" s="139" t="s">
        <v>164</v>
      </c>
      <c r="D48" s="139"/>
      <c r="E48" s="174" t="s">
        <v>1700</v>
      </c>
      <c r="F48" s="139" t="s">
        <v>1600</v>
      </c>
      <c r="G48" s="199">
        <v>5.4355000000000002E-3</v>
      </c>
      <c r="J48" s="174"/>
      <c r="L48" s="139"/>
      <c r="N48" s="139"/>
      <c r="P48" s="139"/>
      <c r="Q48" s="198"/>
      <c r="R48" s="198"/>
    </row>
    <row r="49" spans="2:18" hidden="1" x14ac:dyDescent="0.25">
      <c r="B49" s="198" t="s">
        <v>766</v>
      </c>
      <c r="C49" s="139" t="s">
        <v>164</v>
      </c>
      <c r="D49" s="198"/>
      <c r="E49" s="174" t="s">
        <v>1701</v>
      </c>
      <c r="F49" s="139" t="s">
        <v>1600</v>
      </c>
      <c r="G49" s="199">
        <v>5.4355000000000002E-3</v>
      </c>
      <c r="H49" s="198"/>
      <c r="J49" s="198"/>
      <c r="L49" s="139"/>
      <c r="N49" s="139"/>
      <c r="P49" s="139"/>
      <c r="Q49" s="198"/>
      <c r="R49" s="198"/>
    </row>
    <row r="50" spans="2:18" hidden="1" x14ac:dyDescent="0.25"/>
    <row r="51" spans="2:18" hidden="1" x14ac:dyDescent="0.25"/>
    <row r="52" spans="2:18" hidden="1" x14ac:dyDescent="0.25"/>
    <row r="53" spans="2:18" hidden="1" x14ac:dyDescent="0.25"/>
    <row r="54" spans="2:18" hidden="1" x14ac:dyDescent="0.25"/>
    <row r="55" spans="2:18" hidden="1" x14ac:dyDescent="0.25"/>
    <row r="56" spans="2:18" hidden="1" x14ac:dyDescent="0.25"/>
    <row r="57" spans="2:18" hidden="1" x14ac:dyDescent="0.25"/>
    <row r="58" spans="2:18" hidden="1" x14ac:dyDescent="0.25"/>
    <row r="59" spans="2:18" hidden="1" x14ac:dyDescent="0.25"/>
    <row r="60" spans="2:18" hidden="1" x14ac:dyDescent="0.25"/>
    <row r="61" spans="2:18" hidden="1" x14ac:dyDescent="0.25"/>
    <row r="62" spans="2:18" hidden="1" x14ac:dyDescent="0.25"/>
    <row r="63" spans="2:18" hidden="1" x14ac:dyDescent="0.25"/>
    <row r="64" spans="2:18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spans="2:41" hidden="1" x14ac:dyDescent="0.25"/>
    <row r="98" spans="2:41" hidden="1" x14ac:dyDescent="0.25"/>
    <row r="99" spans="2:41" hidden="1" x14ac:dyDescent="0.25"/>
    <row r="100" spans="2:41" s="210" customFormat="1" x14ac:dyDescent="0.25">
      <c r="C100" s="211"/>
      <c r="D100" s="212"/>
      <c r="L100" s="213"/>
      <c r="N100" s="213"/>
      <c r="P100" s="213"/>
    </row>
    <row r="102" spans="2:41" x14ac:dyDescent="0.25">
      <c r="B102" s="215" t="s">
        <v>3</v>
      </c>
    </row>
    <row r="104" spans="2:41" x14ac:dyDescent="0.25">
      <c r="B104" s="141"/>
    </row>
    <row r="105" spans="2:41" hidden="1" x14ac:dyDescent="0.25">
      <c r="B105" s="141"/>
    </row>
    <row r="106" spans="2:41" ht="15" hidden="1" customHeight="1" thickBot="1" x14ac:dyDescent="0.3"/>
    <row r="107" spans="2:41" ht="15" hidden="1" customHeight="1" thickBot="1" x14ac:dyDescent="0.3">
      <c r="J107" s="144" t="s">
        <v>1692</v>
      </c>
      <c r="L107" s="145" t="s">
        <v>1675</v>
      </c>
      <c r="M107" s="526" t="s">
        <v>1677</v>
      </c>
      <c r="N107" s="526"/>
      <c r="O107" s="146" t="s">
        <v>1683</v>
      </c>
      <c r="P107" s="145" t="s">
        <v>1689</v>
      </c>
      <c r="Q107" s="306" t="s">
        <v>1690</v>
      </c>
      <c r="R107" s="306" t="s">
        <v>1691</v>
      </c>
      <c r="S107" s="147" t="s">
        <v>21</v>
      </c>
      <c r="AB107" s="139" t="s">
        <v>60</v>
      </c>
      <c r="AG107" s="523" t="s">
        <v>1740</v>
      </c>
      <c r="AH107" s="523"/>
      <c r="AI107" s="523"/>
      <c r="AJ107" s="523"/>
    </row>
    <row r="108" spans="2:41" ht="15" hidden="1" customHeight="1" thickBot="1" x14ac:dyDescent="0.3">
      <c r="J108" s="142"/>
      <c r="L108" s="518" t="s">
        <v>1676</v>
      </c>
      <c r="M108" s="521" t="s">
        <v>1678</v>
      </c>
      <c r="N108" s="521"/>
      <c r="O108" s="148" t="s">
        <v>1723</v>
      </c>
      <c r="P108" s="149" t="s">
        <v>1726</v>
      </c>
      <c r="Q108" s="307">
        <v>1</v>
      </c>
      <c r="R108" s="307">
        <v>0</v>
      </c>
      <c r="S108" s="150">
        <f t="shared" ref="S108:S117" si="16">SUM(Q108+R108)</f>
        <v>1</v>
      </c>
      <c r="AG108" s="214"/>
      <c r="AH108" s="185"/>
      <c r="AI108" s="186"/>
      <c r="AJ108" s="186"/>
    </row>
    <row r="109" spans="2:41" ht="15" hidden="1" customHeight="1" thickBot="1" x14ac:dyDescent="0.3">
      <c r="J109" s="304" t="s">
        <v>1598</v>
      </c>
      <c r="L109" s="519"/>
      <c r="M109" s="522" t="s">
        <v>1680</v>
      </c>
      <c r="N109" s="522"/>
      <c r="O109" s="180" t="s">
        <v>1684</v>
      </c>
      <c r="P109" s="149" t="s">
        <v>1687</v>
      </c>
      <c r="Q109" s="307">
        <v>0.20399999999999999</v>
      </c>
      <c r="R109" s="307">
        <v>0</v>
      </c>
      <c r="S109" s="150">
        <f t="shared" si="16"/>
        <v>0.20399999999999999</v>
      </c>
      <c r="AG109" s="187" t="s">
        <v>1728</v>
      </c>
      <c r="AH109" s="188" t="s">
        <v>1729</v>
      </c>
      <c r="AI109" s="188" t="s">
        <v>1730</v>
      </c>
      <c r="AJ109" s="188" t="s">
        <v>1731</v>
      </c>
      <c r="AK109" s="139" t="s">
        <v>60</v>
      </c>
      <c r="AL109" s="186" t="s">
        <v>1732</v>
      </c>
      <c r="AM109" s="186" t="s">
        <v>1733</v>
      </c>
      <c r="AN109" s="194" t="s">
        <v>1734</v>
      </c>
      <c r="AO109" s="139" t="s">
        <v>60</v>
      </c>
    </row>
    <row r="110" spans="2:41" ht="15" hidden="1" customHeight="1" thickBot="1" x14ac:dyDescent="0.3">
      <c r="J110" s="305">
        <v>89.62</v>
      </c>
      <c r="L110" s="519"/>
      <c r="M110" s="522"/>
      <c r="N110" s="522"/>
      <c r="O110" s="181"/>
      <c r="P110" s="149" t="s">
        <v>1688</v>
      </c>
      <c r="Q110" s="307">
        <v>1.0999999999999999E-2</v>
      </c>
      <c r="R110" s="307">
        <v>4.0000000000000001E-3</v>
      </c>
      <c r="S110" s="150">
        <f t="shared" si="16"/>
        <v>1.4999999999999999E-2</v>
      </c>
      <c r="AG110" s="187">
        <v>0.01</v>
      </c>
      <c r="AH110" s="188">
        <v>644.58000000000004</v>
      </c>
      <c r="AI110" s="188">
        <v>0</v>
      </c>
      <c r="AJ110" s="189">
        <v>1.9199999999999998E-2</v>
      </c>
      <c r="AL110" s="188">
        <v>0.01</v>
      </c>
      <c r="AM110" s="190">
        <v>1768.96</v>
      </c>
      <c r="AN110" s="195">
        <v>407.02</v>
      </c>
    </row>
    <row r="111" spans="2:41" ht="14.25" hidden="1" customHeight="1" thickBot="1" x14ac:dyDescent="0.3">
      <c r="J111" s="152"/>
      <c r="L111" s="519"/>
      <c r="M111" s="522"/>
      <c r="N111" s="522"/>
      <c r="O111" s="148" t="s">
        <v>1685</v>
      </c>
      <c r="P111" s="149" t="s">
        <v>0</v>
      </c>
      <c r="Q111" s="307">
        <v>1.0500000000000001E-2</v>
      </c>
      <c r="R111" s="307">
        <v>3.8E-3</v>
      </c>
      <c r="S111" s="150">
        <f t="shared" si="16"/>
        <v>1.43E-2</v>
      </c>
      <c r="AG111" s="187">
        <v>644.59</v>
      </c>
      <c r="AH111" s="190">
        <v>5470.92</v>
      </c>
      <c r="AI111" s="188">
        <v>12.38</v>
      </c>
      <c r="AJ111" s="189">
        <v>6.4000000000000001E-2</v>
      </c>
      <c r="AL111" s="190">
        <v>1768.97</v>
      </c>
      <c r="AM111" s="190">
        <v>2653.38</v>
      </c>
      <c r="AN111" s="195">
        <v>406.83</v>
      </c>
    </row>
    <row r="112" spans="2:41" ht="15.75" hidden="1" customHeight="1" thickBot="1" x14ac:dyDescent="0.3">
      <c r="J112" s="151" t="s">
        <v>1599</v>
      </c>
      <c r="L112" s="519"/>
      <c r="M112" s="522"/>
      <c r="N112" s="522"/>
      <c r="O112" s="148" t="s">
        <v>1702</v>
      </c>
      <c r="P112" s="149" t="s">
        <v>0</v>
      </c>
      <c r="Q112" s="307">
        <v>7.0000000000000001E-3</v>
      </c>
      <c r="R112" s="307">
        <v>2.5000000000000001E-3</v>
      </c>
      <c r="S112" s="150">
        <f t="shared" si="16"/>
        <v>9.4999999999999998E-3</v>
      </c>
      <c r="AG112" s="191">
        <v>5470.93</v>
      </c>
      <c r="AH112" s="190">
        <v>9614.66</v>
      </c>
      <c r="AI112" s="188">
        <v>321.26</v>
      </c>
      <c r="AJ112" s="189">
        <v>0.10880000000000001</v>
      </c>
      <c r="AL112" s="190">
        <v>2653.39</v>
      </c>
      <c r="AM112" s="190">
        <v>3472.84</v>
      </c>
      <c r="AN112" s="195">
        <v>406.62</v>
      </c>
    </row>
    <row r="113" spans="3:43" ht="15" hidden="1" customHeight="1" thickBot="1" x14ac:dyDescent="0.3">
      <c r="J113" s="151">
        <f>J110*3</f>
        <v>268.86</v>
      </c>
      <c r="L113" s="519"/>
      <c r="M113" s="521" t="s">
        <v>26</v>
      </c>
      <c r="N113" s="521"/>
      <c r="O113" s="148" t="s">
        <v>1724</v>
      </c>
      <c r="P113" s="149" t="s">
        <v>0</v>
      </c>
      <c r="Q113" s="307">
        <v>1.7500000000000002E-2</v>
      </c>
      <c r="R113" s="307">
        <v>6.3E-3</v>
      </c>
      <c r="S113" s="150">
        <f t="shared" si="16"/>
        <v>2.3800000000000002E-2</v>
      </c>
      <c r="AG113" s="191">
        <v>9614.67</v>
      </c>
      <c r="AH113" s="190">
        <v>11176.62</v>
      </c>
      <c r="AI113" s="188">
        <v>772.1</v>
      </c>
      <c r="AJ113" s="189">
        <v>0.16</v>
      </c>
      <c r="AL113" s="190">
        <v>3472.85</v>
      </c>
      <c r="AM113" s="190">
        <v>3537.87</v>
      </c>
      <c r="AN113" s="195">
        <v>392.77</v>
      </c>
    </row>
    <row r="114" spans="3:43" ht="15" hidden="1" customHeight="1" thickBot="1" x14ac:dyDescent="0.3">
      <c r="J114" s="152"/>
      <c r="L114" s="520"/>
      <c r="M114" s="521" t="s">
        <v>1681</v>
      </c>
      <c r="N114" s="521"/>
      <c r="O114" s="148" t="s">
        <v>1699</v>
      </c>
      <c r="P114" s="149" t="s">
        <v>0</v>
      </c>
      <c r="Q114" s="307">
        <v>0.01</v>
      </c>
      <c r="R114" s="307">
        <v>0</v>
      </c>
      <c r="S114" s="150">
        <f t="shared" si="16"/>
        <v>0.01</v>
      </c>
      <c r="AG114" s="191">
        <v>11176.63</v>
      </c>
      <c r="AH114" s="190">
        <v>13381.47</v>
      </c>
      <c r="AI114" s="190">
        <v>1022.01</v>
      </c>
      <c r="AJ114" s="189">
        <v>0.17920000000000003</v>
      </c>
      <c r="AL114" s="190">
        <v>3537.88</v>
      </c>
      <c r="AM114" s="190">
        <v>4446.1499999999996</v>
      </c>
      <c r="AN114" s="195">
        <v>382.46</v>
      </c>
    </row>
    <row r="115" spans="3:43" ht="15" hidden="1" customHeight="1" thickBot="1" x14ac:dyDescent="0.3">
      <c r="J115" s="142"/>
      <c r="L115" s="516" t="s">
        <v>1679</v>
      </c>
      <c r="M115" s="521" t="s">
        <v>1682</v>
      </c>
      <c r="N115" s="521"/>
      <c r="O115" s="148" t="s">
        <v>27</v>
      </c>
      <c r="P115" s="149" t="s">
        <v>0</v>
      </c>
      <c r="Q115" s="307">
        <v>0.02</v>
      </c>
      <c r="R115" s="307">
        <v>0</v>
      </c>
      <c r="S115" s="150">
        <f t="shared" si="16"/>
        <v>0.02</v>
      </c>
      <c r="AG115" s="191">
        <v>13381.48</v>
      </c>
      <c r="AH115" s="190">
        <v>26988.5</v>
      </c>
      <c r="AI115" s="190">
        <v>1417.12</v>
      </c>
      <c r="AJ115" s="189">
        <v>0.21359999999999998</v>
      </c>
      <c r="AL115" s="190">
        <v>4446.16</v>
      </c>
      <c r="AM115" s="190">
        <v>4717.18</v>
      </c>
      <c r="AN115" s="195">
        <v>354.23</v>
      </c>
    </row>
    <row r="116" spans="3:43" ht="15" hidden="1" customHeight="1" thickBot="1" x14ac:dyDescent="0.3">
      <c r="J116" s="142"/>
      <c r="L116" s="516"/>
      <c r="M116" s="521"/>
      <c r="N116" s="521"/>
      <c r="O116" s="148" t="s">
        <v>1686</v>
      </c>
      <c r="P116" s="149" t="s">
        <v>0</v>
      </c>
      <c r="Q116" s="307">
        <v>3.15E-2</v>
      </c>
      <c r="R116" s="307">
        <v>1.1299999999999999E-2</v>
      </c>
      <c r="S116" s="150">
        <f t="shared" si="16"/>
        <v>4.2799999999999998E-2</v>
      </c>
      <c r="AG116" s="191">
        <v>26988.51</v>
      </c>
      <c r="AH116" s="190">
        <v>42537.58</v>
      </c>
      <c r="AI116" s="190">
        <v>4323.58</v>
      </c>
      <c r="AJ116" s="189">
        <v>0.23519999999999999</v>
      </c>
      <c r="AL116" s="190">
        <v>4717.1899999999996</v>
      </c>
      <c r="AM116" s="190">
        <v>5335.42</v>
      </c>
      <c r="AN116" s="195">
        <v>324.87</v>
      </c>
    </row>
    <row r="117" spans="3:43" ht="15" hidden="1" customHeight="1" thickBot="1" x14ac:dyDescent="0.3">
      <c r="J117" s="152"/>
      <c r="L117" s="517"/>
      <c r="M117" s="527" t="s">
        <v>4</v>
      </c>
      <c r="N117" s="527"/>
      <c r="O117" s="153" t="s">
        <v>1725</v>
      </c>
      <c r="P117" s="154" t="s">
        <v>0</v>
      </c>
      <c r="Q117" s="307">
        <v>0.05</v>
      </c>
      <c r="R117" s="307">
        <v>0</v>
      </c>
      <c r="S117" s="155">
        <f t="shared" si="16"/>
        <v>0.05</v>
      </c>
      <c r="AG117" s="191">
        <v>42537.59</v>
      </c>
      <c r="AH117" s="190">
        <v>81211.25</v>
      </c>
      <c r="AI117" s="190">
        <v>7980.73</v>
      </c>
      <c r="AJ117" s="189">
        <v>0.3</v>
      </c>
      <c r="AL117" s="190">
        <v>5335.43</v>
      </c>
      <c r="AM117" s="190">
        <v>6224.67</v>
      </c>
      <c r="AN117" s="195">
        <v>294.63</v>
      </c>
    </row>
    <row r="118" spans="3:43" ht="15" hidden="1" customHeight="1" x14ac:dyDescent="0.25">
      <c r="D118" s="152"/>
      <c r="G118" s="182"/>
      <c r="H118" s="183"/>
      <c r="I118" s="183"/>
      <c r="J118" s="141"/>
      <c r="K118" s="141"/>
      <c r="L118" s="184"/>
      <c r="M118" s="184"/>
      <c r="N118" s="184"/>
      <c r="AG118" s="191">
        <v>81211.259999999995</v>
      </c>
      <c r="AH118" s="190">
        <v>108281.67</v>
      </c>
      <c r="AI118" s="190">
        <v>19582.830000000002</v>
      </c>
      <c r="AJ118" s="189">
        <v>0.32</v>
      </c>
      <c r="AL118" s="190">
        <v>6224.68</v>
      </c>
      <c r="AM118" s="190">
        <v>7113.9</v>
      </c>
      <c r="AN118" s="195">
        <v>253.54</v>
      </c>
    </row>
    <row r="119" spans="3:43" ht="15" hidden="1" customHeight="1" x14ac:dyDescent="0.25">
      <c r="D119" s="152"/>
      <c r="G119" s="182"/>
      <c r="H119" s="183"/>
      <c r="I119" s="183"/>
      <c r="J119" s="141"/>
      <c r="K119" s="141"/>
      <c r="L119" s="184"/>
      <c r="M119" s="184"/>
      <c r="N119" s="184"/>
      <c r="AG119" s="191">
        <v>108281.68</v>
      </c>
      <c r="AH119" s="190">
        <v>324845.01</v>
      </c>
      <c r="AI119" s="190">
        <v>28245.360000000001</v>
      </c>
      <c r="AJ119" s="189">
        <v>0.34</v>
      </c>
      <c r="AL119" s="190">
        <v>7113.91</v>
      </c>
      <c r="AM119" s="190">
        <v>7382.33</v>
      </c>
      <c r="AN119" s="195">
        <v>217.61</v>
      </c>
    </row>
    <row r="120" spans="3:43" ht="15" hidden="1" customHeight="1" x14ac:dyDescent="0.25">
      <c r="D120" s="152"/>
      <c r="G120" s="182"/>
      <c r="H120" s="183"/>
      <c r="I120" s="183"/>
      <c r="J120" s="141"/>
      <c r="K120" s="141"/>
      <c r="L120" s="184"/>
      <c r="M120" s="184"/>
      <c r="N120" s="184"/>
      <c r="AG120" s="191">
        <v>324845.02</v>
      </c>
      <c r="AH120" s="192">
        <v>999999</v>
      </c>
      <c r="AI120" s="193">
        <v>101876.9</v>
      </c>
      <c r="AJ120" s="189">
        <v>0.35</v>
      </c>
      <c r="AL120" s="190">
        <v>7382.34</v>
      </c>
      <c r="AM120" s="192">
        <v>999999</v>
      </c>
      <c r="AN120" s="195">
        <v>0</v>
      </c>
    </row>
    <row r="121" spans="3:43" ht="15" hidden="1" customHeight="1" x14ac:dyDescent="0.25">
      <c r="D121" s="152"/>
      <c r="G121" s="182"/>
      <c r="H121" s="183"/>
      <c r="I121" s="183"/>
      <c r="J121" s="141"/>
      <c r="K121" s="141"/>
      <c r="L121" s="184"/>
      <c r="M121" s="184"/>
      <c r="N121" s="184"/>
    </row>
    <row r="122" spans="3:43" ht="15" hidden="1" customHeight="1" x14ac:dyDescent="0.25">
      <c r="C122" s="511" t="s">
        <v>2258</v>
      </c>
      <c r="D122" s="512"/>
      <c r="E122" s="512"/>
      <c r="F122" s="512"/>
      <c r="G122" s="512"/>
      <c r="H122" s="512"/>
      <c r="I122" s="513"/>
      <c r="J122" s="511" t="s">
        <v>2256</v>
      </c>
      <c r="K122" s="512"/>
      <c r="L122" s="512"/>
      <c r="M122" s="512"/>
      <c r="N122" s="512"/>
      <c r="O122" s="512"/>
      <c r="P122" s="512"/>
      <c r="Q122" s="512"/>
      <c r="R122" s="512"/>
      <c r="S122" s="512"/>
      <c r="T122" s="512"/>
      <c r="U122" s="512" t="s">
        <v>2257</v>
      </c>
      <c r="V122" s="512"/>
      <c r="W122" s="512"/>
      <c r="X122" s="512"/>
      <c r="Y122" s="512"/>
      <c r="Z122" s="512"/>
      <c r="AA122" s="512"/>
      <c r="AB122" s="512"/>
      <c r="AC122" s="512"/>
      <c r="AD122" s="512"/>
      <c r="AE122" s="513"/>
      <c r="AG122" s="511" t="s">
        <v>149</v>
      </c>
      <c r="AH122" s="512"/>
      <c r="AI122" s="512"/>
      <c r="AJ122" s="512"/>
      <c r="AK122" s="512"/>
      <c r="AL122" s="512"/>
      <c r="AM122" s="512"/>
      <c r="AN122" s="513"/>
      <c r="AO122" s="139" t="s">
        <v>4</v>
      </c>
      <c r="AP122" s="139" t="s">
        <v>2265</v>
      </c>
      <c r="AQ122" s="139" t="s">
        <v>2266</v>
      </c>
    </row>
    <row r="123" spans="3:43" ht="15.75" hidden="1" customHeight="1" x14ac:dyDescent="0.25">
      <c r="D123" s="152"/>
      <c r="N123" s="139"/>
    </row>
    <row r="124" spans="3:43" ht="15" hidden="1" customHeight="1" x14ac:dyDescent="0.25">
      <c r="C124" s="140">
        <v>1</v>
      </c>
      <c r="D124" s="142">
        <v>2</v>
      </c>
      <c r="E124" s="139">
        <v>3</v>
      </c>
      <c r="F124" s="140">
        <v>4</v>
      </c>
      <c r="G124" s="142">
        <v>5</v>
      </c>
      <c r="H124" s="139">
        <v>6</v>
      </c>
      <c r="I124" s="140">
        <v>7</v>
      </c>
      <c r="J124" s="142">
        <v>8</v>
      </c>
      <c r="K124" s="139">
        <v>9</v>
      </c>
      <c r="L124" s="140">
        <v>10</v>
      </c>
      <c r="M124" s="142">
        <v>11</v>
      </c>
      <c r="N124" s="139">
        <v>12</v>
      </c>
      <c r="O124" s="140">
        <v>13</v>
      </c>
      <c r="P124" s="142">
        <v>14</v>
      </c>
      <c r="Q124" s="139">
        <v>15</v>
      </c>
      <c r="R124" s="140">
        <v>16</v>
      </c>
      <c r="S124" s="142">
        <v>17</v>
      </c>
      <c r="T124" s="139">
        <v>18</v>
      </c>
      <c r="U124" s="140">
        <v>19</v>
      </c>
      <c r="V124" s="142">
        <v>23</v>
      </c>
      <c r="W124" s="142"/>
      <c r="X124" s="139">
        <v>24</v>
      </c>
      <c r="Y124" s="140">
        <v>25</v>
      </c>
      <c r="Z124" s="142">
        <v>26</v>
      </c>
      <c r="AA124" s="139">
        <v>27</v>
      </c>
      <c r="AB124" s="140">
        <v>28</v>
      </c>
      <c r="AC124" s="142">
        <v>29</v>
      </c>
      <c r="AD124" s="139">
        <v>30</v>
      </c>
      <c r="AE124" s="140">
        <v>31</v>
      </c>
      <c r="AF124" s="142">
        <v>32</v>
      </c>
      <c r="AG124" s="139">
        <v>33</v>
      </c>
      <c r="AH124" s="140">
        <v>34</v>
      </c>
      <c r="AI124" s="142">
        <v>35</v>
      </c>
      <c r="AJ124" s="139">
        <v>36</v>
      </c>
      <c r="AK124" s="140">
        <v>37</v>
      </c>
      <c r="AL124" s="142">
        <v>38</v>
      </c>
      <c r="AM124" s="139">
        <v>39</v>
      </c>
      <c r="AN124" s="140">
        <v>40</v>
      </c>
    </row>
    <row r="125" spans="3:43" s="156" customFormat="1" ht="15" hidden="1" customHeight="1" x14ac:dyDescent="0.25">
      <c r="C125" s="221" t="s">
        <v>2273</v>
      </c>
      <c r="D125" s="157" t="s">
        <v>380</v>
      </c>
      <c r="E125" s="157" t="s">
        <v>2234</v>
      </c>
      <c r="F125" s="221" t="s">
        <v>1597</v>
      </c>
      <c r="G125" s="197" t="s">
        <v>298</v>
      </c>
      <c r="H125" s="197" t="s">
        <v>0</v>
      </c>
      <c r="I125" s="197" t="s">
        <v>1703</v>
      </c>
      <c r="J125" s="158" t="s">
        <v>1713</v>
      </c>
      <c r="K125" s="159" t="s">
        <v>1704</v>
      </c>
      <c r="L125" s="158" t="s">
        <v>1705</v>
      </c>
      <c r="M125" s="158" t="s">
        <v>1715</v>
      </c>
      <c r="N125" s="158" t="s">
        <v>1706</v>
      </c>
      <c r="O125" s="158" t="s">
        <v>1707</v>
      </c>
      <c r="P125" s="158" t="s">
        <v>1708</v>
      </c>
      <c r="Q125" s="158" t="s">
        <v>1709</v>
      </c>
      <c r="R125" s="158" t="s">
        <v>1710</v>
      </c>
      <c r="S125" s="158" t="s">
        <v>1711</v>
      </c>
      <c r="T125" s="160" t="s">
        <v>1712</v>
      </c>
      <c r="U125" s="161" t="s">
        <v>1714</v>
      </c>
      <c r="V125" s="161" t="s">
        <v>1716</v>
      </c>
      <c r="W125" s="161" t="s">
        <v>2244</v>
      </c>
      <c r="X125" s="161" t="s">
        <v>1717</v>
      </c>
      <c r="Y125" s="161" t="s">
        <v>1718</v>
      </c>
      <c r="Z125" s="161" t="s">
        <v>1719</v>
      </c>
      <c r="AA125" s="161" t="s">
        <v>1720</v>
      </c>
      <c r="AB125" s="161" t="s">
        <v>1721</v>
      </c>
      <c r="AC125" s="234" t="s">
        <v>1722</v>
      </c>
      <c r="AD125" s="157" t="s">
        <v>60</v>
      </c>
      <c r="AE125" s="162" t="s">
        <v>1727</v>
      </c>
      <c r="AF125" s="157" t="s">
        <v>149</v>
      </c>
      <c r="AG125" s="157" t="s">
        <v>28</v>
      </c>
      <c r="AH125" s="157" t="s">
        <v>1735</v>
      </c>
      <c r="AI125" s="157" t="s">
        <v>1736</v>
      </c>
      <c r="AJ125" s="157" t="s">
        <v>25</v>
      </c>
      <c r="AK125" s="157" t="s">
        <v>1737</v>
      </c>
      <c r="AL125" s="157" t="s">
        <v>1738</v>
      </c>
      <c r="AM125" s="235" t="s">
        <v>1739</v>
      </c>
      <c r="AN125" s="235" t="s">
        <v>1741</v>
      </c>
    </row>
    <row r="126" spans="3:43" ht="15" hidden="1" customHeight="1" x14ac:dyDescent="0.25">
      <c r="C126" s="242">
        <v>101</v>
      </c>
      <c r="D126" s="167" t="str">
        <f>VLOOKUP(IMSS[[#This Row],[NEM]],BDD[],2,0)</f>
        <v>Joséline Miroslava Valdez Valadez</v>
      </c>
      <c r="E126" s="167" t="str">
        <f>VLOOKUP(IMSS[[#This Row],[NEM]],BDD[],9,0)</f>
        <v>DIRECCIÓN</v>
      </c>
      <c r="F126" s="168">
        <v>30</v>
      </c>
      <c r="G126" s="139">
        <f>VLOOKUP(IMSS[[#This Row],[NEM]],BDD[],3,0)</f>
        <v>45000</v>
      </c>
      <c r="H126" s="139">
        <f ca="1">VLOOKUP(IMSS[[#This Row],[NEM]],BDD[],25,0)</f>
        <v>1664.3835616438357</v>
      </c>
      <c r="I126" s="143">
        <f>VLOOKUP(IMSS[[#This Row],[DEPT]],$B$3:$G$49,6,0)</f>
        <v>5.4355000000000002E-3</v>
      </c>
      <c r="J126" s="163">
        <f ca="1">IMSS[[#This Row],[DIAS LAB]]*IMSS[[#This Row],[SDI]]*IMSS[[#This Row],[% RSG]]*$Q$108</f>
        <v>271.40270547945204</v>
      </c>
      <c r="K126" s="163">
        <f>IMSS[[#This Row],[DIAS LAB]]*$J$110*$Q$109</f>
        <v>548.47440000000006</v>
      </c>
      <c r="L126" s="166">
        <f ca="1">IMSS[[#This Row],[DIAS LAB]]*IF(IMSS[[#This Row],[SDI]]-$J$113&gt;0,IMSS[[#This Row],[SDI]]-$J$113,0)*$Q$110</f>
        <v>460.52277534246576</v>
      </c>
      <c r="M126" s="166">
        <f ca="1">IMSS[[#This Row],[DIAS LAB]]*IMSS[[#This Row],[SDI]]*$Q$111</f>
        <v>524.28082191780823</v>
      </c>
      <c r="N126" s="163">
        <f ca="1">IMSS[[#This Row],[DIAS LAB]]*IMSS[[#This Row],[SDI]]*$Q$112</f>
        <v>349.52054794520546</v>
      </c>
      <c r="O126" s="166">
        <f ca="1">IMSS[[#This Row],[DIAS LAB]]*IMSS[[#This Row],[SDI]]*$Q$113</f>
        <v>873.80136986301375</v>
      </c>
      <c r="P126" s="163">
        <f ca="1">IMSS[[#This Row],[DIAS LAB]]*IMSS[[#This Row],[SDI]]*$Q$114</f>
        <v>499.3150684931507</v>
      </c>
      <c r="Q126" s="166">
        <f ca="1">IMSS[[#This Row],[DIAS LAB]]*IMSS[[#This Row],[SDI]]*$Q$115</f>
        <v>998.63013698630141</v>
      </c>
      <c r="R126" s="163">
        <f ca="1">IMSS[[#This Row],[DIAS LAB]]*IMSS[[#This Row],[SDI]]*$Q$116</f>
        <v>1572.8424657534247</v>
      </c>
      <c r="S126" s="163">
        <f ca="1">IMSS[[#This Row],[DIAS LAB]]*IMSS[[#This Row],[SDI]]*$Q$117</f>
        <v>2496.5753424657537</v>
      </c>
      <c r="T126" s="164">
        <f ca="1">SUM(IMSS[[#This Row],[P RSG TRB]:[P INFONAVIT]])</f>
        <v>8595.3656342465765</v>
      </c>
      <c r="U126" s="163">
        <f ca="1">IMSS[[#This Row],[DIAS LAB]]*IMSS[[#This Row],[SDI]]*IMSS[[#This Row],[% RSG]]*$R$108</f>
        <v>0</v>
      </c>
      <c r="V126" s="163">
        <f ca="1">IMSS[[#This Row],[DIAS LAB]]*IMSS[[#This Row],[SDI]]*$R$112</f>
        <v>124.82876712328768</v>
      </c>
      <c r="W126" s="163"/>
      <c r="X126" s="163">
        <f ca="1">IMSS[[#This Row],[DIAS LAB]]*IMSS[[#This Row],[SDI]]*$R$113</f>
        <v>314.56849315068496</v>
      </c>
      <c r="Y126" s="163">
        <f ca="1">IMSS[[#This Row],[DIAS LAB]]*IMSS[[#This Row],[SDI]]*$R$114</f>
        <v>0</v>
      </c>
      <c r="Z126" s="163">
        <f ca="1">IMSS[[#This Row],[DIAS LAB]]*IMSS[[#This Row],[SDI]]*$R$115</f>
        <v>0</v>
      </c>
      <c r="AA126" s="163">
        <f ca="1">IMSS[[#This Row],[DIAS LAB]]*IMSS[[#This Row],[SDI]]*$R$116</f>
        <v>564.22602739726028</v>
      </c>
      <c r="AB126" s="163">
        <f ca="1">IMSS[[#This Row],[DIAS LAB]]*IMSS[[#This Row],[SDI]]*$R$117</f>
        <v>0</v>
      </c>
      <c r="AC126" s="247">
        <f ca="1">SUM(IMSS[[#This Row],[O RSG TRB]:[O INFONAVIT]])</f>
        <v>1003.6232876712329</v>
      </c>
      <c r="AD126" s="163"/>
      <c r="AE126" s="165">
        <f ca="1">IMSS[[#This Row],[P TOTAL]]+IMSS[[#This Row],[O TOTAL]]</f>
        <v>9598.9889219178094</v>
      </c>
      <c r="AF126" s="163"/>
      <c r="AG126" s="163">
        <f>VLOOKUP(IMSS[[#This Row],[SUE MENS]],$AG$110:$AJ$120,1,1)</f>
        <v>42537.59</v>
      </c>
      <c r="AH126" s="163">
        <f>IMSS[[#This Row],[SUE MENS]]-IMSS[[#This Row],[LIM INF]]</f>
        <v>2462.4100000000035</v>
      </c>
      <c r="AI126" s="163">
        <f>IMSS[[#This Row],[EXC LIM INF]]*(VLOOKUP(IMSS[[#This Row],[LIM INF]],$AG$110:$AJ$120,4,0))</f>
        <v>738.72300000000098</v>
      </c>
      <c r="AJ126" s="163">
        <f>VLOOKUP(IMSS[[#This Row],[LIM INF]],$AG$110:$AJ$120,3)</f>
        <v>7980.73</v>
      </c>
      <c r="AK126" s="163">
        <f>SUM(IMSS[[#This Row],[TASA EXC]]+IMSS[[#This Row],[CUOTA FIJA]])</f>
        <v>8719.4530000000013</v>
      </c>
      <c r="AL126" s="163">
        <f>VLOOKUP(IMSS[[#This Row],[SUE MENS]],$AL$110:$AN$120,3,1)</f>
        <v>0</v>
      </c>
      <c r="AM126" s="248">
        <f>IF(IMSS[[#This Row],[ISR CARGO]]-IMSS[[#This Row],[SUBS ISR]]&gt;0,IMSS[[#This Row],[ISR CARGO]]-IMSS[[#This Row],[SUBS ISR]],0)</f>
        <v>8719.4530000000013</v>
      </c>
      <c r="AN126" s="248">
        <f>IF(IMSS[[#This Row],[SUBS ISR]]-IMSS[[#This Row],[ISR CARGO]]&gt;0,IMSS[[#This Row],[SUBS ISR]]-IMSS[[#This Row],[ISR CARGO]],0)</f>
        <v>0</v>
      </c>
    </row>
    <row r="127" spans="3:43" ht="15" hidden="1" customHeight="1" x14ac:dyDescent="0.25">
      <c r="C127" s="243">
        <v>102</v>
      </c>
      <c r="D127" s="167" t="str">
        <f>VLOOKUP(IMSS[[#This Row],[NEM]],BDD[],2,0)</f>
        <v>Deneb Santiago Altair Vega</v>
      </c>
      <c r="E127" s="167" t="str">
        <f>VLOOKUP(IMSS[[#This Row],[NEM]],BDD[],9,0)</f>
        <v>TECNOLOGÍA</v>
      </c>
      <c r="F127" s="168">
        <v>30</v>
      </c>
      <c r="G127" s="139">
        <f>VLOOKUP(IMSS[[#This Row],[NEM]],BDD[],3,0)</f>
        <v>35000</v>
      </c>
      <c r="H127" s="139">
        <f ca="1">VLOOKUP(IMSS[[#This Row],[NEM]],BDD[],25,0)</f>
        <v>1288.1278538812787</v>
      </c>
      <c r="I127" s="143">
        <f>VLOOKUP(IMSS[[#This Row],[DEPT]],$B$3:$G$49,6,0)</f>
        <v>5.4355000000000002E-3</v>
      </c>
      <c r="J127" s="163">
        <f ca="1">IMSS[[#This Row],[DIAS LAB]]*IMSS[[#This Row],[SDI]]*IMSS[[#This Row],[% RSG]]*$Q$108</f>
        <v>210.0485684931507</v>
      </c>
      <c r="K127" s="163">
        <f>IMSS[[#This Row],[DIAS LAB]]*$J$110*$Q$109</f>
        <v>548.47440000000006</v>
      </c>
      <c r="L127" s="166">
        <f ca="1">IMSS[[#This Row],[DIAS LAB]]*IF(IMSS[[#This Row],[SDI]]-$J$113&gt;0,IMSS[[#This Row],[SDI]]-$J$113,0)*$Q$110</f>
        <v>336.35839178082199</v>
      </c>
      <c r="M127" s="166">
        <f ca="1">IMSS[[#This Row],[DIAS LAB]]*IMSS[[#This Row],[SDI]]*$Q$111</f>
        <v>405.76027397260282</v>
      </c>
      <c r="N127" s="163">
        <f ca="1">IMSS[[#This Row],[DIAS LAB]]*IMSS[[#This Row],[SDI]]*$Q$112</f>
        <v>270.50684931506851</v>
      </c>
      <c r="O127" s="166">
        <f ca="1">IMSS[[#This Row],[DIAS LAB]]*IMSS[[#This Row],[SDI]]*$Q$113</f>
        <v>676.26712328767132</v>
      </c>
      <c r="P127" s="163">
        <f ca="1">IMSS[[#This Row],[DIAS LAB]]*IMSS[[#This Row],[SDI]]*$Q$114</f>
        <v>386.43835616438361</v>
      </c>
      <c r="Q127" s="166">
        <f ca="1">IMSS[[#This Row],[DIAS LAB]]*IMSS[[#This Row],[SDI]]*$Q$115</f>
        <v>772.87671232876721</v>
      </c>
      <c r="R127" s="163">
        <f ca="1">IMSS[[#This Row],[DIAS LAB]]*IMSS[[#This Row],[SDI]]*$Q$116</f>
        <v>1217.2808219178082</v>
      </c>
      <c r="S127" s="163">
        <f ca="1">IMSS[[#This Row],[DIAS LAB]]*IMSS[[#This Row],[SDI]]*$Q$117</f>
        <v>1932.191780821918</v>
      </c>
      <c r="T127" s="164">
        <f ca="1">SUM(IMSS[[#This Row],[P RSG TRB]:[P INFONAVIT]])</f>
        <v>6756.2032780821928</v>
      </c>
      <c r="U127" s="163">
        <f ca="1">IMSS[[#This Row],[DIAS LAB]]*IMSS[[#This Row],[SDI]]*IMSS[[#This Row],[% RSG]]*$R$108</f>
        <v>0</v>
      </c>
      <c r="V127" s="163">
        <f ca="1">IMSS[[#This Row],[DIAS LAB]]*IMSS[[#This Row],[SDI]]*$R$112</f>
        <v>96.609589041095902</v>
      </c>
      <c r="W127" s="163"/>
      <c r="X127" s="163">
        <f ca="1">IMSS[[#This Row],[DIAS LAB]]*IMSS[[#This Row],[SDI]]*$R$113</f>
        <v>243.45616438356166</v>
      </c>
      <c r="Y127" s="163">
        <f ca="1">IMSS[[#This Row],[DIAS LAB]]*IMSS[[#This Row],[SDI]]*$R$114</f>
        <v>0</v>
      </c>
      <c r="Z127" s="163">
        <f ca="1">IMSS[[#This Row],[DIAS LAB]]*IMSS[[#This Row],[SDI]]*$R$115</f>
        <v>0</v>
      </c>
      <c r="AA127" s="163">
        <f ca="1">IMSS[[#This Row],[DIAS LAB]]*IMSS[[#This Row],[SDI]]*$R$116</f>
        <v>436.67534246575343</v>
      </c>
      <c r="AB127" s="163">
        <f ca="1">IMSS[[#This Row],[DIAS LAB]]*IMSS[[#This Row],[SDI]]*$R$117</f>
        <v>0</v>
      </c>
      <c r="AC127" s="247">
        <f ca="1">SUM(IMSS[[#This Row],[O RSG TRB]:[O INFONAVIT]])</f>
        <v>776.74109589041097</v>
      </c>
      <c r="AD127" s="163"/>
      <c r="AE127" s="165">
        <f ca="1">IMSS[[#This Row],[P TOTAL]]+IMSS[[#This Row],[O TOTAL]]</f>
        <v>7532.9443739726039</v>
      </c>
      <c r="AF127" s="163"/>
      <c r="AG127" s="163">
        <f>VLOOKUP(IMSS[[#This Row],[SUE MENS]],$AG$110:$AJ$120,1,1)</f>
        <v>26988.51</v>
      </c>
      <c r="AH127" s="163">
        <f>IMSS[[#This Row],[SUE MENS]]-IMSS[[#This Row],[LIM INF]]</f>
        <v>8011.4900000000016</v>
      </c>
      <c r="AI127" s="163">
        <f>IMSS[[#This Row],[EXC LIM INF]]*(VLOOKUP(IMSS[[#This Row],[LIM INF]],$AG$110:$AJ$120,4,0))</f>
        <v>1884.3024480000004</v>
      </c>
      <c r="AJ127" s="163">
        <f>VLOOKUP(IMSS[[#This Row],[LIM INF]],$AG$110:$AJ$120,3)</f>
        <v>4323.58</v>
      </c>
      <c r="AK127" s="163">
        <f>SUM(IMSS[[#This Row],[TASA EXC]]+IMSS[[#This Row],[CUOTA FIJA]])</f>
        <v>6207.8824480000003</v>
      </c>
      <c r="AL127" s="163">
        <f>VLOOKUP(IMSS[[#This Row],[SUE MENS]],$AL$110:$AN$120,3,1)</f>
        <v>0</v>
      </c>
      <c r="AM127" s="248">
        <f>IF(IMSS[[#This Row],[ISR CARGO]]-IMSS[[#This Row],[SUBS ISR]]&gt;0,IMSS[[#This Row],[ISR CARGO]]-IMSS[[#This Row],[SUBS ISR]],0)</f>
        <v>6207.8824480000003</v>
      </c>
      <c r="AN127" s="248">
        <f>IF(IMSS[[#This Row],[SUBS ISR]]-IMSS[[#This Row],[ISR CARGO]]&gt;0,IMSS[[#This Row],[SUBS ISR]]-IMSS[[#This Row],[ISR CARGO]],0)</f>
        <v>0</v>
      </c>
    </row>
    <row r="128" spans="3:43" ht="15" hidden="1" customHeight="1" x14ac:dyDescent="0.25">
      <c r="C128" s="243">
        <v>103</v>
      </c>
      <c r="D128" s="167" t="str">
        <f>VLOOKUP(IMSS[[#This Row],[NEM]],BDD[],2,0)</f>
        <v>Irie Dalí Antares Cortés</v>
      </c>
      <c r="E128" s="167" t="str">
        <f>VLOOKUP(IMSS[[#This Row],[NEM]],BDD[],9,0)</f>
        <v>CONTABILIDAD</v>
      </c>
      <c r="F128" s="168">
        <v>30</v>
      </c>
      <c r="G128" s="139">
        <f>VLOOKUP(IMSS[[#This Row],[NEM]],BDD[],3,0)</f>
        <v>48900</v>
      </c>
      <c r="H128" s="139">
        <f ca="1">VLOOKUP(IMSS[[#This Row],[NEM]],BDD[],25,0)</f>
        <v>1808.6301369863013</v>
      </c>
      <c r="I128" s="143">
        <f>VLOOKUP(IMSS[[#This Row],[DEPT]],$B$3:$G$49,6,0)</f>
        <v>5.4355000000000002E-3</v>
      </c>
      <c r="J128" s="163">
        <f ca="1">IMSS[[#This Row],[DIAS LAB]]*IMSS[[#This Row],[SDI]]*IMSS[[#This Row],[% RSG]]*$Q$108</f>
        <v>294.92427328767127</v>
      </c>
      <c r="K128" s="163">
        <f>IMSS[[#This Row],[DIAS LAB]]*$J$110*$Q$109</f>
        <v>548.47440000000006</v>
      </c>
      <c r="L128" s="166">
        <f ca="1">IMSS[[#This Row],[DIAS LAB]]*IF(IMSS[[#This Row],[SDI]]-$J$113&gt;0,IMSS[[#This Row],[SDI]]-$J$113,0)*$Q$110</f>
        <v>508.12414520547935</v>
      </c>
      <c r="M128" s="166">
        <f ca="1">IMSS[[#This Row],[DIAS LAB]]*IMSS[[#This Row],[SDI]]*$Q$111</f>
        <v>569.71849315068494</v>
      </c>
      <c r="N128" s="163">
        <f ca="1">IMSS[[#This Row],[DIAS LAB]]*IMSS[[#This Row],[SDI]]*$Q$112</f>
        <v>379.81232876712329</v>
      </c>
      <c r="O128" s="166">
        <f ca="1">IMSS[[#This Row],[DIAS LAB]]*IMSS[[#This Row],[SDI]]*$Q$113</f>
        <v>949.53082191780834</v>
      </c>
      <c r="P128" s="163">
        <f ca="1">IMSS[[#This Row],[DIAS LAB]]*IMSS[[#This Row],[SDI]]*$Q$114</f>
        <v>542.58904109589048</v>
      </c>
      <c r="Q128" s="166">
        <f ca="1">IMSS[[#This Row],[DIAS LAB]]*IMSS[[#This Row],[SDI]]*$Q$115</f>
        <v>1085.178082191781</v>
      </c>
      <c r="R128" s="163">
        <f ca="1">IMSS[[#This Row],[DIAS LAB]]*IMSS[[#This Row],[SDI]]*$Q$116</f>
        <v>1709.1554794520548</v>
      </c>
      <c r="S128" s="163">
        <f ca="1">IMSS[[#This Row],[DIAS LAB]]*IMSS[[#This Row],[SDI]]*$Q$117</f>
        <v>2712.9452054794524</v>
      </c>
      <c r="T128" s="164">
        <f ca="1">SUM(IMSS[[#This Row],[P RSG TRB]:[P INFONAVIT]])</f>
        <v>9300.4522705479467</v>
      </c>
      <c r="U128" s="163">
        <f ca="1">IMSS[[#This Row],[DIAS LAB]]*IMSS[[#This Row],[SDI]]*IMSS[[#This Row],[% RSG]]*$R$108</f>
        <v>0</v>
      </c>
      <c r="V128" s="163">
        <f ca="1">IMSS[[#This Row],[DIAS LAB]]*IMSS[[#This Row],[SDI]]*$R$112</f>
        <v>135.64726027397262</v>
      </c>
      <c r="W128" s="163"/>
      <c r="X128" s="163">
        <f ca="1">IMSS[[#This Row],[DIAS LAB]]*IMSS[[#This Row],[SDI]]*$R$113</f>
        <v>341.83109589041095</v>
      </c>
      <c r="Y128" s="163">
        <f ca="1">IMSS[[#This Row],[DIAS LAB]]*IMSS[[#This Row],[SDI]]*$R$114</f>
        <v>0</v>
      </c>
      <c r="Z128" s="163">
        <f ca="1">IMSS[[#This Row],[DIAS LAB]]*IMSS[[#This Row],[SDI]]*$R$115</f>
        <v>0</v>
      </c>
      <c r="AA128" s="163">
        <f ca="1">IMSS[[#This Row],[DIAS LAB]]*IMSS[[#This Row],[SDI]]*$R$116</f>
        <v>613.12561643835613</v>
      </c>
      <c r="AB128" s="163">
        <f ca="1">IMSS[[#This Row],[DIAS LAB]]*IMSS[[#This Row],[SDI]]*$R$117</f>
        <v>0</v>
      </c>
      <c r="AC128" s="247">
        <f ca="1">SUM(IMSS[[#This Row],[O RSG TRB]:[O INFONAVIT]])</f>
        <v>1090.6039726027398</v>
      </c>
      <c r="AD128" s="163"/>
      <c r="AE128" s="165">
        <f ca="1">IMSS[[#This Row],[P TOTAL]]+IMSS[[#This Row],[O TOTAL]]</f>
        <v>10391.056243150686</v>
      </c>
      <c r="AF128" s="163"/>
      <c r="AG128" s="163">
        <f>VLOOKUP(IMSS[[#This Row],[SUE MENS]],$AG$110:$AJ$120,1,1)</f>
        <v>42537.59</v>
      </c>
      <c r="AH128" s="163">
        <f>IMSS[[#This Row],[SUE MENS]]-IMSS[[#This Row],[LIM INF]]</f>
        <v>6362.4100000000035</v>
      </c>
      <c r="AI128" s="163">
        <f>IMSS[[#This Row],[EXC LIM INF]]*(VLOOKUP(IMSS[[#This Row],[LIM INF]],$AG$110:$AJ$120,4,0))</f>
        <v>1908.7230000000009</v>
      </c>
      <c r="AJ128" s="163">
        <f>VLOOKUP(IMSS[[#This Row],[LIM INF]],$AG$110:$AJ$120,3)</f>
        <v>7980.73</v>
      </c>
      <c r="AK128" s="163">
        <f>SUM(IMSS[[#This Row],[TASA EXC]]+IMSS[[#This Row],[CUOTA FIJA]])</f>
        <v>9889.4530000000013</v>
      </c>
      <c r="AL128" s="163">
        <f>VLOOKUP(IMSS[[#This Row],[SUE MENS]],$AL$110:$AN$120,3,1)</f>
        <v>0</v>
      </c>
      <c r="AM128" s="248">
        <f>IF(IMSS[[#This Row],[ISR CARGO]]-IMSS[[#This Row],[SUBS ISR]]&gt;0,IMSS[[#This Row],[ISR CARGO]]-IMSS[[#This Row],[SUBS ISR]],0)</f>
        <v>9889.4530000000013</v>
      </c>
      <c r="AN128" s="248">
        <f>IF(IMSS[[#This Row],[SUBS ISR]]-IMSS[[#This Row],[ISR CARGO]]&gt;0,IMSS[[#This Row],[SUBS ISR]]-IMSS[[#This Row],[ISR CARGO]],0)</f>
        <v>0</v>
      </c>
    </row>
    <row r="129" spans="3:40" ht="15" hidden="1" customHeight="1" x14ac:dyDescent="0.25">
      <c r="C129" s="243">
        <v>104</v>
      </c>
      <c r="D129" s="167" t="str">
        <f>VLOOKUP(IMSS[[#This Row],[NEM]],BDD[],2,0)</f>
        <v>Diego Herrera Girón</v>
      </c>
      <c r="E129" s="167" t="str">
        <f>VLOOKUP(IMSS[[#This Row],[NEM]],BDD[],9,0)</f>
        <v>DIV INGENRIA</v>
      </c>
      <c r="F129" s="168">
        <v>30</v>
      </c>
      <c r="G129" s="139">
        <f>VLOOKUP(IMSS[[#This Row],[NEM]],BDD[],3,0)</f>
        <v>64200</v>
      </c>
      <c r="H129" s="139">
        <f ca="1">VLOOKUP(IMSS[[#This Row],[NEM]],BDD[],25,0)</f>
        <v>2374.5205479452056</v>
      </c>
      <c r="I129" s="143">
        <f>VLOOKUP(IMSS[[#This Row],[DEPT]],$B$3:$G$49,6,0)</f>
        <v>5.4355000000000002E-3</v>
      </c>
      <c r="J129" s="163">
        <f ca="1">IMSS[[#This Row],[DIAS LAB]]*IMSS[[#This Row],[SDI]]*IMSS[[#This Row],[% RSG]]*$Q$108</f>
        <v>387.20119315068496</v>
      </c>
      <c r="K129" s="163">
        <f>IMSS[[#This Row],[DIAS LAB]]*$J$110*$Q$109</f>
        <v>548.47440000000006</v>
      </c>
      <c r="L129" s="166">
        <f ca="1">IMSS[[#This Row],[DIAS LAB]]*IF(IMSS[[#This Row],[SDI]]-$J$113&gt;0,IMSS[[#This Row],[SDI]]-$J$113,0)*$Q$110</f>
        <v>694.86798082191785</v>
      </c>
      <c r="M129" s="166">
        <f ca="1">IMSS[[#This Row],[DIAS LAB]]*IMSS[[#This Row],[SDI]]*$Q$111</f>
        <v>747.97397260273988</v>
      </c>
      <c r="N129" s="163">
        <f ca="1">IMSS[[#This Row],[DIAS LAB]]*IMSS[[#This Row],[SDI]]*$Q$112</f>
        <v>498.64931506849319</v>
      </c>
      <c r="O129" s="166">
        <f ca="1">IMSS[[#This Row],[DIAS LAB]]*IMSS[[#This Row],[SDI]]*$Q$113</f>
        <v>1246.6232876712331</v>
      </c>
      <c r="P129" s="163">
        <f ca="1">IMSS[[#This Row],[DIAS LAB]]*IMSS[[#This Row],[SDI]]*$Q$114</f>
        <v>712.35616438356169</v>
      </c>
      <c r="Q129" s="166">
        <f ca="1">IMSS[[#This Row],[DIAS LAB]]*IMSS[[#This Row],[SDI]]*$Q$115</f>
        <v>1424.7123287671234</v>
      </c>
      <c r="R129" s="163">
        <f ca="1">IMSS[[#This Row],[DIAS LAB]]*IMSS[[#This Row],[SDI]]*$Q$116</f>
        <v>2243.9219178082194</v>
      </c>
      <c r="S129" s="163">
        <f ca="1">IMSS[[#This Row],[DIAS LAB]]*IMSS[[#This Row],[SDI]]*$Q$117</f>
        <v>3561.7808219178087</v>
      </c>
      <c r="T129" s="164">
        <f ca="1">SUM(IMSS[[#This Row],[P RSG TRB]:[P INFONAVIT]])</f>
        <v>12066.561382191783</v>
      </c>
      <c r="U129" s="163">
        <f ca="1">IMSS[[#This Row],[DIAS LAB]]*IMSS[[#This Row],[SDI]]*IMSS[[#This Row],[% RSG]]*$R$108</f>
        <v>0</v>
      </c>
      <c r="V129" s="163">
        <f ca="1">IMSS[[#This Row],[DIAS LAB]]*IMSS[[#This Row],[SDI]]*$R$112</f>
        <v>178.08904109589042</v>
      </c>
      <c r="W129" s="163"/>
      <c r="X129" s="163">
        <f ca="1">IMSS[[#This Row],[DIAS LAB]]*IMSS[[#This Row],[SDI]]*$R$113</f>
        <v>448.78438356164389</v>
      </c>
      <c r="Y129" s="163">
        <f ca="1">IMSS[[#This Row],[DIAS LAB]]*IMSS[[#This Row],[SDI]]*$R$114</f>
        <v>0</v>
      </c>
      <c r="Z129" s="163">
        <f ca="1">IMSS[[#This Row],[DIAS LAB]]*IMSS[[#This Row],[SDI]]*$R$115</f>
        <v>0</v>
      </c>
      <c r="AA129" s="163">
        <f ca="1">IMSS[[#This Row],[DIAS LAB]]*IMSS[[#This Row],[SDI]]*$R$116</f>
        <v>804.96246575342468</v>
      </c>
      <c r="AB129" s="163">
        <f ca="1">IMSS[[#This Row],[DIAS LAB]]*IMSS[[#This Row],[SDI]]*$R$117</f>
        <v>0</v>
      </c>
      <c r="AC129" s="247">
        <f ca="1">SUM(IMSS[[#This Row],[O RSG TRB]:[O INFONAVIT]])</f>
        <v>1431.8358904109591</v>
      </c>
      <c r="AD129" s="163"/>
      <c r="AE129" s="165">
        <f ca="1">IMSS[[#This Row],[P TOTAL]]+IMSS[[#This Row],[O TOTAL]]</f>
        <v>13498.397272602742</v>
      </c>
      <c r="AF129" s="163"/>
      <c r="AG129" s="163">
        <f>VLOOKUP(IMSS[[#This Row],[SUE MENS]],$AG$110:$AJ$120,1,1)</f>
        <v>42537.59</v>
      </c>
      <c r="AH129" s="163">
        <f>IMSS[[#This Row],[SUE MENS]]-IMSS[[#This Row],[LIM INF]]</f>
        <v>21662.410000000003</v>
      </c>
      <c r="AI129" s="163">
        <f>IMSS[[#This Row],[EXC LIM INF]]*(VLOOKUP(IMSS[[#This Row],[LIM INF]],$AG$110:$AJ$120,4,0))</f>
        <v>6498.7230000000009</v>
      </c>
      <c r="AJ129" s="163">
        <f>VLOOKUP(IMSS[[#This Row],[LIM INF]],$AG$110:$AJ$120,3)</f>
        <v>7980.73</v>
      </c>
      <c r="AK129" s="163">
        <f>SUM(IMSS[[#This Row],[TASA EXC]]+IMSS[[#This Row],[CUOTA FIJA]])</f>
        <v>14479.453000000001</v>
      </c>
      <c r="AL129" s="163">
        <f>VLOOKUP(IMSS[[#This Row],[SUE MENS]],$AL$110:$AN$120,3,1)</f>
        <v>0</v>
      </c>
      <c r="AM129" s="248">
        <f>IF(IMSS[[#This Row],[ISR CARGO]]-IMSS[[#This Row],[SUBS ISR]]&gt;0,IMSS[[#This Row],[ISR CARGO]]-IMSS[[#This Row],[SUBS ISR]],0)</f>
        <v>14479.453000000001</v>
      </c>
      <c r="AN129" s="248">
        <f>IF(IMSS[[#This Row],[SUBS ISR]]-IMSS[[#This Row],[ISR CARGO]]&gt;0,IMSS[[#This Row],[SUBS ISR]]-IMSS[[#This Row],[ISR CARGO]],0)</f>
        <v>0</v>
      </c>
    </row>
    <row r="130" spans="3:40" ht="15" hidden="1" customHeight="1" x14ac:dyDescent="0.25">
      <c r="C130" s="243">
        <v>105</v>
      </c>
      <c r="D130" s="167" t="str">
        <f>VLOOKUP(IMSS[[#This Row],[NEM]],BDD[],2,0)</f>
        <v>Carlos Alejandro Ponce Guerrero</v>
      </c>
      <c r="E130" s="167" t="str">
        <f>VLOOKUP(IMSS[[#This Row],[NEM]],BDD[],9,0)</f>
        <v>DIRECCIÓN</v>
      </c>
      <c r="F130" s="168">
        <v>30</v>
      </c>
      <c r="G130" s="139">
        <f>VLOOKUP(IMSS[[#This Row],[NEM]],BDD[],3,0)</f>
        <v>60000</v>
      </c>
      <c r="H130" s="139">
        <f ca="1">VLOOKUP(IMSS[[#This Row],[NEM]],BDD[],25,0)</f>
        <v>2219.178082191781</v>
      </c>
      <c r="I130" s="143">
        <f>VLOOKUP(IMSS[[#This Row],[DEPT]],$B$3:$G$49,6,0)</f>
        <v>5.4355000000000002E-3</v>
      </c>
      <c r="J130" s="163">
        <f ca="1">IMSS[[#This Row],[DIAS LAB]]*IMSS[[#This Row],[SDI]]*IMSS[[#This Row],[% RSG]]*$Q$108</f>
        <v>361.87027397260283</v>
      </c>
      <c r="K130" s="163">
        <f>IMSS[[#This Row],[DIAS LAB]]*$J$110*$Q$109</f>
        <v>548.47440000000006</v>
      </c>
      <c r="L130" s="166">
        <f ca="1">IMSS[[#This Row],[DIAS LAB]]*IF(IMSS[[#This Row],[SDI]]-$J$113&gt;0,IMSS[[#This Row],[SDI]]-$J$113,0)*$Q$110</f>
        <v>643.60496712328768</v>
      </c>
      <c r="M130" s="166">
        <f ca="1">IMSS[[#This Row],[DIAS LAB]]*IMSS[[#This Row],[SDI]]*$Q$111</f>
        <v>699.04109589041116</v>
      </c>
      <c r="N130" s="163">
        <f ca="1">IMSS[[#This Row],[DIAS LAB]]*IMSS[[#This Row],[SDI]]*$Q$112</f>
        <v>466.02739726027403</v>
      </c>
      <c r="O130" s="166">
        <f ca="1">IMSS[[#This Row],[DIAS LAB]]*IMSS[[#This Row],[SDI]]*$Q$113</f>
        <v>1165.0684931506853</v>
      </c>
      <c r="P130" s="163">
        <f ca="1">IMSS[[#This Row],[DIAS LAB]]*IMSS[[#This Row],[SDI]]*$Q$114</f>
        <v>665.75342465753431</v>
      </c>
      <c r="Q130" s="166">
        <f ca="1">IMSS[[#This Row],[DIAS LAB]]*IMSS[[#This Row],[SDI]]*$Q$115</f>
        <v>1331.5068493150686</v>
      </c>
      <c r="R130" s="163">
        <f ca="1">IMSS[[#This Row],[DIAS LAB]]*IMSS[[#This Row],[SDI]]*$Q$116</f>
        <v>2097.1232876712334</v>
      </c>
      <c r="S130" s="163">
        <f ca="1">IMSS[[#This Row],[DIAS LAB]]*IMSS[[#This Row],[SDI]]*$Q$117</f>
        <v>3328.7671232876719</v>
      </c>
      <c r="T130" s="164">
        <f ca="1">SUM(IMSS[[#This Row],[P RSG TRB]:[P INFONAVIT]])</f>
        <v>11307.237312328769</v>
      </c>
      <c r="U130" s="163">
        <f ca="1">IMSS[[#This Row],[DIAS LAB]]*IMSS[[#This Row],[SDI]]*IMSS[[#This Row],[% RSG]]*$R$108</f>
        <v>0</v>
      </c>
      <c r="V130" s="163">
        <f ca="1">IMSS[[#This Row],[DIAS LAB]]*IMSS[[#This Row],[SDI]]*$R$112</f>
        <v>166.43835616438358</v>
      </c>
      <c r="W130" s="163"/>
      <c r="X130" s="163">
        <f ca="1">IMSS[[#This Row],[DIAS LAB]]*IMSS[[#This Row],[SDI]]*$R$113</f>
        <v>419.42465753424665</v>
      </c>
      <c r="Y130" s="163">
        <f ca="1">IMSS[[#This Row],[DIAS LAB]]*IMSS[[#This Row],[SDI]]*$R$114</f>
        <v>0</v>
      </c>
      <c r="Z130" s="163">
        <f ca="1">IMSS[[#This Row],[DIAS LAB]]*IMSS[[#This Row],[SDI]]*$R$115</f>
        <v>0</v>
      </c>
      <c r="AA130" s="163">
        <f ca="1">IMSS[[#This Row],[DIAS LAB]]*IMSS[[#This Row],[SDI]]*$R$116</f>
        <v>752.30136986301375</v>
      </c>
      <c r="AB130" s="163">
        <f ca="1">IMSS[[#This Row],[DIAS LAB]]*IMSS[[#This Row],[SDI]]*$R$117</f>
        <v>0</v>
      </c>
      <c r="AC130" s="247">
        <f ca="1">SUM(IMSS[[#This Row],[O RSG TRB]:[O INFONAVIT]])</f>
        <v>1338.1643835616439</v>
      </c>
      <c r="AD130" s="163"/>
      <c r="AE130" s="165">
        <f ca="1">IMSS[[#This Row],[P TOTAL]]+IMSS[[#This Row],[O TOTAL]]</f>
        <v>12645.401695890412</v>
      </c>
      <c r="AF130" s="163"/>
      <c r="AG130" s="163">
        <f>VLOOKUP(IMSS[[#This Row],[SUE MENS]],$AG$110:$AJ$120,1,1)</f>
        <v>42537.59</v>
      </c>
      <c r="AH130" s="163">
        <f>IMSS[[#This Row],[SUE MENS]]-IMSS[[#This Row],[LIM INF]]</f>
        <v>17462.410000000003</v>
      </c>
      <c r="AI130" s="163">
        <f>IMSS[[#This Row],[EXC LIM INF]]*(VLOOKUP(IMSS[[#This Row],[LIM INF]],$AG$110:$AJ$120,4,0))</f>
        <v>5238.7230000000009</v>
      </c>
      <c r="AJ130" s="163">
        <f>VLOOKUP(IMSS[[#This Row],[LIM INF]],$AG$110:$AJ$120,3)</f>
        <v>7980.73</v>
      </c>
      <c r="AK130" s="163">
        <f>SUM(IMSS[[#This Row],[TASA EXC]]+IMSS[[#This Row],[CUOTA FIJA]])</f>
        <v>13219.453000000001</v>
      </c>
      <c r="AL130" s="163">
        <f>VLOOKUP(IMSS[[#This Row],[SUE MENS]],$AL$110:$AN$120,3,1)</f>
        <v>0</v>
      </c>
      <c r="AM130" s="248">
        <f>IF(IMSS[[#This Row],[ISR CARGO]]-IMSS[[#This Row],[SUBS ISR]]&gt;0,IMSS[[#This Row],[ISR CARGO]]-IMSS[[#This Row],[SUBS ISR]],0)</f>
        <v>13219.453000000001</v>
      </c>
      <c r="AN130" s="248">
        <f>IF(IMSS[[#This Row],[SUBS ISR]]-IMSS[[#This Row],[ISR CARGO]]&gt;0,IMSS[[#This Row],[SUBS ISR]]-IMSS[[#This Row],[ISR CARGO]],0)</f>
        <v>0</v>
      </c>
    </row>
    <row r="131" spans="3:40" ht="15" hidden="1" customHeight="1" x14ac:dyDescent="0.25">
      <c r="C131" s="243">
        <v>107</v>
      </c>
      <c r="D131" s="167" t="str">
        <f>VLOOKUP(IMSS[[#This Row],[NEM]],BDD[],2,0)</f>
        <v>Fatima Michelle Urbina Carreón</v>
      </c>
      <c r="E131" s="167" t="str">
        <f>VLOOKUP(IMSS[[#This Row],[NEM]],BDD[],9,0)</f>
        <v>CRÉDITOS</v>
      </c>
      <c r="F131" s="168">
        <v>30</v>
      </c>
      <c r="G131" s="139">
        <f>VLOOKUP(IMSS[[#This Row],[NEM]],BDD[],3,0)</f>
        <v>25800</v>
      </c>
      <c r="H131" s="139">
        <f ca="1">VLOOKUP(IMSS[[#This Row],[NEM]],BDD[],25,0)</f>
        <v>949.53424657534254</v>
      </c>
      <c r="I131" s="143">
        <f>VLOOKUP(IMSS[[#This Row],[DEPT]],$B$3:$G$49,6,0)</f>
        <v>5.4355000000000002E-3</v>
      </c>
      <c r="J131" s="163">
        <f ca="1">IMSS[[#This Row],[DIAS LAB]]*IMSS[[#This Row],[SDI]]*IMSS[[#This Row],[% RSG]]*$Q$108</f>
        <v>154.83580191780825</v>
      </c>
      <c r="K131" s="163">
        <f>IMSS[[#This Row],[DIAS LAB]]*$J$110*$Q$109</f>
        <v>548.47440000000006</v>
      </c>
      <c r="L131" s="166">
        <f ca="1">IMSS[[#This Row],[DIAS LAB]]*IF(IMSS[[#This Row],[SDI]]-$J$113&gt;0,IMSS[[#This Row],[SDI]]-$J$113,0)*$Q$110</f>
        <v>224.62250136986302</v>
      </c>
      <c r="M131" s="166">
        <f ca="1">IMSS[[#This Row],[DIAS LAB]]*IMSS[[#This Row],[SDI]]*$Q$111</f>
        <v>299.10328767123292</v>
      </c>
      <c r="N131" s="163">
        <f ca="1">IMSS[[#This Row],[DIAS LAB]]*IMSS[[#This Row],[SDI]]*$Q$112</f>
        <v>199.40219178082194</v>
      </c>
      <c r="O131" s="166">
        <f ca="1">IMSS[[#This Row],[DIAS LAB]]*IMSS[[#This Row],[SDI]]*$Q$113</f>
        <v>498.50547945205489</v>
      </c>
      <c r="P131" s="163">
        <f ca="1">IMSS[[#This Row],[DIAS LAB]]*IMSS[[#This Row],[SDI]]*$Q$114</f>
        <v>284.86027397260278</v>
      </c>
      <c r="Q131" s="166">
        <f ca="1">IMSS[[#This Row],[DIAS LAB]]*IMSS[[#This Row],[SDI]]*$Q$115</f>
        <v>569.72054794520557</v>
      </c>
      <c r="R131" s="163">
        <f ca="1">IMSS[[#This Row],[DIAS LAB]]*IMSS[[#This Row],[SDI]]*$Q$116</f>
        <v>897.30986301369876</v>
      </c>
      <c r="S131" s="163">
        <f ca="1">IMSS[[#This Row],[DIAS LAB]]*IMSS[[#This Row],[SDI]]*$Q$117</f>
        <v>1424.3013698630139</v>
      </c>
      <c r="T131" s="164">
        <f ca="1">SUM(IMSS[[#This Row],[P RSG TRB]:[P INFONAVIT]])</f>
        <v>5101.1357169863022</v>
      </c>
      <c r="U131" s="163">
        <f ca="1">IMSS[[#This Row],[DIAS LAB]]*IMSS[[#This Row],[SDI]]*IMSS[[#This Row],[% RSG]]*$R$108</f>
        <v>0</v>
      </c>
      <c r="V131" s="163">
        <f ca="1">IMSS[[#This Row],[DIAS LAB]]*IMSS[[#This Row],[SDI]]*$R$112</f>
        <v>71.215068493150696</v>
      </c>
      <c r="W131" s="163"/>
      <c r="X131" s="163">
        <f ca="1">IMSS[[#This Row],[DIAS LAB]]*IMSS[[#This Row],[SDI]]*$R$113</f>
        <v>179.46197260273973</v>
      </c>
      <c r="Y131" s="163">
        <f ca="1">IMSS[[#This Row],[DIAS LAB]]*IMSS[[#This Row],[SDI]]*$R$114</f>
        <v>0</v>
      </c>
      <c r="Z131" s="163">
        <f ca="1">IMSS[[#This Row],[DIAS LAB]]*IMSS[[#This Row],[SDI]]*$R$115</f>
        <v>0</v>
      </c>
      <c r="AA131" s="163">
        <f ca="1">IMSS[[#This Row],[DIAS LAB]]*IMSS[[#This Row],[SDI]]*$R$116</f>
        <v>321.89210958904113</v>
      </c>
      <c r="AB131" s="163">
        <f ca="1">IMSS[[#This Row],[DIAS LAB]]*IMSS[[#This Row],[SDI]]*$R$117</f>
        <v>0</v>
      </c>
      <c r="AC131" s="247">
        <f ca="1">SUM(IMSS[[#This Row],[O RSG TRB]:[O INFONAVIT]])</f>
        <v>572.56915068493163</v>
      </c>
      <c r="AD131" s="163"/>
      <c r="AE131" s="165">
        <f ca="1">IMSS[[#This Row],[P TOTAL]]+IMSS[[#This Row],[O TOTAL]]</f>
        <v>5673.7048676712338</v>
      </c>
      <c r="AF131" s="163"/>
      <c r="AG131" s="163">
        <f>VLOOKUP(IMSS[[#This Row],[SUE MENS]],$AG$110:$AJ$120,1,1)</f>
        <v>13381.48</v>
      </c>
      <c r="AH131" s="163">
        <f>IMSS[[#This Row],[SUE MENS]]-IMSS[[#This Row],[LIM INF]]</f>
        <v>12418.52</v>
      </c>
      <c r="AI131" s="163">
        <f>IMSS[[#This Row],[EXC LIM INF]]*(VLOOKUP(IMSS[[#This Row],[LIM INF]],$AG$110:$AJ$120,4,0))</f>
        <v>2652.5958719999999</v>
      </c>
      <c r="AJ131" s="163">
        <f>VLOOKUP(IMSS[[#This Row],[LIM INF]],$AG$110:$AJ$120,3)</f>
        <v>1417.12</v>
      </c>
      <c r="AK131" s="163">
        <f>SUM(IMSS[[#This Row],[TASA EXC]]+IMSS[[#This Row],[CUOTA FIJA]])</f>
        <v>4069.7158719999998</v>
      </c>
      <c r="AL131" s="163">
        <f>VLOOKUP(IMSS[[#This Row],[SUE MENS]],$AL$110:$AN$120,3,1)</f>
        <v>0</v>
      </c>
      <c r="AM131" s="248">
        <f>IF(IMSS[[#This Row],[ISR CARGO]]-IMSS[[#This Row],[SUBS ISR]]&gt;0,IMSS[[#This Row],[ISR CARGO]]-IMSS[[#This Row],[SUBS ISR]],0)</f>
        <v>4069.7158719999998</v>
      </c>
      <c r="AN131" s="248">
        <f>IF(IMSS[[#This Row],[SUBS ISR]]-IMSS[[#This Row],[ISR CARGO]]&gt;0,IMSS[[#This Row],[SUBS ISR]]-IMSS[[#This Row],[ISR CARGO]],0)</f>
        <v>0</v>
      </c>
    </row>
    <row r="132" spans="3:40" ht="15" hidden="1" customHeight="1" x14ac:dyDescent="0.25">
      <c r="C132" s="243">
        <v>108</v>
      </c>
      <c r="D132" s="167" t="str">
        <f>VLOOKUP(IMSS[[#This Row],[NEM]],BDD[],2,0)</f>
        <v>Mérida Isela Medina Salinas</v>
      </c>
      <c r="E132" s="167" t="str">
        <f>VLOOKUP(IMSS[[#This Row],[NEM]],BDD[],9,0)</f>
        <v>DIV ARQUIT</v>
      </c>
      <c r="F132" s="168">
        <v>30</v>
      </c>
      <c r="G132" s="139">
        <f>VLOOKUP(IMSS[[#This Row],[NEM]],BDD[],3,0)</f>
        <v>64200</v>
      </c>
      <c r="H132" s="139">
        <f ca="1">VLOOKUP(IMSS[[#This Row],[NEM]],BDD[],25,0)</f>
        <v>2374.5205479452056</v>
      </c>
      <c r="I132" s="143">
        <f>VLOOKUP(IMSS[[#This Row],[DEPT]],$B$3:$G$49,6,0)</f>
        <v>5.4355000000000002E-3</v>
      </c>
      <c r="J132" s="163">
        <f ca="1">IMSS[[#This Row],[DIAS LAB]]*IMSS[[#This Row],[SDI]]*IMSS[[#This Row],[% RSG]]*$Q$108</f>
        <v>387.20119315068496</v>
      </c>
      <c r="K132" s="163">
        <f>IMSS[[#This Row],[DIAS LAB]]*$J$110*$Q$109</f>
        <v>548.47440000000006</v>
      </c>
      <c r="L132" s="166">
        <f ca="1">IMSS[[#This Row],[DIAS LAB]]*IF(IMSS[[#This Row],[SDI]]-$J$113&gt;0,IMSS[[#This Row],[SDI]]-$J$113,0)*$Q$110</f>
        <v>694.86798082191785</v>
      </c>
      <c r="M132" s="166">
        <f ca="1">IMSS[[#This Row],[DIAS LAB]]*IMSS[[#This Row],[SDI]]*$Q$111</f>
        <v>747.97397260273988</v>
      </c>
      <c r="N132" s="163">
        <f ca="1">IMSS[[#This Row],[DIAS LAB]]*IMSS[[#This Row],[SDI]]*$Q$112</f>
        <v>498.64931506849319</v>
      </c>
      <c r="O132" s="166">
        <f ca="1">IMSS[[#This Row],[DIAS LAB]]*IMSS[[#This Row],[SDI]]*$Q$113</f>
        <v>1246.6232876712331</v>
      </c>
      <c r="P132" s="163">
        <f ca="1">IMSS[[#This Row],[DIAS LAB]]*IMSS[[#This Row],[SDI]]*$Q$114</f>
        <v>712.35616438356169</v>
      </c>
      <c r="Q132" s="166">
        <f ca="1">IMSS[[#This Row],[DIAS LAB]]*IMSS[[#This Row],[SDI]]*$Q$115</f>
        <v>1424.7123287671234</v>
      </c>
      <c r="R132" s="163">
        <f ca="1">IMSS[[#This Row],[DIAS LAB]]*IMSS[[#This Row],[SDI]]*$Q$116</f>
        <v>2243.9219178082194</v>
      </c>
      <c r="S132" s="163">
        <f ca="1">IMSS[[#This Row],[DIAS LAB]]*IMSS[[#This Row],[SDI]]*$Q$117</f>
        <v>3561.7808219178087</v>
      </c>
      <c r="T132" s="164">
        <f ca="1">SUM(IMSS[[#This Row],[P RSG TRB]:[P INFONAVIT]])</f>
        <v>12066.561382191783</v>
      </c>
      <c r="U132" s="163">
        <f ca="1">IMSS[[#This Row],[DIAS LAB]]*IMSS[[#This Row],[SDI]]*IMSS[[#This Row],[% RSG]]*$R$108</f>
        <v>0</v>
      </c>
      <c r="V132" s="163">
        <f ca="1">IMSS[[#This Row],[DIAS LAB]]*IMSS[[#This Row],[SDI]]*$R$112</f>
        <v>178.08904109589042</v>
      </c>
      <c r="W132" s="163"/>
      <c r="X132" s="163">
        <f ca="1">IMSS[[#This Row],[DIAS LAB]]*IMSS[[#This Row],[SDI]]*$R$113</f>
        <v>448.78438356164389</v>
      </c>
      <c r="Y132" s="163">
        <f ca="1">IMSS[[#This Row],[DIAS LAB]]*IMSS[[#This Row],[SDI]]*$R$114</f>
        <v>0</v>
      </c>
      <c r="Z132" s="163">
        <f ca="1">IMSS[[#This Row],[DIAS LAB]]*IMSS[[#This Row],[SDI]]*$R$115</f>
        <v>0</v>
      </c>
      <c r="AA132" s="163">
        <f ca="1">IMSS[[#This Row],[DIAS LAB]]*IMSS[[#This Row],[SDI]]*$R$116</f>
        <v>804.96246575342468</v>
      </c>
      <c r="AB132" s="163">
        <f ca="1">IMSS[[#This Row],[DIAS LAB]]*IMSS[[#This Row],[SDI]]*$R$117</f>
        <v>0</v>
      </c>
      <c r="AC132" s="247">
        <f ca="1">SUM(IMSS[[#This Row],[O RSG TRB]:[O INFONAVIT]])</f>
        <v>1431.8358904109591</v>
      </c>
      <c r="AD132" s="163"/>
      <c r="AE132" s="165">
        <f ca="1">IMSS[[#This Row],[P TOTAL]]+IMSS[[#This Row],[O TOTAL]]</f>
        <v>13498.397272602742</v>
      </c>
      <c r="AF132" s="163"/>
      <c r="AG132" s="163">
        <f>VLOOKUP(IMSS[[#This Row],[SUE MENS]],$AG$110:$AJ$120,1,1)</f>
        <v>42537.59</v>
      </c>
      <c r="AH132" s="163">
        <f>IMSS[[#This Row],[SUE MENS]]-IMSS[[#This Row],[LIM INF]]</f>
        <v>21662.410000000003</v>
      </c>
      <c r="AI132" s="163">
        <f>IMSS[[#This Row],[EXC LIM INF]]*(VLOOKUP(IMSS[[#This Row],[LIM INF]],$AG$110:$AJ$120,4,0))</f>
        <v>6498.7230000000009</v>
      </c>
      <c r="AJ132" s="163">
        <f>VLOOKUP(IMSS[[#This Row],[LIM INF]],$AG$110:$AJ$120,3)</f>
        <v>7980.73</v>
      </c>
      <c r="AK132" s="163">
        <f>SUM(IMSS[[#This Row],[TASA EXC]]+IMSS[[#This Row],[CUOTA FIJA]])</f>
        <v>14479.453000000001</v>
      </c>
      <c r="AL132" s="163">
        <f>VLOOKUP(IMSS[[#This Row],[SUE MENS]],$AL$110:$AN$120,3,1)</f>
        <v>0</v>
      </c>
      <c r="AM132" s="248">
        <f>IF(IMSS[[#This Row],[ISR CARGO]]-IMSS[[#This Row],[SUBS ISR]]&gt;0,IMSS[[#This Row],[ISR CARGO]]-IMSS[[#This Row],[SUBS ISR]],0)</f>
        <v>14479.453000000001</v>
      </c>
      <c r="AN132" s="248">
        <f>IF(IMSS[[#This Row],[SUBS ISR]]-IMSS[[#This Row],[ISR CARGO]]&gt;0,IMSS[[#This Row],[SUBS ISR]]-IMSS[[#This Row],[ISR CARGO]],0)</f>
        <v>0</v>
      </c>
    </row>
    <row r="133" spans="3:40" ht="15" hidden="1" customHeight="1" x14ac:dyDescent="0.25">
      <c r="C133" s="243">
        <v>109</v>
      </c>
      <c r="D133" s="167" t="str">
        <f>VLOOKUP(IMSS[[#This Row],[NEM]],BDD[],2,0)</f>
        <v>Melissa Estefanía Cruz Hernández</v>
      </c>
      <c r="E133" s="167" t="str">
        <f>VLOOKUP(IMSS[[#This Row],[NEM]],BDD[],9,0)</f>
        <v>RCRSO LEGAL</v>
      </c>
      <c r="F133" s="168">
        <v>30</v>
      </c>
      <c r="G133" s="139">
        <f>VLOOKUP(IMSS[[#This Row],[NEM]],BDD[],3,0)</f>
        <v>32100</v>
      </c>
      <c r="H133" s="139">
        <f ca="1">VLOOKUP(IMSS[[#This Row],[NEM]],BDD[],25,0)</f>
        <v>1178.4657534246574</v>
      </c>
      <c r="I133" s="143">
        <f>VLOOKUP(IMSS[[#This Row],[DEPT]],$B$3:$G$49,6,0)</f>
        <v>5.4355000000000002E-3</v>
      </c>
      <c r="J133" s="163">
        <f ca="1">IMSS[[#This Row],[DIAS LAB]]*IMSS[[#This Row],[SDI]]*IMSS[[#This Row],[% RSG]]*$Q$108</f>
        <v>192.16651808219174</v>
      </c>
      <c r="K133" s="163">
        <f>IMSS[[#This Row],[DIAS LAB]]*$J$110*$Q$109</f>
        <v>548.47440000000006</v>
      </c>
      <c r="L133" s="166">
        <f ca="1">IMSS[[#This Row],[DIAS LAB]]*IF(IMSS[[#This Row],[SDI]]-$J$113&gt;0,IMSS[[#This Row],[SDI]]-$J$113,0)*$Q$110</f>
        <v>300.16989863013691</v>
      </c>
      <c r="M133" s="166">
        <f ca="1">IMSS[[#This Row],[DIAS LAB]]*IMSS[[#This Row],[SDI]]*$Q$111</f>
        <v>371.21671232876707</v>
      </c>
      <c r="N133" s="163">
        <f ca="1">IMSS[[#This Row],[DIAS LAB]]*IMSS[[#This Row],[SDI]]*$Q$112</f>
        <v>247.47780821917803</v>
      </c>
      <c r="O133" s="166">
        <f ca="1">IMSS[[#This Row],[DIAS LAB]]*IMSS[[#This Row],[SDI]]*$Q$113</f>
        <v>618.6945205479451</v>
      </c>
      <c r="P133" s="163">
        <f ca="1">IMSS[[#This Row],[DIAS LAB]]*IMSS[[#This Row],[SDI]]*$Q$114</f>
        <v>353.53972602739719</v>
      </c>
      <c r="Q133" s="166">
        <f ca="1">IMSS[[#This Row],[DIAS LAB]]*IMSS[[#This Row],[SDI]]*$Q$115</f>
        <v>707.07945205479439</v>
      </c>
      <c r="R133" s="163">
        <f ca="1">IMSS[[#This Row],[DIAS LAB]]*IMSS[[#This Row],[SDI]]*$Q$116</f>
        <v>1113.650136986301</v>
      </c>
      <c r="S133" s="163">
        <f ca="1">IMSS[[#This Row],[DIAS LAB]]*IMSS[[#This Row],[SDI]]*$Q$117</f>
        <v>1767.6986301369861</v>
      </c>
      <c r="T133" s="164">
        <f ca="1">SUM(IMSS[[#This Row],[P RSG TRB]:[P INFONAVIT]])</f>
        <v>6220.1678030136973</v>
      </c>
      <c r="U133" s="163">
        <f ca="1">IMSS[[#This Row],[DIAS LAB]]*IMSS[[#This Row],[SDI]]*IMSS[[#This Row],[% RSG]]*$R$108</f>
        <v>0</v>
      </c>
      <c r="V133" s="163">
        <f ca="1">IMSS[[#This Row],[DIAS LAB]]*IMSS[[#This Row],[SDI]]*$R$112</f>
        <v>88.384931506849298</v>
      </c>
      <c r="W133" s="163"/>
      <c r="X133" s="163">
        <f ca="1">IMSS[[#This Row],[DIAS LAB]]*IMSS[[#This Row],[SDI]]*$R$113</f>
        <v>222.73002739726024</v>
      </c>
      <c r="Y133" s="163">
        <f ca="1">IMSS[[#This Row],[DIAS LAB]]*IMSS[[#This Row],[SDI]]*$R$114</f>
        <v>0</v>
      </c>
      <c r="Z133" s="163">
        <f ca="1">IMSS[[#This Row],[DIAS LAB]]*IMSS[[#This Row],[SDI]]*$R$115</f>
        <v>0</v>
      </c>
      <c r="AA133" s="163">
        <f ca="1">IMSS[[#This Row],[DIAS LAB]]*IMSS[[#This Row],[SDI]]*$R$116</f>
        <v>399.49989041095881</v>
      </c>
      <c r="AB133" s="163">
        <f ca="1">IMSS[[#This Row],[DIAS LAB]]*IMSS[[#This Row],[SDI]]*$R$117</f>
        <v>0</v>
      </c>
      <c r="AC133" s="247">
        <f ca="1">SUM(IMSS[[#This Row],[O RSG TRB]:[O INFONAVIT]])</f>
        <v>710.61484931506834</v>
      </c>
      <c r="AD133" s="163"/>
      <c r="AE133" s="165">
        <f ca="1">IMSS[[#This Row],[P TOTAL]]+IMSS[[#This Row],[O TOTAL]]</f>
        <v>6930.7826523287658</v>
      </c>
      <c r="AF133" s="163"/>
      <c r="AG133" s="163">
        <f>VLOOKUP(IMSS[[#This Row],[SUE MENS]],$AG$110:$AJ$120,1,1)</f>
        <v>26988.51</v>
      </c>
      <c r="AH133" s="163">
        <f>IMSS[[#This Row],[SUE MENS]]-IMSS[[#This Row],[LIM INF]]</f>
        <v>5111.4900000000016</v>
      </c>
      <c r="AI133" s="163">
        <f>IMSS[[#This Row],[EXC LIM INF]]*(VLOOKUP(IMSS[[#This Row],[LIM INF]],$AG$110:$AJ$120,4,0))</f>
        <v>1202.2224480000004</v>
      </c>
      <c r="AJ133" s="163">
        <f>VLOOKUP(IMSS[[#This Row],[LIM INF]],$AG$110:$AJ$120,3)</f>
        <v>4323.58</v>
      </c>
      <c r="AK133" s="163">
        <f>SUM(IMSS[[#This Row],[TASA EXC]]+IMSS[[#This Row],[CUOTA FIJA]])</f>
        <v>5525.8024480000004</v>
      </c>
      <c r="AL133" s="163">
        <f>VLOOKUP(IMSS[[#This Row],[SUE MENS]],$AL$110:$AN$120,3,1)</f>
        <v>0</v>
      </c>
      <c r="AM133" s="248">
        <f>IF(IMSS[[#This Row],[ISR CARGO]]-IMSS[[#This Row],[SUBS ISR]]&gt;0,IMSS[[#This Row],[ISR CARGO]]-IMSS[[#This Row],[SUBS ISR]],0)</f>
        <v>5525.8024480000004</v>
      </c>
      <c r="AN133" s="248">
        <f>IF(IMSS[[#This Row],[SUBS ISR]]-IMSS[[#This Row],[ISR CARGO]]&gt;0,IMSS[[#This Row],[SUBS ISR]]-IMSS[[#This Row],[ISR CARGO]],0)</f>
        <v>0</v>
      </c>
    </row>
    <row r="134" spans="3:40" ht="15" hidden="1" customHeight="1" x14ac:dyDescent="0.25">
      <c r="C134" s="243">
        <v>110</v>
      </c>
      <c r="D134" s="167" t="str">
        <f>VLOOKUP(IMSS[[#This Row],[NEM]],BDD[],2,0)</f>
        <v>Edson Aldair Galván Ipiña</v>
      </c>
      <c r="E134" s="167" t="str">
        <f>VLOOKUP(IMSS[[#This Row],[NEM]],BDD[],9,0)</f>
        <v>COMPRAS</v>
      </c>
      <c r="F134" s="168">
        <v>30</v>
      </c>
      <c r="G134" s="139">
        <f>VLOOKUP(IMSS[[#This Row],[NEM]],BDD[],3,0)</f>
        <v>22200</v>
      </c>
      <c r="H134" s="139">
        <f ca="1">VLOOKUP(IMSS[[#This Row],[NEM]],BDD[],25,0)</f>
        <v>821.09589041095887</v>
      </c>
      <c r="I134" s="143">
        <f>VLOOKUP(IMSS[[#This Row],[DEPT]],$B$3:$G$49,6,0)</f>
        <v>5.4355000000000002E-3</v>
      </c>
      <c r="J134" s="163">
        <f ca="1">IMSS[[#This Row],[DIAS LAB]]*IMSS[[#This Row],[SDI]]*IMSS[[#This Row],[% RSG]]*$Q$108</f>
        <v>133.89200136986301</v>
      </c>
      <c r="K134" s="163">
        <f>IMSS[[#This Row],[DIAS LAB]]*$J$110*$Q$109</f>
        <v>548.47440000000006</v>
      </c>
      <c r="L134" s="166">
        <f ca="1">IMSS[[#This Row],[DIAS LAB]]*IF(IMSS[[#This Row],[SDI]]-$J$113&gt;0,IMSS[[#This Row],[SDI]]-$J$113,0)*$Q$110</f>
        <v>182.23784383561642</v>
      </c>
      <c r="M134" s="166">
        <f ca="1">IMSS[[#This Row],[DIAS LAB]]*IMSS[[#This Row],[SDI]]*$Q$111</f>
        <v>258.64520547945204</v>
      </c>
      <c r="N134" s="163">
        <f ca="1">IMSS[[#This Row],[DIAS LAB]]*IMSS[[#This Row],[SDI]]*$Q$112</f>
        <v>172.43013698630136</v>
      </c>
      <c r="O134" s="166">
        <f ca="1">IMSS[[#This Row],[DIAS LAB]]*IMSS[[#This Row],[SDI]]*$Q$113</f>
        <v>431.07534246575341</v>
      </c>
      <c r="P134" s="163">
        <f ca="1">IMSS[[#This Row],[DIAS LAB]]*IMSS[[#This Row],[SDI]]*$Q$114</f>
        <v>246.32876712328766</v>
      </c>
      <c r="Q134" s="166">
        <f ca="1">IMSS[[#This Row],[DIAS LAB]]*IMSS[[#This Row],[SDI]]*$Q$115</f>
        <v>492.65753424657532</v>
      </c>
      <c r="R134" s="163">
        <f ca="1">IMSS[[#This Row],[DIAS LAB]]*IMSS[[#This Row],[SDI]]*$Q$116</f>
        <v>775.93561643835608</v>
      </c>
      <c r="S134" s="163">
        <f ca="1">IMSS[[#This Row],[DIAS LAB]]*IMSS[[#This Row],[SDI]]*$Q$117</f>
        <v>1231.6438356164383</v>
      </c>
      <c r="T134" s="164">
        <f ca="1">SUM(IMSS[[#This Row],[P RSG TRB]:[P INFONAVIT]])</f>
        <v>4473.3206835616438</v>
      </c>
      <c r="U134" s="163">
        <f ca="1">IMSS[[#This Row],[DIAS LAB]]*IMSS[[#This Row],[SDI]]*IMSS[[#This Row],[% RSG]]*$R$108</f>
        <v>0</v>
      </c>
      <c r="V134" s="163">
        <f ca="1">IMSS[[#This Row],[DIAS LAB]]*IMSS[[#This Row],[SDI]]*$R$112</f>
        <v>61.582191780821915</v>
      </c>
      <c r="W134" s="163"/>
      <c r="X134" s="163">
        <f ca="1">IMSS[[#This Row],[DIAS LAB]]*IMSS[[#This Row],[SDI]]*$R$113</f>
        <v>155.18712328767123</v>
      </c>
      <c r="Y134" s="163">
        <f ca="1">IMSS[[#This Row],[DIAS LAB]]*IMSS[[#This Row],[SDI]]*$R$114</f>
        <v>0</v>
      </c>
      <c r="Z134" s="163">
        <f ca="1">IMSS[[#This Row],[DIAS LAB]]*IMSS[[#This Row],[SDI]]*$R$115</f>
        <v>0</v>
      </c>
      <c r="AA134" s="163">
        <f ca="1">IMSS[[#This Row],[DIAS LAB]]*IMSS[[#This Row],[SDI]]*$R$116</f>
        <v>278.35150684931506</v>
      </c>
      <c r="AB134" s="163">
        <f ca="1">IMSS[[#This Row],[DIAS LAB]]*IMSS[[#This Row],[SDI]]*$R$117</f>
        <v>0</v>
      </c>
      <c r="AC134" s="247">
        <f ca="1">SUM(IMSS[[#This Row],[O RSG TRB]:[O INFONAVIT]])</f>
        <v>495.1208219178082</v>
      </c>
      <c r="AD134" s="163"/>
      <c r="AE134" s="165">
        <f ca="1">IMSS[[#This Row],[P TOTAL]]+IMSS[[#This Row],[O TOTAL]]</f>
        <v>4968.4415054794517</v>
      </c>
      <c r="AF134" s="163"/>
      <c r="AG134" s="163">
        <f>VLOOKUP(IMSS[[#This Row],[SUE MENS]],$AG$110:$AJ$120,1,1)</f>
        <v>13381.48</v>
      </c>
      <c r="AH134" s="163">
        <f>IMSS[[#This Row],[SUE MENS]]-IMSS[[#This Row],[LIM INF]]</f>
        <v>8818.52</v>
      </c>
      <c r="AI134" s="163">
        <f>IMSS[[#This Row],[EXC LIM INF]]*(VLOOKUP(IMSS[[#This Row],[LIM INF]],$AG$110:$AJ$120,4,0))</f>
        <v>1883.6358720000001</v>
      </c>
      <c r="AJ134" s="163">
        <f>VLOOKUP(IMSS[[#This Row],[LIM INF]],$AG$110:$AJ$120,3)</f>
        <v>1417.12</v>
      </c>
      <c r="AK134" s="163">
        <f>SUM(IMSS[[#This Row],[TASA EXC]]+IMSS[[#This Row],[CUOTA FIJA]])</f>
        <v>3300.7558719999997</v>
      </c>
      <c r="AL134" s="163">
        <f>VLOOKUP(IMSS[[#This Row],[SUE MENS]],$AL$110:$AN$120,3,1)</f>
        <v>0</v>
      </c>
      <c r="AM134" s="248">
        <f>IF(IMSS[[#This Row],[ISR CARGO]]-IMSS[[#This Row],[SUBS ISR]]&gt;0,IMSS[[#This Row],[ISR CARGO]]-IMSS[[#This Row],[SUBS ISR]],0)</f>
        <v>3300.7558719999997</v>
      </c>
      <c r="AN134" s="248">
        <f>IF(IMSS[[#This Row],[SUBS ISR]]-IMSS[[#This Row],[ISR CARGO]]&gt;0,IMSS[[#This Row],[SUBS ISR]]-IMSS[[#This Row],[ISR CARGO]],0)</f>
        <v>0</v>
      </c>
    </row>
    <row r="135" spans="3:40" ht="15" hidden="1" customHeight="1" x14ac:dyDescent="0.25">
      <c r="C135" s="243">
        <v>111</v>
      </c>
      <c r="D135" s="167" t="str">
        <f>VLOOKUP(IMSS[[#This Row],[NEM]],BDD[],2,0)</f>
        <v>Edgar Mauricio Cáceres Rivera</v>
      </c>
      <c r="E135" s="167" t="str">
        <f>VLOOKUP(IMSS[[#This Row],[NEM]],BDD[],9,0)</f>
        <v>AUDIT ADMN</v>
      </c>
      <c r="F135" s="168">
        <v>30</v>
      </c>
      <c r="G135" s="139">
        <f>VLOOKUP(IMSS[[#This Row],[NEM]],BDD[],3,0)</f>
        <v>7445</v>
      </c>
      <c r="H135" s="139">
        <f ca="1">VLOOKUP(IMSS[[#This Row],[NEM]],BDD[],25,0)</f>
        <v>273.32328767123283</v>
      </c>
      <c r="I135" s="143">
        <f>VLOOKUP(IMSS[[#This Row],[DEPT]],$B$3:$G$49,6,0)</f>
        <v>5.4355000000000002E-3</v>
      </c>
      <c r="J135" s="163">
        <f ca="1">IMSS[[#This Row],[DIAS LAB]]*IMSS[[#This Row],[SDI]]*IMSS[[#This Row],[% RSG]]*$Q$108</f>
        <v>44.569461904109588</v>
      </c>
      <c r="K135" s="163">
        <f>IMSS[[#This Row],[DIAS LAB]]*$J$110*$Q$109</f>
        <v>548.47440000000006</v>
      </c>
      <c r="L135" s="166">
        <f ca="1">IMSS[[#This Row],[DIAS LAB]]*IF(IMSS[[#This Row],[SDI]]-$J$113&gt;0,IMSS[[#This Row],[SDI]]-$J$113,0)*$Q$110</f>
        <v>1.4728849315068304</v>
      </c>
      <c r="M135" s="166">
        <f ca="1">IMSS[[#This Row],[DIAS LAB]]*IMSS[[#This Row],[SDI]]*$Q$111</f>
        <v>86.096835616438355</v>
      </c>
      <c r="N135" s="163">
        <f ca="1">IMSS[[#This Row],[DIAS LAB]]*IMSS[[#This Row],[SDI]]*$Q$112</f>
        <v>57.397890410958901</v>
      </c>
      <c r="O135" s="166">
        <f ca="1">IMSS[[#This Row],[DIAS LAB]]*IMSS[[#This Row],[SDI]]*$Q$113</f>
        <v>143.49472602739726</v>
      </c>
      <c r="P135" s="163">
        <f ca="1">IMSS[[#This Row],[DIAS LAB]]*IMSS[[#This Row],[SDI]]*$Q$114</f>
        <v>81.996986301369859</v>
      </c>
      <c r="Q135" s="166">
        <f ca="1">IMSS[[#This Row],[DIAS LAB]]*IMSS[[#This Row],[SDI]]*$Q$115</f>
        <v>163.99397260273972</v>
      </c>
      <c r="R135" s="163">
        <f ca="1">IMSS[[#This Row],[DIAS LAB]]*IMSS[[#This Row],[SDI]]*$Q$116</f>
        <v>258.29050684931502</v>
      </c>
      <c r="S135" s="163">
        <f ca="1">IMSS[[#This Row],[DIAS LAB]]*IMSS[[#This Row],[SDI]]*$Q$117</f>
        <v>409.98493150684931</v>
      </c>
      <c r="T135" s="164">
        <f ca="1">SUM(IMSS[[#This Row],[P RSG TRB]:[P INFONAVIT]])</f>
        <v>1795.7725961506851</v>
      </c>
      <c r="U135" s="163">
        <f ca="1">IMSS[[#This Row],[DIAS LAB]]*IMSS[[#This Row],[SDI]]*IMSS[[#This Row],[% RSG]]*$R$108</f>
        <v>0</v>
      </c>
      <c r="V135" s="163">
        <f ca="1">IMSS[[#This Row],[DIAS LAB]]*IMSS[[#This Row],[SDI]]*$R$112</f>
        <v>20.499246575342465</v>
      </c>
      <c r="W135" s="163"/>
      <c r="X135" s="163">
        <f ca="1">IMSS[[#This Row],[DIAS LAB]]*IMSS[[#This Row],[SDI]]*$R$113</f>
        <v>51.658101369863004</v>
      </c>
      <c r="Y135" s="163">
        <f ca="1">IMSS[[#This Row],[DIAS LAB]]*IMSS[[#This Row],[SDI]]*$R$114</f>
        <v>0</v>
      </c>
      <c r="Z135" s="163">
        <f ca="1">IMSS[[#This Row],[DIAS LAB]]*IMSS[[#This Row],[SDI]]*$R$115</f>
        <v>0</v>
      </c>
      <c r="AA135" s="163">
        <f ca="1">IMSS[[#This Row],[DIAS LAB]]*IMSS[[#This Row],[SDI]]*$R$116</f>
        <v>92.656594520547927</v>
      </c>
      <c r="AB135" s="163">
        <f ca="1">IMSS[[#This Row],[DIAS LAB]]*IMSS[[#This Row],[SDI]]*$R$117</f>
        <v>0</v>
      </c>
      <c r="AC135" s="247">
        <f ca="1">SUM(IMSS[[#This Row],[O RSG TRB]:[O INFONAVIT]])</f>
        <v>164.8139424657534</v>
      </c>
      <c r="AD135" s="163"/>
      <c r="AE135" s="165">
        <f ca="1">IMSS[[#This Row],[P TOTAL]]+IMSS[[#This Row],[O TOTAL]]</f>
        <v>1960.5865386164385</v>
      </c>
      <c r="AF135" s="163"/>
      <c r="AG135" s="163">
        <f>VLOOKUP(IMSS[[#This Row],[SUE MENS]],$AG$110:$AJ$120,1,1)</f>
        <v>5470.93</v>
      </c>
      <c r="AH135" s="163">
        <f>IMSS[[#This Row],[SUE MENS]]-IMSS[[#This Row],[LIM INF]]</f>
        <v>1974.0699999999997</v>
      </c>
      <c r="AI135" s="163">
        <f>IMSS[[#This Row],[EXC LIM INF]]*(VLOOKUP(IMSS[[#This Row],[LIM INF]],$AG$110:$AJ$120,4,0))</f>
        <v>214.77881599999998</v>
      </c>
      <c r="AJ135" s="163">
        <f>VLOOKUP(IMSS[[#This Row],[LIM INF]],$AG$110:$AJ$120,3)</f>
        <v>321.26</v>
      </c>
      <c r="AK135" s="163">
        <f>SUM(IMSS[[#This Row],[TASA EXC]]+IMSS[[#This Row],[CUOTA FIJA]])</f>
        <v>536.038816</v>
      </c>
      <c r="AL135" s="163">
        <f>VLOOKUP(IMSS[[#This Row],[SUE MENS]],$AL$110:$AN$120,3,1)</f>
        <v>0</v>
      </c>
      <c r="AM135" s="248">
        <f>IF(IMSS[[#This Row],[ISR CARGO]]-IMSS[[#This Row],[SUBS ISR]]&gt;0,IMSS[[#This Row],[ISR CARGO]]-IMSS[[#This Row],[SUBS ISR]],0)</f>
        <v>536.038816</v>
      </c>
      <c r="AN135" s="248">
        <f>IF(IMSS[[#This Row],[SUBS ISR]]-IMSS[[#This Row],[ISR CARGO]]&gt;0,IMSS[[#This Row],[SUBS ISR]]-IMSS[[#This Row],[ISR CARGO]],0)</f>
        <v>0</v>
      </c>
    </row>
    <row r="136" spans="3:40" ht="15" hidden="1" customHeight="1" x14ac:dyDescent="0.25">
      <c r="C136" s="243">
        <v>112</v>
      </c>
      <c r="D136" s="167" t="str">
        <f>VLOOKUP(IMSS[[#This Row],[NEM]],BDD[],2,0)</f>
        <v>Marco Aurelio Urbino</v>
      </c>
      <c r="E136" s="167" t="str">
        <f>VLOOKUP(IMSS[[#This Row],[NEM]],BDD[],9,0)</f>
        <v>AUDITORÍA</v>
      </c>
      <c r="F136" s="168">
        <v>30</v>
      </c>
      <c r="G136" s="139">
        <f>VLOOKUP(IMSS[[#This Row],[NEM]],BDD[],3,0)</f>
        <v>53600</v>
      </c>
      <c r="H136" s="139">
        <f ca="1">VLOOKUP(IMSS[[#This Row],[NEM]],BDD[],25,0)</f>
        <v>1982.4657534246576</v>
      </c>
      <c r="I136" s="143">
        <f>VLOOKUP(IMSS[[#This Row],[DEPT]],$B$3:$G$49,6,0)</f>
        <v>5.4355000000000002E-3</v>
      </c>
      <c r="J136" s="163">
        <f ca="1">IMSS[[#This Row],[DIAS LAB]]*IMSS[[#This Row],[SDI]]*IMSS[[#This Row],[% RSG]]*$Q$108</f>
        <v>323.27077808219178</v>
      </c>
      <c r="K136" s="163">
        <f>IMSS[[#This Row],[DIAS LAB]]*$J$110*$Q$109</f>
        <v>548.47440000000006</v>
      </c>
      <c r="L136" s="166">
        <f ca="1">IMSS[[#This Row],[DIAS LAB]]*IF(IMSS[[#This Row],[SDI]]-$J$113&gt;0,IMSS[[#This Row],[SDI]]-$J$113,0)*$Q$110</f>
        <v>565.48989863013696</v>
      </c>
      <c r="M136" s="166">
        <f ca="1">IMSS[[#This Row],[DIAS LAB]]*IMSS[[#This Row],[SDI]]*$Q$111</f>
        <v>624.47671232876712</v>
      </c>
      <c r="N136" s="163">
        <f ca="1">IMSS[[#This Row],[DIAS LAB]]*IMSS[[#This Row],[SDI]]*$Q$112</f>
        <v>416.31780821917812</v>
      </c>
      <c r="O136" s="166">
        <f ca="1">IMSS[[#This Row],[DIAS LAB]]*IMSS[[#This Row],[SDI]]*$Q$113</f>
        <v>1040.7945205479452</v>
      </c>
      <c r="P136" s="163">
        <f ca="1">IMSS[[#This Row],[DIAS LAB]]*IMSS[[#This Row],[SDI]]*$Q$114</f>
        <v>594.7397260273973</v>
      </c>
      <c r="Q136" s="166">
        <f ca="1">IMSS[[#This Row],[DIAS LAB]]*IMSS[[#This Row],[SDI]]*$Q$115</f>
        <v>1189.4794520547946</v>
      </c>
      <c r="R136" s="163">
        <f ca="1">IMSS[[#This Row],[DIAS LAB]]*IMSS[[#This Row],[SDI]]*$Q$116</f>
        <v>1873.4301369863015</v>
      </c>
      <c r="S136" s="163">
        <f ca="1">IMSS[[#This Row],[DIAS LAB]]*IMSS[[#This Row],[SDI]]*$Q$117</f>
        <v>2973.6986301369866</v>
      </c>
      <c r="T136" s="164">
        <f ca="1">SUM(IMSS[[#This Row],[P RSG TRB]:[P INFONAVIT]])</f>
        <v>10150.172063013699</v>
      </c>
      <c r="U136" s="163">
        <f ca="1">IMSS[[#This Row],[DIAS LAB]]*IMSS[[#This Row],[SDI]]*IMSS[[#This Row],[% RSG]]*$R$108</f>
        <v>0</v>
      </c>
      <c r="V136" s="163">
        <f ca="1">IMSS[[#This Row],[DIAS LAB]]*IMSS[[#This Row],[SDI]]*$R$112</f>
        <v>148.68493150684932</v>
      </c>
      <c r="W136" s="163"/>
      <c r="X136" s="163">
        <f ca="1">IMSS[[#This Row],[DIAS LAB]]*IMSS[[#This Row],[SDI]]*$R$113</f>
        <v>374.68602739726026</v>
      </c>
      <c r="Y136" s="163">
        <f ca="1">IMSS[[#This Row],[DIAS LAB]]*IMSS[[#This Row],[SDI]]*$R$114</f>
        <v>0</v>
      </c>
      <c r="Z136" s="163">
        <f ca="1">IMSS[[#This Row],[DIAS LAB]]*IMSS[[#This Row],[SDI]]*$R$115</f>
        <v>0</v>
      </c>
      <c r="AA136" s="163">
        <f ca="1">IMSS[[#This Row],[DIAS LAB]]*IMSS[[#This Row],[SDI]]*$R$116</f>
        <v>672.05589041095891</v>
      </c>
      <c r="AB136" s="163">
        <f ca="1">IMSS[[#This Row],[DIAS LAB]]*IMSS[[#This Row],[SDI]]*$R$117</f>
        <v>0</v>
      </c>
      <c r="AC136" s="247">
        <f ca="1">SUM(IMSS[[#This Row],[O RSG TRB]:[O INFONAVIT]])</f>
        <v>1195.4268493150685</v>
      </c>
      <c r="AD136" s="163"/>
      <c r="AE136" s="165">
        <f ca="1">IMSS[[#This Row],[P TOTAL]]+IMSS[[#This Row],[O TOTAL]]</f>
        <v>11345.598912328767</v>
      </c>
      <c r="AF136" s="163"/>
      <c r="AG136" s="163">
        <f>VLOOKUP(IMSS[[#This Row],[SUE MENS]],$AG$110:$AJ$120,1,1)</f>
        <v>42537.59</v>
      </c>
      <c r="AH136" s="163">
        <f>IMSS[[#This Row],[SUE MENS]]-IMSS[[#This Row],[LIM INF]]</f>
        <v>11062.410000000003</v>
      </c>
      <c r="AI136" s="163">
        <f>IMSS[[#This Row],[EXC LIM INF]]*(VLOOKUP(IMSS[[#This Row],[LIM INF]],$AG$110:$AJ$120,4,0))</f>
        <v>3318.7230000000009</v>
      </c>
      <c r="AJ136" s="163">
        <f>VLOOKUP(IMSS[[#This Row],[LIM INF]],$AG$110:$AJ$120,3)</f>
        <v>7980.73</v>
      </c>
      <c r="AK136" s="163">
        <f>SUM(IMSS[[#This Row],[TASA EXC]]+IMSS[[#This Row],[CUOTA FIJA]])</f>
        <v>11299.453000000001</v>
      </c>
      <c r="AL136" s="163">
        <f>VLOOKUP(IMSS[[#This Row],[SUE MENS]],$AL$110:$AN$120,3,1)</f>
        <v>0</v>
      </c>
      <c r="AM136" s="248">
        <f>IF(IMSS[[#This Row],[ISR CARGO]]-IMSS[[#This Row],[SUBS ISR]]&gt;0,IMSS[[#This Row],[ISR CARGO]]-IMSS[[#This Row],[SUBS ISR]],0)</f>
        <v>11299.453000000001</v>
      </c>
      <c r="AN136" s="248">
        <f>IF(IMSS[[#This Row],[SUBS ISR]]-IMSS[[#This Row],[ISR CARGO]]&gt;0,IMSS[[#This Row],[SUBS ISR]]-IMSS[[#This Row],[ISR CARGO]],0)</f>
        <v>0</v>
      </c>
    </row>
    <row r="137" spans="3:40" ht="15" hidden="1" customHeight="1" x14ac:dyDescent="0.25">
      <c r="C137" s="243">
        <v>113</v>
      </c>
      <c r="D137" s="167" t="str">
        <f>VLOOKUP(IMSS[[#This Row],[NEM]],BDD[],2,0)</f>
        <v>Lorien Geraldine Mauri Cervantes</v>
      </c>
      <c r="E137" s="167" t="str">
        <f>VLOOKUP(IMSS[[#This Row],[NEM]],BDD[],9,0)</f>
        <v>INVERS</v>
      </c>
      <c r="F137" s="168">
        <v>30</v>
      </c>
      <c r="G137" s="139">
        <f>VLOOKUP(IMSS[[#This Row],[NEM]],BDD[],3,0)</f>
        <v>7445</v>
      </c>
      <c r="H137" s="139">
        <f ca="1">VLOOKUP(IMSS[[#This Row],[NEM]],BDD[],25,0)</f>
        <v>273.32328767123283</v>
      </c>
      <c r="I137" s="143">
        <f>VLOOKUP(IMSS[[#This Row],[DEPT]],$B$3:$G$49,6,0)</f>
        <v>5.4355000000000002E-3</v>
      </c>
      <c r="J137" s="163">
        <f ca="1">IMSS[[#This Row],[DIAS LAB]]*IMSS[[#This Row],[SDI]]*IMSS[[#This Row],[% RSG]]*$Q$108</f>
        <v>44.569461904109588</v>
      </c>
      <c r="K137" s="163">
        <f>IMSS[[#This Row],[DIAS LAB]]*$J$110*$Q$109</f>
        <v>548.47440000000006</v>
      </c>
      <c r="L137" s="166">
        <f ca="1">IMSS[[#This Row],[DIAS LAB]]*IF(IMSS[[#This Row],[SDI]]-$J$113&gt;0,IMSS[[#This Row],[SDI]]-$J$113,0)*$Q$110</f>
        <v>1.4728849315068304</v>
      </c>
      <c r="M137" s="166">
        <f ca="1">IMSS[[#This Row],[DIAS LAB]]*IMSS[[#This Row],[SDI]]*$Q$111</f>
        <v>86.096835616438355</v>
      </c>
      <c r="N137" s="163">
        <f ca="1">IMSS[[#This Row],[DIAS LAB]]*IMSS[[#This Row],[SDI]]*$Q$112</f>
        <v>57.397890410958901</v>
      </c>
      <c r="O137" s="166">
        <f ca="1">IMSS[[#This Row],[DIAS LAB]]*IMSS[[#This Row],[SDI]]*$Q$113</f>
        <v>143.49472602739726</v>
      </c>
      <c r="P137" s="163">
        <f ca="1">IMSS[[#This Row],[DIAS LAB]]*IMSS[[#This Row],[SDI]]*$Q$114</f>
        <v>81.996986301369859</v>
      </c>
      <c r="Q137" s="166">
        <f ca="1">IMSS[[#This Row],[DIAS LAB]]*IMSS[[#This Row],[SDI]]*$Q$115</f>
        <v>163.99397260273972</v>
      </c>
      <c r="R137" s="163">
        <f ca="1">IMSS[[#This Row],[DIAS LAB]]*IMSS[[#This Row],[SDI]]*$Q$116</f>
        <v>258.29050684931502</v>
      </c>
      <c r="S137" s="163">
        <f ca="1">IMSS[[#This Row],[DIAS LAB]]*IMSS[[#This Row],[SDI]]*$Q$117</f>
        <v>409.98493150684931</v>
      </c>
      <c r="T137" s="164">
        <f ca="1">SUM(IMSS[[#This Row],[P RSG TRB]:[P INFONAVIT]])</f>
        <v>1795.7725961506851</v>
      </c>
      <c r="U137" s="163">
        <f ca="1">IMSS[[#This Row],[DIAS LAB]]*IMSS[[#This Row],[SDI]]*IMSS[[#This Row],[% RSG]]*$R$108</f>
        <v>0</v>
      </c>
      <c r="V137" s="163">
        <f ca="1">IMSS[[#This Row],[DIAS LAB]]*IMSS[[#This Row],[SDI]]*$R$112</f>
        <v>20.499246575342465</v>
      </c>
      <c r="W137" s="163"/>
      <c r="X137" s="163">
        <f ca="1">IMSS[[#This Row],[DIAS LAB]]*IMSS[[#This Row],[SDI]]*$R$113</f>
        <v>51.658101369863004</v>
      </c>
      <c r="Y137" s="163">
        <f ca="1">IMSS[[#This Row],[DIAS LAB]]*IMSS[[#This Row],[SDI]]*$R$114</f>
        <v>0</v>
      </c>
      <c r="Z137" s="163">
        <f ca="1">IMSS[[#This Row],[DIAS LAB]]*IMSS[[#This Row],[SDI]]*$R$115</f>
        <v>0</v>
      </c>
      <c r="AA137" s="163">
        <f ca="1">IMSS[[#This Row],[DIAS LAB]]*IMSS[[#This Row],[SDI]]*$R$116</f>
        <v>92.656594520547927</v>
      </c>
      <c r="AB137" s="163">
        <f ca="1">IMSS[[#This Row],[DIAS LAB]]*IMSS[[#This Row],[SDI]]*$R$117</f>
        <v>0</v>
      </c>
      <c r="AC137" s="247">
        <f ca="1">SUM(IMSS[[#This Row],[O RSG TRB]:[O INFONAVIT]])</f>
        <v>164.8139424657534</v>
      </c>
      <c r="AD137" s="163"/>
      <c r="AE137" s="165">
        <f ca="1">IMSS[[#This Row],[P TOTAL]]+IMSS[[#This Row],[O TOTAL]]</f>
        <v>1960.5865386164385</v>
      </c>
      <c r="AF137" s="163"/>
      <c r="AG137" s="163">
        <f>VLOOKUP(IMSS[[#This Row],[SUE MENS]],$AG$110:$AJ$120,1,1)</f>
        <v>5470.93</v>
      </c>
      <c r="AH137" s="163">
        <f>IMSS[[#This Row],[SUE MENS]]-IMSS[[#This Row],[LIM INF]]</f>
        <v>1974.0699999999997</v>
      </c>
      <c r="AI137" s="163">
        <f>IMSS[[#This Row],[EXC LIM INF]]*(VLOOKUP(IMSS[[#This Row],[LIM INF]],$AG$110:$AJ$120,4,0))</f>
        <v>214.77881599999998</v>
      </c>
      <c r="AJ137" s="163">
        <f>VLOOKUP(IMSS[[#This Row],[LIM INF]],$AG$110:$AJ$120,3)</f>
        <v>321.26</v>
      </c>
      <c r="AK137" s="163">
        <f>SUM(IMSS[[#This Row],[TASA EXC]]+IMSS[[#This Row],[CUOTA FIJA]])</f>
        <v>536.038816</v>
      </c>
      <c r="AL137" s="163">
        <f>VLOOKUP(IMSS[[#This Row],[SUE MENS]],$AL$110:$AN$120,3,1)</f>
        <v>0</v>
      </c>
      <c r="AM137" s="248">
        <f>IF(IMSS[[#This Row],[ISR CARGO]]-IMSS[[#This Row],[SUBS ISR]]&gt;0,IMSS[[#This Row],[ISR CARGO]]-IMSS[[#This Row],[SUBS ISR]],0)</f>
        <v>536.038816</v>
      </c>
      <c r="AN137" s="248">
        <f>IF(IMSS[[#This Row],[SUBS ISR]]-IMSS[[#This Row],[ISR CARGO]]&gt;0,IMSS[[#This Row],[SUBS ISR]]-IMSS[[#This Row],[ISR CARGO]],0)</f>
        <v>0</v>
      </c>
    </row>
    <row r="138" spans="3:40" ht="15" hidden="1" customHeight="1" x14ac:dyDescent="0.25">
      <c r="C138" s="243">
        <v>114</v>
      </c>
      <c r="D138" s="167" t="str">
        <f>VLOOKUP(IMSS[[#This Row],[NEM]],BDD[],2,0)</f>
        <v>Paola Judith Fentanes Álvarez</v>
      </c>
      <c r="E138" s="167" t="str">
        <f>VLOOKUP(IMSS[[#This Row],[NEM]],BDD[],9,0)</f>
        <v>NÓMINAS</v>
      </c>
      <c r="F138" s="168">
        <v>30</v>
      </c>
      <c r="G138" s="139">
        <f>VLOOKUP(IMSS[[#This Row],[NEM]],BDD[],3,0)</f>
        <v>7445</v>
      </c>
      <c r="H138" s="139">
        <f ca="1">VLOOKUP(IMSS[[#This Row],[NEM]],BDD[],25,0)</f>
        <v>271.96347031963467</v>
      </c>
      <c r="I138" s="143">
        <f>VLOOKUP(IMSS[[#This Row],[DEPT]],$B$3:$G$49,6,0)</f>
        <v>5.4355000000000002E-3</v>
      </c>
      <c r="J138" s="163">
        <f ca="1">IMSS[[#This Row],[DIAS LAB]]*IMSS[[#This Row],[SDI]]*IMSS[[#This Row],[% RSG]]*$Q$108</f>
        <v>44.347723287671229</v>
      </c>
      <c r="K138" s="163">
        <f>IMSS[[#This Row],[DIAS LAB]]*$J$110*$Q$109</f>
        <v>548.47440000000006</v>
      </c>
      <c r="L138" s="166">
        <f ca="1">IMSS[[#This Row],[DIAS LAB]]*IF(IMSS[[#This Row],[SDI]]-$J$113&gt;0,IMSS[[#This Row],[SDI]]-$J$113,0)*$Q$110</f>
        <v>1.0241452054794353</v>
      </c>
      <c r="M138" s="166">
        <f ca="1">IMSS[[#This Row],[DIAS LAB]]*IMSS[[#This Row],[SDI]]*$Q$111</f>
        <v>85.668493150684924</v>
      </c>
      <c r="N138" s="163">
        <f ca="1">IMSS[[#This Row],[DIAS LAB]]*IMSS[[#This Row],[SDI]]*$Q$112</f>
        <v>57.11232876712328</v>
      </c>
      <c r="O138" s="166">
        <f ca="1">IMSS[[#This Row],[DIAS LAB]]*IMSS[[#This Row],[SDI]]*$Q$113</f>
        <v>142.7808219178082</v>
      </c>
      <c r="P138" s="163">
        <f ca="1">IMSS[[#This Row],[DIAS LAB]]*IMSS[[#This Row],[SDI]]*$Q$114</f>
        <v>81.589041095890394</v>
      </c>
      <c r="Q138" s="166">
        <f ca="1">IMSS[[#This Row],[DIAS LAB]]*IMSS[[#This Row],[SDI]]*$Q$115</f>
        <v>163.17808219178079</v>
      </c>
      <c r="R138" s="163">
        <f ca="1">IMSS[[#This Row],[DIAS LAB]]*IMSS[[#This Row],[SDI]]*$Q$116</f>
        <v>257.00547945205477</v>
      </c>
      <c r="S138" s="163">
        <f ca="1">IMSS[[#This Row],[DIAS LAB]]*IMSS[[#This Row],[SDI]]*$Q$117</f>
        <v>407.945205479452</v>
      </c>
      <c r="T138" s="164">
        <f ca="1">SUM(IMSS[[#This Row],[P RSG TRB]:[P INFONAVIT]])</f>
        <v>1789.1257205479449</v>
      </c>
      <c r="U138" s="163">
        <f ca="1">IMSS[[#This Row],[DIAS LAB]]*IMSS[[#This Row],[SDI]]*IMSS[[#This Row],[% RSG]]*$R$108</f>
        <v>0</v>
      </c>
      <c r="V138" s="163">
        <f ca="1">IMSS[[#This Row],[DIAS LAB]]*IMSS[[#This Row],[SDI]]*$R$112</f>
        <v>20.397260273972599</v>
      </c>
      <c r="W138" s="163"/>
      <c r="X138" s="163">
        <f ca="1">IMSS[[#This Row],[DIAS LAB]]*IMSS[[#This Row],[SDI]]*$R$113</f>
        <v>51.40109589041095</v>
      </c>
      <c r="Y138" s="163">
        <f ca="1">IMSS[[#This Row],[DIAS LAB]]*IMSS[[#This Row],[SDI]]*$R$114</f>
        <v>0</v>
      </c>
      <c r="Z138" s="163">
        <f ca="1">IMSS[[#This Row],[DIAS LAB]]*IMSS[[#This Row],[SDI]]*$R$115</f>
        <v>0</v>
      </c>
      <c r="AA138" s="163">
        <f ca="1">IMSS[[#This Row],[DIAS LAB]]*IMSS[[#This Row],[SDI]]*$R$116</f>
        <v>92.19561643835614</v>
      </c>
      <c r="AB138" s="163">
        <f ca="1">IMSS[[#This Row],[DIAS LAB]]*IMSS[[#This Row],[SDI]]*$R$117</f>
        <v>0</v>
      </c>
      <c r="AC138" s="247">
        <f ca="1">SUM(IMSS[[#This Row],[O RSG TRB]:[O INFONAVIT]])</f>
        <v>163.99397260273969</v>
      </c>
      <c r="AD138" s="163"/>
      <c r="AE138" s="165">
        <f ca="1">IMSS[[#This Row],[P TOTAL]]+IMSS[[#This Row],[O TOTAL]]</f>
        <v>1953.1196931506845</v>
      </c>
      <c r="AF138" s="163"/>
      <c r="AG138" s="163">
        <f>VLOOKUP(IMSS[[#This Row],[SUE MENS]],$AG$110:$AJ$120,1,1)</f>
        <v>5470.93</v>
      </c>
      <c r="AH138" s="163">
        <f>IMSS[[#This Row],[SUE MENS]]-IMSS[[#This Row],[LIM INF]]</f>
        <v>1974.0699999999997</v>
      </c>
      <c r="AI138" s="163">
        <f>IMSS[[#This Row],[EXC LIM INF]]*(VLOOKUP(IMSS[[#This Row],[LIM INF]],$AG$110:$AJ$120,4,0))</f>
        <v>214.77881599999998</v>
      </c>
      <c r="AJ138" s="163">
        <f>VLOOKUP(IMSS[[#This Row],[LIM INF]],$AG$110:$AJ$120,3)</f>
        <v>321.26</v>
      </c>
      <c r="AK138" s="163">
        <f>SUM(IMSS[[#This Row],[TASA EXC]]+IMSS[[#This Row],[CUOTA FIJA]])</f>
        <v>536.038816</v>
      </c>
      <c r="AL138" s="163">
        <f>VLOOKUP(IMSS[[#This Row],[SUE MENS]],$AL$110:$AN$120,3,1)</f>
        <v>0</v>
      </c>
      <c r="AM138" s="248">
        <f>IF(IMSS[[#This Row],[ISR CARGO]]-IMSS[[#This Row],[SUBS ISR]]&gt;0,IMSS[[#This Row],[ISR CARGO]]-IMSS[[#This Row],[SUBS ISR]],0)</f>
        <v>536.038816</v>
      </c>
      <c r="AN138" s="248">
        <f>IF(IMSS[[#This Row],[SUBS ISR]]-IMSS[[#This Row],[ISR CARGO]]&gt;0,IMSS[[#This Row],[SUBS ISR]]-IMSS[[#This Row],[ISR CARGO]],0)</f>
        <v>0</v>
      </c>
    </row>
    <row r="139" spans="3:40" ht="15" hidden="1" customHeight="1" x14ac:dyDescent="0.25">
      <c r="C139" s="243">
        <v>115</v>
      </c>
      <c r="D139" s="167" t="str">
        <f>VLOOKUP(IMSS[[#This Row],[NEM]],BDD[],2,0)</f>
        <v>Emma Dariela García Lorca</v>
      </c>
      <c r="E139" s="167" t="str">
        <f>VLOOKUP(IMSS[[#This Row],[NEM]],BDD[],9,0)</f>
        <v>CPTAL HUMANO</v>
      </c>
      <c r="F139" s="168">
        <v>30</v>
      </c>
      <c r="G139" s="139">
        <f>VLOOKUP(IMSS[[#This Row],[NEM]],BDD[],3,0)</f>
        <v>45000</v>
      </c>
      <c r="H139" s="139">
        <f ca="1">VLOOKUP(IMSS[[#This Row],[NEM]],BDD[],25,0)</f>
        <v>1664.3835616438357</v>
      </c>
      <c r="I139" s="143">
        <f>VLOOKUP(IMSS[[#This Row],[DEPT]],$B$3:$G$49,6,0)</f>
        <v>5.4355000000000002E-3</v>
      </c>
      <c r="J139" s="163">
        <f ca="1">IMSS[[#This Row],[DIAS LAB]]*IMSS[[#This Row],[SDI]]*IMSS[[#This Row],[% RSG]]*$Q$108</f>
        <v>271.40270547945204</v>
      </c>
      <c r="K139" s="163">
        <f>IMSS[[#This Row],[DIAS LAB]]*$J$110*$Q$109</f>
        <v>548.47440000000006</v>
      </c>
      <c r="L139" s="166">
        <f ca="1">IMSS[[#This Row],[DIAS LAB]]*IF(IMSS[[#This Row],[SDI]]-$J$113&gt;0,IMSS[[#This Row],[SDI]]-$J$113,0)*$Q$110</f>
        <v>460.52277534246576</v>
      </c>
      <c r="M139" s="166">
        <f ca="1">IMSS[[#This Row],[DIAS LAB]]*IMSS[[#This Row],[SDI]]*$Q$111</f>
        <v>524.28082191780823</v>
      </c>
      <c r="N139" s="163">
        <f ca="1">IMSS[[#This Row],[DIAS LAB]]*IMSS[[#This Row],[SDI]]*$Q$112</f>
        <v>349.52054794520546</v>
      </c>
      <c r="O139" s="166">
        <f ca="1">IMSS[[#This Row],[DIAS LAB]]*IMSS[[#This Row],[SDI]]*$Q$113</f>
        <v>873.80136986301375</v>
      </c>
      <c r="P139" s="163">
        <f ca="1">IMSS[[#This Row],[DIAS LAB]]*IMSS[[#This Row],[SDI]]*$Q$114</f>
        <v>499.3150684931507</v>
      </c>
      <c r="Q139" s="166">
        <f ca="1">IMSS[[#This Row],[DIAS LAB]]*IMSS[[#This Row],[SDI]]*$Q$115</f>
        <v>998.63013698630141</v>
      </c>
      <c r="R139" s="163">
        <f ca="1">IMSS[[#This Row],[DIAS LAB]]*IMSS[[#This Row],[SDI]]*$Q$116</f>
        <v>1572.8424657534247</v>
      </c>
      <c r="S139" s="163">
        <f ca="1">IMSS[[#This Row],[DIAS LAB]]*IMSS[[#This Row],[SDI]]*$Q$117</f>
        <v>2496.5753424657537</v>
      </c>
      <c r="T139" s="164">
        <f ca="1">SUM(IMSS[[#This Row],[P RSG TRB]:[P INFONAVIT]])</f>
        <v>8595.3656342465765</v>
      </c>
      <c r="U139" s="163">
        <f ca="1">IMSS[[#This Row],[DIAS LAB]]*IMSS[[#This Row],[SDI]]*IMSS[[#This Row],[% RSG]]*$R$108</f>
        <v>0</v>
      </c>
      <c r="V139" s="163">
        <f ca="1">IMSS[[#This Row],[DIAS LAB]]*IMSS[[#This Row],[SDI]]*$R$112</f>
        <v>124.82876712328768</v>
      </c>
      <c r="W139" s="163"/>
      <c r="X139" s="163">
        <f ca="1">IMSS[[#This Row],[DIAS LAB]]*IMSS[[#This Row],[SDI]]*$R$113</f>
        <v>314.56849315068496</v>
      </c>
      <c r="Y139" s="163">
        <f ca="1">IMSS[[#This Row],[DIAS LAB]]*IMSS[[#This Row],[SDI]]*$R$114</f>
        <v>0</v>
      </c>
      <c r="Z139" s="163">
        <f ca="1">IMSS[[#This Row],[DIAS LAB]]*IMSS[[#This Row],[SDI]]*$R$115</f>
        <v>0</v>
      </c>
      <c r="AA139" s="163">
        <f ca="1">IMSS[[#This Row],[DIAS LAB]]*IMSS[[#This Row],[SDI]]*$R$116</f>
        <v>564.22602739726028</v>
      </c>
      <c r="AB139" s="163">
        <f ca="1">IMSS[[#This Row],[DIAS LAB]]*IMSS[[#This Row],[SDI]]*$R$117</f>
        <v>0</v>
      </c>
      <c r="AC139" s="247">
        <f ca="1">SUM(IMSS[[#This Row],[O RSG TRB]:[O INFONAVIT]])</f>
        <v>1003.6232876712329</v>
      </c>
      <c r="AD139" s="163"/>
      <c r="AE139" s="165">
        <f ca="1">IMSS[[#This Row],[P TOTAL]]+IMSS[[#This Row],[O TOTAL]]</f>
        <v>9598.9889219178094</v>
      </c>
      <c r="AF139" s="163"/>
      <c r="AG139" s="163">
        <f>VLOOKUP(IMSS[[#This Row],[SUE MENS]],$AG$110:$AJ$120,1,1)</f>
        <v>42537.59</v>
      </c>
      <c r="AH139" s="163">
        <f>IMSS[[#This Row],[SUE MENS]]-IMSS[[#This Row],[LIM INF]]</f>
        <v>2462.4100000000035</v>
      </c>
      <c r="AI139" s="163">
        <f>IMSS[[#This Row],[EXC LIM INF]]*(VLOOKUP(IMSS[[#This Row],[LIM INF]],$AG$110:$AJ$120,4,0))</f>
        <v>738.72300000000098</v>
      </c>
      <c r="AJ139" s="163">
        <f>VLOOKUP(IMSS[[#This Row],[LIM INF]],$AG$110:$AJ$120,3)</f>
        <v>7980.73</v>
      </c>
      <c r="AK139" s="163">
        <f>SUM(IMSS[[#This Row],[TASA EXC]]+IMSS[[#This Row],[CUOTA FIJA]])</f>
        <v>8719.4530000000013</v>
      </c>
      <c r="AL139" s="163">
        <f>VLOOKUP(IMSS[[#This Row],[SUE MENS]],$AL$110:$AN$120,3,1)</f>
        <v>0</v>
      </c>
      <c r="AM139" s="248">
        <f>IF(IMSS[[#This Row],[ISR CARGO]]-IMSS[[#This Row],[SUBS ISR]]&gt;0,IMSS[[#This Row],[ISR CARGO]]-IMSS[[#This Row],[SUBS ISR]],0)</f>
        <v>8719.4530000000013</v>
      </c>
      <c r="AN139" s="248">
        <f>IF(IMSS[[#This Row],[SUBS ISR]]-IMSS[[#This Row],[ISR CARGO]]&gt;0,IMSS[[#This Row],[SUBS ISR]]-IMSS[[#This Row],[ISR CARGO]],0)</f>
        <v>0</v>
      </c>
    </row>
    <row r="140" spans="3:40" ht="15" hidden="1" customHeight="1" x14ac:dyDescent="0.25">
      <c r="C140" s="243">
        <v>116</v>
      </c>
      <c r="D140" s="167" t="str">
        <f>VLOOKUP(IMSS[[#This Row],[NEM]],BDD[],2,0)</f>
        <v>Idalia García Escrivá</v>
      </c>
      <c r="E140" s="167" t="str">
        <f>VLOOKUP(IMSS[[#This Row],[NEM]],BDD[],9,0)</f>
        <v>CONTRATOS</v>
      </c>
      <c r="F140" s="168">
        <v>30</v>
      </c>
      <c r="G140" s="139">
        <f>VLOOKUP(IMSS[[#This Row],[NEM]],BDD[],3,0)</f>
        <v>37500</v>
      </c>
      <c r="H140" s="139">
        <f ca="1">VLOOKUP(IMSS[[#This Row],[NEM]],BDD[],25,0)</f>
        <v>1386.986301369863</v>
      </c>
      <c r="I140" s="143">
        <f>VLOOKUP(IMSS[[#This Row],[DEPT]],$B$3:$G$49,6,0)</f>
        <v>5.4355000000000002E-3</v>
      </c>
      <c r="J140" s="163">
        <f ca="1">IMSS[[#This Row],[DIAS LAB]]*IMSS[[#This Row],[SDI]]*IMSS[[#This Row],[% RSG]]*$Q$108</f>
        <v>226.16892123287673</v>
      </c>
      <c r="K140" s="163">
        <f>IMSS[[#This Row],[DIAS LAB]]*$J$110*$Q$109</f>
        <v>548.47440000000006</v>
      </c>
      <c r="L140" s="166">
        <f ca="1">IMSS[[#This Row],[DIAS LAB]]*IF(IMSS[[#This Row],[SDI]]-$J$113&gt;0,IMSS[[#This Row],[SDI]]-$J$113,0)*$Q$110</f>
        <v>368.98167945205483</v>
      </c>
      <c r="M140" s="166">
        <f ca="1">IMSS[[#This Row],[DIAS LAB]]*IMSS[[#This Row],[SDI]]*$Q$111</f>
        <v>436.90068493150687</v>
      </c>
      <c r="N140" s="163">
        <f ca="1">IMSS[[#This Row],[DIAS LAB]]*IMSS[[#This Row],[SDI]]*$Q$112</f>
        <v>291.26712328767121</v>
      </c>
      <c r="O140" s="166">
        <f ca="1">IMSS[[#This Row],[DIAS LAB]]*IMSS[[#This Row],[SDI]]*$Q$113</f>
        <v>728.16780821917814</v>
      </c>
      <c r="P140" s="163">
        <f ca="1">IMSS[[#This Row],[DIAS LAB]]*IMSS[[#This Row],[SDI]]*$Q$114</f>
        <v>416.09589041095887</v>
      </c>
      <c r="Q140" s="166">
        <f ca="1">IMSS[[#This Row],[DIAS LAB]]*IMSS[[#This Row],[SDI]]*$Q$115</f>
        <v>832.19178082191775</v>
      </c>
      <c r="R140" s="163">
        <f ca="1">IMSS[[#This Row],[DIAS LAB]]*IMSS[[#This Row],[SDI]]*$Q$116</f>
        <v>1310.7020547945206</v>
      </c>
      <c r="S140" s="163">
        <f ca="1">IMSS[[#This Row],[DIAS LAB]]*IMSS[[#This Row],[SDI]]*$Q$117</f>
        <v>2080.4794520547944</v>
      </c>
      <c r="T140" s="164">
        <f ca="1">SUM(IMSS[[#This Row],[P RSG TRB]:[P INFONAVIT]])</f>
        <v>7239.4297952054803</v>
      </c>
      <c r="U140" s="163">
        <f ca="1">IMSS[[#This Row],[DIAS LAB]]*IMSS[[#This Row],[SDI]]*IMSS[[#This Row],[% RSG]]*$R$108</f>
        <v>0</v>
      </c>
      <c r="V140" s="163">
        <f ca="1">IMSS[[#This Row],[DIAS LAB]]*IMSS[[#This Row],[SDI]]*$R$112</f>
        <v>104.02397260273972</v>
      </c>
      <c r="W140" s="163"/>
      <c r="X140" s="163">
        <f ca="1">IMSS[[#This Row],[DIAS LAB]]*IMSS[[#This Row],[SDI]]*$R$113</f>
        <v>262.14041095890411</v>
      </c>
      <c r="Y140" s="163">
        <f ca="1">IMSS[[#This Row],[DIAS LAB]]*IMSS[[#This Row],[SDI]]*$R$114</f>
        <v>0</v>
      </c>
      <c r="Z140" s="163">
        <f ca="1">IMSS[[#This Row],[DIAS LAB]]*IMSS[[#This Row],[SDI]]*$R$115</f>
        <v>0</v>
      </c>
      <c r="AA140" s="163">
        <f ca="1">IMSS[[#This Row],[DIAS LAB]]*IMSS[[#This Row],[SDI]]*$R$116</f>
        <v>470.18835616438349</v>
      </c>
      <c r="AB140" s="163">
        <f ca="1">IMSS[[#This Row],[DIAS LAB]]*IMSS[[#This Row],[SDI]]*$R$117</f>
        <v>0</v>
      </c>
      <c r="AC140" s="247">
        <f ca="1">SUM(IMSS[[#This Row],[O RSG TRB]:[O INFONAVIT]])</f>
        <v>836.35273972602727</v>
      </c>
      <c r="AD140" s="163"/>
      <c r="AE140" s="165">
        <f ca="1">IMSS[[#This Row],[P TOTAL]]+IMSS[[#This Row],[O TOTAL]]</f>
        <v>8075.7825349315081</v>
      </c>
      <c r="AF140" s="163"/>
      <c r="AG140" s="163">
        <f>VLOOKUP(IMSS[[#This Row],[SUE MENS]],$AG$110:$AJ$120,1,1)</f>
        <v>26988.51</v>
      </c>
      <c r="AH140" s="163">
        <f>IMSS[[#This Row],[SUE MENS]]-IMSS[[#This Row],[LIM INF]]</f>
        <v>10511.490000000002</v>
      </c>
      <c r="AI140" s="163">
        <f>IMSS[[#This Row],[EXC LIM INF]]*(VLOOKUP(IMSS[[#This Row],[LIM INF]],$AG$110:$AJ$120,4,0))</f>
        <v>2472.3024480000004</v>
      </c>
      <c r="AJ140" s="163">
        <f>VLOOKUP(IMSS[[#This Row],[LIM INF]],$AG$110:$AJ$120,3)</f>
        <v>4323.58</v>
      </c>
      <c r="AK140" s="163">
        <f>SUM(IMSS[[#This Row],[TASA EXC]]+IMSS[[#This Row],[CUOTA FIJA]])</f>
        <v>6795.8824480000003</v>
      </c>
      <c r="AL140" s="163">
        <f>VLOOKUP(IMSS[[#This Row],[SUE MENS]],$AL$110:$AN$120,3,1)</f>
        <v>0</v>
      </c>
      <c r="AM140" s="248">
        <f>IF(IMSS[[#This Row],[ISR CARGO]]-IMSS[[#This Row],[SUBS ISR]]&gt;0,IMSS[[#This Row],[ISR CARGO]]-IMSS[[#This Row],[SUBS ISR]],0)</f>
        <v>6795.8824480000003</v>
      </c>
      <c r="AN140" s="248">
        <f>IF(IMSS[[#This Row],[SUBS ISR]]-IMSS[[#This Row],[ISR CARGO]]&gt;0,IMSS[[#This Row],[SUBS ISR]]-IMSS[[#This Row],[ISR CARGO]],0)</f>
        <v>0</v>
      </c>
    </row>
    <row r="141" spans="3:40" ht="15" hidden="1" customHeight="1" x14ac:dyDescent="0.25">
      <c r="C141" s="243">
        <v>117</v>
      </c>
      <c r="D141" s="167" t="str">
        <f>VLOOKUP(IMSS[[#This Row],[NEM]],BDD[],2,0)</f>
        <v>Andrea Arizpe Rodríguez</v>
      </c>
      <c r="E141" s="167" t="str">
        <f>VLOOKUP(IMSS[[#This Row],[NEM]],BDD[],9,0)</f>
        <v>ARQUITECT</v>
      </c>
      <c r="F141" s="168">
        <v>30</v>
      </c>
      <c r="G141" s="139">
        <f>VLOOKUP(IMSS[[#This Row],[NEM]],BDD[],3,0)</f>
        <v>9541</v>
      </c>
      <c r="H141" s="139">
        <f ca="1">VLOOKUP(IMSS[[#This Row],[NEM]],BDD[],25,0)</f>
        <v>351.14365296803658</v>
      </c>
      <c r="I141" s="143">
        <f>VLOOKUP(IMSS[[#This Row],[DEPT]],$B$3:$G$49,6,0)</f>
        <v>2.5984400000000001E-2</v>
      </c>
      <c r="J141" s="163">
        <f ca="1">IMSS[[#This Row],[DIAS LAB]]*IMSS[[#This Row],[SDI]]*IMSS[[#This Row],[% RSG]]*$Q$108</f>
        <v>273.72771408547948</v>
      </c>
      <c r="K141" s="163">
        <f>IMSS[[#This Row],[DIAS LAB]]*$J$110*$Q$109</f>
        <v>548.47440000000006</v>
      </c>
      <c r="L141" s="166">
        <f ca="1">IMSS[[#This Row],[DIAS LAB]]*IF(IMSS[[#This Row],[SDI]]-$J$113&gt;0,IMSS[[#This Row],[SDI]]-$J$113,0)*$Q$110</f>
        <v>27.153605479452061</v>
      </c>
      <c r="M141" s="166">
        <f ca="1">IMSS[[#This Row],[DIAS LAB]]*IMSS[[#This Row],[SDI]]*$Q$111</f>
        <v>110.61025068493153</v>
      </c>
      <c r="N141" s="163">
        <f ca="1">IMSS[[#This Row],[DIAS LAB]]*IMSS[[#This Row],[SDI]]*$Q$112</f>
        <v>73.740167123287677</v>
      </c>
      <c r="O141" s="166">
        <f ca="1">IMSS[[#This Row],[DIAS LAB]]*IMSS[[#This Row],[SDI]]*$Q$113</f>
        <v>184.35041780821922</v>
      </c>
      <c r="P141" s="163">
        <f ca="1">IMSS[[#This Row],[DIAS LAB]]*IMSS[[#This Row],[SDI]]*$Q$114</f>
        <v>105.34309589041096</v>
      </c>
      <c r="Q141" s="166">
        <f ca="1">IMSS[[#This Row],[DIAS LAB]]*IMSS[[#This Row],[SDI]]*$Q$115</f>
        <v>210.68619178082193</v>
      </c>
      <c r="R141" s="163">
        <f ca="1">IMSS[[#This Row],[DIAS LAB]]*IMSS[[#This Row],[SDI]]*$Q$116</f>
        <v>331.83075205479457</v>
      </c>
      <c r="S141" s="163">
        <f ca="1">IMSS[[#This Row],[DIAS LAB]]*IMSS[[#This Row],[SDI]]*$Q$117</f>
        <v>526.71547945205486</v>
      </c>
      <c r="T141" s="164">
        <f ca="1">SUM(IMSS[[#This Row],[P RSG TRB]:[P INFONAVIT]])</f>
        <v>2392.6320743594524</v>
      </c>
      <c r="U141" s="163">
        <f ca="1">IMSS[[#This Row],[DIAS LAB]]*IMSS[[#This Row],[SDI]]*IMSS[[#This Row],[% RSG]]*$R$108</f>
        <v>0</v>
      </c>
      <c r="V141" s="163">
        <f ca="1">IMSS[[#This Row],[DIAS LAB]]*IMSS[[#This Row],[SDI]]*$R$112</f>
        <v>26.335773972602741</v>
      </c>
      <c r="W141" s="163"/>
      <c r="X141" s="163">
        <f ca="1">IMSS[[#This Row],[DIAS LAB]]*IMSS[[#This Row],[SDI]]*$R$113</f>
        <v>66.366150410958909</v>
      </c>
      <c r="Y141" s="163">
        <f ca="1">IMSS[[#This Row],[DIAS LAB]]*IMSS[[#This Row],[SDI]]*$R$114</f>
        <v>0</v>
      </c>
      <c r="Z141" s="163">
        <f ca="1">IMSS[[#This Row],[DIAS LAB]]*IMSS[[#This Row],[SDI]]*$R$115</f>
        <v>0</v>
      </c>
      <c r="AA141" s="163">
        <f ca="1">IMSS[[#This Row],[DIAS LAB]]*IMSS[[#This Row],[SDI]]*$R$116</f>
        <v>119.03769835616438</v>
      </c>
      <c r="AB141" s="163">
        <f ca="1">IMSS[[#This Row],[DIAS LAB]]*IMSS[[#This Row],[SDI]]*$R$117</f>
        <v>0</v>
      </c>
      <c r="AC141" s="247">
        <f ca="1">SUM(IMSS[[#This Row],[O RSG TRB]:[O INFONAVIT]])</f>
        <v>211.73962273972603</v>
      </c>
      <c r="AD141" s="163"/>
      <c r="AE141" s="165">
        <f ca="1">IMSS[[#This Row],[P TOTAL]]+IMSS[[#This Row],[O TOTAL]]</f>
        <v>2604.3716970991786</v>
      </c>
      <c r="AF141" s="163"/>
      <c r="AG141" s="163">
        <f>VLOOKUP(IMSS[[#This Row],[SUE MENS]],$AG$110:$AJ$120,1,1)</f>
        <v>5470.93</v>
      </c>
      <c r="AH141" s="163">
        <f>IMSS[[#This Row],[SUE MENS]]-IMSS[[#This Row],[LIM INF]]</f>
        <v>4070.0699999999997</v>
      </c>
      <c r="AI141" s="163">
        <f>IMSS[[#This Row],[EXC LIM INF]]*(VLOOKUP(IMSS[[#This Row],[LIM INF]],$AG$110:$AJ$120,4,0))</f>
        <v>442.82361600000002</v>
      </c>
      <c r="AJ141" s="163">
        <f>VLOOKUP(IMSS[[#This Row],[LIM INF]],$AG$110:$AJ$120,3)</f>
        <v>321.26</v>
      </c>
      <c r="AK141" s="163">
        <f>SUM(IMSS[[#This Row],[TASA EXC]]+IMSS[[#This Row],[CUOTA FIJA]])</f>
        <v>764.08361600000001</v>
      </c>
      <c r="AL141" s="163">
        <f>VLOOKUP(IMSS[[#This Row],[SUE MENS]],$AL$110:$AN$120,3,1)</f>
        <v>0</v>
      </c>
      <c r="AM141" s="248">
        <f>IF(IMSS[[#This Row],[ISR CARGO]]-IMSS[[#This Row],[SUBS ISR]]&gt;0,IMSS[[#This Row],[ISR CARGO]]-IMSS[[#This Row],[SUBS ISR]],0)</f>
        <v>764.08361600000001</v>
      </c>
      <c r="AN141" s="248">
        <f>IF(IMSS[[#This Row],[SUBS ISR]]-IMSS[[#This Row],[ISR CARGO]]&gt;0,IMSS[[#This Row],[SUBS ISR]]-IMSS[[#This Row],[ISR CARGO]],0)</f>
        <v>0</v>
      </c>
    </row>
    <row r="142" spans="3:40" ht="15" hidden="1" customHeight="1" x14ac:dyDescent="0.25">
      <c r="C142" s="243">
        <v>118</v>
      </c>
      <c r="D142" s="167" t="str">
        <f>VLOOKUP(IMSS[[#This Row],[NEM]],BDD[],2,0)</f>
        <v>Maríano Aldebarán</v>
      </c>
      <c r="E142" s="167" t="str">
        <f>VLOOKUP(IMSS[[#This Row],[NEM]],BDD[],9,0)</f>
        <v>FINANZAS</v>
      </c>
      <c r="F142" s="168">
        <v>30</v>
      </c>
      <c r="G142" s="139">
        <f>VLOOKUP(IMSS[[#This Row],[NEM]],BDD[],3,0)</f>
        <v>64200</v>
      </c>
      <c r="H142" s="139">
        <f ca="1">VLOOKUP(IMSS[[#This Row],[NEM]],BDD[],25,0)</f>
        <v>2374.5205479452056</v>
      </c>
      <c r="I142" s="143">
        <f>VLOOKUP(IMSS[[#This Row],[DEPT]],$B$3:$G$49,6,0)</f>
        <v>5.4355000000000002E-3</v>
      </c>
      <c r="J142" s="163">
        <f ca="1">IMSS[[#This Row],[DIAS LAB]]*IMSS[[#This Row],[SDI]]*IMSS[[#This Row],[% RSG]]*$Q$108</f>
        <v>387.20119315068496</v>
      </c>
      <c r="K142" s="163">
        <f>IMSS[[#This Row],[DIAS LAB]]*$J$110*$Q$109</f>
        <v>548.47440000000006</v>
      </c>
      <c r="L142" s="166">
        <f ca="1">IMSS[[#This Row],[DIAS LAB]]*IF(IMSS[[#This Row],[SDI]]-$J$113&gt;0,IMSS[[#This Row],[SDI]]-$J$113,0)*$Q$110</f>
        <v>694.86798082191785</v>
      </c>
      <c r="M142" s="166">
        <f ca="1">IMSS[[#This Row],[DIAS LAB]]*IMSS[[#This Row],[SDI]]*$Q$111</f>
        <v>747.97397260273988</v>
      </c>
      <c r="N142" s="163">
        <f ca="1">IMSS[[#This Row],[DIAS LAB]]*IMSS[[#This Row],[SDI]]*$Q$112</f>
        <v>498.64931506849319</v>
      </c>
      <c r="O142" s="166">
        <f ca="1">IMSS[[#This Row],[DIAS LAB]]*IMSS[[#This Row],[SDI]]*$Q$113</f>
        <v>1246.6232876712331</v>
      </c>
      <c r="P142" s="163">
        <f ca="1">IMSS[[#This Row],[DIAS LAB]]*IMSS[[#This Row],[SDI]]*$Q$114</f>
        <v>712.35616438356169</v>
      </c>
      <c r="Q142" s="166">
        <f ca="1">IMSS[[#This Row],[DIAS LAB]]*IMSS[[#This Row],[SDI]]*$Q$115</f>
        <v>1424.7123287671234</v>
      </c>
      <c r="R142" s="163">
        <f ca="1">IMSS[[#This Row],[DIAS LAB]]*IMSS[[#This Row],[SDI]]*$Q$116</f>
        <v>2243.9219178082194</v>
      </c>
      <c r="S142" s="163">
        <f ca="1">IMSS[[#This Row],[DIAS LAB]]*IMSS[[#This Row],[SDI]]*$Q$117</f>
        <v>3561.7808219178087</v>
      </c>
      <c r="T142" s="164">
        <f ca="1">SUM(IMSS[[#This Row],[P RSG TRB]:[P INFONAVIT]])</f>
        <v>12066.561382191783</v>
      </c>
      <c r="U142" s="163">
        <f ca="1">IMSS[[#This Row],[DIAS LAB]]*IMSS[[#This Row],[SDI]]*IMSS[[#This Row],[% RSG]]*$R$108</f>
        <v>0</v>
      </c>
      <c r="V142" s="163">
        <f ca="1">IMSS[[#This Row],[DIAS LAB]]*IMSS[[#This Row],[SDI]]*$R$112</f>
        <v>178.08904109589042</v>
      </c>
      <c r="W142" s="163"/>
      <c r="X142" s="163">
        <f ca="1">IMSS[[#This Row],[DIAS LAB]]*IMSS[[#This Row],[SDI]]*$R$113</f>
        <v>448.78438356164389</v>
      </c>
      <c r="Y142" s="163">
        <f ca="1">IMSS[[#This Row],[DIAS LAB]]*IMSS[[#This Row],[SDI]]*$R$114</f>
        <v>0</v>
      </c>
      <c r="Z142" s="163">
        <f ca="1">IMSS[[#This Row],[DIAS LAB]]*IMSS[[#This Row],[SDI]]*$R$115</f>
        <v>0</v>
      </c>
      <c r="AA142" s="163">
        <f ca="1">IMSS[[#This Row],[DIAS LAB]]*IMSS[[#This Row],[SDI]]*$R$116</f>
        <v>804.96246575342468</v>
      </c>
      <c r="AB142" s="163">
        <f ca="1">IMSS[[#This Row],[DIAS LAB]]*IMSS[[#This Row],[SDI]]*$R$117</f>
        <v>0</v>
      </c>
      <c r="AC142" s="247">
        <f ca="1">SUM(IMSS[[#This Row],[O RSG TRB]:[O INFONAVIT]])</f>
        <v>1431.8358904109591</v>
      </c>
      <c r="AD142" s="163"/>
      <c r="AE142" s="165">
        <f ca="1">IMSS[[#This Row],[P TOTAL]]+IMSS[[#This Row],[O TOTAL]]</f>
        <v>13498.397272602742</v>
      </c>
      <c r="AF142" s="163"/>
      <c r="AG142" s="163">
        <f>VLOOKUP(IMSS[[#This Row],[SUE MENS]],$AG$110:$AJ$120,1,1)</f>
        <v>42537.59</v>
      </c>
      <c r="AH142" s="163">
        <f>IMSS[[#This Row],[SUE MENS]]-IMSS[[#This Row],[LIM INF]]</f>
        <v>21662.410000000003</v>
      </c>
      <c r="AI142" s="163">
        <f>IMSS[[#This Row],[EXC LIM INF]]*(VLOOKUP(IMSS[[#This Row],[LIM INF]],$AG$110:$AJ$120,4,0))</f>
        <v>6498.7230000000009</v>
      </c>
      <c r="AJ142" s="163">
        <f>VLOOKUP(IMSS[[#This Row],[LIM INF]],$AG$110:$AJ$120,3)</f>
        <v>7980.73</v>
      </c>
      <c r="AK142" s="163">
        <f>SUM(IMSS[[#This Row],[TASA EXC]]+IMSS[[#This Row],[CUOTA FIJA]])</f>
        <v>14479.453000000001</v>
      </c>
      <c r="AL142" s="163">
        <f>VLOOKUP(IMSS[[#This Row],[SUE MENS]],$AL$110:$AN$120,3,1)</f>
        <v>0</v>
      </c>
      <c r="AM142" s="248">
        <f>IF(IMSS[[#This Row],[ISR CARGO]]-IMSS[[#This Row],[SUBS ISR]]&gt;0,IMSS[[#This Row],[ISR CARGO]]-IMSS[[#This Row],[SUBS ISR]],0)</f>
        <v>14479.453000000001</v>
      </c>
      <c r="AN142" s="248">
        <f>IF(IMSS[[#This Row],[SUBS ISR]]-IMSS[[#This Row],[ISR CARGO]]&gt;0,IMSS[[#This Row],[SUBS ISR]]-IMSS[[#This Row],[ISR CARGO]],0)</f>
        <v>0</v>
      </c>
    </row>
    <row r="143" spans="3:40" ht="15" hidden="1" customHeight="1" x14ac:dyDescent="0.25">
      <c r="C143" s="243">
        <v>119</v>
      </c>
      <c r="D143" s="167" t="str">
        <f>VLOOKUP(IMSS[[#This Row],[NEM]],BDD[],2,0)</f>
        <v>Gabriel García Márquez</v>
      </c>
      <c r="E143" s="167" t="str">
        <f>VLOOKUP(IMSS[[#This Row],[NEM]],BDD[],9,0)</f>
        <v>AUDIT ADMN</v>
      </c>
      <c r="F143" s="168">
        <v>30</v>
      </c>
      <c r="G143" s="139">
        <f>VLOOKUP(IMSS[[#This Row],[NEM]],BDD[],3,0)</f>
        <v>15850</v>
      </c>
      <c r="H143" s="139">
        <f ca="1">VLOOKUP(IMSS[[#This Row],[NEM]],BDD[],25,0)</f>
        <v>586.23287671232879</v>
      </c>
      <c r="I143" s="143">
        <f>VLOOKUP(IMSS[[#This Row],[DEPT]],$B$3:$G$49,6,0)</f>
        <v>5.4355000000000002E-3</v>
      </c>
      <c r="J143" s="163">
        <f ca="1">IMSS[[#This Row],[DIAS LAB]]*IMSS[[#This Row],[SDI]]*IMSS[[#This Row],[% RSG]]*$Q$108</f>
        <v>95.594064041095891</v>
      </c>
      <c r="K143" s="163">
        <f>IMSS[[#This Row],[DIAS LAB]]*$J$110*$Q$109</f>
        <v>548.47440000000006</v>
      </c>
      <c r="L143" s="166">
        <f ca="1">IMSS[[#This Row],[DIAS LAB]]*IF(IMSS[[#This Row],[SDI]]-$J$113&gt;0,IMSS[[#This Row],[SDI]]-$J$113,0)*$Q$110</f>
        <v>104.7330493150685</v>
      </c>
      <c r="M143" s="166">
        <f ca="1">IMSS[[#This Row],[DIAS LAB]]*IMSS[[#This Row],[SDI]]*$Q$111</f>
        <v>184.66335616438357</v>
      </c>
      <c r="N143" s="163">
        <f ca="1">IMSS[[#This Row],[DIAS LAB]]*IMSS[[#This Row],[SDI]]*$Q$112</f>
        <v>123.10890410958905</v>
      </c>
      <c r="O143" s="166">
        <f ca="1">IMSS[[#This Row],[DIAS LAB]]*IMSS[[#This Row],[SDI]]*$Q$113</f>
        <v>307.77226027397262</v>
      </c>
      <c r="P143" s="163">
        <f ca="1">IMSS[[#This Row],[DIAS LAB]]*IMSS[[#This Row],[SDI]]*$Q$114</f>
        <v>175.86986301369865</v>
      </c>
      <c r="Q143" s="166">
        <f ca="1">IMSS[[#This Row],[DIAS LAB]]*IMSS[[#This Row],[SDI]]*$Q$115</f>
        <v>351.7397260273973</v>
      </c>
      <c r="R143" s="163">
        <f ca="1">IMSS[[#This Row],[DIAS LAB]]*IMSS[[#This Row],[SDI]]*$Q$116</f>
        <v>553.99006849315072</v>
      </c>
      <c r="S143" s="163">
        <f ca="1">IMSS[[#This Row],[DIAS LAB]]*IMSS[[#This Row],[SDI]]*$Q$117</f>
        <v>879.34931506849318</v>
      </c>
      <c r="T143" s="164">
        <f ca="1">SUM(IMSS[[#This Row],[P RSG TRB]:[P INFONAVIT]])</f>
        <v>3325.2950065068499</v>
      </c>
      <c r="U143" s="163">
        <f ca="1">IMSS[[#This Row],[DIAS LAB]]*IMSS[[#This Row],[SDI]]*IMSS[[#This Row],[% RSG]]*$R$108</f>
        <v>0</v>
      </c>
      <c r="V143" s="163">
        <f ca="1">IMSS[[#This Row],[DIAS LAB]]*IMSS[[#This Row],[SDI]]*$R$112</f>
        <v>43.967465753424662</v>
      </c>
      <c r="W143" s="163"/>
      <c r="X143" s="163">
        <f ca="1">IMSS[[#This Row],[DIAS LAB]]*IMSS[[#This Row],[SDI]]*$R$113</f>
        <v>110.79801369863014</v>
      </c>
      <c r="Y143" s="163">
        <f ca="1">IMSS[[#This Row],[DIAS LAB]]*IMSS[[#This Row],[SDI]]*$R$114</f>
        <v>0</v>
      </c>
      <c r="Z143" s="163">
        <f ca="1">IMSS[[#This Row],[DIAS LAB]]*IMSS[[#This Row],[SDI]]*$R$115</f>
        <v>0</v>
      </c>
      <c r="AA143" s="163">
        <f ca="1">IMSS[[#This Row],[DIAS LAB]]*IMSS[[#This Row],[SDI]]*$R$116</f>
        <v>198.73294520547944</v>
      </c>
      <c r="AB143" s="163">
        <f ca="1">IMSS[[#This Row],[DIAS LAB]]*IMSS[[#This Row],[SDI]]*$R$117</f>
        <v>0</v>
      </c>
      <c r="AC143" s="247">
        <f ca="1">SUM(IMSS[[#This Row],[O RSG TRB]:[O INFONAVIT]])</f>
        <v>353.49842465753426</v>
      </c>
      <c r="AD143" s="163"/>
      <c r="AE143" s="165">
        <f ca="1">IMSS[[#This Row],[P TOTAL]]+IMSS[[#This Row],[O TOTAL]]</f>
        <v>3678.7934311643839</v>
      </c>
      <c r="AF143" s="163"/>
      <c r="AG143" s="163">
        <f>VLOOKUP(IMSS[[#This Row],[SUE MENS]],$AG$110:$AJ$120,1,1)</f>
        <v>13381.48</v>
      </c>
      <c r="AH143" s="163">
        <f>IMSS[[#This Row],[SUE MENS]]-IMSS[[#This Row],[LIM INF]]</f>
        <v>2468.5200000000004</v>
      </c>
      <c r="AI143" s="163">
        <f>IMSS[[#This Row],[EXC LIM INF]]*(VLOOKUP(IMSS[[#This Row],[LIM INF]],$AG$110:$AJ$120,4,0))</f>
        <v>527.27587200000005</v>
      </c>
      <c r="AJ143" s="163">
        <f>VLOOKUP(IMSS[[#This Row],[LIM INF]],$AG$110:$AJ$120,3)</f>
        <v>1417.12</v>
      </c>
      <c r="AK143" s="163">
        <f>SUM(IMSS[[#This Row],[TASA EXC]]+IMSS[[#This Row],[CUOTA FIJA]])</f>
        <v>1944.3958720000001</v>
      </c>
      <c r="AL143" s="163">
        <f>VLOOKUP(IMSS[[#This Row],[SUE MENS]],$AL$110:$AN$120,3,1)</f>
        <v>0</v>
      </c>
      <c r="AM143" s="248">
        <f>IF(IMSS[[#This Row],[ISR CARGO]]-IMSS[[#This Row],[SUBS ISR]]&gt;0,IMSS[[#This Row],[ISR CARGO]]-IMSS[[#This Row],[SUBS ISR]],0)</f>
        <v>1944.3958720000001</v>
      </c>
      <c r="AN143" s="248">
        <f>IF(IMSS[[#This Row],[SUBS ISR]]-IMSS[[#This Row],[ISR CARGO]]&gt;0,IMSS[[#This Row],[SUBS ISR]]-IMSS[[#This Row],[ISR CARGO]],0)</f>
        <v>0</v>
      </c>
    </row>
    <row r="144" spans="3:40" ht="15" hidden="1" customHeight="1" x14ac:dyDescent="0.25">
      <c r="C144" s="243">
        <v>120</v>
      </c>
      <c r="D144" s="167" t="str">
        <f>VLOOKUP(IMSS[[#This Row],[NEM]],BDD[],2,0)</f>
        <v>Juan Carlos Ortega Huerta</v>
      </c>
      <c r="E144" s="167" t="str">
        <f>VLOOKUP(IMSS[[#This Row],[NEM]],BDD[],9,0)</f>
        <v>COMPRAS</v>
      </c>
      <c r="F144" s="168">
        <v>30</v>
      </c>
      <c r="G144" s="139">
        <f>VLOOKUP(IMSS[[#This Row],[NEM]],BDD[],3,0)</f>
        <v>7445</v>
      </c>
      <c r="H144" s="139">
        <f ca="1">VLOOKUP(IMSS[[#This Row],[NEM]],BDD[],25,0)</f>
        <v>271.96347031963467</v>
      </c>
      <c r="I144" s="143">
        <f>VLOOKUP(IMSS[[#This Row],[DEPT]],$B$3:$G$49,6,0)</f>
        <v>5.4355000000000002E-3</v>
      </c>
      <c r="J144" s="163">
        <f ca="1">IMSS[[#This Row],[DIAS LAB]]*IMSS[[#This Row],[SDI]]*IMSS[[#This Row],[% RSG]]*$Q$108</f>
        <v>44.347723287671229</v>
      </c>
      <c r="K144" s="163">
        <f>IMSS[[#This Row],[DIAS LAB]]*$J$110*$Q$109</f>
        <v>548.47440000000006</v>
      </c>
      <c r="L144" s="166">
        <f ca="1">IMSS[[#This Row],[DIAS LAB]]*IF(IMSS[[#This Row],[SDI]]-$J$113&gt;0,IMSS[[#This Row],[SDI]]-$J$113,0)*$Q$110</f>
        <v>1.0241452054794353</v>
      </c>
      <c r="M144" s="166">
        <f ca="1">IMSS[[#This Row],[DIAS LAB]]*IMSS[[#This Row],[SDI]]*$Q$111</f>
        <v>85.668493150684924</v>
      </c>
      <c r="N144" s="163">
        <f ca="1">IMSS[[#This Row],[DIAS LAB]]*IMSS[[#This Row],[SDI]]*$Q$112</f>
        <v>57.11232876712328</v>
      </c>
      <c r="O144" s="166">
        <f ca="1">IMSS[[#This Row],[DIAS LAB]]*IMSS[[#This Row],[SDI]]*$Q$113</f>
        <v>142.7808219178082</v>
      </c>
      <c r="P144" s="163">
        <f ca="1">IMSS[[#This Row],[DIAS LAB]]*IMSS[[#This Row],[SDI]]*$Q$114</f>
        <v>81.589041095890394</v>
      </c>
      <c r="Q144" s="166">
        <f ca="1">IMSS[[#This Row],[DIAS LAB]]*IMSS[[#This Row],[SDI]]*$Q$115</f>
        <v>163.17808219178079</v>
      </c>
      <c r="R144" s="163">
        <f ca="1">IMSS[[#This Row],[DIAS LAB]]*IMSS[[#This Row],[SDI]]*$Q$116</f>
        <v>257.00547945205477</v>
      </c>
      <c r="S144" s="163">
        <f ca="1">IMSS[[#This Row],[DIAS LAB]]*IMSS[[#This Row],[SDI]]*$Q$117</f>
        <v>407.945205479452</v>
      </c>
      <c r="T144" s="164">
        <f ca="1">SUM(IMSS[[#This Row],[P RSG TRB]:[P INFONAVIT]])</f>
        <v>1789.1257205479449</v>
      </c>
      <c r="U144" s="163">
        <f ca="1">IMSS[[#This Row],[DIAS LAB]]*IMSS[[#This Row],[SDI]]*IMSS[[#This Row],[% RSG]]*$R$108</f>
        <v>0</v>
      </c>
      <c r="V144" s="163">
        <f ca="1">IMSS[[#This Row],[DIAS LAB]]*IMSS[[#This Row],[SDI]]*$R$112</f>
        <v>20.397260273972599</v>
      </c>
      <c r="W144" s="163"/>
      <c r="X144" s="163">
        <f ca="1">IMSS[[#This Row],[DIAS LAB]]*IMSS[[#This Row],[SDI]]*$R$113</f>
        <v>51.40109589041095</v>
      </c>
      <c r="Y144" s="163">
        <f ca="1">IMSS[[#This Row],[DIAS LAB]]*IMSS[[#This Row],[SDI]]*$R$114</f>
        <v>0</v>
      </c>
      <c r="Z144" s="163">
        <f ca="1">IMSS[[#This Row],[DIAS LAB]]*IMSS[[#This Row],[SDI]]*$R$115</f>
        <v>0</v>
      </c>
      <c r="AA144" s="163">
        <f ca="1">IMSS[[#This Row],[DIAS LAB]]*IMSS[[#This Row],[SDI]]*$R$116</f>
        <v>92.19561643835614</v>
      </c>
      <c r="AB144" s="163">
        <f ca="1">IMSS[[#This Row],[DIAS LAB]]*IMSS[[#This Row],[SDI]]*$R$117</f>
        <v>0</v>
      </c>
      <c r="AC144" s="247">
        <f ca="1">SUM(IMSS[[#This Row],[O RSG TRB]:[O INFONAVIT]])</f>
        <v>163.99397260273969</v>
      </c>
      <c r="AD144" s="163"/>
      <c r="AE144" s="165">
        <f ca="1">IMSS[[#This Row],[P TOTAL]]+IMSS[[#This Row],[O TOTAL]]</f>
        <v>1953.1196931506845</v>
      </c>
      <c r="AF144" s="163"/>
      <c r="AG144" s="163">
        <f>VLOOKUP(IMSS[[#This Row],[SUE MENS]],$AG$110:$AJ$120,1,1)</f>
        <v>5470.93</v>
      </c>
      <c r="AH144" s="163">
        <f>IMSS[[#This Row],[SUE MENS]]-IMSS[[#This Row],[LIM INF]]</f>
        <v>1974.0699999999997</v>
      </c>
      <c r="AI144" s="163">
        <f>IMSS[[#This Row],[EXC LIM INF]]*(VLOOKUP(IMSS[[#This Row],[LIM INF]],$AG$110:$AJ$120,4,0))</f>
        <v>214.77881599999998</v>
      </c>
      <c r="AJ144" s="163">
        <f>VLOOKUP(IMSS[[#This Row],[LIM INF]],$AG$110:$AJ$120,3)</f>
        <v>321.26</v>
      </c>
      <c r="AK144" s="163">
        <f>SUM(IMSS[[#This Row],[TASA EXC]]+IMSS[[#This Row],[CUOTA FIJA]])</f>
        <v>536.038816</v>
      </c>
      <c r="AL144" s="163">
        <f>VLOOKUP(IMSS[[#This Row],[SUE MENS]],$AL$110:$AN$120,3,1)</f>
        <v>0</v>
      </c>
      <c r="AM144" s="248">
        <f>IF(IMSS[[#This Row],[ISR CARGO]]-IMSS[[#This Row],[SUBS ISR]]&gt;0,IMSS[[#This Row],[ISR CARGO]]-IMSS[[#This Row],[SUBS ISR]],0)</f>
        <v>536.038816</v>
      </c>
      <c r="AN144" s="248">
        <f>IF(IMSS[[#This Row],[SUBS ISR]]-IMSS[[#This Row],[ISR CARGO]]&gt;0,IMSS[[#This Row],[SUBS ISR]]-IMSS[[#This Row],[ISR CARGO]],0)</f>
        <v>0</v>
      </c>
    </row>
    <row r="145" spans="3:40" ht="15" hidden="1" customHeight="1" x14ac:dyDescent="0.25">
      <c r="C145" s="243">
        <v>121</v>
      </c>
      <c r="D145" s="167" t="str">
        <f>VLOOKUP(IMSS[[#This Row],[NEM]],BDD[],2,0)</f>
        <v xml:space="preserve">Luis Jorge Boone </v>
      </c>
      <c r="E145" s="167" t="str">
        <f>VLOOKUP(IMSS[[#This Row],[NEM]],BDD[],9,0)</f>
        <v>AUDIT PROY</v>
      </c>
      <c r="F145" s="168">
        <v>30</v>
      </c>
      <c r="G145" s="139">
        <f>VLOOKUP(IMSS[[#This Row],[NEM]],BDD[],3,0)</f>
        <v>7950</v>
      </c>
      <c r="H145" s="139">
        <f ca="1">VLOOKUP(IMSS[[#This Row],[NEM]],BDD[],25,0)</f>
        <v>291.86301369863014</v>
      </c>
      <c r="I145" s="143">
        <f>VLOOKUP(IMSS[[#This Row],[DEPT]],$B$3:$G$49,6,0)</f>
        <v>1.130658E-2</v>
      </c>
      <c r="J145" s="163">
        <f ca="1">IMSS[[#This Row],[DIAS LAB]]*IMSS[[#This Row],[SDI]]*IMSS[[#This Row],[% RSG]]*$Q$108</f>
        <v>98.999175402739723</v>
      </c>
      <c r="K145" s="163">
        <f>IMSS[[#This Row],[DIAS LAB]]*$J$110*$Q$109</f>
        <v>548.47440000000006</v>
      </c>
      <c r="L145" s="166">
        <f ca="1">IMSS[[#This Row],[DIAS LAB]]*IF(IMSS[[#This Row],[SDI]]-$J$113&gt;0,IMSS[[#This Row],[SDI]]-$J$113,0)*$Q$110</f>
        <v>7.5909945205479419</v>
      </c>
      <c r="M145" s="166">
        <f ca="1">IMSS[[#This Row],[DIAS LAB]]*IMSS[[#This Row],[SDI]]*$Q$111</f>
        <v>91.9368493150685</v>
      </c>
      <c r="N145" s="163">
        <f ca="1">IMSS[[#This Row],[DIAS LAB]]*IMSS[[#This Row],[SDI]]*$Q$112</f>
        <v>61.291232876712328</v>
      </c>
      <c r="O145" s="166">
        <f ca="1">IMSS[[#This Row],[DIAS LAB]]*IMSS[[#This Row],[SDI]]*$Q$113</f>
        <v>153.22808219178083</v>
      </c>
      <c r="P145" s="163">
        <f ca="1">IMSS[[#This Row],[DIAS LAB]]*IMSS[[#This Row],[SDI]]*$Q$114</f>
        <v>87.558904109589037</v>
      </c>
      <c r="Q145" s="166">
        <f ca="1">IMSS[[#This Row],[DIAS LAB]]*IMSS[[#This Row],[SDI]]*$Q$115</f>
        <v>175.11780821917807</v>
      </c>
      <c r="R145" s="163">
        <f ca="1">IMSS[[#This Row],[DIAS LAB]]*IMSS[[#This Row],[SDI]]*$Q$116</f>
        <v>275.81054794520549</v>
      </c>
      <c r="S145" s="163">
        <f ca="1">IMSS[[#This Row],[DIAS LAB]]*IMSS[[#This Row],[SDI]]*$Q$117</f>
        <v>437.79452054794524</v>
      </c>
      <c r="T145" s="164">
        <f ca="1">SUM(IMSS[[#This Row],[P RSG TRB]:[P INFONAVIT]])</f>
        <v>1937.8025151287673</v>
      </c>
      <c r="U145" s="163">
        <f ca="1">IMSS[[#This Row],[DIAS LAB]]*IMSS[[#This Row],[SDI]]*IMSS[[#This Row],[% RSG]]*$R$108</f>
        <v>0</v>
      </c>
      <c r="V145" s="163">
        <f ca="1">IMSS[[#This Row],[DIAS LAB]]*IMSS[[#This Row],[SDI]]*$R$112</f>
        <v>21.889726027397259</v>
      </c>
      <c r="W145" s="163"/>
      <c r="X145" s="163">
        <f ca="1">IMSS[[#This Row],[DIAS LAB]]*IMSS[[#This Row],[SDI]]*$R$113</f>
        <v>55.162109589041094</v>
      </c>
      <c r="Y145" s="163">
        <f ca="1">IMSS[[#This Row],[DIAS LAB]]*IMSS[[#This Row],[SDI]]*$R$114</f>
        <v>0</v>
      </c>
      <c r="Z145" s="163">
        <f ca="1">IMSS[[#This Row],[DIAS LAB]]*IMSS[[#This Row],[SDI]]*$R$115</f>
        <v>0</v>
      </c>
      <c r="AA145" s="163">
        <f ca="1">IMSS[[#This Row],[DIAS LAB]]*IMSS[[#This Row],[SDI]]*$R$116</f>
        <v>98.941561643835612</v>
      </c>
      <c r="AB145" s="163">
        <f ca="1">IMSS[[#This Row],[DIAS LAB]]*IMSS[[#This Row],[SDI]]*$R$117</f>
        <v>0</v>
      </c>
      <c r="AC145" s="247">
        <f ca="1">SUM(IMSS[[#This Row],[O RSG TRB]:[O INFONAVIT]])</f>
        <v>175.99339726027398</v>
      </c>
      <c r="AD145" s="163"/>
      <c r="AE145" s="165">
        <f ca="1">IMSS[[#This Row],[P TOTAL]]+IMSS[[#This Row],[O TOTAL]]</f>
        <v>2113.7959123890414</v>
      </c>
      <c r="AF145" s="163"/>
      <c r="AG145" s="163">
        <f>VLOOKUP(IMSS[[#This Row],[SUE MENS]],$AG$110:$AJ$120,1,1)</f>
        <v>5470.93</v>
      </c>
      <c r="AH145" s="163">
        <f>IMSS[[#This Row],[SUE MENS]]-IMSS[[#This Row],[LIM INF]]</f>
        <v>2479.0699999999997</v>
      </c>
      <c r="AI145" s="163">
        <f>IMSS[[#This Row],[EXC LIM INF]]*(VLOOKUP(IMSS[[#This Row],[LIM INF]],$AG$110:$AJ$120,4,0))</f>
        <v>269.72281599999997</v>
      </c>
      <c r="AJ145" s="163">
        <f>VLOOKUP(IMSS[[#This Row],[LIM INF]],$AG$110:$AJ$120,3)</f>
        <v>321.26</v>
      </c>
      <c r="AK145" s="163">
        <f>SUM(IMSS[[#This Row],[TASA EXC]]+IMSS[[#This Row],[CUOTA FIJA]])</f>
        <v>590.98281599999996</v>
      </c>
      <c r="AL145" s="163">
        <f>VLOOKUP(IMSS[[#This Row],[SUE MENS]],$AL$110:$AN$120,3,1)</f>
        <v>0</v>
      </c>
      <c r="AM145" s="248">
        <f>IF(IMSS[[#This Row],[ISR CARGO]]-IMSS[[#This Row],[SUBS ISR]]&gt;0,IMSS[[#This Row],[ISR CARGO]]-IMSS[[#This Row],[SUBS ISR]],0)</f>
        <v>590.98281599999996</v>
      </c>
      <c r="AN145" s="248">
        <f>IF(IMSS[[#This Row],[SUBS ISR]]-IMSS[[#This Row],[ISR CARGO]]&gt;0,IMSS[[#This Row],[SUBS ISR]]-IMSS[[#This Row],[ISR CARGO]],0)</f>
        <v>0</v>
      </c>
    </row>
    <row r="146" spans="3:40" ht="15" hidden="1" customHeight="1" x14ac:dyDescent="0.25">
      <c r="C146" s="243">
        <v>122</v>
      </c>
      <c r="D146" s="167" t="str">
        <f>VLOOKUP(IMSS[[#This Row],[NEM]],BDD[],2,0)</f>
        <v>Fausto Eduardo Cedillo Oliva</v>
      </c>
      <c r="E146" s="167" t="str">
        <f>VLOOKUP(IMSS[[#This Row],[NEM]],BDD[],9,0)</f>
        <v>ADMINCIÓN</v>
      </c>
      <c r="F146" s="168">
        <v>30</v>
      </c>
      <c r="G146" s="139">
        <f>VLOOKUP(IMSS[[#This Row],[NEM]],BDD[],3,0)</f>
        <v>9541</v>
      </c>
      <c r="H146" s="139">
        <f ca="1">VLOOKUP(IMSS[[#This Row],[NEM]],BDD[],25,0)</f>
        <v>351.14365296803658</v>
      </c>
      <c r="I146" s="143">
        <f>VLOOKUP(IMSS[[#This Row],[DEPT]],$B$3:$G$49,6,0)</f>
        <v>5.4355000000000002E-3</v>
      </c>
      <c r="J146" s="163">
        <f ca="1">IMSS[[#This Row],[DIAS LAB]]*IMSS[[#This Row],[SDI]]*IMSS[[#This Row],[% RSG]]*$Q$108</f>
        <v>57.259239771232885</v>
      </c>
      <c r="K146" s="163">
        <f>IMSS[[#This Row],[DIAS LAB]]*$J$110*$Q$109</f>
        <v>548.47440000000006</v>
      </c>
      <c r="L146" s="166">
        <f ca="1">IMSS[[#This Row],[DIAS LAB]]*IF(IMSS[[#This Row],[SDI]]-$J$113&gt;0,IMSS[[#This Row],[SDI]]-$J$113,0)*$Q$110</f>
        <v>27.153605479452061</v>
      </c>
      <c r="M146" s="166">
        <f ca="1">IMSS[[#This Row],[DIAS LAB]]*IMSS[[#This Row],[SDI]]*$Q$111</f>
        <v>110.61025068493153</v>
      </c>
      <c r="N146" s="163">
        <f ca="1">IMSS[[#This Row],[DIAS LAB]]*IMSS[[#This Row],[SDI]]*$Q$112</f>
        <v>73.740167123287677</v>
      </c>
      <c r="O146" s="166">
        <f ca="1">IMSS[[#This Row],[DIAS LAB]]*IMSS[[#This Row],[SDI]]*$Q$113</f>
        <v>184.35041780821922</v>
      </c>
      <c r="P146" s="163">
        <f ca="1">IMSS[[#This Row],[DIAS LAB]]*IMSS[[#This Row],[SDI]]*$Q$114</f>
        <v>105.34309589041096</v>
      </c>
      <c r="Q146" s="166">
        <f ca="1">IMSS[[#This Row],[DIAS LAB]]*IMSS[[#This Row],[SDI]]*$Q$115</f>
        <v>210.68619178082193</v>
      </c>
      <c r="R146" s="163">
        <f ca="1">IMSS[[#This Row],[DIAS LAB]]*IMSS[[#This Row],[SDI]]*$Q$116</f>
        <v>331.83075205479457</v>
      </c>
      <c r="S146" s="163">
        <f ca="1">IMSS[[#This Row],[DIAS LAB]]*IMSS[[#This Row],[SDI]]*$Q$117</f>
        <v>526.71547945205486</v>
      </c>
      <c r="T146" s="164">
        <f ca="1">SUM(IMSS[[#This Row],[P RSG TRB]:[P INFONAVIT]])</f>
        <v>2176.1636000452058</v>
      </c>
      <c r="U146" s="163">
        <f ca="1">IMSS[[#This Row],[DIAS LAB]]*IMSS[[#This Row],[SDI]]*IMSS[[#This Row],[% RSG]]*$R$108</f>
        <v>0</v>
      </c>
      <c r="V146" s="163">
        <f ca="1">IMSS[[#This Row],[DIAS LAB]]*IMSS[[#This Row],[SDI]]*$R$112</f>
        <v>26.335773972602741</v>
      </c>
      <c r="W146" s="163"/>
      <c r="X146" s="163">
        <f ca="1">IMSS[[#This Row],[DIAS LAB]]*IMSS[[#This Row],[SDI]]*$R$113</f>
        <v>66.366150410958909</v>
      </c>
      <c r="Y146" s="163">
        <f ca="1">IMSS[[#This Row],[DIAS LAB]]*IMSS[[#This Row],[SDI]]*$R$114</f>
        <v>0</v>
      </c>
      <c r="Z146" s="163">
        <f ca="1">IMSS[[#This Row],[DIAS LAB]]*IMSS[[#This Row],[SDI]]*$R$115</f>
        <v>0</v>
      </c>
      <c r="AA146" s="163">
        <f ca="1">IMSS[[#This Row],[DIAS LAB]]*IMSS[[#This Row],[SDI]]*$R$116</f>
        <v>119.03769835616438</v>
      </c>
      <c r="AB146" s="163">
        <f ca="1">IMSS[[#This Row],[DIAS LAB]]*IMSS[[#This Row],[SDI]]*$R$117</f>
        <v>0</v>
      </c>
      <c r="AC146" s="247">
        <f ca="1">SUM(IMSS[[#This Row],[O RSG TRB]:[O INFONAVIT]])</f>
        <v>211.73962273972603</v>
      </c>
      <c r="AD146" s="163"/>
      <c r="AE146" s="165">
        <f ca="1">IMSS[[#This Row],[P TOTAL]]+IMSS[[#This Row],[O TOTAL]]</f>
        <v>2387.903222784932</v>
      </c>
      <c r="AF146" s="163"/>
      <c r="AG146" s="163">
        <f>VLOOKUP(IMSS[[#This Row],[SUE MENS]],$AG$110:$AJ$120,1,1)</f>
        <v>5470.93</v>
      </c>
      <c r="AH146" s="163">
        <f>IMSS[[#This Row],[SUE MENS]]-IMSS[[#This Row],[LIM INF]]</f>
        <v>4070.0699999999997</v>
      </c>
      <c r="AI146" s="163">
        <f>IMSS[[#This Row],[EXC LIM INF]]*(VLOOKUP(IMSS[[#This Row],[LIM INF]],$AG$110:$AJ$120,4,0))</f>
        <v>442.82361600000002</v>
      </c>
      <c r="AJ146" s="163">
        <f>VLOOKUP(IMSS[[#This Row],[LIM INF]],$AG$110:$AJ$120,3)</f>
        <v>321.26</v>
      </c>
      <c r="AK146" s="163">
        <f>SUM(IMSS[[#This Row],[TASA EXC]]+IMSS[[#This Row],[CUOTA FIJA]])</f>
        <v>764.08361600000001</v>
      </c>
      <c r="AL146" s="163">
        <f>VLOOKUP(IMSS[[#This Row],[SUE MENS]],$AL$110:$AN$120,3,1)</f>
        <v>0</v>
      </c>
      <c r="AM146" s="248">
        <f>IF(IMSS[[#This Row],[ISR CARGO]]-IMSS[[#This Row],[SUBS ISR]]&gt;0,IMSS[[#This Row],[ISR CARGO]]-IMSS[[#This Row],[SUBS ISR]],0)</f>
        <v>764.08361600000001</v>
      </c>
      <c r="AN146" s="248">
        <f>IF(IMSS[[#This Row],[SUBS ISR]]-IMSS[[#This Row],[ISR CARGO]]&gt;0,IMSS[[#This Row],[SUBS ISR]]-IMSS[[#This Row],[ISR CARGO]],0)</f>
        <v>0</v>
      </c>
    </row>
    <row r="147" spans="3:40" ht="15" hidden="1" customHeight="1" x14ac:dyDescent="0.25">
      <c r="C147" s="243">
        <v>123</v>
      </c>
      <c r="D147" s="167" t="str">
        <f>VLOOKUP(IMSS[[#This Row],[NEM]],BDD[],2,0)</f>
        <v>Lorenzo Antonio Cruz Mendoza</v>
      </c>
      <c r="E147" s="167" t="str">
        <f>VLOOKUP(IMSS[[#This Row],[NEM]],BDD[],9,0)</f>
        <v>ANLIS COST</v>
      </c>
      <c r="F147" s="168">
        <v>30</v>
      </c>
      <c r="G147" s="139">
        <f>VLOOKUP(IMSS[[#This Row],[NEM]],BDD[],3,0)</f>
        <v>25800</v>
      </c>
      <c r="H147" s="139">
        <f ca="1">VLOOKUP(IMSS[[#This Row],[NEM]],BDD[],25,0)</f>
        <v>949.53424657534254</v>
      </c>
      <c r="I147" s="143">
        <f>VLOOKUP(IMSS[[#This Row],[DEPT]],$B$3:$G$49,6,0)</f>
        <v>1.130658E-2</v>
      </c>
      <c r="J147" s="163">
        <f ca="1">IMSS[[#This Row],[DIAS LAB]]*IMSS[[#This Row],[SDI]]*IMSS[[#This Row],[% RSG]]*$Q$108</f>
        <v>322.07954764931509</v>
      </c>
      <c r="K147" s="163">
        <f>IMSS[[#This Row],[DIAS LAB]]*$J$110*$Q$109</f>
        <v>548.47440000000006</v>
      </c>
      <c r="L147" s="166">
        <f ca="1">IMSS[[#This Row],[DIAS LAB]]*IF(IMSS[[#This Row],[SDI]]-$J$113&gt;0,IMSS[[#This Row],[SDI]]-$J$113,0)*$Q$110</f>
        <v>224.62250136986302</v>
      </c>
      <c r="M147" s="166">
        <f ca="1">IMSS[[#This Row],[DIAS LAB]]*IMSS[[#This Row],[SDI]]*$Q$111</f>
        <v>299.10328767123292</v>
      </c>
      <c r="N147" s="163">
        <f ca="1">IMSS[[#This Row],[DIAS LAB]]*IMSS[[#This Row],[SDI]]*$Q$112</f>
        <v>199.40219178082194</v>
      </c>
      <c r="O147" s="166">
        <f ca="1">IMSS[[#This Row],[DIAS LAB]]*IMSS[[#This Row],[SDI]]*$Q$113</f>
        <v>498.50547945205489</v>
      </c>
      <c r="P147" s="163">
        <f ca="1">IMSS[[#This Row],[DIAS LAB]]*IMSS[[#This Row],[SDI]]*$Q$114</f>
        <v>284.86027397260278</v>
      </c>
      <c r="Q147" s="166">
        <f ca="1">IMSS[[#This Row],[DIAS LAB]]*IMSS[[#This Row],[SDI]]*$Q$115</f>
        <v>569.72054794520557</v>
      </c>
      <c r="R147" s="163">
        <f ca="1">IMSS[[#This Row],[DIAS LAB]]*IMSS[[#This Row],[SDI]]*$Q$116</f>
        <v>897.30986301369876</v>
      </c>
      <c r="S147" s="163">
        <f ca="1">IMSS[[#This Row],[DIAS LAB]]*IMSS[[#This Row],[SDI]]*$Q$117</f>
        <v>1424.3013698630139</v>
      </c>
      <c r="T147" s="164">
        <f ca="1">SUM(IMSS[[#This Row],[P RSG TRB]:[P INFONAVIT]])</f>
        <v>5268.3794627178086</v>
      </c>
      <c r="U147" s="163">
        <f ca="1">IMSS[[#This Row],[DIAS LAB]]*IMSS[[#This Row],[SDI]]*IMSS[[#This Row],[% RSG]]*$R$108</f>
        <v>0</v>
      </c>
      <c r="V147" s="163">
        <f ca="1">IMSS[[#This Row],[DIAS LAB]]*IMSS[[#This Row],[SDI]]*$R$112</f>
        <v>71.215068493150696</v>
      </c>
      <c r="W147" s="163"/>
      <c r="X147" s="163">
        <f ca="1">IMSS[[#This Row],[DIAS LAB]]*IMSS[[#This Row],[SDI]]*$R$113</f>
        <v>179.46197260273973</v>
      </c>
      <c r="Y147" s="163">
        <f ca="1">IMSS[[#This Row],[DIAS LAB]]*IMSS[[#This Row],[SDI]]*$R$114</f>
        <v>0</v>
      </c>
      <c r="Z147" s="163">
        <f ca="1">IMSS[[#This Row],[DIAS LAB]]*IMSS[[#This Row],[SDI]]*$R$115</f>
        <v>0</v>
      </c>
      <c r="AA147" s="163">
        <f ca="1">IMSS[[#This Row],[DIAS LAB]]*IMSS[[#This Row],[SDI]]*$R$116</f>
        <v>321.89210958904113</v>
      </c>
      <c r="AB147" s="163">
        <f ca="1">IMSS[[#This Row],[DIAS LAB]]*IMSS[[#This Row],[SDI]]*$R$117</f>
        <v>0</v>
      </c>
      <c r="AC147" s="247">
        <f ca="1">SUM(IMSS[[#This Row],[O RSG TRB]:[O INFONAVIT]])</f>
        <v>572.56915068493163</v>
      </c>
      <c r="AD147" s="163"/>
      <c r="AE147" s="165">
        <f ca="1">IMSS[[#This Row],[P TOTAL]]+IMSS[[#This Row],[O TOTAL]]</f>
        <v>5840.9486134027402</v>
      </c>
      <c r="AF147" s="163"/>
      <c r="AG147" s="163">
        <f>VLOOKUP(IMSS[[#This Row],[SUE MENS]],$AG$110:$AJ$120,1,1)</f>
        <v>13381.48</v>
      </c>
      <c r="AH147" s="163">
        <f>IMSS[[#This Row],[SUE MENS]]-IMSS[[#This Row],[LIM INF]]</f>
        <v>12418.52</v>
      </c>
      <c r="AI147" s="163">
        <f>IMSS[[#This Row],[EXC LIM INF]]*(VLOOKUP(IMSS[[#This Row],[LIM INF]],$AG$110:$AJ$120,4,0))</f>
        <v>2652.5958719999999</v>
      </c>
      <c r="AJ147" s="163">
        <f>VLOOKUP(IMSS[[#This Row],[LIM INF]],$AG$110:$AJ$120,3)</f>
        <v>1417.12</v>
      </c>
      <c r="AK147" s="163">
        <f>SUM(IMSS[[#This Row],[TASA EXC]]+IMSS[[#This Row],[CUOTA FIJA]])</f>
        <v>4069.7158719999998</v>
      </c>
      <c r="AL147" s="163">
        <f>VLOOKUP(IMSS[[#This Row],[SUE MENS]],$AL$110:$AN$120,3,1)</f>
        <v>0</v>
      </c>
      <c r="AM147" s="248">
        <f>IF(IMSS[[#This Row],[ISR CARGO]]-IMSS[[#This Row],[SUBS ISR]]&gt;0,IMSS[[#This Row],[ISR CARGO]]-IMSS[[#This Row],[SUBS ISR]],0)</f>
        <v>4069.7158719999998</v>
      </c>
      <c r="AN147" s="248">
        <f>IF(IMSS[[#This Row],[SUBS ISR]]-IMSS[[#This Row],[ISR CARGO]]&gt;0,IMSS[[#This Row],[SUBS ISR]]-IMSS[[#This Row],[ISR CARGO]],0)</f>
        <v>0</v>
      </c>
    </row>
    <row r="148" spans="3:40" ht="15" hidden="1" customHeight="1" x14ac:dyDescent="0.25">
      <c r="C148" s="243">
        <v>124</v>
      </c>
      <c r="D148" s="167" t="str">
        <f>VLOOKUP(IMSS[[#This Row],[NEM]],BDD[],2,0)</f>
        <v>Walther Jonathan Urbina Guerrero</v>
      </c>
      <c r="E148" s="167" t="str">
        <f>VLOOKUP(IMSS[[#This Row],[NEM]],BDD[],9,0)</f>
        <v>AUDIT PROY</v>
      </c>
      <c r="F148" s="168">
        <v>30</v>
      </c>
      <c r="G148" s="139">
        <f>VLOOKUP(IMSS[[#This Row],[NEM]],BDD[],3,0)</f>
        <v>9541</v>
      </c>
      <c r="H148" s="139">
        <f ca="1">VLOOKUP(IMSS[[#This Row],[NEM]],BDD[],25,0)</f>
        <v>351.14365296803658</v>
      </c>
      <c r="I148" s="143">
        <f>VLOOKUP(IMSS[[#This Row],[DEPT]],$B$3:$G$49,6,0)</f>
        <v>1.130658E-2</v>
      </c>
      <c r="J148" s="163">
        <f ca="1">IMSS[[#This Row],[DIAS LAB]]*IMSS[[#This Row],[SDI]]*IMSS[[#This Row],[% RSG]]*$Q$108</f>
        <v>119.10701411326029</v>
      </c>
      <c r="K148" s="163">
        <f>IMSS[[#This Row],[DIAS LAB]]*$J$110*$Q$109</f>
        <v>548.47440000000006</v>
      </c>
      <c r="L148" s="166">
        <f ca="1">IMSS[[#This Row],[DIAS LAB]]*IF(IMSS[[#This Row],[SDI]]-$J$113&gt;0,IMSS[[#This Row],[SDI]]-$J$113,0)*$Q$110</f>
        <v>27.153605479452061</v>
      </c>
      <c r="M148" s="166">
        <f ca="1">IMSS[[#This Row],[DIAS LAB]]*IMSS[[#This Row],[SDI]]*$Q$111</f>
        <v>110.61025068493153</v>
      </c>
      <c r="N148" s="163">
        <f ca="1">IMSS[[#This Row],[DIAS LAB]]*IMSS[[#This Row],[SDI]]*$Q$112</f>
        <v>73.740167123287677</v>
      </c>
      <c r="O148" s="166">
        <f ca="1">IMSS[[#This Row],[DIAS LAB]]*IMSS[[#This Row],[SDI]]*$Q$113</f>
        <v>184.35041780821922</v>
      </c>
      <c r="P148" s="163">
        <f ca="1">IMSS[[#This Row],[DIAS LAB]]*IMSS[[#This Row],[SDI]]*$Q$114</f>
        <v>105.34309589041096</v>
      </c>
      <c r="Q148" s="166">
        <f ca="1">IMSS[[#This Row],[DIAS LAB]]*IMSS[[#This Row],[SDI]]*$Q$115</f>
        <v>210.68619178082193</v>
      </c>
      <c r="R148" s="163">
        <f ca="1">IMSS[[#This Row],[DIAS LAB]]*IMSS[[#This Row],[SDI]]*$Q$116</f>
        <v>331.83075205479457</v>
      </c>
      <c r="S148" s="163">
        <f ca="1">IMSS[[#This Row],[DIAS LAB]]*IMSS[[#This Row],[SDI]]*$Q$117</f>
        <v>526.71547945205486</v>
      </c>
      <c r="T148" s="164">
        <f ca="1">SUM(IMSS[[#This Row],[P RSG TRB]:[P INFONAVIT]])</f>
        <v>2238.011374387233</v>
      </c>
      <c r="U148" s="163">
        <f ca="1">IMSS[[#This Row],[DIAS LAB]]*IMSS[[#This Row],[SDI]]*IMSS[[#This Row],[% RSG]]*$R$108</f>
        <v>0</v>
      </c>
      <c r="V148" s="163">
        <f ca="1">IMSS[[#This Row],[DIAS LAB]]*IMSS[[#This Row],[SDI]]*$R$112</f>
        <v>26.335773972602741</v>
      </c>
      <c r="W148" s="163"/>
      <c r="X148" s="163">
        <f ca="1">IMSS[[#This Row],[DIAS LAB]]*IMSS[[#This Row],[SDI]]*$R$113</f>
        <v>66.366150410958909</v>
      </c>
      <c r="Y148" s="163">
        <f ca="1">IMSS[[#This Row],[DIAS LAB]]*IMSS[[#This Row],[SDI]]*$R$114</f>
        <v>0</v>
      </c>
      <c r="Z148" s="163">
        <f ca="1">IMSS[[#This Row],[DIAS LAB]]*IMSS[[#This Row],[SDI]]*$R$115</f>
        <v>0</v>
      </c>
      <c r="AA148" s="163">
        <f ca="1">IMSS[[#This Row],[DIAS LAB]]*IMSS[[#This Row],[SDI]]*$R$116</f>
        <v>119.03769835616438</v>
      </c>
      <c r="AB148" s="163">
        <f ca="1">IMSS[[#This Row],[DIAS LAB]]*IMSS[[#This Row],[SDI]]*$R$117</f>
        <v>0</v>
      </c>
      <c r="AC148" s="247">
        <f ca="1">SUM(IMSS[[#This Row],[O RSG TRB]:[O INFONAVIT]])</f>
        <v>211.73962273972603</v>
      </c>
      <c r="AD148" s="163"/>
      <c r="AE148" s="165">
        <f ca="1">IMSS[[#This Row],[P TOTAL]]+IMSS[[#This Row],[O TOTAL]]</f>
        <v>2449.7509971269592</v>
      </c>
      <c r="AF148" s="163"/>
      <c r="AG148" s="163">
        <f>VLOOKUP(IMSS[[#This Row],[SUE MENS]],$AG$110:$AJ$120,1,1)</f>
        <v>5470.93</v>
      </c>
      <c r="AH148" s="163">
        <f>IMSS[[#This Row],[SUE MENS]]-IMSS[[#This Row],[LIM INF]]</f>
        <v>4070.0699999999997</v>
      </c>
      <c r="AI148" s="163">
        <f>IMSS[[#This Row],[EXC LIM INF]]*(VLOOKUP(IMSS[[#This Row],[LIM INF]],$AG$110:$AJ$120,4,0))</f>
        <v>442.82361600000002</v>
      </c>
      <c r="AJ148" s="163">
        <f>VLOOKUP(IMSS[[#This Row],[LIM INF]],$AG$110:$AJ$120,3)</f>
        <v>321.26</v>
      </c>
      <c r="AK148" s="163">
        <f>SUM(IMSS[[#This Row],[TASA EXC]]+IMSS[[#This Row],[CUOTA FIJA]])</f>
        <v>764.08361600000001</v>
      </c>
      <c r="AL148" s="163">
        <f>VLOOKUP(IMSS[[#This Row],[SUE MENS]],$AL$110:$AN$120,3,1)</f>
        <v>0</v>
      </c>
      <c r="AM148" s="248">
        <f>IF(IMSS[[#This Row],[ISR CARGO]]-IMSS[[#This Row],[SUBS ISR]]&gt;0,IMSS[[#This Row],[ISR CARGO]]-IMSS[[#This Row],[SUBS ISR]],0)</f>
        <v>764.08361600000001</v>
      </c>
      <c r="AN148" s="248">
        <f>IF(IMSS[[#This Row],[SUBS ISR]]-IMSS[[#This Row],[ISR CARGO]]&gt;0,IMSS[[#This Row],[SUBS ISR]]-IMSS[[#This Row],[ISR CARGO]],0)</f>
        <v>0</v>
      </c>
    </row>
    <row r="149" spans="3:40" ht="15" hidden="1" customHeight="1" x14ac:dyDescent="0.25">
      <c r="C149" s="243">
        <v>125</v>
      </c>
      <c r="D149" s="167" t="str">
        <f>VLOOKUP(IMSS[[#This Row],[NEM]],BDD[],2,0)</f>
        <v>Antonio de Jesús Hernández Quiroz</v>
      </c>
      <c r="E149" s="167" t="str">
        <f>VLOOKUP(IMSS[[#This Row],[NEM]],BDD[],9,0)</f>
        <v>AUDIT ADMN</v>
      </c>
      <c r="F149" s="168">
        <v>30</v>
      </c>
      <c r="G149" s="139">
        <f>VLOOKUP(IMSS[[#This Row],[NEM]],BDD[],3,0)</f>
        <v>22200</v>
      </c>
      <c r="H149" s="139">
        <f ca="1">VLOOKUP(IMSS[[#This Row],[NEM]],BDD[],25,0)</f>
        <v>817.04109589041093</v>
      </c>
      <c r="I149" s="143">
        <f>VLOOKUP(IMSS[[#This Row],[DEPT]],$B$3:$G$49,6,0)</f>
        <v>5.4355000000000002E-3</v>
      </c>
      <c r="J149" s="163">
        <f ca="1">IMSS[[#This Row],[DIAS LAB]]*IMSS[[#This Row],[SDI]]*IMSS[[#This Row],[% RSG]]*$Q$108</f>
        <v>133.23080630136988</v>
      </c>
      <c r="K149" s="163">
        <f>IMSS[[#This Row],[DIAS LAB]]*$J$110*$Q$109</f>
        <v>548.47440000000006</v>
      </c>
      <c r="L149" s="166">
        <f ca="1">IMSS[[#This Row],[DIAS LAB]]*IF(IMSS[[#This Row],[SDI]]-$J$113&gt;0,IMSS[[#This Row],[SDI]]-$J$113,0)*$Q$110</f>
        <v>180.89976164383557</v>
      </c>
      <c r="M149" s="166">
        <f ca="1">IMSS[[#This Row],[DIAS LAB]]*IMSS[[#This Row],[SDI]]*$Q$111</f>
        <v>257.36794520547949</v>
      </c>
      <c r="N149" s="163">
        <f ca="1">IMSS[[#This Row],[DIAS LAB]]*IMSS[[#This Row],[SDI]]*$Q$112</f>
        <v>171.57863013698631</v>
      </c>
      <c r="O149" s="166">
        <f ca="1">IMSS[[#This Row],[DIAS LAB]]*IMSS[[#This Row],[SDI]]*$Q$113</f>
        <v>428.94657534246579</v>
      </c>
      <c r="P149" s="163">
        <f ca="1">IMSS[[#This Row],[DIAS LAB]]*IMSS[[#This Row],[SDI]]*$Q$114</f>
        <v>245.1123287671233</v>
      </c>
      <c r="Q149" s="166">
        <f ca="1">IMSS[[#This Row],[DIAS LAB]]*IMSS[[#This Row],[SDI]]*$Q$115</f>
        <v>490.2246575342466</v>
      </c>
      <c r="R149" s="163">
        <f ca="1">IMSS[[#This Row],[DIAS LAB]]*IMSS[[#This Row],[SDI]]*$Q$116</f>
        <v>772.10383561643835</v>
      </c>
      <c r="S149" s="163">
        <f ca="1">IMSS[[#This Row],[DIAS LAB]]*IMSS[[#This Row],[SDI]]*$Q$117</f>
        <v>1225.5616438356165</v>
      </c>
      <c r="T149" s="164">
        <f ca="1">SUM(IMSS[[#This Row],[P RSG TRB]:[P INFONAVIT]])</f>
        <v>4453.5005843835615</v>
      </c>
      <c r="U149" s="163">
        <f ca="1">IMSS[[#This Row],[DIAS LAB]]*IMSS[[#This Row],[SDI]]*IMSS[[#This Row],[% RSG]]*$R$108</f>
        <v>0</v>
      </c>
      <c r="V149" s="163">
        <f ca="1">IMSS[[#This Row],[DIAS LAB]]*IMSS[[#This Row],[SDI]]*$R$112</f>
        <v>61.278082191780825</v>
      </c>
      <c r="W149" s="163"/>
      <c r="X149" s="163">
        <f ca="1">IMSS[[#This Row],[DIAS LAB]]*IMSS[[#This Row],[SDI]]*$R$113</f>
        <v>154.42076712328767</v>
      </c>
      <c r="Y149" s="163">
        <f ca="1">IMSS[[#This Row],[DIAS LAB]]*IMSS[[#This Row],[SDI]]*$R$114</f>
        <v>0</v>
      </c>
      <c r="Z149" s="163">
        <f ca="1">IMSS[[#This Row],[DIAS LAB]]*IMSS[[#This Row],[SDI]]*$R$115</f>
        <v>0</v>
      </c>
      <c r="AA149" s="163">
        <f ca="1">IMSS[[#This Row],[DIAS LAB]]*IMSS[[#This Row],[SDI]]*$R$116</f>
        <v>276.97693150684933</v>
      </c>
      <c r="AB149" s="163">
        <f ca="1">IMSS[[#This Row],[DIAS LAB]]*IMSS[[#This Row],[SDI]]*$R$117</f>
        <v>0</v>
      </c>
      <c r="AC149" s="247">
        <f ca="1">SUM(IMSS[[#This Row],[O RSG TRB]:[O INFONAVIT]])</f>
        <v>492.67578082191784</v>
      </c>
      <c r="AD149" s="163"/>
      <c r="AE149" s="165">
        <f ca="1">IMSS[[#This Row],[P TOTAL]]+IMSS[[#This Row],[O TOTAL]]</f>
        <v>4946.1763652054797</v>
      </c>
      <c r="AF149" s="163"/>
      <c r="AG149" s="163">
        <f>VLOOKUP(IMSS[[#This Row],[SUE MENS]],$AG$110:$AJ$120,1,1)</f>
        <v>13381.48</v>
      </c>
      <c r="AH149" s="163">
        <f>IMSS[[#This Row],[SUE MENS]]-IMSS[[#This Row],[LIM INF]]</f>
        <v>8818.52</v>
      </c>
      <c r="AI149" s="163">
        <f>IMSS[[#This Row],[EXC LIM INF]]*(VLOOKUP(IMSS[[#This Row],[LIM INF]],$AG$110:$AJ$120,4,0))</f>
        <v>1883.6358720000001</v>
      </c>
      <c r="AJ149" s="163">
        <f>VLOOKUP(IMSS[[#This Row],[LIM INF]],$AG$110:$AJ$120,3)</f>
        <v>1417.12</v>
      </c>
      <c r="AK149" s="163">
        <f>SUM(IMSS[[#This Row],[TASA EXC]]+IMSS[[#This Row],[CUOTA FIJA]])</f>
        <v>3300.7558719999997</v>
      </c>
      <c r="AL149" s="163">
        <f>VLOOKUP(IMSS[[#This Row],[SUE MENS]],$AL$110:$AN$120,3,1)</f>
        <v>0</v>
      </c>
      <c r="AM149" s="248">
        <f>IF(IMSS[[#This Row],[ISR CARGO]]-IMSS[[#This Row],[SUBS ISR]]&gt;0,IMSS[[#This Row],[ISR CARGO]]-IMSS[[#This Row],[SUBS ISR]],0)</f>
        <v>3300.7558719999997</v>
      </c>
      <c r="AN149" s="248">
        <f>IF(IMSS[[#This Row],[SUBS ISR]]-IMSS[[#This Row],[ISR CARGO]]&gt;0,IMSS[[#This Row],[SUBS ISR]]-IMSS[[#This Row],[ISR CARGO]],0)</f>
        <v>0</v>
      </c>
    </row>
    <row r="150" spans="3:40" ht="15" hidden="1" customHeight="1" x14ac:dyDescent="0.25">
      <c r="C150" s="243">
        <v>126</v>
      </c>
      <c r="D150" s="167" t="str">
        <f>VLOOKUP(IMSS[[#This Row],[NEM]],BDD[],2,0)</f>
        <v>Paola Alejandra Hernández Garza</v>
      </c>
      <c r="E150" s="167" t="str">
        <f>VLOOKUP(IMSS[[#This Row],[NEM]],BDD[],9,0)</f>
        <v>AUDIT PROY</v>
      </c>
      <c r="F150" s="168">
        <v>30</v>
      </c>
      <c r="G150" s="139">
        <f>VLOOKUP(IMSS[[#This Row],[NEM]],BDD[],3,0)</f>
        <v>25800</v>
      </c>
      <c r="H150" s="139">
        <f ca="1">VLOOKUP(IMSS[[#This Row],[NEM]],BDD[],25,0)</f>
        <v>949.53424657534254</v>
      </c>
      <c r="I150" s="143">
        <f>VLOOKUP(IMSS[[#This Row],[DEPT]],$B$3:$G$49,6,0)</f>
        <v>1.130658E-2</v>
      </c>
      <c r="J150" s="163">
        <f ca="1">IMSS[[#This Row],[DIAS LAB]]*IMSS[[#This Row],[SDI]]*IMSS[[#This Row],[% RSG]]*$Q$108</f>
        <v>322.07954764931509</v>
      </c>
      <c r="K150" s="163">
        <f>IMSS[[#This Row],[DIAS LAB]]*$J$110*$Q$109</f>
        <v>548.47440000000006</v>
      </c>
      <c r="L150" s="166">
        <f ca="1">IMSS[[#This Row],[DIAS LAB]]*IF(IMSS[[#This Row],[SDI]]-$J$113&gt;0,IMSS[[#This Row],[SDI]]-$J$113,0)*$Q$110</f>
        <v>224.62250136986302</v>
      </c>
      <c r="M150" s="166">
        <f ca="1">IMSS[[#This Row],[DIAS LAB]]*IMSS[[#This Row],[SDI]]*$Q$111</f>
        <v>299.10328767123292</v>
      </c>
      <c r="N150" s="163">
        <f ca="1">IMSS[[#This Row],[DIAS LAB]]*IMSS[[#This Row],[SDI]]*$Q$112</f>
        <v>199.40219178082194</v>
      </c>
      <c r="O150" s="166">
        <f ca="1">IMSS[[#This Row],[DIAS LAB]]*IMSS[[#This Row],[SDI]]*$Q$113</f>
        <v>498.50547945205489</v>
      </c>
      <c r="P150" s="163">
        <f ca="1">IMSS[[#This Row],[DIAS LAB]]*IMSS[[#This Row],[SDI]]*$Q$114</f>
        <v>284.86027397260278</v>
      </c>
      <c r="Q150" s="166">
        <f ca="1">IMSS[[#This Row],[DIAS LAB]]*IMSS[[#This Row],[SDI]]*$Q$115</f>
        <v>569.72054794520557</v>
      </c>
      <c r="R150" s="163">
        <f ca="1">IMSS[[#This Row],[DIAS LAB]]*IMSS[[#This Row],[SDI]]*$Q$116</f>
        <v>897.30986301369876</v>
      </c>
      <c r="S150" s="163">
        <f ca="1">IMSS[[#This Row],[DIAS LAB]]*IMSS[[#This Row],[SDI]]*$Q$117</f>
        <v>1424.3013698630139</v>
      </c>
      <c r="T150" s="164">
        <f ca="1">SUM(IMSS[[#This Row],[P RSG TRB]:[P INFONAVIT]])</f>
        <v>5268.3794627178086</v>
      </c>
      <c r="U150" s="163">
        <f ca="1">IMSS[[#This Row],[DIAS LAB]]*IMSS[[#This Row],[SDI]]*IMSS[[#This Row],[% RSG]]*$R$108</f>
        <v>0</v>
      </c>
      <c r="V150" s="163">
        <f ca="1">IMSS[[#This Row],[DIAS LAB]]*IMSS[[#This Row],[SDI]]*$R$112</f>
        <v>71.215068493150696</v>
      </c>
      <c r="W150" s="163"/>
      <c r="X150" s="163">
        <f ca="1">IMSS[[#This Row],[DIAS LAB]]*IMSS[[#This Row],[SDI]]*$R$113</f>
        <v>179.46197260273973</v>
      </c>
      <c r="Y150" s="163">
        <f ca="1">IMSS[[#This Row],[DIAS LAB]]*IMSS[[#This Row],[SDI]]*$R$114</f>
        <v>0</v>
      </c>
      <c r="Z150" s="163">
        <f ca="1">IMSS[[#This Row],[DIAS LAB]]*IMSS[[#This Row],[SDI]]*$R$115</f>
        <v>0</v>
      </c>
      <c r="AA150" s="163">
        <f ca="1">IMSS[[#This Row],[DIAS LAB]]*IMSS[[#This Row],[SDI]]*$R$116</f>
        <v>321.89210958904113</v>
      </c>
      <c r="AB150" s="163">
        <f ca="1">IMSS[[#This Row],[DIAS LAB]]*IMSS[[#This Row],[SDI]]*$R$117</f>
        <v>0</v>
      </c>
      <c r="AC150" s="247">
        <f ca="1">SUM(IMSS[[#This Row],[O RSG TRB]:[O INFONAVIT]])</f>
        <v>572.56915068493163</v>
      </c>
      <c r="AD150" s="163"/>
      <c r="AE150" s="165">
        <f ca="1">IMSS[[#This Row],[P TOTAL]]+IMSS[[#This Row],[O TOTAL]]</f>
        <v>5840.9486134027402</v>
      </c>
      <c r="AF150" s="163"/>
      <c r="AG150" s="163">
        <f>VLOOKUP(IMSS[[#This Row],[SUE MENS]],$AG$110:$AJ$120,1,1)</f>
        <v>13381.48</v>
      </c>
      <c r="AH150" s="163">
        <f>IMSS[[#This Row],[SUE MENS]]-IMSS[[#This Row],[LIM INF]]</f>
        <v>12418.52</v>
      </c>
      <c r="AI150" s="163">
        <f>IMSS[[#This Row],[EXC LIM INF]]*(VLOOKUP(IMSS[[#This Row],[LIM INF]],$AG$110:$AJ$120,4,0))</f>
        <v>2652.5958719999999</v>
      </c>
      <c r="AJ150" s="163">
        <f>VLOOKUP(IMSS[[#This Row],[LIM INF]],$AG$110:$AJ$120,3)</f>
        <v>1417.12</v>
      </c>
      <c r="AK150" s="163">
        <f>SUM(IMSS[[#This Row],[TASA EXC]]+IMSS[[#This Row],[CUOTA FIJA]])</f>
        <v>4069.7158719999998</v>
      </c>
      <c r="AL150" s="163">
        <f>VLOOKUP(IMSS[[#This Row],[SUE MENS]],$AL$110:$AN$120,3,1)</f>
        <v>0</v>
      </c>
      <c r="AM150" s="248">
        <f>IF(IMSS[[#This Row],[ISR CARGO]]-IMSS[[#This Row],[SUBS ISR]]&gt;0,IMSS[[#This Row],[ISR CARGO]]-IMSS[[#This Row],[SUBS ISR]],0)</f>
        <v>4069.7158719999998</v>
      </c>
      <c r="AN150" s="248">
        <f>IF(IMSS[[#This Row],[SUBS ISR]]-IMSS[[#This Row],[ISR CARGO]]&gt;0,IMSS[[#This Row],[SUBS ISR]]-IMSS[[#This Row],[ISR CARGO]],0)</f>
        <v>0</v>
      </c>
    </row>
    <row r="151" spans="3:40" ht="15" hidden="1" customHeight="1" x14ac:dyDescent="0.25">
      <c r="C151" s="243">
        <v>127</v>
      </c>
      <c r="D151" s="167" t="str">
        <f>VLOOKUP(IMSS[[#This Row],[NEM]],BDD[],2,0)</f>
        <v>Ignacio José Fornés Olmo</v>
      </c>
      <c r="E151" s="167" t="str">
        <f>VLOOKUP(IMSS[[#This Row],[NEM]],BDD[],9,0)</f>
        <v>NÓMINAS</v>
      </c>
      <c r="F151" s="168">
        <v>30</v>
      </c>
      <c r="G151" s="139">
        <f>VLOOKUP(IMSS[[#This Row],[NEM]],BDD[],3,0)</f>
        <v>7445</v>
      </c>
      <c r="H151" s="139">
        <f ca="1">VLOOKUP(IMSS[[#This Row],[NEM]],BDD[],25,0)</f>
        <v>271.96347031963467</v>
      </c>
      <c r="I151" s="143">
        <f>VLOOKUP(IMSS[[#This Row],[DEPT]],$B$3:$G$49,6,0)</f>
        <v>5.4355000000000002E-3</v>
      </c>
      <c r="J151" s="163">
        <f ca="1">IMSS[[#This Row],[DIAS LAB]]*IMSS[[#This Row],[SDI]]*IMSS[[#This Row],[% RSG]]*$Q$108</f>
        <v>44.347723287671229</v>
      </c>
      <c r="K151" s="163">
        <f>IMSS[[#This Row],[DIAS LAB]]*$J$110*$Q$109</f>
        <v>548.47440000000006</v>
      </c>
      <c r="L151" s="166">
        <f ca="1">IMSS[[#This Row],[DIAS LAB]]*IF(IMSS[[#This Row],[SDI]]-$J$113&gt;0,IMSS[[#This Row],[SDI]]-$J$113,0)*$Q$110</f>
        <v>1.0241452054794353</v>
      </c>
      <c r="M151" s="166">
        <f ca="1">IMSS[[#This Row],[DIAS LAB]]*IMSS[[#This Row],[SDI]]*$Q$111</f>
        <v>85.668493150684924</v>
      </c>
      <c r="N151" s="163">
        <f ca="1">IMSS[[#This Row],[DIAS LAB]]*IMSS[[#This Row],[SDI]]*$Q$112</f>
        <v>57.11232876712328</v>
      </c>
      <c r="O151" s="166">
        <f ca="1">IMSS[[#This Row],[DIAS LAB]]*IMSS[[#This Row],[SDI]]*$Q$113</f>
        <v>142.7808219178082</v>
      </c>
      <c r="P151" s="163">
        <f ca="1">IMSS[[#This Row],[DIAS LAB]]*IMSS[[#This Row],[SDI]]*$Q$114</f>
        <v>81.589041095890394</v>
      </c>
      <c r="Q151" s="166">
        <f ca="1">IMSS[[#This Row],[DIAS LAB]]*IMSS[[#This Row],[SDI]]*$Q$115</f>
        <v>163.17808219178079</v>
      </c>
      <c r="R151" s="163">
        <f ca="1">IMSS[[#This Row],[DIAS LAB]]*IMSS[[#This Row],[SDI]]*$Q$116</f>
        <v>257.00547945205477</v>
      </c>
      <c r="S151" s="163">
        <f ca="1">IMSS[[#This Row],[DIAS LAB]]*IMSS[[#This Row],[SDI]]*$Q$117</f>
        <v>407.945205479452</v>
      </c>
      <c r="T151" s="164">
        <f ca="1">SUM(IMSS[[#This Row],[P RSG TRB]:[P INFONAVIT]])</f>
        <v>1789.1257205479449</v>
      </c>
      <c r="U151" s="163">
        <f ca="1">IMSS[[#This Row],[DIAS LAB]]*IMSS[[#This Row],[SDI]]*IMSS[[#This Row],[% RSG]]*$R$108</f>
        <v>0</v>
      </c>
      <c r="V151" s="163">
        <f ca="1">IMSS[[#This Row],[DIAS LAB]]*IMSS[[#This Row],[SDI]]*$R$112</f>
        <v>20.397260273972599</v>
      </c>
      <c r="W151" s="163"/>
      <c r="X151" s="163">
        <f ca="1">IMSS[[#This Row],[DIAS LAB]]*IMSS[[#This Row],[SDI]]*$R$113</f>
        <v>51.40109589041095</v>
      </c>
      <c r="Y151" s="163">
        <f ca="1">IMSS[[#This Row],[DIAS LAB]]*IMSS[[#This Row],[SDI]]*$R$114</f>
        <v>0</v>
      </c>
      <c r="Z151" s="163">
        <f ca="1">IMSS[[#This Row],[DIAS LAB]]*IMSS[[#This Row],[SDI]]*$R$115</f>
        <v>0</v>
      </c>
      <c r="AA151" s="163">
        <f ca="1">IMSS[[#This Row],[DIAS LAB]]*IMSS[[#This Row],[SDI]]*$R$116</f>
        <v>92.19561643835614</v>
      </c>
      <c r="AB151" s="163">
        <f ca="1">IMSS[[#This Row],[DIAS LAB]]*IMSS[[#This Row],[SDI]]*$R$117</f>
        <v>0</v>
      </c>
      <c r="AC151" s="247">
        <f ca="1">SUM(IMSS[[#This Row],[O RSG TRB]:[O INFONAVIT]])</f>
        <v>163.99397260273969</v>
      </c>
      <c r="AD151" s="163"/>
      <c r="AE151" s="165">
        <f ca="1">IMSS[[#This Row],[P TOTAL]]+IMSS[[#This Row],[O TOTAL]]</f>
        <v>1953.1196931506845</v>
      </c>
      <c r="AF151" s="163"/>
      <c r="AG151" s="163">
        <f>VLOOKUP(IMSS[[#This Row],[SUE MENS]],$AG$110:$AJ$120,1,1)</f>
        <v>5470.93</v>
      </c>
      <c r="AH151" s="163">
        <f>IMSS[[#This Row],[SUE MENS]]-IMSS[[#This Row],[LIM INF]]</f>
        <v>1974.0699999999997</v>
      </c>
      <c r="AI151" s="163">
        <f>IMSS[[#This Row],[EXC LIM INF]]*(VLOOKUP(IMSS[[#This Row],[LIM INF]],$AG$110:$AJ$120,4,0))</f>
        <v>214.77881599999998</v>
      </c>
      <c r="AJ151" s="163">
        <f>VLOOKUP(IMSS[[#This Row],[LIM INF]],$AG$110:$AJ$120,3)</f>
        <v>321.26</v>
      </c>
      <c r="AK151" s="163">
        <f>SUM(IMSS[[#This Row],[TASA EXC]]+IMSS[[#This Row],[CUOTA FIJA]])</f>
        <v>536.038816</v>
      </c>
      <c r="AL151" s="163">
        <f>VLOOKUP(IMSS[[#This Row],[SUE MENS]],$AL$110:$AN$120,3,1)</f>
        <v>0</v>
      </c>
      <c r="AM151" s="248">
        <f>IF(IMSS[[#This Row],[ISR CARGO]]-IMSS[[#This Row],[SUBS ISR]]&gt;0,IMSS[[#This Row],[ISR CARGO]]-IMSS[[#This Row],[SUBS ISR]],0)</f>
        <v>536.038816</v>
      </c>
      <c r="AN151" s="248">
        <f>IF(IMSS[[#This Row],[SUBS ISR]]-IMSS[[#This Row],[ISR CARGO]]&gt;0,IMSS[[#This Row],[SUBS ISR]]-IMSS[[#This Row],[ISR CARGO]],0)</f>
        <v>0</v>
      </c>
    </row>
    <row r="152" spans="3:40" ht="15" hidden="1" customHeight="1" x14ac:dyDescent="0.25">
      <c r="C152" s="243">
        <v>128</v>
      </c>
      <c r="D152" s="167" t="str">
        <f>VLOOKUP(IMSS[[#This Row],[NEM]],BDD[],2,0)</f>
        <v>René Juan Pérez Joglar</v>
      </c>
      <c r="E152" s="167" t="str">
        <f>VLOOKUP(IMSS[[#This Row],[NEM]],BDD[],9,0)</f>
        <v>ANLIS COST</v>
      </c>
      <c r="F152" s="168">
        <v>30</v>
      </c>
      <c r="G152" s="139">
        <f>VLOOKUP(IMSS[[#This Row],[NEM]],BDD[],3,0)</f>
        <v>7950</v>
      </c>
      <c r="H152" s="139">
        <f ca="1">VLOOKUP(IMSS[[#This Row],[NEM]],BDD[],25,0)</f>
        <v>291.86301369863014</v>
      </c>
      <c r="I152" s="143">
        <f>VLOOKUP(IMSS[[#This Row],[DEPT]],$B$3:$G$49,6,0)</f>
        <v>1.130658E-2</v>
      </c>
      <c r="J152" s="163">
        <f ca="1">IMSS[[#This Row],[DIAS LAB]]*IMSS[[#This Row],[SDI]]*IMSS[[#This Row],[% RSG]]*$Q$108</f>
        <v>98.999175402739723</v>
      </c>
      <c r="K152" s="163">
        <f>IMSS[[#This Row],[DIAS LAB]]*$J$110*$Q$109</f>
        <v>548.47440000000006</v>
      </c>
      <c r="L152" s="166">
        <f ca="1">IMSS[[#This Row],[DIAS LAB]]*IF(IMSS[[#This Row],[SDI]]-$J$113&gt;0,IMSS[[#This Row],[SDI]]-$J$113,0)*$Q$110</f>
        <v>7.5909945205479419</v>
      </c>
      <c r="M152" s="166">
        <f ca="1">IMSS[[#This Row],[DIAS LAB]]*IMSS[[#This Row],[SDI]]*$Q$111</f>
        <v>91.9368493150685</v>
      </c>
      <c r="N152" s="163">
        <f ca="1">IMSS[[#This Row],[DIAS LAB]]*IMSS[[#This Row],[SDI]]*$Q$112</f>
        <v>61.291232876712328</v>
      </c>
      <c r="O152" s="166">
        <f ca="1">IMSS[[#This Row],[DIAS LAB]]*IMSS[[#This Row],[SDI]]*$Q$113</f>
        <v>153.22808219178083</v>
      </c>
      <c r="P152" s="163">
        <f ca="1">IMSS[[#This Row],[DIAS LAB]]*IMSS[[#This Row],[SDI]]*$Q$114</f>
        <v>87.558904109589037</v>
      </c>
      <c r="Q152" s="166">
        <f ca="1">IMSS[[#This Row],[DIAS LAB]]*IMSS[[#This Row],[SDI]]*$Q$115</f>
        <v>175.11780821917807</v>
      </c>
      <c r="R152" s="163">
        <f ca="1">IMSS[[#This Row],[DIAS LAB]]*IMSS[[#This Row],[SDI]]*$Q$116</f>
        <v>275.81054794520549</v>
      </c>
      <c r="S152" s="163">
        <f ca="1">IMSS[[#This Row],[DIAS LAB]]*IMSS[[#This Row],[SDI]]*$Q$117</f>
        <v>437.79452054794524</v>
      </c>
      <c r="T152" s="164">
        <f ca="1">SUM(IMSS[[#This Row],[P RSG TRB]:[P INFONAVIT]])</f>
        <v>1937.8025151287673</v>
      </c>
      <c r="U152" s="163">
        <f ca="1">IMSS[[#This Row],[DIAS LAB]]*IMSS[[#This Row],[SDI]]*IMSS[[#This Row],[% RSG]]*$R$108</f>
        <v>0</v>
      </c>
      <c r="V152" s="163">
        <f ca="1">IMSS[[#This Row],[DIAS LAB]]*IMSS[[#This Row],[SDI]]*$R$112</f>
        <v>21.889726027397259</v>
      </c>
      <c r="W152" s="163"/>
      <c r="X152" s="163">
        <f ca="1">IMSS[[#This Row],[DIAS LAB]]*IMSS[[#This Row],[SDI]]*$R$113</f>
        <v>55.162109589041094</v>
      </c>
      <c r="Y152" s="163">
        <f ca="1">IMSS[[#This Row],[DIAS LAB]]*IMSS[[#This Row],[SDI]]*$R$114</f>
        <v>0</v>
      </c>
      <c r="Z152" s="163">
        <f ca="1">IMSS[[#This Row],[DIAS LAB]]*IMSS[[#This Row],[SDI]]*$R$115</f>
        <v>0</v>
      </c>
      <c r="AA152" s="163">
        <f ca="1">IMSS[[#This Row],[DIAS LAB]]*IMSS[[#This Row],[SDI]]*$R$116</f>
        <v>98.941561643835612</v>
      </c>
      <c r="AB152" s="163">
        <f ca="1">IMSS[[#This Row],[DIAS LAB]]*IMSS[[#This Row],[SDI]]*$R$117</f>
        <v>0</v>
      </c>
      <c r="AC152" s="247">
        <f ca="1">SUM(IMSS[[#This Row],[O RSG TRB]:[O INFONAVIT]])</f>
        <v>175.99339726027398</v>
      </c>
      <c r="AD152" s="163"/>
      <c r="AE152" s="165">
        <f ca="1">IMSS[[#This Row],[P TOTAL]]+IMSS[[#This Row],[O TOTAL]]</f>
        <v>2113.7959123890414</v>
      </c>
      <c r="AF152" s="163"/>
      <c r="AG152" s="163">
        <f>VLOOKUP(IMSS[[#This Row],[SUE MENS]],$AG$110:$AJ$120,1,1)</f>
        <v>5470.93</v>
      </c>
      <c r="AH152" s="163">
        <f>IMSS[[#This Row],[SUE MENS]]-IMSS[[#This Row],[LIM INF]]</f>
        <v>2479.0699999999997</v>
      </c>
      <c r="AI152" s="163">
        <f>IMSS[[#This Row],[EXC LIM INF]]*(VLOOKUP(IMSS[[#This Row],[LIM INF]],$AG$110:$AJ$120,4,0))</f>
        <v>269.72281599999997</v>
      </c>
      <c r="AJ152" s="163">
        <f>VLOOKUP(IMSS[[#This Row],[LIM INF]],$AG$110:$AJ$120,3)</f>
        <v>321.26</v>
      </c>
      <c r="AK152" s="163">
        <f>SUM(IMSS[[#This Row],[TASA EXC]]+IMSS[[#This Row],[CUOTA FIJA]])</f>
        <v>590.98281599999996</v>
      </c>
      <c r="AL152" s="163">
        <f>VLOOKUP(IMSS[[#This Row],[SUE MENS]],$AL$110:$AN$120,3,1)</f>
        <v>0</v>
      </c>
      <c r="AM152" s="248">
        <f>IF(IMSS[[#This Row],[ISR CARGO]]-IMSS[[#This Row],[SUBS ISR]]&gt;0,IMSS[[#This Row],[ISR CARGO]]-IMSS[[#This Row],[SUBS ISR]],0)</f>
        <v>590.98281599999996</v>
      </c>
      <c r="AN152" s="248">
        <f>IF(IMSS[[#This Row],[SUBS ISR]]-IMSS[[#This Row],[ISR CARGO]]&gt;0,IMSS[[#This Row],[SUBS ISR]]-IMSS[[#This Row],[ISR CARGO]],0)</f>
        <v>0</v>
      </c>
    </row>
    <row r="153" spans="3:40" ht="15" hidden="1" customHeight="1" x14ac:dyDescent="0.25">
      <c r="C153" s="243">
        <v>130</v>
      </c>
      <c r="D153" s="167" t="str">
        <f>VLOOKUP(IMSS[[#This Row],[NEM]],BDD[],2,0)</f>
        <v>Tirone José González Orama</v>
      </c>
      <c r="E153" s="167" t="str">
        <f>VLOOKUP(IMSS[[#This Row],[NEM]],BDD[],9,0)</f>
        <v>ANLIS COST</v>
      </c>
      <c r="F153" s="168">
        <v>30</v>
      </c>
      <c r="G153" s="139">
        <f>VLOOKUP(IMSS[[#This Row],[NEM]],BDD[],3,0)</f>
        <v>10860</v>
      </c>
      <c r="H153" s="139">
        <f ca="1">VLOOKUP(IMSS[[#This Row],[NEM]],BDD[],25,0)</f>
        <v>399.68767123287671</v>
      </c>
      <c r="I153" s="143">
        <f>VLOOKUP(IMSS[[#This Row],[DEPT]],$B$3:$G$49,6,0)</f>
        <v>1.130658E-2</v>
      </c>
      <c r="J153" s="163">
        <f ca="1">IMSS[[#This Row],[DIAS LAB]]*IMSS[[#This Row],[SDI]]*IMSS[[#This Row],[% RSG]]*$Q$108</f>
        <v>135.57301889424659</v>
      </c>
      <c r="K153" s="163">
        <f>IMSS[[#This Row],[DIAS LAB]]*$J$110*$Q$109</f>
        <v>548.47440000000006</v>
      </c>
      <c r="L153" s="166">
        <f ca="1">IMSS[[#This Row],[DIAS LAB]]*IF(IMSS[[#This Row],[SDI]]-$J$113&gt;0,IMSS[[#This Row],[SDI]]-$J$113,0)*$Q$110</f>
        <v>43.173131506849309</v>
      </c>
      <c r="M153" s="166">
        <f ca="1">IMSS[[#This Row],[DIAS LAB]]*IMSS[[#This Row],[SDI]]*$Q$111</f>
        <v>125.90161643835617</v>
      </c>
      <c r="N153" s="163">
        <f ca="1">IMSS[[#This Row],[DIAS LAB]]*IMSS[[#This Row],[SDI]]*$Q$112</f>
        <v>83.93441095890411</v>
      </c>
      <c r="O153" s="166">
        <f ca="1">IMSS[[#This Row],[DIAS LAB]]*IMSS[[#This Row],[SDI]]*$Q$113</f>
        <v>209.8360273972603</v>
      </c>
      <c r="P153" s="163">
        <f ca="1">IMSS[[#This Row],[DIAS LAB]]*IMSS[[#This Row],[SDI]]*$Q$114</f>
        <v>119.90630136986302</v>
      </c>
      <c r="Q153" s="166">
        <f ca="1">IMSS[[#This Row],[DIAS LAB]]*IMSS[[#This Row],[SDI]]*$Q$115</f>
        <v>239.81260273972603</v>
      </c>
      <c r="R153" s="163">
        <f ca="1">IMSS[[#This Row],[DIAS LAB]]*IMSS[[#This Row],[SDI]]*$Q$116</f>
        <v>377.70484931506849</v>
      </c>
      <c r="S153" s="163">
        <f ca="1">IMSS[[#This Row],[DIAS LAB]]*IMSS[[#This Row],[SDI]]*$Q$117</f>
        <v>599.53150684931506</v>
      </c>
      <c r="T153" s="164">
        <f ca="1">SUM(IMSS[[#This Row],[P RSG TRB]:[P INFONAVIT]])</f>
        <v>2483.8478654695891</v>
      </c>
      <c r="U153" s="163">
        <f ca="1">IMSS[[#This Row],[DIAS LAB]]*IMSS[[#This Row],[SDI]]*IMSS[[#This Row],[% RSG]]*$R$108</f>
        <v>0</v>
      </c>
      <c r="V153" s="163">
        <f ca="1">IMSS[[#This Row],[DIAS LAB]]*IMSS[[#This Row],[SDI]]*$R$112</f>
        <v>29.976575342465754</v>
      </c>
      <c r="W153" s="163"/>
      <c r="X153" s="163">
        <f ca="1">IMSS[[#This Row],[DIAS LAB]]*IMSS[[#This Row],[SDI]]*$R$113</f>
        <v>75.5409698630137</v>
      </c>
      <c r="Y153" s="163">
        <f ca="1">IMSS[[#This Row],[DIAS LAB]]*IMSS[[#This Row],[SDI]]*$R$114</f>
        <v>0</v>
      </c>
      <c r="Z153" s="163">
        <f ca="1">IMSS[[#This Row],[DIAS LAB]]*IMSS[[#This Row],[SDI]]*$R$115</f>
        <v>0</v>
      </c>
      <c r="AA153" s="163">
        <f ca="1">IMSS[[#This Row],[DIAS LAB]]*IMSS[[#This Row],[SDI]]*$R$116</f>
        <v>135.49412054794519</v>
      </c>
      <c r="AB153" s="163">
        <f ca="1">IMSS[[#This Row],[DIAS LAB]]*IMSS[[#This Row],[SDI]]*$R$117</f>
        <v>0</v>
      </c>
      <c r="AC153" s="247">
        <f ca="1">SUM(IMSS[[#This Row],[O RSG TRB]:[O INFONAVIT]])</f>
        <v>241.01166575342464</v>
      </c>
      <c r="AD153" s="163"/>
      <c r="AE153" s="165">
        <f ca="1">IMSS[[#This Row],[P TOTAL]]+IMSS[[#This Row],[O TOTAL]]</f>
        <v>2724.8595312230136</v>
      </c>
      <c r="AF153" s="163"/>
      <c r="AG153" s="163">
        <f>VLOOKUP(IMSS[[#This Row],[SUE MENS]],$AG$110:$AJ$120,1,1)</f>
        <v>9614.67</v>
      </c>
      <c r="AH153" s="163">
        <f>IMSS[[#This Row],[SUE MENS]]-IMSS[[#This Row],[LIM INF]]</f>
        <v>1245.33</v>
      </c>
      <c r="AI153" s="163">
        <f>IMSS[[#This Row],[EXC LIM INF]]*(VLOOKUP(IMSS[[#This Row],[LIM INF]],$AG$110:$AJ$120,4,0))</f>
        <v>199.25279999999998</v>
      </c>
      <c r="AJ153" s="163">
        <f>VLOOKUP(IMSS[[#This Row],[LIM INF]],$AG$110:$AJ$120,3)</f>
        <v>772.1</v>
      </c>
      <c r="AK153" s="163">
        <f>SUM(IMSS[[#This Row],[TASA EXC]]+IMSS[[#This Row],[CUOTA FIJA]])</f>
        <v>971.3528</v>
      </c>
      <c r="AL153" s="163">
        <f>VLOOKUP(IMSS[[#This Row],[SUE MENS]],$AL$110:$AN$120,3,1)</f>
        <v>0</v>
      </c>
      <c r="AM153" s="248">
        <f>IF(IMSS[[#This Row],[ISR CARGO]]-IMSS[[#This Row],[SUBS ISR]]&gt;0,IMSS[[#This Row],[ISR CARGO]]-IMSS[[#This Row],[SUBS ISR]],0)</f>
        <v>971.3528</v>
      </c>
      <c r="AN153" s="248">
        <f>IF(IMSS[[#This Row],[SUBS ISR]]-IMSS[[#This Row],[ISR CARGO]]&gt;0,IMSS[[#This Row],[SUBS ISR]]-IMSS[[#This Row],[ISR CARGO]],0)</f>
        <v>0</v>
      </c>
    </row>
    <row r="154" spans="3:40" ht="15" hidden="1" customHeight="1" x14ac:dyDescent="0.25">
      <c r="C154" s="243">
        <v>131</v>
      </c>
      <c r="D154" s="167" t="str">
        <f>VLOOKUP(IMSS[[#This Row],[NEM]],BDD[],2,0)</f>
        <v>Vicente Fernández Gómez</v>
      </c>
      <c r="E154" s="167" t="str">
        <f>VLOOKUP(IMSS[[#This Row],[NEM]],BDD[],9,0)</f>
        <v>MATERIALES</v>
      </c>
      <c r="F154" s="168">
        <v>30</v>
      </c>
      <c r="G154" s="139">
        <f>VLOOKUP(IMSS[[#This Row],[NEM]],BDD[],3,0)</f>
        <v>9450</v>
      </c>
      <c r="H154" s="139">
        <f ca="1">VLOOKUP(IMSS[[#This Row],[NEM]],BDD[],25,0)</f>
        <v>347.79452054794518</v>
      </c>
      <c r="I154" s="143">
        <f>VLOOKUP(IMSS[[#This Row],[DEPT]],$B$3:$G$49,6,0)</f>
        <v>4.6532499999999997E-2</v>
      </c>
      <c r="J154" s="163">
        <f ca="1">IMSS[[#This Row],[DIAS LAB]]*IMSS[[#This Row],[SDI]]*IMSS[[#This Row],[% RSG]]*$Q$108</f>
        <v>485.51245582191774</v>
      </c>
      <c r="K154" s="163">
        <f>IMSS[[#This Row],[DIAS LAB]]*$J$110*$Q$109</f>
        <v>548.47440000000006</v>
      </c>
      <c r="L154" s="166">
        <f ca="1">IMSS[[#This Row],[DIAS LAB]]*IF(IMSS[[#This Row],[SDI]]-$J$113&gt;0,IMSS[[#This Row],[SDI]]-$J$113,0)*$Q$110</f>
        <v>26.048391780821905</v>
      </c>
      <c r="M154" s="166">
        <f ca="1">IMSS[[#This Row],[DIAS LAB]]*IMSS[[#This Row],[SDI]]*$Q$111</f>
        <v>109.55527397260273</v>
      </c>
      <c r="N154" s="163">
        <f ca="1">IMSS[[#This Row],[DIAS LAB]]*IMSS[[#This Row],[SDI]]*$Q$112</f>
        <v>73.03684931506848</v>
      </c>
      <c r="O154" s="166">
        <f ca="1">IMSS[[#This Row],[DIAS LAB]]*IMSS[[#This Row],[SDI]]*$Q$113</f>
        <v>182.59212328767123</v>
      </c>
      <c r="P154" s="163">
        <f ca="1">IMSS[[#This Row],[DIAS LAB]]*IMSS[[#This Row],[SDI]]*$Q$114</f>
        <v>104.33835616438355</v>
      </c>
      <c r="Q154" s="166">
        <f ca="1">IMSS[[#This Row],[DIAS LAB]]*IMSS[[#This Row],[SDI]]*$Q$115</f>
        <v>208.67671232876711</v>
      </c>
      <c r="R154" s="163">
        <f ca="1">IMSS[[#This Row],[DIAS LAB]]*IMSS[[#This Row],[SDI]]*$Q$116</f>
        <v>328.66582191780816</v>
      </c>
      <c r="S154" s="163">
        <f ca="1">IMSS[[#This Row],[DIAS LAB]]*IMSS[[#This Row],[SDI]]*$Q$117</f>
        <v>521.69178082191775</v>
      </c>
      <c r="T154" s="164">
        <f ca="1">SUM(IMSS[[#This Row],[P RSG TRB]:[P INFONAVIT]])</f>
        <v>2588.5921654109588</v>
      </c>
      <c r="U154" s="163">
        <f ca="1">IMSS[[#This Row],[DIAS LAB]]*IMSS[[#This Row],[SDI]]*IMSS[[#This Row],[% RSG]]*$R$108</f>
        <v>0</v>
      </c>
      <c r="V154" s="163">
        <f ca="1">IMSS[[#This Row],[DIAS LAB]]*IMSS[[#This Row],[SDI]]*$R$112</f>
        <v>26.084589041095889</v>
      </c>
      <c r="W154" s="163"/>
      <c r="X154" s="163">
        <f ca="1">IMSS[[#This Row],[DIAS LAB]]*IMSS[[#This Row],[SDI]]*$R$113</f>
        <v>65.733164383561643</v>
      </c>
      <c r="Y154" s="163">
        <f ca="1">IMSS[[#This Row],[DIAS LAB]]*IMSS[[#This Row],[SDI]]*$R$114</f>
        <v>0</v>
      </c>
      <c r="Z154" s="163">
        <f ca="1">IMSS[[#This Row],[DIAS LAB]]*IMSS[[#This Row],[SDI]]*$R$115</f>
        <v>0</v>
      </c>
      <c r="AA154" s="163">
        <f ca="1">IMSS[[#This Row],[DIAS LAB]]*IMSS[[#This Row],[SDI]]*$R$116</f>
        <v>117.90234246575341</v>
      </c>
      <c r="AB154" s="163">
        <f ca="1">IMSS[[#This Row],[DIAS LAB]]*IMSS[[#This Row],[SDI]]*$R$117</f>
        <v>0</v>
      </c>
      <c r="AC154" s="247">
        <f ca="1">SUM(IMSS[[#This Row],[O RSG TRB]:[O INFONAVIT]])</f>
        <v>209.72009589041093</v>
      </c>
      <c r="AD154" s="163"/>
      <c r="AE154" s="165">
        <f ca="1">IMSS[[#This Row],[P TOTAL]]+IMSS[[#This Row],[O TOTAL]]</f>
        <v>2798.3122613013697</v>
      </c>
      <c r="AF154" s="163"/>
      <c r="AG154" s="163">
        <f>VLOOKUP(IMSS[[#This Row],[SUE MENS]],$AG$110:$AJ$120,1,1)</f>
        <v>5470.93</v>
      </c>
      <c r="AH154" s="163">
        <f>IMSS[[#This Row],[SUE MENS]]-IMSS[[#This Row],[LIM INF]]</f>
        <v>3979.0699999999997</v>
      </c>
      <c r="AI154" s="163">
        <f>IMSS[[#This Row],[EXC LIM INF]]*(VLOOKUP(IMSS[[#This Row],[LIM INF]],$AG$110:$AJ$120,4,0))</f>
        <v>432.92281600000001</v>
      </c>
      <c r="AJ154" s="163">
        <f>VLOOKUP(IMSS[[#This Row],[LIM INF]],$AG$110:$AJ$120,3)</f>
        <v>321.26</v>
      </c>
      <c r="AK154" s="163">
        <f>SUM(IMSS[[#This Row],[TASA EXC]]+IMSS[[#This Row],[CUOTA FIJA]])</f>
        <v>754.182816</v>
      </c>
      <c r="AL154" s="163">
        <f>VLOOKUP(IMSS[[#This Row],[SUE MENS]],$AL$110:$AN$120,3,1)</f>
        <v>0</v>
      </c>
      <c r="AM154" s="248">
        <f>IF(IMSS[[#This Row],[ISR CARGO]]-IMSS[[#This Row],[SUBS ISR]]&gt;0,IMSS[[#This Row],[ISR CARGO]]-IMSS[[#This Row],[SUBS ISR]],0)</f>
        <v>754.182816</v>
      </c>
      <c r="AN154" s="248">
        <f>IF(IMSS[[#This Row],[SUBS ISR]]-IMSS[[#This Row],[ISR CARGO]]&gt;0,IMSS[[#This Row],[SUBS ISR]]-IMSS[[#This Row],[ISR CARGO]],0)</f>
        <v>0</v>
      </c>
    </row>
    <row r="155" spans="3:40" ht="15" hidden="1" customHeight="1" x14ac:dyDescent="0.25">
      <c r="C155" s="243">
        <v>132</v>
      </c>
      <c r="D155" s="167" t="str">
        <f>VLOOKUP(IMSS[[#This Row],[NEM]],BDD[],2,0)</f>
        <v>José Rómulo Sosa Ortiz</v>
      </c>
      <c r="E155" s="167" t="str">
        <f>VLOOKUP(IMSS[[#This Row],[NEM]],BDD[],9,0)</f>
        <v>ESTRUCTURA</v>
      </c>
      <c r="F155" s="168">
        <v>30</v>
      </c>
      <c r="G155" s="139">
        <f>VLOOKUP(IMSS[[#This Row],[NEM]],BDD[],3,0)</f>
        <v>10860</v>
      </c>
      <c r="H155" s="139">
        <f ca="1">VLOOKUP(IMSS[[#This Row],[NEM]],BDD[],25,0)</f>
        <v>401.67123287671234</v>
      </c>
      <c r="I155" s="143">
        <f>VLOOKUP(IMSS[[#This Row],[DEPT]],$B$3:$G$49,6,0)</f>
        <v>2.5984400000000001E-2</v>
      </c>
      <c r="J155" s="163">
        <f ca="1">IMSS[[#This Row],[DIAS LAB]]*IMSS[[#This Row],[SDI]]*IMSS[[#This Row],[% RSG]]*$Q$108</f>
        <v>313.11557950684931</v>
      </c>
      <c r="K155" s="163">
        <f>IMSS[[#This Row],[DIAS LAB]]*$J$110*$Q$109</f>
        <v>548.47440000000006</v>
      </c>
      <c r="L155" s="166">
        <f ca="1">IMSS[[#This Row],[DIAS LAB]]*IF(IMSS[[#This Row],[SDI]]-$J$113&gt;0,IMSS[[#This Row],[SDI]]-$J$113,0)*$Q$110</f>
        <v>43.827706849315064</v>
      </c>
      <c r="M155" s="166">
        <f ca="1">IMSS[[#This Row],[DIAS LAB]]*IMSS[[#This Row],[SDI]]*$Q$111</f>
        <v>126.52643835616439</v>
      </c>
      <c r="N155" s="163">
        <f ca="1">IMSS[[#This Row],[DIAS LAB]]*IMSS[[#This Row],[SDI]]*$Q$112</f>
        <v>84.350958904109589</v>
      </c>
      <c r="O155" s="166">
        <f ca="1">IMSS[[#This Row],[DIAS LAB]]*IMSS[[#This Row],[SDI]]*$Q$113</f>
        <v>210.87739726027399</v>
      </c>
      <c r="P155" s="163">
        <f ca="1">IMSS[[#This Row],[DIAS LAB]]*IMSS[[#This Row],[SDI]]*$Q$114</f>
        <v>120.50136986301369</v>
      </c>
      <c r="Q155" s="166">
        <f ca="1">IMSS[[#This Row],[DIAS LAB]]*IMSS[[#This Row],[SDI]]*$Q$115</f>
        <v>241.00273972602739</v>
      </c>
      <c r="R155" s="163">
        <f ca="1">IMSS[[#This Row],[DIAS LAB]]*IMSS[[#This Row],[SDI]]*$Q$116</f>
        <v>379.57931506849314</v>
      </c>
      <c r="S155" s="163">
        <f ca="1">IMSS[[#This Row],[DIAS LAB]]*IMSS[[#This Row],[SDI]]*$Q$117</f>
        <v>602.50684931506851</v>
      </c>
      <c r="T155" s="164">
        <f ca="1">SUM(IMSS[[#This Row],[P RSG TRB]:[P INFONAVIT]])</f>
        <v>2670.7627548493151</v>
      </c>
      <c r="U155" s="163">
        <f ca="1">IMSS[[#This Row],[DIAS LAB]]*IMSS[[#This Row],[SDI]]*IMSS[[#This Row],[% RSG]]*$R$108</f>
        <v>0</v>
      </c>
      <c r="V155" s="163">
        <f ca="1">IMSS[[#This Row],[DIAS LAB]]*IMSS[[#This Row],[SDI]]*$R$112</f>
        <v>30.125342465753423</v>
      </c>
      <c r="W155" s="163"/>
      <c r="X155" s="163">
        <f ca="1">IMSS[[#This Row],[DIAS LAB]]*IMSS[[#This Row],[SDI]]*$R$113</f>
        <v>75.915863013698626</v>
      </c>
      <c r="Y155" s="163">
        <f ca="1">IMSS[[#This Row],[DIAS LAB]]*IMSS[[#This Row],[SDI]]*$R$114</f>
        <v>0</v>
      </c>
      <c r="Z155" s="163">
        <f ca="1">IMSS[[#This Row],[DIAS LAB]]*IMSS[[#This Row],[SDI]]*$R$115</f>
        <v>0</v>
      </c>
      <c r="AA155" s="163">
        <f ca="1">IMSS[[#This Row],[DIAS LAB]]*IMSS[[#This Row],[SDI]]*$R$116</f>
        <v>136.16654794520548</v>
      </c>
      <c r="AB155" s="163">
        <f ca="1">IMSS[[#This Row],[DIAS LAB]]*IMSS[[#This Row],[SDI]]*$R$117</f>
        <v>0</v>
      </c>
      <c r="AC155" s="247">
        <f ca="1">SUM(IMSS[[#This Row],[O RSG TRB]:[O INFONAVIT]])</f>
        <v>242.20775342465754</v>
      </c>
      <c r="AD155" s="163"/>
      <c r="AE155" s="165">
        <f ca="1">IMSS[[#This Row],[P TOTAL]]+IMSS[[#This Row],[O TOTAL]]</f>
        <v>2912.9705082739729</v>
      </c>
      <c r="AF155" s="163"/>
      <c r="AG155" s="163">
        <f>VLOOKUP(IMSS[[#This Row],[SUE MENS]],$AG$110:$AJ$120,1,1)</f>
        <v>9614.67</v>
      </c>
      <c r="AH155" s="163">
        <f>IMSS[[#This Row],[SUE MENS]]-IMSS[[#This Row],[LIM INF]]</f>
        <v>1245.33</v>
      </c>
      <c r="AI155" s="163">
        <f>IMSS[[#This Row],[EXC LIM INF]]*(VLOOKUP(IMSS[[#This Row],[LIM INF]],$AG$110:$AJ$120,4,0))</f>
        <v>199.25279999999998</v>
      </c>
      <c r="AJ155" s="163">
        <f>VLOOKUP(IMSS[[#This Row],[LIM INF]],$AG$110:$AJ$120,3)</f>
        <v>772.1</v>
      </c>
      <c r="AK155" s="163">
        <f>SUM(IMSS[[#This Row],[TASA EXC]]+IMSS[[#This Row],[CUOTA FIJA]])</f>
        <v>971.3528</v>
      </c>
      <c r="AL155" s="163">
        <f>VLOOKUP(IMSS[[#This Row],[SUE MENS]],$AL$110:$AN$120,3,1)</f>
        <v>0</v>
      </c>
      <c r="AM155" s="248">
        <f>IF(IMSS[[#This Row],[ISR CARGO]]-IMSS[[#This Row],[SUBS ISR]]&gt;0,IMSS[[#This Row],[ISR CARGO]]-IMSS[[#This Row],[SUBS ISR]],0)</f>
        <v>971.3528</v>
      </c>
      <c r="AN155" s="248">
        <f>IF(IMSS[[#This Row],[SUBS ISR]]-IMSS[[#This Row],[ISR CARGO]]&gt;0,IMSS[[#This Row],[SUBS ISR]]-IMSS[[#This Row],[ISR CARGO]],0)</f>
        <v>0</v>
      </c>
    </row>
    <row r="156" spans="3:40" ht="15" hidden="1" customHeight="1" x14ac:dyDescent="0.25">
      <c r="C156" s="243">
        <v>134</v>
      </c>
      <c r="D156" s="167" t="str">
        <f>VLOOKUP(IMSS[[#This Row],[NEM]],BDD[],2,0)</f>
        <v>Julio Maloa Faus</v>
      </c>
      <c r="E156" s="167" t="str">
        <f>VLOOKUP(IMSS[[#This Row],[NEM]],BDD[],9,0)</f>
        <v>COMPRAS</v>
      </c>
      <c r="F156" s="168">
        <v>30</v>
      </c>
      <c r="G156" s="139">
        <f>VLOOKUP(IMSS[[#This Row],[NEM]],BDD[],3,0)</f>
        <v>22200</v>
      </c>
      <c r="H156" s="139">
        <f ca="1">VLOOKUP(IMSS[[#This Row],[NEM]],BDD[],25,0)</f>
        <v>817.04109589041093</v>
      </c>
      <c r="I156" s="143">
        <f>VLOOKUP(IMSS[[#This Row],[DEPT]],$B$3:$G$49,6,0)</f>
        <v>5.4355000000000002E-3</v>
      </c>
      <c r="J156" s="163">
        <f ca="1">IMSS[[#This Row],[DIAS LAB]]*IMSS[[#This Row],[SDI]]*IMSS[[#This Row],[% RSG]]*$Q$108</f>
        <v>133.23080630136988</v>
      </c>
      <c r="K156" s="163">
        <f>IMSS[[#This Row],[DIAS LAB]]*$J$110*$Q$109</f>
        <v>548.47440000000006</v>
      </c>
      <c r="L156" s="166">
        <f ca="1">IMSS[[#This Row],[DIAS LAB]]*IF(IMSS[[#This Row],[SDI]]-$J$113&gt;0,IMSS[[#This Row],[SDI]]-$J$113,0)*$Q$110</f>
        <v>180.89976164383557</v>
      </c>
      <c r="M156" s="166">
        <f ca="1">IMSS[[#This Row],[DIAS LAB]]*IMSS[[#This Row],[SDI]]*$Q$111</f>
        <v>257.36794520547949</v>
      </c>
      <c r="N156" s="163">
        <f ca="1">IMSS[[#This Row],[DIAS LAB]]*IMSS[[#This Row],[SDI]]*$Q$112</f>
        <v>171.57863013698631</v>
      </c>
      <c r="O156" s="166">
        <f ca="1">IMSS[[#This Row],[DIAS LAB]]*IMSS[[#This Row],[SDI]]*$Q$113</f>
        <v>428.94657534246579</v>
      </c>
      <c r="P156" s="163">
        <f ca="1">IMSS[[#This Row],[DIAS LAB]]*IMSS[[#This Row],[SDI]]*$Q$114</f>
        <v>245.1123287671233</v>
      </c>
      <c r="Q156" s="166">
        <f ca="1">IMSS[[#This Row],[DIAS LAB]]*IMSS[[#This Row],[SDI]]*$Q$115</f>
        <v>490.2246575342466</v>
      </c>
      <c r="R156" s="163">
        <f ca="1">IMSS[[#This Row],[DIAS LAB]]*IMSS[[#This Row],[SDI]]*$Q$116</f>
        <v>772.10383561643835</v>
      </c>
      <c r="S156" s="163">
        <f ca="1">IMSS[[#This Row],[DIAS LAB]]*IMSS[[#This Row],[SDI]]*$Q$117</f>
        <v>1225.5616438356165</v>
      </c>
      <c r="T156" s="164">
        <f ca="1">SUM(IMSS[[#This Row],[P RSG TRB]:[P INFONAVIT]])</f>
        <v>4453.5005843835615</v>
      </c>
      <c r="U156" s="163">
        <f ca="1">IMSS[[#This Row],[DIAS LAB]]*IMSS[[#This Row],[SDI]]*IMSS[[#This Row],[% RSG]]*$R$108</f>
        <v>0</v>
      </c>
      <c r="V156" s="163">
        <f ca="1">IMSS[[#This Row],[DIAS LAB]]*IMSS[[#This Row],[SDI]]*$R$112</f>
        <v>61.278082191780825</v>
      </c>
      <c r="W156" s="163"/>
      <c r="X156" s="163">
        <f ca="1">IMSS[[#This Row],[DIAS LAB]]*IMSS[[#This Row],[SDI]]*$R$113</f>
        <v>154.42076712328767</v>
      </c>
      <c r="Y156" s="163">
        <f ca="1">IMSS[[#This Row],[DIAS LAB]]*IMSS[[#This Row],[SDI]]*$R$114</f>
        <v>0</v>
      </c>
      <c r="Z156" s="163">
        <f ca="1">IMSS[[#This Row],[DIAS LAB]]*IMSS[[#This Row],[SDI]]*$R$115</f>
        <v>0</v>
      </c>
      <c r="AA156" s="163">
        <f ca="1">IMSS[[#This Row],[DIAS LAB]]*IMSS[[#This Row],[SDI]]*$R$116</f>
        <v>276.97693150684933</v>
      </c>
      <c r="AB156" s="163">
        <f ca="1">IMSS[[#This Row],[DIAS LAB]]*IMSS[[#This Row],[SDI]]*$R$117</f>
        <v>0</v>
      </c>
      <c r="AC156" s="247">
        <f ca="1">SUM(IMSS[[#This Row],[O RSG TRB]:[O INFONAVIT]])</f>
        <v>492.67578082191784</v>
      </c>
      <c r="AD156" s="163"/>
      <c r="AE156" s="165">
        <f ca="1">IMSS[[#This Row],[P TOTAL]]+IMSS[[#This Row],[O TOTAL]]</f>
        <v>4946.1763652054797</v>
      </c>
      <c r="AF156" s="163"/>
      <c r="AG156" s="163">
        <f>VLOOKUP(IMSS[[#This Row],[SUE MENS]],$AG$110:$AJ$120,1,1)</f>
        <v>13381.48</v>
      </c>
      <c r="AH156" s="163">
        <f>IMSS[[#This Row],[SUE MENS]]-IMSS[[#This Row],[LIM INF]]</f>
        <v>8818.52</v>
      </c>
      <c r="AI156" s="163">
        <f>IMSS[[#This Row],[EXC LIM INF]]*(VLOOKUP(IMSS[[#This Row],[LIM INF]],$AG$110:$AJ$120,4,0))</f>
        <v>1883.6358720000001</v>
      </c>
      <c r="AJ156" s="163">
        <f>VLOOKUP(IMSS[[#This Row],[LIM INF]],$AG$110:$AJ$120,3)</f>
        <v>1417.12</v>
      </c>
      <c r="AK156" s="163">
        <f>SUM(IMSS[[#This Row],[TASA EXC]]+IMSS[[#This Row],[CUOTA FIJA]])</f>
        <v>3300.7558719999997</v>
      </c>
      <c r="AL156" s="163">
        <f>VLOOKUP(IMSS[[#This Row],[SUE MENS]],$AL$110:$AN$120,3,1)</f>
        <v>0</v>
      </c>
      <c r="AM156" s="248">
        <f>IF(IMSS[[#This Row],[ISR CARGO]]-IMSS[[#This Row],[SUBS ISR]]&gt;0,IMSS[[#This Row],[ISR CARGO]]-IMSS[[#This Row],[SUBS ISR]],0)</f>
        <v>3300.7558719999997</v>
      </c>
      <c r="AN156" s="248">
        <f>IF(IMSS[[#This Row],[SUBS ISR]]-IMSS[[#This Row],[ISR CARGO]]&gt;0,IMSS[[#This Row],[SUBS ISR]]-IMSS[[#This Row],[ISR CARGO]],0)</f>
        <v>0</v>
      </c>
    </row>
    <row r="157" spans="3:40" ht="15" hidden="1" customHeight="1" x14ac:dyDescent="0.25">
      <c r="C157" s="243">
        <v>135</v>
      </c>
      <c r="D157" s="167" t="str">
        <f>VLOOKUP(IMSS[[#This Row],[NEM]],BDD[],2,0)</f>
        <v>Norma Monserrat Bustamante Laferte</v>
      </c>
      <c r="E157" s="167" t="str">
        <f>VLOOKUP(IMSS[[#This Row],[NEM]],BDD[],9,0)</f>
        <v>INST CAMPO</v>
      </c>
      <c r="F157" s="168">
        <v>30</v>
      </c>
      <c r="G157" s="139">
        <f>VLOOKUP(IMSS[[#This Row],[NEM]],BDD[],3,0)</f>
        <v>9541</v>
      </c>
      <c r="H157" s="139">
        <f ca="1">VLOOKUP(IMSS[[#This Row],[NEM]],BDD[],25,0)</f>
        <v>351.14365296803658</v>
      </c>
      <c r="I157" s="143">
        <f>VLOOKUP(IMSS[[#This Row],[DEPT]],$B$3:$G$49,6,0)</f>
        <v>4.6532499999999997E-2</v>
      </c>
      <c r="J157" s="163">
        <f ca="1">IMSS[[#This Row],[DIAS LAB]]*IMSS[[#This Row],[SDI]]*IMSS[[#This Row],[% RSG]]*$Q$108</f>
        <v>490.18776095205482</v>
      </c>
      <c r="K157" s="163">
        <f>IMSS[[#This Row],[DIAS LAB]]*$J$110*$Q$109</f>
        <v>548.47440000000006</v>
      </c>
      <c r="L157" s="166">
        <f ca="1">IMSS[[#This Row],[DIAS LAB]]*IF(IMSS[[#This Row],[SDI]]-$J$113&gt;0,IMSS[[#This Row],[SDI]]-$J$113,0)*$Q$110</f>
        <v>27.153605479452061</v>
      </c>
      <c r="M157" s="166">
        <f ca="1">IMSS[[#This Row],[DIAS LAB]]*IMSS[[#This Row],[SDI]]*$Q$111</f>
        <v>110.61025068493153</v>
      </c>
      <c r="N157" s="163">
        <f ca="1">IMSS[[#This Row],[DIAS LAB]]*IMSS[[#This Row],[SDI]]*$Q$112</f>
        <v>73.740167123287677</v>
      </c>
      <c r="O157" s="166">
        <f ca="1">IMSS[[#This Row],[DIAS LAB]]*IMSS[[#This Row],[SDI]]*$Q$113</f>
        <v>184.35041780821922</v>
      </c>
      <c r="P157" s="163">
        <f ca="1">IMSS[[#This Row],[DIAS LAB]]*IMSS[[#This Row],[SDI]]*$Q$114</f>
        <v>105.34309589041096</v>
      </c>
      <c r="Q157" s="166">
        <f ca="1">IMSS[[#This Row],[DIAS LAB]]*IMSS[[#This Row],[SDI]]*$Q$115</f>
        <v>210.68619178082193</v>
      </c>
      <c r="R157" s="163">
        <f ca="1">IMSS[[#This Row],[DIAS LAB]]*IMSS[[#This Row],[SDI]]*$Q$116</f>
        <v>331.83075205479457</v>
      </c>
      <c r="S157" s="163">
        <f ca="1">IMSS[[#This Row],[DIAS LAB]]*IMSS[[#This Row],[SDI]]*$Q$117</f>
        <v>526.71547945205486</v>
      </c>
      <c r="T157" s="164">
        <f ca="1">SUM(IMSS[[#This Row],[P RSG TRB]:[P INFONAVIT]])</f>
        <v>2609.0921212260273</v>
      </c>
      <c r="U157" s="163">
        <f ca="1">IMSS[[#This Row],[DIAS LAB]]*IMSS[[#This Row],[SDI]]*IMSS[[#This Row],[% RSG]]*$R$108</f>
        <v>0</v>
      </c>
      <c r="V157" s="163">
        <f ca="1">IMSS[[#This Row],[DIAS LAB]]*IMSS[[#This Row],[SDI]]*$R$112</f>
        <v>26.335773972602741</v>
      </c>
      <c r="W157" s="163"/>
      <c r="X157" s="163">
        <f ca="1">IMSS[[#This Row],[DIAS LAB]]*IMSS[[#This Row],[SDI]]*$R$113</f>
        <v>66.366150410958909</v>
      </c>
      <c r="Y157" s="163">
        <f ca="1">IMSS[[#This Row],[DIAS LAB]]*IMSS[[#This Row],[SDI]]*$R$114</f>
        <v>0</v>
      </c>
      <c r="Z157" s="163">
        <f ca="1">IMSS[[#This Row],[DIAS LAB]]*IMSS[[#This Row],[SDI]]*$R$115</f>
        <v>0</v>
      </c>
      <c r="AA157" s="163">
        <f ca="1">IMSS[[#This Row],[DIAS LAB]]*IMSS[[#This Row],[SDI]]*$R$116</f>
        <v>119.03769835616438</v>
      </c>
      <c r="AB157" s="163">
        <f ca="1">IMSS[[#This Row],[DIAS LAB]]*IMSS[[#This Row],[SDI]]*$R$117</f>
        <v>0</v>
      </c>
      <c r="AC157" s="247">
        <f ca="1">SUM(IMSS[[#This Row],[O RSG TRB]:[O INFONAVIT]])</f>
        <v>211.73962273972603</v>
      </c>
      <c r="AD157" s="163"/>
      <c r="AE157" s="165">
        <f ca="1">IMSS[[#This Row],[P TOTAL]]+IMSS[[#This Row],[O TOTAL]]</f>
        <v>2820.8317439657535</v>
      </c>
      <c r="AF157" s="163"/>
      <c r="AG157" s="163">
        <f>VLOOKUP(IMSS[[#This Row],[SUE MENS]],$AG$110:$AJ$120,1,1)</f>
        <v>5470.93</v>
      </c>
      <c r="AH157" s="163">
        <f>IMSS[[#This Row],[SUE MENS]]-IMSS[[#This Row],[LIM INF]]</f>
        <v>4070.0699999999997</v>
      </c>
      <c r="AI157" s="163">
        <f>IMSS[[#This Row],[EXC LIM INF]]*(VLOOKUP(IMSS[[#This Row],[LIM INF]],$AG$110:$AJ$120,4,0))</f>
        <v>442.82361600000002</v>
      </c>
      <c r="AJ157" s="163">
        <f>VLOOKUP(IMSS[[#This Row],[LIM INF]],$AG$110:$AJ$120,3)</f>
        <v>321.26</v>
      </c>
      <c r="AK157" s="163">
        <f>SUM(IMSS[[#This Row],[TASA EXC]]+IMSS[[#This Row],[CUOTA FIJA]])</f>
        <v>764.08361600000001</v>
      </c>
      <c r="AL157" s="163">
        <f>VLOOKUP(IMSS[[#This Row],[SUE MENS]],$AL$110:$AN$120,3,1)</f>
        <v>0</v>
      </c>
      <c r="AM157" s="248">
        <f>IF(IMSS[[#This Row],[ISR CARGO]]-IMSS[[#This Row],[SUBS ISR]]&gt;0,IMSS[[#This Row],[ISR CARGO]]-IMSS[[#This Row],[SUBS ISR]],0)</f>
        <v>764.08361600000001</v>
      </c>
      <c r="AN157" s="248">
        <f>IF(IMSS[[#This Row],[SUBS ISR]]-IMSS[[#This Row],[ISR CARGO]]&gt;0,IMSS[[#This Row],[SUBS ISR]]-IMSS[[#This Row],[ISR CARGO]],0)</f>
        <v>0</v>
      </c>
    </row>
    <row r="158" spans="3:40" ht="15" hidden="1" customHeight="1" x14ac:dyDescent="0.25">
      <c r="C158" s="243">
        <v>137</v>
      </c>
      <c r="D158" s="167" t="str">
        <f>VLOOKUP(IMSS[[#This Row],[NEM]],BDD[],2,0)</f>
        <v>Vania Fiorely Salas Romero</v>
      </c>
      <c r="E158" s="167" t="str">
        <f>VLOOKUP(IMSS[[#This Row],[NEM]],BDD[],9,0)</f>
        <v>INST CAMPO</v>
      </c>
      <c r="F158" s="168">
        <v>30</v>
      </c>
      <c r="G158" s="139">
        <f>VLOOKUP(IMSS[[#This Row],[NEM]],BDD[],3,0)</f>
        <v>7445</v>
      </c>
      <c r="H158" s="139">
        <f ca="1">VLOOKUP(IMSS[[#This Row],[NEM]],BDD[],25,0)</f>
        <v>271.96347031963467</v>
      </c>
      <c r="I158" s="143">
        <f>VLOOKUP(IMSS[[#This Row],[DEPT]],$B$3:$G$49,6,0)</f>
        <v>4.6532499999999997E-2</v>
      </c>
      <c r="J158" s="163">
        <f ca="1">IMSS[[#This Row],[DIAS LAB]]*IMSS[[#This Row],[SDI]]*IMSS[[#This Row],[% RSG]]*$Q$108</f>
        <v>379.65420547945195</v>
      </c>
      <c r="K158" s="163">
        <f>IMSS[[#This Row],[DIAS LAB]]*$J$110*$Q$109</f>
        <v>548.47440000000006</v>
      </c>
      <c r="L158" s="166">
        <f ca="1">IMSS[[#This Row],[DIAS LAB]]*IF(IMSS[[#This Row],[SDI]]-$J$113&gt;0,IMSS[[#This Row],[SDI]]-$J$113,0)*$Q$110</f>
        <v>1.0241452054794353</v>
      </c>
      <c r="M158" s="166">
        <f ca="1">IMSS[[#This Row],[DIAS LAB]]*IMSS[[#This Row],[SDI]]*$Q$111</f>
        <v>85.668493150684924</v>
      </c>
      <c r="N158" s="163">
        <f ca="1">IMSS[[#This Row],[DIAS LAB]]*IMSS[[#This Row],[SDI]]*$Q$112</f>
        <v>57.11232876712328</v>
      </c>
      <c r="O158" s="166">
        <f ca="1">IMSS[[#This Row],[DIAS LAB]]*IMSS[[#This Row],[SDI]]*$Q$113</f>
        <v>142.7808219178082</v>
      </c>
      <c r="P158" s="163">
        <f ca="1">IMSS[[#This Row],[DIAS LAB]]*IMSS[[#This Row],[SDI]]*$Q$114</f>
        <v>81.589041095890394</v>
      </c>
      <c r="Q158" s="166">
        <f ca="1">IMSS[[#This Row],[DIAS LAB]]*IMSS[[#This Row],[SDI]]*$Q$115</f>
        <v>163.17808219178079</v>
      </c>
      <c r="R158" s="163">
        <f ca="1">IMSS[[#This Row],[DIAS LAB]]*IMSS[[#This Row],[SDI]]*$Q$116</f>
        <v>257.00547945205477</v>
      </c>
      <c r="S158" s="163">
        <f ca="1">IMSS[[#This Row],[DIAS LAB]]*IMSS[[#This Row],[SDI]]*$Q$117</f>
        <v>407.945205479452</v>
      </c>
      <c r="T158" s="164">
        <f ca="1">SUM(IMSS[[#This Row],[P RSG TRB]:[P INFONAVIT]])</f>
        <v>2124.4322027397257</v>
      </c>
      <c r="U158" s="163">
        <f ca="1">IMSS[[#This Row],[DIAS LAB]]*IMSS[[#This Row],[SDI]]*IMSS[[#This Row],[% RSG]]*$R$108</f>
        <v>0</v>
      </c>
      <c r="V158" s="163">
        <f ca="1">IMSS[[#This Row],[DIAS LAB]]*IMSS[[#This Row],[SDI]]*$R$112</f>
        <v>20.397260273972599</v>
      </c>
      <c r="W158" s="163"/>
      <c r="X158" s="163">
        <f ca="1">IMSS[[#This Row],[DIAS LAB]]*IMSS[[#This Row],[SDI]]*$R$113</f>
        <v>51.40109589041095</v>
      </c>
      <c r="Y158" s="163">
        <f ca="1">IMSS[[#This Row],[DIAS LAB]]*IMSS[[#This Row],[SDI]]*$R$114</f>
        <v>0</v>
      </c>
      <c r="Z158" s="163">
        <f ca="1">IMSS[[#This Row],[DIAS LAB]]*IMSS[[#This Row],[SDI]]*$R$115</f>
        <v>0</v>
      </c>
      <c r="AA158" s="163">
        <f ca="1">IMSS[[#This Row],[DIAS LAB]]*IMSS[[#This Row],[SDI]]*$R$116</f>
        <v>92.19561643835614</v>
      </c>
      <c r="AB158" s="163">
        <f ca="1">IMSS[[#This Row],[DIAS LAB]]*IMSS[[#This Row],[SDI]]*$R$117</f>
        <v>0</v>
      </c>
      <c r="AC158" s="247">
        <f ca="1">SUM(IMSS[[#This Row],[O RSG TRB]:[O INFONAVIT]])</f>
        <v>163.99397260273969</v>
      </c>
      <c r="AD158" s="163"/>
      <c r="AE158" s="165">
        <f ca="1">IMSS[[#This Row],[P TOTAL]]+IMSS[[#This Row],[O TOTAL]]</f>
        <v>2288.4261753424653</v>
      </c>
      <c r="AF158" s="163"/>
      <c r="AG158" s="163">
        <f>VLOOKUP(IMSS[[#This Row],[SUE MENS]],$AG$110:$AJ$120,1,1)</f>
        <v>5470.93</v>
      </c>
      <c r="AH158" s="163">
        <f>IMSS[[#This Row],[SUE MENS]]-IMSS[[#This Row],[LIM INF]]</f>
        <v>1974.0699999999997</v>
      </c>
      <c r="AI158" s="163">
        <f>IMSS[[#This Row],[EXC LIM INF]]*(VLOOKUP(IMSS[[#This Row],[LIM INF]],$AG$110:$AJ$120,4,0))</f>
        <v>214.77881599999998</v>
      </c>
      <c r="AJ158" s="163">
        <f>VLOOKUP(IMSS[[#This Row],[LIM INF]],$AG$110:$AJ$120,3)</f>
        <v>321.26</v>
      </c>
      <c r="AK158" s="163">
        <f>SUM(IMSS[[#This Row],[TASA EXC]]+IMSS[[#This Row],[CUOTA FIJA]])</f>
        <v>536.038816</v>
      </c>
      <c r="AL158" s="163">
        <f>VLOOKUP(IMSS[[#This Row],[SUE MENS]],$AL$110:$AN$120,3,1)</f>
        <v>0</v>
      </c>
      <c r="AM158" s="248">
        <f>IF(IMSS[[#This Row],[ISR CARGO]]-IMSS[[#This Row],[SUBS ISR]]&gt;0,IMSS[[#This Row],[ISR CARGO]]-IMSS[[#This Row],[SUBS ISR]],0)</f>
        <v>536.038816</v>
      </c>
      <c r="AN158" s="248">
        <f>IF(IMSS[[#This Row],[SUBS ISR]]-IMSS[[#This Row],[ISR CARGO]]&gt;0,IMSS[[#This Row],[SUBS ISR]]-IMSS[[#This Row],[ISR CARGO]],0)</f>
        <v>0</v>
      </c>
    </row>
    <row r="159" spans="3:40" ht="15" hidden="1" customHeight="1" x14ac:dyDescent="0.25">
      <c r="C159" s="243">
        <v>138</v>
      </c>
      <c r="D159" s="167" t="str">
        <f>VLOOKUP(IMSS[[#This Row],[NEM]],BDD[],2,0)</f>
        <v>Valeria Santacruz Mendoza</v>
      </c>
      <c r="E159" s="167" t="str">
        <f>VLOOKUP(IMSS[[#This Row],[NEM]],BDD[],9,0)</f>
        <v>ANLIS COST</v>
      </c>
      <c r="F159" s="168">
        <v>30</v>
      </c>
      <c r="G159" s="139">
        <f>VLOOKUP(IMSS[[#This Row],[NEM]],BDD[],3,0)</f>
        <v>9541</v>
      </c>
      <c r="H159" s="139">
        <f ca="1">VLOOKUP(IMSS[[#This Row],[NEM]],BDD[],25,0)</f>
        <v>351.14365296803658</v>
      </c>
      <c r="I159" s="143">
        <f>VLOOKUP(IMSS[[#This Row],[DEPT]],$B$3:$G$49,6,0)</f>
        <v>1.130658E-2</v>
      </c>
      <c r="J159" s="163">
        <f ca="1">IMSS[[#This Row],[DIAS LAB]]*IMSS[[#This Row],[SDI]]*IMSS[[#This Row],[% RSG]]*$Q$108</f>
        <v>119.10701411326029</v>
      </c>
      <c r="K159" s="163">
        <f>IMSS[[#This Row],[DIAS LAB]]*$J$110*$Q$109</f>
        <v>548.47440000000006</v>
      </c>
      <c r="L159" s="166">
        <f ca="1">IMSS[[#This Row],[DIAS LAB]]*IF(IMSS[[#This Row],[SDI]]-$J$113&gt;0,IMSS[[#This Row],[SDI]]-$J$113,0)*$Q$110</f>
        <v>27.153605479452061</v>
      </c>
      <c r="M159" s="166">
        <f ca="1">IMSS[[#This Row],[DIAS LAB]]*IMSS[[#This Row],[SDI]]*$Q$111</f>
        <v>110.61025068493153</v>
      </c>
      <c r="N159" s="163">
        <f ca="1">IMSS[[#This Row],[DIAS LAB]]*IMSS[[#This Row],[SDI]]*$Q$112</f>
        <v>73.740167123287677</v>
      </c>
      <c r="O159" s="166">
        <f ca="1">IMSS[[#This Row],[DIAS LAB]]*IMSS[[#This Row],[SDI]]*$Q$113</f>
        <v>184.35041780821922</v>
      </c>
      <c r="P159" s="163">
        <f ca="1">IMSS[[#This Row],[DIAS LAB]]*IMSS[[#This Row],[SDI]]*$Q$114</f>
        <v>105.34309589041096</v>
      </c>
      <c r="Q159" s="166">
        <f ca="1">IMSS[[#This Row],[DIAS LAB]]*IMSS[[#This Row],[SDI]]*$Q$115</f>
        <v>210.68619178082193</v>
      </c>
      <c r="R159" s="163">
        <f ca="1">IMSS[[#This Row],[DIAS LAB]]*IMSS[[#This Row],[SDI]]*$Q$116</f>
        <v>331.83075205479457</v>
      </c>
      <c r="S159" s="163">
        <f ca="1">IMSS[[#This Row],[DIAS LAB]]*IMSS[[#This Row],[SDI]]*$Q$117</f>
        <v>526.71547945205486</v>
      </c>
      <c r="T159" s="164">
        <f ca="1">SUM(IMSS[[#This Row],[P RSG TRB]:[P INFONAVIT]])</f>
        <v>2238.011374387233</v>
      </c>
      <c r="U159" s="163">
        <f ca="1">IMSS[[#This Row],[DIAS LAB]]*IMSS[[#This Row],[SDI]]*IMSS[[#This Row],[% RSG]]*$R$108</f>
        <v>0</v>
      </c>
      <c r="V159" s="163">
        <f ca="1">IMSS[[#This Row],[DIAS LAB]]*IMSS[[#This Row],[SDI]]*$R$112</f>
        <v>26.335773972602741</v>
      </c>
      <c r="W159" s="163"/>
      <c r="X159" s="163">
        <f ca="1">IMSS[[#This Row],[DIAS LAB]]*IMSS[[#This Row],[SDI]]*$R$113</f>
        <v>66.366150410958909</v>
      </c>
      <c r="Y159" s="163">
        <f ca="1">IMSS[[#This Row],[DIAS LAB]]*IMSS[[#This Row],[SDI]]*$R$114</f>
        <v>0</v>
      </c>
      <c r="Z159" s="163">
        <f ca="1">IMSS[[#This Row],[DIAS LAB]]*IMSS[[#This Row],[SDI]]*$R$115</f>
        <v>0</v>
      </c>
      <c r="AA159" s="163">
        <f ca="1">IMSS[[#This Row],[DIAS LAB]]*IMSS[[#This Row],[SDI]]*$R$116</f>
        <v>119.03769835616438</v>
      </c>
      <c r="AB159" s="163">
        <f ca="1">IMSS[[#This Row],[DIAS LAB]]*IMSS[[#This Row],[SDI]]*$R$117</f>
        <v>0</v>
      </c>
      <c r="AC159" s="247">
        <f ca="1">SUM(IMSS[[#This Row],[O RSG TRB]:[O INFONAVIT]])</f>
        <v>211.73962273972603</v>
      </c>
      <c r="AD159" s="163"/>
      <c r="AE159" s="165">
        <f ca="1">IMSS[[#This Row],[P TOTAL]]+IMSS[[#This Row],[O TOTAL]]</f>
        <v>2449.7509971269592</v>
      </c>
      <c r="AF159" s="163"/>
      <c r="AG159" s="163">
        <f>VLOOKUP(IMSS[[#This Row],[SUE MENS]],$AG$110:$AJ$120,1,1)</f>
        <v>5470.93</v>
      </c>
      <c r="AH159" s="163">
        <f>IMSS[[#This Row],[SUE MENS]]-IMSS[[#This Row],[LIM INF]]</f>
        <v>4070.0699999999997</v>
      </c>
      <c r="AI159" s="163">
        <f>IMSS[[#This Row],[EXC LIM INF]]*(VLOOKUP(IMSS[[#This Row],[LIM INF]],$AG$110:$AJ$120,4,0))</f>
        <v>442.82361600000002</v>
      </c>
      <c r="AJ159" s="163">
        <f>VLOOKUP(IMSS[[#This Row],[LIM INF]],$AG$110:$AJ$120,3)</f>
        <v>321.26</v>
      </c>
      <c r="AK159" s="163">
        <f>SUM(IMSS[[#This Row],[TASA EXC]]+IMSS[[#This Row],[CUOTA FIJA]])</f>
        <v>764.08361600000001</v>
      </c>
      <c r="AL159" s="163">
        <f>VLOOKUP(IMSS[[#This Row],[SUE MENS]],$AL$110:$AN$120,3,1)</f>
        <v>0</v>
      </c>
      <c r="AM159" s="248">
        <f>IF(IMSS[[#This Row],[ISR CARGO]]-IMSS[[#This Row],[SUBS ISR]]&gt;0,IMSS[[#This Row],[ISR CARGO]]-IMSS[[#This Row],[SUBS ISR]],0)</f>
        <v>764.08361600000001</v>
      </c>
      <c r="AN159" s="248">
        <f>IF(IMSS[[#This Row],[SUBS ISR]]-IMSS[[#This Row],[ISR CARGO]]&gt;0,IMSS[[#This Row],[SUBS ISR]]-IMSS[[#This Row],[ISR CARGO]],0)</f>
        <v>0</v>
      </c>
    </row>
    <row r="160" spans="3:40" ht="15" hidden="1" customHeight="1" x14ac:dyDescent="0.25">
      <c r="C160" s="243">
        <v>139</v>
      </c>
      <c r="D160" s="167" t="str">
        <f>VLOOKUP(IMSS[[#This Row],[NEM]],BDD[],2,0)</f>
        <v>Stephanie Banda Leal</v>
      </c>
      <c r="E160" s="167" t="str">
        <f>VLOOKUP(IMSS[[#This Row],[NEM]],BDD[],9,0)</f>
        <v>INST CAMPO</v>
      </c>
      <c r="F160" s="168">
        <v>30</v>
      </c>
      <c r="G160" s="139">
        <f>VLOOKUP(IMSS[[#This Row],[NEM]],BDD[],3,0)</f>
        <v>9450</v>
      </c>
      <c r="H160" s="139">
        <f ca="1">VLOOKUP(IMSS[[#This Row],[NEM]],BDD[],25,0)</f>
        <v>347.79452054794518</v>
      </c>
      <c r="I160" s="143">
        <f>VLOOKUP(IMSS[[#This Row],[DEPT]],$B$3:$G$49,6,0)</f>
        <v>4.6532499999999997E-2</v>
      </c>
      <c r="J160" s="163">
        <f ca="1">IMSS[[#This Row],[DIAS LAB]]*IMSS[[#This Row],[SDI]]*IMSS[[#This Row],[% RSG]]*$Q$108</f>
        <v>485.51245582191774</v>
      </c>
      <c r="K160" s="163">
        <f>IMSS[[#This Row],[DIAS LAB]]*$J$110*$Q$109</f>
        <v>548.47440000000006</v>
      </c>
      <c r="L160" s="166">
        <f ca="1">IMSS[[#This Row],[DIAS LAB]]*IF(IMSS[[#This Row],[SDI]]-$J$113&gt;0,IMSS[[#This Row],[SDI]]-$J$113,0)*$Q$110</f>
        <v>26.048391780821905</v>
      </c>
      <c r="M160" s="166">
        <f ca="1">IMSS[[#This Row],[DIAS LAB]]*IMSS[[#This Row],[SDI]]*$Q$111</f>
        <v>109.55527397260273</v>
      </c>
      <c r="N160" s="163">
        <f ca="1">IMSS[[#This Row],[DIAS LAB]]*IMSS[[#This Row],[SDI]]*$Q$112</f>
        <v>73.03684931506848</v>
      </c>
      <c r="O160" s="166">
        <f ca="1">IMSS[[#This Row],[DIAS LAB]]*IMSS[[#This Row],[SDI]]*$Q$113</f>
        <v>182.59212328767123</v>
      </c>
      <c r="P160" s="163">
        <f ca="1">IMSS[[#This Row],[DIAS LAB]]*IMSS[[#This Row],[SDI]]*$Q$114</f>
        <v>104.33835616438355</v>
      </c>
      <c r="Q160" s="166">
        <f ca="1">IMSS[[#This Row],[DIAS LAB]]*IMSS[[#This Row],[SDI]]*$Q$115</f>
        <v>208.67671232876711</v>
      </c>
      <c r="R160" s="163">
        <f ca="1">IMSS[[#This Row],[DIAS LAB]]*IMSS[[#This Row],[SDI]]*$Q$116</f>
        <v>328.66582191780816</v>
      </c>
      <c r="S160" s="163">
        <f ca="1">IMSS[[#This Row],[DIAS LAB]]*IMSS[[#This Row],[SDI]]*$Q$117</f>
        <v>521.69178082191775</v>
      </c>
      <c r="T160" s="164">
        <f ca="1">SUM(IMSS[[#This Row],[P RSG TRB]:[P INFONAVIT]])</f>
        <v>2588.5921654109588</v>
      </c>
      <c r="U160" s="163">
        <f ca="1">IMSS[[#This Row],[DIAS LAB]]*IMSS[[#This Row],[SDI]]*IMSS[[#This Row],[% RSG]]*$R$108</f>
        <v>0</v>
      </c>
      <c r="V160" s="163">
        <f ca="1">IMSS[[#This Row],[DIAS LAB]]*IMSS[[#This Row],[SDI]]*$R$112</f>
        <v>26.084589041095889</v>
      </c>
      <c r="W160" s="163"/>
      <c r="X160" s="163">
        <f ca="1">IMSS[[#This Row],[DIAS LAB]]*IMSS[[#This Row],[SDI]]*$R$113</f>
        <v>65.733164383561643</v>
      </c>
      <c r="Y160" s="163">
        <f ca="1">IMSS[[#This Row],[DIAS LAB]]*IMSS[[#This Row],[SDI]]*$R$114</f>
        <v>0</v>
      </c>
      <c r="Z160" s="163">
        <f ca="1">IMSS[[#This Row],[DIAS LAB]]*IMSS[[#This Row],[SDI]]*$R$115</f>
        <v>0</v>
      </c>
      <c r="AA160" s="163">
        <f ca="1">IMSS[[#This Row],[DIAS LAB]]*IMSS[[#This Row],[SDI]]*$R$116</f>
        <v>117.90234246575341</v>
      </c>
      <c r="AB160" s="163">
        <f ca="1">IMSS[[#This Row],[DIAS LAB]]*IMSS[[#This Row],[SDI]]*$R$117</f>
        <v>0</v>
      </c>
      <c r="AC160" s="247">
        <f ca="1">SUM(IMSS[[#This Row],[O RSG TRB]:[O INFONAVIT]])</f>
        <v>209.72009589041093</v>
      </c>
      <c r="AD160" s="163"/>
      <c r="AE160" s="165">
        <f ca="1">IMSS[[#This Row],[P TOTAL]]+IMSS[[#This Row],[O TOTAL]]</f>
        <v>2798.3122613013697</v>
      </c>
      <c r="AF160" s="163"/>
      <c r="AG160" s="163">
        <f>VLOOKUP(IMSS[[#This Row],[SUE MENS]],$AG$110:$AJ$120,1,1)</f>
        <v>5470.93</v>
      </c>
      <c r="AH160" s="163">
        <f>IMSS[[#This Row],[SUE MENS]]-IMSS[[#This Row],[LIM INF]]</f>
        <v>3979.0699999999997</v>
      </c>
      <c r="AI160" s="163">
        <f>IMSS[[#This Row],[EXC LIM INF]]*(VLOOKUP(IMSS[[#This Row],[LIM INF]],$AG$110:$AJ$120,4,0))</f>
        <v>432.92281600000001</v>
      </c>
      <c r="AJ160" s="163">
        <f>VLOOKUP(IMSS[[#This Row],[LIM INF]],$AG$110:$AJ$120,3)</f>
        <v>321.26</v>
      </c>
      <c r="AK160" s="163">
        <f>SUM(IMSS[[#This Row],[TASA EXC]]+IMSS[[#This Row],[CUOTA FIJA]])</f>
        <v>754.182816</v>
      </c>
      <c r="AL160" s="163">
        <f>VLOOKUP(IMSS[[#This Row],[SUE MENS]],$AL$110:$AN$120,3,1)</f>
        <v>0</v>
      </c>
      <c r="AM160" s="248">
        <f>IF(IMSS[[#This Row],[ISR CARGO]]-IMSS[[#This Row],[SUBS ISR]]&gt;0,IMSS[[#This Row],[ISR CARGO]]-IMSS[[#This Row],[SUBS ISR]],0)</f>
        <v>754.182816</v>
      </c>
      <c r="AN160" s="248">
        <f>IF(IMSS[[#This Row],[SUBS ISR]]-IMSS[[#This Row],[ISR CARGO]]&gt;0,IMSS[[#This Row],[SUBS ISR]]-IMSS[[#This Row],[ISR CARGO]],0)</f>
        <v>0</v>
      </c>
    </row>
    <row r="161" spans="3:40" ht="15" hidden="1" customHeight="1" x14ac:dyDescent="0.25">
      <c r="C161" s="243">
        <v>140</v>
      </c>
      <c r="D161" s="167" t="str">
        <f>VLOOKUP(IMSS[[#This Row],[NEM]],BDD[],2,0)</f>
        <v>Melissa susana Pérez Hernández</v>
      </c>
      <c r="E161" s="167" t="str">
        <f>VLOOKUP(IMSS[[#This Row],[NEM]],BDD[],9,0)</f>
        <v>ANLIS COST</v>
      </c>
      <c r="F161" s="168">
        <v>30</v>
      </c>
      <c r="G161" s="139">
        <f>VLOOKUP(IMSS[[#This Row],[NEM]],BDD[],3,0)</f>
        <v>7445</v>
      </c>
      <c r="H161" s="139">
        <f ca="1">VLOOKUP(IMSS[[#This Row],[NEM]],BDD[],25,0)</f>
        <v>273.32328767123283</v>
      </c>
      <c r="I161" s="143">
        <f>VLOOKUP(IMSS[[#This Row],[DEPT]],$B$3:$G$49,6,0)</f>
        <v>1.130658E-2</v>
      </c>
      <c r="J161" s="163">
        <f ca="1">IMSS[[#This Row],[DIAS LAB]]*IMSS[[#This Row],[SDI]]*IMSS[[#This Row],[% RSG]]*$Q$108</f>
        <v>92.710548537534237</v>
      </c>
      <c r="K161" s="163">
        <f>IMSS[[#This Row],[DIAS LAB]]*$J$110*$Q$109</f>
        <v>548.47440000000006</v>
      </c>
      <c r="L161" s="166">
        <f ca="1">IMSS[[#This Row],[DIAS LAB]]*IF(IMSS[[#This Row],[SDI]]-$J$113&gt;0,IMSS[[#This Row],[SDI]]-$J$113,0)*$Q$110</f>
        <v>1.4728849315068304</v>
      </c>
      <c r="M161" s="166">
        <f ca="1">IMSS[[#This Row],[DIAS LAB]]*IMSS[[#This Row],[SDI]]*$Q$111</f>
        <v>86.096835616438355</v>
      </c>
      <c r="N161" s="163">
        <f ca="1">IMSS[[#This Row],[DIAS LAB]]*IMSS[[#This Row],[SDI]]*$Q$112</f>
        <v>57.397890410958901</v>
      </c>
      <c r="O161" s="166">
        <f ca="1">IMSS[[#This Row],[DIAS LAB]]*IMSS[[#This Row],[SDI]]*$Q$113</f>
        <v>143.49472602739726</v>
      </c>
      <c r="P161" s="163">
        <f ca="1">IMSS[[#This Row],[DIAS LAB]]*IMSS[[#This Row],[SDI]]*$Q$114</f>
        <v>81.996986301369859</v>
      </c>
      <c r="Q161" s="166">
        <f ca="1">IMSS[[#This Row],[DIAS LAB]]*IMSS[[#This Row],[SDI]]*$Q$115</f>
        <v>163.99397260273972</v>
      </c>
      <c r="R161" s="163">
        <f ca="1">IMSS[[#This Row],[DIAS LAB]]*IMSS[[#This Row],[SDI]]*$Q$116</f>
        <v>258.29050684931502</v>
      </c>
      <c r="S161" s="163">
        <f ca="1">IMSS[[#This Row],[DIAS LAB]]*IMSS[[#This Row],[SDI]]*$Q$117</f>
        <v>409.98493150684931</v>
      </c>
      <c r="T161" s="164">
        <f ca="1">SUM(IMSS[[#This Row],[P RSG TRB]:[P INFONAVIT]])</f>
        <v>1843.9136827841096</v>
      </c>
      <c r="U161" s="163">
        <f ca="1">IMSS[[#This Row],[DIAS LAB]]*IMSS[[#This Row],[SDI]]*IMSS[[#This Row],[% RSG]]*$R$108</f>
        <v>0</v>
      </c>
      <c r="V161" s="163">
        <f ca="1">IMSS[[#This Row],[DIAS LAB]]*IMSS[[#This Row],[SDI]]*$R$112</f>
        <v>20.499246575342465</v>
      </c>
      <c r="W161" s="163"/>
      <c r="X161" s="163">
        <f ca="1">IMSS[[#This Row],[DIAS LAB]]*IMSS[[#This Row],[SDI]]*$R$113</f>
        <v>51.658101369863004</v>
      </c>
      <c r="Y161" s="163">
        <f ca="1">IMSS[[#This Row],[DIAS LAB]]*IMSS[[#This Row],[SDI]]*$R$114</f>
        <v>0</v>
      </c>
      <c r="Z161" s="163">
        <f ca="1">IMSS[[#This Row],[DIAS LAB]]*IMSS[[#This Row],[SDI]]*$R$115</f>
        <v>0</v>
      </c>
      <c r="AA161" s="163">
        <f ca="1">IMSS[[#This Row],[DIAS LAB]]*IMSS[[#This Row],[SDI]]*$R$116</f>
        <v>92.656594520547927</v>
      </c>
      <c r="AB161" s="163">
        <f ca="1">IMSS[[#This Row],[DIAS LAB]]*IMSS[[#This Row],[SDI]]*$R$117</f>
        <v>0</v>
      </c>
      <c r="AC161" s="247">
        <f ca="1">SUM(IMSS[[#This Row],[O RSG TRB]:[O INFONAVIT]])</f>
        <v>164.8139424657534</v>
      </c>
      <c r="AD161" s="163"/>
      <c r="AE161" s="165">
        <f ca="1">IMSS[[#This Row],[P TOTAL]]+IMSS[[#This Row],[O TOTAL]]</f>
        <v>2008.727625249863</v>
      </c>
      <c r="AF161" s="163"/>
      <c r="AG161" s="163">
        <f>VLOOKUP(IMSS[[#This Row],[SUE MENS]],$AG$110:$AJ$120,1,1)</f>
        <v>5470.93</v>
      </c>
      <c r="AH161" s="163">
        <f>IMSS[[#This Row],[SUE MENS]]-IMSS[[#This Row],[LIM INF]]</f>
        <v>1974.0699999999997</v>
      </c>
      <c r="AI161" s="163">
        <f>IMSS[[#This Row],[EXC LIM INF]]*(VLOOKUP(IMSS[[#This Row],[LIM INF]],$AG$110:$AJ$120,4,0))</f>
        <v>214.77881599999998</v>
      </c>
      <c r="AJ161" s="163">
        <f>VLOOKUP(IMSS[[#This Row],[LIM INF]],$AG$110:$AJ$120,3)</f>
        <v>321.26</v>
      </c>
      <c r="AK161" s="163">
        <f>SUM(IMSS[[#This Row],[TASA EXC]]+IMSS[[#This Row],[CUOTA FIJA]])</f>
        <v>536.038816</v>
      </c>
      <c r="AL161" s="163">
        <f>VLOOKUP(IMSS[[#This Row],[SUE MENS]],$AL$110:$AN$120,3,1)</f>
        <v>0</v>
      </c>
      <c r="AM161" s="248">
        <f>IF(IMSS[[#This Row],[ISR CARGO]]-IMSS[[#This Row],[SUBS ISR]]&gt;0,IMSS[[#This Row],[ISR CARGO]]-IMSS[[#This Row],[SUBS ISR]],0)</f>
        <v>536.038816</v>
      </c>
      <c r="AN161" s="248">
        <f>IF(IMSS[[#This Row],[SUBS ISR]]-IMSS[[#This Row],[ISR CARGO]]&gt;0,IMSS[[#This Row],[SUBS ISR]]-IMSS[[#This Row],[ISR CARGO]],0)</f>
        <v>0</v>
      </c>
    </row>
    <row r="162" spans="3:40" ht="15" hidden="1" customHeight="1" x14ac:dyDescent="0.25">
      <c r="C162" s="243">
        <v>141</v>
      </c>
      <c r="D162" s="167" t="str">
        <f>VLOOKUP(IMSS[[#This Row],[NEM]],BDD[],2,0)</f>
        <v>Salma Jaqueline Arzola Alvarado</v>
      </c>
      <c r="E162" s="167" t="str">
        <f>VLOOKUP(IMSS[[#This Row],[NEM]],BDD[],9,0)</f>
        <v>ANLIS COST</v>
      </c>
      <c r="F162" s="168">
        <v>30</v>
      </c>
      <c r="G162" s="139">
        <f>VLOOKUP(IMSS[[#This Row],[NEM]],BDD[],3,0)</f>
        <v>9450</v>
      </c>
      <c r="H162" s="139">
        <f ca="1">VLOOKUP(IMSS[[#This Row],[NEM]],BDD[],25,0)</f>
        <v>347.79452054794518</v>
      </c>
      <c r="I162" s="143">
        <f>VLOOKUP(IMSS[[#This Row],[DEPT]],$B$3:$G$49,6,0)</f>
        <v>1.130658E-2</v>
      </c>
      <c r="J162" s="163">
        <f ca="1">IMSS[[#This Row],[DIAS LAB]]*IMSS[[#This Row],[SDI]]*IMSS[[#This Row],[% RSG]]*$Q$108</f>
        <v>117.97099710410957</v>
      </c>
      <c r="K162" s="163">
        <f>IMSS[[#This Row],[DIAS LAB]]*$J$110*$Q$109</f>
        <v>548.47440000000006</v>
      </c>
      <c r="L162" s="166">
        <f ca="1">IMSS[[#This Row],[DIAS LAB]]*IF(IMSS[[#This Row],[SDI]]-$J$113&gt;0,IMSS[[#This Row],[SDI]]-$J$113,0)*$Q$110</f>
        <v>26.048391780821905</v>
      </c>
      <c r="M162" s="166">
        <f ca="1">IMSS[[#This Row],[DIAS LAB]]*IMSS[[#This Row],[SDI]]*$Q$111</f>
        <v>109.55527397260273</v>
      </c>
      <c r="N162" s="163">
        <f ca="1">IMSS[[#This Row],[DIAS LAB]]*IMSS[[#This Row],[SDI]]*$Q$112</f>
        <v>73.03684931506848</v>
      </c>
      <c r="O162" s="166">
        <f ca="1">IMSS[[#This Row],[DIAS LAB]]*IMSS[[#This Row],[SDI]]*$Q$113</f>
        <v>182.59212328767123</v>
      </c>
      <c r="P162" s="163">
        <f ca="1">IMSS[[#This Row],[DIAS LAB]]*IMSS[[#This Row],[SDI]]*$Q$114</f>
        <v>104.33835616438355</v>
      </c>
      <c r="Q162" s="166">
        <f ca="1">IMSS[[#This Row],[DIAS LAB]]*IMSS[[#This Row],[SDI]]*$Q$115</f>
        <v>208.67671232876711</v>
      </c>
      <c r="R162" s="163">
        <f ca="1">IMSS[[#This Row],[DIAS LAB]]*IMSS[[#This Row],[SDI]]*$Q$116</f>
        <v>328.66582191780816</v>
      </c>
      <c r="S162" s="163">
        <f ca="1">IMSS[[#This Row],[DIAS LAB]]*IMSS[[#This Row],[SDI]]*$Q$117</f>
        <v>521.69178082191775</v>
      </c>
      <c r="T162" s="164">
        <f ca="1">SUM(IMSS[[#This Row],[P RSG TRB]:[P INFONAVIT]])</f>
        <v>2221.0507066931505</v>
      </c>
      <c r="U162" s="163">
        <f ca="1">IMSS[[#This Row],[DIAS LAB]]*IMSS[[#This Row],[SDI]]*IMSS[[#This Row],[% RSG]]*$R$108</f>
        <v>0</v>
      </c>
      <c r="V162" s="163">
        <f ca="1">IMSS[[#This Row],[DIAS LAB]]*IMSS[[#This Row],[SDI]]*$R$112</f>
        <v>26.084589041095889</v>
      </c>
      <c r="W162" s="163"/>
      <c r="X162" s="163">
        <f ca="1">IMSS[[#This Row],[DIAS LAB]]*IMSS[[#This Row],[SDI]]*$R$113</f>
        <v>65.733164383561643</v>
      </c>
      <c r="Y162" s="163">
        <f ca="1">IMSS[[#This Row],[DIAS LAB]]*IMSS[[#This Row],[SDI]]*$R$114</f>
        <v>0</v>
      </c>
      <c r="Z162" s="163">
        <f ca="1">IMSS[[#This Row],[DIAS LAB]]*IMSS[[#This Row],[SDI]]*$R$115</f>
        <v>0</v>
      </c>
      <c r="AA162" s="163">
        <f ca="1">IMSS[[#This Row],[DIAS LAB]]*IMSS[[#This Row],[SDI]]*$R$116</f>
        <v>117.90234246575341</v>
      </c>
      <c r="AB162" s="163">
        <f ca="1">IMSS[[#This Row],[DIAS LAB]]*IMSS[[#This Row],[SDI]]*$R$117</f>
        <v>0</v>
      </c>
      <c r="AC162" s="247">
        <f ca="1">SUM(IMSS[[#This Row],[O RSG TRB]:[O INFONAVIT]])</f>
        <v>209.72009589041093</v>
      </c>
      <c r="AD162" s="163"/>
      <c r="AE162" s="165">
        <f ca="1">IMSS[[#This Row],[P TOTAL]]+IMSS[[#This Row],[O TOTAL]]</f>
        <v>2430.7708025835614</v>
      </c>
      <c r="AF162" s="163"/>
      <c r="AG162" s="163">
        <f>VLOOKUP(IMSS[[#This Row],[SUE MENS]],$AG$110:$AJ$120,1,1)</f>
        <v>5470.93</v>
      </c>
      <c r="AH162" s="163">
        <f>IMSS[[#This Row],[SUE MENS]]-IMSS[[#This Row],[LIM INF]]</f>
        <v>3979.0699999999997</v>
      </c>
      <c r="AI162" s="163">
        <f>IMSS[[#This Row],[EXC LIM INF]]*(VLOOKUP(IMSS[[#This Row],[LIM INF]],$AG$110:$AJ$120,4,0))</f>
        <v>432.92281600000001</v>
      </c>
      <c r="AJ162" s="163">
        <f>VLOOKUP(IMSS[[#This Row],[LIM INF]],$AG$110:$AJ$120,3)</f>
        <v>321.26</v>
      </c>
      <c r="AK162" s="163">
        <f>SUM(IMSS[[#This Row],[TASA EXC]]+IMSS[[#This Row],[CUOTA FIJA]])</f>
        <v>754.182816</v>
      </c>
      <c r="AL162" s="163">
        <f>VLOOKUP(IMSS[[#This Row],[SUE MENS]],$AL$110:$AN$120,3,1)</f>
        <v>0</v>
      </c>
      <c r="AM162" s="248">
        <f>IF(IMSS[[#This Row],[ISR CARGO]]-IMSS[[#This Row],[SUBS ISR]]&gt;0,IMSS[[#This Row],[ISR CARGO]]-IMSS[[#This Row],[SUBS ISR]],0)</f>
        <v>754.182816</v>
      </c>
      <c r="AN162" s="248">
        <f>IF(IMSS[[#This Row],[SUBS ISR]]-IMSS[[#This Row],[ISR CARGO]]&gt;0,IMSS[[#This Row],[SUBS ISR]]-IMSS[[#This Row],[ISR CARGO]],0)</f>
        <v>0</v>
      </c>
    </row>
    <row r="163" spans="3:40" ht="15" hidden="1" customHeight="1" x14ac:dyDescent="0.25">
      <c r="C163" s="243">
        <v>142</v>
      </c>
      <c r="D163" s="167" t="str">
        <f>VLOOKUP(IMSS[[#This Row],[NEM]],BDD[],2,0)</f>
        <v>Reyna Elizabeth Quezada Sánchez</v>
      </c>
      <c r="E163" s="167" t="str">
        <f>VLOOKUP(IMSS[[#This Row],[NEM]],BDD[],9,0)</f>
        <v>RECLTMTO</v>
      </c>
      <c r="F163" s="168">
        <v>30</v>
      </c>
      <c r="G163" s="139">
        <f>VLOOKUP(IMSS[[#This Row],[NEM]],BDD[],3,0)</f>
        <v>7950</v>
      </c>
      <c r="H163" s="139">
        <f ca="1">VLOOKUP(IMSS[[#This Row],[NEM]],BDD[],25,0)</f>
        <v>292.58904109589042</v>
      </c>
      <c r="I163" s="143">
        <f>VLOOKUP(IMSS[[#This Row],[DEPT]],$B$3:$G$49,6,0)</f>
        <v>5.4355000000000002E-3</v>
      </c>
      <c r="J163" s="163">
        <f ca="1">IMSS[[#This Row],[DIAS LAB]]*IMSS[[#This Row],[SDI]]*IMSS[[#This Row],[% RSG]]*$Q$108</f>
        <v>47.711031986301379</v>
      </c>
      <c r="K163" s="163">
        <f>IMSS[[#This Row],[DIAS LAB]]*$J$110*$Q$109</f>
        <v>548.47440000000006</v>
      </c>
      <c r="L163" s="166">
        <f ca="1">IMSS[[#This Row],[DIAS LAB]]*IF(IMSS[[#This Row],[SDI]]-$J$113&gt;0,IMSS[[#This Row],[SDI]]-$J$113,0)*$Q$110</f>
        <v>7.8305835616438344</v>
      </c>
      <c r="M163" s="166">
        <f ca="1">IMSS[[#This Row],[DIAS LAB]]*IMSS[[#This Row],[SDI]]*$Q$111</f>
        <v>92.165547945205503</v>
      </c>
      <c r="N163" s="163">
        <f ca="1">IMSS[[#This Row],[DIAS LAB]]*IMSS[[#This Row],[SDI]]*$Q$112</f>
        <v>61.443698630136993</v>
      </c>
      <c r="O163" s="166">
        <f ca="1">IMSS[[#This Row],[DIAS LAB]]*IMSS[[#This Row],[SDI]]*$Q$113</f>
        <v>153.6092465753425</v>
      </c>
      <c r="P163" s="163">
        <f ca="1">IMSS[[#This Row],[DIAS LAB]]*IMSS[[#This Row],[SDI]]*$Q$114</f>
        <v>87.776712328767132</v>
      </c>
      <c r="Q163" s="166">
        <f ca="1">IMSS[[#This Row],[DIAS LAB]]*IMSS[[#This Row],[SDI]]*$Q$115</f>
        <v>175.55342465753426</v>
      </c>
      <c r="R163" s="163">
        <f ca="1">IMSS[[#This Row],[DIAS LAB]]*IMSS[[#This Row],[SDI]]*$Q$116</f>
        <v>276.49664383561645</v>
      </c>
      <c r="S163" s="163">
        <f ca="1">IMSS[[#This Row],[DIAS LAB]]*IMSS[[#This Row],[SDI]]*$Q$117</f>
        <v>438.88356164383572</v>
      </c>
      <c r="T163" s="164">
        <f ca="1">SUM(IMSS[[#This Row],[P RSG TRB]:[P INFONAVIT]])</f>
        <v>1889.9448511643839</v>
      </c>
      <c r="U163" s="163">
        <f ca="1">IMSS[[#This Row],[DIAS LAB]]*IMSS[[#This Row],[SDI]]*IMSS[[#This Row],[% RSG]]*$R$108</f>
        <v>0</v>
      </c>
      <c r="V163" s="163">
        <f ca="1">IMSS[[#This Row],[DIAS LAB]]*IMSS[[#This Row],[SDI]]*$R$112</f>
        <v>21.944178082191783</v>
      </c>
      <c r="W163" s="163"/>
      <c r="X163" s="163">
        <f ca="1">IMSS[[#This Row],[DIAS LAB]]*IMSS[[#This Row],[SDI]]*$R$113</f>
        <v>55.299328767123292</v>
      </c>
      <c r="Y163" s="163">
        <f ca="1">IMSS[[#This Row],[DIAS LAB]]*IMSS[[#This Row],[SDI]]*$R$114</f>
        <v>0</v>
      </c>
      <c r="Z163" s="163">
        <f ca="1">IMSS[[#This Row],[DIAS LAB]]*IMSS[[#This Row],[SDI]]*$R$115</f>
        <v>0</v>
      </c>
      <c r="AA163" s="163">
        <f ca="1">IMSS[[#This Row],[DIAS LAB]]*IMSS[[#This Row],[SDI]]*$R$116</f>
        <v>99.187684931506851</v>
      </c>
      <c r="AB163" s="163">
        <f ca="1">IMSS[[#This Row],[DIAS LAB]]*IMSS[[#This Row],[SDI]]*$R$117</f>
        <v>0</v>
      </c>
      <c r="AC163" s="247">
        <f ca="1">SUM(IMSS[[#This Row],[O RSG TRB]:[O INFONAVIT]])</f>
        <v>176.43119178082193</v>
      </c>
      <c r="AD163" s="163"/>
      <c r="AE163" s="165">
        <f ca="1">IMSS[[#This Row],[P TOTAL]]+IMSS[[#This Row],[O TOTAL]]</f>
        <v>2066.3760429452059</v>
      </c>
      <c r="AF163" s="163"/>
      <c r="AG163" s="163">
        <f>VLOOKUP(IMSS[[#This Row],[SUE MENS]],$AG$110:$AJ$120,1,1)</f>
        <v>5470.93</v>
      </c>
      <c r="AH163" s="163">
        <f>IMSS[[#This Row],[SUE MENS]]-IMSS[[#This Row],[LIM INF]]</f>
        <v>2479.0699999999997</v>
      </c>
      <c r="AI163" s="163">
        <f>IMSS[[#This Row],[EXC LIM INF]]*(VLOOKUP(IMSS[[#This Row],[LIM INF]],$AG$110:$AJ$120,4,0))</f>
        <v>269.72281599999997</v>
      </c>
      <c r="AJ163" s="163">
        <f>VLOOKUP(IMSS[[#This Row],[LIM INF]],$AG$110:$AJ$120,3)</f>
        <v>321.26</v>
      </c>
      <c r="AK163" s="163">
        <f>SUM(IMSS[[#This Row],[TASA EXC]]+IMSS[[#This Row],[CUOTA FIJA]])</f>
        <v>590.98281599999996</v>
      </c>
      <c r="AL163" s="163">
        <f>VLOOKUP(IMSS[[#This Row],[SUE MENS]],$AL$110:$AN$120,3,1)</f>
        <v>0</v>
      </c>
      <c r="AM163" s="248">
        <f>IF(IMSS[[#This Row],[ISR CARGO]]-IMSS[[#This Row],[SUBS ISR]]&gt;0,IMSS[[#This Row],[ISR CARGO]]-IMSS[[#This Row],[SUBS ISR]],0)</f>
        <v>590.98281599999996</v>
      </c>
      <c r="AN163" s="248">
        <f>IF(IMSS[[#This Row],[SUBS ISR]]-IMSS[[#This Row],[ISR CARGO]]&gt;0,IMSS[[#This Row],[SUBS ISR]]-IMSS[[#This Row],[ISR CARGO]],0)</f>
        <v>0</v>
      </c>
    </row>
    <row r="164" spans="3:40" ht="15" hidden="1" customHeight="1" x14ac:dyDescent="0.25">
      <c r="C164" s="243">
        <v>143</v>
      </c>
      <c r="D164" s="167" t="str">
        <f>VLOOKUP(IMSS[[#This Row],[NEM]],BDD[],2,0)</f>
        <v>Ramiro Salazar Martínez</v>
      </c>
      <c r="E164" s="167" t="str">
        <f>VLOOKUP(IMSS[[#This Row],[NEM]],BDD[],9,0)</f>
        <v>RECLTMTO</v>
      </c>
      <c r="F164" s="168">
        <v>30</v>
      </c>
      <c r="G164" s="139">
        <f>VLOOKUP(IMSS[[#This Row],[NEM]],BDD[],3,0)</f>
        <v>9450</v>
      </c>
      <c r="H164" s="139">
        <f ca="1">VLOOKUP(IMSS[[#This Row],[NEM]],BDD[],25,0)</f>
        <v>347.79452054794518</v>
      </c>
      <c r="I164" s="143">
        <f>VLOOKUP(IMSS[[#This Row],[DEPT]],$B$3:$G$49,6,0)</f>
        <v>5.4355000000000002E-3</v>
      </c>
      <c r="J164" s="163">
        <f ca="1">IMSS[[#This Row],[DIAS LAB]]*IMSS[[#This Row],[SDI]]*IMSS[[#This Row],[% RSG]]*$Q$108</f>
        <v>56.713113493150679</v>
      </c>
      <c r="K164" s="163">
        <f>IMSS[[#This Row],[DIAS LAB]]*$J$110*$Q$109</f>
        <v>548.47440000000006</v>
      </c>
      <c r="L164" s="166">
        <f ca="1">IMSS[[#This Row],[DIAS LAB]]*IF(IMSS[[#This Row],[SDI]]-$J$113&gt;0,IMSS[[#This Row],[SDI]]-$J$113,0)*$Q$110</f>
        <v>26.048391780821905</v>
      </c>
      <c r="M164" s="166">
        <f ca="1">IMSS[[#This Row],[DIAS LAB]]*IMSS[[#This Row],[SDI]]*$Q$111</f>
        <v>109.55527397260273</v>
      </c>
      <c r="N164" s="163">
        <f ca="1">IMSS[[#This Row],[DIAS LAB]]*IMSS[[#This Row],[SDI]]*$Q$112</f>
        <v>73.03684931506848</v>
      </c>
      <c r="O164" s="166">
        <f ca="1">IMSS[[#This Row],[DIAS LAB]]*IMSS[[#This Row],[SDI]]*$Q$113</f>
        <v>182.59212328767123</v>
      </c>
      <c r="P164" s="163">
        <f ca="1">IMSS[[#This Row],[DIAS LAB]]*IMSS[[#This Row],[SDI]]*$Q$114</f>
        <v>104.33835616438355</v>
      </c>
      <c r="Q164" s="166">
        <f ca="1">IMSS[[#This Row],[DIAS LAB]]*IMSS[[#This Row],[SDI]]*$Q$115</f>
        <v>208.67671232876711</v>
      </c>
      <c r="R164" s="163">
        <f ca="1">IMSS[[#This Row],[DIAS LAB]]*IMSS[[#This Row],[SDI]]*$Q$116</f>
        <v>328.66582191780816</v>
      </c>
      <c r="S164" s="163">
        <f ca="1">IMSS[[#This Row],[DIAS LAB]]*IMSS[[#This Row],[SDI]]*$Q$117</f>
        <v>521.69178082191775</v>
      </c>
      <c r="T164" s="164">
        <f ca="1">SUM(IMSS[[#This Row],[P RSG TRB]:[P INFONAVIT]])</f>
        <v>2159.7928230821917</v>
      </c>
      <c r="U164" s="163">
        <f ca="1">IMSS[[#This Row],[DIAS LAB]]*IMSS[[#This Row],[SDI]]*IMSS[[#This Row],[% RSG]]*$R$108</f>
        <v>0</v>
      </c>
      <c r="V164" s="163">
        <f ca="1">IMSS[[#This Row],[DIAS LAB]]*IMSS[[#This Row],[SDI]]*$R$112</f>
        <v>26.084589041095889</v>
      </c>
      <c r="W164" s="163"/>
      <c r="X164" s="163">
        <f ca="1">IMSS[[#This Row],[DIAS LAB]]*IMSS[[#This Row],[SDI]]*$R$113</f>
        <v>65.733164383561643</v>
      </c>
      <c r="Y164" s="163">
        <f ca="1">IMSS[[#This Row],[DIAS LAB]]*IMSS[[#This Row],[SDI]]*$R$114</f>
        <v>0</v>
      </c>
      <c r="Z164" s="163">
        <f ca="1">IMSS[[#This Row],[DIAS LAB]]*IMSS[[#This Row],[SDI]]*$R$115</f>
        <v>0</v>
      </c>
      <c r="AA164" s="163">
        <f ca="1">IMSS[[#This Row],[DIAS LAB]]*IMSS[[#This Row],[SDI]]*$R$116</f>
        <v>117.90234246575341</v>
      </c>
      <c r="AB164" s="163">
        <f ca="1">IMSS[[#This Row],[DIAS LAB]]*IMSS[[#This Row],[SDI]]*$R$117</f>
        <v>0</v>
      </c>
      <c r="AC164" s="247">
        <f ca="1">SUM(IMSS[[#This Row],[O RSG TRB]:[O INFONAVIT]])</f>
        <v>209.72009589041093</v>
      </c>
      <c r="AD164" s="163"/>
      <c r="AE164" s="165">
        <f ca="1">IMSS[[#This Row],[P TOTAL]]+IMSS[[#This Row],[O TOTAL]]</f>
        <v>2369.5129189726026</v>
      </c>
      <c r="AF164" s="163"/>
      <c r="AG164" s="163">
        <f>VLOOKUP(IMSS[[#This Row],[SUE MENS]],$AG$110:$AJ$120,1,1)</f>
        <v>5470.93</v>
      </c>
      <c r="AH164" s="163">
        <f>IMSS[[#This Row],[SUE MENS]]-IMSS[[#This Row],[LIM INF]]</f>
        <v>3979.0699999999997</v>
      </c>
      <c r="AI164" s="163">
        <f>IMSS[[#This Row],[EXC LIM INF]]*(VLOOKUP(IMSS[[#This Row],[LIM INF]],$AG$110:$AJ$120,4,0))</f>
        <v>432.92281600000001</v>
      </c>
      <c r="AJ164" s="163">
        <f>VLOOKUP(IMSS[[#This Row],[LIM INF]],$AG$110:$AJ$120,3)</f>
        <v>321.26</v>
      </c>
      <c r="AK164" s="163">
        <f>SUM(IMSS[[#This Row],[TASA EXC]]+IMSS[[#This Row],[CUOTA FIJA]])</f>
        <v>754.182816</v>
      </c>
      <c r="AL164" s="163">
        <f>VLOOKUP(IMSS[[#This Row],[SUE MENS]],$AL$110:$AN$120,3,1)</f>
        <v>0</v>
      </c>
      <c r="AM164" s="248">
        <f>IF(IMSS[[#This Row],[ISR CARGO]]-IMSS[[#This Row],[SUBS ISR]]&gt;0,IMSS[[#This Row],[ISR CARGO]]-IMSS[[#This Row],[SUBS ISR]],0)</f>
        <v>754.182816</v>
      </c>
      <c r="AN164" s="248">
        <f>IF(IMSS[[#This Row],[SUBS ISR]]-IMSS[[#This Row],[ISR CARGO]]&gt;0,IMSS[[#This Row],[SUBS ISR]]-IMSS[[#This Row],[ISR CARGO]],0)</f>
        <v>0</v>
      </c>
    </row>
    <row r="165" spans="3:40" ht="15" hidden="1" customHeight="1" x14ac:dyDescent="0.25">
      <c r="C165" s="243">
        <v>144</v>
      </c>
      <c r="D165" s="167" t="str">
        <f>VLOOKUP(IMSS[[#This Row],[NEM]],BDD[],2,0)</f>
        <v>Paulina Aracely Aguilar Juárez</v>
      </c>
      <c r="E165" s="167" t="str">
        <f>VLOOKUP(IMSS[[#This Row],[NEM]],BDD[],9,0)</f>
        <v>NÓMINAS</v>
      </c>
      <c r="F165" s="168">
        <v>30</v>
      </c>
      <c r="G165" s="139">
        <f>VLOOKUP(IMSS[[#This Row],[NEM]],BDD[],3,0)</f>
        <v>9541</v>
      </c>
      <c r="H165" s="139">
        <f ca="1">VLOOKUP(IMSS[[#This Row],[NEM]],BDD[],25,0)</f>
        <v>351.14365296803658</v>
      </c>
      <c r="I165" s="143">
        <f>VLOOKUP(IMSS[[#This Row],[DEPT]],$B$3:$G$49,6,0)</f>
        <v>5.4355000000000002E-3</v>
      </c>
      <c r="J165" s="163">
        <f ca="1">IMSS[[#This Row],[DIAS LAB]]*IMSS[[#This Row],[SDI]]*IMSS[[#This Row],[% RSG]]*$Q$108</f>
        <v>57.259239771232885</v>
      </c>
      <c r="K165" s="163">
        <f>IMSS[[#This Row],[DIAS LAB]]*$J$110*$Q$109</f>
        <v>548.47440000000006</v>
      </c>
      <c r="L165" s="166">
        <f ca="1">IMSS[[#This Row],[DIAS LAB]]*IF(IMSS[[#This Row],[SDI]]-$J$113&gt;0,IMSS[[#This Row],[SDI]]-$J$113,0)*$Q$110</f>
        <v>27.153605479452061</v>
      </c>
      <c r="M165" s="166">
        <f ca="1">IMSS[[#This Row],[DIAS LAB]]*IMSS[[#This Row],[SDI]]*$Q$111</f>
        <v>110.61025068493153</v>
      </c>
      <c r="N165" s="163">
        <f ca="1">IMSS[[#This Row],[DIAS LAB]]*IMSS[[#This Row],[SDI]]*$Q$112</f>
        <v>73.740167123287677</v>
      </c>
      <c r="O165" s="166">
        <f ca="1">IMSS[[#This Row],[DIAS LAB]]*IMSS[[#This Row],[SDI]]*$Q$113</f>
        <v>184.35041780821922</v>
      </c>
      <c r="P165" s="163">
        <f ca="1">IMSS[[#This Row],[DIAS LAB]]*IMSS[[#This Row],[SDI]]*$Q$114</f>
        <v>105.34309589041096</v>
      </c>
      <c r="Q165" s="166">
        <f ca="1">IMSS[[#This Row],[DIAS LAB]]*IMSS[[#This Row],[SDI]]*$Q$115</f>
        <v>210.68619178082193</v>
      </c>
      <c r="R165" s="163">
        <f ca="1">IMSS[[#This Row],[DIAS LAB]]*IMSS[[#This Row],[SDI]]*$Q$116</f>
        <v>331.83075205479457</v>
      </c>
      <c r="S165" s="163">
        <f ca="1">IMSS[[#This Row],[DIAS LAB]]*IMSS[[#This Row],[SDI]]*$Q$117</f>
        <v>526.71547945205486</v>
      </c>
      <c r="T165" s="164">
        <f ca="1">SUM(IMSS[[#This Row],[P RSG TRB]:[P INFONAVIT]])</f>
        <v>2176.1636000452058</v>
      </c>
      <c r="U165" s="163">
        <f ca="1">IMSS[[#This Row],[DIAS LAB]]*IMSS[[#This Row],[SDI]]*IMSS[[#This Row],[% RSG]]*$R$108</f>
        <v>0</v>
      </c>
      <c r="V165" s="163">
        <f ca="1">IMSS[[#This Row],[DIAS LAB]]*IMSS[[#This Row],[SDI]]*$R$112</f>
        <v>26.335773972602741</v>
      </c>
      <c r="W165" s="163"/>
      <c r="X165" s="163">
        <f ca="1">IMSS[[#This Row],[DIAS LAB]]*IMSS[[#This Row],[SDI]]*$R$113</f>
        <v>66.366150410958909</v>
      </c>
      <c r="Y165" s="163">
        <f ca="1">IMSS[[#This Row],[DIAS LAB]]*IMSS[[#This Row],[SDI]]*$R$114</f>
        <v>0</v>
      </c>
      <c r="Z165" s="163">
        <f ca="1">IMSS[[#This Row],[DIAS LAB]]*IMSS[[#This Row],[SDI]]*$R$115</f>
        <v>0</v>
      </c>
      <c r="AA165" s="163">
        <f ca="1">IMSS[[#This Row],[DIAS LAB]]*IMSS[[#This Row],[SDI]]*$R$116</f>
        <v>119.03769835616438</v>
      </c>
      <c r="AB165" s="163">
        <f ca="1">IMSS[[#This Row],[DIAS LAB]]*IMSS[[#This Row],[SDI]]*$R$117</f>
        <v>0</v>
      </c>
      <c r="AC165" s="247">
        <f ca="1">SUM(IMSS[[#This Row],[O RSG TRB]:[O INFONAVIT]])</f>
        <v>211.73962273972603</v>
      </c>
      <c r="AD165" s="163"/>
      <c r="AE165" s="165">
        <f ca="1">IMSS[[#This Row],[P TOTAL]]+IMSS[[#This Row],[O TOTAL]]</f>
        <v>2387.903222784932</v>
      </c>
      <c r="AF165" s="163"/>
      <c r="AG165" s="163">
        <f>VLOOKUP(IMSS[[#This Row],[SUE MENS]],$AG$110:$AJ$120,1,1)</f>
        <v>5470.93</v>
      </c>
      <c r="AH165" s="163">
        <f>IMSS[[#This Row],[SUE MENS]]-IMSS[[#This Row],[LIM INF]]</f>
        <v>4070.0699999999997</v>
      </c>
      <c r="AI165" s="163">
        <f>IMSS[[#This Row],[EXC LIM INF]]*(VLOOKUP(IMSS[[#This Row],[LIM INF]],$AG$110:$AJ$120,4,0))</f>
        <v>442.82361600000002</v>
      </c>
      <c r="AJ165" s="163">
        <f>VLOOKUP(IMSS[[#This Row],[LIM INF]],$AG$110:$AJ$120,3)</f>
        <v>321.26</v>
      </c>
      <c r="AK165" s="163">
        <f>SUM(IMSS[[#This Row],[TASA EXC]]+IMSS[[#This Row],[CUOTA FIJA]])</f>
        <v>764.08361600000001</v>
      </c>
      <c r="AL165" s="163">
        <f>VLOOKUP(IMSS[[#This Row],[SUE MENS]],$AL$110:$AN$120,3,1)</f>
        <v>0</v>
      </c>
      <c r="AM165" s="248">
        <f>IF(IMSS[[#This Row],[ISR CARGO]]-IMSS[[#This Row],[SUBS ISR]]&gt;0,IMSS[[#This Row],[ISR CARGO]]-IMSS[[#This Row],[SUBS ISR]],0)</f>
        <v>764.08361600000001</v>
      </c>
      <c r="AN165" s="248">
        <f>IF(IMSS[[#This Row],[SUBS ISR]]-IMSS[[#This Row],[ISR CARGO]]&gt;0,IMSS[[#This Row],[SUBS ISR]]-IMSS[[#This Row],[ISR CARGO]],0)</f>
        <v>0</v>
      </c>
    </row>
    <row r="166" spans="3:40" ht="15" hidden="1" customHeight="1" x14ac:dyDescent="0.25">
      <c r="C166" s="243">
        <v>145</v>
      </c>
      <c r="D166" s="167" t="str">
        <f>VLOOKUP(IMSS[[#This Row],[NEM]],BDD[],2,0)</f>
        <v>Octavio Imanol Vicente Gómez</v>
      </c>
      <c r="E166" s="167" t="str">
        <f>VLOOKUP(IMSS[[#This Row],[NEM]],BDD[],9,0)</f>
        <v>AUDIT ADMN</v>
      </c>
      <c r="F166" s="168">
        <v>30</v>
      </c>
      <c r="G166" s="139">
        <f>VLOOKUP(IMSS[[#This Row],[NEM]],BDD[],3,0)</f>
        <v>9450</v>
      </c>
      <c r="H166" s="139">
        <f ca="1">VLOOKUP(IMSS[[#This Row],[NEM]],BDD[],25,0)</f>
        <v>346.93150684931504</v>
      </c>
      <c r="I166" s="143">
        <f>VLOOKUP(IMSS[[#This Row],[DEPT]],$B$3:$G$49,6,0)</f>
        <v>5.4355000000000002E-3</v>
      </c>
      <c r="J166" s="163">
        <f ca="1">IMSS[[#This Row],[DIAS LAB]]*IMSS[[#This Row],[SDI]]*IMSS[[#This Row],[% RSG]]*$Q$108</f>
        <v>56.572386164383559</v>
      </c>
      <c r="K166" s="163">
        <f>IMSS[[#This Row],[DIAS LAB]]*$J$110*$Q$109</f>
        <v>548.47440000000006</v>
      </c>
      <c r="L166" s="166">
        <f ca="1">IMSS[[#This Row],[DIAS LAB]]*IF(IMSS[[#This Row],[SDI]]-$J$113&gt;0,IMSS[[#This Row],[SDI]]-$J$113,0)*$Q$110</f>
        <v>25.763597260273958</v>
      </c>
      <c r="M166" s="166">
        <f ca="1">IMSS[[#This Row],[DIAS LAB]]*IMSS[[#This Row],[SDI]]*$Q$111</f>
        <v>109.28342465753424</v>
      </c>
      <c r="N166" s="163">
        <f ca="1">IMSS[[#This Row],[DIAS LAB]]*IMSS[[#This Row],[SDI]]*$Q$112</f>
        <v>72.855616438356165</v>
      </c>
      <c r="O166" s="166">
        <f ca="1">IMSS[[#This Row],[DIAS LAB]]*IMSS[[#This Row],[SDI]]*$Q$113</f>
        <v>182.13904109589041</v>
      </c>
      <c r="P166" s="163">
        <f ca="1">IMSS[[#This Row],[DIAS LAB]]*IMSS[[#This Row],[SDI]]*$Q$114</f>
        <v>104.07945205479452</v>
      </c>
      <c r="Q166" s="166">
        <f ca="1">IMSS[[#This Row],[DIAS LAB]]*IMSS[[#This Row],[SDI]]*$Q$115</f>
        <v>208.15890410958903</v>
      </c>
      <c r="R166" s="163">
        <f ca="1">IMSS[[#This Row],[DIAS LAB]]*IMSS[[#This Row],[SDI]]*$Q$116</f>
        <v>327.85027397260274</v>
      </c>
      <c r="S166" s="163">
        <f ca="1">IMSS[[#This Row],[DIAS LAB]]*IMSS[[#This Row],[SDI]]*$Q$117</f>
        <v>520.39726027397262</v>
      </c>
      <c r="T166" s="164">
        <f ca="1">SUM(IMSS[[#This Row],[P RSG TRB]:[P INFONAVIT]])</f>
        <v>2155.5743560273972</v>
      </c>
      <c r="U166" s="163">
        <f ca="1">IMSS[[#This Row],[DIAS LAB]]*IMSS[[#This Row],[SDI]]*IMSS[[#This Row],[% RSG]]*$R$108</f>
        <v>0</v>
      </c>
      <c r="V166" s="163">
        <f ca="1">IMSS[[#This Row],[DIAS LAB]]*IMSS[[#This Row],[SDI]]*$R$112</f>
        <v>26.019863013698629</v>
      </c>
      <c r="W166" s="163"/>
      <c r="X166" s="163">
        <f ca="1">IMSS[[#This Row],[DIAS LAB]]*IMSS[[#This Row],[SDI]]*$R$113</f>
        <v>65.570054794520544</v>
      </c>
      <c r="Y166" s="163">
        <f ca="1">IMSS[[#This Row],[DIAS LAB]]*IMSS[[#This Row],[SDI]]*$R$114</f>
        <v>0</v>
      </c>
      <c r="Z166" s="163">
        <f ca="1">IMSS[[#This Row],[DIAS LAB]]*IMSS[[#This Row],[SDI]]*$R$115</f>
        <v>0</v>
      </c>
      <c r="AA166" s="163">
        <f ca="1">IMSS[[#This Row],[DIAS LAB]]*IMSS[[#This Row],[SDI]]*$R$116</f>
        <v>117.60978082191779</v>
      </c>
      <c r="AB166" s="163">
        <f ca="1">IMSS[[#This Row],[DIAS LAB]]*IMSS[[#This Row],[SDI]]*$R$117</f>
        <v>0</v>
      </c>
      <c r="AC166" s="247">
        <f ca="1">SUM(IMSS[[#This Row],[O RSG TRB]:[O INFONAVIT]])</f>
        <v>209.19969863013696</v>
      </c>
      <c r="AD166" s="163"/>
      <c r="AE166" s="165">
        <f ca="1">IMSS[[#This Row],[P TOTAL]]+IMSS[[#This Row],[O TOTAL]]</f>
        <v>2364.7740546575342</v>
      </c>
      <c r="AF166" s="163"/>
      <c r="AG166" s="163">
        <f>VLOOKUP(IMSS[[#This Row],[SUE MENS]],$AG$110:$AJ$120,1,1)</f>
        <v>5470.93</v>
      </c>
      <c r="AH166" s="163">
        <f>IMSS[[#This Row],[SUE MENS]]-IMSS[[#This Row],[LIM INF]]</f>
        <v>3979.0699999999997</v>
      </c>
      <c r="AI166" s="163">
        <f>IMSS[[#This Row],[EXC LIM INF]]*(VLOOKUP(IMSS[[#This Row],[LIM INF]],$AG$110:$AJ$120,4,0))</f>
        <v>432.92281600000001</v>
      </c>
      <c r="AJ166" s="163">
        <f>VLOOKUP(IMSS[[#This Row],[LIM INF]],$AG$110:$AJ$120,3)</f>
        <v>321.26</v>
      </c>
      <c r="AK166" s="163">
        <f>SUM(IMSS[[#This Row],[TASA EXC]]+IMSS[[#This Row],[CUOTA FIJA]])</f>
        <v>754.182816</v>
      </c>
      <c r="AL166" s="163">
        <f>VLOOKUP(IMSS[[#This Row],[SUE MENS]],$AL$110:$AN$120,3,1)</f>
        <v>0</v>
      </c>
      <c r="AM166" s="248">
        <f>IF(IMSS[[#This Row],[ISR CARGO]]-IMSS[[#This Row],[SUBS ISR]]&gt;0,IMSS[[#This Row],[ISR CARGO]]-IMSS[[#This Row],[SUBS ISR]],0)</f>
        <v>754.182816</v>
      </c>
      <c r="AN166" s="248">
        <f>IF(IMSS[[#This Row],[SUBS ISR]]-IMSS[[#This Row],[ISR CARGO]]&gt;0,IMSS[[#This Row],[SUBS ISR]]-IMSS[[#This Row],[ISR CARGO]],0)</f>
        <v>0</v>
      </c>
    </row>
    <row r="167" spans="3:40" ht="15" hidden="1" customHeight="1" x14ac:dyDescent="0.25">
      <c r="C167" s="243">
        <v>146</v>
      </c>
      <c r="D167" s="167" t="str">
        <f>VLOOKUP(IMSS[[#This Row],[NEM]],BDD[],2,0)</f>
        <v>Nydia García Mata</v>
      </c>
      <c r="E167" s="167" t="str">
        <f>VLOOKUP(IMSS[[#This Row],[NEM]],BDD[],9,0)</f>
        <v>COLECTIVOS</v>
      </c>
      <c r="F167" s="168">
        <v>30</v>
      </c>
      <c r="G167" s="139">
        <f>VLOOKUP(IMSS[[#This Row],[NEM]],BDD[],3,0)</f>
        <v>7950</v>
      </c>
      <c r="H167" s="139">
        <f ca="1">VLOOKUP(IMSS[[#This Row],[NEM]],BDD[],25,0)</f>
        <v>291.86301369863014</v>
      </c>
      <c r="I167" s="143">
        <f>VLOOKUP(IMSS[[#This Row],[DEPT]],$B$3:$G$49,6,0)</f>
        <v>5.4355000000000002E-3</v>
      </c>
      <c r="J167" s="163">
        <f ca="1">IMSS[[#This Row],[DIAS LAB]]*IMSS[[#This Row],[SDI]]*IMSS[[#This Row],[% RSG]]*$Q$108</f>
        <v>47.592642328767127</v>
      </c>
      <c r="K167" s="163">
        <f>IMSS[[#This Row],[DIAS LAB]]*$J$110*$Q$109</f>
        <v>548.47440000000006</v>
      </c>
      <c r="L167" s="166">
        <f ca="1">IMSS[[#This Row],[DIAS LAB]]*IF(IMSS[[#This Row],[SDI]]-$J$113&gt;0,IMSS[[#This Row],[SDI]]-$J$113,0)*$Q$110</f>
        <v>7.5909945205479419</v>
      </c>
      <c r="M167" s="166">
        <f ca="1">IMSS[[#This Row],[DIAS LAB]]*IMSS[[#This Row],[SDI]]*$Q$111</f>
        <v>91.9368493150685</v>
      </c>
      <c r="N167" s="163">
        <f ca="1">IMSS[[#This Row],[DIAS LAB]]*IMSS[[#This Row],[SDI]]*$Q$112</f>
        <v>61.291232876712328</v>
      </c>
      <c r="O167" s="166">
        <f ca="1">IMSS[[#This Row],[DIAS LAB]]*IMSS[[#This Row],[SDI]]*$Q$113</f>
        <v>153.22808219178083</v>
      </c>
      <c r="P167" s="163">
        <f ca="1">IMSS[[#This Row],[DIAS LAB]]*IMSS[[#This Row],[SDI]]*$Q$114</f>
        <v>87.558904109589037</v>
      </c>
      <c r="Q167" s="166">
        <f ca="1">IMSS[[#This Row],[DIAS LAB]]*IMSS[[#This Row],[SDI]]*$Q$115</f>
        <v>175.11780821917807</v>
      </c>
      <c r="R167" s="163">
        <f ca="1">IMSS[[#This Row],[DIAS LAB]]*IMSS[[#This Row],[SDI]]*$Q$116</f>
        <v>275.81054794520549</v>
      </c>
      <c r="S167" s="163">
        <f ca="1">IMSS[[#This Row],[DIAS LAB]]*IMSS[[#This Row],[SDI]]*$Q$117</f>
        <v>437.79452054794524</v>
      </c>
      <c r="T167" s="164">
        <f ca="1">SUM(IMSS[[#This Row],[P RSG TRB]:[P INFONAVIT]])</f>
        <v>1886.3959820547946</v>
      </c>
      <c r="U167" s="163">
        <f ca="1">IMSS[[#This Row],[DIAS LAB]]*IMSS[[#This Row],[SDI]]*IMSS[[#This Row],[% RSG]]*$R$108</f>
        <v>0</v>
      </c>
      <c r="V167" s="163">
        <f ca="1">IMSS[[#This Row],[DIAS LAB]]*IMSS[[#This Row],[SDI]]*$R$112</f>
        <v>21.889726027397259</v>
      </c>
      <c r="W167" s="163"/>
      <c r="X167" s="163">
        <f ca="1">IMSS[[#This Row],[DIAS LAB]]*IMSS[[#This Row],[SDI]]*$R$113</f>
        <v>55.162109589041094</v>
      </c>
      <c r="Y167" s="163">
        <f ca="1">IMSS[[#This Row],[DIAS LAB]]*IMSS[[#This Row],[SDI]]*$R$114</f>
        <v>0</v>
      </c>
      <c r="Z167" s="163">
        <f ca="1">IMSS[[#This Row],[DIAS LAB]]*IMSS[[#This Row],[SDI]]*$R$115</f>
        <v>0</v>
      </c>
      <c r="AA167" s="163">
        <f ca="1">IMSS[[#This Row],[DIAS LAB]]*IMSS[[#This Row],[SDI]]*$R$116</f>
        <v>98.941561643835612</v>
      </c>
      <c r="AB167" s="163">
        <f ca="1">IMSS[[#This Row],[DIAS LAB]]*IMSS[[#This Row],[SDI]]*$R$117</f>
        <v>0</v>
      </c>
      <c r="AC167" s="247">
        <f ca="1">SUM(IMSS[[#This Row],[O RSG TRB]:[O INFONAVIT]])</f>
        <v>175.99339726027398</v>
      </c>
      <c r="AD167" s="163"/>
      <c r="AE167" s="165">
        <f ca="1">IMSS[[#This Row],[P TOTAL]]+IMSS[[#This Row],[O TOTAL]]</f>
        <v>2062.3893793150687</v>
      </c>
      <c r="AF167" s="163"/>
      <c r="AG167" s="163">
        <f>VLOOKUP(IMSS[[#This Row],[SUE MENS]],$AG$110:$AJ$120,1,1)</f>
        <v>5470.93</v>
      </c>
      <c r="AH167" s="163">
        <f>IMSS[[#This Row],[SUE MENS]]-IMSS[[#This Row],[LIM INF]]</f>
        <v>2479.0699999999997</v>
      </c>
      <c r="AI167" s="163">
        <f>IMSS[[#This Row],[EXC LIM INF]]*(VLOOKUP(IMSS[[#This Row],[LIM INF]],$AG$110:$AJ$120,4,0))</f>
        <v>269.72281599999997</v>
      </c>
      <c r="AJ167" s="163">
        <f>VLOOKUP(IMSS[[#This Row],[LIM INF]],$AG$110:$AJ$120,3)</f>
        <v>321.26</v>
      </c>
      <c r="AK167" s="163">
        <f>SUM(IMSS[[#This Row],[TASA EXC]]+IMSS[[#This Row],[CUOTA FIJA]])</f>
        <v>590.98281599999996</v>
      </c>
      <c r="AL167" s="163">
        <f>VLOOKUP(IMSS[[#This Row],[SUE MENS]],$AL$110:$AN$120,3,1)</f>
        <v>0</v>
      </c>
      <c r="AM167" s="248">
        <f>IF(IMSS[[#This Row],[ISR CARGO]]-IMSS[[#This Row],[SUBS ISR]]&gt;0,IMSS[[#This Row],[ISR CARGO]]-IMSS[[#This Row],[SUBS ISR]],0)</f>
        <v>590.98281599999996</v>
      </c>
      <c r="AN167" s="248">
        <f>IF(IMSS[[#This Row],[SUBS ISR]]-IMSS[[#This Row],[ISR CARGO]]&gt;0,IMSS[[#This Row],[SUBS ISR]]-IMSS[[#This Row],[ISR CARGO]],0)</f>
        <v>0</v>
      </c>
    </row>
    <row r="168" spans="3:40" ht="15" hidden="1" customHeight="1" x14ac:dyDescent="0.25">
      <c r="C168" s="243">
        <v>147</v>
      </c>
      <c r="D168" s="167" t="str">
        <f>VLOOKUP(IMSS[[#This Row],[NEM]],BDD[],2,0)</f>
        <v>Michelle Alejandra Velázquez Martínez</v>
      </c>
      <c r="E168" s="167" t="str">
        <f>VLOOKUP(IMSS[[#This Row],[NEM]],BDD[],9,0)</f>
        <v>NÓMINAS</v>
      </c>
      <c r="F168" s="168">
        <v>30</v>
      </c>
      <c r="G168" s="139">
        <f>VLOOKUP(IMSS[[#This Row],[NEM]],BDD[],3,0)</f>
        <v>7445</v>
      </c>
      <c r="H168" s="139">
        <f ca="1">VLOOKUP(IMSS[[#This Row],[NEM]],BDD[],25,0)</f>
        <v>273.32328767123283</v>
      </c>
      <c r="I168" s="143">
        <f>VLOOKUP(IMSS[[#This Row],[DEPT]],$B$3:$G$49,6,0)</f>
        <v>5.4355000000000002E-3</v>
      </c>
      <c r="J168" s="163">
        <f ca="1">IMSS[[#This Row],[DIAS LAB]]*IMSS[[#This Row],[SDI]]*IMSS[[#This Row],[% RSG]]*$Q$108</f>
        <v>44.569461904109588</v>
      </c>
      <c r="K168" s="163">
        <f>IMSS[[#This Row],[DIAS LAB]]*$J$110*$Q$109</f>
        <v>548.47440000000006</v>
      </c>
      <c r="L168" s="166">
        <f ca="1">IMSS[[#This Row],[DIAS LAB]]*IF(IMSS[[#This Row],[SDI]]-$J$113&gt;0,IMSS[[#This Row],[SDI]]-$J$113,0)*$Q$110</f>
        <v>1.4728849315068304</v>
      </c>
      <c r="M168" s="166">
        <f ca="1">IMSS[[#This Row],[DIAS LAB]]*IMSS[[#This Row],[SDI]]*$Q$111</f>
        <v>86.096835616438355</v>
      </c>
      <c r="N168" s="163">
        <f ca="1">IMSS[[#This Row],[DIAS LAB]]*IMSS[[#This Row],[SDI]]*$Q$112</f>
        <v>57.397890410958901</v>
      </c>
      <c r="O168" s="166">
        <f ca="1">IMSS[[#This Row],[DIAS LAB]]*IMSS[[#This Row],[SDI]]*$Q$113</f>
        <v>143.49472602739726</v>
      </c>
      <c r="P168" s="163">
        <f ca="1">IMSS[[#This Row],[DIAS LAB]]*IMSS[[#This Row],[SDI]]*$Q$114</f>
        <v>81.996986301369859</v>
      </c>
      <c r="Q168" s="166">
        <f ca="1">IMSS[[#This Row],[DIAS LAB]]*IMSS[[#This Row],[SDI]]*$Q$115</f>
        <v>163.99397260273972</v>
      </c>
      <c r="R168" s="163">
        <f ca="1">IMSS[[#This Row],[DIAS LAB]]*IMSS[[#This Row],[SDI]]*$Q$116</f>
        <v>258.29050684931502</v>
      </c>
      <c r="S168" s="163">
        <f ca="1">IMSS[[#This Row],[DIAS LAB]]*IMSS[[#This Row],[SDI]]*$Q$117</f>
        <v>409.98493150684931</v>
      </c>
      <c r="T168" s="164">
        <f ca="1">SUM(IMSS[[#This Row],[P RSG TRB]:[P INFONAVIT]])</f>
        <v>1795.7725961506851</v>
      </c>
      <c r="U168" s="163">
        <f ca="1">IMSS[[#This Row],[DIAS LAB]]*IMSS[[#This Row],[SDI]]*IMSS[[#This Row],[% RSG]]*$R$108</f>
        <v>0</v>
      </c>
      <c r="V168" s="163">
        <f ca="1">IMSS[[#This Row],[DIAS LAB]]*IMSS[[#This Row],[SDI]]*$R$112</f>
        <v>20.499246575342465</v>
      </c>
      <c r="W168" s="163"/>
      <c r="X168" s="163">
        <f ca="1">IMSS[[#This Row],[DIAS LAB]]*IMSS[[#This Row],[SDI]]*$R$113</f>
        <v>51.658101369863004</v>
      </c>
      <c r="Y168" s="163">
        <f ca="1">IMSS[[#This Row],[DIAS LAB]]*IMSS[[#This Row],[SDI]]*$R$114</f>
        <v>0</v>
      </c>
      <c r="Z168" s="163">
        <f ca="1">IMSS[[#This Row],[DIAS LAB]]*IMSS[[#This Row],[SDI]]*$R$115</f>
        <v>0</v>
      </c>
      <c r="AA168" s="163">
        <f ca="1">IMSS[[#This Row],[DIAS LAB]]*IMSS[[#This Row],[SDI]]*$R$116</f>
        <v>92.656594520547927</v>
      </c>
      <c r="AB168" s="163">
        <f ca="1">IMSS[[#This Row],[DIAS LAB]]*IMSS[[#This Row],[SDI]]*$R$117</f>
        <v>0</v>
      </c>
      <c r="AC168" s="247">
        <f ca="1">SUM(IMSS[[#This Row],[O RSG TRB]:[O INFONAVIT]])</f>
        <v>164.8139424657534</v>
      </c>
      <c r="AD168" s="163"/>
      <c r="AE168" s="165">
        <f ca="1">IMSS[[#This Row],[P TOTAL]]+IMSS[[#This Row],[O TOTAL]]</f>
        <v>1960.5865386164385</v>
      </c>
      <c r="AF168" s="163"/>
      <c r="AG168" s="163">
        <f>VLOOKUP(IMSS[[#This Row],[SUE MENS]],$AG$110:$AJ$120,1,1)</f>
        <v>5470.93</v>
      </c>
      <c r="AH168" s="163">
        <f>IMSS[[#This Row],[SUE MENS]]-IMSS[[#This Row],[LIM INF]]</f>
        <v>1974.0699999999997</v>
      </c>
      <c r="AI168" s="163">
        <f>IMSS[[#This Row],[EXC LIM INF]]*(VLOOKUP(IMSS[[#This Row],[LIM INF]],$AG$110:$AJ$120,4,0))</f>
        <v>214.77881599999998</v>
      </c>
      <c r="AJ168" s="163">
        <f>VLOOKUP(IMSS[[#This Row],[LIM INF]],$AG$110:$AJ$120,3)</f>
        <v>321.26</v>
      </c>
      <c r="AK168" s="163">
        <f>SUM(IMSS[[#This Row],[TASA EXC]]+IMSS[[#This Row],[CUOTA FIJA]])</f>
        <v>536.038816</v>
      </c>
      <c r="AL168" s="163">
        <f>VLOOKUP(IMSS[[#This Row],[SUE MENS]],$AL$110:$AN$120,3,1)</f>
        <v>0</v>
      </c>
      <c r="AM168" s="248">
        <f>IF(IMSS[[#This Row],[ISR CARGO]]-IMSS[[#This Row],[SUBS ISR]]&gt;0,IMSS[[#This Row],[ISR CARGO]]-IMSS[[#This Row],[SUBS ISR]],0)</f>
        <v>536.038816</v>
      </c>
      <c r="AN168" s="248">
        <f>IF(IMSS[[#This Row],[SUBS ISR]]-IMSS[[#This Row],[ISR CARGO]]&gt;0,IMSS[[#This Row],[SUBS ISR]]-IMSS[[#This Row],[ISR CARGO]],0)</f>
        <v>0</v>
      </c>
    </row>
    <row r="169" spans="3:40" ht="15" hidden="1" customHeight="1" x14ac:dyDescent="0.25">
      <c r="C169" s="243">
        <v>149</v>
      </c>
      <c r="D169" s="167" t="str">
        <f>VLOOKUP(IMSS[[#This Row],[NEM]],BDD[],2,0)</f>
        <v>Maríana Rodríguez Gutiérrez</v>
      </c>
      <c r="E169" s="167" t="str">
        <f>VLOOKUP(IMSS[[#This Row],[NEM]],BDD[],9,0)</f>
        <v>DIRECCIÓN</v>
      </c>
      <c r="F169" s="168">
        <v>30</v>
      </c>
      <c r="G169" s="139">
        <f>VLOOKUP(IMSS[[#This Row],[NEM]],BDD[],3,0)</f>
        <v>34530</v>
      </c>
      <c r="H169" s="139">
        <f ca="1">VLOOKUP(IMSS[[#This Row],[NEM]],BDD[],25,0)</f>
        <v>1277.1369863013699</v>
      </c>
      <c r="I169" s="143">
        <f>VLOOKUP(IMSS[[#This Row],[DEPT]],$B$3:$G$49,6,0)</f>
        <v>5.4355000000000002E-3</v>
      </c>
      <c r="J169" s="163">
        <f ca="1">IMSS[[#This Row],[DIAS LAB]]*IMSS[[#This Row],[SDI]]*IMSS[[#This Row],[% RSG]]*$Q$108</f>
        <v>208.25634267123289</v>
      </c>
      <c r="K169" s="163">
        <f>IMSS[[#This Row],[DIAS LAB]]*$J$110*$Q$109</f>
        <v>548.47440000000006</v>
      </c>
      <c r="L169" s="166">
        <f ca="1">IMSS[[#This Row],[DIAS LAB]]*IF(IMSS[[#This Row],[SDI]]-$J$113&gt;0,IMSS[[#This Row],[SDI]]-$J$113,0)*$Q$110</f>
        <v>332.73140547945206</v>
      </c>
      <c r="M169" s="166">
        <f ca="1">IMSS[[#This Row],[DIAS LAB]]*IMSS[[#This Row],[SDI]]*$Q$111</f>
        <v>402.2981506849315</v>
      </c>
      <c r="N169" s="163">
        <f ca="1">IMSS[[#This Row],[DIAS LAB]]*IMSS[[#This Row],[SDI]]*$Q$112</f>
        <v>268.19876712328767</v>
      </c>
      <c r="O169" s="166">
        <f ca="1">IMSS[[#This Row],[DIAS LAB]]*IMSS[[#This Row],[SDI]]*$Q$113</f>
        <v>670.49691780821922</v>
      </c>
      <c r="P169" s="163">
        <f ca="1">IMSS[[#This Row],[DIAS LAB]]*IMSS[[#This Row],[SDI]]*$Q$114</f>
        <v>383.14109589041095</v>
      </c>
      <c r="Q169" s="166">
        <f ca="1">IMSS[[#This Row],[DIAS LAB]]*IMSS[[#This Row],[SDI]]*$Q$115</f>
        <v>766.2821917808219</v>
      </c>
      <c r="R169" s="163">
        <f ca="1">IMSS[[#This Row],[DIAS LAB]]*IMSS[[#This Row],[SDI]]*$Q$116</f>
        <v>1206.8944520547946</v>
      </c>
      <c r="S169" s="163">
        <f ca="1">IMSS[[#This Row],[DIAS LAB]]*IMSS[[#This Row],[SDI]]*$Q$117</f>
        <v>1915.7054794520548</v>
      </c>
      <c r="T169" s="164">
        <f ca="1">SUM(IMSS[[#This Row],[P RSG TRB]:[P INFONAVIT]])</f>
        <v>6702.4792029452055</v>
      </c>
      <c r="U169" s="163">
        <f ca="1">IMSS[[#This Row],[DIAS LAB]]*IMSS[[#This Row],[SDI]]*IMSS[[#This Row],[% RSG]]*$R$108</f>
        <v>0</v>
      </c>
      <c r="V169" s="163">
        <f ca="1">IMSS[[#This Row],[DIAS LAB]]*IMSS[[#This Row],[SDI]]*$R$112</f>
        <v>95.785273972602738</v>
      </c>
      <c r="W169" s="163"/>
      <c r="X169" s="163">
        <f ca="1">IMSS[[#This Row],[DIAS LAB]]*IMSS[[#This Row],[SDI]]*$R$113</f>
        <v>241.37889041095889</v>
      </c>
      <c r="Y169" s="163">
        <f ca="1">IMSS[[#This Row],[DIAS LAB]]*IMSS[[#This Row],[SDI]]*$R$114</f>
        <v>0</v>
      </c>
      <c r="Z169" s="163">
        <f ca="1">IMSS[[#This Row],[DIAS LAB]]*IMSS[[#This Row],[SDI]]*$R$115</f>
        <v>0</v>
      </c>
      <c r="AA169" s="163">
        <f ca="1">IMSS[[#This Row],[DIAS LAB]]*IMSS[[#This Row],[SDI]]*$R$116</f>
        <v>432.94943835616436</v>
      </c>
      <c r="AB169" s="163">
        <f ca="1">IMSS[[#This Row],[DIAS LAB]]*IMSS[[#This Row],[SDI]]*$R$117</f>
        <v>0</v>
      </c>
      <c r="AC169" s="247">
        <f ca="1">SUM(IMSS[[#This Row],[O RSG TRB]:[O INFONAVIT]])</f>
        <v>770.11360273972605</v>
      </c>
      <c r="AD169" s="163"/>
      <c r="AE169" s="165">
        <f ca="1">IMSS[[#This Row],[P TOTAL]]+IMSS[[#This Row],[O TOTAL]]</f>
        <v>7472.5928056849316</v>
      </c>
      <c r="AF169" s="163"/>
      <c r="AG169" s="163">
        <f>VLOOKUP(IMSS[[#This Row],[SUE MENS]],$AG$110:$AJ$120,1,1)</f>
        <v>26988.51</v>
      </c>
      <c r="AH169" s="163">
        <f>IMSS[[#This Row],[SUE MENS]]-IMSS[[#This Row],[LIM INF]]</f>
        <v>7541.4900000000016</v>
      </c>
      <c r="AI169" s="163">
        <f>IMSS[[#This Row],[EXC LIM INF]]*(VLOOKUP(IMSS[[#This Row],[LIM INF]],$AG$110:$AJ$120,4,0))</f>
        <v>1773.7584480000003</v>
      </c>
      <c r="AJ169" s="163">
        <f>VLOOKUP(IMSS[[#This Row],[LIM INF]],$AG$110:$AJ$120,3)</f>
        <v>4323.58</v>
      </c>
      <c r="AK169" s="163">
        <f>SUM(IMSS[[#This Row],[TASA EXC]]+IMSS[[#This Row],[CUOTA FIJA]])</f>
        <v>6097.3384480000004</v>
      </c>
      <c r="AL169" s="163">
        <f>VLOOKUP(IMSS[[#This Row],[SUE MENS]],$AL$110:$AN$120,3,1)</f>
        <v>0</v>
      </c>
      <c r="AM169" s="248">
        <f>IF(IMSS[[#This Row],[ISR CARGO]]-IMSS[[#This Row],[SUBS ISR]]&gt;0,IMSS[[#This Row],[ISR CARGO]]-IMSS[[#This Row],[SUBS ISR]],0)</f>
        <v>6097.3384480000004</v>
      </c>
      <c r="AN169" s="248">
        <f>IF(IMSS[[#This Row],[SUBS ISR]]-IMSS[[#This Row],[ISR CARGO]]&gt;0,IMSS[[#This Row],[SUBS ISR]]-IMSS[[#This Row],[ISR CARGO]],0)</f>
        <v>0</v>
      </c>
    </row>
    <row r="170" spans="3:40" ht="15" hidden="1" customHeight="1" x14ac:dyDescent="0.25">
      <c r="C170" s="243">
        <v>150</v>
      </c>
      <c r="D170" s="167" t="str">
        <f>VLOOKUP(IMSS[[#This Row],[NEM]],BDD[],2,0)</f>
        <v>Karina Alicia Salgado Garizurieta</v>
      </c>
      <c r="E170" s="167" t="str">
        <f>VLOOKUP(IMSS[[#This Row],[NEM]],BDD[],9,0)</f>
        <v>CRÉDITOS</v>
      </c>
      <c r="F170" s="168">
        <v>30</v>
      </c>
      <c r="G170" s="139">
        <f>VLOOKUP(IMSS[[#This Row],[NEM]],BDD[],3,0)</f>
        <v>7950</v>
      </c>
      <c r="H170" s="139">
        <f ca="1">VLOOKUP(IMSS[[#This Row],[NEM]],BDD[],25,0)</f>
        <v>292.58904109589042</v>
      </c>
      <c r="I170" s="143">
        <f>VLOOKUP(IMSS[[#This Row],[DEPT]],$B$3:$G$49,6,0)</f>
        <v>5.4355000000000002E-3</v>
      </c>
      <c r="J170" s="163">
        <f ca="1">IMSS[[#This Row],[DIAS LAB]]*IMSS[[#This Row],[SDI]]*IMSS[[#This Row],[% RSG]]*$Q$108</f>
        <v>47.711031986301379</v>
      </c>
      <c r="K170" s="163">
        <f>IMSS[[#This Row],[DIAS LAB]]*$J$110*$Q$109</f>
        <v>548.47440000000006</v>
      </c>
      <c r="L170" s="166">
        <f ca="1">IMSS[[#This Row],[DIAS LAB]]*IF(IMSS[[#This Row],[SDI]]-$J$113&gt;0,IMSS[[#This Row],[SDI]]-$J$113,0)*$Q$110</f>
        <v>7.8305835616438344</v>
      </c>
      <c r="M170" s="166">
        <f ca="1">IMSS[[#This Row],[DIAS LAB]]*IMSS[[#This Row],[SDI]]*$Q$111</f>
        <v>92.165547945205503</v>
      </c>
      <c r="N170" s="163">
        <f ca="1">IMSS[[#This Row],[DIAS LAB]]*IMSS[[#This Row],[SDI]]*$Q$112</f>
        <v>61.443698630136993</v>
      </c>
      <c r="O170" s="166">
        <f ca="1">IMSS[[#This Row],[DIAS LAB]]*IMSS[[#This Row],[SDI]]*$Q$113</f>
        <v>153.6092465753425</v>
      </c>
      <c r="P170" s="163">
        <f ca="1">IMSS[[#This Row],[DIAS LAB]]*IMSS[[#This Row],[SDI]]*$Q$114</f>
        <v>87.776712328767132</v>
      </c>
      <c r="Q170" s="166">
        <f ca="1">IMSS[[#This Row],[DIAS LAB]]*IMSS[[#This Row],[SDI]]*$Q$115</f>
        <v>175.55342465753426</v>
      </c>
      <c r="R170" s="163">
        <f ca="1">IMSS[[#This Row],[DIAS LAB]]*IMSS[[#This Row],[SDI]]*$Q$116</f>
        <v>276.49664383561645</v>
      </c>
      <c r="S170" s="163">
        <f ca="1">IMSS[[#This Row],[DIAS LAB]]*IMSS[[#This Row],[SDI]]*$Q$117</f>
        <v>438.88356164383572</v>
      </c>
      <c r="T170" s="164">
        <f ca="1">SUM(IMSS[[#This Row],[P RSG TRB]:[P INFONAVIT]])</f>
        <v>1889.9448511643839</v>
      </c>
      <c r="U170" s="163">
        <f ca="1">IMSS[[#This Row],[DIAS LAB]]*IMSS[[#This Row],[SDI]]*IMSS[[#This Row],[% RSG]]*$R$108</f>
        <v>0</v>
      </c>
      <c r="V170" s="163">
        <f ca="1">IMSS[[#This Row],[DIAS LAB]]*IMSS[[#This Row],[SDI]]*$R$112</f>
        <v>21.944178082191783</v>
      </c>
      <c r="W170" s="163"/>
      <c r="X170" s="163">
        <f ca="1">IMSS[[#This Row],[DIAS LAB]]*IMSS[[#This Row],[SDI]]*$R$113</f>
        <v>55.299328767123292</v>
      </c>
      <c r="Y170" s="163">
        <f ca="1">IMSS[[#This Row],[DIAS LAB]]*IMSS[[#This Row],[SDI]]*$R$114</f>
        <v>0</v>
      </c>
      <c r="Z170" s="163">
        <f ca="1">IMSS[[#This Row],[DIAS LAB]]*IMSS[[#This Row],[SDI]]*$R$115</f>
        <v>0</v>
      </c>
      <c r="AA170" s="163">
        <f ca="1">IMSS[[#This Row],[DIAS LAB]]*IMSS[[#This Row],[SDI]]*$R$116</f>
        <v>99.187684931506851</v>
      </c>
      <c r="AB170" s="163">
        <f ca="1">IMSS[[#This Row],[DIAS LAB]]*IMSS[[#This Row],[SDI]]*$R$117</f>
        <v>0</v>
      </c>
      <c r="AC170" s="247">
        <f ca="1">SUM(IMSS[[#This Row],[O RSG TRB]:[O INFONAVIT]])</f>
        <v>176.43119178082193</v>
      </c>
      <c r="AD170" s="163"/>
      <c r="AE170" s="165">
        <f ca="1">IMSS[[#This Row],[P TOTAL]]+IMSS[[#This Row],[O TOTAL]]</f>
        <v>2066.3760429452059</v>
      </c>
      <c r="AF170" s="163"/>
      <c r="AG170" s="163">
        <f>VLOOKUP(IMSS[[#This Row],[SUE MENS]],$AG$110:$AJ$120,1,1)</f>
        <v>5470.93</v>
      </c>
      <c r="AH170" s="163">
        <f>IMSS[[#This Row],[SUE MENS]]-IMSS[[#This Row],[LIM INF]]</f>
        <v>2479.0699999999997</v>
      </c>
      <c r="AI170" s="163">
        <f>IMSS[[#This Row],[EXC LIM INF]]*(VLOOKUP(IMSS[[#This Row],[LIM INF]],$AG$110:$AJ$120,4,0))</f>
        <v>269.72281599999997</v>
      </c>
      <c r="AJ170" s="163">
        <f>VLOOKUP(IMSS[[#This Row],[LIM INF]],$AG$110:$AJ$120,3)</f>
        <v>321.26</v>
      </c>
      <c r="AK170" s="163">
        <f>SUM(IMSS[[#This Row],[TASA EXC]]+IMSS[[#This Row],[CUOTA FIJA]])</f>
        <v>590.98281599999996</v>
      </c>
      <c r="AL170" s="163">
        <f>VLOOKUP(IMSS[[#This Row],[SUE MENS]],$AL$110:$AN$120,3,1)</f>
        <v>0</v>
      </c>
      <c r="AM170" s="248">
        <f>IF(IMSS[[#This Row],[ISR CARGO]]-IMSS[[#This Row],[SUBS ISR]]&gt;0,IMSS[[#This Row],[ISR CARGO]]-IMSS[[#This Row],[SUBS ISR]],0)</f>
        <v>590.98281599999996</v>
      </c>
      <c r="AN170" s="248">
        <f>IF(IMSS[[#This Row],[SUBS ISR]]-IMSS[[#This Row],[ISR CARGO]]&gt;0,IMSS[[#This Row],[SUBS ISR]]-IMSS[[#This Row],[ISR CARGO]],0)</f>
        <v>0</v>
      </c>
    </row>
    <row r="171" spans="3:40" ht="15" hidden="1" customHeight="1" x14ac:dyDescent="0.25">
      <c r="C171" s="243">
        <v>151</v>
      </c>
      <c r="D171" s="167" t="str">
        <f>VLOOKUP(IMSS[[#This Row],[NEM]],BDD[],2,0)</f>
        <v>Luis Brayan Aguilar Ortega</v>
      </c>
      <c r="E171" s="167" t="str">
        <f>VLOOKUP(IMSS[[#This Row],[NEM]],BDD[],9,0)</f>
        <v>COLECTIVOS</v>
      </c>
      <c r="F171" s="168">
        <v>30</v>
      </c>
      <c r="G171" s="139">
        <f>VLOOKUP(IMSS[[#This Row],[NEM]],BDD[],3,0)</f>
        <v>7950</v>
      </c>
      <c r="H171" s="139">
        <f ca="1">VLOOKUP(IMSS[[#This Row],[NEM]],BDD[],25,0)</f>
        <v>292.58904109589042</v>
      </c>
      <c r="I171" s="143">
        <f>VLOOKUP(IMSS[[#This Row],[DEPT]],$B$3:$G$49,6,0)</f>
        <v>5.4355000000000002E-3</v>
      </c>
      <c r="J171" s="163">
        <f ca="1">IMSS[[#This Row],[DIAS LAB]]*IMSS[[#This Row],[SDI]]*IMSS[[#This Row],[% RSG]]*$Q$108</f>
        <v>47.711031986301379</v>
      </c>
      <c r="K171" s="163">
        <f>IMSS[[#This Row],[DIAS LAB]]*$J$110*$Q$109</f>
        <v>548.47440000000006</v>
      </c>
      <c r="L171" s="166">
        <f ca="1">IMSS[[#This Row],[DIAS LAB]]*IF(IMSS[[#This Row],[SDI]]-$J$113&gt;0,IMSS[[#This Row],[SDI]]-$J$113,0)*$Q$110</f>
        <v>7.8305835616438344</v>
      </c>
      <c r="M171" s="166">
        <f ca="1">IMSS[[#This Row],[DIAS LAB]]*IMSS[[#This Row],[SDI]]*$Q$111</f>
        <v>92.165547945205503</v>
      </c>
      <c r="N171" s="163">
        <f ca="1">IMSS[[#This Row],[DIAS LAB]]*IMSS[[#This Row],[SDI]]*$Q$112</f>
        <v>61.443698630136993</v>
      </c>
      <c r="O171" s="166">
        <f ca="1">IMSS[[#This Row],[DIAS LAB]]*IMSS[[#This Row],[SDI]]*$Q$113</f>
        <v>153.6092465753425</v>
      </c>
      <c r="P171" s="163">
        <f ca="1">IMSS[[#This Row],[DIAS LAB]]*IMSS[[#This Row],[SDI]]*$Q$114</f>
        <v>87.776712328767132</v>
      </c>
      <c r="Q171" s="166">
        <f ca="1">IMSS[[#This Row],[DIAS LAB]]*IMSS[[#This Row],[SDI]]*$Q$115</f>
        <v>175.55342465753426</v>
      </c>
      <c r="R171" s="163">
        <f ca="1">IMSS[[#This Row],[DIAS LAB]]*IMSS[[#This Row],[SDI]]*$Q$116</f>
        <v>276.49664383561645</v>
      </c>
      <c r="S171" s="163">
        <f ca="1">IMSS[[#This Row],[DIAS LAB]]*IMSS[[#This Row],[SDI]]*$Q$117</f>
        <v>438.88356164383572</v>
      </c>
      <c r="T171" s="164">
        <f ca="1">SUM(IMSS[[#This Row],[P RSG TRB]:[P INFONAVIT]])</f>
        <v>1889.9448511643839</v>
      </c>
      <c r="U171" s="163">
        <f ca="1">IMSS[[#This Row],[DIAS LAB]]*IMSS[[#This Row],[SDI]]*IMSS[[#This Row],[% RSG]]*$R$108</f>
        <v>0</v>
      </c>
      <c r="V171" s="163">
        <f ca="1">IMSS[[#This Row],[DIAS LAB]]*IMSS[[#This Row],[SDI]]*$R$112</f>
        <v>21.944178082191783</v>
      </c>
      <c r="W171" s="163"/>
      <c r="X171" s="163">
        <f ca="1">IMSS[[#This Row],[DIAS LAB]]*IMSS[[#This Row],[SDI]]*$R$113</f>
        <v>55.299328767123292</v>
      </c>
      <c r="Y171" s="163">
        <f ca="1">IMSS[[#This Row],[DIAS LAB]]*IMSS[[#This Row],[SDI]]*$R$114</f>
        <v>0</v>
      </c>
      <c r="Z171" s="163">
        <f ca="1">IMSS[[#This Row],[DIAS LAB]]*IMSS[[#This Row],[SDI]]*$R$115</f>
        <v>0</v>
      </c>
      <c r="AA171" s="163">
        <f ca="1">IMSS[[#This Row],[DIAS LAB]]*IMSS[[#This Row],[SDI]]*$R$116</f>
        <v>99.187684931506851</v>
      </c>
      <c r="AB171" s="163">
        <f ca="1">IMSS[[#This Row],[DIAS LAB]]*IMSS[[#This Row],[SDI]]*$R$117</f>
        <v>0</v>
      </c>
      <c r="AC171" s="247">
        <f ca="1">SUM(IMSS[[#This Row],[O RSG TRB]:[O INFONAVIT]])</f>
        <v>176.43119178082193</v>
      </c>
      <c r="AD171" s="163"/>
      <c r="AE171" s="165">
        <f ca="1">IMSS[[#This Row],[P TOTAL]]+IMSS[[#This Row],[O TOTAL]]</f>
        <v>2066.3760429452059</v>
      </c>
      <c r="AF171" s="163"/>
      <c r="AG171" s="163">
        <f>VLOOKUP(IMSS[[#This Row],[SUE MENS]],$AG$110:$AJ$120,1,1)</f>
        <v>5470.93</v>
      </c>
      <c r="AH171" s="163">
        <f>IMSS[[#This Row],[SUE MENS]]-IMSS[[#This Row],[LIM INF]]</f>
        <v>2479.0699999999997</v>
      </c>
      <c r="AI171" s="163">
        <f>IMSS[[#This Row],[EXC LIM INF]]*(VLOOKUP(IMSS[[#This Row],[LIM INF]],$AG$110:$AJ$120,4,0))</f>
        <v>269.72281599999997</v>
      </c>
      <c r="AJ171" s="163">
        <f>VLOOKUP(IMSS[[#This Row],[LIM INF]],$AG$110:$AJ$120,3)</f>
        <v>321.26</v>
      </c>
      <c r="AK171" s="163">
        <f>SUM(IMSS[[#This Row],[TASA EXC]]+IMSS[[#This Row],[CUOTA FIJA]])</f>
        <v>590.98281599999996</v>
      </c>
      <c r="AL171" s="163">
        <f>VLOOKUP(IMSS[[#This Row],[SUE MENS]],$AL$110:$AN$120,3,1)</f>
        <v>0</v>
      </c>
      <c r="AM171" s="248">
        <f>IF(IMSS[[#This Row],[ISR CARGO]]-IMSS[[#This Row],[SUBS ISR]]&gt;0,IMSS[[#This Row],[ISR CARGO]]-IMSS[[#This Row],[SUBS ISR]],0)</f>
        <v>590.98281599999996</v>
      </c>
      <c r="AN171" s="248">
        <f>IF(IMSS[[#This Row],[SUBS ISR]]-IMSS[[#This Row],[ISR CARGO]]&gt;0,IMSS[[#This Row],[SUBS ISR]]-IMSS[[#This Row],[ISR CARGO]],0)</f>
        <v>0</v>
      </c>
    </row>
    <row r="172" spans="3:40" ht="15" hidden="1" customHeight="1" x14ac:dyDescent="0.25">
      <c r="C172" s="243">
        <v>152</v>
      </c>
      <c r="D172" s="167" t="str">
        <f>VLOOKUP(IMSS[[#This Row],[NEM]],BDD[],2,0)</f>
        <v>Leobardo Fernández Gracián</v>
      </c>
      <c r="E172" s="167" t="str">
        <f>VLOOKUP(IMSS[[#This Row],[NEM]],BDD[],9,0)</f>
        <v>RECLTMTO</v>
      </c>
      <c r="F172" s="168">
        <v>30</v>
      </c>
      <c r="G172" s="139">
        <f>VLOOKUP(IMSS[[#This Row],[NEM]],BDD[],3,0)</f>
        <v>7950</v>
      </c>
      <c r="H172" s="139">
        <f ca="1">VLOOKUP(IMSS[[#This Row],[NEM]],BDD[],25,0)</f>
        <v>291.86301369863014</v>
      </c>
      <c r="I172" s="143">
        <f>VLOOKUP(IMSS[[#This Row],[DEPT]],$B$3:$G$49,6,0)</f>
        <v>5.4355000000000002E-3</v>
      </c>
      <c r="J172" s="163">
        <f ca="1">IMSS[[#This Row],[DIAS LAB]]*IMSS[[#This Row],[SDI]]*IMSS[[#This Row],[% RSG]]*$Q$108</f>
        <v>47.592642328767127</v>
      </c>
      <c r="K172" s="163">
        <f>IMSS[[#This Row],[DIAS LAB]]*$J$110*$Q$109</f>
        <v>548.47440000000006</v>
      </c>
      <c r="L172" s="166">
        <f ca="1">IMSS[[#This Row],[DIAS LAB]]*IF(IMSS[[#This Row],[SDI]]-$J$113&gt;0,IMSS[[#This Row],[SDI]]-$J$113,0)*$Q$110</f>
        <v>7.5909945205479419</v>
      </c>
      <c r="M172" s="166">
        <f ca="1">IMSS[[#This Row],[DIAS LAB]]*IMSS[[#This Row],[SDI]]*$Q$111</f>
        <v>91.9368493150685</v>
      </c>
      <c r="N172" s="163">
        <f ca="1">IMSS[[#This Row],[DIAS LAB]]*IMSS[[#This Row],[SDI]]*$Q$112</f>
        <v>61.291232876712328</v>
      </c>
      <c r="O172" s="166">
        <f ca="1">IMSS[[#This Row],[DIAS LAB]]*IMSS[[#This Row],[SDI]]*$Q$113</f>
        <v>153.22808219178083</v>
      </c>
      <c r="P172" s="163">
        <f ca="1">IMSS[[#This Row],[DIAS LAB]]*IMSS[[#This Row],[SDI]]*$Q$114</f>
        <v>87.558904109589037</v>
      </c>
      <c r="Q172" s="166">
        <f ca="1">IMSS[[#This Row],[DIAS LAB]]*IMSS[[#This Row],[SDI]]*$Q$115</f>
        <v>175.11780821917807</v>
      </c>
      <c r="R172" s="163">
        <f ca="1">IMSS[[#This Row],[DIAS LAB]]*IMSS[[#This Row],[SDI]]*$Q$116</f>
        <v>275.81054794520549</v>
      </c>
      <c r="S172" s="163">
        <f ca="1">IMSS[[#This Row],[DIAS LAB]]*IMSS[[#This Row],[SDI]]*$Q$117</f>
        <v>437.79452054794524</v>
      </c>
      <c r="T172" s="164">
        <f ca="1">SUM(IMSS[[#This Row],[P RSG TRB]:[P INFONAVIT]])</f>
        <v>1886.3959820547946</v>
      </c>
      <c r="U172" s="163">
        <f ca="1">IMSS[[#This Row],[DIAS LAB]]*IMSS[[#This Row],[SDI]]*IMSS[[#This Row],[% RSG]]*$R$108</f>
        <v>0</v>
      </c>
      <c r="V172" s="163">
        <f ca="1">IMSS[[#This Row],[DIAS LAB]]*IMSS[[#This Row],[SDI]]*$R$112</f>
        <v>21.889726027397259</v>
      </c>
      <c r="W172" s="163"/>
      <c r="X172" s="163">
        <f ca="1">IMSS[[#This Row],[DIAS LAB]]*IMSS[[#This Row],[SDI]]*$R$113</f>
        <v>55.162109589041094</v>
      </c>
      <c r="Y172" s="163">
        <f ca="1">IMSS[[#This Row],[DIAS LAB]]*IMSS[[#This Row],[SDI]]*$R$114</f>
        <v>0</v>
      </c>
      <c r="Z172" s="163">
        <f ca="1">IMSS[[#This Row],[DIAS LAB]]*IMSS[[#This Row],[SDI]]*$R$115</f>
        <v>0</v>
      </c>
      <c r="AA172" s="163">
        <f ca="1">IMSS[[#This Row],[DIAS LAB]]*IMSS[[#This Row],[SDI]]*$R$116</f>
        <v>98.941561643835612</v>
      </c>
      <c r="AB172" s="163">
        <f ca="1">IMSS[[#This Row],[DIAS LAB]]*IMSS[[#This Row],[SDI]]*$R$117</f>
        <v>0</v>
      </c>
      <c r="AC172" s="247">
        <f ca="1">SUM(IMSS[[#This Row],[O RSG TRB]:[O INFONAVIT]])</f>
        <v>175.99339726027398</v>
      </c>
      <c r="AD172" s="163"/>
      <c r="AE172" s="165">
        <f ca="1">IMSS[[#This Row],[P TOTAL]]+IMSS[[#This Row],[O TOTAL]]</f>
        <v>2062.3893793150687</v>
      </c>
      <c r="AF172" s="163"/>
      <c r="AG172" s="163">
        <f>VLOOKUP(IMSS[[#This Row],[SUE MENS]],$AG$110:$AJ$120,1,1)</f>
        <v>5470.93</v>
      </c>
      <c r="AH172" s="163">
        <f>IMSS[[#This Row],[SUE MENS]]-IMSS[[#This Row],[LIM INF]]</f>
        <v>2479.0699999999997</v>
      </c>
      <c r="AI172" s="163">
        <f>IMSS[[#This Row],[EXC LIM INF]]*(VLOOKUP(IMSS[[#This Row],[LIM INF]],$AG$110:$AJ$120,4,0))</f>
        <v>269.72281599999997</v>
      </c>
      <c r="AJ172" s="163">
        <f>VLOOKUP(IMSS[[#This Row],[LIM INF]],$AG$110:$AJ$120,3)</f>
        <v>321.26</v>
      </c>
      <c r="AK172" s="163">
        <f>SUM(IMSS[[#This Row],[TASA EXC]]+IMSS[[#This Row],[CUOTA FIJA]])</f>
        <v>590.98281599999996</v>
      </c>
      <c r="AL172" s="163">
        <f>VLOOKUP(IMSS[[#This Row],[SUE MENS]],$AL$110:$AN$120,3,1)</f>
        <v>0</v>
      </c>
      <c r="AM172" s="248">
        <f>IF(IMSS[[#This Row],[ISR CARGO]]-IMSS[[#This Row],[SUBS ISR]]&gt;0,IMSS[[#This Row],[ISR CARGO]]-IMSS[[#This Row],[SUBS ISR]],0)</f>
        <v>590.98281599999996</v>
      </c>
      <c r="AN172" s="248">
        <f>IF(IMSS[[#This Row],[SUBS ISR]]-IMSS[[#This Row],[ISR CARGO]]&gt;0,IMSS[[#This Row],[SUBS ISR]]-IMSS[[#This Row],[ISR CARGO]],0)</f>
        <v>0</v>
      </c>
    </row>
    <row r="173" spans="3:40" ht="15" hidden="1" customHeight="1" x14ac:dyDescent="0.25">
      <c r="C173" s="243">
        <v>153</v>
      </c>
      <c r="D173" s="167" t="str">
        <f>VLOOKUP(IMSS[[#This Row],[NEM]],BDD[],2,0)</f>
        <v>Kevin Denigriz Castañon Castillo</v>
      </c>
      <c r="E173" s="167" t="str">
        <f>VLOOKUP(IMSS[[#This Row],[NEM]],BDD[],9,0)</f>
        <v>CONTROL</v>
      </c>
      <c r="F173" s="168">
        <v>30</v>
      </c>
      <c r="G173" s="139">
        <f>VLOOKUP(IMSS[[#This Row],[NEM]],BDD[],3,0)</f>
        <v>9541</v>
      </c>
      <c r="H173" s="139">
        <f ca="1">VLOOKUP(IMSS[[#This Row],[NEM]],BDD[],25,0)</f>
        <v>351.14365296803658</v>
      </c>
      <c r="I173" s="143">
        <f>VLOOKUP(IMSS[[#This Row],[DEPT]],$B$3:$G$49,6,0)</f>
        <v>5.4355000000000002E-3</v>
      </c>
      <c r="J173" s="163">
        <f ca="1">IMSS[[#This Row],[DIAS LAB]]*IMSS[[#This Row],[SDI]]*IMSS[[#This Row],[% RSG]]*$Q$108</f>
        <v>57.259239771232885</v>
      </c>
      <c r="K173" s="163">
        <f>IMSS[[#This Row],[DIAS LAB]]*$J$110*$Q$109</f>
        <v>548.47440000000006</v>
      </c>
      <c r="L173" s="166">
        <f ca="1">IMSS[[#This Row],[DIAS LAB]]*IF(IMSS[[#This Row],[SDI]]-$J$113&gt;0,IMSS[[#This Row],[SDI]]-$J$113,0)*$Q$110</f>
        <v>27.153605479452061</v>
      </c>
      <c r="M173" s="166">
        <f ca="1">IMSS[[#This Row],[DIAS LAB]]*IMSS[[#This Row],[SDI]]*$Q$111</f>
        <v>110.61025068493153</v>
      </c>
      <c r="N173" s="163">
        <f ca="1">IMSS[[#This Row],[DIAS LAB]]*IMSS[[#This Row],[SDI]]*$Q$112</f>
        <v>73.740167123287677</v>
      </c>
      <c r="O173" s="166">
        <f ca="1">IMSS[[#This Row],[DIAS LAB]]*IMSS[[#This Row],[SDI]]*$Q$113</f>
        <v>184.35041780821922</v>
      </c>
      <c r="P173" s="163">
        <f ca="1">IMSS[[#This Row],[DIAS LAB]]*IMSS[[#This Row],[SDI]]*$Q$114</f>
        <v>105.34309589041096</v>
      </c>
      <c r="Q173" s="166">
        <f ca="1">IMSS[[#This Row],[DIAS LAB]]*IMSS[[#This Row],[SDI]]*$Q$115</f>
        <v>210.68619178082193</v>
      </c>
      <c r="R173" s="163">
        <f ca="1">IMSS[[#This Row],[DIAS LAB]]*IMSS[[#This Row],[SDI]]*$Q$116</f>
        <v>331.83075205479457</v>
      </c>
      <c r="S173" s="163">
        <f ca="1">IMSS[[#This Row],[DIAS LAB]]*IMSS[[#This Row],[SDI]]*$Q$117</f>
        <v>526.71547945205486</v>
      </c>
      <c r="T173" s="164">
        <f ca="1">SUM(IMSS[[#This Row],[P RSG TRB]:[P INFONAVIT]])</f>
        <v>2176.1636000452058</v>
      </c>
      <c r="U173" s="163">
        <f ca="1">IMSS[[#This Row],[DIAS LAB]]*IMSS[[#This Row],[SDI]]*IMSS[[#This Row],[% RSG]]*$R$108</f>
        <v>0</v>
      </c>
      <c r="V173" s="163">
        <f ca="1">IMSS[[#This Row],[DIAS LAB]]*IMSS[[#This Row],[SDI]]*$R$112</f>
        <v>26.335773972602741</v>
      </c>
      <c r="W173" s="163"/>
      <c r="X173" s="163">
        <f ca="1">IMSS[[#This Row],[DIAS LAB]]*IMSS[[#This Row],[SDI]]*$R$113</f>
        <v>66.366150410958909</v>
      </c>
      <c r="Y173" s="163">
        <f ca="1">IMSS[[#This Row],[DIAS LAB]]*IMSS[[#This Row],[SDI]]*$R$114</f>
        <v>0</v>
      </c>
      <c r="Z173" s="163">
        <f ca="1">IMSS[[#This Row],[DIAS LAB]]*IMSS[[#This Row],[SDI]]*$R$115</f>
        <v>0</v>
      </c>
      <c r="AA173" s="163">
        <f ca="1">IMSS[[#This Row],[DIAS LAB]]*IMSS[[#This Row],[SDI]]*$R$116</f>
        <v>119.03769835616438</v>
      </c>
      <c r="AB173" s="163">
        <f ca="1">IMSS[[#This Row],[DIAS LAB]]*IMSS[[#This Row],[SDI]]*$R$117</f>
        <v>0</v>
      </c>
      <c r="AC173" s="247">
        <f ca="1">SUM(IMSS[[#This Row],[O RSG TRB]:[O INFONAVIT]])</f>
        <v>211.73962273972603</v>
      </c>
      <c r="AD173" s="163"/>
      <c r="AE173" s="165">
        <f ca="1">IMSS[[#This Row],[P TOTAL]]+IMSS[[#This Row],[O TOTAL]]</f>
        <v>2387.903222784932</v>
      </c>
      <c r="AF173" s="163"/>
      <c r="AG173" s="163">
        <f>VLOOKUP(IMSS[[#This Row],[SUE MENS]],$AG$110:$AJ$120,1,1)</f>
        <v>5470.93</v>
      </c>
      <c r="AH173" s="163">
        <f>IMSS[[#This Row],[SUE MENS]]-IMSS[[#This Row],[LIM INF]]</f>
        <v>4070.0699999999997</v>
      </c>
      <c r="AI173" s="163">
        <f>IMSS[[#This Row],[EXC LIM INF]]*(VLOOKUP(IMSS[[#This Row],[LIM INF]],$AG$110:$AJ$120,4,0))</f>
        <v>442.82361600000002</v>
      </c>
      <c r="AJ173" s="163">
        <f>VLOOKUP(IMSS[[#This Row],[LIM INF]],$AG$110:$AJ$120,3)</f>
        <v>321.26</v>
      </c>
      <c r="AK173" s="163">
        <f>SUM(IMSS[[#This Row],[TASA EXC]]+IMSS[[#This Row],[CUOTA FIJA]])</f>
        <v>764.08361600000001</v>
      </c>
      <c r="AL173" s="163">
        <f>VLOOKUP(IMSS[[#This Row],[SUE MENS]],$AL$110:$AN$120,3,1)</f>
        <v>0</v>
      </c>
      <c r="AM173" s="248">
        <f>IF(IMSS[[#This Row],[ISR CARGO]]-IMSS[[#This Row],[SUBS ISR]]&gt;0,IMSS[[#This Row],[ISR CARGO]]-IMSS[[#This Row],[SUBS ISR]],0)</f>
        <v>764.08361600000001</v>
      </c>
      <c r="AN173" s="248">
        <f>IF(IMSS[[#This Row],[SUBS ISR]]-IMSS[[#This Row],[ISR CARGO]]&gt;0,IMSS[[#This Row],[SUBS ISR]]-IMSS[[#This Row],[ISR CARGO]],0)</f>
        <v>0</v>
      </c>
    </row>
    <row r="174" spans="3:40" ht="15" hidden="1" customHeight="1" x14ac:dyDescent="0.25">
      <c r="C174" s="243">
        <v>154</v>
      </c>
      <c r="D174" s="167" t="str">
        <f>VLOOKUP(IMSS[[#This Row],[NEM]],BDD[],2,0)</f>
        <v>Karla Michelle Verdugo Rios</v>
      </c>
      <c r="E174" s="167" t="str">
        <f>VLOOKUP(IMSS[[#This Row],[NEM]],BDD[],9,0)</f>
        <v>ESTRUCTURA</v>
      </c>
      <c r="F174" s="168">
        <v>30</v>
      </c>
      <c r="G174" s="139">
        <f>VLOOKUP(IMSS[[#This Row],[NEM]],BDD[],3,0)</f>
        <v>7445</v>
      </c>
      <c r="H174" s="139">
        <f ca="1">VLOOKUP(IMSS[[#This Row],[NEM]],BDD[],25,0)</f>
        <v>271.96347031963467</v>
      </c>
      <c r="I174" s="143">
        <f>VLOOKUP(IMSS[[#This Row],[DEPT]],$B$3:$G$49,6,0)</f>
        <v>2.5984400000000001E-2</v>
      </c>
      <c r="J174" s="163">
        <f ca="1">IMSS[[#This Row],[DIAS LAB]]*IMSS[[#This Row],[SDI]]*IMSS[[#This Row],[% RSG]]*$Q$108</f>
        <v>212.00422794520546</v>
      </c>
      <c r="K174" s="163">
        <f>IMSS[[#This Row],[DIAS LAB]]*$J$110*$Q$109</f>
        <v>548.47440000000006</v>
      </c>
      <c r="L174" s="166">
        <f ca="1">IMSS[[#This Row],[DIAS LAB]]*IF(IMSS[[#This Row],[SDI]]-$J$113&gt;0,IMSS[[#This Row],[SDI]]-$J$113,0)*$Q$110</f>
        <v>1.0241452054794353</v>
      </c>
      <c r="M174" s="166">
        <f ca="1">IMSS[[#This Row],[DIAS LAB]]*IMSS[[#This Row],[SDI]]*$Q$111</f>
        <v>85.668493150684924</v>
      </c>
      <c r="N174" s="163">
        <f ca="1">IMSS[[#This Row],[DIAS LAB]]*IMSS[[#This Row],[SDI]]*$Q$112</f>
        <v>57.11232876712328</v>
      </c>
      <c r="O174" s="166">
        <f ca="1">IMSS[[#This Row],[DIAS LAB]]*IMSS[[#This Row],[SDI]]*$Q$113</f>
        <v>142.7808219178082</v>
      </c>
      <c r="P174" s="163">
        <f ca="1">IMSS[[#This Row],[DIAS LAB]]*IMSS[[#This Row],[SDI]]*$Q$114</f>
        <v>81.589041095890394</v>
      </c>
      <c r="Q174" s="166">
        <f ca="1">IMSS[[#This Row],[DIAS LAB]]*IMSS[[#This Row],[SDI]]*$Q$115</f>
        <v>163.17808219178079</v>
      </c>
      <c r="R174" s="163">
        <f ca="1">IMSS[[#This Row],[DIAS LAB]]*IMSS[[#This Row],[SDI]]*$Q$116</f>
        <v>257.00547945205477</v>
      </c>
      <c r="S174" s="163">
        <f ca="1">IMSS[[#This Row],[DIAS LAB]]*IMSS[[#This Row],[SDI]]*$Q$117</f>
        <v>407.945205479452</v>
      </c>
      <c r="T174" s="164">
        <f ca="1">SUM(IMSS[[#This Row],[P RSG TRB]:[P INFONAVIT]])</f>
        <v>1956.7822252054791</v>
      </c>
      <c r="U174" s="163">
        <f ca="1">IMSS[[#This Row],[DIAS LAB]]*IMSS[[#This Row],[SDI]]*IMSS[[#This Row],[% RSG]]*$R$108</f>
        <v>0</v>
      </c>
      <c r="V174" s="163">
        <f ca="1">IMSS[[#This Row],[DIAS LAB]]*IMSS[[#This Row],[SDI]]*$R$112</f>
        <v>20.397260273972599</v>
      </c>
      <c r="W174" s="163"/>
      <c r="X174" s="163">
        <f ca="1">IMSS[[#This Row],[DIAS LAB]]*IMSS[[#This Row],[SDI]]*$R$113</f>
        <v>51.40109589041095</v>
      </c>
      <c r="Y174" s="163">
        <f ca="1">IMSS[[#This Row],[DIAS LAB]]*IMSS[[#This Row],[SDI]]*$R$114</f>
        <v>0</v>
      </c>
      <c r="Z174" s="163">
        <f ca="1">IMSS[[#This Row],[DIAS LAB]]*IMSS[[#This Row],[SDI]]*$R$115</f>
        <v>0</v>
      </c>
      <c r="AA174" s="163">
        <f ca="1">IMSS[[#This Row],[DIAS LAB]]*IMSS[[#This Row],[SDI]]*$R$116</f>
        <v>92.19561643835614</v>
      </c>
      <c r="AB174" s="163">
        <f ca="1">IMSS[[#This Row],[DIAS LAB]]*IMSS[[#This Row],[SDI]]*$R$117</f>
        <v>0</v>
      </c>
      <c r="AC174" s="247">
        <f ca="1">SUM(IMSS[[#This Row],[O RSG TRB]:[O INFONAVIT]])</f>
        <v>163.99397260273969</v>
      </c>
      <c r="AD174" s="163"/>
      <c r="AE174" s="165">
        <f ca="1">IMSS[[#This Row],[P TOTAL]]+IMSS[[#This Row],[O TOTAL]]</f>
        <v>2120.776197808219</v>
      </c>
      <c r="AF174" s="163"/>
      <c r="AG174" s="163">
        <f>VLOOKUP(IMSS[[#This Row],[SUE MENS]],$AG$110:$AJ$120,1,1)</f>
        <v>5470.93</v>
      </c>
      <c r="AH174" s="163">
        <f>IMSS[[#This Row],[SUE MENS]]-IMSS[[#This Row],[LIM INF]]</f>
        <v>1974.0699999999997</v>
      </c>
      <c r="AI174" s="163">
        <f>IMSS[[#This Row],[EXC LIM INF]]*(VLOOKUP(IMSS[[#This Row],[LIM INF]],$AG$110:$AJ$120,4,0))</f>
        <v>214.77881599999998</v>
      </c>
      <c r="AJ174" s="163">
        <f>VLOOKUP(IMSS[[#This Row],[LIM INF]],$AG$110:$AJ$120,3)</f>
        <v>321.26</v>
      </c>
      <c r="AK174" s="163">
        <f>SUM(IMSS[[#This Row],[TASA EXC]]+IMSS[[#This Row],[CUOTA FIJA]])</f>
        <v>536.038816</v>
      </c>
      <c r="AL174" s="163">
        <f>VLOOKUP(IMSS[[#This Row],[SUE MENS]],$AL$110:$AN$120,3,1)</f>
        <v>0</v>
      </c>
      <c r="AM174" s="248">
        <f>IF(IMSS[[#This Row],[ISR CARGO]]-IMSS[[#This Row],[SUBS ISR]]&gt;0,IMSS[[#This Row],[ISR CARGO]]-IMSS[[#This Row],[SUBS ISR]],0)</f>
        <v>536.038816</v>
      </c>
      <c r="AN174" s="248">
        <f>IF(IMSS[[#This Row],[SUBS ISR]]-IMSS[[#This Row],[ISR CARGO]]&gt;0,IMSS[[#This Row],[SUBS ISR]]-IMSS[[#This Row],[ISR CARGO]],0)</f>
        <v>0</v>
      </c>
    </row>
    <row r="175" spans="3:40" ht="15" hidden="1" customHeight="1" x14ac:dyDescent="0.25">
      <c r="C175" s="243">
        <v>155</v>
      </c>
      <c r="D175" s="167" t="str">
        <f>VLOOKUP(IMSS[[#This Row],[NEM]],BDD[],2,0)</f>
        <v>Juan Manuel Chaires Martinez</v>
      </c>
      <c r="E175" s="167" t="str">
        <f>VLOOKUP(IMSS[[#This Row],[NEM]],BDD[],9,0)</f>
        <v>RELACIONES</v>
      </c>
      <c r="F175" s="168">
        <v>30</v>
      </c>
      <c r="G175" s="139">
        <f>VLOOKUP(IMSS[[#This Row],[NEM]],BDD[],3,0)</f>
        <v>7950</v>
      </c>
      <c r="H175" s="139">
        <f ca="1">VLOOKUP(IMSS[[#This Row],[NEM]],BDD[],25,0)</f>
        <v>292.58904109589042</v>
      </c>
      <c r="I175" s="143">
        <f>VLOOKUP(IMSS[[#This Row],[DEPT]],$B$3:$G$49,6,0)</f>
        <v>5.4355000000000002E-3</v>
      </c>
      <c r="J175" s="163">
        <f ca="1">IMSS[[#This Row],[DIAS LAB]]*IMSS[[#This Row],[SDI]]*IMSS[[#This Row],[% RSG]]*$Q$108</f>
        <v>47.711031986301379</v>
      </c>
      <c r="K175" s="163">
        <f>IMSS[[#This Row],[DIAS LAB]]*$J$110*$Q$109</f>
        <v>548.47440000000006</v>
      </c>
      <c r="L175" s="166">
        <f ca="1">IMSS[[#This Row],[DIAS LAB]]*IF(IMSS[[#This Row],[SDI]]-$J$113&gt;0,IMSS[[#This Row],[SDI]]-$J$113,0)*$Q$110</f>
        <v>7.8305835616438344</v>
      </c>
      <c r="M175" s="166">
        <f ca="1">IMSS[[#This Row],[DIAS LAB]]*IMSS[[#This Row],[SDI]]*$Q$111</f>
        <v>92.165547945205503</v>
      </c>
      <c r="N175" s="163">
        <f ca="1">IMSS[[#This Row],[DIAS LAB]]*IMSS[[#This Row],[SDI]]*$Q$112</f>
        <v>61.443698630136993</v>
      </c>
      <c r="O175" s="166">
        <f ca="1">IMSS[[#This Row],[DIAS LAB]]*IMSS[[#This Row],[SDI]]*$Q$113</f>
        <v>153.6092465753425</v>
      </c>
      <c r="P175" s="163">
        <f ca="1">IMSS[[#This Row],[DIAS LAB]]*IMSS[[#This Row],[SDI]]*$Q$114</f>
        <v>87.776712328767132</v>
      </c>
      <c r="Q175" s="166">
        <f ca="1">IMSS[[#This Row],[DIAS LAB]]*IMSS[[#This Row],[SDI]]*$Q$115</f>
        <v>175.55342465753426</v>
      </c>
      <c r="R175" s="163">
        <f ca="1">IMSS[[#This Row],[DIAS LAB]]*IMSS[[#This Row],[SDI]]*$Q$116</f>
        <v>276.49664383561645</v>
      </c>
      <c r="S175" s="163">
        <f ca="1">IMSS[[#This Row],[DIAS LAB]]*IMSS[[#This Row],[SDI]]*$Q$117</f>
        <v>438.88356164383572</v>
      </c>
      <c r="T175" s="164">
        <f ca="1">SUM(IMSS[[#This Row],[P RSG TRB]:[P INFONAVIT]])</f>
        <v>1889.9448511643839</v>
      </c>
      <c r="U175" s="163">
        <f ca="1">IMSS[[#This Row],[DIAS LAB]]*IMSS[[#This Row],[SDI]]*IMSS[[#This Row],[% RSG]]*$R$108</f>
        <v>0</v>
      </c>
      <c r="V175" s="163">
        <f ca="1">IMSS[[#This Row],[DIAS LAB]]*IMSS[[#This Row],[SDI]]*$R$112</f>
        <v>21.944178082191783</v>
      </c>
      <c r="W175" s="163"/>
      <c r="X175" s="163">
        <f ca="1">IMSS[[#This Row],[DIAS LAB]]*IMSS[[#This Row],[SDI]]*$R$113</f>
        <v>55.299328767123292</v>
      </c>
      <c r="Y175" s="163">
        <f ca="1">IMSS[[#This Row],[DIAS LAB]]*IMSS[[#This Row],[SDI]]*$R$114</f>
        <v>0</v>
      </c>
      <c r="Z175" s="163">
        <f ca="1">IMSS[[#This Row],[DIAS LAB]]*IMSS[[#This Row],[SDI]]*$R$115</f>
        <v>0</v>
      </c>
      <c r="AA175" s="163">
        <f ca="1">IMSS[[#This Row],[DIAS LAB]]*IMSS[[#This Row],[SDI]]*$R$116</f>
        <v>99.187684931506851</v>
      </c>
      <c r="AB175" s="163">
        <f ca="1">IMSS[[#This Row],[DIAS LAB]]*IMSS[[#This Row],[SDI]]*$R$117</f>
        <v>0</v>
      </c>
      <c r="AC175" s="247">
        <f ca="1">SUM(IMSS[[#This Row],[O RSG TRB]:[O INFONAVIT]])</f>
        <v>176.43119178082193</v>
      </c>
      <c r="AD175" s="163"/>
      <c r="AE175" s="165">
        <f ca="1">IMSS[[#This Row],[P TOTAL]]+IMSS[[#This Row],[O TOTAL]]</f>
        <v>2066.3760429452059</v>
      </c>
      <c r="AF175" s="163"/>
      <c r="AG175" s="163">
        <f>VLOOKUP(IMSS[[#This Row],[SUE MENS]],$AG$110:$AJ$120,1,1)</f>
        <v>5470.93</v>
      </c>
      <c r="AH175" s="163">
        <f>IMSS[[#This Row],[SUE MENS]]-IMSS[[#This Row],[LIM INF]]</f>
        <v>2479.0699999999997</v>
      </c>
      <c r="AI175" s="163">
        <f>IMSS[[#This Row],[EXC LIM INF]]*(VLOOKUP(IMSS[[#This Row],[LIM INF]],$AG$110:$AJ$120,4,0))</f>
        <v>269.72281599999997</v>
      </c>
      <c r="AJ175" s="163">
        <f>VLOOKUP(IMSS[[#This Row],[LIM INF]],$AG$110:$AJ$120,3)</f>
        <v>321.26</v>
      </c>
      <c r="AK175" s="163">
        <f>SUM(IMSS[[#This Row],[TASA EXC]]+IMSS[[#This Row],[CUOTA FIJA]])</f>
        <v>590.98281599999996</v>
      </c>
      <c r="AL175" s="163">
        <f>VLOOKUP(IMSS[[#This Row],[SUE MENS]],$AL$110:$AN$120,3,1)</f>
        <v>0</v>
      </c>
      <c r="AM175" s="248">
        <f>IF(IMSS[[#This Row],[ISR CARGO]]-IMSS[[#This Row],[SUBS ISR]]&gt;0,IMSS[[#This Row],[ISR CARGO]]-IMSS[[#This Row],[SUBS ISR]],0)</f>
        <v>590.98281599999996</v>
      </c>
      <c r="AN175" s="248">
        <f>IF(IMSS[[#This Row],[SUBS ISR]]-IMSS[[#This Row],[ISR CARGO]]&gt;0,IMSS[[#This Row],[SUBS ISR]]-IMSS[[#This Row],[ISR CARGO]],0)</f>
        <v>0</v>
      </c>
    </row>
    <row r="176" spans="3:40" ht="15" hidden="1" customHeight="1" x14ac:dyDescent="0.25">
      <c r="C176" s="243">
        <v>156</v>
      </c>
      <c r="D176" s="167" t="str">
        <f>VLOOKUP(IMSS[[#This Row],[NEM]],BDD[],2,0)</f>
        <v>Juan José Gonzalez Montoya</v>
      </c>
      <c r="E176" s="167" t="str">
        <f>VLOOKUP(IMSS[[#This Row],[NEM]],BDD[],9,0)</f>
        <v>SOLUCIONES</v>
      </c>
      <c r="F176" s="168">
        <v>30</v>
      </c>
      <c r="G176" s="139">
        <f>VLOOKUP(IMSS[[#This Row],[NEM]],BDD[],3,0)</f>
        <v>9450</v>
      </c>
      <c r="H176" s="139">
        <f ca="1">VLOOKUP(IMSS[[#This Row],[NEM]],BDD[],25,0)</f>
        <v>347.79452054794518</v>
      </c>
      <c r="I176" s="143">
        <f>VLOOKUP(IMSS[[#This Row],[DEPT]],$B$3:$G$49,6,0)</f>
        <v>5.4355000000000002E-3</v>
      </c>
      <c r="J176" s="163">
        <f ca="1">IMSS[[#This Row],[DIAS LAB]]*IMSS[[#This Row],[SDI]]*IMSS[[#This Row],[% RSG]]*$Q$108</f>
        <v>56.713113493150679</v>
      </c>
      <c r="K176" s="163">
        <f>IMSS[[#This Row],[DIAS LAB]]*$J$110*$Q$109</f>
        <v>548.47440000000006</v>
      </c>
      <c r="L176" s="166">
        <f ca="1">IMSS[[#This Row],[DIAS LAB]]*IF(IMSS[[#This Row],[SDI]]-$J$113&gt;0,IMSS[[#This Row],[SDI]]-$J$113,0)*$Q$110</f>
        <v>26.048391780821905</v>
      </c>
      <c r="M176" s="166">
        <f ca="1">IMSS[[#This Row],[DIAS LAB]]*IMSS[[#This Row],[SDI]]*$Q$111</f>
        <v>109.55527397260273</v>
      </c>
      <c r="N176" s="163">
        <f ca="1">IMSS[[#This Row],[DIAS LAB]]*IMSS[[#This Row],[SDI]]*$Q$112</f>
        <v>73.03684931506848</v>
      </c>
      <c r="O176" s="166">
        <f ca="1">IMSS[[#This Row],[DIAS LAB]]*IMSS[[#This Row],[SDI]]*$Q$113</f>
        <v>182.59212328767123</v>
      </c>
      <c r="P176" s="163">
        <f ca="1">IMSS[[#This Row],[DIAS LAB]]*IMSS[[#This Row],[SDI]]*$Q$114</f>
        <v>104.33835616438355</v>
      </c>
      <c r="Q176" s="166">
        <f ca="1">IMSS[[#This Row],[DIAS LAB]]*IMSS[[#This Row],[SDI]]*$Q$115</f>
        <v>208.67671232876711</v>
      </c>
      <c r="R176" s="163">
        <f ca="1">IMSS[[#This Row],[DIAS LAB]]*IMSS[[#This Row],[SDI]]*$Q$116</f>
        <v>328.66582191780816</v>
      </c>
      <c r="S176" s="163">
        <f ca="1">IMSS[[#This Row],[DIAS LAB]]*IMSS[[#This Row],[SDI]]*$Q$117</f>
        <v>521.69178082191775</v>
      </c>
      <c r="T176" s="164">
        <f ca="1">SUM(IMSS[[#This Row],[P RSG TRB]:[P INFONAVIT]])</f>
        <v>2159.7928230821917</v>
      </c>
      <c r="U176" s="163">
        <f ca="1">IMSS[[#This Row],[DIAS LAB]]*IMSS[[#This Row],[SDI]]*IMSS[[#This Row],[% RSG]]*$R$108</f>
        <v>0</v>
      </c>
      <c r="V176" s="163">
        <f ca="1">IMSS[[#This Row],[DIAS LAB]]*IMSS[[#This Row],[SDI]]*$R$112</f>
        <v>26.084589041095889</v>
      </c>
      <c r="W176" s="163"/>
      <c r="X176" s="163">
        <f ca="1">IMSS[[#This Row],[DIAS LAB]]*IMSS[[#This Row],[SDI]]*$R$113</f>
        <v>65.733164383561643</v>
      </c>
      <c r="Y176" s="163">
        <f ca="1">IMSS[[#This Row],[DIAS LAB]]*IMSS[[#This Row],[SDI]]*$R$114</f>
        <v>0</v>
      </c>
      <c r="Z176" s="163">
        <f ca="1">IMSS[[#This Row],[DIAS LAB]]*IMSS[[#This Row],[SDI]]*$R$115</f>
        <v>0</v>
      </c>
      <c r="AA176" s="163">
        <f ca="1">IMSS[[#This Row],[DIAS LAB]]*IMSS[[#This Row],[SDI]]*$R$116</f>
        <v>117.90234246575341</v>
      </c>
      <c r="AB176" s="163">
        <f ca="1">IMSS[[#This Row],[DIAS LAB]]*IMSS[[#This Row],[SDI]]*$R$117</f>
        <v>0</v>
      </c>
      <c r="AC176" s="247">
        <f ca="1">SUM(IMSS[[#This Row],[O RSG TRB]:[O INFONAVIT]])</f>
        <v>209.72009589041093</v>
      </c>
      <c r="AD176" s="163"/>
      <c r="AE176" s="165">
        <f ca="1">IMSS[[#This Row],[P TOTAL]]+IMSS[[#This Row],[O TOTAL]]</f>
        <v>2369.5129189726026</v>
      </c>
      <c r="AF176" s="163"/>
      <c r="AG176" s="163">
        <f>VLOOKUP(IMSS[[#This Row],[SUE MENS]],$AG$110:$AJ$120,1,1)</f>
        <v>5470.93</v>
      </c>
      <c r="AH176" s="163">
        <f>IMSS[[#This Row],[SUE MENS]]-IMSS[[#This Row],[LIM INF]]</f>
        <v>3979.0699999999997</v>
      </c>
      <c r="AI176" s="163">
        <f>IMSS[[#This Row],[EXC LIM INF]]*(VLOOKUP(IMSS[[#This Row],[LIM INF]],$AG$110:$AJ$120,4,0))</f>
        <v>432.92281600000001</v>
      </c>
      <c r="AJ176" s="163">
        <f>VLOOKUP(IMSS[[#This Row],[LIM INF]],$AG$110:$AJ$120,3)</f>
        <v>321.26</v>
      </c>
      <c r="AK176" s="163">
        <f>SUM(IMSS[[#This Row],[TASA EXC]]+IMSS[[#This Row],[CUOTA FIJA]])</f>
        <v>754.182816</v>
      </c>
      <c r="AL176" s="163">
        <f>VLOOKUP(IMSS[[#This Row],[SUE MENS]],$AL$110:$AN$120,3,1)</f>
        <v>0</v>
      </c>
      <c r="AM176" s="248">
        <f>IF(IMSS[[#This Row],[ISR CARGO]]-IMSS[[#This Row],[SUBS ISR]]&gt;0,IMSS[[#This Row],[ISR CARGO]]-IMSS[[#This Row],[SUBS ISR]],0)</f>
        <v>754.182816</v>
      </c>
      <c r="AN176" s="248">
        <f>IF(IMSS[[#This Row],[SUBS ISR]]-IMSS[[#This Row],[ISR CARGO]]&gt;0,IMSS[[#This Row],[SUBS ISR]]-IMSS[[#This Row],[ISR CARGO]],0)</f>
        <v>0</v>
      </c>
    </row>
    <row r="177" spans="3:40" ht="15" hidden="1" customHeight="1" x14ac:dyDescent="0.25">
      <c r="C177" s="243">
        <v>158</v>
      </c>
      <c r="D177" s="167" t="str">
        <f>VLOOKUP(IMSS[[#This Row],[NEM]],BDD[],2,0)</f>
        <v>Marco Antonio Guzmán Loera</v>
      </c>
      <c r="E177" s="167" t="str">
        <f>VLOOKUP(IMSS[[#This Row],[NEM]],BDD[],9,0)</f>
        <v>SOLUCIONES</v>
      </c>
      <c r="F177" s="168">
        <v>30</v>
      </c>
      <c r="G177" s="139">
        <f>VLOOKUP(IMSS[[#This Row],[NEM]],BDD[],3,0)</f>
        <v>10860</v>
      </c>
      <c r="H177" s="139">
        <f ca="1">VLOOKUP(IMSS[[#This Row],[NEM]],BDD[],25,0)</f>
        <v>401.67123287671234</v>
      </c>
      <c r="I177" s="143">
        <f>VLOOKUP(IMSS[[#This Row],[DEPT]],$B$3:$G$49,6,0)</f>
        <v>5.4355000000000002E-3</v>
      </c>
      <c r="J177" s="163">
        <f ca="1">IMSS[[#This Row],[DIAS LAB]]*IMSS[[#This Row],[SDI]]*IMSS[[#This Row],[% RSG]]*$Q$108</f>
        <v>65.498519589041095</v>
      </c>
      <c r="K177" s="163">
        <f>IMSS[[#This Row],[DIAS LAB]]*$J$110*$Q$109</f>
        <v>548.47440000000006</v>
      </c>
      <c r="L177" s="166">
        <f ca="1">IMSS[[#This Row],[DIAS LAB]]*IF(IMSS[[#This Row],[SDI]]-$J$113&gt;0,IMSS[[#This Row],[SDI]]-$J$113,0)*$Q$110</f>
        <v>43.827706849315064</v>
      </c>
      <c r="M177" s="166">
        <f ca="1">IMSS[[#This Row],[DIAS LAB]]*IMSS[[#This Row],[SDI]]*$Q$111</f>
        <v>126.52643835616439</v>
      </c>
      <c r="N177" s="163">
        <f ca="1">IMSS[[#This Row],[DIAS LAB]]*IMSS[[#This Row],[SDI]]*$Q$112</f>
        <v>84.350958904109589</v>
      </c>
      <c r="O177" s="166">
        <f ca="1">IMSS[[#This Row],[DIAS LAB]]*IMSS[[#This Row],[SDI]]*$Q$113</f>
        <v>210.87739726027399</v>
      </c>
      <c r="P177" s="163">
        <f ca="1">IMSS[[#This Row],[DIAS LAB]]*IMSS[[#This Row],[SDI]]*$Q$114</f>
        <v>120.50136986301369</v>
      </c>
      <c r="Q177" s="166">
        <f ca="1">IMSS[[#This Row],[DIAS LAB]]*IMSS[[#This Row],[SDI]]*$Q$115</f>
        <v>241.00273972602739</v>
      </c>
      <c r="R177" s="163">
        <f ca="1">IMSS[[#This Row],[DIAS LAB]]*IMSS[[#This Row],[SDI]]*$Q$116</f>
        <v>379.57931506849314</v>
      </c>
      <c r="S177" s="163">
        <f ca="1">IMSS[[#This Row],[DIAS LAB]]*IMSS[[#This Row],[SDI]]*$Q$117</f>
        <v>602.50684931506851</v>
      </c>
      <c r="T177" s="164">
        <f ca="1">SUM(IMSS[[#This Row],[P RSG TRB]:[P INFONAVIT]])</f>
        <v>2423.1456949315066</v>
      </c>
      <c r="U177" s="163">
        <f ca="1">IMSS[[#This Row],[DIAS LAB]]*IMSS[[#This Row],[SDI]]*IMSS[[#This Row],[% RSG]]*$R$108</f>
        <v>0</v>
      </c>
      <c r="V177" s="163">
        <f ca="1">IMSS[[#This Row],[DIAS LAB]]*IMSS[[#This Row],[SDI]]*$R$112</f>
        <v>30.125342465753423</v>
      </c>
      <c r="W177" s="163"/>
      <c r="X177" s="163">
        <f ca="1">IMSS[[#This Row],[DIAS LAB]]*IMSS[[#This Row],[SDI]]*$R$113</f>
        <v>75.915863013698626</v>
      </c>
      <c r="Y177" s="163">
        <f ca="1">IMSS[[#This Row],[DIAS LAB]]*IMSS[[#This Row],[SDI]]*$R$114</f>
        <v>0</v>
      </c>
      <c r="Z177" s="163">
        <f ca="1">IMSS[[#This Row],[DIAS LAB]]*IMSS[[#This Row],[SDI]]*$R$115</f>
        <v>0</v>
      </c>
      <c r="AA177" s="163">
        <f ca="1">IMSS[[#This Row],[DIAS LAB]]*IMSS[[#This Row],[SDI]]*$R$116</f>
        <v>136.16654794520548</v>
      </c>
      <c r="AB177" s="163">
        <f ca="1">IMSS[[#This Row],[DIAS LAB]]*IMSS[[#This Row],[SDI]]*$R$117</f>
        <v>0</v>
      </c>
      <c r="AC177" s="247">
        <f ca="1">SUM(IMSS[[#This Row],[O RSG TRB]:[O INFONAVIT]])</f>
        <v>242.20775342465754</v>
      </c>
      <c r="AD177" s="163"/>
      <c r="AE177" s="165">
        <f ca="1">IMSS[[#This Row],[P TOTAL]]+IMSS[[#This Row],[O TOTAL]]</f>
        <v>2665.3534483561643</v>
      </c>
      <c r="AF177" s="163"/>
      <c r="AG177" s="163">
        <f>VLOOKUP(IMSS[[#This Row],[SUE MENS]],$AG$110:$AJ$120,1,1)</f>
        <v>9614.67</v>
      </c>
      <c r="AH177" s="163">
        <f>IMSS[[#This Row],[SUE MENS]]-IMSS[[#This Row],[LIM INF]]</f>
        <v>1245.33</v>
      </c>
      <c r="AI177" s="163">
        <f>IMSS[[#This Row],[EXC LIM INF]]*(VLOOKUP(IMSS[[#This Row],[LIM INF]],$AG$110:$AJ$120,4,0))</f>
        <v>199.25279999999998</v>
      </c>
      <c r="AJ177" s="163">
        <f>VLOOKUP(IMSS[[#This Row],[LIM INF]],$AG$110:$AJ$120,3)</f>
        <v>772.1</v>
      </c>
      <c r="AK177" s="163">
        <f>SUM(IMSS[[#This Row],[TASA EXC]]+IMSS[[#This Row],[CUOTA FIJA]])</f>
        <v>971.3528</v>
      </c>
      <c r="AL177" s="163">
        <f>VLOOKUP(IMSS[[#This Row],[SUE MENS]],$AL$110:$AN$120,3,1)</f>
        <v>0</v>
      </c>
      <c r="AM177" s="248">
        <f>IF(IMSS[[#This Row],[ISR CARGO]]-IMSS[[#This Row],[SUBS ISR]]&gt;0,IMSS[[#This Row],[ISR CARGO]]-IMSS[[#This Row],[SUBS ISR]],0)</f>
        <v>971.3528</v>
      </c>
      <c r="AN177" s="248">
        <f>IF(IMSS[[#This Row],[SUBS ISR]]-IMSS[[#This Row],[ISR CARGO]]&gt;0,IMSS[[#This Row],[SUBS ISR]]-IMSS[[#This Row],[ISR CARGO]],0)</f>
        <v>0</v>
      </c>
    </row>
    <row r="178" spans="3:40" ht="15" hidden="1" customHeight="1" x14ac:dyDescent="0.25">
      <c r="C178" s="243">
        <v>159</v>
      </c>
      <c r="D178" s="167" t="str">
        <f>VLOOKUP(IMSS[[#This Row],[NEM]],BDD[],2,0)</f>
        <v>José Mario Sandoval Raudales</v>
      </c>
      <c r="E178" s="167" t="str">
        <f>VLOOKUP(IMSS[[#This Row],[NEM]],BDD[],9,0)</f>
        <v>FACTURAS</v>
      </c>
      <c r="F178" s="168">
        <v>30</v>
      </c>
      <c r="G178" s="139">
        <f>VLOOKUP(IMSS[[#This Row],[NEM]],BDD[],3,0)</f>
        <v>7445</v>
      </c>
      <c r="H178" s="139">
        <f ca="1">VLOOKUP(IMSS[[#This Row],[NEM]],BDD[],25,0)</f>
        <v>271.96347031963467</v>
      </c>
      <c r="I178" s="143">
        <f>VLOOKUP(IMSS[[#This Row],[DEPT]],$B$3:$G$49,6,0)</f>
        <v>5.4355000000000002E-3</v>
      </c>
      <c r="J178" s="163">
        <f ca="1">IMSS[[#This Row],[DIAS LAB]]*IMSS[[#This Row],[SDI]]*IMSS[[#This Row],[% RSG]]*$Q$108</f>
        <v>44.347723287671229</v>
      </c>
      <c r="K178" s="163">
        <f>IMSS[[#This Row],[DIAS LAB]]*$J$110*$Q$109</f>
        <v>548.47440000000006</v>
      </c>
      <c r="L178" s="166">
        <f ca="1">IMSS[[#This Row],[DIAS LAB]]*IF(IMSS[[#This Row],[SDI]]-$J$113&gt;0,IMSS[[#This Row],[SDI]]-$J$113,0)*$Q$110</f>
        <v>1.0241452054794353</v>
      </c>
      <c r="M178" s="166">
        <f ca="1">IMSS[[#This Row],[DIAS LAB]]*IMSS[[#This Row],[SDI]]*$Q$111</f>
        <v>85.668493150684924</v>
      </c>
      <c r="N178" s="163">
        <f ca="1">IMSS[[#This Row],[DIAS LAB]]*IMSS[[#This Row],[SDI]]*$Q$112</f>
        <v>57.11232876712328</v>
      </c>
      <c r="O178" s="166">
        <f ca="1">IMSS[[#This Row],[DIAS LAB]]*IMSS[[#This Row],[SDI]]*$Q$113</f>
        <v>142.7808219178082</v>
      </c>
      <c r="P178" s="163">
        <f ca="1">IMSS[[#This Row],[DIAS LAB]]*IMSS[[#This Row],[SDI]]*$Q$114</f>
        <v>81.589041095890394</v>
      </c>
      <c r="Q178" s="166">
        <f ca="1">IMSS[[#This Row],[DIAS LAB]]*IMSS[[#This Row],[SDI]]*$Q$115</f>
        <v>163.17808219178079</v>
      </c>
      <c r="R178" s="163">
        <f ca="1">IMSS[[#This Row],[DIAS LAB]]*IMSS[[#This Row],[SDI]]*$Q$116</f>
        <v>257.00547945205477</v>
      </c>
      <c r="S178" s="163">
        <f ca="1">IMSS[[#This Row],[DIAS LAB]]*IMSS[[#This Row],[SDI]]*$Q$117</f>
        <v>407.945205479452</v>
      </c>
      <c r="T178" s="164">
        <f ca="1">SUM(IMSS[[#This Row],[P RSG TRB]:[P INFONAVIT]])</f>
        <v>1789.1257205479449</v>
      </c>
      <c r="U178" s="163">
        <f ca="1">IMSS[[#This Row],[DIAS LAB]]*IMSS[[#This Row],[SDI]]*IMSS[[#This Row],[% RSG]]*$R$108</f>
        <v>0</v>
      </c>
      <c r="V178" s="163">
        <f ca="1">IMSS[[#This Row],[DIAS LAB]]*IMSS[[#This Row],[SDI]]*$R$112</f>
        <v>20.397260273972599</v>
      </c>
      <c r="W178" s="163"/>
      <c r="X178" s="163">
        <f ca="1">IMSS[[#This Row],[DIAS LAB]]*IMSS[[#This Row],[SDI]]*$R$113</f>
        <v>51.40109589041095</v>
      </c>
      <c r="Y178" s="163">
        <f ca="1">IMSS[[#This Row],[DIAS LAB]]*IMSS[[#This Row],[SDI]]*$R$114</f>
        <v>0</v>
      </c>
      <c r="Z178" s="163">
        <f ca="1">IMSS[[#This Row],[DIAS LAB]]*IMSS[[#This Row],[SDI]]*$R$115</f>
        <v>0</v>
      </c>
      <c r="AA178" s="163">
        <f ca="1">IMSS[[#This Row],[DIAS LAB]]*IMSS[[#This Row],[SDI]]*$R$116</f>
        <v>92.19561643835614</v>
      </c>
      <c r="AB178" s="163">
        <f ca="1">IMSS[[#This Row],[DIAS LAB]]*IMSS[[#This Row],[SDI]]*$R$117</f>
        <v>0</v>
      </c>
      <c r="AC178" s="247">
        <f ca="1">SUM(IMSS[[#This Row],[O RSG TRB]:[O INFONAVIT]])</f>
        <v>163.99397260273969</v>
      </c>
      <c r="AD178" s="163"/>
      <c r="AE178" s="165">
        <f ca="1">IMSS[[#This Row],[P TOTAL]]+IMSS[[#This Row],[O TOTAL]]</f>
        <v>1953.1196931506845</v>
      </c>
      <c r="AF178" s="163"/>
      <c r="AG178" s="163">
        <f>VLOOKUP(IMSS[[#This Row],[SUE MENS]],$AG$110:$AJ$120,1,1)</f>
        <v>5470.93</v>
      </c>
      <c r="AH178" s="163">
        <f>IMSS[[#This Row],[SUE MENS]]-IMSS[[#This Row],[LIM INF]]</f>
        <v>1974.0699999999997</v>
      </c>
      <c r="AI178" s="163">
        <f>IMSS[[#This Row],[EXC LIM INF]]*(VLOOKUP(IMSS[[#This Row],[LIM INF]],$AG$110:$AJ$120,4,0))</f>
        <v>214.77881599999998</v>
      </c>
      <c r="AJ178" s="163">
        <f>VLOOKUP(IMSS[[#This Row],[LIM INF]],$AG$110:$AJ$120,3)</f>
        <v>321.26</v>
      </c>
      <c r="AK178" s="163">
        <f>SUM(IMSS[[#This Row],[TASA EXC]]+IMSS[[#This Row],[CUOTA FIJA]])</f>
        <v>536.038816</v>
      </c>
      <c r="AL178" s="163">
        <f>VLOOKUP(IMSS[[#This Row],[SUE MENS]],$AL$110:$AN$120,3,1)</f>
        <v>0</v>
      </c>
      <c r="AM178" s="248">
        <f>IF(IMSS[[#This Row],[ISR CARGO]]-IMSS[[#This Row],[SUBS ISR]]&gt;0,IMSS[[#This Row],[ISR CARGO]]-IMSS[[#This Row],[SUBS ISR]],0)</f>
        <v>536.038816</v>
      </c>
      <c r="AN178" s="248">
        <f>IF(IMSS[[#This Row],[SUBS ISR]]-IMSS[[#This Row],[ISR CARGO]]&gt;0,IMSS[[#This Row],[SUBS ISR]]-IMSS[[#This Row],[ISR CARGO]],0)</f>
        <v>0</v>
      </c>
    </row>
    <row r="179" spans="3:40" ht="15" hidden="1" customHeight="1" x14ac:dyDescent="0.25">
      <c r="C179" s="243">
        <v>161</v>
      </c>
      <c r="D179" s="167" t="str">
        <f>VLOOKUP(IMSS[[#This Row],[NEM]],BDD[],2,0)</f>
        <v>Jessica Jaredy De Leon Carmona</v>
      </c>
      <c r="E179" s="167" t="str">
        <f>VLOOKUP(IMSS[[#This Row],[NEM]],BDD[],9,0)</f>
        <v>RENDER</v>
      </c>
      <c r="F179" s="168">
        <v>30</v>
      </c>
      <c r="G179" s="139">
        <f>VLOOKUP(IMSS[[#This Row],[NEM]],BDD[],3,0)</f>
        <v>7445</v>
      </c>
      <c r="H179" s="139">
        <f ca="1">VLOOKUP(IMSS[[#This Row],[NEM]],BDD[],25,0)</f>
        <v>273.32328767123283</v>
      </c>
      <c r="I179" s="143">
        <f>VLOOKUP(IMSS[[#This Row],[DEPT]],$B$3:$G$49,6,0)</f>
        <v>2.5984400000000001E-2</v>
      </c>
      <c r="J179" s="163">
        <f ca="1">IMSS[[#This Row],[DIAS LAB]]*IMSS[[#This Row],[SDI]]*IMSS[[#This Row],[% RSG]]*$Q$108</f>
        <v>213.06424908493148</v>
      </c>
      <c r="K179" s="163">
        <f>IMSS[[#This Row],[DIAS LAB]]*$J$110*$Q$109</f>
        <v>548.47440000000006</v>
      </c>
      <c r="L179" s="166">
        <f ca="1">IMSS[[#This Row],[DIAS LAB]]*IF(IMSS[[#This Row],[SDI]]-$J$113&gt;0,IMSS[[#This Row],[SDI]]-$J$113,0)*$Q$110</f>
        <v>1.4728849315068304</v>
      </c>
      <c r="M179" s="166">
        <f ca="1">IMSS[[#This Row],[DIAS LAB]]*IMSS[[#This Row],[SDI]]*$Q$111</f>
        <v>86.096835616438355</v>
      </c>
      <c r="N179" s="163">
        <f ca="1">IMSS[[#This Row],[DIAS LAB]]*IMSS[[#This Row],[SDI]]*$Q$112</f>
        <v>57.397890410958901</v>
      </c>
      <c r="O179" s="166">
        <f ca="1">IMSS[[#This Row],[DIAS LAB]]*IMSS[[#This Row],[SDI]]*$Q$113</f>
        <v>143.49472602739726</v>
      </c>
      <c r="P179" s="163">
        <f ca="1">IMSS[[#This Row],[DIAS LAB]]*IMSS[[#This Row],[SDI]]*$Q$114</f>
        <v>81.996986301369859</v>
      </c>
      <c r="Q179" s="166">
        <f ca="1">IMSS[[#This Row],[DIAS LAB]]*IMSS[[#This Row],[SDI]]*$Q$115</f>
        <v>163.99397260273972</v>
      </c>
      <c r="R179" s="163">
        <f ca="1">IMSS[[#This Row],[DIAS LAB]]*IMSS[[#This Row],[SDI]]*$Q$116</f>
        <v>258.29050684931502</v>
      </c>
      <c r="S179" s="163">
        <f ca="1">IMSS[[#This Row],[DIAS LAB]]*IMSS[[#This Row],[SDI]]*$Q$117</f>
        <v>409.98493150684931</v>
      </c>
      <c r="T179" s="164">
        <f ca="1">SUM(IMSS[[#This Row],[P RSG TRB]:[P INFONAVIT]])</f>
        <v>1964.2673833315068</v>
      </c>
      <c r="U179" s="163">
        <f ca="1">IMSS[[#This Row],[DIAS LAB]]*IMSS[[#This Row],[SDI]]*IMSS[[#This Row],[% RSG]]*$R$108</f>
        <v>0</v>
      </c>
      <c r="V179" s="163">
        <f ca="1">IMSS[[#This Row],[DIAS LAB]]*IMSS[[#This Row],[SDI]]*$R$112</f>
        <v>20.499246575342465</v>
      </c>
      <c r="W179" s="163"/>
      <c r="X179" s="163">
        <f ca="1">IMSS[[#This Row],[DIAS LAB]]*IMSS[[#This Row],[SDI]]*$R$113</f>
        <v>51.658101369863004</v>
      </c>
      <c r="Y179" s="163">
        <f ca="1">IMSS[[#This Row],[DIAS LAB]]*IMSS[[#This Row],[SDI]]*$R$114</f>
        <v>0</v>
      </c>
      <c r="Z179" s="163">
        <f ca="1">IMSS[[#This Row],[DIAS LAB]]*IMSS[[#This Row],[SDI]]*$R$115</f>
        <v>0</v>
      </c>
      <c r="AA179" s="163">
        <f ca="1">IMSS[[#This Row],[DIAS LAB]]*IMSS[[#This Row],[SDI]]*$R$116</f>
        <v>92.656594520547927</v>
      </c>
      <c r="AB179" s="163">
        <f ca="1">IMSS[[#This Row],[DIAS LAB]]*IMSS[[#This Row],[SDI]]*$R$117</f>
        <v>0</v>
      </c>
      <c r="AC179" s="247">
        <f ca="1">SUM(IMSS[[#This Row],[O RSG TRB]:[O INFONAVIT]])</f>
        <v>164.8139424657534</v>
      </c>
      <c r="AD179" s="163"/>
      <c r="AE179" s="165">
        <f ca="1">IMSS[[#This Row],[P TOTAL]]+IMSS[[#This Row],[O TOTAL]]</f>
        <v>2129.0813257972604</v>
      </c>
      <c r="AF179" s="163"/>
      <c r="AG179" s="163">
        <f>VLOOKUP(IMSS[[#This Row],[SUE MENS]],$AG$110:$AJ$120,1,1)</f>
        <v>5470.93</v>
      </c>
      <c r="AH179" s="163">
        <f>IMSS[[#This Row],[SUE MENS]]-IMSS[[#This Row],[LIM INF]]</f>
        <v>1974.0699999999997</v>
      </c>
      <c r="AI179" s="163">
        <f>IMSS[[#This Row],[EXC LIM INF]]*(VLOOKUP(IMSS[[#This Row],[LIM INF]],$AG$110:$AJ$120,4,0))</f>
        <v>214.77881599999998</v>
      </c>
      <c r="AJ179" s="163">
        <f>VLOOKUP(IMSS[[#This Row],[LIM INF]],$AG$110:$AJ$120,3)</f>
        <v>321.26</v>
      </c>
      <c r="AK179" s="163">
        <f>SUM(IMSS[[#This Row],[TASA EXC]]+IMSS[[#This Row],[CUOTA FIJA]])</f>
        <v>536.038816</v>
      </c>
      <c r="AL179" s="163">
        <f>VLOOKUP(IMSS[[#This Row],[SUE MENS]],$AL$110:$AN$120,3,1)</f>
        <v>0</v>
      </c>
      <c r="AM179" s="248">
        <f>IF(IMSS[[#This Row],[ISR CARGO]]-IMSS[[#This Row],[SUBS ISR]]&gt;0,IMSS[[#This Row],[ISR CARGO]]-IMSS[[#This Row],[SUBS ISR]],0)</f>
        <v>536.038816</v>
      </c>
      <c r="AN179" s="248">
        <f>IF(IMSS[[#This Row],[SUBS ISR]]-IMSS[[#This Row],[ISR CARGO]]&gt;0,IMSS[[#This Row],[SUBS ISR]]-IMSS[[#This Row],[ISR CARGO]],0)</f>
        <v>0</v>
      </c>
    </row>
    <row r="180" spans="3:40" ht="15" hidden="1" customHeight="1" x14ac:dyDescent="0.25">
      <c r="C180" s="243">
        <v>162</v>
      </c>
      <c r="D180" s="167" t="str">
        <f>VLOOKUP(IMSS[[#This Row],[NEM]],BDD[],2,0)</f>
        <v>Gustavo Alexis Garduño Lucio</v>
      </c>
      <c r="E180" s="167" t="str">
        <f>VLOOKUP(IMSS[[#This Row],[NEM]],BDD[],9,0)</f>
        <v>AUDIT PROY</v>
      </c>
      <c r="F180" s="168">
        <v>30</v>
      </c>
      <c r="G180" s="139">
        <f>VLOOKUP(IMSS[[#This Row],[NEM]],BDD[],3,0)</f>
        <v>7445</v>
      </c>
      <c r="H180" s="139">
        <f ca="1">VLOOKUP(IMSS[[#This Row],[NEM]],BDD[],25,0)</f>
        <v>274.00319634703197</v>
      </c>
      <c r="I180" s="143">
        <f>VLOOKUP(IMSS[[#This Row],[DEPT]],$B$3:$G$49,6,0)</f>
        <v>1.130658E-2</v>
      </c>
      <c r="J180" s="163">
        <f ca="1">IMSS[[#This Row],[DIAS LAB]]*IMSS[[#This Row],[SDI]]*IMSS[[#This Row],[% RSG]]*$Q$108</f>
        <v>92.941171792602745</v>
      </c>
      <c r="K180" s="163">
        <f>IMSS[[#This Row],[DIAS LAB]]*$J$110*$Q$109</f>
        <v>548.47440000000006</v>
      </c>
      <c r="L180" s="166">
        <f ca="1">IMSS[[#This Row],[DIAS LAB]]*IF(IMSS[[#This Row],[SDI]]-$J$113&gt;0,IMSS[[#This Row],[SDI]]-$J$113,0)*$Q$110</f>
        <v>1.6972547945205467</v>
      </c>
      <c r="M180" s="166">
        <f ca="1">IMSS[[#This Row],[DIAS LAB]]*IMSS[[#This Row],[SDI]]*$Q$111</f>
        <v>86.311006849315078</v>
      </c>
      <c r="N180" s="163">
        <f ca="1">IMSS[[#This Row],[DIAS LAB]]*IMSS[[#This Row],[SDI]]*$Q$112</f>
        <v>57.540671232876718</v>
      </c>
      <c r="O180" s="166">
        <f ca="1">IMSS[[#This Row],[DIAS LAB]]*IMSS[[#This Row],[SDI]]*$Q$113</f>
        <v>143.8516780821918</v>
      </c>
      <c r="P180" s="163">
        <f ca="1">IMSS[[#This Row],[DIAS LAB]]*IMSS[[#This Row],[SDI]]*$Q$114</f>
        <v>82.200958904109598</v>
      </c>
      <c r="Q180" s="166">
        <f ca="1">IMSS[[#This Row],[DIAS LAB]]*IMSS[[#This Row],[SDI]]*$Q$115</f>
        <v>164.4019178082192</v>
      </c>
      <c r="R180" s="163">
        <f ca="1">IMSS[[#This Row],[DIAS LAB]]*IMSS[[#This Row],[SDI]]*$Q$116</f>
        <v>258.9330205479452</v>
      </c>
      <c r="S180" s="163">
        <f ca="1">IMSS[[#This Row],[DIAS LAB]]*IMSS[[#This Row],[SDI]]*$Q$117</f>
        <v>411.00479452054799</v>
      </c>
      <c r="T180" s="164">
        <f ca="1">SUM(IMSS[[#This Row],[P RSG TRB]:[P INFONAVIT]])</f>
        <v>1847.3568745323291</v>
      </c>
      <c r="U180" s="163">
        <f ca="1">IMSS[[#This Row],[DIAS LAB]]*IMSS[[#This Row],[SDI]]*IMSS[[#This Row],[% RSG]]*$R$108</f>
        <v>0</v>
      </c>
      <c r="V180" s="163">
        <f ca="1">IMSS[[#This Row],[DIAS LAB]]*IMSS[[#This Row],[SDI]]*$R$112</f>
        <v>20.550239726027399</v>
      </c>
      <c r="W180" s="163"/>
      <c r="X180" s="163">
        <f ca="1">IMSS[[#This Row],[DIAS LAB]]*IMSS[[#This Row],[SDI]]*$R$113</f>
        <v>51.786604109589042</v>
      </c>
      <c r="Y180" s="163">
        <f ca="1">IMSS[[#This Row],[DIAS LAB]]*IMSS[[#This Row],[SDI]]*$R$114</f>
        <v>0</v>
      </c>
      <c r="Z180" s="163">
        <f ca="1">IMSS[[#This Row],[DIAS LAB]]*IMSS[[#This Row],[SDI]]*$R$115</f>
        <v>0</v>
      </c>
      <c r="AA180" s="163">
        <f ca="1">IMSS[[#This Row],[DIAS LAB]]*IMSS[[#This Row],[SDI]]*$R$116</f>
        <v>92.887083561643834</v>
      </c>
      <c r="AB180" s="163">
        <f ca="1">IMSS[[#This Row],[DIAS LAB]]*IMSS[[#This Row],[SDI]]*$R$117</f>
        <v>0</v>
      </c>
      <c r="AC180" s="247">
        <f ca="1">SUM(IMSS[[#This Row],[O RSG TRB]:[O INFONAVIT]])</f>
        <v>165.22392739726027</v>
      </c>
      <c r="AD180" s="163"/>
      <c r="AE180" s="165">
        <f ca="1">IMSS[[#This Row],[P TOTAL]]+IMSS[[#This Row],[O TOTAL]]</f>
        <v>2012.5808019295894</v>
      </c>
      <c r="AF180" s="163"/>
      <c r="AG180" s="163">
        <f>VLOOKUP(IMSS[[#This Row],[SUE MENS]],$AG$110:$AJ$120,1,1)</f>
        <v>5470.93</v>
      </c>
      <c r="AH180" s="163">
        <f>IMSS[[#This Row],[SUE MENS]]-IMSS[[#This Row],[LIM INF]]</f>
        <v>1974.0699999999997</v>
      </c>
      <c r="AI180" s="163">
        <f>IMSS[[#This Row],[EXC LIM INF]]*(VLOOKUP(IMSS[[#This Row],[LIM INF]],$AG$110:$AJ$120,4,0))</f>
        <v>214.77881599999998</v>
      </c>
      <c r="AJ180" s="163">
        <f>VLOOKUP(IMSS[[#This Row],[LIM INF]],$AG$110:$AJ$120,3)</f>
        <v>321.26</v>
      </c>
      <c r="AK180" s="163">
        <f>SUM(IMSS[[#This Row],[TASA EXC]]+IMSS[[#This Row],[CUOTA FIJA]])</f>
        <v>536.038816</v>
      </c>
      <c r="AL180" s="163">
        <f>VLOOKUP(IMSS[[#This Row],[SUE MENS]],$AL$110:$AN$120,3,1)</f>
        <v>0</v>
      </c>
      <c r="AM180" s="248">
        <f>IF(IMSS[[#This Row],[ISR CARGO]]-IMSS[[#This Row],[SUBS ISR]]&gt;0,IMSS[[#This Row],[ISR CARGO]]-IMSS[[#This Row],[SUBS ISR]],0)</f>
        <v>536.038816</v>
      </c>
      <c r="AN180" s="248">
        <f>IF(IMSS[[#This Row],[SUBS ISR]]-IMSS[[#This Row],[ISR CARGO]]&gt;0,IMSS[[#This Row],[SUBS ISR]]-IMSS[[#This Row],[ISR CARGO]],0)</f>
        <v>0</v>
      </c>
    </row>
    <row r="181" spans="3:40" ht="15" hidden="1" customHeight="1" x14ac:dyDescent="0.25">
      <c r="C181" s="243">
        <v>163</v>
      </c>
      <c r="D181" s="167" t="str">
        <f>VLOOKUP(IMSS[[#This Row],[NEM]],BDD[],2,0)</f>
        <v>Frida Alejandra Caballero Ovalle</v>
      </c>
      <c r="E181" s="167" t="str">
        <f>VLOOKUP(IMSS[[#This Row],[NEM]],BDD[],9,0)</f>
        <v>RELACIONES</v>
      </c>
      <c r="F181" s="168">
        <v>30</v>
      </c>
      <c r="G181" s="139">
        <f>VLOOKUP(IMSS[[#This Row],[NEM]],BDD[],3,0)</f>
        <v>9541</v>
      </c>
      <c r="H181" s="139">
        <f ca="1">VLOOKUP(IMSS[[#This Row],[NEM]],BDD[],25,0)</f>
        <v>351.14365296803658</v>
      </c>
      <c r="I181" s="143">
        <f>VLOOKUP(IMSS[[#This Row],[DEPT]],$B$3:$G$49,6,0)</f>
        <v>5.4355000000000002E-3</v>
      </c>
      <c r="J181" s="163">
        <f ca="1">IMSS[[#This Row],[DIAS LAB]]*IMSS[[#This Row],[SDI]]*IMSS[[#This Row],[% RSG]]*$Q$108</f>
        <v>57.259239771232885</v>
      </c>
      <c r="K181" s="163">
        <f>IMSS[[#This Row],[DIAS LAB]]*$J$110*$Q$109</f>
        <v>548.47440000000006</v>
      </c>
      <c r="L181" s="166">
        <f ca="1">IMSS[[#This Row],[DIAS LAB]]*IF(IMSS[[#This Row],[SDI]]-$J$113&gt;0,IMSS[[#This Row],[SDI]]-$J$113,0)*$Q$110</f>
        <v>27.153605479452061</v>
      </c>
      <c r="M181" s="166">
        <f ca="1">IMSS[[#This Row],[DIAS LAB]]*IMSS[[#This Row],[SDI]]*$Q$111</f>
        <v>110.61025068493153</v>
      </c>
      <c r="N181" s="163">
        <f ca="1">IMSS[[#This Row],[DIAS LAB]]*IMSS[[#This Row],[SDI]]*$Q$112</f>
        <v>73.740167123287677</v>
      </c>
      <c r="O181" s="166">
        <f ca="1">IMSS[[#This Row],[DIAS LAB]]*IMSS[[#This Row],[SDI]]*$Q$113</f>
        <v>184.35041780821922</v>
      </c>
      <c r="P181" s="163">
        <f ca="1">IMSS[[#This Row],[DIAS LAB]]*IMSS[[#This Row],[SDI]]*$Q$114</f>
        <v>105.34309589041096</v>
      </c>
      <c r="Q181" s="166">
        <f ca="1">IMSS[[#This Row],[DIAS LAB]]*IMSS[[#This Row],[SDI]]*$Q$115</f>
        <v>210.68619178082193</v>
      </c>
      <c r="R181" s="163">
        <f ca="1">IMSS[[#This Row],[DIAS LAB]]*IMSS[[#This Row],[SDI]]*$Q$116</f>
        <v>331.83075205479457</v>
      </c>
      <c r="S181" s="163">
        <f ca="1">IMSS[[#This Row],[DIAS LAB]]*IMSS[[#This Row],[SDI]]*$Q$117</f>
        <v>526.71547945205486</v>
      </c>
      <c r="T181" s="164">
        <f ca="1">SUM(IMSS[[#This Row],[P RSG TRB]:[P INFONAVIT]])</f>
        <v>2176.1636000452058</v>
      </c>
      <c r="U181" s="163">
        <f ca="1">IMSS[[#This Row],[DIAS LAB]]*IMSS[[#This Row],[SDI]]*IMSS[[#This Row],[% RSG]]*$R$108</f>
        <v>0</v>
      </c>
      <c r="V181" s="163">
        <f ca="1">IMSS[[#This Row],[DIAS LAB]]*IMSS[[#This Row],[SDI]]*$R$112</f>
        <v>26.335773972602741</v>
      </c>
      <c r="W181" s="163"/>
      <c r="X181" s="163">
        <f ca="1">IMSS[[#This Row],[DIAS LAB]]*IMSS[[#This Row],[SDI]]*$R$113</f>
        <v>66.366150410958909</v>
      </c>
      <c r="Y181" s="163">
        <f ca="1">IMSS[[#This Row],[DIAS LAB]]*IMSS[[#This Row],[SDI]]*$R$114</f>
        <v>0</v>
      </c>
      <c r="Z181" s="163">
        <f ca="1">IMSS[[#This Row],[DIAS LAB]]*IMSS[[#This Row],[SDI]]*$R$115</f>
        <v>0</v>
      </c>
      <c r="AA181" s="163">
        <f ca="1">IMSS[[#This Row],[DIAS LAB]]*IMSS[[#This Row],[SDI]]*$R$116</f>
        <v>119.03769835616438</v>
      </c>
      <c r="AB181" s="163">
        <f ca="1">IMSS[[#This Row],[DIAS LAB]]*IMSS[[#This Row],[SDI]]*$R$117</f>
        <v>0</v>
      </c>
      <c r="AC181" s="247">
        <f ca="1">SUM(IMSS[[#This Row],[O RSG TRB]:[O INFONAVIT]])</f>
        <v>211.73962273972603</v>
      </c>
      <c r="AD181" s="163"/>
      <c r="AE181" s="165">
        <f ca="1">IMSS[[#This Row],[P TOTAL]]+IMSS[[#This Row],[O TOTAL]]</f>
        <v>2387.903222784932</v>
      </c>
      <c r="AF181" s="163"/>
      <c r="AG181" s="163">
        <f>VLOOKUP(IMSS[[#This Row],[SUE MENS]],$AG$110:$AJ$120,1,1)</f>
        <v>5470.93</v>
      </c>
      <c r="AH181" s="163">
        <f>IMSS[[#This Row],[SUE MENS]]-IMSS[[#This Row],[LIM INF]]</f>
        <v>4070.0699999999997</v>
      </c>
      <c r="AI181" s="163">
        <f>IMSS[[#This Row],[EXC LIM INF]]*(VLOOKUP(IMSS[[#This Row],[LIM INF]],$AG$110:$AJ$120,4,0))</f>
        <v>442.82361600000002</v>
      </c>
      <c r="AJ181" s="163">
        <f>VLOOKUP(IMSS[[#This Row],[LIM INF]],$AG$110:$AJ$120,3)</f>
        <v>321.26</v>
      </c>
      <c r="AK181" s="163">
        <f>SUM(IMSS[[#This Row],[TASA EXC]]+IMSS[[#This Row],[CUOTA FIJA]])</f>
        <v>764.08361600000001</v>
      </c>
      <c r="AL181" s="163">
        <f>VLOOKUP(IMSS[[#This Row],[SUE MENS]],$AL$110:$AN$120,3,1)</f>
        <v>0</v>
      </c>
      <c r="AM181" s="248">
        <f>IF(IMSS[[#This Row],[ISR CARGO]]-IMSS[[#This Row],[SUBS ISR]]&gt;0,IMSS[[#This Row],[ISR CARGO]]-IMSS[[#This Row],[SUBS ISR]],0)</f>
        <v>764.08361600000001</v>
      </c>
      <c r="AN181" s="248">
        <f>IF(IMSS[[#This Row],[SUBS ISR]]-IMSS[[#This Row],[ISR CARGO]]&gt;0,IMSS[[#This Row],[SUBS ISR]]-IMSS[[#This Row],[ISR CARGO]],0)</f>
        <v>0</v>
      </c>
    </row>
    <row r="182" spans="3:40" ht="15" hidden="1" customHeight="1" x14ac:dyDescent="0.25">
      <c r="C182" s="243">
        <v>165</v>
      </c>
      <c r="D182" s="167" t="str">
        <f>VLOOKUP(IMSS[[#This Row],[NEM]],BDD[],2,0)</f>
        <v>Eduardo Jair Esquivel Burnes</v>
      </c>
      <c r="E182" s="167" t="str">
        <f>VLOOKUP(IMSS[[#This Row],[NEM]],BDD[],9,0)</f>
        <v>RECLTMTO</v>
      </c>
      <c r="F182" s="168">
        <v>30</v>
      </c>
      <c r="G182" s="139">
        <f>VLOOKUP(IMSS[[#This Row],[NEM]],BDD[],3,0)</f>
        <v>7445</v>
      </c>
      <c r="H182" s="139">
        <f ca="1">VLOOKUP(IMSS[[#This Row],[NEM]],BDD[],25,0)</f>
        <v>271.96347031963467</v>
      </c>
      <c r="I182" s="143">
        <f>VLOOKUP(IMSS[[#This Row],[DEPT]],$B$3:$G$49,6,0)</f>
        <v>5.4355000000000002E-3</v>
      </c>
      <c r="J182" s="163">
        <f ca="1">IMSS[[#This Row],[DIAS LAB]]*IMSS[[#This Row],[SDI]]*IMSS[[#This Row],[% RSG]]*$Q$108</f>
        <v>44.347723287671229</v>
      </c>
      <c r="K182" s="163">
        <f>IMSS[[#This Row],[DIAS LAB]]*$J$110*$Q$109</f>
        <v>548.47440000000006</v>
      </c>
      <c r="L182" s="166">
        <f ca="1">IMSS[[#This Row],[DIAS LAB]]*IF(IMSS[[#This Row],[SDI]]-$J$113&gt;0,IMSS[[#This Row],[SDI]]-$J$113,0)*$Q$110</f>
        <v>1.0241452054794353</v>
      </c>
      <c r="M182" s="166">
        <f ca="1">IMSS[[#This Row],[DIAS LAB]]*IMSS[[#This Row],[SDI]]*$Q$111</f>
        <v>85.668493150684924</v>
      </c>
      <c r="N182" s="163">
        <f ca="1">IMSS[[#This Row],[DIAS LAB]]*IMSS[[#This Row],[SDI]]*$Q$112</f>
        <v>57.11232876712328</v>
      </c>
      <c r="O182" s="166">
        <f ca="1">IMSS[[#This Row],[DIAS LAB]]*IMSS[[#This Row],[SDI]]*$Q$113</f>
        <v>142.7808219178082</v>
      </c>
      <c r="P182" s="163">
        <f ca="1">IMSS[[#This Row],[DIAS LAB]]*IMSS[[#This Row],[SDI]]*$Q$114</f>
        <v>81.589041095890394</v>
      </c>
      <c r="Q182" s="166">
        <f ca="1">IMSS[[#This Row],[DIAS LAB]]*IMSS[[#This Row],[SDI]]*$Q$115</f>
        <v>163.17808219178079</v>
      </c>
      <c r="R182" s="163">
        <f ca="1">IMSS[[#This Row],[DIAS LAB]]*IMSS[[#This Row],[SDI]]*$Q$116</f>
        <v>257.00547945205477</v>
      </c>
      <c r="S182" s="163">
        <f ca="1">IMSS[[#This Row],[DIAS LAB]]*IMSS[[#This Row],[SDI]]*$Q$117</f>
        <v>407.945205479452</v>
      </c>
      <c r="T182" s="164">
        <f ca="1">SUM(IMSS[[#This Row],[P RSG TRB]:[P INFONAVIT]])</f>
        <v>1789.1257205479449</v>
      </c>
      <c r="U182" s="163">
        <f ca="1">IMSS[[#This Row],[DIAS LAB]]*IMSS[[#This Row],[SDI]]*IMSS[[#This Row],[% RSG]]*$R$108</f>
        <v>0</v>
      </c>
      <c r="V182" s="163">
        <f ca="1">IMSS[[#This Row],[DIAS LAB]]*IMSS[[#This Row],[SDI]]*$R$112</f>
        <v>20.397260273972599</v>
      </c>
      <c r="W182" s="163"/>
      <c r="X182" s="163">
        <f ca="1">IMSS[[#This Row],[DIAS LAB]]*IMSS[[#This Row],[SDI]]*$R$113</f>
        <v>51.40109589041095</v>
      </c>
      <c r="Y182" s="163">
        <f ca="1">IMSS[[#This Row],[DIAS LAB]]*IMSS[[#This Row],[SDI]]*$R$114</f>
        <v>0</v>
      </c>
      <c r="Z182" s="163">
        <f ca="1">IMSS[[#This Row],[DIAS LAB]]*IMSS[[#This Row],[SDI]]*$R$115</f>
        <v>0</v>
      </c>
      <c r="AA182" s="163">
        <f ca="1">IMSS[[#This Row],[DIAS LAB]]*IMSS[[#This Row],[SDI]]*$R$116</f>
        <v>92.19561643835614</v>
      </c>
      <c r="AB182" s="163">
        <f ca="1">IMSS[[#This Row],[DIAS LAB]]*IMSS[[#This Row],[SDI]]*$R$117</f>
        <v>0</v>
      </c>
      <c r="AC182" s="247">
        <f ca="1">SUM(IMSS[[#This Row],[O RSG TRB]:[O INFONAVIT]])</f>
        <v>163.99397260273969</v>
      </c>
      <c r="AD182" s="163"/>
      <c r="AE182" s="165">
        <f ca="1">IMSS[[#This Row],[P TOTAL]]+IMSS[[#This Row],[O TOTAL]]</f>
        <v>1953.1196931506845</v>
      </c>
      <c r="AF182" s="163"/>
      <c r="AG182" s="163">
        <f>VLOOKUP(IMSS[[#This Row],[SUE MENS]],$AG$110:$AJ$120,1,1)</f>
        <v>5470.93</v>
      </c>
      <c r="AH182" s="163">
        <f>IMSS[[#This Row],[SUE MENS]]-IMSS[[#This Row],[LIM INF]]</f>
        <v>1974.0699999999997</v>
      </c>
      <c r="AI182" s="163">
        <f>IMSS[[#This Row],[EXC LIM INF]]*(VLOOKUP(IMSS[[#This Row],[LIM INF]],$AG$110:$AJ$120,4,0))</f>
        <v>214.77881599999998</v>
      </c>
      <c r="AJ182" s="163">
        <f>VLOOKUP(IMSS[[#This Row],[LIM INF]],$AG$110:$AJ$120,3)</f>
        <v>321.26</v>
      </c>
      <c r="AK182" s="163">
        <f>SUM(IMSS[[#This Row],[TASA EXC]]+IMSS[[#This Row],[CUOTA FIJA]])</f>
        <v>536.038816</v>
      </c>
      <c r="AL182" s="163">
        <f>VLOOKUP(IMSS[[#This Row],[SUE MENS]],$AL$110:$AN$120,3,1)</f>
        <v>0</v>
      </c>
      <c r="AM182" s="248">
        <f>IF(IMSS[[#This Row],[ISR CARGO]]-IMSS[[#This Row],[SUBS ISR]]&gt;0,IMSS[[#This Row],[ISR CARGO]]-IMSS[[#This Row],[SUBS ISR]],0)</f>
        <v>536.038816</v>
      </c>
      <c r="AN182" s="248">
        <f>IF(IMSS[[#This Row],[SUBS ISR]]-IMSS[[#This Row],[ISR CARGO]]&gt;0,IMSS[[#This Row],[SUBS ISR]]-IMSS[[#This Row],[ISR CARGO]],0)</f>
        <v>0</v>
      </c>
    </row>
    <row r="183" spans="3:40" ht="15" hidden="1" customHeight="1" x14ac:dyDescent="0.25">
      <c r="C183" s="243">
        <v>166</v>
      </c>
      <c r="D183" s="167" t="str">
        <f>VLOOKUP(IMSS[[#This Row],[NEM]],BDD[],2,0)</f>
        <v>David Adrian Puente Martinez</v>
      </c>
      <c r="E183" s="167" t="str">
        <f>VLOOKUP(IMSS[[#This Row],[NEM]],BDD[],9,0)</f>
        <v>ADMINCIÓN</v>
      </c>
      <c r="F183" s="168">
        <v>30</v>
      </c>
      <c r="G183" s="139">
        <f>VLOOKUP(IMSS[[#This Row],[NEM]],BDD[],3,0)</f>
        <v>7445</v>
      </c>
      <c r="H183" s="139">
        <f ca="1">VLOOKUP(IMSS[[#This Row],[NEM]],BDD[],25,0)</f>
        <v>273.32328767123283</v>
      </c>
      <c r="I183" s="143">
        <f>VLOOKUP(IMSS[[#This Row],[DEPT]],$B$3:$G$49,6,0)</f>
        <v>5.4355000000000002E-3</v>
      </c>
      <c r="J183" s="163">
        <f ca="1">IMSS[[#This Row],[DIAS LAB]]*IMSS[[#This Row],[SDI]]*IMSS[[#This Row],[% RSG]]*$Q$108</f>
        <v>44.569461904109588</v>
      </c>
      <c r="K183" s="163">
        <f>IMSS[[#This Row],[DIAS LAB]]*$J$110*$Q$109</f>
        <v>548.47440000000006</v>
      </c>
      <c r="L183" s="166">
        <f ca="1">IMSS[[#This Row],[DIAS LAB]]*IF(IMSS[[#This Row],[SDI]]-$J$113&gt;0,IMSS[[#This Row],[SDI]]-$J$113,0)*$Q$110</f>
        <v>1.4728849315068304</v>
      </c>
      <c r="M183" s="166">
        <f ca="1">IMSS[[#This Row],[DIAS LAB]]*IMSS[[#This Row],[SDI]]*$Q$111</f>
        <v>86.096835616438355</v>
      </c>
      <c r="N183" s="163">
        <f ca="1">IMSS[[#This Row],[DIAS LAB]]*IMSS[[#This Row],[SDI]]*$Q$112</f>
        <v>57.397890410958901</v>
      </c>
      <c r="O183" s="166">
        <f ca="1">IMSS[[#This Row],[DIAS LAB]]*IMSS[[#This Row],[SDI]]*$Q$113</f>
        <v>143.49472602739726</v>
      </c>
      <c r="P183" s="163">
        <f ca="1">IMSS[[#This Row],[DIAS LAB]]*IMSS[[#This Row],[SDI]]*$Q$114</f>
        <v>81.996986301369859</v>
      </c>
      <c r="Q183" s="166">
        <f ca="1">IMSS[[#This Row],[DIAS LAB]]*IMSS[[#This Row],[SDI]]*$Q$115</f>
        <v>163.99397260273972</v>
      </c>
      <c r="R183" s="163">
        <f ca="1">IMSS[[#This Row],[DIAS LAB]]*IMSS[[#This Row],[SDI]]*$Q$116</f>
        <v>258.29050684931502</v>
      </c>
      <c r="S183" s="163">
        <f ca="1">IMSS[[#This Row],[DIAS LAB]]*IMSS[[#This Row],[SDI]]*$Q$117</f>
        <v>409.98493150684931</v>
      </c>
      <c r="T183" s="164">
        <f ca="1">SUM(IMSS[[#This Row],[P RSG TRB]:[P INFONAVIT]])</f>
        <v>1795.7725961506851</v>
      </c>
      <c r="U183" s="163">
        <f ca="1">IMSS[[#This Row],[DIAS LAB]]*IMSS[[#This Row],[SDI]]*IMSS[[#This Row],[% RSG]]*$R$108</f>
        <v>0</v>
      </c>
      <c r="V183" s="163">
        <f ca="1">IMSS[[#This Row],[DIAS LAB]]*IMSS[[#This Row],[SDI]]*$R$112</f>
        <v>20.499246575342465</v>
      </c>
      <c r="W183" s="163"/>
      <c r="X183" s="163">
        <f ca="1">IMSS[[#This Row],[DIAS LAB]]*IMSS[[#This Row],[SDI]]*$R$113</f>
        <v>51.658101369863004</v>
      </c>
      <c r="Y183" s="163">
        <f ca="1">IMSS[[#This Row],[DIAS LAB]]*IMSS[[#This Row],[SDI]]*$R$114</f>
        <v>0</v>
      </c>
      <c r="Z183" s="163">
        <f ca="1">IMSS[[#This Row],[DIAS LAB]]*IMSS[[#This Row],[SDI]]*$R$115</f>
        <v>0</v>
      </c>
      <c r="AA183" s="163">
        <f ca="1">IMSS[[#This Row],[DIAS LAB]]*IMSS[[#This Row],[SDI]]*$R$116</f>
        <v>92.656594520547927</v>
      </c>
      <c r="AB183" s="163">
        <f ca="1">IMSS[[#This Row],[DIAS LAB]]*IMSS[[#This Row],[SDI]]*$R$117</f>
        <v>0</v>
      </c>
      <c r="AC183" s="247">
        <f ca="1">SUM(IMSS[[#This Row],[O RSG TRB]:[O INFONAVIT]])</f>
        <v>164.8139424657534</v>
      </c>
      <c r="AD183" s="163"/>
      <c r="AE183" s="165">
        <f ca="1">IMSS[[#This Row],[P TOTAL]]+IMSS[[#This Row],[O TOTAL]]</f>
        <v>1960.5865386164385</v>
      </c>
      <c r="AF183" s="163"/>
      <c r="AG183" s="163">
        <f>VLOOKUP(IMSS[[#This Row],[SUE MENS]],$AG$110:$AJ$120,1,1)</f>
        <v>5470.93</v>
      </c>
      <c r="AH183" s="163">
        <f>IMSS[[#This Row],[SUE MENS]]-IMSS[[#This Row],[LIM INF]]</f>
        <v>1974.0699999999997</v>
      </c>
      <c r="AI183" s="163">
        <f>IMSS[[#This Row],[EXC LIM INF]]*(VLOOKUP(IMSS[[#This Row],[LIM INF]],$AG$110:$AJ$120,4,0))</f>
        <v>214.77881599999998</v>
      </c>
      <c r="AJ183" s="163">
        <f>VLOOKUP(IMSS[[#This Row],[LIM INF]],$AG$110:$AJ$120,3)</f>
        <v>321.26</v>
      </c>
      <c r="AK183" s="163">
        <f>SUM(IMSS[[#This Row],[TASA EXC]]+IMSS[[#This Row],[CUOTA FIJA]])</f>
        <v>536.038816</v>
      </c>
      <c r="AL183" s="163">
        <f>VLOOKUP(IMSS[[#This Row],[SUE MENS]],$AL$110:$AN$120,3,1)</f>
        <v>0</v>
      </c>
      <c r="AM183" s="248">
        <f>IF(IMSS[[#This Row],[ISR CARGO]]-IMSS[[#This Row],[SUBS ISR]]&gt;0,IMSS[[#This Row],[ISR CARGO]]-IMSS[[#This Row],[SUBS ISR]],0)</f>
        <v>536.038816</v>
      </c>
      <c r="AN183" s="248">
        <f>IF(IMSS[[#This Row],[SUBS ISR]]-IMSS[[#This Row],[ISR CARGO]]&gt;0,IMSS[[#This Row],[SUBS ISR]]-IMSS[[#This Row],[ISR CARGO]],0)</f>
        <v>0</v>
      </c>
    </row>
    <row r="184" spans="3:40" ht="15" hidden="1" customHeight="1" x14ac:dyDescent="0.25">
      <c r="C184" s="243">
        <v>167</v>
      </c>
      <c r="D184" s="167" t="str">
        <f>VLOOKUP(IMSS[[#This Row],[NEM]],BDD[],2,0)</f>
        <v>Dariana Arjona Herrera</v>
      </c>
      <c r="E184" s="167" t="str">
        <f>VLOOKUP(IMSS[[#This Row],[NEM]],BDD[],9,0)</f>
        <v>ESTRUCTURA</v>
      </c>
      <c r="F184" s="168">
        <v>30</v>
      </c>
      <c r="G184" s="139">
        <f>VLOOKUP(IMSS[[#This Row],[NEM]],BDD[],3,0)</f>
        <v>9450</v>
      </c>
      <c r="H184" s="139">
        <f ca="1">VLOOKUP(IMSS[[#This Row],[NEM]],BDD[],25,0)</f>
        <v>347.79452054794518</v>
      </c>
      <c r="I184" s="143">
        <f>VLOOKUP(IMSS[[#This Row],[DEPT]],$B$3:$G$49,6,0)</f>
        <v>2.5984400000000001E-2</v>
      </c>
      <c r="J184" s="163">
        <f ca="1">IMSS[[#This Row],[DIAS LAB]]*IMSS[[#This Row],[SDI]]*IMSS[[#This Row],[% RSG]]*$Q$108</f>
        <v>271.11695819178078</v>
      </c>
      <c r="K184" s="163">
        <f>IMSS[[#This Row],[DIAS LAB]]*$J$110*$Q$109</f>
        <v>548.47440000000006</v>
      </c>
      <c r="L184" s="166">
        <f ca="1">IMSS[[#This Row],[DIAS LAB]]*IF(IMSS[[#This Row],[SDI]]-$J$113&gt;0,IMSS[[#This Row],[SDI]]-$J$113,0)*$Q$110</f>
        <v>26.048391780821905</v>
      </c>
      <c r="M184" s="166">
        <f ca="1">IMSS[[#This Row],[DIAS LAB]]*IMSS[[#This Row],[SDI]]*$Q$111</f>
        <v>109.55527397260273</v>
      </c>
      <c r="N184" s="163">
        <f ca="1">IMSS[[#This Row],[DIAS LAB]]*IMSS[[#This Row],[SDI]]*$Q$112</f>
        <v>73.03684931506848</v>
      </c>
      <c r="O184" s="166">
        <f ca="1">IMSS[[#This Row],[DIAS LAB]]*IMSS[[#This Row],[SDI]]*$Q$113</f>
        <v>182.59212328767123</v>
      </c>
      <c r="P184" s="163">
        <f ca="1">IMSS[[#This Row],[DIAS LAB]]*IMSS[[#This Row],[SDI]]*$Q$114</f>
        <v>104.33835616438355</v>
      </c>
      <c r="Q184" s="166">
        <f ca="1">IMSS[[#This Row],[DIAS LAB]]*IMSS[[#This Row],[SDI]]*$Q$115</f>
        <v>208.67671232876711</v>
      </c>
      <c r="R184" s="163">
        <f ca="1">IMSS[[#This Row],[DIAS LAB]]*IMSS[[#This Row],[SDI]]*$Q$116</f>
        <v>328.66582191780816</v>
      </c>
      <c r="S184" s="163">
        <f ca="1">IMSS[[#This Row],[DIAS LAB]]*IMSS[[#This Row],[SDI]]*$Q$117</f>
        <v>521.69178082191775</v>
      </c>
      <c r="T184" s="164">
        <f ca="1">SUM(IMSS[[#This Row],[P RSG TRB]:[P INFONAVIT]])</f>
        <v>2374.1966677808218</v>
      </c>
      <c r="U184" s="163">
        <f ca="1">IMSS[[#This Row],[DIAS LAB]]*IMSS[[#This Row],[SDI]]*IMSS[[#This Row],[% RSG]]*$R$108</f>
        <v>0</v>
      </c>
      <c r="V184" s="163">
        <f ca="1">IMSS[[#This Row],[DIAS LAB]]*IMSS[[#This Row],[SDI]]*$R$112</f>
        <v>26.084589041095889</v>
      </c>
      <c r="W184" s="163"/>
      <c r="X184" s="163">
        <f ca="1">IMSS[[#This Row],[DIAS LAB]]*IMSS[[#This Row],[SDI]]*$R$113</f>
        <v>65.733164383561643</v>
      </c>
      <c r="Y184" s="163">
        <f ca="1">IMSS[[#This Row],[DIAS LAB]]*IMSS[[#This Row],[SDI]]*$R$114</f>
        <v>0</v>
      </c>
      <c r="Z184" s="163">
        <f ca="1">IMSS[[#This Row],[DIAS LAB]]*IMSS[[#This Row],[SDI]]*$R$115</f>
        <v>0</v>
      </c>
      <c r="AA184" s="163">
        <f ca="1">IMSS[[#This Row],[DIAS LAB]]*IMSS[[#This Row],[SDI]]*$R$116</f>
        <v>117.90234246575341</v>
      </c>
      <c r="AB184" s="163">
        <f ca="1">IMSS[[#This Row],[DIAS LAB]]*IMSS[[#This Row],[SDI]]*$R$117</f>
        <v>0</v>
      </c>
      <c r="AC184" s="247">
        <f ca="1">SUM(IMSS[[#This Row],[O RSG TRB]:[O INFONAVIT]])</f>
        <v>209.72009589041093</v>
      </c>
      <c r="AD184" s="163"/>
      <c r="AE184" s="165">
        <f ca="1">IMSS[[#This Row],[P TOTAL]]+IMSS[[#This Row],[O TOTAL]]</f>
        <v>2583.9167636712327</v>
      </c>
      <c r="AF184" s="163"/>
      <c r="AG184" s="163">
        <f>VLOOKUP(IMSS[[#This Row],[SUE MENS]],$AG$110:$AJ$120,1,1)</f>
        <v>5470.93</v>
      </c>
      <c r="AH184" s="163">
        <f>IMSS[[#This Row],[SUE MENS]]-IMSS[[#This Row],[LIM INF]]</f>
        <v>3979.0699999999997</v>
      </c>
      <c r="AI184" s="163">
        <f>IMSS[[#This Row],[EXC LIM INF]]*(VLOOKUP(IMSS[[#This Row],[LIM INF]],$AG$110:$AJ$120,4,0))</f>
        <v>432.92281600000001</v>
      </c>
      <c r="AJ184" s="163">
        <f>VLOOKUP(IMSS[[#This Row],[LIM INF]],$AG$110:$AJ$120,3)</f>
        <v>321.26</v>
      </c>
      <c r="AK184" s="163">
        <f>SUM(IMSS[[#This Row],[TASA EXC]]+IMSS[[#This Row],[CUOTA FIJA]])</f>
        <v>754.182816</v>
      </c>
      <c r="AL184" s="163">
        <f>VLOOKUP(IMSS[[#This Row],[SUE MENS]],$AL$110:$AN$120,3,1)</f>
        <v>0</v>
      </c>
      <c r="AM184" s="248">
        <f>IF(IMSS[[#This Row],[ISR CARGO]]-IMSS[[#This Row],[SUBS ISR]]&gt;0,IMSS[[#This Row],[ISR CARGO]]-IMSS[[#This Row],[SUBS ISR]],0)</f>
        <v>754.182816</v>
      </c>
      <c r="AN184" s="248">
        <f>IF(IMSS[[#This Row],[SUBS ISR]]-IMSS[[#This Row],[ISR CARGO]]&gt;0,IMSS[[#This Row],[SUBS ISR]]-IMSS[[#This Row],[ISR CARGO]],0)</f>
        <v>0</v>
      </c>
    </row>
    <row r="185" spans="3:40" ht="15" hidden="1" customHeight="1" x14ac:dyDescent="0.25">
      <c r="C185" s="243">
        <v>168</v>
      </c>
      <c r="D185" s="167" t="str">
        <f>VLOOKUP(IMSS[[#This Row],[NEM]],BDD[],2,0)</f>
        <v>Cristian Tadeo Hernandez Quiroz</v>
      </c>
      <c r="E185" s="167" t="str">
        <f>VLOOKUP(IMSS[[#This Row],[NEM]],BDD[],9,0)</f>
        <v>ADMINCIÓN</v>
      </c>
      <c r="F185" s="168">
        <v>30</v>
      </c>
      <c r="G185" s="139">
        <f>VLOOKUP(IMSS[[#This Row],[NEM]],BDD[],3,0)</f>
        <v>9450</v>
      </c>
      <c r="H185" s="139">
        <f ca="1">VLOOKUP(IMSS[[#This Row],[NEM]],BDD[],25,0)</f>
        <v>347.79452054794518</v>
      </c>
      <c r="I185" s="143">
        <f>VLOOKUP(IMSS[[#This Row],[DEPT]],$B$3:$G$49,6,0)</f>
        <v>5.4355000000000002E-3</v>
      </c>
      <c r="J185" s="163">
        <f ca="1">IMSS[[#This Row],[DIAS LAB]]*IMSS[[#This Row],[SDI]]*IMSS[[#This Row],[% RSG]]*$Q$108</f>
        <v>56.713113493150679</v>
      </c>
      <c r="K185" s="163">
        <f>IMSS[[#This Row],[DIAS LAB]]*$J$110*$Q$109</f>
        <v>548.47440000000006</v>
      </c>
      <c r="L185" s="166">
        <f ca="1">IMSS[[#This Row],[DIAS LAB]]*IF(IMSS[[#This Row],[SDI]]-$J$113&gt;0,IMSS[[#This Row],[SDI]]-$J$113,0)*$Q$110</f>
        <v>26.048391780821905</v>
      </c>
      <c r="M185" s="166">
        <f ca="1">IMSS[[#This Row],[DIAS LAB]]*IMSS[[#This Row],[SDI]]*$Q$111</f>
        <v>109.55527397260273</v>
      </c>
      <c r="N185" s="163">
        <f ca="1">IMSS[[#This Row],[DIAS LAB]]*IMSS[[#This Row],[SDI]]*$Q$112</f>
        <v>73.03684931506848</v>
      </c>
      <c r="O185" s="166">
        <f ca="1">IMSS[[#This Row],[DIAS LAB]]*IMSS[[#This Row],[SDI]]*$Q$113</f>
        <v>182.59212328767123</v>
      </c>
      <c r="P185" s="163">
        <f ca="1">IMSS[[#This Row],[DIAS LAB]]*IMSS[[#This Row],[SDI]]*$Q$114</f>
        <v>104.33835616438355</v>
      </c>
      <c r="Q185" s="166">
        <f ca="1">IMSS[[#This Row],[DIAS LAB]]*IMSS[[#This Row],[SDI]]*$Q$115</f>
        <v>208.67671232876711</v>
      </c>
      <c r="R185" s="163">
        <f ca="1">IMSS[[#This Row],[DIAS LAB]]*IMSS[[#This Row],[SDI]]*$Q$116</f>
        <v>328.66582191780816</v>
      </c>
      <c r="S185" s="163">
        <f ca="1">IMSS[[#This Row],[DIAS LAB]]*IMSS[[#This Row],[SDI]]*$Q$117</f>
        <v>521.69178082191775</v>
      </c>
      <c r="T185" s="164">
        <f ca="1">SUM(IMSS[[#This Row],[P RSG TRB]:[P INFONAVIT]])</f>
        <v>2159.7928230821917</v>
      </c>
      <c r="U185" s="163">
        <f ca="1">IMSS[[#This Row],[DIAS LAB]]*IMSS[[#This Row],[SDI]]*IMSS[[#This Row],[% RSG]]*$R$108</f>
        <v>0</v>
      </c>
      <c r="V185" s="163">
        <f ca="1">IMSS[[#This Row],[DIAS LAB]]*IMSS[[#This Row],[SDI]]*$R$112</f>
        <v>26.084589041095889</v>
      </c>
      <c r="W185" s="163"/>
      <c r="X185" s="163">
        <f ca="1">IMSS[[#This Row],[DIAS LAB]]*IMSS[[#This Row],[SDI]]*$R$113</f>
        <v>65.733164383561643</v>
      </c>
      <c r="Y185" s="163">
        <f ca="1">IMSS[[#This Row],[DIAS LAB]]*IMSS[[#This Row],[SDI]]*$R$114</f>
        <v>0</v>
      </c>
      <c r="Z185" s="163">
        <f ca="1">IMSS[[#This Row],[DIAS LAB]]*IMSS[[#This Row],[SDI]]*$R$115</f>
        <v>0</v>
      </c>
      <c r="AA185" s="163">
        <f ca="1">IMSS[[#This Row],[DIAS LAB]]*IMSS[[#This Row],[SDI]]*$R$116</f>
        <v>117.90234246575341</v>
      </c>
      <c r="AB185" s="163">
        <f ca="1">IMSS[[#This Row],[DIAS LAB]]*IMSS[[#This Row],[SDI]]*$R$117</f>
        <v>0</v>
      </c>
      <c r="AC185" s="247">
        <f ca="1">SUM(IMSS[[#This Row],[O RSG TRB]:[O INFONAVIT]])</f>
        <v>209.72009589041093</v>
      </c>
      <c r="AD185" s="163"/>
      <c r="AE185" s="165">
        <f ca="1">IMSS[[#This Row],[P TOTAL]]+IMSS[[#This Row],[O TOTAL]]</f>
        <v>2369.5129189726026</v>
      </c>
      <c r="AF185" s="163"/>
      <c r="AG185" s="163">
        <f>VLOOKUP(IMSS[[#This Row],[SUE MENS]],$AG$110:$AJ$120,1,1)</f>
        <v>5470.93</v>
      </c>
      <c r="AH185" s="163">
        <f>IMSS[[#This Row],[SUE MENS]]-IMSS[[#This Row],[LIM INF]]</f>
        <v>3979.0699999999997</v>
      </c>
      <c r="AI185" s="163">
        <f>IMSS[[#This Row],[EXC LIM INF]]*(VLOOKUP(IMSS[[#This Row],[LIM INF]],$AG$110:$AJ$120,4,0))</f>
        <v>432.92281600000001</v>
      </c>
      <c r="AJ185" s="163">
        <f>VLOOKUP(IMSS[[#This Row],[LIM INF]],$AG$110:$AJ$120,3)</f>
        <v>321.26</v>
      </c>
      <c r="AK185" s="163">
        <f>SUM(IMSS[[#This Row],[TASA EXC]]+IMSS[[#This Row],[CUOTA FIJA]])</f>
        <v>754.182816</v>
      </c>
      <c r="AL185" s="163">
        <f>VLOOKUP(IMSS[[#This Row],[SUE MENS]],$AL$110:$AN$120,3,1)</f>
        <v>0</v>
      </c>
      <c r="AM185" s="248">
        <f>IF(IMSS[[#This Row],[ISR CARGO]]-IMSS[[#This Row],[SUBS ISR]]&gt;0,IMSS[[#This Row],[ISR CARGO]]-IMSS[[#This Row],[SUBS ISR]],0)</f>
        <v>754.182816</v>
      </c>
      <c r="AN185" s="248">
        <f>IF(IMSS[[#This Row],[SUBS ISR]]-IMSS[[#This Row],[ISR CARGO]]&gt;0,IMSS[[#This Row],[SUBS ISR]]-IMSS[[#This Row],[ISR CARGO]],0)</f>
        <v>0</v>
      </c>
    </row>
    <row r="186" spans="3:40" ht="15" hidden="1" customHeight="1" x14ac:dyDescent="0.25">
      <c r="C186" s="243">
        <v>169</v>
      </c>
      <c r="D186" s="167" t="str">
        <f>VLOOKUP(IMSS[[#This Row],[NEM]],BDD[],2,0)</f>
        <v>Cecilia Balderrama Castillo</v>
      </c>
      <c r="E186" s="167" t="str">
        <f>VLOOKUP(IMSS[[#This Row],[NEM]],BDD[],9,0)</f>
        <v>CONTROL</v>
      </c>
      <c r="F186" s="168">
        <v>30</v>
      </c>
      <c r="G186" s="139">
        <f>VLOOKUP(IMSS[[#This Row],[NEM]],BDD[],3,0)</f>
        <v>7445</v>
      </c>
      <c r="H186" s="139">
        <f ca="1">VLOOKUP(IMSS[[#This Row],[NEM]],BDD[],25,0)</f>
        <v>273.32328767123283</v>
      </c>
      <c r="I186" s="143">
        <f>VLOOKUP(IMSS[[#This Row],[DEPT]],$B$3:$G$49,6,0)</f>
        <v>5.4355000000000002E-3</v>
      </c>
      <c r="J186" s="163">
        <f ca="1">IMSS[[#This Row],[DIAS LAB]]*IMSS[[#This Row],[SDI]]*IMSS[[#This Row],[% RSG]]*$Q$108</f>
        <v>44.569461904109588</v>
      </c>
      <c r="K186" s="163">
        <f>IMSS[[#This Row],[DIAS LAB]]*$J$110*$Q$109</f>
        <v>548.47440000000006</v>
      </c>
      <c r="L186" s="166">
        <f ca="1">IMSS[[#This Row],[DIAS LAB]]*IF(IMSS[[#This Row],[SDI]]-$J$113&gt;0,IMSS[[#This Row],[SDI]]-$J$113,0)*$Q$110</f>
        <v>1.4728849315068304</v>
      </c>
      <c r="M186" s="166">
        <f ca="1">IMSS[[#This Row],[DIAS LAB]]*IMSS[[#This Row],[SDI]]*$Q$111</f>
        <v>86.096835616438355</v>
      </c>
      <c r="N186" s="163">
        <f ca="1">IMSS[[#This Row],[DIAS LAB]]*IMSS[[#This Row],[SDI]]*$Q$112</f>
        <v>57.397890410958901</v>
      </c>
      <c r="O186" s="166">
        <f ca="1">IMSS[[#This Row],[DIAS LAB]]*IMSS[[#This Row],[SDI]]*$Q$113</f>
        <v>143.49472602739726</v>
      </c>
      <c r="P186" s="163">
        <f ca="1">IMSS[[#This Row],[DIAS LAB]]*IMSS[[#This Row],[SDI]]*$Q$114</f>
        <v>81.996986301369859</v>
      </c>
      <c r="Q186" s="166">
        <f ca="1">IMSS[[#This Row],[DIAS LAB]]*IMSS[[#This Row],[SDI]]*$Q$115</f>
        <v>163.99397260273972</v>
      </c>
      <c r="R186" s="163">
        <f ca="1">IMSS[[#This Row],[DIAS LAB]]*IMSS[[#This Row],[SDI]]*$Q$116</f>
        <v>258.29050684931502</v>
      </c>
      <c r="S186" s="163">
        <f ca="1">IMSS[[#This Row],[DIAS LAB]]*IMSS[[#This Row],[SDI]]*$Q$117</f>
        <v>409.98493150684931</v>
      </c>
      <c r="T186" s="164">
        <f ca="1">SUM(IMSS[[#This Row],[P RSG TRB]:[P INFONAVIT]])</f>
        <v>1795.7725961506851</v>
      </c>
      <c r="U186" s="163">
        <f ca="1">IMSS[[#This Row],[DIAS LAB]]*IMSS[[#This Row],[SDI]]*IMSS[[#This Row],[% RSG]]*$R$108</f>
        <v>0</v>
      </c>
      <c r="V186" s="163">
        <f ca="1">IMSS[[#This Row],[DIAS LAB]]*IMSS[[#This Row],[SDI]]*$R$112</f>
        <v>20.499246575342465</v>
      </c>
      <c r="W186" s="163"/>
      <c r="X186" s="163">
        <f ca="1">IMSS[[#This Row],[DIAS LAB]]*IMSS[[#This Row],[SDI]]*$R$113</f>
        <v>51.658101369863004</v>
      </c>
      <c r="Y186" s="163">
        <f ca="1">IMSS[[#This Row],[DIAS LAB]]*IMSS[[#This Row],[SDI]]*$R$114</f>
        <v>0</v>
      </c>
      <c r="Z186" s="163">
        <f ca="1">IMSS[[#This Row],[DIAS LAB]]*IMSS[[#This Row],[SDI]]*$R$115</f>
        <v>0</v>
      </c>
      <c r="AA186" s="163">
        <f ca="1">IMSS[[#This Row],[DIAS LAB]]*IMSS[[#This Row],[SDI]]*$R$116</f>
        <v>92.656594520547927</v>
      </c>
      <c r="AB186" s="163">
        <f ca="1">IMSS[[#This Row],[DIAS LAB]]*IMSS[[#This Row],[SDI]]*$R$117</f>
        <v>0</v>
      </c>
      <c r="AC186" s="247">
        <f ca="1">SUM(IMSS[[#This Row],[O RSG TRB]:[O INFONAVIT]])</f>
        <v>164.8139424657534</v>
      </c>
      <c r="AD186" s="163"/>
      <c r="AE186" s="165">
        <f ca="1">IMSS[[#This Row],[P TOTAL]]+IMSS[[#This Row],[O TOTAL]]</f>
        <v>1960.5865386164385</v>
      </c>
      <c r="AF186" s="163"/>
      <c r="AG186" s="163">
        <f>VLOOKUP(IMSS[[#This Row],[SUE MENS]],$AG$110:$AJ$120,1,1)</f>
        <v>5470.93</v>
      </c>
      <c r="AH186" s="163">
        <f>IMSS[[#This Row],[SUE MENS]]-IMSS[[#This Row],[LIM INF]]</f>
        <v>1974.0699999999997</v>
      </c>
      <c r="AI186" s="163">
        <f>IMSS[[#This Row],[EXC LIM INF]]*(VLOOKUP(IMSS[[#This Row],[LIM INF]],$AG$110:$AJ$120,4,0))</f>
        <v>214.77881599999998</v>
      </c>
      <c r="AJ186" s="163">
        <f>VLOOKUP(IMSS[[#This Row],[LIM INF]],$AG$110:$AJ$120,3)</f>
        <v>321.26</v>
      </c>
      <c r="AK186" s="163">
        <f>SUM(IMSS[[#This Row],[TASA EXC]]+IMSS[[#This Row],[CUOTA FIJA]])</f>
        <v>536.038816</v>
      </c>
      <c r="AL186" s="163">
        <f>VLOOKUP(IMSS[[#This Row],[SUE MENS]],$AL$110:$AN$120,3,1)</f>
        <v>0</v>
      </c>
      <c r="AM186" s="248">
        <f>IF(IMSS[[#This Row],[ISR CARGO]]-IMSS[[#This Row],[SUBS ISR]]&gt;0,IMSS[[#This Row],[ISR CARGO]]-IMSS[[#This Row],[SUBS ISR]],0)</f>
        <v>536.038816</v>
      </c>
      <c r="AN186" s="248">
        <f>IF(IMSS[[#This Row],[SUBS ISR]]-IMSS[[#This Row],[ISR CARGO]]&gt;0,IMSS[[#This Row],[SUBS ISR]]-IMSS[[#This Row],[ISR CARGO]],0)</f>
        <v>0</v>
      </c>
    </row>
    <row r="187" spans="3:40" ht="15" hidden="1" customHeight="1" x14ac:dyDescent="0.25">
      <c r="C187" s="243">
        <v>170</v>
      </c>
      <c r="D187" s="167" t="str">
        <f>VLOOKUP(IMSS[[#This Row],[NEM]],BDD[],2,0)</f>
        <v>Brisseidy Guadalupe García Cortes</v>
      </c>
      <c r="E187" s="167" t="str">
        <f>VLOOKUP(IMSS[[#This Row],[NEM]],BDD[],9,0)</f>
        <v>SOLUCIONES</v>
      </c>
      <c r="F187" s="168">
        <v>30</v>
      </c>
      <c r="G187" s="139">
        <f>VLOOKUP(IMSS[[#This Row],[NEM]],BDD[],3,0)</f>
        <v>7445</v>
      </c>
      <c r="H187" s="139">
        <f ca="1">VLOOKUP(IMSS[[#This Row],[NEM]],BDD[],25,0)</f>
        <v>273.32328767123283</v>
      </c>
      <c r="I187" s="143">
        <f>VLOOKUP(IMSS[[#This Row],[DEPT]],$B$3:$G$49,6,0)</f>
        <v>5.4355000000000002E-3</v>
      </c>
      <c r="J187" s="163">
        <f ca="1">IMSS[[#This Row],[DIAS LAB]]*IMSS[[#This Row],[SDI]]*IMSS[[#This Row],[% RSG]]*$Q$108</f>
        <v>44.569461904109588</v>
      </c>
      <c r="K187" s="163">
        <f>IMSS[[#This Row],[DIAS LAB]]*$J$110*$Q$109</f>
        <v>548.47440000000006</v>
      </c>
      <c r="L187" s="166">
        <f ca="1">IMSS[[#This Row],[DIAS LAB]]*IF(IMSS[[#This Row],[SDI]]-$J$113&gt;0,IMSS[[#This Row],[SDI]]-$J$113,0)*$Q$110</f>
        <v>1.4728849315068304</v>
      </c>
      <c r="M187" s="166">
        <f ca="1">IMSS[[#This Row],[DIAS LAB]]*IMSS[[#This Row],[SDI]]*$Q$111</f>
        <v>86.096835616438355</v>
      </c>
      <c r="N187" s="163">
        <f ca="1">IMSS[[#This Row],[DIAS LAB]]*IMSS[[#This Row],[SDI]]*$Q$112</f>
        <v>57.397890410958901</v>
      </c>
      <c r="O187" s="166">
        <f ca="1">IMSS[[#This Row],[DIAS LAB]]*IMSS[[#This Row],[SDI]]*$Q$113</f>
        <v>143.49472602739726</v>
      </c>
      <c r="P187" s="163">
        <f ca="1">IMSS[[#This Row],[DIAS LAB]]*IMSS[[#This Row],[SDI]]*$Q$114</f>
        <v>81.996986301369859</v>
      </c>
      <c r="Q187" s="166">
        <f ca="1">IMSS[[#This Row],[DIAS LAB]]*IMSS[[#This Row],[SDI]]*$Q$115</f>
        <v>163.99397260273972</v>
      </c>
      <c r="R187" s="163">
        <f ca="1">IMSS[[#This Row],[DIAS LAB]]*IMSS[[#This Row],[SDI]]*$Q$116</f>
        <v>258.29050684931502</v>
      </c>
      <c r="S187" s="163">
        <f ca="1">IMSS[[#This Row],[DIAS LAB]]*IMSS[[#This Row],[SDI]]*$Q$117</f>
        <v>409.98493150684931</v>
      </c>
      <c r="T187" s="164">
        <f ca="1">SUM(IMSS[[#This Row],[P RSG TRB]:[P INFONAVIT]])</f>
        <v>1795.7725961506851</v>
      </c>
      <c r="U187" s="163">
        <f ca="1">IMSS[[#This Row],[DIAS LAB]]*IMSS[[#This Row],[SDI]]*IMSS[[#This Row],[% RSG]]*$R$108</f>
        <v>0</v>
      </c>
      <c r="V187" s="163">
        <f ca="1">IMSS[[#This Row],[DIAS LAB]]*IMSS[[#This Row],[SDI]]*$R$112</f>
        <v>20.499246575342465</v>
      </c>
      <c r="W187" s="163"/>
      <c r="X187" s="163">
        <f ca="1">IMSS[[#This Row],[DIAS LAB]]*IMSS[[#This Row],[SDI]]*$R$113</f>
        <v>51.658101369863004</v>
      </c>
      <c r="Y187" s="163">
        <f ca="1">IMSS[[#This Row],[DIAS LAB]]*IMSS[[#This Row],[SDI]]*$R$114</f>
        <v>0</v>
      </c>
      <c r="Z187" s="163">
        <f ca="1">IMSS[[#This Row],[DIAS LAB]]*IMSS[[#This Row],[SDI]]*$R$115</f>
        <v>0</v>
      </c>
      <c r="AA187" s="163">
        <f ca="1">IMSS[[#This Row],[DIAS LAB]]*IMSS[[#This Row],[SDI]]*$R$116</f>
        <v>92.656594520547927</v>
      </c>
      <c r="AB187" s="163">
        <f ca="1">IMSS[[#This Row],[DIAS LAB]]*IMSS[[#This Row],[SDI]]*$R$117</f>
        <v>0</v>
      </c>
      <c r="AC187" s="247">
        <f ca="1">SUM(IMSS[[#This Row],[O RSG TRB]:[O INFONAVIT]])</f>
        <v>164.8139424657534</v>
      </c>
      <c r="AD187" s="163"/>
      <c r="AE187" s="165">
        <f ca="1">IMSS[[#This Row],[P TOTAL]]+IMSS[[#This Row],[O TOTAL]]</f>
        <v>1960.5865386164385</v>
      </c>
      <c r="AF187" s="163"/>
      <c r="AG187" s="163">
        <f>VLOOKUP(IMSS[[#This Row],[SUE MENS]],$AG$110:$AJ$120,1,1)</f>
        <v>5470.93</v>
      </c>
      <c r="AH187" s="163">
        <f>IMSS[[#This Row],[SUE MENS]]-IMSS[[#This Row],[LIM INF]]</f>
        <v>1974.0699999999997</v>
      </c>
      <c r="AI187" s="163">
        <f>IMSS[[#This Row],[EXC LIM INF]]*(VLOOKUP(IMSS[[#This Row],[LIM INF]],$AG$110:$AJ$120,4,0))</f>
        <v>214.77881599999998</v>
      </c>
      <c r="AJ187" s="163">
        <f>VLOOKUP(IMSS[[#This Row],[LIM INF]],$AG$110:$AJ$120,3)</f>
        <v>321.26</v>
      </c>
      <c r="AK187" s="163">
        <f>SUM(IMSS[[#This Row],[TASA EXC]]+IMSS[[#This Row],[CUOTA FIJA]])</f>
        <v>536.038816</v>
      </c>
      <c r="AL187" s="163">
        <f>VLOOKUP(IMSS[[#This Row],[SUE MENS]],$AL$110:$AN$120,3,1)</f>
        <v>0</v>
      </c>
      <c r="AM187" s="248">
        <f>IF(IMSS[[#This Row],[ISR CARGO]]-IMSS[[#This Row],[SUBS ISR]]&gt;0,IMSS[[#This Row],[ISR CARGO]]-IMSS[[#This Row],[SUBS ISR]],0)</f>
        <v>536.038816</v>
      </c>
      <c r="AN187" s="248">
        <f>IF(IMSS[[#This Row],[SUBS ISR]]-IMSS[[#This Row],[ISR CARGO]]&gt;0,IMSS[[#This Row],[SUBS ISR]]-IMSS[[#This Row],[ISR CARGO]],0)</f>
        <v>0</v>
      </c>
    </row>
    <row r="188" spans="3:40" ht="15" hidden="1" customHeight="1" x14ac:dyDescent="0.25">
      <c r="C188" s="243">
        <v>171</v>
      </c>
      <c r="D188" s="167" t="str">
        <f>VLOOKUP(IMSS[[#This Row],[NEM]],BDD[],2,0)</f>
        <v>Angel Mario Castillo Aleman</v>
      </c>
      <c r="E188" s="167" t="str">
        <f>VLOOKUP(IMSS[[#This Row],[NEM]],BDD[],9,0)</f>
        <v>ESTRUCTURA</v>
      </c>
      <c r="F188" s="168">
        <v>30</v>
      </c>
      <c r="G188" s="139">
        <f>VLOOKUP(IMSS[[#This Row],[NEM]],BDD[],3,0)</f>
        <v>9541</v>
      </c>
      <c r="H188" s="139">
        <f ca="1">VLOOKUP(IMSS[[#This Row],[NEM]],BDD[],25,0)</f>
        <v>351.14365296803658</v>
      </c>
      <c r="I188" s="143">
        <f>VLOOKUP(IMSS[[#This Row],[DEPT]],$B$3:$G$49,6,0)</f>
        <v>2.5984400000000001E-2</v>
      </c>
      <c r="J188" s="163">
        <f ca="1">IMSS[[#This Row],[DIAS LAB]]*IMSS[[#This Row],[SDI]]*IMSS[[#This Row],[% RSG]]*$Q$108</f>
        <v>273.72771408547948</v>
      </c>
      <c r="K188" s="163">
        <f>IMSS[[#This Row],[DIAS LAB]]*$J$110*$Q$109</f>
        <v>548.47440000000006</v>
      </c>
      <c r="L188" s="166">
        <f ca="1">IMSS[[#This Row],[DIAS LAB]]*IF(IMSS[[#This Row],[SDI]]-$J$113&gt;0,IMSS[[#This Row],[SDI]]-$J$113,0)*$Q$110</f>
        <v>27.153605479452061</v>
      </c>
      <c r="M188" s="166">
        <f ca="1">IMSS[[#This Row],[DIAS LAB]]*IMSS[[#This Row],[SDI]]*$Q$111</f>
        <v>110.61025068493153</v>
      </c>
      <c r="N188" s="163">
        <f ca="1">IMSS[[#This Row],[DIAS LAB]]*IMSS[[#This Row],[SDI]]*$Q$112</f>
        <v>73.740167123287677</v>
      </c>
      <c r="O188" s="166">
        <f ca="1">IMSS[[#This Row],[DIAS LAB]]*IMSS[[#This Row],[SDI]]*$Q$113</f>
        <v>184.35041780821922</v>
      </c>
      <c r="P188" s="163">
        <f ca="1">IMSS[[#This Row],[DIAS LAB]]*IMSS[[#This Row],[SDI]]*$Q$114</f>
        <v>105.34309589041096</v>
      </c>
      <c r="Q188" s="166">
        <f ca="1">IMSS[[#This Row],[DIAS LAB]]*IMSS[[#This Row],[SDI]]*$Q$115</f>
        <v>210.68619178082193</v>
      </c>
      <c r="R188" s="163">
        <f ca="1">IMSS[[#This Row],[DIAS LAB]]*IMSS[[#This Row],[SDI]]*$Q$116</f>
        <v>331.83075205479457</v>
      </c>
      <c r="S188" s="163">
        <f ca="1">IMSS[[#This Row],[DIAS LAB]]*IMSS[[#This Row],[SDI]]*$Q$117</f>
        <v>526.71547945205486</v>
      </c>
      <c r="T188" s="164">
        <f ca="1">SUM(IMSS[[#This Row],[P RSG TRB]:[P INFONAVIT]])</f>
        <v>2392.6320743594524</v>
      </c>
      <c r="U188" s="163">
        <f ca="1">IMSS[[#This Row],[DIAS LAB]]*IMSS[[#This Row],[SDI]]*IMSS[[#This Row],[% RSG]]*$R$108</f>
        <v>0</v>
      </c>
      <c r="V188" s="163">
        <f ca="1">IMSS[[#This Row],[DIAS LAB]]*IMSS[[#This Row],[SDI]]*$R$112</f>
        <v>26.335773972602741</v>
      </c>
      <c r="W188" s="163"/>
      <c r="X188" s="163">
        <f ca="1">IMSS[[#This Row],[DIAS LAB]]*IMSS[[#This Row],[SDI]]*$R$113</f>
        <v>66.366150410958909</v>
      </c>
      <c r="Y188" s="163">
        <f ca="1">IMSS[[#This Row],[DIAS LAB]]*IMSS[[#This Row],[SDI]]*$R$114</f>
        <v>0</v>
      </c>
      <c r="Z188" s="163">
        <f ca="1">IMSS[[#This Row],[DIAS LAB]]*IMSS[[#This Row],[SDI]]*$R$115</f>
        <v>0</v>
      </c>
      <c r="AA188" s="163">
        <f ca="1">IMSS[[#This Row],[DIAS LAB]]*IMSS[[#This Row],[SDI]]*$R$116</f>
        <v>119.03769835616438</v>
      </c>
      <c r="AB188" s="163">
        <f ca="1">IMSS[[#This Row],[DIAS LAB]]*IMSS[[#This Row],[SDI]]*$R$117</f>
        <v>0</v>
      </c>
      <c r="AC188" s="247">
        <f ca="1">SUM(IMSS[[#This Row],[O RSG TRB]:[O INFONAVIT]])</f>
        <v>211.73962273972603</v>
      </c>
      <c r="AD188" s="163"/>
      <c r="AE188" s="165">
        <f ca="1">IMSS[[#This Row],[P TOTAL]]+IMSS[[#This Row],[O TOTAL]]</f>
        <v>2604.3716970991786</v>
      </c>
      <c r="AF188" s="163"/>
      <c r="AG188" s="163">
        <f>VLOOKUP(IMSS[[#This Row],[SUE MENS]],$AG$110:$AJ$120,1,1)</f>
        <v>5470.93</v>
      </c>
      <c r="AH188" s="163">
        <f>IMSS[[#This Row],[SUE MENS]]-IMSS[[#This Row],[LIM INF]]</f>
        <v>4070.0699999999997</v>
      </c>
      <c r="AI188" s="163">
        <f>IMSS[[#This Row],[EXC LIM INF]]*(VLOOKUP(IMSS[[#This Row],[LIM INF]],$AG$110:$AJ$120,4,0))</f>
        <v>442.82361600000002</v>
      </c>
      <c r="AJ188" s="163">
        <f>VLOOKUP(IMSS[[#This Row],[LIM INF]],$AG$110:$AJ$120,3)</f>
        <v>321.26</v>
      </c>
      <c r="AK188" s="163">
        <f>SUM(IMSS[[#This Row],[TASA EXC]]+IMSS[[#This Row],[CUOTA FIJA]])</f>
        <v>764.08361600000001</v>
      </c>
      <c r="AL188" s="163">
        <f>VLOOKUP(IMSS[[#This Row],[SUE MENS]],$AL$110:$AN$120,3,1)</f>
        <v>0</v>
      </c>
      <c r="AM188" s="248">
        <f>IF(IMSS[[#This Row],[ISR CARGO]]-IMSS[[#This Row],[SUBS ISR]]&gt;0,IMSS[[#This Row],[ISR CARGO]]-IMSS[[#This Row],[SUBS ISR]],0)</f>
        <v>764.08361600000001</v>
      </c>
      <c r="AN188" s="248">
        <f>IF(IMSS[[#This Row],[SUBS ISR]]-IMSS[[#This Row],[ISR CARGO]]&gt;0,IMSS[[#This Row],[SUBS ISR]]-IMSS[[#This Row],[ISR CARGO]],0)</f>
        <v>0</v>
      </c>
    </row>
    <row r="189" spans="3:40" ht="15" hidden="1" customHeight="1" x14ac:dyDescent="0.25">
      <c r="C189" s="243">
        <v>172</v>
      </c>
      <c r="D189" s="167" t="str">
        <f>VLOOKUP(IMSS[[#This Row],[NEM]],BDD[],2,0)</f>
        <v>Angel Gerardo Morales Pereyra</v>
      </c>
      <c r="E189" s="167" t="str">
        <f>VLOOKUP(IMSS[[#This Row],[NEM]],BDD[],9,0)</f>
        <v>RELACIONES</v>
      </c>
      <c r="F189" s="168">
        <v>30</v>
      </c>
      <c r="G189" s="139">
        <f>VLOOKUP(IMSS[[#This Row],[NEM]],BDD[],3,0)</f>
        <v>7445</v>
      </c>
      <c r="H189" s="139">
        <f ca="1">VLOOKUP(IMSS[[#This Row],[NEM]],BDD[],25,0)</f>
        <v>273.32328767123283</v>
      </c>
      <c r="I189" s="143">
        <f>VLOOKUP(IMSS[[#This Row],[DEPT]],$B$3:$G$49,6,0)</f>
        <v>5.4355000000000002E-3</v>
      </c>
      <c r="J189" s="163">
        <f ca="1">IMSS[[#This Row],[DIAS LAB]]*IMSS[[#This Row],[SDI]]*IMSS[[#This Row],[% RSG]]*$Q$108</f>
        <v>44.569461904109588</v>
      </c>
      <c r="K189" s="163">
        <f>IMSS[[#This Row],[DIAS LAB]]*$J$110*$Q$109</f>
        <v>548.47440000000006</v>
      </c>
      <c r="L189" s="166">
        <f ca="1">IMSS[[#This Row],[DIAS LAB]]*IF(IMSS[[#This Row],[SDI]]-$J$113&gt;0,IMSS[[#This Row],[SDI]]-$J$113,0)*$Q$110</f>
        <v>1.4728849315068304</v>
      </c>
      <c r="M189" s="166">
        <f ca="1">IMSS[[#This Row],[DIAS LAB]]*IMSS[[#This Row],[SDI]]*$Q$111</f>
        <v>86.096835616438355</v>
      </c>
      <c r="N189" s="163">
        <f ca="1">IMSS[[#This Row],[DIAS LAB]]*IMSS[[#This Row],[SDI]]*$Q$112</f>
        <v>57.397890410958901</v>
      </c>
      <c r="O189" s="166">
        <f ca="1">IMSS[[#This Row],[DIAS LAB]]*IMSS[[#This Row],[SDI]]*$Q$113</f>
        <v>143.49472602739726</v>
      </c>
      <c r="P189" s="163">
        <f ca="1">IMSS[[#This Row],[DIAS LAB]]*IMSS[[#This Row],[SDI]]*$Q$114</f>
        <v>81.996986301369859</v>
      </c>
      <c r="Q189" s="166">
        <f ca="1">IMSS[[#This Row],[DIAS LAB]]*IMSS[[#This Row],[SDI]]*$Q$115</f>
        <v>163.99397260273972</v>
      </c>
      <c r="R189" s="163">
        <f ca="1">IMSS[[#This Row],[DIAS LAB]]*IMSS[[#This Row],[SDI]]*$Q$116</f>
        <v>258.29050684931502</v>
      </c>
      <c r="S189" s="163">
        <f ca="1">IMSS[[#This Row],[DIAS LAB]]*IMSS[[#This Row],[SDI]]*$Q$117</f>
        <v>409.98493150684931</v>
      </c>
      <c r="T189" s="164">
        <f ca="1">SUM(IMSS[[#This Row],[P RSG TRB]:[P INFONAVIT]])</f>
        <v>1795.7725961506851</v>
      </c>
      <c r="U189" s="163">
        <f ca="1">IMSS[[#This Row],[DIAS LAB]]*IMSS[[#This Row],[SDI]]*IMSS[[#This Row],[% RSG]]*$R$108</f>
        <v>0</v>
      </c>
      <c r="V189" s="163">
        <f ca="1">IMSS[[#This Row],[DIAS LAB]]*IMSS[[#This Row],[SDI]]*$R$112</f>
        <v>20.499246575342465</v>
      </c>
      <c r="W189" s="163"/>
      <c r="X189" s="163">
        <f ca="1">IMSS[[#This Row],[DIAS LAB]]*IMSS[[#This Row],[SDI]]*$R$113</f>
        <v>51.658101369863004</v>
      </c>
      <c r="Y189" s="163">
        <f ca="1">IMSS[[#This Row],[DIAS LAB]]*IMSS[[#This Row],[SDI]]*$R$114</f>
        <v>0</v>
      </c>
      <c r="Z189" s="163">
        <f ca="1">IMSS[[#This Row],[DIAS LAB]]*IMSS[[#This Row],[SDI]]*$R$115</f>
        <v>0</v>
      </c>
      <c r="AA189" s="163">
        <f ca="1">IMSS[[#This Row],[DIAS LAB]]*IMSS[[#This Row],[SDI]]*$R$116</f>
        <v>92.656594520547927</v>
      </c>
      <c r="AB189" s="163">
        <f ca="1">IMSS[[#This Row],[DIAS LAB]]*IMSS[[#This Row],[SDI]]*$R$117</f>
        <v>0</v>
      </c>
      <c r="AC189" s="247">
        <f ca="1">SUM(IMSS[[#This Row],[O RSG TRB]:[O INFONAVIT]])</f>
        <v>164.8139424657534</v>
      </c>
      <c r="AD189" s="163"/>
      <c r="AE189" s="165">
        <f ca="1">IMSS[[#This Row],[P TOTAL]]+IMSS[[#This Row],[O TOTAL]]</f>
        <v>1960.5865386164385</v>
      </c>
      <c r="AF189" s="163"/>
      <c r="AG189" s="163">
        <f>VLOOKUP(IMSS[[#This Row],[SUE MENS]],$AG$110:$AJ$120,1,1)</f>
        <v>5470.93</v>
      </c>
      <c r="AH189" s="163">
        <f>IMSS[[#This Row],[SUE MENS]]-IMSS[[#This Row],[LIM INF]]</f>
        <v>1974.0699999999997</v>
      </c>
      <c r="AI189" s="163">
        <f>IMSS[[#This Row],[EXC LIM INF]]*(VLOOKUP(IMSS[[#This Row],[LIM INF]],$AG$110:$AJ$120,4,0))</f>
        <v>214.77881599999998</v>
      </c>
      <c r="AJ189" s="163">
        <f>VLOOKUP(IMSS[[#This Row],[LIM INF]],$AG$110:$AJ$120,3)</f>
        <v>321.26</v>
      </c>
      <c r="AK189" s="163">
        <f>SUM(IMSS[[#This Row],[TASA EXC]]+IMSS[[#This Row],[CUOTA FIJA]])</f>
        <v>536.038816</v>
      </c>
      <c r="AL189" s="163">
        <f>VLOOKUP(IMSS[[#This Row],[SUE MENS]],$AL$110:$AN$120,3,1)</f>
        <v>0</v>
      </c>
      <c r="AM189" s="248">
        <f>IF(IMSS[[#This Row],[ISR CARGO]]-IMSS[[#This Row],[SUBS ISR]]&gt;0,IMSS[[#This Row],[ISR CARGO]]-IMSS[[#This Row],[SUBS ISR]],0)</f>
        <v>536.038816</v>
      </c>
      <c r="AN189" s="248">
        <f>IF(IMSS[[#This Row],[SUBS ISR]]-IMSS[[#This Row],[ISR CARGO]]&gt;0,IMSS[[#This Row],[SUBS ISR]]-IMSS[[#This Row],[ISR CARGO]],0)</f>
        <v>0</v>
      </c>
    </row>
    <row r="190" spans="3:40" ht="15" hidden="1" customHeight="1" x14ac:dyDescent="0.25">
      <c r="C190" s="243">
        <v>174</v>
      </c>
      <c r="D190" s="139" t="str">
        <f>VLOOKUP(IMSS[[#This Row],[NEM]],BDD[],2,0)</f>
        <v>Abad Gomez Pecorelli</v>
      </c>
      <c r="E190" s="139" t="str">
        <f>VLOOKUP(IMSS[[#This Row],[NEM]],BDD[],9,0)</f>
        <v>RECLTMTO</v>
      </c>
      <c r="F190" s="168">
        <v>30</v>
      </c>
      <c r="G190" s="139">
        <f>VLOOKUP(IMSS[[#This Row],[NEM]],BDD[],3,0)</f>
        <v>7950</v>
      </c>
      <c r="H190" s="139">
        <f ca="1">VLOOKUP(IMSS[[#This Row],[NEM]],BDD[],25,0)</f>
        <v>288.95890410958901</v>
      </c>
      <c r="I190" s="143">
        <f>VLOOKUP(IMSS[[#This Row],[DEPT]],$B$3:$G$49,6,0)</f>
        <v>5.4355000000000002E-3</v>
      </c>
      <c r="J190" s="163">
        <f ca="1">IMSS[[#This Row],[DIAS LAB]]*IMSS[[#This Row],[SDI]]*IMSS[[#This Row],[% RSG]]*$Q$108</f>
        <v>47.119083698630135</v>
      </c>
      <c r="K190" s="163">
        <f>IMSS[[#This Row],[DIAS LAB]]*$J$110*$Q$109</f>
        <v>548.47440000000006</v>
      </c>
      <c r="L190" s="163">
        <f ca="1">IMSS[[#This Row],[DIAS LAB]]*IF(IMSS[[#This Row],[SDI]]-$J$113&gt;0,IMSS[[#This Row],[SDI]]-$J$113,0)*$Q$110</f>
        <v>6.63263835616437</v>
      </c>
      <c r="M190" s="163">
        <f ca="1">IMSS[[#This Row],[DIAS LAB]]*IMSS[[#This Row],[SDI]]*$Q$111</f>
        <v>91.022054794520557</v>
      </c>
      <c r="N190" s="163">
        <f ca="1">IMSS[[#This Row],[DIAS LAB]]*IMSS[[#This Row],[SDI]]*$Q$112</f>
        <v>60.6813698630137</v>
      </c>
      <c r="O190" s="163">
        <f ca="1">IMSS[[#This Row],[DIAS LAB]]*IMSS[[#This Row],[SDI]]*$Q$113</f>
        <v>151.70342465753427</v>
      </c>
      <c r="P190" s="163">
        <f ca="1">IMSS[[#This Row],[DIAS LAB]]*IMSS[[#This Row],[SDI]]*$Q$114</f>
        <v>86.68767123287671</v>
      </c>
      <c r="Q190" s="163">
        <f ca="1">IMSS[[#This Row],[DIAS LAB]]*IMSS[[#This Row],[SDI]]*$Q$115</f>
        <v>173.37534246575342</v>
      </c>
      <c r="R190" s="163">
        <f ca="1">IMSS[[#This Row],[DIAS LAB]]*IMSS[[#This Row],[SDI]]*$Q$116</f>
        <v>273.06616438356161</v>
      </c>
      <c r="S190" s="163">
        <f ca="1">IMSS[[#This Row],[DIAS LAB]]*IMSS[[#This Row],[SDI]]*$Q$117</f>
        <v>433.43835616438355</v>
      </c>
      <c r="T190" s="164">
        <f ca="1">SUM(IMSS[[#This Row],[P RSG TRB]:[P INFONAVIT]])</f>
        <v>1872.2005056164385</v>
      </c>
      <c r="U190" s="163">
        <f ca="1">IMSS[[#This Row],[DIAS LAB]]*IMSS[[#This Row],[SDI]]*IMSS[[#This Row],[% RSG]]*$R$108</f>
        <v>0</v>
      </c>
      <c r="V190" s="163">
        <f ca="1">IMSS[[#This Row],[DIAS LAB]]*IMSS[[#This Row],[SDI]]*$R$112</f>
        <v>21.671917808219177</v>
      </c>
      <c r="W190" s="163"/>
      <c r="X190" s="163">
        <f ca="1">IMSS[[#This Row],[DIAS LAB]]*IMSS[[#This Row],[SDI]]*$R$113</f>
        <v>54.613232876712324</v>
      </c>
      <c r="Y190" s="163">
        <f ca="1">IMSS[[#This Row],[DIAS LAB]]*IMSS[[#This Row],[SDI]]*$R$114</f>
        <v>0</v>
      </c>
      <c r="Z190" s="163">
        <f ca="1">IMSS[[#This Row],[DIAS LAB]]*IMSS[[#This Row],[SDI]]*$R$115</f>
        <v>0</v>
      </c>
      <c r="AA190" s="163">
        <f ca="1">IMSS[[#This Row],[DIAS LAB]]*IMSS[[#This Row],[SDI]]*$R$116</f>
        <v>97.957068493150672</v>
      </c>
      <c r="AB190" s="163">
        <f ca="1">IMSS[[#This Row],[DIAS LAB]]*IMSS[[#This Row],[SDI]]*$R$117</f>
        <v>0</v>
      </c>
      <c r="AC190" s="247">
        <f ca="1">SUM(IMSS[[#This Row],[O RSG TRB]:[O INFONAVIT]])</f>
        <v>174.24221917808217</v>
      </c>
      <c r="AD190" s="163"/>
      <c r="AE190" s="165">
        <f ca="1">IMSS[[#This Row],[P TOTAL]]+IMSS[[#This Row],[O TOTAL]]</f>
        <v>2046.4427247945207</v>
      </c>
      <c r="AF190" s="163"/>
      <c r="AG190" s="244">
        <f>VLOOKUP(IMSS[[#This Row],[SUE MENS]],$AG$110:$AJ$120,1,1)</f>
        <v>5470.93</v>
      </c>
      <c r="AH190" s="244">
        <f>IMSS[[#This Row],[SUE MENS]]-IMSS[[#This Row],[LIM INF]]</f>
        <v>2479.0699999999997</v>
      </c>
      <c r="AI190" s="163">
        <f>IMSS[[#This Row],[EXC LIM INF]]*(VLOOKUP(IMSS[[#This Row],[LIM INF]],$AG$110:$AJ$120,4,0))</f>
        <v>269.72281599999997</v>
      </c>
      <c r="AJ190" s="163">
        <f>VLOOKUP(IMSS[[#This Row],[LIM INF]],$AG$110:$AJ$120,3)</f>
        <v>321.26</v>
      </c>
      <c r="AK190" s="163">
        <f>SUM(IMSS[[#This Row],[TASA EXC]]+IMSS[[#This Row],[CUOTA FIJA]])</f>
        <v>590.98281599999996</v>
      </c>
      <c r="AL190" s="163">
        <f>VLOOKUP(IMSS[[#This Row],[SUE MENS]],$AL$110:$AN$120,3,1)</f>
        <v>0</v>
      </c>
      <c r="AM190" s="248">
        <f>IF(IMSS[[#This Row],[ISR CARGO]]-IMSS[[#This Row],[SUBS ISR]]&gt;0,IMSS[[#This Row],[ISR CARGO]]-IMSS[[#This Row],[SUBS ISR]],0)</f>
        <v>590.98281599999996</v>
      </c>
      <c r="AN190" s="248">
        <f>IF(IMSS[[#This Row],[SUBS ISR]]-IMSS[[#This Row],[ISR CARGO]]&gt;0,IMSS[[#This Row],[SUBS ISR]]-IMSS[[#This Row],[ISR CARGO]],0)</f>
        <v>0</v>
      </c>
    </row>
    <row r="191" spans="3:40" ht="15" hidden="1" customHeight="1" x14ac:dyDescent="0.25">
      <c r="C191" s="243">
        <v>175</v>
      </c>
      <c r="D191" s="167" t="str">
        <f>VLOOKUP(IMSS[[#This Row],[NEM]],BDD[],2,0)</f>
        <v>Mixari Giovanna Ruiz Contreras</v>
      </c>
      <c r="E191" s="167" t="str">
        <f>VLOOKUP(IMSS[[#This Row],[NEM]],BDD[],9,0)</f>
        <v>RECLTMTO</v>
      </c>
      <c r="F191" s="168">
        <v>30</v>
      </c>
      <c r="G191" s="139">
        <f>VLOOKUP(IMSS[[#This Row],[NEM]],BDD[],3,0)</f>
        <v>27150</v>
      </c>
      <c r="H191" s="139">
        <f ca="1">VLOOKUP(IMSS[[#This Row],[NEM]],BDD[],25,0)</f>
        <v>999.21917808219177</v>
      </c>
      <c r="I191" s="143">
        <f>VLOOKUP(IMSS[[#This Row],[DEPT]],$B$3:$G$49,6,0)</f>
        <v>5.4355000000000002E-3</v>
      </c>
      <c r="J191" s="163">
        <f ca="1">IMSS[[#This Row],[DIAS LAB]]*IMSS[[#This Row],[SDI]]*IMSS[[#This Row],[% RSG]]*$Q$108</f>
        <v>162.93767527397262</v>
      </c>
      <c r="K191" s="163">
        <f>IMSS[[#This Row],[DIAS LAB]]*$J$110*$Q$109</f>
        <v>548.47440000000006</v>
      </c>
      <c r="L191" s="166">
        <f ca="1">IMSS[[#This Row],[DIAS LAB]]*IF(IMSS[[#This Row],[SDI]]-$J$113&gt;0,IMSS[[#This Row],[SDI]]-$J$113,0)*$Q$110</f>
        <v>241.01852876712326</v>
      </c>
      <c r="M191" s="166">
        <f ca="1">IMSS[[#This Row],[DIAS LAB]]*IMSS[[#This Row],[SDI]]*$Q$111</f>
        <v>314.75404109589044</v>
      </c>
      <c r="N191" s="163">
        <f ca="1">IMSS[[#This Row],[DIAS LAB]]*IMSS[[#This Row],[SDI]]*$Q$112</f>
        <v>209.83602739726027</v>
      </c>
      <c r="O191" s="166">
        <f ca="1">IMSS[[#This Row],[DIAS LAB]]*IMSS[[#This Row],[SDI]]*$Q$113</f>
        <v>524.59006849315074</v>
      </c>
      <c r="P191" s="163">
        <f ca="1">IMSS[[#This Row],[DIAS LAB]]*IMSS[[#This Row],[SDI]]*$Q$114</f>
        <v>299.76575342465753</v>
      </c>
      <c r="Q191" s="166">
        <f ca="1">IMSS[[#This Row],[DIAS LAB]]*IMSS[[#This Row],[SDI]]*$Q$115</f>
        <v>599.53150684931506</v>
      </c>
      <c r="R191" s="163">
        <f ca="1">IMSS[[#This Row],[DIAS LAB]]*IMSS[[#This Row],[SDI]]*$Q$116</f>
        <v>944.26212328767122</v>
      </c>
      <c r="S191" s="163">
        <f ca="1">IMSS[[#This Row],[DIAS LAB]]*IMSS[[#This Row],[SDI]]*$Q$117</f>
        <v>1498.8287671232877</v>
      </c>
      <c r="T191" s="164">
        <f ca="1">SUM(IMSS[[#This Row],[P RSG TRB]:[P INFONAVIT]])</f>
        <v>5343.9988917123292</v>
      </c>
      <c r="U191" s="163">
        <f ca="1">IMSS[[#This Row],[DIAS LAB]]*IMSS[[#This Row],[SDI]]*IMSS[[#This Row],[% RSG]]*$R$108</f>
        <v>0</v>
      </c>
      <c r="V191" s="163">
        <f ca="1">IMSS[[#This Row],[DIAS LAB]]*IMSS[[#This Row],[SDI]]*$R$112</f>
        <v>74.941438356164383</v>
      </c>
      <c r="W191" s="163"/>
      <c r="X191" s="163">
        <f ca="1">IMSS[[#This Row],[DIAS LAB]]*IMSS[[#This Row],[SDI]]*$R$113</f>
        <v>188.85242465753424</v>
      </c>
      <c r="Y191" s="163">
        <f ca="1">IMSS[[#This Row],[DIAS LAB]]*IMSS[[#This Row],[SDI]]*$R$114</f>
        <v>0</v>
      </c>
      <c r="Z191" s="163">
        <f ca="1">IMSS[[#This Row],[DIAS LAB]]*IMSS[[#This Row],[SDI]]*$R$115</f>
        <v>0</v>
      </c>
      <c r="AA191" s="163">
        <f ca="1">IMSS[[#This Row],[DIAS LAB]]*IMSS[[#This Row],[SDI]]*$R$116</f>
        <v>338.73530136986295</v>
      </c>
      <c r="AB191" s="163">
        <f ca="1">IMSS[[#This Row],[DIAS LAB]]*IMSS[[#This Row],[SDI]]*$R$117</f>
        <v>0</v>
      </c>
      <c r="AC191" s="247">
        <f ca="1">SUM(IMSS[[#This Row],[O RSG TRB]:[O INFONAVIT]])</f>
        <v>602.52916438356158</v>
      </c>
      <c r="AD191" s="163"/>
      <c r="AE191" s="165">
        <f ca="1">IMSS[[#This Row],[P TOTAL]]+IMSS[[#This Row],[O TOTAL]]</f>
        <v>5946.5280560958909</v>
      </c>
      <c r="AF191" s="163"/>
      <c r="AG191" s="163">
        <f>VLOOKUP(IMSS[[#This Row],[SUE MENS]],$AG$110:$AJ$120,1,1)</f>
        <v>26988.51</v>
      </c>
      <c r="AH191" s="163">
        <f>IMSS[[#This Row],[SUE MENS]]-IMSS[[#This Row],[LIM INF]]</f>
        <v>161.4900000000016</v>
      </c>
      <c r="AI191" s="163">
        <f>IMSS[[#This Row],[EXC LIM INF]]*(VLOOKUP(IMSS[[#This Row],[LIM INF]],$AG$110:$AJ$120,4,0))</f>
        <v>37.982448000000375</v>
      </c>
      <c r="AJ191" s="163">
        <f>VLOOKUP(IMSS[[#This Row],[LIM INF]],$AG$110:$AJ$120,3)</f>
        <v>4323.58</v>
      </c>
      <c r="AK191" s="163">
        <f>SUM(IMSS[[#This Row],[TASA EXC]]+IMSS[[#This Row],[CUOTA FIJA]])</f>
        <v>4361.5624480000006</v>
      </c>
      <c r="AL191" s="163">
        <f>VLOOKUP(IMSS[[#This Row],[SUE MENS]],$AL$110:$AN$120,3,1)</f>
        <v>0</v>
      </c>
      <c r="AM191" s="248">
        <f>IF(IMSS[[#This Row],[ISR CARGO]]-IMSS[[#This Row],[SUBS ISR]]&gt;0,IMSS[[#This Row],[ISR CARGO]]-IMSS[[#This Row],[SUBS ISR]],0)</f>
        <v>4361.5624480000006</v>
      </c>
      <c r="AN191" s="248">
        <f>IF(IMSS[[#This Row],[SUBS ISR]]-IMSS[[#This Row],[ISR CARGO]]&gt;0,IMSS[[#This Row],[SUBS ISR]]-IMSS[[#This Row],[ISR CARGO]],0)</f>
        <v>0</v>
      </c>
    </row>
    <row r="192" spans="3:40" ht="15" hidden="1" customHeight="1" x14ac:dyDescent="0.25">
      <c r="C192" s="243">
        <v>177</v>
      </c>
      <c r="D192" s="167" t="str">
        <f>VLOOKUP(IMSS[[#This Row],[NEM]],BDD[],2,0)</f>
        <v>Angélica Lizbeth Guerrero Estanislao</v>
      </c>
      <c r="E192" s="167" t="str">
        <f>VLOOKUP(IMSS[[#This Row],[NEM]],BDD[],9,0)</f>
        <v>RELACIONES</v>
      </c>
      <c r="F192" s="168">
        <v>30</v>
      </c>
      <c r="G192" s="139">
        <f>VLOOKUP(IMSS[[#This Row],[NEM]],BDD[],3,0)</f>
        <v>27150</v>
      </c>
      <c r="H192" s="139">
        <f ca="1">VLOOKUP(IMSS[[#This Row],[NEM]],BDD[],25,0)</f>
        <v>991.78082191780811</v>
      </c>
      <c r="I192" s="143">
        <f>VLOOKUP(IMSS[[#This Row],[DEPT]],$B$3:$G$49,6,0)</f>
        <v>5.4355000000000002E-3</v>
      </c>
      <c r="J192" s="163">
        <f ca="1">IMSS[[#This Row],[DIAS LAB]]*IMSS[[#This Row],[SDI]]*IMSS[[#This Row],[% RSG]]*$Q$108</f>
        <v>161.72473972602739</v>
      </c>
      <c r="K192" s="163">
        <f>IMSS[[#This Row],[DIAS LAB]]*$J$110*$Q$109</f>
        <v>548.47440000000006</v>
      </c>
      <c r="L192" s="166">
        <f ca="1">IMSS[[#This Row],[DIAS LAB]]*IF(IMSS[[#This Row],[SDI]]-$J$113&gt;0,IMSS[[#This Row],[SDI]]-$J$113,0)*$Q$110</f>
        <v>238.56387123287666</v>
      </c>
      <c r="M192" s="166">
        <f ca="1">IMSS[[#This Row],[DIAS LAB]]*IMSS[[#This Row],[SDI]]*$Q$111</f>
        <v>312.41095890410958</v>
      </c>
      <c r="N192" s="163">
        <f ca="1">IMSS[[#This Row],[DIAS LAB]]*IMSS[[#This Row],[SDI]]*$Q$112</f>
        <v>208.27397260273972</v>
      </c>
      <c r="O192" s="166">
        <f ca="1">IMSS[[#This Row],[DIAS LAB]]*IMSS[[#This Row],[SDI]]*$Q$113</f>
        <v>520.68493150684935</v>
      </c>
      <c r="P192" s="163">
        <f ca="1">IMSS[[#This Row],[DIAS LAB]]*IMSS[[#This Row],[SDI]]*$Q$114</f>
        <v>297.53424657534242</v>
      </c>
      <c r="Q192" s="166">
        <f ca="1">IMSS[[#This Row],[DIAS LAB]]*IMSS[[#This Row],[SDI]]*$Q$115</f>
        <v>595.06849315068484</v>
      </c>
      <c r="R192" s="163">
        <f ca="1">IMSS[[#This Row],[DIAS LAB]]*IMSS[[#This Row],[SDI]]*$Q$116</f>
        <v>937.23287671232868</v>
      </c>
      <c r="S192" s="163">
        <f ca="1">IMSS[[#This Row],[DIAS LAB]]*IMSS[[#This Row],[SDI]]*$Q$117</f>
        <v>1487.6712328767123</v>
      </c>
      <c r="T192" s="164">
        <f ca="1">SUM(IMSS[[#This Row],[P RSG TRB]:[P INFONAVIT]])</f>
        <v>5307.6397232876707</v>
      </c>
      <c r="U192" s="163">
        <f ca="1">IMSS[[#This Row],[DIAS LAB]]*IMSS[[#This Row],[SDI]]*IMSS[[#This Row],[% RSG]]*$R$108</f>
        <v>0</v>
      </c>
      <c r="V192" s="163">
        <f ca="1">IMSS[[#This Row],[DIAS LAB]]*IMSS[[#This Row],[SDI]]*$R$112</f>
        <v>74.383561643835606</v>
      </c>
      <c r="W192" s="163"/>
      <c r="X192" s="163">
        <f ca="1">IMSS[[#This Row],[DIAS LAB]]*IMSS[[#This Row],[SDI]]*$R$113</f>
        <v>187.44657534246574</v>
      </c>
      <c r="Y192" s="163">
        <f ca="1">IMSS[[#This Row],[DIAS LAB]]*IMSS[[#This Row],[SDI]]*$R$114</f>
        <v>0</v>
      </c>
      <c r="Z192" s="163">
        <f ca="1">IMSS[[#This Row],[DIAS LAB]]*IMSS[[#This Row],[SDI]]*$R$115</f>
        <v>0</v>
      </c>
      <c r="AA192" s="163">
        <f ca="1">IMSS[[#This Row],[DIAS LAB]]*IMSS[[#This Row],[SDI]]*$R$116</f>
        <v>336.21369863013695</v>
      </c>
      <c r="AB192" s="163">
        <f ca="1">IMSS[[#This Row],[DIAS LAB]]*IMSS[[#This Row],[SDI]]*$R$117</f>
        <v>0</v>
      </c>
      <c r="AC192" s="247">
        <f ca="1">SUM(IMSS[[#This Row],[O RSG TRB]:[O INFONAVIT]])</f>
        <v>598.04383561643829</v>
      </c>
      <c r="AD192" s="163"/>
      <c r="AE192" s="165">
        <f ca="1">IMSS[[#This Row],[P TOTAL]]+IMSS[[#This Row],[O TOTAL]]</f>
        <v>5905.6835589041093</v>
      </c>
      <c r="AF192" s="163"/>
      <c r="AG192" s="163">
        <f>VLOOKUP(IMSS[[#This Row],[SUE MENS]],$AG$110:$AJ$120,1,1)</f>
        <v>26988.51</v>
      </c>
      <c r="AH192" s="163">
        <f>IMSS[[#This Row],[SUE MENS]]-IMSS[[#This Row],[LIM INF]]</f>
        <v>161.4900000000016</v>
      </c>
      <c r="AI192" s="163">
        <f>IMSS[[#This Row],[EXC LIM INF]]*(VLOOKUP(IMSS[[#This Row],[LIM INF]],$AG$110:$AJ$120,4,0))</f>
        <v>37.982448000000375</v>
      </c>
      <c r="AJ192" s="163">
        <f>VLOOKUP(IMSS[[#This Row],[LIM INF]],$AG$110:$AJ$120,3)</f>
        <v>4323.58</v>
      </c>
      <c r="AK192" s="163">
        <f>SUM(IMSS[[#This Row],[TASA EXC]]+IMSS[[#This Row],[CUOTA FIJA]])</f>
        <v>4361.5624480000006</v>
      </c>
      <c r="AL192" s="163">
        <f>VLOOKUP(IMSS[[#This Row],[SUE MENS]],$AL$110:$AN$120,3,1)</f>
        <v>0</v>
      </c>
      <c r="AM192" s="248">
        <f>IF(IMSS[[#This Row],[ISR CARGO]]-IMSS[[#This Row],[SUBS ISR]]&gt;0,IMSS[[#This Row],[ISR CARGO]]-IMSS[[#This Row],[SUBS ISR]],0)</f>
        <v>4361.5624480000006</v>
      </c>
      <c r="AN192" s="248">
        <f>IF(IMSS[[#This Row],[SUBS ISR]]-IMSS[[#This Row],[ISR CARGO]]&gt;0,IMSS[[#This Row],[SUBS ISR]]-IMSS[[#This Row],[ISR CARGO]],0)</f>
        <v>0</v>
      </c>
    </row>
    <row r="193" spans="3:40" ht="15" hidden="1" customHeight="1" x14ac:dyDescent="0.25">
      <c r="C193" s="243">
        <v>178</v>
      </c>
      <c r="D193" s="167" t="str">
        <f>VLOOKUP(IMSS[[#This Row],[NEM]],BDD[],2,0)</f>
        <v>Nallely Guadalupe Guerrero Estanislao</v>
      </c>
      <c r="E193" s="167" t="str">
        <f>VLOOKUP(IMSS[[#This Row],[NEM]],BDD[],9,0)</f>
        <v>CONTA</v>
      </c>
      <c r="F193" s="168">
        <v>30</v>
      </c>
      <c r="G193" s="139">
        <f>VLOOKUP(IMSS[[#This Row],[NEM]],BDD[],3,0)</f>
        <v>22200</v>
      </c>
      <c r="H193" s="139">
        <f ca="1">VLOOKUP(IMSS[[#This Row],[NEM]],BDD[],25,0)</f>
        <v>810.95890410958896</v>
      </c>
      <c r="I193" s="143">
        <f>VLOOKUP(IMSS[[#This Row],[DEPT]],$B$3:$G$49,6,0)</f>
        <v>5.4355000000000002E-3</v>
      </c>
      <c r="J193" s="163">
        <f ca="1">IMSS[[#This Row],[DIAS LAB]]*IMSS[[#This Row],[SDI]]*IMSS[[#This Row],[% RSG]]*$Q$108</f>
        <v>132.23901369863012</v>
      </c>
      <c r="K193" s="163">
        <f>IMSS[[#This Row],[DIAS LAB]]*$J$110*$Q$109</f>
        <v>548.47440000000006</v>
      </c>
      <c r="L193" s="166">
        <f ca="1">IMSS[[#This Row],[DIAS LAB]]*IF(IMSS[[#This Row],[SDI]]-$J$113&gt;0,IMSS[[#This Row],[SDI]]-$J$113,0)*$Q$110</f>
        <v>178.89263835616433</v>
      </c>
      <c r="M193" s="166">
        <f ca="1">IMSS[[#This Row],[DIAS LAB]]*IMSS[[#This Row],[SDI]]*$Q$111</f>
        <v>255.45205479452054</v>
      </c>
      <c r="N193" s="163">
        <f ca="1">IMSS[[#This Row],[DIAS LAB]]*IMSS[[#This Row],[SDI]]*$Q$112</f>
        <v>170.30136986301366</v>
      </c>
      <c r="O193" s="166">
        <f ca="1">IMSS[[#This Row],[DIAS LAB]]*IMSS[[#This Row],[SDI]]*$Q$113</f>
        <v>425.7534246575342</v>
      </c>
      <c r="P193" s="163">
        <f ca="1">IMSS[[#This Row],[DIAS LAB]]*IMSS[[#This Row],[SDI]]*$Q$114</f>
        <v>243.28767123287668</v>
      </c>
      <c r="Q193" s="166">
        <f ca="1">IMSS[[#This Row],[DIAS LAB]]*IMSS[[#This Row],[SDI]]*$Q$115</f>
        <v>486.57534246575335</v>
      </c>
      <c r="R193" s="163">
        <f ca="1">IMSS[[#This Row],[DIAS LAB]]*IMSS[[#This Row],[SDI]]*$Q$116</f>
        <v>766.35616438356158</v>
      </c>
      <c r="S193" s="163">
        <f ca="1">IMSS[[#This Row],[DIAS LAB]]*IMSS[[#This Row],[SDI]]*$Q$117</f>
        <v>1216.4383561643833</v>
      </c>
      <c r="T193" s="164">
        <f ca="1">SUM(IMSS[[#This Row],[P RSG TRB]:[P INFONAVIT]])</f>
        <v>4423.7704356164377</v>
      </c>
      <c r="U193" s="163">
        <f ca="1">IMSS[[#This Row],[DIAS LAB]]*IMSS[[#This Row],[SDI]]*IMSS[[#This Row],[% RSG]]*$R$108</f>
        <v>0</v>
      </c>
      <c r="V193" s="163">
        <f ca="1">IMSS[[#This Row],[DIAS LAB]]*IMSS[[#This Row],[SDI]]*$R$112</f>
        <v>60.821917808219169</v>
      </c>
      <c r="W193" s="163"/>
      <c r="X193" s="163">
        <f ca="1">IMSS[[#This Row],[DIAS LAB]]*IMSS[[#This Row],[SDI]]*$R$113</f>
        <v>153.2712328767123</v>
      </c>
      <c r="Y193" s="163">
        <f ca="1">IMSS[[#This Row],[DIAS LAB]]*IMSS[[#This Row],[SDI]]*$R$114</f>
        <v>0</v>
      </c>
      <c r="Z193" s="163">
        <f ca="1">IMSS[[#This Row],[DIAS LAB]]*IMSS[[#This Row],[SDI]]*$R$115</f>
        <v>0</v>
      </c>
      <c r="AA193" s="163">
        <f ca="1">IMSS[[#This Row],[DIAS LAB]]*IMSS[[#This Row],[SDI]]*$R$116</f>
        <v>274.91506849315061</v>
      </c>
      <c r="AB193" s="163">
        <f ca="1">IMSS[[#This Row],[DIAS LAB]]*IMSS[[#This Row],[SDI]]*$R$117</f>
        <v>0</v>
      </c>
      <c r="AC193" s="247">
        <f ca="1">SUM(IMSS[[#This Row],[O RSG TRB]:[O INFONAVIT]])</f>
        <v>489.00821917808207</v>
      </c>
      <c r="AD193" s="163"/>
      <c r="AE193" s="165">
        <f ca="1">IMSS[[#This Row],[P TOTAL]]+IMSS[[#This Row],[O TOTAL]]</f>
        <v>4912.7786547945198</v>
      </c>
      <c r="AF193" s="163"/>
      <c r="AG193" s="163">
        <f>VLOOKUP(IMSS[[#This Row],[SUE MENS]],$AG$110:$AJ$120,1,1)</f>
        <v>13381.48</v>
      </c>
      <c r="AH193" s="163">
        <f>IMSS[[#This Row],[SUE MENS]]-IMSS[[#This Row],[LIM INF]]</f>
        <v>8818.52</v>
      </c>
      <c r="AI193" s="163">
        <f>IMSS[[#This Row],[EXC LIM INF]]*(VLOOKUP(IMSS[[#This Row],[LIM INF]],$AG$110:$AJ$120,4,0))</f>
        <v>1883.6358720000001</v>
      </c>
      <c r="AJ193" s="163">
        <f>VLOOKUP(IMSS[[#This Row],[LIM INF]],$AG$110:$AJ$120,3)</f>
        <v>1417.12</v>
      </c>
      <c r="AK193" s="163">
        <f>SUM(IMSS[[#This Row],[TASA EXC]]+IMSS[[#This Row],[CUOTA FIJA]])</f>
        <v>3300.7558719999997</v>
      </c>
      <c r="AL193" s="163">
        <f>VLOOKUP(IMSS[[#This Row],[SUE MENS]],$AL$110:$AN$120,3,1)</f>
        <v>0</v>
      </c>
      <c r="AM193" s="248">
        <f>IF(IMSS[[#This Row],[ISR CARGO]]-IMSS[[#This Row],[SUBS ISR]]&gt;0,IMSS[[#This Row],[ISR CARGO]]-IMSS[[#This Row],[SUBS ISR]],0)</f>
        <v>3300.7558719999997</v>
      </c>
      <c r="AN193" s="248">
        <f>IF(IMSS[[#This Row],[SUBS ISR]]-IMSS[[#This Row],[ISR CARGO]]&gt;0,IMSS[[#This Row],[SUBS ISR]]-IMSS[[#This Row],[ISR CARGO]],0)</f>
        <v>0</v>
      </c>
    </row>
    <row r="194" spans="3:40" ht="15" hidden="1" customHeight="1" x14ac:dyDescent="0.25">
      <c r="C194" s="243">
        <v>179</v>
      </c>
      <c r="D194" s="167" t="str">
        <f>VLOOKUP(IMSS[[#This Row],[NEM]],BDD[],2,0)</f>
        <v>Antonio Martinez Manriquez</v>
      </c>
      <c r="E194" s="167" t="str">
        <f>VLOOKUP(IMSS[[#This Row],[NEM]],BDD[],9,0)</f>
        <v>EQUIPOS</v>
      </c>
      <c r="F194" s="168">
        <v>30</v>
      </c>
      <c r="G194" s="139">
        <f>VLOOKUP(IMSS[[#This Row],[NEM]],BDD[],3,0)</f>
        <v>27150</v>
      </c>
      <c r="H194" s="139">
        <f ca="1">VLOOKUP(IMSS[[#This Row],[NEM]],BDD[],25,0)</f>
        <v>1004.1780821917808</v>
      </c>
      <c r="I194" s="143">
        <f>VLOOKUP(IMSS[[#This Row],[DEPT]],$B$3:$G$49,6,0)</f>
        <v>1.130658E-2</v>
      </c>
      <c r="J194" s="163">
        <f ca="1">IMSS[[#This Row],[DIAS LAB]]*IMSS[[#This Row],[SDI]]*IMSS[[#This Row],[% RSG]]*$Q$108</f>
        <v>340.61459461643841</v>
      </c>
      <c r="K194" s="163">
        <f>IMSS[[#This Row],[DIAS LAB]]*$J$110*$Q$109</f>
        <v>548.47440000000006</v>
      </c>
      <c r="L194" s="166">
        <f ca="1">IMSS[[#This Row],[DIAS LAB]]*IF(IMSS[[#This Row],[SDI]]-$J$113&gt;0,IMSS[[#This Row],[SDI]]-$J$113,0)*$Q$110</f>
        <v>242.65496712328766</v>
      </c>
      <c r="M194" s="166">
        <f ca="1">IMSS[[#This Row],[DIAS LAB]]*IMSS[[#This Row],[SDI]]*$Q$111</f>
        <v>316.31609589041102</v>
      </c>
      <c r="N194" s="163">
        <f ca="1">IMSS[[#This Row],[DIAS LAB]]*IMSS[[#This Row],[SDI]]*$Q$112</f>
        <v>210.87739726027399</v>
      </c>
      <c r="O194" s="166">
        <f ca="1">IMSS[[#This Row],[DIAS LAB]]*IMSS[[#This Row],[SDI]]*$Q$113</f>
        <v>527.19349315068507</v>
      </c>
      <c r="P194" s="163">
        <f ca="1">IMSS[[#This Row],[DIAS LAB]]*IMSS[[#This Row],[SDI]]*$Q$114</f>
        <v>301.25342465753425</v>
      </c>
      <c r="Q194" s="166">
        <f ca="1">IMSS[[#This Row],[DIAS LAB]]*IMSS[[#This Row],[SDI]]*$Q$115</f>
        <v>602.50684931506851</v>
      </c>
      <c r="R194" s="163">
        <f ca="1">IMSS[[#This Row],[DIAS LAB]]*IMSS[[#This Row],[SDI]]*$Q$116</f>
        <v>948.94828767123295</v>
      </c>
      <c r="S194" s="163">
        <f ca="1">IMSS[[#This Row],[DIAS LAB]]*IMSS[[#This Row],[SDI]]*$Q$117</f>
        <v>1506.2671232876714</v>
      </c>
      <c r="T194" s="164">
        <f ca="1">SUM(IMSS[[#This Row],[P RSG TRB]:[P INFONAVIT]])</f>
        <v>5545.1066329726036</v>
      </c>
      <c r="U194" s="163">
        <f ca="1">IMSS[[#This Row],[DIAS LAB]]*IMSS[[#This Row],[SDI]]*IMSS[[#This Row],[% RSG]]*$R$108</f>
        <v>0</v>
      </c>
      <c r="V194" s="163">
        <f ca="1">IMSS[[#This Row],[DIAS LAB]]*IMSS[[#This Row],[SDI]]*$R$112</f>
        <v>75.313356164383563</v>
      </c>
      <c r="W194" s="163"/>
      <c r="X194" s="163">
        <f ca="1">IMSS[[#This Row],[DIAS LAB]]*IMSS[[#This Row],[SDI]]*$R$113</f>
        <v>189.7896575342466</v>
      </c>
      <c r="Y194" s="163">
        <f ca="1">IMSS[[#This Row],[DIAS LAB]]*IMSS[[#This Row],[SDI]]*$R$114</f>
        <v>0</v>
      </c>
      <c r="Z194" s="163">
        <f ca="1">IMSS[[#This Row],[DIAS LAB]]*IMSS[[#This Row],[SDI]]*$R$115</f>
        <v>0</v>
      </c>
      <c r="AA194" s="163">
        <f ca="1">IMSS[[#This Row],[DIAS LAB]]*IMSS[[#This Row],[SDI]]*$R$116</f>
        <v>340.4163698630137</v>
      </c>
      <c r="AB194" s="163">
        <f ca="1">IMSS[[#This Row],[DIAS LAB]]*IMSS[[#This Row],[SDI]]*$R$117</f>
        <v>0</v>
      </c>
      <c r="AC194" s="247">
        <f ca="1">SUM(IMSS[[#This Row],[O RSG TRB]:[O INFONAVIT]])</f>
        <v>605.51938356164385</v>
      </c>
      <c r="AD194" s="163"/>
      <c r="AE194" s="165">
        <f ca="1">IMSS[[#This Row],[P TOTAL]]+IMSS[[#This Row],[O TOTAL]]</f>
        <v>6150.6260165342474</v>
      </c>
      <c r="AF194" s="163"/>
      <c r="AG194" s="163">
        <f>VLOOKUP(IMSS[[#This Row],[SUE MENS]],$AG$110:$AJ$120,1,1)</f>
        <v>26988.51</v>
      </c>
      <c r="AH194" s="163">
        <f>IMSS[[#This Row],[SUE MENS]]-IMSS[[#This Row],[LIM INF]]</f>
        <v>161.4900000000016</v>
      </c>
      <c r="AI194" s="163">
        <f>IMSS[[#This Row],[EXC LIM INF]]*(VLOOKUP(IMSS[[#This Row],[LIM INF]],$AG$110:$AJ$120,4,0))</f>
        <v>37.982448000000375</v>
      </c>
      <c r="AJ194" s="163">
        <f>VLOOKUP(IMSS[[#This Row],[LIM INF]],$AG$110:$AJ$120,3)</f>
        <v>4323.58</v>
      </c>
      <c r="AK194" s="163">
        <f>SUM(IMSS[[#This Row],[TASA EXC]]+IMSS[[#This Row],[CUOTA FIJA]])</f>
        <v>4361.5624480000006</v>
      </c>
      <c r="AL194" s="163">
        <f>VLOOKUP(IMSS[[#This Row],[SUE MENS]],$AL$110:$AN$120,3,1)</f>
        <v>0</v>
      </c>
      <c r="AM194" s="248">
        <f>IF(IMSS[[#This Row],[ISR CARGO]]-IMSS[[#This Row],[SUBS ISR]]&gt;0,IMSS[[#This Row],[ISR CARGO]]-IMSS[[#This Row],[SUBS ISR]],0)</f>
        <v>4361.5624480000006</v>
      </c>
      <c r="AN194" s="248">
        <f>IF(IMSS[[#This Row],[SUBS ISR]]-IMSS[[#This Row],[ISR CARGO]]&gt;0,IMSS[[#This Row],[SUBS ISR]]-IMSS[[#This Row],[ISR CARGO]],0)</f>
        <v>0</v>
      </c>
    </row>
    <row r="195" spans="3:40" ht="15" hidden="1" customHeight="1" x14ac:dyDescent="0.25">
      <c r="C195" s="243">
        <v>180</v>
      </c>
      <c r="D195" s="167" t="str">
        <f>VLOOKUP(IMSS[[#This Row],[NEM]],BDD[],2,0)</f>
        <v>Nallely Patricia Vázquez Vargas</v>
      </c>
      <c r="E195" s="167" t="str">
        <f>VLOOKUP(IMSS[[#This Row],[NEM]],BDD[],9,0)</f>
        <v>AUDIT ADMN</v>
      </c>
      <c r="F195" s="168">
        <v>30</v>
      </c>
      <c r="G195" s="139">
        <f>VLOOKUP(IMSS[[#This Row],[NEM]],BDD[],3,0)</f>
        <v>7445</v>
      </c>
      <c r="H195" s="139">
        <f ca="1">VLOOKUP(IMSS[[#This Row],[NEM]],BDD[],25,0)</f>
        <v>271.96347031963467</v>
      </c>
      <c r="I195" s="143">
        <f>VLOOKUP(IMSS[[#This Row],[DEPT]],$B$3:$G$49,6,0)</f>
        <v>5.4355000000000002E-3</v>
      </c>
      <c r="J195" s="163">
        <f ca="1">IMSS[[#This Row],[DIAS LAB]]*IMSS[[#This Row],[SDI]]*IMSS[[#This Row],[% RSG]]*$Q$108</f>
        <v>44.347723287671229</v>
      </c>
      <c r="K195" s="163">
        <f>IMSS[[#This Row],[DIAS LAB]]*$J$110*$Q$109</f>
        <v>548.47440000000006</v>
      </c>
      <c r="L195" s="166">
        <f ca="1">IMSS[[#This Row],[DIAS LAB]]*IF(IMSS[[#This Row],[SDI]]-$J$113&gt;0,IMSS[[#This Row],[SDI]]-$J$113,0)*$Q$110</f>
        <v>1.0241452054794353</v>
      </c>
      <c r="M195" s="166">
        <f ca="1">IMSS[[#This Row],[DIAS LAB]]*IMSS[[#This Row],[SDI]]*$Q$111</f>
        <v>85.668493150684924</v>
      </c>
      <c r="N195" s="163">
        <f ca="1">IMSS[[#This Row],[DIAS LAB]]*IMSS[[#This Row],[SDI]]*$Q$112</f>
        <v>57.11232876712328</v>
      </c>
      <c r="O195" s="166">
        <f ca="1">IMSS[[#This Row],[DIAS LAB]]*IMSS[[#This Row],[SDI]]*$Q$113</f>
        <v>142.7808219178082</v>
      </c>
      <c r="P195" s="163">
        <f ca="1">IMSS[[#This Row],[DIAS LAB]]*IMSS[[#This Row],[SDI]]*$Q$114</f>
        <v>81.589041095890394</v>
      </c>
      <c r="Q195" s="166">
        <f ca="1">IMSS[[#This Row],[DIAS LAB]]*IMSS[[#This Row],[SDI]]*$Q$115</f>
        <v>163.17808219178079</v>
      </c>
      <c r="R195" s="163">
        <f ca="1">IMSS[[#This Row],[DIAS LAB]]*IMSS[[#This Row],[SDI]]*$Q$116</f>
        <v>257.00547945205477</v>
      </c>
      <c r="S195" s="163">
        <f ca="1">IMSS[[#This Row],[DIAS LAB]]*IMSS[[#This Row],[SDI]]*$Q$117</f>
        <v>407.945205479452</v>
      </c>
      <c r="T195" s="164">
        <f ca="1">SUM(IMSS[[#This Row],[P RSG TRB]:[P INFONAVIT]])</f>
        <v>1789.1257205479449</v>
      </c>
      <c r="U195" s="163">
        <f ca="1">IMSS[[#This Row],[DIAS LAB]]*IMSS[[#This Row],[SDI]]*IMSS[[#This Row],[% RSG]]*$R$108</f>
        <v>0</v>
      </c>
      <c r="V195" s="163">
        <f ca="1">IMSS[[#This Row],[DIAS LAB]]*IMSS[[#This Row],[SDI]]*$R$112</f>
        <v>20.397260273972599</v>
      </c>
      <c r="W195" s="163"/>
      <c r="X195" s="163">
        <f ca="1">IMSS[[#This Row],[DIAS LAB]]*IMSS[[#This Row],[SDI]]*$R$113</f>
        <v>51.40109589041095</v>
      </c>
      <c r="Y195" s="163">
        <f ca="1">IMSS[[#This Row],[DIAS LAB]]*IMSS[[#This Row],[SDI]]*$R$114</f>
        <v>0</v>
      </c>
      <c r="Z195" s="163">
        <f ca="1">IMSS[[#This Row],[DIAS LAB]]*IMSS[[#This Row],[SDI]]*$R$115</f>
        <v>0</v>
      </c>
      <c r="AA195" s="163">
        <f ca="1">IMSS[[#This Row],[DIAS LAB]]*IMSS[[#This Row],[SDI]]*$R$116</f>
        <v>92.19561643835614</v>
      </c>
      <c r="AB195" s="163">
        <f ca="1">IMSS[[#This Row],[DIAS LAB]]*IMSS[[#This Row],[SDI]]*$R$117</f>
        <v>0</v>
      </c>
      <c r="AC195" s="247">
        <f ca="1">SUM(IMSS[[#This Row],[O RSG TRB]:[O INFONAVIT]])</f>
        <v>163.99397260273969</v>
      </c>
      <c r="AD195" s="163"/>
      <c r="AE195" s="165">
        <f ca="1">IMSS[[#This Row],[P TOTAL]]+IMSS[[#This Row],[O TOTAL]]</f>
        <v>1953.1196931506845</v>
      </c>
      <c r="AF195" s="163"/>
      <c r="AG195" s="163">
        <f>VLOOKUP(IMSS[[#This Row],[SUE MENS]],$AG$110:$AJ$120,1,1)</f>
        <v>5470.93</v>
      </c>
      <c r="AH195" s="163">
        <f>IMSS[[#This Row],[SUE MENS]]-IMSS[[#This Row],[LIM INF]]</f>
        <v>1974.0699999999997</v>
      </c>
      <c r="AI195" s="163">
        <f>IMSS[[#This Row],[EXC LIM INF]]*(VLOOKUP(IMSS[[#This Row],[LIM INF]],$AG$110:$AJ$120,4,0))</f>
        <v>214.77881599999998</v>
      </c>
      <c r="AJ195" s="163">
        <f>VLOOKUP(IMSS[[#This Row],[LIM INF]],$AG$110:$AJ$120,3)</f>
        <v>321.26</v>
      </c>
      <c r="AK195" s="163">
        <f>SUM(IMSS[[#This Row],[TASA EXC]]+IMSS[[#This Row],[CUOTA FIJA]])</f>
        <v>536.038816</v>
      </c>
      <c r="AL195" s="163">
        <f>VLOOKUP(IMSS[[#This Row],[SUE MENS]],$AL$110:$AN$120,3,1)</f>
        <v>0</v>
      </c>
      <c r="AM195" s="248">
        <f>IF(IMSS[[#This Row],[ISR CARGO]]-IMSS[[#This Row],[SUBS ISR]]&gt;0,IMSS[[#This Row],[ISR CARGO]]-IMSS[[#This Row],[SUBS ISR]],0)</f>
        <v>536.038816</v>
      </c>
      <c r="AN195" s="248">
        <f>IF(IMSS[[#This Row],[SUBS ISR]]-IMSS[[#This Row],[ISR CARGO]]&gt;0,IMSS[[#This Row],[SUBS ISR]]-IMSS[[#This Row],[ISR CARGO]],0)</f>
        <v>0</v>
      </c>
    </row>
    <row r="196" spans="3:40" ht="15" hidden="1" customHeight="1" x14ac:dyDescent="0.25">
      <c r="C196" s="243">
        <v>182</v>
      </c>
      <c r="D196" s="167" t="str">
        <f>VLOOKUP(IMSS[[#This Row],[NEM]],BDD[],2,0)</f>
        <v>Lucero Cedillo Tovar</v>
      </c>
      <c r="E196" s="167" t="str">
        <f>VLOOKUP(IMSS[[#This Row],[NEM]],BDD[],9,0)</f>
        <v>RENDER</v>
      </c>
      <c r="F196" s="168">
        <v>30</v>
      </c>
      <c r="G196" s="139">
        <f>VLOOKUP(IMSS[[#This Row],[NEM]],BDD[],3,0)</f>
        <v>7445</v>
      </c>
      <c r="H196" s="139">
        <f ca="1">VLOOKUP(IMSS[[#This Row],[NEM]],BDD[],25,0)</f>
        <v>273.32328767123283</v>
      </c>
      <c r="I196" s="143">
        <f>VLOOKUP(IMSS[[#This Row],[DEPT]],$B$3:$G$49,6,0)</f>
        <v>2.5984400000000001E-2</v>
      </c>
      <c r="J196" s="163">
        <f ca="1">IMSS[[#This Row],[DIAS LAB]]*IMSS[[#This Row],[SDI]]*IMSS[[#This Row],[% RSG]]*$Q$108</f>
        <v>213.06424908493148</v>
      </c>
      <c r="K196" s="163">
        <f>IMSS[[#This Row],[DIAS LAB]]*$J$110*$Q$109</f>
        <v>548.47440000000006</v>
      </c>
      <c r="L196" s="166">
        <f ca="1">IMSS[[#This Row],[DIAS LAB]]*IF(IMSS[[#This Row],[SDI]]-$J$113&gt;0,IMSS[[#This Row],[SDI]]-$J$113,0)*$Q$110</f>
        <v>1.4728849315068304</v>
      </c>
      <c r="M196" s="166">
        <f ca="1">IMSS[[#This Row],[DIAS LAB]]*IMSS[[#This Row],[SDI]]*$Q$111</f>
        <v>86.096835616438355</v>
      </c>
      <c r="N196" s="163">
        <f ca="1">IMSS[[#This Row],[DIAS LAB]]*IMSS[[#This Row],[SDI]]*$Q$112</f>
        <v>57.397890410958901</v>
      </c>
      <c r="O196" s="166">
        <f ca="1">IMSS[[#This Row],[DIAS LAB]]*IMSS[[#This Row],[SDI]]*$Q$113</f>
        <v>143.49472602739726</v>
      </c>
      <c r="P196" s="163">
        <f ca="1">IMSS[[#This Row],[DIAS LAB]]*IMSS[[#This Row],[SDI]]*$Q$114</f>
        <v>81.996986301369859</v>
      </c>
      <c r="Q196" s="166">
        <f ca="1">IMSS[[#This Row],[DIAS LAB]]*IMSS[[#This Row],[SDI]]*$Q$115</f>
        <v>163.99397260273972</v>
      </c>
      <c r="R196" s="163">
        <f ca="1">IMSS[[#This Row],[DIAS LAB]]*IMSS[[#This Row],[SDI]]*$Q$116</f>
        <v>258.29050684931502</v>
      </c>
      <c r="S196" s="163">
        <f ca="1">IMSS[[#This Row],[DIAS LAB]]*IMSS[[#This Row],[SDI]]*$Q$117</f>
        <v>409.98493150684931</v>
      </c>
      <c r="T196" s="164">
        <f ca="1">SUM(IMSS[[#This Row],[P RSG TRB]:[P INFONAVIT]])</f>
        <v>1964.2673833315068</v>
      </c>
      <c r="U196" s="163">
        <f ca="1">IMSS[[#This Row],[DIAS LAB]]*IMSS[[#This Row],[SDI]]*IMSS[[#This Row],[% RSG]]*$R$108</f>
        <v>0</v>
      </c>
      <c r="V196" s="163">
        <f ca="1">IMSS[[#This Row],[DIAS LAB]]*IMSS[[#This Row],[SDI]]*$R$112</f>
        <v>20.499246575342465</v>
      </c>
      <c r="W196" s="163"/>
      <c r="X196" s="163">
        <f ca="1">IMSS[[#This Row],[DIAS LAB]]*IMSS[[#This Row],[SDI]]*$R$113</f>
        <v>51.658101369863004</v>
      </c>
      <c r="Y196" s="163">
        <f ca="1">IMSS[[#This Row],[DIAS LAB]]*IMSS[[#This Row],[SDI]]*$R$114</f>
        <v>0</v>
      </c>
      <c r="Z196" s="163">
        <f ca="1">IMSS[[#This Row],[DIAS LAB]]*IMSS[[#This Row],[SDI]]*$R$115</f>
        <v>0</v>
      </c>
      <c r="AA196" s="163">
        <f ca="1">IMSS[[#This Row],[DIAS LAB]]*IMSS[[#This Row],[SDI]]*$R$116</f>
        <v>92.656594520547927</v>
      </c>
      <c r="AB196" s="163">
        <f ca="1">IMSS[[#This Row],[DIAS LAB]]*IMSS[[#This Row],[SDI]]*$R$117</f>
        <v>0</v>
      </c>
      <c r="AC196" s="247">
        <f ca="1">SUM(IMSS[[#This Row],[O RSG TRB]:[O INFONAVIT]])</f>
        <v>164.8139424657534</v>
      </c>
      <c r="AD196" s="163"/>
      <c r="AE196" s="165">
        <f ca="1">IMSS[[#This Row],[P TOTAL]]+IMSS[[#This Row],[O TOTAL]]</f>
        <v>2129.0813257972604</v>
      </c>
      <c r="AF196" s="163"/>
      <c r="AG196" s="163">
        <f>VLOOKUP(IMSS[[#This Row],[SUE MENS]],$AG$110:$AJ$120,1,1)</f>
        <v>5470.93</v>
      </c>
      <c r="AH196" s="163">
        <f>IMSS[[#This Row],[SUE MENS]]-IMSS[[#This Row],[LIM INF]]</f>
        <v>1974.0699999999997</v>
      </c>
      <c r="AI196" s="163">
        <f>IMSS[[#This Row],[EXC LIM INF]]*(VLOOKUP(IMSS[[#This Row],[LIM INF]],$AG$110:$AJ$120,4,0))</f>
        <v>214.77881599999998</v>
      </c>
      <c r="AJ196" s="163">
        <f>VLOOKUP(IMSS[[#This Row],[LIM INF]],$AG$110:$AJ$120,3)</f>
        <v>321.26</v>
      </c>
      <c r="AK196" s="163">
        <f>SUM(IMSS[[#This Row],[TASA EXC]]+IMSS[[#This Row],[CUOTA FIJA]])</f>
        <v>536.038816</v>
      </c>
      <c r="AL196" s="163">
        <f>VLOOKUP(IMSS[[#This Row],[SUE MENS]],$AL$110:$AN$120,3,1)</f>
        <v>0</v>
      </c>
      <c r="AM196" s="248">
        <f>IF(IMSS[[#This Row],[ISR CARGO]]-IMSS[[#This Row],[SUBS ISR]]&gt;0,IMSS[[#This Row],[ISR CARGO]]-IMSS[[#This Row],[SUBS ISR]],0)</f>
        <v>536.038816</v>
      </c>
      <c r="AN196" s="248">
        <f>IF(IMSS[[#This Row],[SUBS ISR]]-IMSS[[#This Row],[ISR CARGO]]&gt;0,IMSS[[#This Row],[SUBS ISR]]-IMSS[[#This Row],[ISR CARGO]],0)</f>
        <v>0</v>
      </c>
    </row>
    <row r="197" spans="3:40" ht="15" hidden="1" customHeight="1" x14ac:dyDescent="0.25">
      <c r="C197" s="243">
        <v>183</v>
      </c>
      <c r="D197" s="167" t="str">
        <f>VLOOKUP(IMSS[[#This Row],[NEM]],BDD[],2,0)</f>
        <v>Jennifer Sarahí Coronado Moreno</v>
      </c>
      <c r="E197" s="167" t="str">
        <f>VLOOKUP(IMSS[[#This Row],[NEM]],BDD[],9,0)</f>
        <v>AUDIT PROY</v>
      </c>
      <c r="F197" s="168">
        <v>30</v>
      </c>
      <c r="G197" s="139">
        <f>VLOOKUP(IMSS[[#This Row],[NEM]],BDD[],3,0)</f>
        <v>7950</v>
      </c>
      <c r="H197" s="139">
        <f ca="1">VLOOKUP(IMSS[[#This Row],[NEM]],BDD[],25,0)</f>
        <v>291.86301369863014</v>
      </c>
      <c r="I197" s="143">
        <f>VLOOKUP(IMSS[[#This Row],[DEPT]],$B$3:$G$49,6,0)</f>
        <v>1.130658E-2</v>
      </c>
      <c r="J197" s="163">
        <f ca="1">IMSS[[#This Row],[DIAS LAB]]*IMSS[[#This Row],[SDI]]*IMSS[[#This Row],[% RSG]]*$Q$108</f>
        <v>98.999175402739723</v>
      </c>
      <c r="K197" s="163">
        <f>IMSS[[#This Row],[DIAS LAB]]*$J$110*$Q$109</f>
        <v>548.47440000000006</v>
      </c>
      <c r="L197" s="166">
        <f ca="1">IMSS[[#This Row],[DIAS LAB]]*IF(IMSS[[#This Row],[SDI]]-$J$113&gt;0,IMSS[[#This Row],[SDI]]-$J$113,0)*$Q$110</f>
        <v>7.5909945205479419</v>
      </c>
      <c r="M197" s="166">
        <f ca="1">IMSS[[#This Row],[DIAS LAB]]*IMSS[[#This Row],[SDI]]*$Q$111</f>
        <v>91.9368493150685</v>
      </c>
      <c r="N197" s="163">
        <f ca="1">IMSS[[#This Row],[DIAS LAB]]*IMSS[[#This Row],[SDI]]*$Q$112</f>
        <v>61.291232876712328</v>
      </c>
      <c r="O197" s="166">
        <f ca="1">IMSS[[#This Row],[DIAS LAB]]*IMSS[[#This Row],[SDI]]*$Q$113</f>
        <v>153.22808219178083</v>
      </c>
      <c r="P197" s="163">
        <f ca="1">IMSS[[#This Row],[DIAS LAB]]*IMSS[[#This Row],[SDI]]*$Q$114</f>
        <v>87.558904109589037</v>
      </c>
      <c r="Q197" s="166">
        <f ca="1">IMSS[[#This Row],[DIAS LAB]]*IMSS[[#This Row],[SDI]]*$Q$115</f>
        <v>175.11780821917807</v>
      </c>
      <c r="R197" s="163">
        <f ca="1">IMSS[[#This Row],[DIAS LAB]]*IMSS[[#This Row],[SDI]]*$Q$116</f>
        <v>275.81054794520549</v>
      </c>
      <c r="S197" s="163">
        <f ca="1">IMSS[[#This Row],[DIAS LAB]]*IMSS[[#This Row],[SDI]]*$Q$117</f>
        <v>437.79452054794524</v>
      </c>
      <c r="T197" s="164">
        <f ca="1">SUM(IMSS[[#This Row],[P RSG TRB]:[P INFONAVIT]])</f>
        <v>1937.8025151287673</v>
      </c>
      <c r="U197" s="163">
        <f ca="1">IMSS[[#This Row],[DIAS LAB]]*IMSS[[#This Row],[SDI]]*IMSS[[#This Row],[% RSG]]*$R$108</f>
        <v>0</v>
      </c>
      <c r="V197" s="163">
        <f ca="1">IMSS[[#This Row],[DIAS LAB]]*IMSS[[#This Row],[SDI]]*$R$112</f>
        <v>21.889726027397259</v>
      </c>
      <c r="W197" s="163"/>
      <c r="X197" s="163">
        <f ca="1">IMSS[[#This Row],[DIAS LAB]]*IMSS[[#This Row],[SDI]]*$R$113</f>
        <v>55.162109589041094</v>
      </c>
      <c r="Y197" s="163">
        <f ca="1">IMSS[[#This Row],[DIAS LAB]]*IMSS[[#This Row],[SDI]]*$R$114</f>
        <v>0</v>
      </c>
      <c r="Z197" s="163">
        <f ca="1">IMSS[[#This Row],[DIAS LAB]]*IMSS[[#This Row],[SDI]]*$R$115</f>
        <v>0</v>
      </c>
      <c r="AA197" s="163">
        <f ca="1">IMSS[[#This Row],[DIAS LAB]]*IMSS[[#This Row],[SDI]]*$R$116</f>
        <v>98.941561643835612</v>
      </c>
      <c r="AB197" s="163">
        <f ca="1">IMSS[[#This Row],[DIAS LAB]]*IMSS[[#This Row],[SDI]]*$R$117</f>
        <v>0</v>
      </c>
      <c r="AC197" s="247">
        <f ca="1">SUM(IMSS[[#This Row],[O RSG TRB]:[O INFONAVIT]])</f>
        <v>175.99339726027398</v>
      </c>
      <c r="AD197" s="163"/>
      <c r="AE197" s="165">
        <f ca="1">IMSS[[#This Row],[P TOTAL]]+IMSS[[#This Row],[O TOTAL]]</f>
        <v>2113.7959123890414</v>
      </c>
      <c r="AF197" s="163"/>
      <c r="AG197" s="163">
        <f>VLOOKUP(IMSS[[#This Row],[SUE MENS]],$AG$110:$AJ$120,1,1)</f>
        <v>5470.93</v>
      </c>
      <c r="AH197" s="163">
        <f>IMSS[[#This Row],[SUE MENS]]-IMSS[[#This Row],[LIM INF]]</f>
        <v>2479.0699999999997</v>
      </c>
      <c r="AI197" s="163">
        <f>IMSS[[#This Row],[EXC LIM INF]]*(VLOOKUP(IMSS[[#This Row],[LIM INF]],$AG$110:$AJ$120,4,0))</f>
        <v>269.72281599999997</v>
      </c>
      <c r="AJ197" s="163">
        <f>VLOOKUP(IMSS[[#This Row],[LIM INF]],$AG$110:$AJ$120,3)</f>
        <v>321.26</v>
      </c>
      <c r="AK197" s="163">
        <f>SUM(IMSS[[#This Row],[TASA EXC]]+IMSS[[#This Row],[CUOTA FIJA]])</f>
        <v>590.98281599999996</v>
      </c>
      <c r="AL197" s="163">
        <f>VLOOKUP(IMSS[[#This Row],[SUE MENS]],$AL$110:$AN$120,3,1)</f>
        <v>0</v>
      </c>
      <c r="AM197" s="248">
        <f>IF(IMSS[[#This Row],[ISR CARGO]]-IMSS[[#This Row],[SUBS ISR]]&gt;0,IMSS[[#This Row],[ISR CARGO]]-IMSS[[#This Row],[SUBS ISR]],0)</f>
        <v>590.98281599999996</v>
      </c>
      <c r="AN197" s="248">
        <f>IF(IMSS[[#This Row],[SUBS ISR]]-IMSS[[#This Row],[ISR CARGO]]&gt;0,IMSS[[#This Row],[SUBS ISR]]-IMSS[[#This Row],[ISR CARGO]],0)</f>
        <v>0</v>
      </c>
    </row>
    <row r="198" spans="3:40" ht="15" hidden="1" customHeight="1" x14ac:dyDescent="0.25">
      <c r="C198" s="243">
        <v>184</v>
      </c>
      <c r="D198" s="167" t="str">
        <f>VLOOKUP(IMSS[[#This Row],[NEM]],BDD[],2,0)</f>
        <v>Ofelia Gisel Domínguez Reyes</v>
      </c>
      <c r="E198" s="167" t="str">
        <f>VLOOKUP(IMSS[[#This Row],[NEM]],BDD[],9,0)</f>
        <v>NÓMINAS</v>
      </c>
      <c r="F198" s="168">
        <v>30</v>
      </c>
      <c r="G198" s="139">
        <f>VLOOKUP(IMSS[[#This Row],[NEM]],BDD[],3,0)</f>
        <v>9541</v>
      </c>
      <c r="H198" s="139">
        <f ca="1">VLOOKUP(IMSS[[#This Row],[NEM]],BDD[],25,0)</f>
        <v>351.14365296803658</v>
      </c>
      <c r="I198" s="143">
        <f>VLOOKUP(IMSS[[#This Row],[DEPT]],$B$3:$G$49,6,0)</f>
        <v>5.4355000000000002E-3</v>
      </c>
      <c r="J198" s="163">
        <f ca="1">IMSS[[#This Row],[DIAS LAB]]*IMSS[[#This Row],[SDI]]*IMSS[[#This Row],[% RSG]]*$Q$108</f>
        <v>57.259239771232885</v>
      </c>
      <c r="K198" s="163">
        <f>IMSS[[#This Row],[DIAS LAB]]*$J$110*$Q$109</f>
        <v>548.47440000000006</v>
      </c>
      <c r="L198" s="166">
        <f ca="1">IMSS[[#This Row],[DIAS LAB]]*IF(IMSS[[#This Row],[SDI]]-$J$113&gt;0,IMSS[[#This Row],[SDI]]-$J$113,0)*$Q$110</f>
        <v>27.153605479452061</v>
      </c>
      <c r="M198" s="166">
        <f ca="1">IMSS[[#This Row],[DIAS LAB]]*IMSS[[#This Row],[SDI]]*$Q$111</f>
        <v>110.61025068493153</v>
      </c>
      <c r="N198" s="163">
        <f ca="1">IMSS[[#This Row],[DIAS LAB]]*IMSS[[#This Row],[SDI]]*$Q$112</f>
        <v>73.740167123287677</v>
      </c>
      <c r="O198" s="166">
        <f ca="1">IMSS[[#This Row],[DIAS LAB]]*IMSS[[#This Row],[SDI]]*$Q$113</f>
        <v>184.35041780821922</v>
      </c>
      <c r="P198" s="163">
        <f ca="1">IMSS[[#This Row],[DIAS LAB]]*IMSS[[#This Row],[SDI]]*$Q$114</f>
        <v>105.34309589041096</v>
      </c>
      <c r="Q198" s="166">
        <f ca="1">IMSS[[#This Row],[DIAS LAB]]*IMSS[[#This Row],[SDI]]*$Q$115</f>
        <v>210.68619178082193</v>
      </c>
      <c r="R198" s="163">
        <f ca="1">IMSS[[#This Row],[DIAS LAB]]*IMSS[[#This Row],[SDI]]*$Q$116</f>
        <v>331.83075205479457</v>
      </c>
      <c r="S198" s="163">
        <f ca="1">IMSS[[#This Row],[DIAS LAB]]*IMSS[[#This Row],[SDI]]*$Q$117</f>
        <v>526.71547945205486</v>
      </c>
      <c r="T198" s="164">
        <f ca="1">SUM(IMSS[[#This Row],[P RSG TRB]:[P INFONAVIT]])</f>
        <v>2176.1636000452058</v>
      </c>
      <c r="U198" s="163">
        <f ca="1">IMSS[[#This Row],[DIAS LAB]]*IMSS[[#This Row],[SDI]]*IMSS[[#This Row],[% RSG]]*$R$108</f>
        <v>0</v>
      </c>
      <c r="V198" s="163">
        <f ca="1">IMSS[[#This Row],[DIAS LAB]]*IMSS[[#This Row],[SDI]]*$R$112</f>
        <v>26.335773972602741</v>
      </c>
      <c r="W198" s="163"/>
      <c r="X198" s="163">
        <f ca="1">IMSS[[#This Row],[DIAS LAB]]*IMSS[[#This Row],[SDI]]*$R$113</f>
        <v>66.366150410958909</v>
      </c>
      <c r="Y198" s="163">
        <f ca="1">IMSS[[#This Row],[DIAS LAB]]*IMSS[[#This Row],[SDI]]*$R$114</f>
        <v>0</v>
      </c>
      <c r="Z198" s="163">
        <f ca="1">IMSS[[#This Row],[DIAS LAB]]*IMSS[[#This Row],[SDI]]*$R$115</f>
        <v>0</v>
      </c>
      <c r="AA198" s="163">
        <f ca="1">IMSS[[#This Row],[DIAS LAB]]*IMSS[[#This Row],[SDI]]*$R$116</f>
        <v>119.03769835616438</v>
      </c>
      <c r="AB198" s="163">
        <f ca="1">IMSS[[#This Row],[DIAS LAB]]*IMSS[[#This Row],[SDI]]*$R$117</f>
        <v>0</v>
      </c>
      <c r="AC198" s="247">
        <f ca="1">SUM(IMSS[[#This Row],[O RSG TRB]:[O INFONAVIT]])</f>
        <v>211.73962273972603</v>
      </c>
      <c r="AD198" s="163"/>
      <c r="AE198" s="165">
        <f ca="1">IMSS[[#This Row],[P TOTAL]]+IMSS[[#This Row],[O TOTAL]]</f>
        <v>2387.903222784932</v>
      </c>
      <c r="AF198" s="163"/>
      <c r="AG198" s="163">
        <f>VLOOKUP(IMSS[[#This Row],[SUE MENS]],$AG$110:$AJ$120,1,1)</f>
        <v>5470.93</v>
      </c>
      <c r="AH198" s="163">
        <f>IMSS[[#This Row],[SUE MENS]]-IMSS[[#This Row],[LIM INF]]</f>
        <v>4070.0699999999997</v>
      </c>
      <c r="AI198" s="163">
        <f>IMSS[[#This Row],[EXC LIM INF]]*(VLOOKUP(IMSS[[#This Row],[LIM INF]],$AG$110:$AJ$120,4,0))</f>
        <v>442.82361600000002</v>
      </c>
      <c r="AJ198" s="163">
        <f>VLOOKUP(IMSS[[#This Row],[LIM INF]],$AG$110:$AJ$120,3)</f>
        <v>321.26</v>
      </c>
      <c r="AK198" s="163">
        <f>SUM(IMSS[[#This Row],[TASA EXC]]+IMSS[[#This Row],[CUOTA FIJA]])</f>
        <v>764.08361600000001</v>
      </c>
      <c r="AL198" s="163">
        <f>VLOOKUP(IMSS[[#This Row],[SUE MENS]],$AL$110:$AN$120,3,1)</f>
        <v>0</v>
      </c>
      <c r="AM198" s="248">
        <f>IF(IMSS[[#This Row],[ISR CARGO]]-IMSS[[#This Row],[SUBS ISR]]&gt;0,IMSS[[#This Row],[ISR CARGO]]-IMSS[[#This Row],[SUBS ISR]],0)</f>
        <v>764.08361600000001</v>
      </c>
      <c r="AN198" s="248">
        <f>IF(IMSS[[#This Row],[SUBS ISR]]-IMSS[[#This Row],[ISR CARGO]]&gt;0,IMSS[[#This Row],[SUBS ISR]]-IMSS[[#This Row],[ISR CARGO]],0)</f>
        <v>0</v>
      </c>
    </row>
    <row r="199" spans="3:40" ht="15" hidden="1" customHeight="1" x14ac:dyDescent="0.25">
      <c r="C199" s="243">
        <v>185</v>
      </c>
      <c r="D199" s="167" t="str">
        <f>VLOOKUP(IMSS[[#This Row],[NEM]],BDD[],2,0)</f>
        <v>Karla Judith Espinoza Arias</v>
      </c>
      <c r="E199" s="167" t="str">
        <f>VLOOKUP(IMSS[[#This Row],[NEM]],BDD[],9,0)</f>
        <v>COMPRAS</v>
      </c>
      <c r="F199" s="168">
        <v>30</v>
      </c>
      <c r="G199" s="139">
        <f>VLOOKUP(IMSS[[#This Row],[NEM]],BDD[],3,0)</f>
        <v>7950</v>
      </c>
      <c r="H199" s="139">
        <f ca="1">VLOOKUP(IMSS[[#This Row],[NEM]],BDD[],25,0)</f>
        <v>291.86301369863014</v>
      </c>
      <c r="I199" s="143">
        <f>VLOOKUP(IMSS[[#This Row],[DEPT]],$B$3:$G$49,6,0)</f>
        <v>5.4355000000000002E-3</v>
      </c>
      <c r="J199" s="163">
        <f ca="1">IMSS[[#This Row],[DIAS LAB]]*IMSS[[#This Row],[SDI]]*IMSS[[#This Row],[% RSG]]*$Q$108</f>
        <v>47.592642328767127</v>
      </c>
      <c r="K199" s="163">
        <f>IMSS[[#This Row],[DIAS LAB]]*$J$110*$Q$109</f>
        <v>548.47440000000006</v>
      </c>
      <c r="L199" s="166">
        <f ca="1">IMSS[[#This Row],[DIAS LAB]]*IF(IMSS[[#This Row],[SDI]]-$J$113&gt;0,IMSS[[#This Row],[SDI]]-$J$113,0)*$Q$110</f>
        <v>7.5909945205479419</v>
      </c>
      <c r="M199" s="166">
        <f ca="1">IMSS[[#This Row],[DIAS LAB]]*IMSS[[#This Row],[SDI]]*$Q$111</f>
        <v>91.9368493150685</v>
      </c>
      <c r="N199" s="163">
        <f ca="1">IMSS[[#This Row],[DIAS LAB]]*IMSS[[#This Row],[SDI]]*$Q$112</f>
        <v>61.291232876712328</v>
      </c>
      <c r="O199" s="166">
        <f ca="1">IMSS[[#This Row],[DIAS LAB]]*IMSS[[#This Row],[SDI]]*$Q$113</f>
        <v>153.22808219178083</v>
      </c>
      <c r="P199" s="163">
        <f ca="1">IMSS[[#This Row],[DIAS LAB]]*IMSS[[#This Row],[SDI]]*$Q$114</f>
        <v>87.558904109589037</v>
      </c>
      <c r="Q199" s="166">
        <f ca="1">IMSS[[#This Row],[DIAS LAB]]*IMSS[[#This Row],[SDI]]*$Q$115</f>
        <v>175.11780821917807</v>
      </c>
      <c r="R199" s="163">
        <f ca="1">IMSS[[#This Row],[DIAS LAB]]*IMSS[[#This Row],[SDI]]*$Q$116</f>
        <v>275.81054794520549</v>
      </c>
      <c r="S199" s="163">
        <f ca="1">IMSS[[#This Row],[DIAS LAB]]*IMSS[[#This Row],[SDI]]*$Q$117</f>
        <v>437.79452054794524</v>
      </c>
      <c r="T199" s="164">
        <f ca="1">SUM(IMSS[[#This Row],[P RSG TRB]:[P INFONAVIT]])</f>
        <v>1886.3959820547946</v>
      </c>
      <c r="U199" s="163">
        <f ca="1">IMSS[[#This Row],[DIAS LAB]]*IMSS[[#This Row],[SDI]]*IMSS[[#This Row],[% RSG]]*$R$108</f>
        <v>0</v>
      </c>
      <c r="V199" s="163">
        <f ca="1">IMSS[[#This Row],[DIAS LAB]]*IMSS[[#This Row],[SDI]]*$R$112</f>
        <v>21.889726027397259</v>
      </c>
      <c r="W199" s="163"/>
      <c r="X199" s="163">
        <f ca="1">IMSS[[#This Row],[DIAS LAB]]*IMSS[[#This Row],[SDI]]*$R$113</f>
        <v>55.162109589041094</v>
      </c>
      <c r="Y199" s="163">
        <f ca="1">IMSS[[#This Row],[DIAS LAB]]*IMSS[[#This Row],[SDI]]*$R$114</f>
        <v>0</v>
      </c>
      <c r="Z199" s="163">
        <f ca="1">IMSS[[#This Row],[DIAS LAB]]*IMSS[[#This Row],[SDI]]*$R$115</f>
        <v>0</v>
      </c>
      <c r="AA199" s="163">
        <f ca="1">IMSS[[#This Row],[DIAS LAB]]*IMSS[[#This Row],[SDI]]*$R$116</f>
        <v>98.941561643835612</v>
      </c>
      <c r="AB199" s="163">
        <f ca="1">IMSS[[#This Row],[DIAS LAB]]*IMSS[[#This Row],[SDI]]*$R$117</f>
        <v>0</v>
      </c>
      <c r="AC199" s="247">
        <f ca="1">SUM(IMSS[[#This Row],[O RSG TRB]:[O INFONAVIT]])</f>
        <v>175.99339726027398</v>
      </c>
      <c r="AD199" s="163"/>
      <c r="AE199" s="165">
        <f ca="1">IMSS[[#This Row],[P TOTAL]]+IMSS[[#This Row],[O TOTAL]]</f>
        <v>2062.3893793150687</v>
      </c>
      <c r="AF199" s="163"/>
      <c r="AG199" s="163">
        <f>VLOOKUP(IMSS[[#This Row],[SUE MENS]],$AG$110:$AJ$120,1,1)</f>
        <v>5470.93</v>
      </c>
      <c r="AH199" s="163">
        <f>IMSS[[#This Row],[SUE MENS]]-IMSS[[#This Row],[LIM INF]]</f>
        <v>2479.0699999999997</v>
      </c>
      <c r="AI199" s="163">
        <f>IMSS[[#This Row],[EXC LIM INF]]*(VLOOKUP(IMSS[[#This Row],[LIM INF]],$AG$110:$AJ$120,4,0))</f>
        <v>269.72281599999997</v>
      </c>
      <c r="AJ199" s="163">
        <f>VLOOKUP(IMSS[[#This Row],[LIM INF]],$AG$110:$AJ$120,3)</f>
        <v>321.26</v>
      </c>
      <c r="AK199" s="163">
        <f>SUM(IMSS[[#This Row],[TASA EXC]]+IMSS[[#This Row],[CUOTA FIJA]])</f>
        <v>590.98281599999996</v>
      </c>
      <c r="AL199" s="163">
        <f>VLOOKUP(IMSS[[#This Row],[SUE MENS]],$AL$110:$AN$120,3,1)</f>
        <v>0</v>
      </c>
      <c r="AM199" s="248">
        <f>IF(IMSS[[#This Row],[ISR CARGO]]-IMSS[[#This Row],[SUBS ISR]]&gt;0,IMSS[[#This Row],[ISR CARGO]]-IMSS[[#This Row],[SUBS ISR]],0)</f>
        <v>590.98281599999996</v>
      </c>
      <c r="AN199" s="248">
        <f>IF(IMSS[[#This Row],[SUBS ISR]]-IMSS[[#This Row],[ISR CARGO]]&gt;0,IMSS[[#This Row],[SUBS ISR]]-IMSS[[#This Row],[ISR CARGO]],0)</f>
        <v>0</v>
      </c>
    </row>
    <row r="200" spans="3:40" ht="15" hidden="1" customHeight="1" x14ac:dyDescent="0.25">
      <c r="C200" s="243">
        <v>186</v>
      </c>
      <c r="D200" s="167" t="str">
        <f>VLOOKUP(IMSS[[#This Row],[NEM]],BDD[],2,0)</f>
        <v>Charliy Ezequiel Ryzen Antares</v>
      </c>
      <c r="E200" s="167" t="str">
        <f>VLOOKUP(IMSS[[#This Row],[NEM]],BDD[],9,0)</f>
        <v>ARQUITECT</v>
      </c>
      <c r="F200" s="168">
        <v>30</v>
      </c>
      <c r="G200" s="139">
        <f>VLOOKUP(IMSS[[#This Row],[NEM]],BDD[],3,0)</f>
        <v>7445</v>
      </c>
      <c r="H200" s="139">
        <f ca="1">VLOOKUP(IMSS[[#This Row],[NEM]],BDD[],25,0)</f>
        <v>273.32328767123283</v>
      </c>
      <c r="I200" s="143">
        <f>VLOOKUP(IMSS[[#This Row],[DEPT]],$B$3:$G$49,6,0)</f>
        <v>2.5984400000000001E-2</v>
      </c>
      <c r="J200" s="163">
        <f ca="1">IMSS[[#This Row],[DIAS LAB]]*IMSS[[#This Row],[SDI]]*IMSS[[#This Row],[% RSG]]*$Q$108</f>
        <v>213.06424908493148</v>
      </c>
      <c r="K200" s="163">
        <f>IMSS[[#This Row],[DIAS LAB]]*$J$110*$Q$109</f>
        <v>548.47440000000006</v>
      </c>
      <c r="L200" s="166">
        <f ca="1">IMSS[[#This Row],[DIAS LAB]]*IF(IMSS[[#This Row],[SDI]]-$J$113&gt;0,IMSS[[#This Row],[SDI]]-$J$113,0)*$Q$110</f>
        <v>1.4728849315068304</v>
      </c>
      <c r="M200" s="166">
        <f ca="1">IMSS[[#This Row],[DIAS LAB]]*IMSS[[#This Row],[SDI]]*$Q$111</f>
        <v>86.096835616438355</v>
      </c>
      <c r="N200" s="163">
        <f ca="1">IMSS[[#This Row],[DIAS LAB]]*IMSS[[#This Row],[SDI]]*$Q$112</f>
        <v>57.397890410958901</v>
      </c>
      <c r="O200" s="166">
        <f ca="1">IMSS[[#This Row],[DIAS LAB]]*IMSS[[#This Row],[SDI]]*$Q$113</f>
        <v>143.49472602739726</v>
      </c>
      <c r="P200" s="163">
        <f ca="1">IMSS[[#This Row],[DIAS LAB]]*IMSS[[#This Row],[SDI]]*$Q$114</f>
        <v>81.996986301369859</v>
      </c>
      <c r="Q200" s="166">
        <f ca="1">IMSS[[#This Row],[DIAS LAB]]*IMSS[[#This Row],[SDI]]*$Q$115</f>
        <v>163.99397260273972</v>
      </c>
      <c r="R200" s="163">
        <f ca="1">IMSS[[#This Row],[DIAS LAB]]*IMSS[[#This Row],[SDI]]*$Q$116</f>
        <v>258.29050684931502</v>
      </c>
      <c r="S200" s="163">
        <f ca="1">IMSS[[#This Row],[DIAS LAB]]*IMSS[[#This Row],[SDI]]*$Q$117</f>
        <v>409.98493150684931</v>
      </c>
      <c r="T200" s="164">
        <f ca="1">SUM(IMSS[[#This Row],[P RSG TRB]:[P INFONAVIT]])</f>
        <v>1964.2673833315068</v>
      </c>
      <c r="U200" s="163">
        <f ca="1">IMSS[[#This Row],[DIAS LAB]]*IMSS[[#This Row],[SDI]]*IMSS[[#This Row],[% RSG]]*$R$108</f>
        <v>0</v>
      </c>
      <c r="V200" s="163">
        <f ca="1">IMSS[[#This Row],[DIAS LAB]]*IMSS[[#This Row],[SDI]]*$R$112</f>
        <v>20.499246575342465</v>
      </c>
      <c r="W200" s="163"/>
      <c r="X200" s="163">
        <f ca="1">IMSS[[#This Row],[DIAS LAB]]*IMSS[[#This Row],[SDI]]*$R$113</f>
        <v>51.658101369863004</v>
      </c>
      <c r="Y200" s="163">
        <f ca="1">IMSS[[#This Row],[DIAS LAB]]*IMSS[[#This Row],[SDI]]*$R$114</f>
        <v>0</v>
      </c>
      <c r="Z200" s="163">
        <f ca="1">IMSS[[#This Row],[DIAS LAB]]*IMSS[[#This Row],[SDI]]*$R$115</f>
        <v>0</v>
      </c>
      <c r="AA200" s="163">
        <f ca="1">IMSS[[#This Row],[DIAS LAB]]*IMSS[[#This Row],[SDI]]*$R$116</f>
        <v>92.656594520547927</v>
      </c>
      <c r="AB200" s="163">
        <f ca="1">IMSS[[#This Row],[DIAS LAB]]*IMSS[[#This Row],[SDI]]*$R$117</f>
        <v>0</v>
      </c>
      <c r="AC200" s="247">
        <f ca="1">SUM(IMSS[[#This Row],[O RSG TRB]:[O INFONAVIT]])</f>
        <v>164.8139424657534</v>
      </c>
      <c r="AD200" s="163"/>
      <c r="AE200" s="165">
        <f ca="1">IMSS[[#This Row],[P TOTAL]]+IMSS[[#This Row],[O TOTAL]]</f>
        <v>2129.0813257972604</v>
      </c>
      <c r="AF200" s="163"/>
      <c r="AG200" s="163">
        <f>VLOOKUP(IMSS[[#This Row],[SUE MENS]],$AG$110:$AJ$120,1,1)</f>
        <v>5470.93</v>
      </c>
      <c r="AH200" s="163">
        <f>IMSS[[#This Row],[SUE MENS]]-IMSS[[#This Row],[LIM INF]]</f>
        <v>1974.0699999999997</v>
      </c>
      <c r="AI200" s="163">
        <f>IMSS[[#This Row],[EXC LIM INF]]*(VLOOKUP(IMSS[[#This Row],[LIM INF]],$AG$110:$AJ$120,4,0))</f>
        <v>214.77881599999998</v>
      </c>
      <c r="AJ200" s="163">
        <f>VLOOKUP(IMSS[[#This Row],[LIM INF]],$AG$110:$AJ$120,3)</f>
        <v>321.26</v>
      </c>
      <c r="AK200" s="163">
        <f>SUM(IMSS[[#This Row],[TASA EXC]]+IMSS[[#This Row],[CUOTA FIJA]])</f>
        <v>536.038816</v>
      </c>
      <c r="AL200" s="163">
        <f>VLOOKUP(IMSS[[#This Row],[SUE MENS]],$AL$110:$AN$120,3,1)</f>
        <v>0</v>
      </c>
      <c r="AM200" s="248">
        <f>IF(IMSS[[#This Row],[ISR CARGO]]-IMSS[[#This Row],[SUBS ISR]]&gt;0,IMSS[[#This Row],[ISR CARGO]]-IMSS[[#This Row],[SUBS ISR]],0)</f>
        <v>536.038816</v>
      </c>
      <c r="AN200" s="248">
        <f>IF(IMSS[[#This Row],[SUBS ISR]]-IMSS[[#This Row],[ISR CARGO]]&gt;0,IMSS[[#This Row],[SUBS ISR]]-IMSS[[#This Row],[ISR CARGO]],0)</f>
        <v>0</v>
      </c>
    </row>
    <row r="201" spans="3:40" ht="15" hidden="1" customHeight="1" x14ac:dyDescent="0.25">
      <c r="C201" s="243">
        <v>188</v>
      </c>
      <c r="D201" s="167" t="str">
        <f>VLOOKUP(IMSS[[#This Row],[NEM]],BDD[],2,0)</f>
        <v>Leonardo Daniel García Covarruvias</v>
      </c>
      <c r="E201" s="167" t="str">
        <f>VLOOKUP(IMSS[[#This Row],[NEM]],BDD[],9,0)</f>
        <v>INVERS</v>
      </c>
      <c r="F201" s="168">
        <v>30</v>
      </c>
      <c r="G201" s="139">
        <f>VLOOKUP(IMSS[[#This Row],[NEM]],BDD[],3,0)</f>
        <v>27150</v>
      </c>
      <c r="H201" s="139">
        <f ca="1">VLOOKUP(IMSS[[#This Row],[NEM]],BDD[],25,0)</f>
        <v>996.73972602739718</v>
      </c>
      <c r="I201" s="143">
        <f>VLOOKUP(IMSS[[#This Row],[DEPT]],$B$3:$G$49,6,0)</f>
        <v>5.4355000000000002E-3</v>
      </c>
      <c r="J201" s="163">
        <f ca="1">IMSS[[#This Row],[DIAS LAB]]*IMSS[[#This Row],[SDI]]*IMSS[[#This Row],[% RSG]]*$Q$108</f>
        <v>162.53336342465752</v>
      </c>
      <c r="K201" s="163">
        <f>IMSS[[#This Row],[DIAS LAB]]*$J$110*$Q$109</f>
        <v>548.47440000000006</v>
      </c>
      <c r="L201" s="166">
        <f ca="1">IMSS[[#This Row],[DIAS LAB]]*IF(IMSS[[#This Row],[SDI]]-$J$113&gt;0,IMSS[[#This Row],[SDI]]-$J$113,0)*$Q$110</f>
        <v>240.20030958904107</v>
      </c>
      <c r="M201" s="166">
        <f ca="1">IMSS[[#This Row],[DIAS LAB]]*IMSS[[#This Row],[SDI]]*$Q$111</f>
        <v>313.97301369863015</v>
      </c>
      <c r="N201" s="163">
        <f ca="1">IMSS[[#This Row],[DIAS LAB]]*IMSS[[#This Row],[SDI]]*$Q$112</f>
        <v>209.31534246575342</v>
      </c>
      <c r="O201" s="166">
        <f ca="1">IMSS[[#This Row],[DIAS LAB]]*IMSS[[#This Row],[SDI]]*$Q$113</f>
        <v>523.28835616438357</v>
      </c>
      <c r="P201" s="163">
        <f ca="1">IMSS[[#This Row],[DIAS LAB]]*IMSS[[#This Row],[SDI]]*$Q$114</f>
        <v>299.02191780821914</v>
      </c>
      <c r="Q201" s="166">
        <f ca="1">IMSS[[#This Row],[DIAS LAB]]*IMSS[[#This Row],[SDI]]*$Q$115</f>
        <v>598.04383561643829</v>
      </c>
      <c r="R201" s="163">
        <f ca="1">IMSS[[#This Row],[DIAS LAB]]*IMSS[[#This Row],[SDI]]*$Q$116</f>
        <v>941.91904109589029</v>
      </c>
      <c r="S201" s="163">
        <f ca="1">IMSS[[#This Row],[DIAS LAB]]*IMSS[[#This Row],[SDI]]*$Q$117</f>
        <v>1495.1095890410959</v>
      </c>
      <c r="T201" s="164">
        <f ca="1">SUM(IMSS[[#This Row],[P RSG TRB]:[P INFONAVIT]])</f>
        <v>5331.87916890411</v>
      </c>
      <c r="U201" s="163">
        <f ca="1">IMSS[[#This Row],[DIAS LAB]]*IMSS[[#This Row],[SDI]]*IMSS[[#This Row],[% RSG]]*$R$108</f>
        <v>0</v>
      </c>
      <c r="V201" s="163">
        <f ca="1">IMSS[[#This Row],[DIAS LAB]]*IMSS[[#This Row],[SDI]]*$R$112</f>
        <v>74.755479452054786</v>
      </c>
      <c r="W201" s="163"/>
      <c r="X201" s="163">
        <f ca="1">IMSS[[#This Row],[DIAS LAB]]*IMSS[[#This Row],[SDI]]*$R$113</f>
        <v>188.38380821917806</v>
      </c>
      <c r="Y201" s="163">
        <f ca="1">IMSS[[#This Row],[DIAS LAB]]*IMSS[[#This Row],[SDI]]*$R$114</f>
        <v>0</v>
      </c>
      <c r="Z201" s="163">
        <f ca="1">IMSS[[#This Row],[DIAS LAB]]*IMSS[[#This Row],[SDI]]*$R$115</f>
        <v>0</v>
      </c>
      <c r="AA201" s="163">
        <f ca="1">IMSS[[#This Row],[DIAS LAB]]*IMSS[[#This Row],[SDI]]*$R$116</f>
        <v>337.89476712328764</v>
      </c>
      <c r="AB201" s="163">
        <f ca="1">IMSS[[#This Row],[DIAS LAB]]*IMSS[[#This Row],[SDI]]*$R$117</f>
        <v>0</v>
      </c>
      <c r="AC201" s="247">
        <f ca="1">SUM(IMSS[[#This Row],[O RSG TRB]:[O INFONAVIT]])</f>
        <v>601.03405479452044</v>
      </c>
      <c r="AD201" s="163"/>
      <c r="AE201" s="165">
        <f ca="1">IMSS[[#This Row],[P TOTAL]]+IMSS[[#This Row],[O TOTAL]]</f>
        <v>5932.9132236986306</v>
      </c>
      <c r="AF201" s="163"/>
      <c r="AG201" s="163">
        <f>VLOOKUP(IMSS[[#This Row],[SUE MENS]],$AG$110:$AJ$120,1,1)</f>
        <v>26988.51</v>
      </c>
      <c r="AH201" s="163">
        <f>IMSS[[#This Row],[SUE MENS]]-IMSS[[#This Row],[LIM INF]]</f>
        <v>161.4900000000016</v>
      </c>
      <c r="AI201" s="163">
        <f>IMSS[[#This Row],[EXC LIM INF]]*(VLOOKUP(IMSS[[#This Row],[LIM INF]],$AG$110:$AJ$120,4,0))</f>
        <v>37.982448000000375</v>
      </c>
      <c r="AJ201" s="163">
        <f>VLOOKUP(IMSS[[#This Row],[LIM INF]],$AG$110:$AJ$120,3)</f>
        <v>4323.58</v>
      </c>
      <c r="AK201" s="163">
        <f>SUM(IMSS[[#This Row],[TASA EXC]]+IMSS[[#This Row],[CUOTA FIJA]])</f>
        <v>4361.5624480000006</v>
      </c>
      <c r="AL201" s="163">
        <f>VLOOKUP(IMSS[[#This Row],[SUE MENS]],$AL$110:$AN$120,3,1)</f>
        <v>0</v>
      </c>
      <c r="AM201" s="248">
        <f>IF(IMSS[[#This Row],[ISR CARGO]]-IMSS[[#This Row],[SUBS ISR]]&gt;0,IMSS[[#This Row],[ISR CARGO]]-IMSS[[#This Row],[SUBS ISR]],0)</f>
        <v>4361.5624480000006</v>
      </c>
      <c r="AN201" s="248">
        <f>IF(IMSS[[#This Row],[SUBS ISR]]-IMSS[[#This Row],[ISR CARGO]]&gt;0,IMSS[[#This Row],[SUBS ISR]]-IMSS[[#This Row],[ISR CARGO]],0)</f>
        <v>0</v>
      </c>
    </row>
    <row r="202" spans="3:40" ht="15" hidden="1" customHeight="1" x14ac:dyDescent="0.25">
      <c r="C202" s="243">
        <v>189</v>
      </c>
      <c r="D202" s="167" t="str">
        <f>VLOOKUP(IMSS[[#This Row],[NEM]],BDD[],2,0)</f>
        <v>Arturo Ulises Hernandez de la Cruz</v>
      </c>
      <c r="E202" s="167" t="str">
        <f>VLOOKUP(IMSS[[#This Row],[NEM]],BDD[],9,0)</f>
        <v>RENDER</v>
      </c>
      <c r="F202" s="168">
        <v>30</v>
      </c>
      <c r="G202" s="139">
        <f>VLOOKUP(IMSS[[#This Row],[NEM]],BDD[],3,0)</f>
        <v>9450</v>
      </c>
      <c r="H202" s="139">
        <f ca="1">VLOOKUP(IMSS[[#This Row],[NEM]],BDD[],25,0)</f>
        <v>347.79452054794518</v>
      </c>
      <c r="I202" s="143">
        <f>VLOOKUP(IMSS[[#This Row],[DEPT]],$B$3:$G$49,6,0)</f>
        <v>2.5984400000000001E-2</v>
      </c>
      <c r="J202" s="163">
        <f ca="1">IMSS[[#This Row],[DIAS LAB]]*IMSS[[#This Row],[SDI]]*IMSS[[#This Row],[% RSG]]*$Q$108</f>
        <v>271.11695819178078</v>
      </c>
      <c r="K202" s="163">
        <f>IMSS[[#This Row],[DIAS LAB]]*$J$110*$Q$109</f>
        <v>548.47440000000006</v>
      </c>
      <c r="L202" s="166">
        <f ca="1">IMSS[[#This Row],[DIAS LAB]]*IF(IMSS[[#This Row],[SDI]]-$J$113&gt;0,IMSS[[#This Row],[SDI]]-$J$113,0)*$Q$110</f>
        <v>26.048391780821905</v>
      </c>
      <c r="M202" s="166">
        <f ca="1">IMSS[[#This Row],[DIAS LAB]]*IMSS[[#This Row],[SDI]]*$Q$111</f>
        <v>109.55527397260273</v>
      </c>
      <c r="N202" s="163">
        <f ca="1">IMSS[[#This Row],[DIAS LAB]]*IMSS[[#This Row],[SDI]]*$Q$112</f>
        <v>73.03684931506848</v>
      </c>
      <c r="O202" s="166">
        <f ca="1">IMSS[[#This Row],[DIAS LAB]]*IMSS[[#This Row],[SDI]]*$Q$113</f>
        <v>182.59212328767123</v>
      </c>
      <c r="P202" s="163">
        <f ca="1">IMSS[[#This Row],[DIAS LAB]]*IMSS[[#This Row],[SDI]]*$Q$114</f>
        <v>104.33835616438355</v>
      </c>
      <c r="Q202" s="166">
        <f ca="1">IMSS[[#This Row],[DIAS LAB]]*IMSS[[#This Row],[SDI]]*$Q$115</f>
        <v>208.67671232876711</v>
      </c>
      <c r="R202" s="163">
        <f ca="1">IMSS[[#This Row],[DIAS LAB]]*IMSS[[#This Row],[SDI]]*$Q$116</f>
        <v>328.66582191780816</v>
      </c>
      <c r="S202" s="163">
        <f ca="1">IMSS[[#This Row],[DIAS LAB]]*IMSS[[#This Row],[SDI]]*$Q$117</f>
        <v>521.69178082191775</v>
      </c>
      <c r="T202" s="164">
        <f ca="1">SUM(IMSS[[#This Row],[P RSG TRB]:[P INFONAVIT]])</f>
        <v>2374.1966677808218</v>
      </c>
      <c r="U202" s="163">
        <f ca="1">IMSS[[#This Row],[DIAS LAB]]*IMSS[[#This Row],[SDI]]*IMSS[[#This Row],[% RSG]]*$R$108</f>
        <v>0</v>
      </c>
      <c r="V202" s="163">
        <f ca="1">IMSS[[#This Row],[DIAS LAB]]*IMSS[[#This Row],[SDI]]*$R$112</f>
        <v>26.084589041095889</v>
      </c>
      <c r="W202" s="163"/>
      <c r="X202" s="163">
        <f ca="1">IMSS[[#This Row],[DIAS LAB]]*IMSS[[#This Row],[SDI]]*$R$113</f>
        <v>65.733164383561643</v>
      </c>
      <c r="Y202" s="163">
        <f ca="1">IMSS[[#This Row],[DIAS LAB]]*IMSS[[#This Row],[SDI]]*$R$114</f>
        <v>0</v>
      </c>
      <c r="Z202" s="163">
        <f ca="1">IMSS[[#This Row],[DIAS LAB]]*IMSS[[#This Row],[SDI]]*$R$115</f>
        <v>0</v>
      </c>
      <c r="AA202" s="163">
        <f ca="1">IMSS[[#This Row],[DIAS LAB]]*IMSS[[#This Row],[SDI]]*$R$116</f>
        <v>117.90234246575341</v>
      </c>
      <c r="AB202" s="163">
        <f ca="1">IMSS[[#This Row],[DIAS LAB]]*IMSS[[#This Row],[SDI]]*$R$117</f>
        <v>0</v>
      </c>
      <c r="AC202" s="247">
        <f ca="1">SUM(IMSS[[#This Row],[O RSG TRB]:[O INFONAVIT]])</f>
        <v>209.72009589041093</v>
      </c>
      <c r="AD202" s="163"/>
      <c r="AE202" s="165">
        <f ca="1">IMSS[[#This Row],[P TOTAL]]+IMSS[[#This Row],[O TOTAL]]</f>
        <v>2583.9167636712327</v>
      </c>
      <c r="AF202" s="163"/>
      <c r="AG202" s="163">
        <f>VLOOKUP(IMSS[[#This Row],[SUE MENS]],$AG$110:$AJ$120,1,1)</f>
        <v>5470.93</v>
      </c>
      <c r="AH202" s="163">
        <f>IMSS[[#This Row],[SUE MENS]]-IMSS[[#This Row],[LIM INF]]</f>
        <v>3979.0699999999997</v>
      </c>
      <c r="AI202" s="163">
        <f>IMSS[[#This Row],[EXC LIM INF]]*(VLOOKUP(IMSS[[#This Row],[LIM INF]],$AG$110:$AJ$120,4,0))</f>
        <v>432.92281600000001</v>
      </c>
      <c r="AJ202" s="163">
        <f>VLOOKUP(IMSS[[#This Row],[LIM INF]],$AG$110:$AJ$120,3)</f>
        <v>321.26</v>
      </c>
      <c r="AK202" s="163">
        <f>SUM(IMSS[[#This Row],[TASA EXC]]+IMSS[[#This Row],[CUOTA FIJA]])</f>
        <v>754.182816</v>
      </c>
      <c r="AL202" s="163">
        <f>VLOOKUP(IMSS[[#This Row],[SUE MENS]],$AL$110:$AN$120,3,1)</f>
        <v>0</v>
      </c>
      <c r="AM202" s="248">
        <f>IF(IMSS[[#This Row],[ISR CARGO]]-IMSS[[#This Row],[SUBS ISR]]&gt;0,IMSS[[#This Row],[ISR CARGO]]-IMSS[[#This Row],[SUBS ISR]],0)</f>
        <v>754.182816</v>
      </c>
      <c r="AN202" s="248">
        <f>IF(IMSS[[#This Row],[SUBS ISR]]-IMSS[[#This Row],[ISR CARGO]]&gt;0,IMSS[[#This Row],[SUBS ISR]]-IMSS[[#This Row],[ISR CARGO]],0)</f>
        <v>0</v>
      </c>
    </row>
    <row r="203" spans="3:40" ht="15" hidden="1" customHeight="1" x14ac:dyDescent="0.25">
      <c r="C203" s="243">
        <v>190</v>
      </c>
      <c r="D203" s="167" t="str">
        <f>VLOOKUP(IMSS[[#This Row],[NEM]],BDD[],2,0)</f>
        <v>Dither Osbaldo Hernandez Hernandez</v>
      </c>
      <c r="E203" s="167" t="str">
        <f>VLOOKUP(IMSS[[#This Row],[NEM]],BDD[],9,0)</f>
        <v>SOLUCIONES</v>
      </c>
      <c r="F203" s="168">
        <v>30</v>
      </c>
      <c r="G203" s="139">
        <f>VLOOKUP(IMSS[[#This Row],[NEM]],BDD[],3,0)</f>
        <v>10860</v>
      </c>
      <c r="H203" s="139">
        <f ca="1">VLOOKUP(IMSS[[#This Row],[NEM]],BDD[],25,0)</f>
        <v>399.68767123287671</v>
      </c>
      <c r="I203" s="143">
        <f>VLOOKUP(IMSS[[#This Row],[DEPT]],$B$3:$G$49,6,0)</f>
        <v>5.4355000000000002E-3</v>
      </c>
      <c r="J203" s="163">
        <f ca="1">IMSS[[#This Row],[DIAS LAB]]*IMSS[[#This Row],[SDI]]*IMSS[[#This Row],[% RSG]]*$Q$108</f>
        <v>65.175070109589043</v>
      </c>
      <c r="K203" s="163">
        <f>IMSS[[#This Row],[DIAS LAB]]*$J$110*$Q$109</f>
        <v>548.47440000000006</v>
      </c>
      <c r="L203" s="166">
        <f ca="1">IMSS[[#This Row],[DIAS LAB]]*IF(IMSS[[#This Row],[SDI]]-$J$113&gt;0,IMSS[[#This Row],[SDI]]-$J$113,0)*$Q$110</f>
        <v>43.173131506849309</v>
      </c>
      <c r="M203" s="166">
        <f ca="1">IMSS[[#This Row],[DIAS LAB]]*IMSS[[#This Row],[SDI]]*$Q$111</f>
        <v>125.90161643835617</v>
      </c>
      <c r="N203" s="163">
        <f ca="1">IMSS[[#This Row],[DIAS LAB]]*IMSS[[#This Row],[SDI]]*$Q$112</f>
        <v>83.93441095890411</v>
      </c>
      <c r="O203" s="166">
        <f ca="1">IMSS[[#This Row],[DIAS LAB]]*IMSS[[#This Row],[SDI]]*$Q$113</f>
        <v>209.8360273972603</v>
      </c>
      <c r="P203" s="163">
        <f ca="1">IMSS[[#This Row],[DIAS LAB]]*IMSS[[#This Row],[SDI]]*$Q$114</f>
        <v>119.90630136986302</v>
      </c>
      <c r="Q203" s="166">
        <f ca="1">IMSS[[#This Row],[DIAS LAB]]*IMSS[[#This Row],[SDI]]*$Q$115</f>
        <v>239.81260273972603</v>
      </c>
      <c r="R203" s="163">
        <f ca="1">IMSS[[#This Row],[DIAS LAB]]*IMSS[[#This Row],[SDI]]*$Q$116</f>
        <v>377.70484931506849</v>
      </c>
      <c r="S203" s="163">
        <f ca="1">IMSS[[#This Row],[DIAS LAB]]*IMSS[[#This Row],[SDI]]*$Q$117</f>
        <v>599.53150684931506</v>
      </c>
      <c r="T203" s="164">
        <f ca="1">SUM(IMSS[[#This Row],[P RSG TRB]:[P INFONAVIT]])</f>
        <v>2413.4499166849318</v>
      </c>
      <c r="U203" s="163">
        <f ca="1">IMSS[[#This Row],[DIAS LAB]]*IMSS[[#This Row],[SDI]]*IMSS[[#This Row],[% RSG]]*$R$108</f>
        <v>0</v>
      </c>
      <c r="V203" s="163">
        <f ca="1">IMSS[[#This Row],[DIAS LAB]]*IMSS[[#This Row],[SDI]]*$R$112</f>
        <v>29.976575342465754</v>
      </c>
      <c r="W203" s="163"/>
      <c r="X203" s="163">
        <f ca="1">IMSS[[#This Row],[DIAS LAB]]*IMSS[[#This Row],[SDI]]*$R$113</f>
        <v>75.5409698630137</v>
      </c>
      <c r="Y203" s="163">
        <f ca="1">IMSS[[#This Row],[DIAS LAB]]*IMSS[[#This Row],[SDI]]*$R$114</f>
        <v>0</v>
      </c>
      <c r="Z203" s="163">
        <f ca="1">IMSS[[#This Row],[DIAS LAB]]*IMSS[[#This Row],[SDI]]*$R$115</f>
        <v>0</v>
      </c>
      <c r="AA203" s="163">
        <f ca="1">IMSS[[#This Row],[DIAS LAB]]*IMSS[[#This Row],[SDI]]*$R$116</f>
        <v>135.49412054794519</v>
      </c>
      <c r="AB203" s="163">
        <f ca="1">IMSS[[#This Row],[DIAS LAB]]*IMSS[[#This Row],[SDI]]*$R$117</f>
        <v>0</v>
      </c>
      <c r="AC203" s="247">
        <f ca="1">SUM(IMSS[[#This Row],[O RSG TRB]:[O INFONAVIT]])</f>
        <v>241.01166575342464</v>
      </c>
      <c r="AD203" s="163"/>
      <c r="AE203" s="165">
        <f ca="1">IMSS[[#This Row],[P TOTAL]]+IMSS[[#This Row],[O TOTAL]]</f>
        <v>2654.4615824383563</v>
      </c>
      <c r="AF203" s="163"/>
      <c r="AG203" s="163">
        <f>VLOOKUP(IMSS[[#This Row],[SUE MENS]],$AG$110:$AJ$120,1,1)</f>
        <v>9614.67</v>
      </c>
      <c r="AH203" s="163">
        <f>IMSS[[#This Row],[SUE MENS]]-IMSS[[#This Row],[LIM INF]]</f>
        <v>1245.33</v>
      </c>
      <c r="AI203" s="163">
        <f>IMSS[[#This Row],[EXC LIM INF]]*(VLOOKUP(IMSS[[#This Row],[LIM INF]],$AG$110:$AJ$120,4,0))</f>
        <v>199.25279999999998</v>
      </c>
      <c r="AJ203" s="163">
        <f>VLOOKUP(IMSS[[#This Row],[LIM INF]],$AG$110:$AJ$120,3)</f>
        <v>772.1</v>
      </c>
      <c r="AK203" s="163">
        <f>SUM(IMSS[[#This Row],[TASA EXC]]+IMSS[[#This Row],[CUOTA FIJA]])</f>
        <v>971.3528</v>
      </c>
      <c r="AL203" s="163">
        <f>VLOOKUP(IMSS[[#This Row],[SUE MENS]],$AL$110:$AN$120,3,1)</f>
        <v>0</v>
      </c>
      <c r="AM203" s="248">
        <f>IF(IMSS[[#This Row],[ISR CARGO]]-IMSS[[#This Row],[SUBS ISR]]&gt;0,IMSS[[#This Row],[ISR CARGO]]-IMSS[[#This Row],[SUBS ISR]],0)</f>
        <v>971.3528</v>
      </c>
      <c r="AN203" s="248">
        <f>IF(IMSS[[#This Row],[SUBS ISR]]-IMSS[[#This Row],[ISR CARGO]]&gt;0,IMSS[[#This Row],[SUBS ISR]]-IMSS[[#This Row],[ISR CARGO]],0)</f>
        <v>0</v>
      </c>
    </row>
    <row r="204" spans="3:40" ht="15" hidden="1" customHeight="1" x14ac:dyDescent="0.25">
      <c r="C204" s="243">
        <v>191</v>
      </c>
      <c r="D204" s="167" t="str">
        <f>VLOOKUP(IMSS[[#This Row],[NEM]],BDD[],2,0)</f>
        <v>Violeta Ibarra Páez</v>
      </c>
      <c r="E204" s="167" t="str">
        <f>VLOOKUP(IMSS[[#This Row],[NEM]],BDD[],9,0)</f>
        <v>COLECTIVOS</v>
      </c>
      <c r="F204" s="168">
        <v>30</v>
      </c>
      <c r="G204" s="139">
        <f>VLOOKUP(IMSS[[#This Row],[NEM]],BDD[],3,0)</f>
        <v>22200</v>
      </c>
      <c r="H204" s="139">
        <f ca="1">VLOOKUP(IMSS[[#This Row],[NEM]],BDD[],25,0)</f>
        <v>821.09589041095887</v>
      </c>
      <c r="I204" s="143">
        <f>VLOOKUP(IMSS[[#This Row],[DEPT]],$B$3:$G$49,6,0)</f>
        <v>5.4355000000000002E-3</v>
      </c>
      <c r="J204" s="163">
        <f ca="1">IMSS[[#This Row],[DIAS LAB]]*IMSS[[#This Row],[SDI]]*IMSS[[#This Row],[% RSG]]*$Q$108</f>
        <v>133.89200136986301</v>
      </c>
      <c r="K204" s="163">
        <f>IMSS[[#This Row],[DIAS LAB]]*$J$110*$Q$109</f>
        <v>548.47440000000006</v>
      </c>
      <c r="L204" s="166">
        <f ca="1">IMSS[[#This Row],[DIAS LAB]]*IF(IMSS[[#This Row],[SDI]]-$J$113&gt;0,IMSS[[#This Row],[SDI]]-$J$113,0)*$Q$110</f>
        <v>182.23784383561642</v>
      </c>
      <c r="M204" s="166">
        <f ca="1">IMSS[[#This Row],[DIAS LAB]]*IMSS[[#This Row],[SDI]]*$Q$111</f>
        <v>258.64520547945204</v>
      </c>
      <c r="N204" s="163">
        <f ca="1">IMSS[[#This Row],[DIAS LAB]]*IMSS[[#This Row],[SDI]]*$Q$112</f>
        <v>172.43013698630136</v>
      </c>
      <c r="O204" s="166">
        <f ca="1">IMSS[[#This Row],[DIAS LAB]]*IMSS[[#This Row],[SDI]]*$Q$113</f>
        <v>431.07534246575341</v>
      </c>
      <c r="P204" s="163">
        <f ca="1">IMSS[[#This Row],[DIAS LAB]]*IMSS[[#This Row],[SDI]]*$Q$114</f>
        <v>246.32876712328766</v>
      </c>
      <c r="Q204" s="166">
        <f ca="1">IMSS[[#This Row],[DIAS LAB]]*IMSS[[#This Row],[SDI]]*$Q$115</f>
        <v>492.65753424657532</v>
      </c>
      <c r="R204" s="163">
        <f ca="1">IMSS[[#This Row],[DIAS LAB]]*IMSS[[#This Row],[SDI]]*$Q$116</f>
        <v>775.93561643835608</v>
      </c>
      <c r="S204" s="163">
        <f ca="1">IMSS[[#This Row],[DIAS LAB]]*IMSS[[#This Row],[SDI]]*$Q$117</f>
        <v>1231.6438356164383</v>
      </c>
      <c r="T204" s="164">
        <f ca="1">SUM(IMSS[[#This Row],[P RSG TRB]:[P INFONAVIT]])</f>
        <v>4473.3206835616438</v>
      </c>
      <c r="U204" s="163">
        <f ca="1">IMSS[[#This Row],[DIAS LAB]]*IMSS[[#This Row],[SDI]]*IMSS[[#This Row],[% RSG]]*$R$108</f>
        <v>0</v>
      </c>
      <c r="V204" s="163">
        <f ca="1">IMSS[[#This Row],[DIAS LAB]]*IMSS[[#This Row],[SDI]]*$R$112</f>
        <v>61.582191780821915</v>
      </c>
      <c r="W204" s="163"/>
      <c r="X204" s="163">
        <f ca="1">IMSS[[#This Row],[DIAS LAB]]*IMSS[[#This Row],[SDI]]*$R$113</f>
        <v>155.18712328767123</v>
      </c>
      <c r="Y204" s="163">
        <f ca="1">IMSS[[#This Row],[DIAS LAB]]*IMSS[[#This Row],[SDI]]*$R$114</f>
        <v>0</v>
      </c>
      <c r="Z204" s="163">
        <f ca="1">IMSS[[#This Row],[DIAS LAB]]*IMSS[[#This Row],[SDI]]*$R$115</f>
        <v>0</v>
      </c>
      <c r="AA204" s="163">
        <f ca="1">IMSS[[#This Row],[DIAS LAB]]*IMSS[[#This Row],[SDI]]*$R$116</f>
        <v>278.35150684931506</v>
      </c>
      <c r="AB204" s="163">
        <f ca="1">IMSS[[#This Row],[DIAS LAB]]*IMSS[[#This Row],[SDI]]*$R$117</f>
        <v>0</v>
      </c>
      <c r="AC204" s="247">
        <f ca="1">SUM(IMSS[[#This Row],[O RSG TRB]:[O INFONAVIT]])</f>
        <v>495.1208219178082</v>
      </c>
      <c r="AD204" s="163"/>
      <c r="AE204" s="165">
        <f ca="1">IMSS[[#This Row],[P TOTAL]]+IMSS[[#This Row],[O TOTAL]]</f>
        <v>4968.4415054794517</v>
      </c>
      <c r="AF204" s="163"/>
      <c r="AG204" s="163">
        <f>VLOOKUP(IMSS[[#This Row],[SUE MENS]],$AG$110:$AJ$120,1,1)</f>
        <v>13381.48</v>
      </c>
      <c r="AH204" s="163">
        <f>IMSS[[#This Row],[SUE MENS]]-IMSS[[#This Row],[LIM INF]]</f>
        <v>8818.52</v>
      </c>
      <c r="AI204" s="163">
        <f>IMSS[[#This Row],[EXC LIM INF]]*(VLOOKUP(IMSS[[#This Row],[LIM INF]],$AG$110:$AJ$120,4,0))</f>
        <v>1883.6358720000001</v>
      </c>
      <c r="AJ204" s="163">
        <f>VLOOKUP(IMSS[[#This Row],[LIM INF]],$AG$110:$AJ$120,3)</f>
        <v>1417.12</v>
      </c>
      <c r="AK204" s="163">
        <f>SUM(IMSS[[#This Row],[TASA EXC]]+IMSS[[#This Row],[CUOTA FIJA]])</f>
        <v>3300.7558719999997</v>
      </c>
      <c r="AL204" s="163">
        <f>VLOOKUP(IMSS[[#This Row],[SUE MENS]],$AL$110:$AN$120,3,1)</f>
        <v>0</v>
      </c>
      <c r="AM204" s="248">
        <f>IF(IMSS[[#This Row],[ISR CARGO]]-IMSS[[#This Row],[SUBS ISR]]&gt;0,IMSS[[#This Row],[ISR CARGO]]-IMSS[[#This Row],[SUBS ISR]],0)</f>
        <v>3300.7558719999997</v>
      </c>
      <c r="AN204" s="248">
        <f>IF(IMSS[[#This Row],[SUBS ISR]]-IMSS[[#This Row],[ISR CARGO]]&gt;0,IMSS[[#This Row],[SUBS ISR]]-IMSS[[#This Row],[ISR CARGO]],0)</f>
        <v>0</v>
      </c>
    </row>
    <row r="205" spans="3:40" ht="15" hidden="1" customHeight="1" x14ac:dyDescent="0.25">
      <c r="C205" s="243">
        <v>192</v>
      </c>
      <c r="D205" s="167" t="str">
        <f>VLOOKUP(IMSS[[#This Row],[NEM]],BDD[],2,0)</f>
        <v>Leslie Marlene Luna Barboza</v>
      </c>
      <c r="E205" s="167" t="str">
        <f>VLOOKUP(IMSS[[#This Row],[NEM]],BDD[],9,0)</f>
        <v>ANLIS COST</v>
      </c>
      <c r="F205" s="168">
        <v>30</v>
      </c>
      <c r="G205" s="139">
        <f>VLOOKUP(IMSS[[#This Row],[NEM]],BDD[],3,0)</f>
        <v>7445</v>
      </c>
      <c r="H205" s="139">
        <f ca="1">VLOOKUP(IMSS[[#This Row],[NEM]],BDD[],25,0)</f>
        <v>273.32328767123283</v>
      </c>
      <c r="I205" s="143">
        <f>VLOOKUP(IMSS[[#This Row],[DEPT]],$B$3:$G$49,6,0)</f>
        <v>1.130658E-2</v>
      </c>
      <c r="J205" s="163">
        <f ca="1">IMSS[[#This Row],[DIAS LAB]]*IMSS[[#This Row],[SDI]]*IMSS[[#This Row],[% RSG]]*$Q$108</f>
        <v>92.710548537534237</v>
      </c>
      <c r="K205" s="163">
        <f>IMSS[[#This Row],[DIAS LAB]]*$J$110*$Q$109</f>
        <v>548.47440000000006</v>
      </c>
      <c r="L205" s="166">
        <f ca="1">IMSS[[#This Row],[DIAS LAB]]*IF(IMSS[[#This Row],[SDI]]-$J$113&gt;0,IMSS[[#This Row],[SDI]]-$J$113,0)*$Q$110</f>
        <v>1.4728849315068304</v>
      </c>
      <c r="M205" s="166">
        <f ca="1">IMSS[[#This Row],[DIAS LAB]]*IMSS[[#This Row],[SDI]]*$Q$111</f>
        <v>86.096835616438355</v>
      </c>
      <c r="N205" s="163">
        <f ca="1">IMSS[[#This Row],[DIAS LAB]]*IMSS[[#This Row],[SDI]]*$Q$112</f>
        <v>57.397890410958901</v>
      </c>
      <c r="O205" s="166">
        <f ca="1">IMSS[[#This Row],[DIAS LAB]]*IMSS[[#This Row],[SDI]]*$Q$113</f>
        <v>143.49472602739726</v>
      </c>
      <c r="P205" s="163">
        <f ca="1">IMSS[[#This Row],[DIAS LAB]]*IMSS[[#This Row],[SDI]]*$Q$114</f>
        <v>81.996986301369859</v>
      </c>
      <c r="Q205" s="166">
        <f ca="1">IMSS[[#This Row],[DIAS LAB]]*IMSS[[#This Row],[SDI]]*$Q$115</f>
        <v>163.99397260273972</v>
      </c>
      <c r="R205" s="163">
        <f ca="1">IMSS[[#This Row],[DIAS LAB]]*IMSS[[#This Row],[SDI]]*$Q$116</f>
        <v>258.29050684931502</v>
      </c>
      <c r="S205" s="163">
        <f ca="1">IMSS[[#This Row],[DIAS LAB]]*IMSS[[#This Row],[SDI]]*$Q$117</f>
        <v>409.98493150684931</v>
      </c>
      <c r="T205" s="164">
        <f ca="1">SUM(IMSS[[#This Row],[P RSG TRB]:[P INFONAVIT]])</f>
        <v>1843.9136827841096</v>
      </c>
      <c r="U205" s="163">
        <f ca="1">IMSS[[#This Row],[DIAS LAB]]*IMSS[[#This Row],[SDI]]*IMSS[[#This Row],[% RSG]]*$R$108</f>
        <v>0</v>
      </c>
      <c r="V205" s="163">
        <f ca="1">IMSS[[#This Row],[DIAS LAB]]*IMSS[[#This Row],[SDI]]*$R$112</f>
        <v>20.499246575342465</v>
      </c>
      <c r="W205" s="163"/>
      <c r="X205" s="163">
        <f ca="1">IMSS[[#This Row],[DIAS LAB]]*IMSS[[#This Row],[SDI]]*$R$113</f>
        <v>51.658101369863004</v>
      </c>
      <c r="Y205" s="163">
        <f ca="1">IMSS[[#This Row],[DIAS LAB]]*IMSS[[#This Row],[SDI]]*$R$114</f>
        <v>0</v>
      </c>
      <c r="Z205" s="163">
        <f ca="1">IMSS[[#This Row],[DIAS LAB]]*IMSS[[#This Row],[SDI]]*$R$115</f>
        <v>0</v>
      </c>
      <c r="AA205" s="163">
        <f ca="1">IMSS[[#This Row],[DIAS LAB]]*IMSS[[#This Row],[SDI]]*$R$116</f>
        <v>92.656594520547927</v>
      </c>
      <c r="AB205" s="163">
        <f ca="1">IMSS[[#This Row],[DIAS LAB]]*IMSS[[#This Row],[SDI]]*$R$117</f>
        <v>0</v>
      </c>
      <c r="AC205" s="247">
        <f ca="1">SUM(IMSS[[#This Row],[O RSG TRB]:[O INFONAVIT]])</f>
        <v>164.8139424657534</v>
      </c>
      <c r="AD205" s="163"/>
      <c r="AE205" s="165">
        <f ca="1">IMSS[[#This Row],[P TOTAL]]+IMSS[[#This Row],[O TOTAL]]</f>
        <v>2008.727625249863</v>
      </c>
      <c r="AF205" s="163"/>
      <c r="AG205" s="163">
        <f>VLOOKUP(IMSS[[#This Row],[SUE MENS]],$AG$110:$AJ$120,1,1)</f>
        <v>5470.93</v>
      </c>
      <c r="AH205" s="163">
        <f>IMSS[[#This Row],[SUE MENS]]-IMSS[[#This Row],[LIM INF]]</f>
        <v>1974.0699999999997</v>
      </c>
      <c r="AI205" s="163">
        <f>IMSS[[#This Row],[EXC LIM INF]]*(VLOOKUP(IMSS[[#This Row],[LIM INF]],$AG$110:$AJ$120,4,0))</f>
        <v>214.77881599999998</v>
      </c>
      <c r="AJ205" s="163">
        <f>VLOOKUP(IMSS[[#This Row],[LIM INF]],$AG$110:$AJ$120,3)</f>
        <v>321.26</v>
      </c>
      <c r="AK205" s="163">
        <f>SUM(IMSS[[#This Row],[TASA EXC]]+IMSS[[#This Row],[CUOTA FIJA]])</f>
        <v>536.038816</v>
      </c>
      <c r="AL205" s="163">
        <f>VLOOKUP(IMSS[[#This Row],[SUE MENS]],$AL$110:$AN$120,3,1)</f>
        <v>0</v>
      </c>
      <c r="AM205" s="248">
        <f>IF(IMSS[[#This Row],[ISR CARGO]]-IMSS[[#This Row],[SUBS ISR]]&gt;0,IMSS[[#This Row],[ISR CARGO]]-IMSS[[#This Row],[SUBS ISR]],0)</f>
        <v>536.038816</v>
      </c>
      <c r="AN205" s="248">
        <f>IF(IMSS[[#This Row],[SUBS ISR]]-IMSS[[#This Row],[ISR CARGO]]&gt;0,IMSS[[#This Row],[SUBS ISR]]-IMSS[[#This Row],[ISR CARGO]],0)</f>
        <v>0</v>
      </c>
    </row>
    <row r="206" spans="3:40" ht="15" hidden="1" customHeight="1" x14ac:dyDescent="0.25">
      <c r="C206" s="243">
        <v>193</v>
      </c>
      <c r="D206" s="167" t="str">
        <f>VLOOKUP(IMSS[[#This Row],[NEM]],BDD[],2,0)</f>
        <v>José Angel Marin Santiago</v>
      </c>
      <c r="E206" s="167" t="str">
        <f>VLOOKUP(IMSS[[#This Row],[NEM]],BDD[],9,0)</f>
        <v>AUDIT ADMN</v>
      </c>
      <c r="F206" s="168">
        <v>30</v>
      </c>
      <c r="G206" s="139">
        <f>VLOOKUP(IMSS[[#This Row],[NEM]],BDD[],3,0)</f>
        <v>7445</v>
      </c>
      <c r="H206" s="139">
        <f ca="1">VLOOKUP(IMSS[[#This Row],[NEM]],BDD[],25,0)</f>
        <v>274.00319634703197</v>
      </c>
      <c r="I206" s="143">
        <f>VLOOKUP(IMSS[[#This Row],[DEPT]],$B$3:$G$49,6,0)</f>
        <v>5.4355000000000002E-3</v>
      </c>
      <c r="J206" s="163">
        <f ca="1">IMSS[[#This Row],[DIAS LAB]]*IMSS[[#This Row],[SDI]]*IMSS[[#This Row],[% RSG]]*$Q$108</f>
        <v>44.680331212328774</v>
      </c>
      <c r="K206" s="163">
        <f>IMSS[[#This Row],[DIAS LAB]]*$J$110*$Q$109</f>
        <v>548.47440000000006</v>
      </c>
      <c r="L206" s="166">
        <f ca="1">IMSS[[#This Row],[DIAS LAB]]*IF(IMSS[[#This Row],[SDI]]-$J$113&gt;0,IMSS[[#This Row],[SDI]]-$J$113,0)*$Q$110</f>
        <v>1.6972547945205467</v>
      </c>
      <c r="M206" s="166">
        <f ca="1">IMSS[[#This Row],[DIAS LAB]]*IMSS[[#This Row],[SDI]]*$Q$111</f>
        <v>86.311006849315078</v>
      </c>
      <c r="N206" s="163">
        <f ca="1">IMSS[[#This Row],[DIAS LAB]]*IMSS[[#This Row],[SDI]]*$Q$112</f>
        <v>57.540671232876718</v>
      </c>
      <c r="O206" s="166">
        <f ca="1">IMSS[[#This Row],[DIAS LAB]]*IMSS[[#This Row],[SDI]]*$Q$113</f>
        <v>143.8516780821918</v>
      </c>
      <c r="P206" s="163">
        <f ca="1">IMSS[[#This Row],[DIAS LAB]]*IMSS[[#This Row],[SDI]]*$Q$114</f>
        <v>82.200958904109598</v>
      </c>
      <c r="Q206" s="166">
        <f ca="1">IMSS[[#This Row],[DIAS LAB]]*IMSS[[#This Row],[SDI]]*$Q$115</f>
        <v>164.4019178082192</v>
      </c>
      <c r="R206" s="163">
        <f ca="1">IMSS[[#This Row],[DIAS LAB]]*IMSS[[#This Row],[SDI]]*$Q$116</f>
        <v>258.9330205479452</v>
      </c>
      <c r="S206" s="163">
        <f ca="1">IMSS[[#This Row],[DIAS LAB]]*IMSS[[#This Row],[SDI]]*$Q$117</f>
        <v>411.00479452054799</v>
      </c>
      <c r="T206" s="164">
        <f ca="1">SUM(IMSS[[#This Row],[P RSG TRB]:[P INFONAVIT]])</f>
        <v>1799.0960339520548</v>
      </c>
      <c r="U206" s="163">
        <f ca="1">IMSS[[#This Row],[DIAS LAB]]*IMSS[[#This Row],[SDI]]*IMSS[[#This Row],[% RSG]]*$R$108</f>
        <v>0</v>
      </c>
      <c r="V206" s="163">
        <f ca="1">IMSS[[#This Row],[DIAS LAB]]*IMSS[[#This Row],[SDI]]*$R$112</f>
        <v>20.550239726027399</v>
      </c>
      <c r="W206" s="163"/>
      <c r="X206" s="163">
        <f ca="1">IMSS[[#This Row],[DIAS LAB]]*IMSS[[#This Row],[SDI]]*$R$113</f>
        <v>51.786604109589042</v>
      </c>
      <c r="Y206" s="163">
        <f ca="1">IMSS[[#This Row],[DIAS LAB]]*IMSS[[#This Row],[SDI]]*$R$114</f>
        <v>0</v>
      </c>
      <c r="Z206" s="163">
        <f ca="1">IMSS[[#This Row],[DIAS LAB]]*IMSS[[#This Row],[SDI]]*$R$115</f>
        <v>0</v>
      </c>
      <c r="AA206" s="163">
        <f ca="1">IMSS[[#This Row],[DIAS LAB]]*IMSS[[#This Row],[SDI]]*$R$116</f>
        <v>92.887083561643834</v>
      </c>
      <c r="AB206" s="163">
        <f ca="1">IMSS[[#This Row],[DIAS LAB]]*IMSS[[#This Row],[SDI]]*$R$117</f>
        <v>0</v>
      </c>
      <c r="AC206" s="247">
        <f ca="1">SUM(IMSS[[#This Row],[O RSG TRB]:[O INFONAVIT]])</f>
        <v>165.22392739726027</v>
      </c>
      <c r="AD206" s="163"/>
      <c r="AE206" s="165">
        <f ca="1">IMSS[[#This Row],[P TOTAL]]+IMSS[[#This Row],[O TOTAL]]</f>
        <v>1964.319961349315</v>
      </c>
      <c r="AF206" s="163"/>
      <c r="AG206" s="163">
        <f>VLOOKUP(IMSS[[#This Row],[SUE MENS]],$AG$110:$AJ$120,1,1)</f>
        <v>5470.93</v>
      </c>
      <c r="AH206" s="163">
        <f>IMSS[[#This Row],[SUE MENS]]-IMSS[[#This Row],[LIM INF]]</f>
        <v>1974.0699999999997</v>
      </c>
      <c r="AI206" s="163">
        <f>IMSS[[#This Row],[EXC LIM INF]]*(VLOOKUP(IMSS[[#This Row],[LIM INF]],$AG$110:$AJ$120,4,0))</f>
        <v>214.77881599999998</v>
      </c>
      <c r="AJ206" s="163">
        <f>VLOOKUP(IMSS[[#This Row],[LIM INF]],$AG$110:$AJ$120,3)</f>
        <v>321.26</v>
      </c>
      <c r="AK206" s="163">
        <f>SUM(IMSS[[#This Row],[TASA EXC]]+IMSS[[#This Row],[CUOTA FIJA]])</f>
        <v>536.038816</v>
      </c>
      <c r="AL206" s="163">
        <f>VLOOKUP(IMSS[[#This Row],[SUE MENS]],$AL$110:$AN$120,3,1)</f>
        <v>0</v>
      </c>
      <c r="AM206" s="248">
        <f>IF(IMSS[[#This Row],[ISR CARGO]]-IMSS[[#This Row],[SUBS ISR]]&gt;0,IMSS[[#This Row],[ISR CARGO]]-IMSS[[#This Row],[SUBS ISR]],0)</f>
        <v>536.038816</v>
      </c>
      <c r="AN206" s="248">
        <f>IF(IMSS[[#This Row],[SUBS ISR]]-IMSS[[#This Row],[ISR CARGO]]&gt;0,IMSS[[#This Row],[SUBS ISR]]-IMSS[[#This Row],[ISR CARGO]],0)</f>
        <v>0</v>
      </c>
    </row>
    <row r="207" spans="3:40" ht="15" hidden="1" customHeight="1" x14ac:dyDescent="0.25">
      <c r="C207" s="243">
        <v>194</v>
      </c>
      <c r="D207" s="167" t="str">
        <f>VLOOKUP(IMSS[[#This Row],[NEM]],BDD[],2,0)</f>
        <v>Luz Elena Medrano Sida</v>
      </c>
      <c r="E207" s="167" t="str">
        <f>VLOOKUP(IMSS[[#This Row],[NEM]],BDD[],9,0)</f>
        <v>AUDIT PROY</v>
      </c>
      <c r="F207" s="168">
        <v>30</v>
      </c>
      <c r="G207" s="139">
        <f>VLOOKUP(IMSS[[#This Row],[NEM]],BDD[],3,0)</f>
        <v>7445</v>
      </c>
      <c r="H207" s="139">
        <f ca="1">VLOOKUP(IMSS[[#This Row],[NEM]],BDD[],25,0)</f>
        <v>273.32328767123283</v>
      </c>
      <c r="I207" s="143">
        <f>VLOOKUP(IMSS[[#This Row],[DEPT]],$B$3:$G$49,6,0)</f>
        <v>1.130658E-2</v>
      </c>
      <c r="J207" s="163">
        <f ca="1">IMSS[[#This Row],[DIAS LAB]]*IMSS[[#This Row],[SDI]]*IMSS[[#This Row],[% RSG]]*$Q$108</f>
        <v>92.710548537534237</v>
      </c>
      <c r="K207" s="163">
        <f>IMSS[[#This Row],[DIAS LAB]]*$J$110*$Q$109</f>
        <v>548.47440000000006</v>
      </c>
      <c r="L207" s="166">
        <f ca="1">IMSS[[#This Row],[DIAS LAB]]*IF(IMSS[[#This Row],[SDI]]-$J$113&gt;0,IMSS[[#This Row],[SDI]]-$J$113,0)*$Q$110</f>
        <v>1.4728849315068304</v>
      </c>
      <c r="M207" s="166">
        <f ca="1">IMSS[[#This Row],[DIAS LAB]]*IMSS[[#This Row],[SDI]]*$Q$111</f>
        <v>86.096835616438355</v>
      </c>
      <c r="N207" s="163">
        <f ca="1">IMSS[[#This Row],[DIAS LAB]]*IMSS[[#This Row],[SDI]]*$Q$112</f>
        <v>57.397890410958901</v>
      </c>
      <c r="O207" s="166">
        <f ca="1">IMSS[[#This Row],[DIAS LAB]]*IMSS[[#This Row],[SDI]]*$Q$113</f>
        <v>143.49472602739726</v>
      </c>
      <c r="P207" s="163">
        <f ca="1">IMSS[[#This Row],[DIAS LAB]]*IMSS[[#This Row],[SDI]]*$Q$114</f>
        <v>81.996986301369859</v>
      </c>
      <c r="Q207" s="166">
        <f ca="1">IMSS[[#This Row],[DIAS LAB]]*IMSS[[#This Row],[SDI]]*$Q$115</f>
        <v>163.99397260273972</v>
      </c>
      <c r="R207" s="163">
        <f ca="1">IMSS[[#This Row],[DIAS LAB]]*IMSS[[#This Row],[SDI]]*$Q$116</f>
        <v>258.29050684931502</v>
      </c>
      <c r="S207" s="163">
        <f ca="1">IMSS[[#This Row],[DIAS LAB]]*IMSS[[#This Row],[SDI]]*$Q$117</f>
        <v>409.98493150684931</v>
      </c>
      <c r="T207" s="164">
        <f ca="1">SUM(IMSS[[#This Row],[P RSG TRB]:[P INFONAVIT]])</f>
        <v>1843.9136827841096</v>
      </c>
      <c r="U207" s="163">
        <f ca="1">IMSS[[#This Row],[DIAS LAB]]*IMSS[[#This Row],[SDI]]*IMSS[[#This Row],[% RSG]]*$R$108</f>
        <v>0</v>
      </c>
      <c r="V207" s="163">
        <f ca="1">IMSS[[#This Row],[DIAS LAB]]*IMSS[[#This Row],[SDI]]*$R$112</f>
        <v>20.499246575342465</v>
      </c>
      <c r="W207" s="163"/>
      <c r="X207" s="163">
        <f ca="1">IMSS[[#This Row],[DIAS LAB]]*IMSS[[#This Row],[SDI]]*$R$113</f>
        <v>51.658101369863004</v>
      </c>
      <c r="Y207" s="163">
        <f ca="1">IMSS[[#This Row],[DIAS LAB]]*IMSS[[#This Row],[SDI]]*$R$114</f>
        <v>0</v>
      </c>
      <c r="Z207" s="163">
        <f ca="1">IMSS[[#This Row],[DIAS LAB]]*IMSS[[#This Row],[SDI]]*$R$115</f>
        <v>0</v>
      </c>
      <c r="AA207" s="163">
        <f ca="1">IMSS[[#This Row],[DIAS LAB]]*IMSS[[#This Row],[SDI]]*$R$116</f>
        <v>92.656594520547927</v>
      </c>
      <c r="AB207" s="163">
        <f ca="1">IMSS[[#This Row],[DIAS LAB]]*IMSS[[#This Row],[SDI]]*$R$117</f>
        <v>0</v>
      </c>
      <c r="AC207" s="247">
        <f ca="1">SUM(IMSS[[#This Row],[O RSG TRB]:[O INFONAVIT]])</f>
        <v>164.8139424657534</v>
      </c>
      <c r="AD207" s="163"/>
      <c r="AE207" s="165">
        <f ca="1">IMSS[[#This Row],[P TOTAL]]+IMSS[[#This Row],[O TOTAL]]</f>
        <v>2008.727625249863</v>
      </c>
      <c r="AF207" s="163"/>
      <c r="AG207" s="163">
        <f>VLOOKUP(IMSS[[#This Row],[SUE MENS]],$AG$110:$AJ$120,1,1)</f>
        <v>5470.93</v>
      </c>
      <c r="AH207" s="163">
        <f>IMSS[[#This Row],[SUE MENS]]-IMSS[[#This Row],[LIM INF]]</f>
        <v>1974.0699999999997</v>
      </c>
      <c r="AI207" s="163">
        <f>IMSS[[#This Row],[EXC LIM INF]]*(VLOOKUP(IMSS[[#This Row],[LIM INF]],$AG$110:$AJ$120,4,0))</f>
        <v>214.77881599999998</v>
      </c>
      <c r="AJ207" s="163">
        <f>VLOOKUP(IMSS[[#This Row],[LIM INF]],$AG$110:$AJ$120,3)</f>
        <v>321.26</v>
      </c>
      <c r="AK207" s="163">
        <f>SUM(IMSS[[#This Row],[TASA EXC]]+IMSS[[#This Row],[CUOTA FIJA]])</f>
        <v>536.038816</v>
      </c>
      <c r="AL207" s="163">
        <f>VLOOKUP(IMSS[[#This Row],[SUE MENS]],$AL$110:$AN$120,3,1)</f>
        <v>0</v>
      </c>
      <c r="AM207" s="248">
        <f>IF(IMSS[[#This Row],[ISR CARGO]]-IMSS[[#This Row],[SUBS ISR]]&gt;0,IMSS[[#This Row],[ISR CARGO]]-IMSS[[#This Row],[SUBS ISR]],0)</f>
        <v>536.038816</v>
      </c>
      <c r="AN207" s="248">
        <f>IF(IMSS[[#This Row],[SUBS ISR]]-IMSS[[#This Row],[ISR CARGO]]&gt;0,IMSS[[#This Row],[SUBS ISR]]-IMSS[[#This Row],[ISR CARGO]],0)</f>
        <v>0</v>
      </c>
    </row>
    <row r="208" spans="3:40" ht="15" hidden="1" customHeight="1" x14ac:dyDescent="0.25">
      <c r="C208" s="243">
        <v>195</v>
      </c>
      <c r="D208" s="167" t="str">
        <f>VLOOKUP(IMSS[[#This Row],[NEM]],BDD[],2,0)</f>
        <v>Yuliana Guadalupe Monsiváis Gámez</v>
      </c>
      <c r="E208" s="167" t="str">
        <f>VLOOKUP(IMSS[[#This Row],[NEM]],BDD[],9,0)</f>
        <v>EXTERNOS</v>
      </c>
      <c r="F208" s="168">
        <v>30</v>
      </c>
      <c r="G208" s="139">
        <f>VLOOKUP(IMSS[[#This Row],[NEM]],BDD[],3,0)</f>
        <v>27150</v>
      </c>
      <c r="H208" s="139">
        <f ca="1">VLOOKUP(IMSS[[#This Row],[NEM]],BDD[],25,0)</f>
        <v>1004.1780821917808</v>
      </c>
      <c r="I208" s="143">
        <f>VLOOKUP(IMSS[[#This Row],[DEPT]],$B$3:$G$49,6,0)</f>
        <v>5.4355000000000002E-3</v>
      </c>
      <c r="J208" s="163">
        <f ca="1">IMSS[[#This Row],[DIAS LAB]]*IMSS[[#This Row],[SDI]]*IMSS[[#This Row],[% RSG]]*$Q$108</f>
        <v>163.74629897260277</v>
      </c>
      <c r="K208" s="163">
        <f>IMSS[[#This Row],[DIAS LAB]]*$J$110*$Q$109</f>
        <v>548.47440000000006</v>
      </c>
      <c r="L208" s="166">
        <f ca="1">IMSS[[#This Row],[DIAS LAB]]*IF(IMSS[[#This Row],[SDI]]-$J$113&gt;0,IMSS[[#This Row],[SDI]]-$J$113,0)*$Q$110</f>
        <v>242.65496712328766</v>
      </c>
      <c r="M208" s="166">
        <f ca="1">IMSS[[#This Row],[DIAS LAB]]*IMSS[[#This Row],[SDI]]*$Q$111</f>
        <v>316.31609589041102</v>
      </c>
      <c r="N208" s="163">
        <f ca="1">IMSS[[#This Row],[DIAS LAB]]*IMSS[[#This Row],[SDI]]*$Q$112</f>
        <v>210.87739726027399</v>
      </c>
      <c r="O208" s="166">
        <f ca="1">IMSS[[#This Row],[DIAS LAB]]*IMSS[[#This Row],[SDI]]*$Q$113</f>
        <v>527.19349315068507</v>
      </c>
      <c r="P208" s="163">
        <f ca="1">IMSS[[#This Row],[DIAS LAB]]*IMSS[[#This Row],[SDI]]*$Q$114</f>
        <v>301.25342465753425</v>
      </c>
      <c r="Q208" s="166">
        <f ca="1">IMSS[[#This Row],[DIAS LAB]]*IMSS[[#This Row],[SDI]]*$Q$115</f>
        <v>602.50684931506851</v>
      </c>
      <c r="R208" s="163">
        <f ca="1">IMSS[[#This Row],[DIAS LAB]]*IMSS[[#This Row],[SDI]]*$Q$116</f>
        <v>948.94828767123295</v>
      </c>
      <c r="S208" s="163">
        <f ca="1">IMSS[[#This Row],[DIAS LAB]]*IMSS[[#This Row],[SDI]]*$Q$117</f>
        <v>1506.2671232876714</v>
      </c>
      <c r="T208" s="164">
        <f ca="1">SUM(IMSS[[#This Row],[P RSG TRB]:[P INFONAVIT]])</f>
        <v>5368.2383373287685</v>
      </c>
      <c r="U208" s="163">
        <f ca="1">IMSS[[#This Row],[DIAS LAB]]*IMSS[[#This Row],[SDI]]*IMSS[[#This Row],[% RSG]]*$R$108</f>
        <v>0</v>
      </c>
      <c r="V208" s="163">
        <f ca="1">IMSS[[#This Row],[DIAS LAB]]*IMSS[[#This Row],[SDI]]*$R$112</f>
        <v>75.313356164383563</v>
      </c>
      <c r="W208" s="163"/>
      <c r="X208" s="163">
        <f ca="1">IMSS[[#This Row],[DIAS LAB]]*IMSS[[#This Row],[SDI]]*$R$113</f>
        <v>189.7896575342466</v>
      </c>
      <c r="Y208" s="163">
        <f ca="1">IMSS[[#This Row],[DIAS LAB]]*IMSS[[#This Row],[SDI]]*$R$114</f>
        <v>0</v>
      </c>
      <c r="Z208" s="163">
        <f ca="1">IMSS[[#This Row],[DIAS LAB]]*IMSS[[#This Row],[SDI]]*$R$115</f>
        <v>0</v>
      </c>
      <c r="AA208" s="163">
        <f ca="1">IMSS[[#This Row],[DIAS LAB]]*IMSS[[#This Row],[SDI]]*$R$116</f>
        <v>340.4163698630137</v>
      </c>
      <c r="AB208" s="163">
        <f ca="1">IMSS[[#This Row],[DIAS LAB]]*IMSS[[#This Row],[SDI]]*$R$117</f>
        <v>0</v>
      </c>
      <c r="AC208" s="247">
        <f ca="1">SUM(IMSS[[#This Row],[O RSG TRB]:[O INFONAVIT]])</f>
        <v>605.51938356164385</v>
      </c>
      <c r="AD208" s="163"/>
      <c r="AE208" s="165">
        <f ca="1">IMSS[[#This Row],[P TOTAL]]+IMSS[[#This Row],[O TOTAL]]</f>
        <v>5973.7577208904122</v>
      </c>
      <c r="AF208" s="163"/>
      <c r="AG208" s="163">
        <f>VLOOKUP(IMSS[[#This Row],[SUE MENS]],$AG$110:$AJ$120,1,1)</f>
        <v>26988.51</v>
      </c>
      <c r="AH208" s="163">
        <f>IMSS[[#This Row],[SUE MENS]]-IMSS[[#This Row],[LIM INF]]</f>
        <v>161.4900000000016</v>
      </c>
      <c r="AI208" s="163">
        <f>IMSS[[#This Row],[EXC LIM INF]]*(VLOOKUP(IMSS[[#This Row],[LIM INF]],$AG$110:$AJ$120,4,0))</f>
        <v>37.982448000000375</v>
      </c>
      <c r="AJ208" s="163">
        <f>VLOOKUP(IMSS[[#This Row],[LIM INF]],$AG$110:$AJ$120,3)</f>
        <v>4323.58</v>
      </c>
      <c r="AK208" s="163">
        <f>SUM(IMSS[[#This Row],[TASA EXC]]+IMSS[[#This Row],[CUOTA FIJA]])</f>
        <v>4361.5624480000006</v>
      </c>
      <c r="AL208" s="163">
        <f>VLOOKUP(IMSS[[#This Row],[SUE MENS]],$AL$110:$AN$120,3,1)</f>
        <v>0</v>
      </c>
      <c r="AM208" s="248">
        <f>IF(IMSS[[#This Row],[ISR CARGO]]-IMSS[[#This Row],[SUBS ISR]]&gt;0,IMSS[[#This Row],[ISR CARGO]]-IMSS[[#This Row],[SUBS ISR]],0)</f>
        <v>4361.5624480000006</v>
      </c>
      <c r="AN208" s="248">
        <f>IF(IMSS[[#This Row],[SUBS ISR]]-IMSS[[#This Row],[ISR CARGO]]&gt;0,IMSS[[#This Row],[SUBS ISR]]-IMSS[[#This Row],[ISR CARGO]],0)</f>
        <v>0</v>
      </c>
    </row>
    <row r="209" spans="3:40" ht="15" hidden="1" customHeight="1" x14ac:dyDescent="0.25">
      <c r="C209" s="243">
        <v>196</v>
      </c>
      <c r="D209" s="167" t="str">
        <f>VLOOKUP(IMSS[[#This Row],[NEM]],BDD[],2,0)</f>
        <v>Elda Judith Morales Sauceda</v>
      </c>
      <c r="E209" s="167" t="str">
        <f>VLOOKUP(IMSS[[#This Row],[NEM]],BDD[],9,0)</f>
        <v>EXTERNOS</v>
      </c>
      <c r="F209" s="168">
        <v>30</v>
      </c>
      <c r="G209" s="139">
        <f>VLOOKUP(IMSS[[#This Row],[NEM]],BDD[],3,0)</f>
        <v>9541</v>
      </c>
      <c r="H209" s="139">
        <f ca="1">VLOOKUP(IMSS[[#This Row],[NEM]],BDD[],25,0)</f>
        <v>351.14365296803658</v>
      </c>
      <c r="I209" s="143">
        <f>VLOOKUP(IMSS[[#This Row],[DEPT]],$B$3:$G$49,6,0)</f>
        <v>5.4355000000000002E-3</v>
      </c>
      <c r="J209" s="163">
        <f ca="1">IMSS[[#This Row],[DIAS LAB]]*IMSS[[#This Row],[SDI]]*IMSS[[#This Row],[% RSG]]*$Q$108</f>
        <v>57.259239771232885</v>
      </c>
      <c r="K209" s="163">
        <f>IMSS[[#This Row],[DIAS LAB]]*$J$110*$Q$109</f>
        <v>548.47440000000006</v>
      </c>
      <c r="L209" s="166">
        <f ca="1">IMSS[[#This Row],[DIAS LAB]]*IF(IMSS[[#This Row],[SDI]]-$J$113&gt;0,IMSS[[#This Row],[SDI]]-$J$113,0)*$Q$110</f>
        <v>27.153605479452061</v>
      </c>
      <c r="M209" s="166">
        <f ca="1">IMSS[[#This Row],[DIAS LAB]]*IMSS[[#This Row],[SDI]]*$Q$111</f>
        <v>110.61025068493153</v>
      </c>
      <c r="N209" s="163">
        <f ca="1">IMSS[[#This Row],[DIAS LAB]]*IMSS[[#This Row],[SDI]]*$Q$112</f>
        <v>73.740167123287677</v>
      </c>
      <c r="O209" s="166">
        <f ca="1">IMSS[[#This Row],[DIAS LAB]]*IMSS[[#This Row],[SDI]]*$Q$113</f>
        <v>184.35041780821922</v>
      </c>
      <c r="P209" s="163">
        <f ca="1">IMSS[[#This Row],[DIAS LAB]]*IMSS[[#This Row],[SDI]]*$Q$114</f>
        <v>105.34309589041096</v>
      </c>
      <c r="Q209" s="166">
        <f ca="1">IMSS[[#This Row],[DIAS LAB]]*IMSS[[#This Row],[SDI]]*$Q$115</f>
        <v>210.68619178082193</v>
      </c>
      <c r="R209" s="163">
        <f ca="1">IMSS[[#This Row],[DIAS LAB]]*IMSS[[#This Row],[SDI]]*$Q$116</f>
        <v>331.83075205479457</v>
      </c>
      <c r="S209" s="163">
        <f ca="1">IMSS[[#This Row],[DIAS LAB]]*IMSS[[#This Row],[SDI]]*$Q$117</f>
        <v>526.71547945205486</v>
      </c>
      <c r="T209" s="164">
        <f ca="1">SUM(IMSS[[#This Row],[P RSG TRB]:[P INFONAVIT]])</f>
        <v>2176.1636000452058</v>
      </c>
      <c r="U209" s="163">
        <f ca="1">IMSS[[#This Row],[DIAS LAB]]*IMSS[[#This Row],[SDI]]*IMSS[[#This Row],[% RSG]]*$R$108</f>
        <v>0</v>
      </c>
      <c r="V209" s="163">
        <f ca="1">IMSS[[#This Row],[DIAS LAB]]*IMSS[[#This Row],[SDI]]*$R$112</f>
        <v>26.335773972602741</v>
      </c>
      <c r="W209" s="163"/>
      <c r="X209" s="163">
        <f ca="1">IMSS[[#This Row],[DIAS LAB]]*IMSS[[#This Row],[SDI]]*$R$113</f>
        <v>66.366150410958909</v>
      </c>
      <c r="Y209" s="163">
        <f ca="1">IMSS[[#This Row],[DIAS LAB]]*IMSS[[#This Row],[SDI]]*$R$114</f>
        <v>0</v>
      </c>
      <c r="Z209" s="163">
        <f ca="1">IMSS[[#This Row],[DIAS LAB]]*IMSS[[#This Row],[SDI]]*$R$115</f>
        <v>0</v>
      </c>
      <c r="AA209" s="163">
        <f ca="1">IMSS[[#This Row],[DIAS LAB]]*IMSS[[#This Row],[SDI]]*$R$116</f>
        <v>119.03769835616438</v>
      </c>
      <c r="AB209" s="163">
        <f ca="1">IMSS[[#This Row],[DIAS LAB]]*IMSS[[#This Row],[SDI]]*$R$117</f>
        <v>0</v>
      </c>
      <c r="AC209" s="247">
        <f ca="1">SUM(IMSS[[#This Row],[O RSG TRB]:[O INFONAVIT]])</f>
        <v>211.73962273972603</v>
      </c>
      <c r="AD209" s="163"/>
      <c r="AE209" s="165">
        <f ca="1">IMSS[[#This Row],[P TOTAL]]+IMSS[[#This Row],[O TOTAL]]</f>
        <v>2387.903222784932</v>
      </c>
      <c r="AF209" s="163"/>
      <c r="AG209" s="163">
        <f>VLOOKUP(IMSS[[#This Row],[SUE MENS]],$AG$110:$AJ$120,1,1)</f>
        <v>5470.93</v>
      </c>
      <c r="AH209" s="163">
        <f>IMSS[[#This Row],[SUE MENS]]-IMSS[[#This Row],[LIM INF]]</f>
        <v>4070.0699999999997</v>
      </c>
      <c r="AI209" s="163">
        <f>IMSS[[#This Row],[EXC LIM INF]]*(VLOOKUP(IMSS[[#This Row],[LIM INF]],$AG$110:$AJ$120,4,0))</f>
        <v>442.82361600000002</v>
      </c>
      <c r="AJ209" s="163">
        <f>VLOOKUP(IMSS[[#This Row],[LIM INF]],$AG$110:$AJ$120,3)</f>
        <v>321.26</v>
      </c>
      <c r="AK209" s="163">
        <f>SUM(IMSS[[#This Row],[TASA EXC]]+IMSS[[#This Row],[CUOTA FIJA]])</f>
        <v>764.08361600000001</v>
      </c>
      <c r="AL209" s="163">
        <f>VLOOKUP(IMSS[[#This Row],[SUE MENS]],$AL$110:$AN$120,3,1)</f>
        <v>0</v>
      </c>
      <c r="AM209" s="248">
        <f>IF(IMSS[[#This Row],[ISR CARGO]]-IMSS[[#This Row],[SUBS ISR]]&gt;0,IMSS[[#This Row],[ISR CARGO]]-IMSS[[#This Row],[SUBS ISR]],0)</f>
        <v>764.08361600000001</v>
      </c>
      <c r="AN209" s="248">
        <f>IF(IMSS[[#This Row],[SUBS ISR]]-IMSS[[#This Row],[ISR CARGO]]&gt;0,IMSS[[#This Row],[SUBS ISR]]-IMSS[[#This Row],[ISR CARGO]],0)</f>
        <v>0</v>
      </c>
    </row>
    <row r="210" spans="3:40" ht="15" hidden="1" customHeight="1" x14ac:dyDescent="0.25">
      <c r="C210" s="243">
        <v>197</v>
      </c>
      <c r="D210" s="167" t="str">
        <f>VLOOKUP(IMSS[[#This Row],[NEM]],BDD[],2,0)</f>
        <v>Perla Elena Núñez Eguren</v>
      </c>
      <c r="E210" s="167" t="str">
        <f>VLOOKUP(IMSS[[#This Row],[NEM]],BDD[],9,0)</f>
        <v>ADMINCIÓN</v>
      </c>
      <c r="F210" s="168">
        <v>30</v>
      </c>
      <c r="G210" s="139">
        <f>VLOOKUP(IMSS[[#This Row],[NEM]],BDD[],3,0)</f>
        <v>7950</v>
      </c>
      <c r="H210" s="139">
        <f ca="1">VLOOKUP(IMSS[[#This Row],[NEM]],BDD[],25,0)</f>
        <v>291.86301369863014</v>
      </c>
      <c r="I210" s="143">
        <f>VLOOKUP(IMSS[[#This Row],[DEPT]],$B$3:$G$49,6,0)</f>
        <v>5.4355000000000002E-3</v>
      </c>
      <c r="J210" s="163">
        <f ca="1">IMSS[[#This Row],[DIAS LAB]]*IMSS[[#This Row],[SDI]]*IMSS[[#This Row],[% RSG]]*$Q$108</f>
        <v>47.592642328767127</v>
      </c>
      <c r="K210" s="163">
        <f>IMSS[[#This Row],[DIAS LAB]]*$J$110*$Q$109</f>
        <v>548.47440000000006</v>
      </c>
      <c r="L210" s="166">
        <f ca="1">IMSS[[#This Row],[DIAS LAB]]*IF(IMSS[[#This Row],[SDI]]-$J$113&gt;0,IMSS[[#This Row],[SDI]]-$J$113,0)*$Q$110</f>
        <v>7.5909945205479419</v>
      </c>
      <c r="M210" s="166">
        <f ca="1">IMSS[[#This Row],[DIAS LAB]]*IMSS[[#This Row],[SDI]]*$Q$111</f>
        <v>91.9368493150685</v>
      </c>
      <c r="N210" s="163">
        <f ca="1">IMSS[[#This Row],[DIAS LAB]]*IMSS[[#This Row],[SDI]]*$Q$112</f>
        <v>61.291232876712328</v>
      </c>
      <c r="O210" s="166">
        <f ca="1">IMSS[[#This Row],[DIAS LAB]]*IMSS[[#This Row],[SDI]]*$Q$113</f>
        <v>153.22808219178083</v>
      </c>
      <c r="P210" s="163">
        <f ca="1">IMSS[[#This Row],[DIAS LAB]]*IMSS[[#This Row],[SDI]]*$Q$114</f>
        <v>87.558904109589037</v>
      </c>
      <c r="Q210" s="166">
        <f ca="1">IMSS[[#This Row],[DIAS LAB]]*IMSS[[#This Row],[SDI]]*$Q$115</f>
        <v>175.11780821917807</v>
      </c>
      <c r="R210" s="163">
        <f ca="1">IMSS[[#This Row],[DIAS LAB]]*IMSS[[#This Row],[SDI]]*$Q$116</f>
        <v>275.81054794520549</v>
      </c>
      <c r="S210" s="163">
        <f ca="1">IMSS[[#This Row],[DIAS LAB]]*IMSS[[#This Row],[SDI]]*$Q$117</f>
        <v>437.79452054794524</v>
      </c>
      <c r="T210" s="164">
        <f ca="1">SUM(IMSS[[#This Row],[P RSG TRB]:[P INFONAVIT]])</f>
        <v>1886.3959820547946</v>
      </c>
      <c r="U210" s="163">
        <f ca="1">IMSS[[#This Row],[DIAS LAB]]*IMSS[[#This Row],[SDI]]*IMSS[[#This Row],[% RSG]]*$R$108</f>
        <v>0</v>
      </c>
      <c r="V210" s="163">
        <f ca="1">IMSS[[#This Row],[DIAS LAB]]*IMSS[[#This Row],[SDI]]*$R$112</f>
        <v>21.889726027397259</v>
      </c>
      <c r="W210" s="163"/>
      <c r="X210" s="163">
        <f ca="1">IMSS[[#This Row],[DIAS LAB]]*IMSS[[#This Row],[SDI]]*$R$113</f>
        <v>55.162109589041094</v>
      </c>
      <c r="Y210" s="163">
        <f ca="1">IMSS[[#This Row],[DIAS LAB]]*IMSS[[#This Row],[SDI]]*$R$114</f>
        <v>0</v>
      </c>
      <c r="Z210" s="163">
        <f ca="1">IMSS[[#This Row],[DIAS LAB]]*IMSS[[#This Row],[SDI]]*$R$115</f>
        <v>0</v>
      </c>
      <c r="AA210" s="163">
        <f ca="1">IMSS[[#This Row],[DIAS LAB]]*IMSS[[#This Row],[SDI]]*$R$116</f>
        <v>98.941561643835612</v>
      </c>
      <c r="AB210" s="163">
        <f ca="1">IMSS[[#This Row],[DIAS LAB]]*IMSS[[#This Row],[SDI]]*$R$117</f>
        <v>0</v>
      </c>
      <c r="AC210" s="247">
        <f ca="1">SUM(IMSS[[#This Row],[O RSG TRB]:[O INFONAVIT]])</f>
        <v>175.99339726027398</v>
      </c>
      <c r="AD210" s="163"/>
      <c r="AE210" s="165">
        <f ca="1">IMSS[[#This Row],[P TOTAL]]+IMSS[[#This Row],[O TOTAL]]</f>
        <v>2062.3893793150687</v>
      </c>
      <c r="AF210" s="163"/>
      <c r="AG210" s="163">
        <f>VLOOKUP(IMSS[[#This Row],[SUE MENS]],$AG$110:$AJ$120,1,1)</f>
        <v>5470.93</v>
      </c>
      <c r="AH210" s="163">
        <f>IMSS[[#This Row],[SUE MENS]]-IMSS[[#This Row],[LIM INF]]</f>
        <v>2479.0699999999997</v>
      </c>
      <c r="AI210" s="163">
        <f>IMSS[[#This Row],[EXC LIM INF]]*(VLOOKUP(IMSS[[#This Row],[LIM INF]],$AG$110:$AJ$120,4,0))</f>
        <v>269.72281599999997</v>
      </c>
      <c r="AJ210" s="163">
        <f>VLOOKUP(IMSS[[#This Row],[LIM INF]],$AG$110:$AJ$120,3)</f>
        <v>321.26</v>
      </c>
      <c r="AK210" s="163">
        <f>SUM(IMSS[[#This Row],[TASA EXC]]+IMSS[[#This Row],[CUOTA FIJA]])</f>
        <v>590.98281599999996</v>
      </c>
      <c r="AL210" s="163">
        <f>VLOOKUP(IMSS[[#This Row],[SUE MENS]],$AL$110:$AN$120,3,1)</f>
        <v>0</v>
      </c>
      <c r="AM210" s="248">
        <f>IF(IMSS[[#This Row],[ISR CARGO]]-IMSS[[#This Row],[SUBS ISR]]&gt;0,IMSS[[#This Row],[ISR CARGO]]-IMSS[[#This Row],[SUBS ISR]],0)</f>
        <v>590.98281599999996</v>
      </c>
      <c r="AN210" s="248">
        <f>IF(IMSS[[#This Row],[SUBS ISR]]-IMSS[[#This Row],[ISR CARGO]]&gt;0,IMSS[[#This Row],[SUBS ISR]]-IMSS[[#This Row],[ISR CARGO]],0)</f>
        <v>0</v>
      </c>
    </row>
    <row r="211" spans="3:40" ht="15" hidden="1" customHeight="1" x14ac:dyDescent="0.25">
      <c r="C211" s="243">
        <v>198</v>
      </c>
      <c r="D211" s="167" t="str">
        <f>VLOOKUP(IMSS[[#This Row],[NEM]],BDD[],2,0)</f>
        <v>Mary Alejandra Ríos Rodríguez</v>
      </c>
      <c r="E211" s="167" t="str">
        <f>VLOOKUP(IMSS[[#This Row],[NEM]],BDD[],9,0)</f>
        <v>ARQUITECT</v>
      </c>
      <c r="F211" s="168">
        <v>30</v>
      </c>
      <c r="G211" s="139">
        <f>VLOOKUP(IMSS[[#This Row],[NEM]],BDD[],3,0)</f>
        <v>22200</v>
      </c>
      <c r="H211" s="139">
        <f ca="1">VLOOKUP(IMSS[[#This Row],[NEM]],BDD[],25,0)</f>
        <v>817.04109589041093</v>
      </c>
      <c r="I211" s="143">
        <f>VLOOKUP(IMSS[[#This Row],[DEPT]],$B$3:$G$49,6,0)</f>
        <v>2.5984400000000001E-2</v>
      </c>
      <c r="J211" s="163">
        <f ca="1">IMSS[[#This Row],[DIAS LAB]]*IMSS[[#This Row],[SDI]]*IMSS[[#This Row],[% RSG]]*$Q$108</f>
        <v>636.90967956164388</v>
      </c>
      <c r="K211" s="163">
        <f>IMSS[[#This Row],[DIAS LAB]]*$J$110*$Q$109</f>
        <v>548.47440000000006</v>
      </c>
      <c r="L211" s="166">
        <f ca="1">IMSS[[#This Row],[DIAS LAB]]*IF(IMSS[[#This Row],[SDI]]-$J$113&gt;0,IMSS[[#This Row],[SDI]]-$J$113,0)*$Q$110</f>
        <v>180.89976164383557</v>
      </c>
      <c r="M211" s="166">
        <f ca="1">IMSS[[#This Row],[DIAS LAB]]*IMSS[[#This Row],[SDI]]*$Q$111</f>
        <v>257.36794520547949</v>
      </c>
      <c r="N211" s="163">
        <f ca="1">IMSS[[#This Row],[DIAS LAB]]*IMSS[[#This Row],[SDI]]*$Q$112</f>
        <v>171.57863013698631</v>
      </c>
      <c r="O211" s="166">
        <f ca="1">IMSS[[#This Row],[DIAS LAB]]*IMSS[[#This Row],[SDI]]*$Q$113</f>
        <v>428.94657534246579</v>
      </c>
      <c r="P211" s="163">
        <f ca="1">IMSS[[#This Row],[DIAS LAB]]*IMSS[[#This Row],[SDI]]*$Q$114</f>
        <v>245.1123287671233</v>
      </c>
      <c r="Q211" s="166">
        <f ca="1">IMSS[[#This Row],[DIAS LAB]]*IMSS[[#This Row],[SDI]]*$Q$115</f>
        <v>490.2246575342466</v>
      </c>
      <c r="R211" s="163">
        <f ca="1">IMSS[[#This Row],[DIAS LAB]]*IMSS[[#This Row],[SDI]]*$Q$116</f>
        <v>772.10383561643835</v>
      </c>
      <c r="S211" s="163">
        <f ca="1">IMSS[[#This Row],[DIAS LAB]]*IMSS[[#This Row],[SDI]]*$Q$117</f>
        <v>1225.5616438356165</v>
      </c>
      <c r="T211" s="164">
        <f ca="1">SUM(IMSS[[#This Row],[P RSG TRB]:[P INFONAVIT]])</f>
        <v>4957.1794576438351</v>
      </c>
      <c r="U211" s="163">
        <f ca="1">IMSS[[#This Row],[DIAS LAB]]*IMSS[[#This Row],[SDI]]*IMSS[[#This Row],[% RSG]]*$R$108</f>
        <v>0</v>
      </c>
      <c r="V211" s="163">
        <f ca="1">IMSS[[#This Row],[DIAS LAB]]*IMSS[[#This Row],[SDI]]*$R$112</f>
        <v>61.278082191780825</v>
      </c>
      <c r="W211" s="163"/>
      <c r="X211" s="163">
        <f ca="1">IMSS[[#This Row],[DIAS LAB]]*IMSS[[#This Row],[SDI]]*$R$113</f>
        <v>154.42076712328767</v>
      </c>
      <c r="Y211" s="163">
        <f ca="1">IMSS[[#This Row],[DIAS LAB]]*IMSS[[#This Row],[SDI]]*$R$114</f>
        <v>0</v>
      </c>
      <c r="Z211" s="163">
        <f ca="1">IMSS[[#This Row],[DIAS LAB]]*IMSS[[#This Row],[SDI]]*$R$115</f>
        <v>0</v>
      </c>
      <c r="AA211" s="163">
        <f ca="1">IMSS[[#This Row],[DIAS LAB]]*IMSS[[#This Row],[SDI]]*$R$116</f>
        <v>276.97693150684933</v>
      </c>
      <c r="AB211" s="163">
        <f ca="1">IMSS[[#This Row],[DIAS LAB]]*IMSS[[#This Row],[SDI]]*$R$117</f>
        <v>0</v>
      </c>
      <c r="AC211" s="247">
        <f ca="1">SUM(IMSS[[#This Row],[O RSG TRB]:[O INFONAVIT]])</f>
        <v>492.67578082191784</v>
      </c>
      <c r="AD211" s="163"/>
      <c r="AE211" s="165">
        <f ca="1">IMSS[[#This Row],[P TOTAL]]+IMSS[[#This Row],[O TOTAL]]</f>
        <v>5449.8552384657532</v>
      </c>
      <c r="AF211" s="163"/>
      <c r="AG211" s="163">
        <f>VLOOKUP(IMSS[[#This Row],[SUE MENS]],$AG$110:$AJ$120,1,1)</f>
        <v>13381.48</v>
      </c>
      <c r="AH211" s="163">
        <f>IMSS[[#This Row],[SUE MENS]]-IMSS[[#This Row],[LIM INF]]</f>
        <v>8818.52</v>
      </c>
      <c r="AI211" s="163">
        <f>IMSS[[#This Row],[EXC LIM INF]]*(VLOOKUP(IMSS[[#This Row],[LIM INF]],$AG$110:$AJ$120,4,0))</f>
        <v>1883.6358720000001</v>
      </c>
      <c r="AJ211" s="163">
        <f>VLOOKUP(IMSS[[#This Row],[LIM INF]],$AG$110:$AJ$120,3)</f>
        <v>1417.12</v>
      </c>
      <c r="AK211" s="163">
        <f>SUM(IMSS[[#This Row],[TASA EXC]]+IMSS[[#This Row],[CUOTA FIJA]])</f>
        <v>3300.7558719999997</v>
      </c>
      <c r="AL211" s="163">
        <f>VLOOKUP(IMSS[[#This Row],[SUE MENS]],$AL$110:$AN$120,3,1)</f>
        <v>0</v>
      </c>
      <c r="AM211" s="248">
        <f>IF(IMSS[[#This Row],[ISR CARGO]]-IMSS[[#This Row],[SUBS ISR]]&gt;0,IMSS[[#This Row],[ISR CARGO]]-IMSS[[#This Row],[SUBS ISR]],0)</f>
        <v>3300.7558719999997</v>
      </c>
      <c r="AN211" s="248">
        <f>IF(IMSS[[#This Row],[SUBS ISR]]-IMSS[[#This Row],[ISR CARGO]]&gt;0,IMSS[[#This Row],[SUBS ISR]]-IMSS[[#This Row],[ISR CARGO]],0)</f>
        <v>0</v>
      </c>
    </row>
    <row r="212" spans="3:40" ht="15" hidden="1" customHeight="1" x14ac:dyDescent="0.25">
      <c r="C212" s="243">
        <v>199</v>
      </c>
      <c r="D212" s="167" t="str">
        <f>VLOOKUP(IMSS[[#This Row],[NEM]],BDD[],2,0)</f>
        <v>Keila Saraí Ruiz García</v>
      </c>
      <c r="E212" s="167" t="str">
        <f>VLOOKUP(IMSS[[#This Row],[NEM]],BDD[],9,0)</f>
        <v>AUDIT ADMN</v>
      </c>
      <c r="F212" s="168">
        <v>30</v>
      </c>
      <c r="G212" s="139">
        <f>VLOOKUP(IMSS[[#This Row],[NEM]],BDD[],3,0)</f>
        <v>9450</v>
      </c>
      <c r="H212" s="139">
        <f ca="1">VLOOKUP(IMSS[[#This Row],[NEM]],BDD[],25,0)</f>
        <v>347.79452054794518</v>
      </c>
      <c r="I212" s="143">
        <f>VLOOKUP(IMSS[[#This Row],[DEPT]],$B$3:$G$49,6,0)</f>
        <v>5.4355000000000002E-3</v>
      </c>
      <c r="J212" s="163">
        <f ca="1">IMSS[[#This Row],[DIAS LAB]]*IMSS[[#This Row],[SDI]]*IMSS[[#This Row],[% RSG]]*$Q$108</f>
        <v>56.713113493150679</v>
      </c>
      <c r="K212" s="163">
        <f>IMSS[[#This Row],[DIAS LAB]]*$J$110*$Q$109</f>
        <v>548.47440000000006</v>
      </c>
      <c r="L212" s="166">
        <f ca="1">IMSS[[#This Row],[DIAS LAB]]*IF(IMSS[[#This Row],[SDI]]-$J$113&gt;0,IMSS[[#This Row],[SDI]]-$J$113,0)*$Q$110</f>
        <v>26.048391780821905</v>
      </c>
      <c r="M212" s="166">
        <f ca="1">IMSS[[#This Row],[DIAS LAB]]*IMSS[[#This Row],[SDI]]*$Q$111</f>
        <v>109.55527397260273</v>
      </c>
      <c r="N212" s="163">
        <f ca="1">IMSS[[#This Row],[DIAS LAB]]*IMSS[[#This Row],[SDI]]*$Q$112</f>
        <v>73.03684931506848</v>
      </c>
      <c r="O212" s="166">
        <f ca="1">IMSS[[#This Row],[DIAS LAB]]*IMSS[[#This Row],[SDI]]*$Q$113</f>
        <v>182.59212328767123</v>
      </c>
      <c r="P212" s="163">
        <f ca="1">IMSS[[#This Row],[DIAS LAB]]*IMSS[[#This Row],[SDI]]*$Q$114</f>
        <v>104.33835616438355</v>
      </c>
      <c r="Q212" s="166">
        <f ca="1">IMSS[[#This Row],[DIAS LAB]]*IMSS[[#This Row],[SDI]]*$Q$115</f>
        <v>208.67671232876711</v>
      </c>
      <c r="R212" s="163">
        <f ca="1">IMSS[[#This Row],[DIAS LAB]]*IMSS[[#This Row],[SDI]]*$Q$116</f>
        <v>328.66582191780816</v>
      </c>
      <c r="S212" s="163">
        <f ca="1">IMSS[[#This Row],[DIAS LAB]]*IMSS[[#This Row],[SDI]]*$Q$117</f>
        <v>521.69178082191775</v>
      </c>
      <c r="T212" s="164">
        <f ca="1">SUM(IMSS[[#This Row],[P RSG TRB]:[P INFONAVIT]])</f>
        <v>2159.7928230821917</v>
      </c>
      <c r="U212" s="163">
        <f ca="1">IMSS[[#This Row],[DIAS LAB]]*IMSS[[#This Row],[SDI]]*IMSS[[#This Row],[% RSG]]*$R$108</f>
        <v>0</v>
      </c>
      <c r="V212" s="163">
        <f ca="1">IMSS[[#This Row],[DIAS LAB]]*IMSS[[#This Row],[SDI]]*$R$112</f>
        <v>26.084589041095889</v>
      </c>
      <c r="W212" s="163"/>
      <c r="X212" s="163">
        <f ca="1">IMSS[[#This Row],[DIAS LAB]]*IMSS[[#This Row],[SDI]]*$R$113</f>
        <v>65.733164383561643</v>
      </c>
      <c r="Y212" s="163">
        <f ca="1">IMSS[[#This Row],[DIAS LAB]]*IMSS[[#This Row],[SDI]]*$R$114</f>
        <v>0</v>
      </c>
      <c r="Z212" s="163">
        <f ca="1">IMSS[[#This Row],[DIAS LAB]]*IMSS[[#This Row],[SDI]]*$R$115</f>
        <v>0</v>
      </c>
      <c r="AA212" s="163">
        <f ca="1">IMSS[[#This Row],[DIAS LAB]]*IMSS[[#This Row],[SDI]]*$R$116</f>
        <v>117.90234246575341</v>
      </c>
      <c r="AB212" s="163">
        <f ca="1">IMSS[[#This Row],[DIAS LAB]]*IMSS[[#This Row],[SDI]]*$R$117</f>
        <v>0</v>
      </c>
      <c r="AC212" s="247">
        <f ca="1">SUM(IMSS[[#This Row],[O RSG TRB]:[O INFONAVIT]])</f>
        <v>209.72009589041093</v>
      </c>
      <c r="AD212" s="163"/>
      <c r="AE212" s="165">
        <f ca="1">IMSS[[#This Row],[P TOTAL]]+IMSS[[#This Row],[O TOTAL]]</f>
        <v>2369.5129189726026</v>
      </c>
      <c r="AF212" s="163"/>
      <c r="AG212" s="163">
        <f>VLOOKUP(IMSS[[#This Row],[SUE MENS]],$AG$110:$AJ$120,1,1)</f>
        <v>5470.93</v>
      </c>
      <c r="AH212" s="163">
        <f>IMSS[[#This Row],[SUE MENS]]-IMSS[[#This Row],[LIM INF]]</f>
        <v>3979.0699999999997</v>
      </c>
      <c r="AI212" s="163">
        <f>IMSS[[#This Row],[EXC LIM INF]]*(VLOOKUP(IMSS[[#This Row],[LIM INF]],$AG$110:$AJ$120,4,0))</f>
        <v>432.92281600000001</v>
      </c>
      <c r="AJ212" s="163">
        <f>VLOOKUP(IMSS[[#This Row],[LIM INF]],$AG$110:$AJ$120,3)</f>
        <v>321.26</v>
      </c>
      <c r="AK212" s="163">
        <f>SUM(IMSS[[#This Row],[TASA EXC]]+IMSS[[#This Row],[CUOTA FIJA]])</f>
        <v>754.182816</v>
      </c>
      <c r="AL212" s="163">
        <f>VLOOKUP(IMSS[[#This Row],[SUE MENS]],$AL$110:$AN$120,3,1)</f>
        <v>0</v>
      </c>
      <c r="AM212" s="248">
        <f>IF(IMSS[[#This Row],[ISR CARGO]]-IMSS[[#This Row],[SUBS ISR]]&gt;0,IMSS[[#This Row],[ISR CARGO]]-IMSS[[#This Row],[SUBS ISR]],0)</f>
        <v>754.182816</v>
      </c>
      <c r="AN212" s="248">
        <f>IF(IMSS[[#This Row],[SUBS ISR]]-IMSS[[#This Row],[ISR CARGO]]&gt;0,IMSS[[#This Row],[SUBS ISR]]-IMSS[[#This Row],[ISR CARGO]],0)</f>
        <v>0</v>
      </c>
    </row>
    <row r="213" spans="3:40" ht="15" hidden="1" customHeight="1" x14ac:dyDescent="0.25">
      <c r="C213" s="139">
        <v>200</v>
      </c>
      <c r="D213" s="167" t="str">
        <f>VLOOKUP(IMSS[[#This Row],[NEM]],BDD[],2,0)</f>
        <v>Leslie Judith Estrada</v>
      </c>
      <c r="E213" s="167" t="str">
        <f>VLOOKUP(IMSS[[#This Row],[NEM]],BDD[],9,0)</f>
        <v>CRÉDITOS</v>
      </c>
      <c r="F213" s="168">
        <v>30</v>
      </c>
      <c r="G213" s="139">
        <f>VLOOKUP(IMSS[[#This Row],[NEM]],BDD[],3,0)</f>
        <v>0</v>
      </c>
      <c r="H213" s="139">
        <f ca="1">VLOOKUP(IMSS[[#This Row],[NEM]],BDD[],25,0)</f>
        <v>0</v>
      </c>
      <c r="I213" s="143">
        <f>VLOOKUP(IMSS[[#This Row],[DEPT]],$B$3:$G$49,6,0)</f>
        <v>5.4355000000000002E-3</v>
      </c>
      <c r="J213" s="163">
        <f ca="1">IMSS[[#This Row],[DIAS LAB]]*IMSS[[#This Row],[SDI]]*IMSS[[#This Row],[% RSG]]*$Q$108</f>
        <v>0</v>
      </c>
      <c r="K213" s="163">
        <f>IMSS[[#This Row],[DIAS LAB]]*$J$110*$Q$109</f>
        <v>548.47440000000006</v>
      </c>
      <c r="L213" s="166">
        <f ca="1">IMSS[[#This Row],[DIAS LAB]]*IF(IMSS[[#This Row],[SDI]]-$J$113&gt;0,IMSS[[#This Row],[SDI]]-$J$113,0)*$Q$110</f>
        <v>0</v>
      </c>
      <c r="M213" s="166">
        <f ca="1">IMSS[[#This Row],[DIAS LAB]]*IMSS[[#This Row],[SDI]]*$Q$111</f>
        <v>0</v>
      </c>
      <c r="N213" s="163">
        <f ca="1">IMSS[[#This Row],[DIAS LAB]]*IMSS[[#This Row],[SDI]]*$Q$112</f>
        <v>0</v>
      </c>
      <c r="O213" s="166">
        <f ca="1">IMSS[[#This Row],[DIAS LAB]]*IMSS[[#This Row],[SDI]]*$Q$113</f>
        <v>0</v>
      </c>
      <c r="P213" s="163">
        <f ca="1">IMSS[[#This Row],[DIAS LAB]]*IMSS[[#This Row],[SDI]]*$Q$114</f>
        <v>0</v>
      </c>
      <c r="Q213" s="166">
        <f ca="1">IMSS[[#This Row],[DIAS LAB]]*IMSS[[#This Row],[SDI]]*$Q$115</f>
        <v>0</v>
      </c>
      <c r="R213" s="163">
        <f ca="1">IMSS[[#This Row],[DIAS LAB]]*IMSS[[#This Row],[SDI]]*$Q$116</f>
        <v>0</v>
      </c>
      <c r="S213" s="163">
        <f ca="1">IMSS[[#This Row],[DIAS LAB]]*IMSS[[#This Row],[SDI]]*$Q$117</f>
        <v>0</v>
      </c>
      <c r="T213" s="164">
        <f ca="1">SUM(IMSS[[#This Row],[P RSG TRB]:[P INFONAVIT]])</f>
        <v>548.47440000000006</v>
      </c>
      <c r="U213" s="163">
        <f ca="1">IMSS[[#This Row],[DIAS LAB]]*IMSS[[#This Row],[SDI]]*IMSS[[#This Row],[% RSG]]*$R$108</f>
        <v>0</v>
      </c>
      <c r="V213" s="163">
        <f ca="1">IMSS[[#This Row],[DIAS LAB]]*IMSS[[#This Row],[SDI]]*$R$112</f>
        <v>0</v>
      </c>
      <c r="W213" s="163"/>
      <c r="X213" s="163">
        <f ca="1">IMSS[[#This Row],[DIAS LAB]]*IMSS[[#This Row],[SDI]]*$R$113</f>
        <v>0</v>
      </c>
      <c r="Y213" s="163">
        <f ca="1">IMSS[[#This Row],[DIAS LAB]]*IMSS[[#This Row],[SDI]]*$R$114</f>
        <v>0</v>
      </c>
      <c r="Z213" s="163">
        <f ca="1">IMSS[[#This Row],[DIAS LAB]]*IMSS[[#This Row],[SDI]]*$R$115</f>
        <v>0</v>
      </c>
      <c r="AA213" s="163">
        <f ca="1">IMSS[[#This Row],[DIAS LAB]]*IMSS[[#This Row],[SDI]]*$R$116</f>
        <v>0</v>
      </c>
      <c r="AB213" s="163">
        <f ca="1">IMSS[[#This Row],[DIAS LAB]]*IMSS[[#This Row],[SDI]]*$R$117</f>
        <v>0</v>
      </c>
      <c r="AC213" s="247">
        <f ca="1">SUM(IMSS[[#This Row],[O RSG TRB]:[O INFONAVIT]])</f>
        <v>0</v>
      </c>
      <c r="AD213" s="163"/>
      <c r="AE213" s="165">
        <f ca="1">IMSS[[#This Row],[P TOTAL]]+IMSS[[#This Row],[O TOTAL]]</f>
        <v>548.47440000000006</v>
      </c>
      <c r="AF213" s="163"/>
      <c r="AG213" s="163" t="e">
        <f>VLOOKUP(IMSS[[#This Row],[SUE MENS]],$AG$110:$AJ$120,1,1)</f>
        <v>#N/A</v>
      </c>
      <c r="AH213" s="163" t="e">
        <f>IMSS[[#This Row],[SUE MENS]]-IMSS[[#This Row],[LIM INF]]</f>
        <v>#N/A</v>
      </c>
      <c r="AI213" s="163" t="e">
        <f>IMSS[[#This Row],[EXC LIM INF]]*(VLOOKUP(IMSS[[#This Row],[LIM INF]],$AG$110:$AJ$120,4,0))</f>
        <v>#N/A</v>
      </c>
      <c r="AJ213" s="163" t="e">
        <f>VLOOKUP(IMSS[[#This Row],[LIM INF]],$AG$110:$AJ$120,3)</f>
        <v>#N/A</v>
      </c>
      <c r="AK213" s="163" t="e">
        <f>SUM(IMSS[[#This Row],[TASA EXC]]+IMSS[[#This Row],[CUOTA FIJA]])</f>
        <v>#N/A</v>
      </c>
      <c r="AL213" s="163" t="e">
        <f>VLOOKUP(IMSS[[#This Row],[SUE MENS]],$AL$110:$AN$120,3,1)</f>
        <v>#N/A</v>
      </c>
      <c r="AM213" s="248" t="e">
        <f>IF(IMSS[[#This Row],[ISR CARGO]]-IMSS[[#This Row],[SUBS ISR]]&gt;0,IMSS[[#This Row],[ISR CARGO]]-IMSS[[#This Row],[SUBS ISR]],0)</f>
        <v>#N/A</v>
      </c>
      <c r="AN213" s="248" t="e">
        <f>IF(IMSS[[#This Row],[SUBS ISR]]-IMSS[[#This Row],[ISR CARGO]]&gt;0,IMSS[[#This Row],[SUBS ISR]]-IMSS[[#This Row],[ISR CARGO]],0)</f>
        <v>#N/A</v>
      </c>
    </row>
    <row r="214" spans="3:40" ht="15" hidden="1" customHeight="1" x14ac:dyDescent="0.25">
      <c r="C214" s="243">
        <v>202</v>
      </c>
      <c r="D214" s="167" t="str">
        <f>VLOOKUP(IMSS[[#This Row],[NEM]],BDD[],2,0)</f>
        <v>Saulo Hermenegildo Puente Martínez</v>
      </c>
      <c r="E214" s="167" t="str">
        <f>VLOOKUP(IMSS[[#This Row],[NEM]],BDD[],9,0)</f>
        <v>ADMINCIÓN</v>
      </c>
      <c r="F214" s="168">
        <v>30</v>
      </c>
      <c r="G214" s="139">
        <f>VLOOKUP(IMSS[[#This Row],[NEM]],BDD[],3,0)</f>
        <v>9450</v>
      </c>
      <c r="H214" s="139">
        <f ca="1">VLOOKUP(IMSS[[#This Row],[NEM]],BDD[],25,0)</f>
        <v>349.52054794520546</v>
      </c>
      <c r="I214" s="143">
        <f>VLOOKUP(IMSS[[#This Row],[DEPT]],$B$3:$G$49,6,0)</f>
        <v>5.4355000000000002E-3</v>
      </c>
      <c r="J214" s="163">
        <f ca="1">IMSS[[#This Row],[DIAS LAB]]*IMSS[[#This Row],[SDI]]*IMSS[[#This Row],[% RSG]]*$Q$108</f>
        <v>56.994568150684934</v>
      </c>
      <c r="K214" s="163">
        <f>IMSS[[#This Row],[DIAS LAB]]*$J$110*$Q$109</f>
        <v>548.47440000000006</v>
      </c>
      <c r="L214" s="166">
        <f ca="1">IMSS[[#This Row],[DIAS LAB]]*IF(IMSS[[#This Row],[SDI]]-$J$113&gt;0,IMSS[[#This Row],[SDI]]-$J$113,0)*$Q$110</f>
        <v>26.617980821917797</v>
      </c>
      <c r="M214" s="166">
        <f ca="1">IMSS[[#This Row],[DIAS LAB]]*IMSS[[#This Row],[SDI]]*$Q$111</f>
        <v>110.09897260273974</v>
      </c>
      <c r="N214" s="163">
        <f ca="1">IMSS[[#This Row],[DIAS LAB]]*IMSS[[#This Row],[SDI]]*$Q$112</f>
        <v>73.399315068493152</v>
      </c>
      <c r="O214" s="166">
        <f ca="1">IMSS[[#This Row],[DIAS LAB]]*IMSS[[#This Row],[SDI]]*$Q$113</f>
        <v>183.4982876712329</v>
      </c>
      <c r="P214" s="163">
        <f ca="1">IMSS[[#This Row],[DIAS LAB]]*IMSS[[#This Row],[SDI]]*$Q$114</f>
        <v>104.85616438356165</v>
      </c>
      <c r="Q214" s="166">
        <f ca="1">IMSS[[#This Row],[DIAS LAB]]*IMSS[[#This Row],[SDI]]*$Q$115</f>
        <v>209.7123287671233</v>
      </c>
      <c r="R214" s="163">
        <f ca="1">IMSS[[#This Row],[DIAS LAB]]*IMSS[[#This Row],[SDI]]*$Q$116</f>
        <v>330.29691780821918</v>
      </c>
      <c r="S214" s="163">
        <f ca="1">IMSS[[#This Row],[DIAS LAB]]*IMSS[[#This Row],[SDI]]*$Q$117</f>
        <v>524.28082191780823</v>
      </c>
      <c r="T214" s="164">
        <f ca="1">SUM(IMSS[[#This Row],[P RSG TRB]:[P INFONAVIT]])</f>
        <v>2168.2297571917811</v>
      </c>
      <c r="U214" s="163">
        <f ca="1">IMSS[[#This Row],[DIAS LAB]]*IMSS[[#This Row],[SDI]]*IMSS[[#This Row],[% RSG]]*$R$108</f>
        <v>0</v>
      </c>
      <c r="V214" s="163">
        <f ca="1">IMSS[[#This Row],[DIAS LAB]]*IMSS[[#This Row],[SDI]]*$R$112</f>
        <v>26.214041095890412</v>
      </c>
      <c r="W214" s="163"/>
      <c r="X214" s="163">
        <f ca="1">IMSS[[#This Row],[DIAS LAB]]*IMSS[[#This Row],[SDI]]*$R$113</f>
        <v>66.059383561643841</v>
      </c>
      <c r="Y214" s="163">
        <f ca="1">IMSS[[#This Row],[DIAS LAB]]*IMSS[[#This Row],[SDI]]*$R$114</f>
        <v>0</v>
      </c>
      <c r="Z214" s="163">
        <f ca="1">IMSS[[#This Row],[DIAS LAB]]*IMSS[[#This Row],[SDI]]*$R$115</f>
        <v>0</v>
      </c>
      <c r="AA214" s="163">
        <f ca="1">IMSS[[#This Row],[DIAS LAB]]*IMSS[[#This Row],[SDI]]*$R$116</f>
        <v>118.48746575342466</v>
      </c>
      <c r="AB214" s="163">
        <f ca="1">IMSS[[#This Row],[DIAS LAB]]*IMSS[[#This Row],[SDI]]*$R$117</f>
        <v>0</v>
      </c>
      <c r="AC214" s="247">
        <f ca="1">SUM(IMSS[[#This Row],[O RSG TRB]:[O INFONAVIT]])</f>
        <v>210.76089041095889</v>
      </c>
      <c r="AD214" s="163"/>
      <c r="AE214" s="165">
        <f ca="1">IMSS[[#This Row],[P TOTAL]]+IMSS[[#This Row],[O TOTAL]]</f>
        <v>2378.99064760274</v>
      </c>
      <c r="AF214" s="163"/>
      <c r="AG214" s="163">
        <f>VLOOKUP(IMSS[[#This Row],[SUE MENS]],$AG$110:$AJ$120,1,1)</f>
        <v>5470.93</v>
      </c>
      <c r="AH214" s="163">
        <f>IMSS[[#This Row],[SUE MENS]]-IMSS[[#This Row],[LIM INF]]</f>
        <v>3979.0699999999997</v>
      </c>
      <c r="AI214" s="163">
        <f>IMSS[[#This Row],[EXC LIM INF]]*(VLOOKUP(IMSS[[#This Row],[LIM INF]],$AG$110:$AJ$120,4,0))</f>
        <v>432.92281600000001</v>
      </c>
      <c r="AJ214" s="163">
        <f>VLOOKUP(IMSS[[#This Row],[LIM INF]],$AG$110:$AJ$120,3)</f>
        <v>321.26</v>
      </c>
      <c r="AK214" s="163">
        <f>SUM(IMSS[[#This Row],[TASA EXC]]+IMSS[[#This Row],[CUOTA FIJA]])</f>
        <v>754.182816</v>
      </c>
      <c r="AL214" s="163">
        <f>VLOOKUP(IMSS[[#This Row],[SUE MENS]],$AL$110:$AN$120,3,1)</f>
        <v>0</v>
      </c>
      <c r="AM214" s="248">
        <f>IF(IMSS[[#This Row],[ISR CARGO]]-IMSS[[#This Row],[SUBS ISR]]&gt;0,IMSS[[#This Row],[ISR CARGO]]-IMSS[[#This Row],[SUBS ISR]],0)</f>
        <v>754.182816</v>
      </c>
      <c r="AN214" s="248">
        <f>IF(IMSS[[#This Row],[SUBS ISR]]-IMSS[[#This Row],[ISR CARGO]]&gt;0,IMSS[[#This Row],[SUBS ISR]]-IMSS[[#This Row],[ISR CARGO]],0)</f>
        <v>0</v>
      </c>
    </row>
    <row r="215" spans="3:40" ht="15" hidden="1" customHeight="1" x14ac:dyDescent="0.25">
      <c r="C215" s="243">
        <v>203</v>
      </c>
      <c r="D215" s="167" t="str">
        <f>VLOOKUP(IMSS[[#This Row],[NEM]],BDD[],2,0)</f>
        <v>Laura Estefany Alonso Coronado</v>
      </c>
      <c r="E215" s="167" t="str">
        <f>VLOOKUP(IMSS[[#This Row],[NEM]],BDD[],9,0)</f>
        <v>AUDIT PROY</v>
      </c>
      <c r="F215" s="168">
        <v>30</v>
      </c>
      <c r="G215" s="139">
        <f>VLOOKUP(IMSS[[#This Row],[NEM]],BDD[],3,0)</f>
        <v>9541</v>
      </c>
      <c r="H215" s="139">
        <f ca="1">VLOOKUP(IMSS[[#This Row],[NEM]],BDD[],25,0)</f>
        <v>352.88630136986302</v>
      </c>
      <c r="I215" s="143">
        <f>VLOOKUP(IMSS[[#This Row],[DEPT]],$B$3:$G$49,6,0)</f>
        <v>1.130658E-2</v>
      </c>
      <c r="J215" s="163">
        <f ca="1">IMSS[[#This Row],[DIAS LAB]]*IMSS[[#This Row],[SDI]]*IMSS[[#This Row],[% RSG]]*$Q$108</f>
        <v>119.69811592027398</v>
      </c>
      <c r="K215" s="163">
        <f>IMSS[[#This Row],[DIAS LAB]]*$J$110*$Q$109</f>
        <v>548.47440000000006</v>
      </c>
      <c r="L215" s="166">
        <f ca="1">IMSS[[#This Row],[DIAS LAB]]*IF(IMSS[[#This Row],[SDI]]-$J$113&gt;0,IMSS[[#This Row],[SDI]]-$J$113,0)*$Q$110</f>
        <v>27.728679452054791</v>
      </c>
      <c r="M215" s="166">
        <f ca="1">IMSS[[#This Row],[DIAS LAB]]*IMSS[[#This Row],[SDI]]*$Q$111</f>
        <v>111.15918493150686</v>
      </c>
      <c r="N215" s="163">
        <f ca="1">IMSS[[#This Row],[DIAS LAB]]*IMSS[[#This Row],[SDI]]*$Q$112</f>
        <v>74.106123287671238</v>
      </c>
      <c r="O215" s="166">
        <f ca="1">IMSS[[#This Row],[DIAS LAB]]*IMSS[[#This Row],[SDI]]*$Q$113</f>
        <v>185.26530821917811</v>
      </c>
      <c r="P215" s="163">
        <f ca="1">IMSS[[#This Row],[DIAS LAB]]*IMSS[[#This Row],[SDI]]*$Q$114</f>
        <v>105.86589041095891</v>
      </c>
      <c r="Q215" s="166">
        <f ca="1">IMSS[[#This Row],[DIAS LAB]]*IMSS[[#This Row],[SDI]]*$Q$115</f>
        <v>211.73178082191782</v>
      </c>
      <c r="R215" s="163">
        <f ca="1">IMSS[[#This Row],[DIAS LAB]]*IMSS[[#This Row],[SDI]]*$Q$116</f>
        <v>333.47755479452059</v>
      </c>
      <c r="S215" s="163">
        <f ca="1">IMSS[[#This Row],[DIAS LAB]]*IMSS[[#This Row],[SDI]]*$Q$117</f>
        <v>529.32945205479461</v>
      </c>
      <c r="T215" s="164">
        <f ca="1">SUM(IMSS[[#This Row],[P RSG TRB]:[P INFONAVIT]])</f>
        <v>2246.8364898928771</v>
      </c>
      <c r="U215" s="163">
        <f ca="1">IMSS[[#This Row],[DIAS LAB]]*IMSS[[#This Row],[SDI]]*IMSS[[#This Row],[% RSG]]*$R$108</f>
        <v>0</v>
      </c>
      <c r="V215" s="163">
        <f ca="1">IMSS[[#This Row],[DIAS LAB]]*IMSS[[#This Row],[SDI]]*$R$112</f>
        <v>26.466472602739728</v>
      </c>
      <c r="W215" s="163"/>
      <c r="X215" s="163">
        <f ca="1">IMSS[[#This Row],[DIAS LAB]]*IMSS[[#This Row],[SDI]]*$R$113</f>
        <v>66.695510958904109</v>
      </c>
      <c r="Y215" s="163">
        <f ca="1">IMSS[[#This Row],[DIAS LAB]]*IMSS[[#This Row],[SDI]]*$R$114</f>
        <v>0</v>
      </c>
      <c r="Z215" s="163">
        <f ca="1">IMSS[[#This Row],[DIAS LAB]]*IMSS[[#This Row],[SDI]]*$R$115</f>
        <v>0</v>
      </c>
      <c r="AA215" s="163">
        <f ca="1">IMSS[[#This Row],[DIAS LAB]]*IMSS[[#This Row],[SDI]]*$R$116</f>
        <v>119.62845616438356</v>
      </c>
      <c r="AB215" s="163">
        <f ca="1">IMSS[[#This Row],[DIAS LAB]]*IMSS[[#This Row],[SDI]]*$R$117</f>
        <v>0</v>
      </c>
      <c r="AC215" s="247">
        <f ca="1">SUM(IMSS[[#This Row],[O RSG TRB]:[O INFONAVIT]])</f>
        <v>212.79043972602739</v>
      </c>
      <c r="AD215" s="163"/>
      <c r="AE215" s="165">
        <f ca="1">IMSS[[#This Row],[P TOTAL]]+IMSS[[#This Row],[O TOTAL]]</f>
        <v>2459.6269296189043</v>
      </c>
      <c r="AF215" s="163"/>
      <c r="AG215" s="163">
        <f>VLOOKUP(IMSS[[#This Row],[SUE MENS]],$AG$110:$AJ$120,1,1)</f>
        <v>5470.93</v>
      </c>
      <c r="AH215" s="163">
        <f>IMSS[[#This Row],[SUE MENS]]-IMSS[[#This Row],[LIM INF]]</f>
        <v>4070.0699999999997</v>
      </c>
      <c r="AI215" s="163">
        <f>IMSS[[#This Row],[EXC LIM INF]]*(VLOOKUP(IMSS[[#This Row],[LIM INF]],$AG$110:$AJ$120,4,0))</f>
        <v>442.82361600000002</v>
      </c>
      <c r="AJ215" s="163">
        <f>VLOOKUP(IMSS[[#This Row],[LIM INF]],$AG$110:$AJ$120,3)</f>
        <v>321.26</v>
      </c>
      <c r="AK215" s="163">
        <f>SUM(IMSS[[#This Row],[TASA EXC]]+IMSS[[#This Row],[CUOTA FIJA]])</f>
        <v>764.08361600000001</v>
      </c>
      <c r="AL215" s="163">
        <f>VLOOKUP(IMSS[[#This Row],[SUE MENS]],$AL$110:$AN$120,3,1)</f>
        <v>0</v>
      </c>
      <c r="AM215" s="248">
        <f>IF(IMSS[[#This Row],[ISR CARGO]]-IMSS[[#This Row],[SUBS ISR]]&gt;0,IMSS[[#This Row],[ISR CARGO]]-IMSS[[#This Row],[SUBS ISR]],0)</f>
        <v>764.08361600000001</v>
      </c>
      <c r="AN215" s="248">
        <f>IF(IMSS[[#This Row],[SUBS ISR]]-IMSS[[#This Row],[ISR CARGO]]&gt;0,IMSS[[#This Row],[SUBS ISR]]-IMSS[[#This Row],[ISR CARGO]],0)</f>
        <v>0</v>
      </c>
    </row>
    <row r="216" spans="3:40" ht="15" hidden="1" customHeight="1" x14ac:dyDescent="0.25">
      <c r="C216" s="243">
        <v>205</v>
      </c>
      <c r="D216" s="167" t="str">
        <f>VLOOKUP(IMSS[[#This Row],[NEM]],BDD[],2,0)</f>
        <v>Pedro Oliveros Vazquez</v>
      </c>
      <c r="E216" s="167" t="str">
        <f>VLOOKUP(IMSS[[#This Row],[NEM]],BDD[],9,0)</f>
        <v>INST CAMPO</v>
      </c>
      <c r="F216" s="168">
        <v>30</v>
      </c>
      <c r="G216" s="139">
        <f>VLOOKUP(IMSS[[#This Row],[NEM]],BDD[],3,0)</f>
        <v>9450</v>
      </c>
      <c r="H216" s="139">
        <f ca="1">VLOOKUP(IMSS[[#This Row],[NEM]],BDD[],25,0)</f>
        <v>349.52054794520546</v>
      </c>
      <c r="I216" s="143">
        <f>VLOOKUP(IMSS[[#This Row],[DEPT]],$B$3:$G$49,6,0)</f>
        <v>4.6532499999999997E-2</v>
      </c>
      <c r="J216" s="163">
        <f ca="1">IMSS[[#This Row],[DIAS LAB]]*IMSS[[#This Row],[SDI]]*IMSS[[#This Row],[% RSG]]*$Q$108</f>
        <v>487.92194691780821</v>
      </c>
      <c r="K216" s="163">
        <f>IMSS[[#This Row],[DIAS LAB]]*$J$110*$Q$109</f>
        <v>548.47440000000006</v>
      </c>
      <c r="L216" s="166">
        <f ca="1">IMSS[[#This Row],[DIAS LAB]]*IF(IMSS[[#This Row],[SDI]]-$J$113&gt;0,IMSS[[#This Row],[SDI]]-$J$113,0)*$Q$110</f>
        <v>26.617980821917797</v>
      </c>
      <c r="M216" s="166">
        <f ca="1">IMSS[[#This Row],[DIAS LAB]]*IMSS[[#This Row],[SDI]]*$Q$111</f>
        <v>110.09897260273974</v>
      </c>
      <c r="N216" s="163">
        <f ca="1">IMSS[[#This Row],[DIAS LAB]]*IMSS[[#This Row],[SDI]]*$Q$112</f>
        <v>73.399315068493152</v>
      </c>
      <c r="O216" s="166">
        <f ca="1">IMSS[[#This Row],[DIAS LAB]]*IMSS[[#This Row],[SDI]]*$Q$113</f>
        <v>183.4982876712329</v>
      </c>
      <c r="P216" s="163">
        <f ca="1">IMSS[[#This Row],[DIAS LAB]]*IMSS[[#This Row],[SDI]]*$Q$114</f>
        <v>104.85616438356165</v>
      </c>
      <c r="Q216" s="166">
        <f ca="1">IMSS[[#This Row],[DIAS LAB]]*IMSS[[#This Row],[SDI]]*$Q$115</f>
        <v>209.7123287671233</v>
      </c>
      <c r="R216" s="163">
        <f ca="1">IMSS[[#This Row],[DIAS LAB]]*IMSS[[#This Row],[SDI]]*$Q$116</f>
        <v>330.29691780821918</v>
      </c>
      <c r="S216" s="163">
        <f ca="1">IMSS[[#This Row],[DIAS LAB]]*IMSS[[#This Row],[SDI]]*$Q$117</f>
        <v>524.28082191780823</v>
      </c>
      <c r="T216" s="164">
        <f ca="1">SUM(IMSS[[#This Row],[P RSG TRB]:[P INFONAVIT]])</f>
        <v>2599.1571359589047</v>
      </c>
      <c r="U216" s="163">
        <f ca="1">IMSS[[#This Row],[DIAS LAB]]*IMSS[[#This Row],[SDI]]*IMSS[[#This Row],[% RSG]]*$R$108</f>
        <v>0</v>
      </c>
      <c r="V216" s="163">
        <f ca="1">IMSS[[#This Row],[DIAS LAB]]*IMSS[[#This Row],[SDI]]*$R$112</f>
        <v>26.214041095890412</v>
      </c>
      <c r="W216" s="163"/>
      <c r="X216" s="163">
        <f ca="1">IMSS[[#This Row],[DIAS LAB]]*IMSS[[#This Row],[SDI]]*$R$113</f>
        <v>66.059383561643841</v>
      </c>
      <c r="Y216" s="163">
        <f ca="1">IMSS[[#This Row],[DIAS LAB]]*IMSS[[#This Row],[SDI]]*$R$114</f>
        <v>0</v>
      </c>
      <c r="Z216" s="163">
        <f ca="1">IMSS[[#This Row],[DIAS LAB]]*IMSS[[#This Row],[SDI]]*$R$115</f>
        <v>0</v>
      </c>
      <c r="AA216" s="163">
        <f ca="1">IMSS[[#This Row],[DIAS LAB]]*IMSS[[#This Row],[SDI]]*$R$116</f>
        <v>118.48746575342466</v>
      </c>
      <c r="AB216" s="163">
        <f ca="1">IMSS[[#This Row],[DIAS LAB]]*IMSS[[#This Row],[SDI]]*$R$117</f>
        <v>0</v>
      </c>
      <c r="AC216" s="247">
        <f ca="1">SUM(IMSS[[#This Row],[O RSG TRB]:[O INFONAVIT]])</f>
        <v>210.76089041095889</v>
      </c>
      <c r="AD216" s="163"/>
      <c r="AE216" s="165">
        <f ca="1">IMSS[[#This Row],[P TOTAL]]+IMSS[[#This Row],[O TOTAL]]</f>
        <v>2809.9180263698636</v>
      </c>
      <c r="AF216" s="163"/>
      <c r="AG216" s="163">
        <f>VLOOKUP(IMSS[[#This Row],[SUE MENS]],$AG$110:$AJ$120,1,1)</f>
        <v>5470.93</v>
      </c>
      <c r="AH216" s="163">
        <f>IMSS[[#This Row],[SUE MENS]]-IMSS[[#This Row],[LIM INF]]</f>
        <v>3979.0699999999997</v>
      </c>
      <c r="AI216" s="163">
        <f>IMSS[[#This Row],[EXC LIM INF]]*(VLOOKUP(IMSS[[#This Row],[LIM INF]],$AG$110:$AJ$120,4,0))</f>
        <v>432.92281600000001</v>
      </c>
      <c r="AJ216" s="163">
        <f>VLOOKUP(IMSS[[#This Row],[LIM INF]],$AG$110:$AJ$120,3)</f>
        <v>321.26</v>
      </c>
      <c r="AK216" s="163">
        <f>SUM(IMSS[[#This Row],[TASA EXC]]+IMSS[[#This Row],[CUOTA FIJA]])</f>
        <v>754.182816</v>
      </c>
      <c r="AL216" s="163">
        <f>VLOOKUP(IMSS[[#This Row],[SUE MENS]],$AL$110:$AN$120,3,1)</f>
        <v>0</v>
      </c>
      <c r="AM216" s="248">
        <f>IF(IMSS[[#This Row],[ISR CARGO]]-IMSS[[#This Row],[SUBS ISR]]&gt;0,IMSS[[#This Row],[ISR CARGO]]-IMSS[[#This Row],[SUBS ISR]],0)</f>
        <v>754.182816</v>
      </c>
      <c r="AN216" s="248">
        <f>IF(IMSS[[#This Row],[SUBS ISR]]-IMSS[[#This Row],[ISR CARGO]]&gt;0,IMSS[[#This Row],[SUBS ISR]]-IMSS[[#This Row],[ISR CARGO]],0)</f>
        <v>0</v>
      </c>
    </row>
    <row r="217" spans="3:40" ht="15" hidden="1" customHeight="1" x14ac:dyDescent="0.25">
      <c r="C217" s="243">
        <v>206</v>
      </c>
      <c r="D217" s="167" t="str">
        <f>VLOOKUP(IMSS[[#This Row],[NEM]],BDD[],2,0)</f>
        <v>Evelin Yamileth Cantu Cabral</v>
      </c>
      <c r="E217" s="167" t="str">
        <f>VLOOKUP(IMSS[[#This Row],[NEM]],BDD[],9,0)</f>
        <v>SOLUCIONES</v>
      </c>
      <c r="F217" s="168">
        <v>30</v>
      </c>
      <c r="G217" s="139">
        <f>VLOOKUP(IMSS[[#This Row],[NEM]],BDD[],3,0)</f>
        <v>8825</v>
      </c>
      <c r="H217" s="139">
        <f ca="1">VLOOKUP(IMSS[[#This Row],[NEM]],BDD[],25,0)</f>
        <v>326.40410958904113</v>
      </c>
      <c r="I217" s="143">
        <f>VLOOKUP(IMSS[[#This Row],[DEPT]],$B$3:$G$49,6,0)</f>
        <v>5.4355000000000002E-3</v>
      </c>
      <c r="J217" s="163">
        <f ca="1">IMSS[[#This Row],[DIAS LAB]]*IMSS[[#This Row],[SDI]]*IMSS[[#This Row],[% RSG]]*$Q$108</f>
        <v>53.225086130137001</v>
      </c>
      <c r="K217" s="163">
        <f>IMSS[[#This Row],[DIAS LAB]]*$J$110*$Q$109</f>
        <v>548.47440000000006</v>
      </c>
      <c r="L217" s="166">
        <f ca="1">IMSS[[#This Row],[DIAS LAB]]*IF(IMSS[[#This Row],[SDI]]-$J$113&gt;0,IMSS[[#This Row],[SDI]]-$J$113,0)*$Q$110</f>
        <v>18.989556164383565</v>
      </c>
      <c r="M217" s="166">
        <f ca="1">IMSS[[#This Row],[DIAS LAB]]*IMSS[[#This Row],[SDI]]*$Q$111</f>
        <v>102.81729452054797</v>
      </c>
      <c r="N217" s="163">
        <f ca="1">IMSS[[#This Row],[DIAS LAB]]*IMSS[[#This Row],[SDI]]*$Q$112</f>
        <v>68.544863013698645</v>
      </c>
      <c r="O217" s="166">
        <f ca="1">IMSS[[#This Row],[DIAS LAB]]*IMSS[[#This Row],[SDI]]*$Q$113</f>
        <v>171.36215753424662</v>
      </c>
      <c r="P217" s="163">
        <f ca="1">IMSS[[#This Row],[DIAS LAB]]*IMSS[[#This Row],[SDI]]*$Q$114</f>
        <v>97.921232876712352</v>
      </c>
      <c r="Q217" s="166">
        <f ca="1">IMSS[[#This Row],[DIAS LAB]]*IMSS[[#This Row],[SDI]]*$Q$115</f>
        <v>195.8424657534247</v>
      </c>
      <c r="R217" s="163">
        <f ca="1">IMSS[[#This Row],[DIAS LAB]]*IMSS[[#This Row],[SDI]]*$Q$116</f>
        <v>308.45188356164391</v>
      </c>
      <c r="S217" s="163">
        <f ca="1">IMSS[[#This Row],[DIAS LAB]]*IMSS[[#This Row],[SDI]]*$Q$117</f>
        <v>489.60616438356175</v>
      </c>
      <c r="T217" s="164">
        <f ca="1">SUM(IMSS[[#This Row],[P RSG TRB]:[P INFONAVIT]])</f>
        <v>2055.2351039383566</v>
      </c>
      <c r="U217" s="163">
        <f ca="1">IMSS[[#This Row],[DIAS LAB]]*IMSS[[#This Row],[SDI]]*IMSS[[#This Row],[% RSG]]*$R$108</f>
        <v>0</v>
      </c>
      <c r="V217" s="163">
        <f ca="1">IMSS[[#This Row],[DIAS LAB]]*IMSS[[#This Row],[SDI]]*$R$112</f>
        <v>24.480308219178088</v>
      </c>
      <c r="W217" s="163"/>
      <c r="X217" s="163">
        <f ca="1">IMSS[[#This Row],[DIAS LAB]]*IMSS[[#This Row],[SDI]]*$R$113</f>
        <v>61.690376712328778</v>
      </c>
      <c r="Y217" s="163">
        <f ca="1">IMSS[[#This Row],[DIAS LAB]]*IMSS[[#This Row],[SDI]]*$R$114</f>
        <v>0</v>
      </c>
      <c r="Z217" s="163">
        <f ca="1">IMSS[[#This Row],[DIAS LAB]]*IMSS[[#This Row],[SDI]]*$R$115</f>
        <v>0</v>
      </c>
      <c r="AA217" s="163">
        <f ca="1">IMSS[[#This Row],[DIAS LAB]]*IMSS[[#This Row],[SDI]]*$R$116</f>
        <v>110.65099315068494</v>
      </c>
      <c r="AB217" s="163">
        <f ca="1">IMSS[[#This Row],[DIAS LAB]]*IMSS[[#This Row],[SDI]]*$R$117</f>
        <v>0</v>
      </c>
      <c r="AC217" s="247">
        <f ca="1">SUM(IMSS[[#This Row],[O RSG TRB]:[O INFONAVIT]])</f>
        <v>196.8216780821918</v>
      </c>
      <c r="AD217" s="163"/>
      <c r="AE217" s="165">
        <f ca="1">IMSS[[#This Row],[P TOTAL]]+IMSS[[#This Row],[O TOTAL]]</f>
        <v>2252.0567820205483</v>
      </c>
      <c r="AF217" s="163"/>
      <c r="AG217" s="163">
        <f>VLOOKUP(IMSS[[#This Row],[SUE MENS]],$AG$110:$AJ$120,1,1)</f>
        <v>5470.93</v>
      </c>
      <c r="AH217" s="163">
        <f>IMSS[[#This Row],[SUE MENS]]-IMSS[[#This Row],[LIM INF]]</f>
        <v>3354.0699999999997</v>
      </c>
      <c r="AI217" s="163">
        <f>IMSS[[#This Row],[EXC LIM INF]]*(VLOOKUP(IMSS[[#This Row],[LIM INF]],$AG$110:$AJ$120,4,0))</f>
        <v>364.92281600000001</v>
      </c>
      <c r="AJ217" s="163">
        <f>VLOOKUP(IMSS[[#This Row],[LIM INF]],$AG$110:$AJ$120,3)</f>
        <v>321.26</v>
      </c>
      <c r="AK217" s="163">
        <f>SUM(IMSS[[#This Row],[TASA EXC]]+IMSS[[#This Row],[CUOTA FIJA]])</f>
        <v>686.182816</v>
      </c>
      <c r="AL217" s="163">
        <f>VLOOKUP(IMSS[[#This Row],[SUE MENS]],$AL$110:$AN$120,3,1)</f>
        <v>0</v>
      </c>
      <c r="AM217" s="248">
        <f>IF(IMSS[[#This Row],[ISR CARGO]]-IMSS[[#This Row],[SUBS ISR]]&gt;0,IMSS[[#This Row],[ISR CARGO]]-IMSS[[#This Row],[SUBS ISR]],0)</f>
        <v>686.182816</v>
      </c>
      <c r="AN217" s="248">
        <f>IF(IMSS[[#This Row],[SUBS ISR]]-IMSS[[#This Row],[ISR CARGO]]&gt;0,IMSS[[#This Row],[SUBS ISR]]-IMSS[[#This Row],[ISR CARGO]],0)</f>
        <v>0</v>
      </c>
    </row>
    <row r="218" spans="3:40" ht="15" hidden="1" customHeight="1" x14ac:dyDescent="0.25">
      <c r="C218" s="243">
        <v>207</v>
      </c>
      <c r="D218" s="167" t="str">
        <f>VLOOKUP(IMSS[[#This Row],[NEM]],BDD[],2,0)</f>
        <v>Efrain Bahena Salgado</v>
      </c>
      <c r="E218" s="167" t="str">
        <f>VLOOKUP(IMSS[[#This Row],[NEM]],BDD[],9,0)</f>
        <v>INST CAMPO</v>
      </c>
      <c r="F218" s="168">
        <v>30</v>
      </c>
      <c r="G218" s="139">
        <f>VLOOKUP(IMSS[[#This Row],[NEM]],BDD[],3,0)</f>
        <v>7445</v>
      </c>
      <c r="H218" s="139">
        <f ca="1">VLOOKUP(IMSS[[#This Row],[NEM]],BDD[],25,0)</f>
        <v>275.36301369863014</v>
      </c>
      <c r="I218" s="143">
        <f>VLOOKUP(IMSS[[#This Row],[DEPT]],$B$3:$G$49,6,0)</f>
        <v>4.6532499999999997E-2</v>
      </c>
      <c r="J218" s="163">
        <f ca="1">IMSS[[#This Row],[DIAS LAB]]*IMSS[[#This Row],[SDI]]*IMSS[[#This Row],[% RSG]]*$Q$108</f>
        <v>384.3998830479452</v>
      </c>
      <c r="K218" s="163">
        <f>IMSS[[#This Row],[DIAS LAB]]*$J$110*$Q$109</f>
        <v>548.47440000000006</v>
      </c>
      <c r="L218" s="166">
        <f ca="1">IMSS[[#This Row],[DIAS LAB]]*IF(IMSS[[#This Row],[SDI]]-$J$113&gt;0,IMSS[[#This Row],[SDI]]-$J$113,0)*$Q$110</f>
        <v>2.145994520547942</v>
      </c>
      <c r="M218" s="166">
        <f ca="1">IMSS[[#This Row],[DIAS LAB]]*IMSS[[#This Row],[SDI]]*$Q$111</f>
        <v>86.739349315068495</v>
      </c>
      <c r="N218" s="163">
        <f ca="1">IMSS[[#This Row],[DIAS LAB]]*IMSS[[#This Row],[SDI]]*$Q$112</f>
        <v>57.826232876712325</v>
      </c>
      <c r="O218" s="166">
        <f ca="1">IMSS[[#This Row],[DIAS LAB]]*IMSS[[#This Row],[SDI]]*$Q$113</f>
        <v>144.56558219178083</v>
      </c>
      <c r="P218" s="163">
        <f ca="1">IMSS[[#This Row],[DIAS LAB]]*IMSS[[#This Row],[SDI]]*$Q$114</f>
        <v>82.608904109589034</v>
      </c>
      <c r="Q218" s="166">
        <f ca="1">IMSS[[#This Row],[DIAS LAB]]*IMSS[[#This Row],[SDI]]*$Q$115</f>
        <v>165.21780821917807</v>
      </c>
      <c r="R218" s="163">
        <f ca="1">IMSS[[#This Row],[DIAS LAB]]*IMSS[[#This Row],[SDI]]*$Q$116</f>
        <v>260.21804794520546</v>
      </c>
      <c r="S218" s="163">
        <f ca="1">IMSS[[#This Row],[DIAS LAB]]*IMSS[[#This Row],[SDI]]*$Q$117</f>
        <v>413.04452054794524</v>
      </c>
      <c r="T218" s="164">
        <f ca="1">SUM(IMSS[[#This Row],[P RSG TRB]:[P INFONAVIT]])</f>
        <v>2145.2407227739723</v>
      </c>
      <c r="U218" s="163">
        <f ca="1">IMSS[[#This Row],[DIAS LAB]]*IMSS[[#This Row],[SDI]]*IMSS[[#This Row],[% RSG]]*$R$108</f>
        <v>0</v>
      </c>
      <c r="V218" s="163">
        <f ca="1">IMSS[[#This Row],[DIAS LAB]]*IMSS[[#This Row],[SDI]]*$R$112</f>
        <v>20.652226027397258</v>
      </c>
      <c r="W218" s="163"/>
      <c r="X218" s="163">
        <f ca="1">IMSS[[#This Row],[DIAS LAB]]*IMSS[[#This Row],[SDI]]*$R$113</f>
        <v>52.043609589041097</v>
      </c>
      <c r="Y218" s="163">
        <f ca="1">IMSS[[#This Row],[DIAS LAB]]*IMSS[[#This Row],[SDI]]*$R$114</f>
        <v>0</v>
      </c>
      <c r="Z218" s="163">
        <f ca="1">IMSS[[#This Row],[DIAS LAB]]*IMSS[[#This Row],[SDI]]*$R$115</f>
        <v>0</v>
      </c>
      <c r="AA218" s="163">
        <f ca="1">IMSS[[#This Row],[DIAS LAB]]*IMSS[[#This Row],[SDI]]*$R$116</f>
        <v>93.348061643835607</v>
      </c>
      <c r="AB218" s="163">
        <f ca="1">IMSS[[#This Row],[DIAS LAB]]*IMSS[[#This Row],[SDI]]*$R$117</f>
        <v>0</v>
      </c>
      <c r="AC218" s="247">
        <f ca="1">SUM(IMSS[[#This Row],[O RSG TRB]:[O INFONAVIT]])</f>
        <v>166.04389726027398</v>
      </c>
      <c r="AD218" s="163"/>
      <c r="AE218" s="165">
        <f ca="1">IMSS[[#This Row],[P TOTAL]]+IMSS[[#This Row],[O TOTAL]]</f>
        <v>2311.2846200342465</v>
      </c>
      <c r="AF218" s="163"/>
      <c r="AG218" s="163">
        <f>VLOOKUP(IMSS[[#This Row],[SUE MENS]],$AG$110:$AJ$120,1,1)</f>
        <v>5470.93</v>
      </c>
      <c r="AH218" s="163">
        <f>IMSS[[#This Row],[SUE MENS]]-IMSS[[#This Row],[LIM INF]]</f>
        <v>1974.0699999999997</v>
      </c>
      <c r="AI218" s="163">
        <f>IMSS[[#This Row],[EXC LIM INF]]*(VLOOKUP(IMSS[[#This Row],[LIM INF]],$AG$110:$AJ$120,4,0))</f>
        <v>214.77881599999998</v>
      </c>
      <c r="AJ218" s="163">
        <f>VLOOKUP(IMSS[[#This Row],[LIM INF]],$AG$110:$AJ$120,3)</f>
        <v>321.26</v>
      </c>
      <c r="AK218" s="163">
        <f>SUM(IMSS[[#This Row],[TASA EXC]]+IMSS[[#This Row],[CUOTA FIJA]])</f>
        <v>536.038816</v>
      </c>
      <c r="AL218" s="163">
        <f>VLOOKUP(IMSS[[#This Row],[SUE MENS]],$AL$110:$AN$120,3,1)</f>
        <v>0</v>
      </c>
      <c r="AM218" s="248">
        <f>IF(IMSS[[#This Row],[ISR CARGO]]-IMSS[[#This Row],[SUBS ISR]]&gt;0,IMSS[[#This Row],[ISR CARGO]]-IMSS[[#This Row],[SUBS ISR]],0)</f>
        <v>536.038816</v>
      </c>
      <c r="AN218" s="248">
        <f>IF(IMSS[[#This Row],[SUBS ISR]]-IMSS[[#This Row],[ISR CARGO]]&gt;0,IMSS[[#This Row],[SUBS ISR]]-IMSS[[#This Row],[ISR CARGO]],0)</f>
        <v>0</v>
      </c>
    </row>
    <row r="219" spans="3:40" ht="15" hidden="1" customHeight="1" x14ac:dyDescent="0.25">
      <c r="C219" s="243">
        <v>208</v>
      </c>
      <c r="D219" s="167" t="str">
        <f>VLOOKUP(IMSS[[#This Row],[NEM]],BDD[],2,0)</f>
        <v>Adrian Guzman Cipriano</v>
      </c>
      <c r="E219" s="167" t="str">
        <f>VLOOKUP(IMSS[[#This Row],[NEM]],BDD[],9,0)</f>
        <v>INST CAMPO</v>
      </c>
      <c r="F219" s="168">
        <v>30</v>
      </c>
      <c r="G219" s="139">
        <f>VLOOKUP(IMSS[[#This Row],[NEM]],BDD[],3,0)</f>
        <v>10860</v>
      </c>
      <c r="H219" s="139">
        <f ca="1">VLOOKUP(IMSS[[#This Row],[NEM]],BDD[],25,0)</f>
        <v>401.67123287671234</v>
      </c>
      <c r="I219" s="143">
        <f>VLOOKUP(IMSS[[#This Row],[DEPT]],$B$3:$G$49,6,0)</f>
        <v>4.6532499999999997E-2</v>
      </c>
      <c r="J219" s="163">
        <f ca="1">IMSS[[#This Row],[DIAS LAB]]*IMSS[[#This Row],[SDI]]*IMSS[[#This Row],[% RSG]]*$Q$108</f>
        <v>560.72299931506848</v>
      </c>
      <c r="K219" s="163">
        <f>IMSS[[#This Row],[DIAS LAB]]*$J$110*$Q$109</f>
        <v>548.47440000000006</v>
      </c>
      <c r="L219" s="166">
        <f ca="1">IMSS[[#This Row],[DIAS LAB]]*IF(IMSS[[#This Row],[SDI]]-$J$113&gt;0,IMSS[[#This Row],[SDI]]-$J$113,0)*$Q$110</f>
        <v>43.827706849315064</v>
      </c>
      <c r="M219" s="166">
        <f ca="1">IMSS[[#This Row],[DIAS LAB]]*IMSS[[#This Row],[SDI]]*$Q$111</f>
        <v>126.52643835616439</v>
      </c>
      <c r="N219" s="163">
        <f ca="1">IMSS[[#This Row],[DIAS LAB]]*IMSS[[#This Row],[SDI]]*$Q$112</f>
        <v>84.350958904109589</v>
      </c>
      <c r="O219" s="166">
        <f ca="1">IMSS[[#This Row],[DIAS LAB]]*IMSS[[#This Row],[SDI]]*$Q$113</f>
        <v>210.87739726027399</v>
      </c>
      <c r="P219" s="163">
        <f ca="1">IMSS[[#This Row],[DIAS LAB]]*IMSS[[#This Row],[SDI]]*$Q$114</f>
        <v>120.50136986301369</v>
      </c>
      <c r="Q219" s="166">
        <f ca="1">IMSS[[#This Row],[DIAS LAB]]*IMSS[[#This Row],[SDI]]*$Q$115</f>
        <v>241.00273972602739</v>
      </c>
      <c r="R219" s="163">
        <f ca="1">IMSS[[#This Row],[DIAS LAB]]*IMSS[[#This Row],[SDI]]*$Q$116</f>
        <v>379.57931506849314</v>
      </c>
      <c r="S219" s="163">
        <f ca="1">IMSS[[#This Row],[DIAS LAB]]*IMSS[[#This Row],[SDI]]*$Q$117</f>
        <v>602.50684931506851</v>
      </c>
      <c r="T219" s="164">
        <f ca="1">SUM(IMSS[[#This Row],[P RSG TRB]:[P INFONAVIT]])</f>
        <v>2918.3701746575343</v>
      </c>
      <c r="U219" s="163">
        <f ca="1">IMSS[[#This Row],[DIAS LAB]]*IMSS[[#This Row],[SDI]]*IMSS[[#This Row],[% RSG]]*$R$108</f>
        <v>0</v>
      </c>
      <c r="V219" s="163">
        <f ca="1">IMSS[[#This Row],[DIAS LAB]]*IMSS[[#This Row],[SDI]]*$R$112</f>
        <v>30.125342465753423</v>
      </c>
      <c r="W219" s="163"/>
      <c r="X219" s="163">
        <f ca="1">IMSS[[#This Row],[DIAS LAB]]*IMSS[[#This Row],[SDI]]*$R$113</f>
        <v>75.915863013698626</v>
      </c>
      <c r="Y219" s="163">
        <f ca="1">IMSS[[#This Row],[DIAS LAB]]*IMSS[[#This Row],[SDI]]*$R$114</f>
        <v>0</v>
      </c>
      <c r="Z219" s="163">
        <f ca="1">IMSS[[#This Row],[DIAS LAB]]*IMSS[[#This Row],[SDI]]*$R$115</f>
        <v>0</v>
      </c>
      <c r="AA219" s="163">
        <f ca="1">IMSS[[#This Row],[DIAS LAB]]*IMSS[[#This Row],[SDI]]*$R$116</f>
        <v>136.16654794520548</v>
      </c>
      <c r="AB219" s="163">
        <f ca="1">IMSS[[#This Row],[DIAS LAB]]*IMSS[[#This Row],[SDI]]*$R$117</f>
        <v>0</v>
      </c>
      <c r="AC219" s="247">
        <f ca="1">SUM(IMSS[[#This Row],[O RSG TRB]:[O INFONAVIT]])</f>
        <v>242.20775342465754</v>
      </c>
      <c r="AD219" s="163"/>
      <c r="AE219" s="165">
        <f ca="1">IMSS[[#This Row],[P TOTAL]]+IMSS[[#This Row],[O TOTAL]]</f>
        <v>3160.5779280821916</v>
      </c>
      <c r="AF219" s="163"/>
      <c r="AG219" s="163">
        <f>VLOOKUP(IMSS[[#This Row],[SUE MENS]],$AG$110:$AJ$120,1,1)</f>
        <v>9614.67</v>
      </c>
      <c r="AH219" s="163">
        <f>IMSS[[#This Row],[SUE MENS]]-IMSS[[#This Row],[LIM INF]]</f>
        <v>1245.33</v>
      </c>
      <c r="AI219" s="163">
        <f>IMSS[[#This Row],[EXC LIM INF]]*(VLOOKUP(IMSS[[#This Row],[LIM INF]],$AG$110:$AJ$120,4,0))</f>
        <v>199.25279999999998</v>
      </c>
      <c r="AJ219" s="163">
        <f>VLOOKUP(IMSS[[#This Row],[LIM INF]],$AG$110:$AJ$120,3)</f>
        <v>772.1</v>
      </c>
      <c r="AK219" s="163">
        <f>SUM(IMSS[[#This Row],[TASA EXC]]+IMSS[[#This Row],[CUOTA FIJA]])</f>
        <v>971.3528</v>
      </c>
      <c r="AL219" s="163">
        <f>VLOOKUP(IMSS[[#This Row],[SUE MENS]],$AL$110:$AN$120,3,1)</f>
        <v>0</v>
      </c>
      <c r="AM219" s="248">
        <f>IF(IMSS[[#This Row],[ISR CARGO]]-IMSS[[#This Row],[SUBS ISR]]&gt;0,IMSS[[#This Row],[ISR CARGO]]-IMSS[[#This Row],[SUBS ISR]],0)</f>
        <v>971.3528</v>
      </c>
      <c r="AN219" s="248">
        <f>IF(IMSS[[#This Row],[SUBS ISR]]-IMSS[[#This Row],[ISR CARGO]]&gt;0,IMSS[[#This Row],[SUBS ISR]]-IMSS[[#This Row],[ISR CARGO]],0)</f>
        <v>0</v>
      </c>
    </row>
    <row r="220" spans="3:40" ht="15" hidden="1" customHeight="1" x14ac:dyDescent="0.25">
      <c r="C220" s="243">
        <v>209</v>
      </c>
      <c r="D220" s="167" t="str">
        <f>VLOOKUP(IMSS[[#This Row],[NEM]],BDD[],2,0)</f>
        <v>Brigido Martinez Baltazar</v>
      </c>
      <c r="E220" s="167" t="str">
        <f>VLOOKUP(IMSS[[#This Row],[NEM]],BDD[],9,0)</f>
        <v>SOLUCIONES</v>
      </c>
      <c r="F220" s="168">
        <v>30</v>
      </c>
      <c r="G220" s="139">
        <f>VLOOKUP(IMSS[[#This Row],[NEM]],BDD[],3,0)</f>
        <v>7445</v>
      </c>
      <c r="H220" s="139">
        <f ca="1">VLOOKUP(IMSS[[#This Row],[NEM]],BDD[],25,0)</f>
        <v>275.36301369863014</v>
      </c>
      <c r="I220" s="143">
        <f>VLOOKUP(IMSS[[#This Row],[DEPT]],$B$3:$G$49,6,0)</f>
        <v>5.4355000000000002E-3</v>
      </c>
      <c r="J220" s="163">
        <f ca="1">IMSS[[#This Row],[DIAS LAB]]*IMSS[[#This Row],[SDI]]*IMSS[[#This Row],[% RSG]]*$Q$108</f>
        <v>44.902069828767125</v>
      </c>
      <c r="K220" s="163">
        <f>IMSS[[#This Row],[DIAS LAB]]*$J$110*$Q$109</f>
        <v>548.47440000000006</v>
      </c>
      <c r="L220" s="166">
        <f ca="1">IMSS[[#This Row],[DIAS LAB]]*IF(IMSS[[#This Row],[SDI]]-$J$113&gt;0,IMSS[[#This Row],[SDI]]-$J$113,0)*$Q$110</f>
        <v>2.145994520547942</v>
      </c>
      <c r="M220" s="166">
        <f ca="1">IMSS[[#This Row],[DIAS LAB]]*IMSS[[#This Row],[SDI]]*$Q$111</f>
        <v>86.739349315068495</v>
      </c>
      <c r="N220" s="163">
        <f ca="1">IMSS[[#This Row],[DIAS LAB]]*IMSS[[#This Row],[SDI]]*$Q$112</f>
        <v>57.826232876712325</v>
      </c>
      <c r="O220" s="166">
        <f ca="1">IMSS[[#This Row],[DIAS LAB]]*IMSS[[#This Row],[SDI]]*$Q$113</f>
        <v>144.56558219178083</v>
      </c>
      <c r="P220" s="163">
        <f ca="1">IMSS[[#This Row],[DIAS LAB]]*IMSS[[#This Row],[SDI]]*$Q$114</f>
        <v>82.608904109589034</v>
      </c>
      <c r="Q220" s="166">
        <f ca="1">IMSS[[#This Row],[DIAS LAB]]*IMSS[[#This Row],[SDI]]*$Q$115</f>
        <v>165.21780821917807</v>
      </c>
      <c r="R220" s="163">
        <f ca="1">IMSS[[#This Row],[DIAS LAB]]*IMSS[[#This Row],[SDI]]*$Q$116</f>
        <v>260.21804794520546</v>
      </c>
      <c r="S220" s="163">
        <f ca="1">IMSS[[#This Row],[DIAS LAB]]*IMSS[[#This Row],[SDI]]*$Q$117</f>
        <v>413.04452054794524</v>
      </c>
      <c r="T220" s="164">
        <f ca="1">SUM(IMSS[[#This Row],[P RSG TRB]:[P INFONAVIT]])</f>
        <v>1805.7429095547946</v>
      </c>
      <c r="U220" s="163">
        <f ca="1">IMSS[[#This Row],[DIAS LAB]]*IMSS[[#This Row],[SDI]]*IMSS[[#This Row],[% RSG]]*$R$108</f>
        <v>0</v>
      </c>
      <c r="V220" s="163">
        <f ca="1">IMSS[[#This Row],[DIAS LAB]]*IMSS[[#This Row],[SDI]]*$R$112</f>
        <v>20.652226027397258</v>
      </c>
      <c r="W220" s="163"/>
      <c r="X220" s="163">
        <f ca="1">IMSS[[#This Row],[DIAS LAB]]*IMSS[[#This Row],[SDI]]*$R$113</f>
        <v>52.043609589041097</v>
      </c>
      <c r="Y220" s="163">
        <f ca="1">IMSS[[#This Row],[DIAS LAB]]*IMSS[[#This Row],[SDI]]*$R$114</f>
        <v>0</v>
      </c>
      <c r="Z220" s="163">
        <f ca="1">IMSS[[#This Row],[DIAS LAB]]*IMSS[[#This Row],[SDI]]*$R$115</f>
        <v>0</v>
      </c>
      <c r="AA220" s="163">
        <f ca="1">IMSS[[#This Row],[DIAS LAB]]*IMSS[[#This Row],[SDI]]*$R$116</f>
        <v>93.348061643835607</v>
      </c>
      <c r="AB220" s="163">
        <f ca="1">IMSS[[#This Row],[DIAS LAB]]*IMSS[[#This Row],[SDI]]*$R$117</f>
        <v>0</v>
      </c>
      <c r="AC220" s="247">
        <f ca="1">SUM(IMSS[[#This Row],[O RSG TRB]:[O INFONAVIT]])</f>
        <v>166.04389726027398</v>
      </c>
      <c r="AD220" s="163"/>
      <c r="AE220" s="165">
        <f ca="1">IMSS[[#This Row],[P TOTAL]]+IMSS[[#This Row],[O TOTAL]]</f>
        <v>1971.7868068150685</v>
      </c>
      <c r="AF220" s="163"/>
      <c r="AG220" s="163">
        <f>VLOOKUP(IMSS[[#This Row],[SUE MENS]],$AG$110:$AJ$120,1,1)</f>
        <v>5470.93</v>
      </c>
      <c r="AH220" s="163">
        <f>IMSS[[#This Row],[SUE MENS]]-IMSS[[#This Row],[LIM INF]]</f>
        <v>1974.0699999999997</v>
      </c>
      <c r="AI220" s="163">
        <f>IMSS[[#This Row],[EXC LIM INF]]*(VLOOKUP(IMSS[[#This Row],[LIM INF]],$AG$110:$AJ$120,4,0))</f>
        <v>214.77881599999998</v>
      </c>
      <c r="AJ220" s="163">
        <f>VLOOKUP(IMSS[[#This Row],[LIM INF]],$AG$110:$AJ$120,3)</f>
        <v>321.26</v>
      </c>
      <c r="AK220" s="163">
        <f>SUM(IMSS[[#This Row],[TASA EXC]]+IMSS[[#This Row],[CUOTA FIJA]])</f>
        <v>536.038816</v>
      </c>
      <c r="AL220" s="163">
        <f>VLOOKUP(IMSS[[#This Row],[SUE MENS]],$AL$110:$AN$120,3,1)</f>
        <v>0</v>
      </c>
      <c r="AM220" s="248">
        <f>IF(IMSS[[#This Row],[ISR CARGO]]-IMSS[[#This Row],[SUBS ISR]]&gt;0,IMSS[[#This Row],[ISR CARGO]]-IMSS[[#This Row],[SUBS ISR]],0)</f>
        <v>536.038816</v>
      </c>
      <c r="AN220" s="248">
        <f>IF(IMSS[[#This Row],[SUBS ISR]]-IMSS[[#This Row],[ISR CARGO]]&gt;0,IMSS[[#This Row],[SUBS ISR]]-IMSS[[#This Row],[ISR CARGO]],0)</f>
        <v>0</v>
      </c>
    </row>
    <row r="221" spans="3:40" ht="15" hidden="1" customHeight="1" x14ac:dyDescent="0.25">
      <c r="C221" s="243">
        <v>211</v>
      </c>
      <c r="D221" s="167" t="str">
        <f>VLOOKUP(IMSS[[#This Row],[NEM]],BDD[],2,0)</f>
        <v>Erick Rogelio Montelongo Reyes</v>
      </c>
      <c r="E221" s="167" t="str">
        <f>VLOOKUP(IMSS[[#This Row],[NEM]],BDD[],9,0)</f>
        <v>FACTURAS</v>
      </c>
      <c r="F221" s="168">
        <v>30</v>
      </c>
      <c r="G221" s="139">
        <f>VLOOKUP(IMSS[[#This Row],[NEM]],BDD[],3,0)</f>
        <v>9450</v>
      </c>
      <c r="H221" s="139">
        <f ca="1">VLOOKUP(IMSS[[#This Row],[NEM]],BDD[],25,0)</f>
        <v>349.52054794520546</v>
      </c>
      <c r="I221" s="143">
        <f>VLOOKUP(IMSS[[#This Row],[DEPT]],$B$3:$G$49,6,0)</f>
        <v>5.4355000000000002E-3</v>
      </c>
      <c r="J221" s="163">
        <f ca="1">IMSS[[#This Row],[DIAS LAB]]*IMSS[[#This Row],[SDI]]*IMSS[[#This Row],[% RSG]]*$Q$108</f>
        <v>56.994568150684934</v>
      </c>
      <c r="K221" s="163">
        <f>IMSS[[#This Row],[DIAS LAB]]*$J$110*$Q$109</f>
        <v>548.47440000000006</v>
      </c>
      <c r="L221" s="166">
        <f ca="1">IMSS[[#This Row],[DIAS LAB]]*IF(IMSS[[#This Row],[SDI]]-$J$113&gt;0,IMSS[[#This Row],[SDI]]-$J$113,0)*$Q$110</f>
        <v>26.617980821917797</v>
      </c>
      <c r="M221" s="166">
        <f ca="1">IMSS[[#This Row],[DIAS LAB]]*IMSS[[#This Row],[SDI]]*$Q$111</f>
        <v>110.09897260273974</v>
      </c>
      <c r="N221" s="163">
        <f ca="1">IMSS[[#This Row],[DIAS LAB]]*IMSS[[#This Row],[SDI]]*$Q$112</f>
        <v>73.399315068493152</v>
      </c>
      <c r="O221" s="166">
        <f ca="1">IMSS[[#This Row],[DIAS LAB]]*IMSS[[#This Row],[SDI]]*$Q$113</f>
        <v>183.4982876712329</v>
      </c>
      <c r="P221" s="163">
        <f ca="1">IMSS[[#This Row],[DIAS LAB]]*IMSS[[#This Row],[SDI]]*$Q$114</f>
        <v>104.85616438356165</v>
      </c>
      <c r="Q221" s="166">
        <f ca="1">IMSS[[#This Row],[DIAS LAB]]*IMSS[[#This Row],[SDI]]*$Q$115</f>
        <v>209.7123287671233</v>
      </c>
      <c r="R221" s="163">
        <f ca="1">IMSS[[#This Row],[DIAS LAB]]*IMSS[[#This Row],[SDI]]*$Q$116</f>
        <v>330.29691780821918</v>
      </c>
      <c r="S221" s="163">
        <f ca="1">IMSS[[#This Row],[DIAS LAB]]*IMSS[[#This Row],[SDI]]*$Q$117</f>
        <v>524.28082191780823</v>
      </c>
      <c r="T221" s="164">
        <f ca="1">SUM(IMSS[[#This Row],[P RSG TRB]:[P INFONAVIT]])</f>
        <v>2168.2297571917811</v>
      </c>
      <c r="U221" s="163">
        <f ca="1">IMSS[[#This Row],[DIAS LAB]]*IMSS[[#This Row],[SDI]]*IMSS[[#This Row],[% RSG]]*$R$108</f>
        <v>0</v>
      </c>
      <c r="V221" s="163">
        <f ca="1">IMSS[[#This Row],[DIAS LAB]]*IMSS[[#This Row],[SDI]]*$R$112</f>
        <v>26.214041095890412</v>
      </c>
      <c r="W221" s="163"/>
      <c r="X221" s="163">
        <f ca="1">IMSS[[#This Row],[DIAS LAB]]*IMSS[[#This Row],[SDI]]*$R$113</f>
        <v>66.059383561643841</v>
      </c>
      <c r="Y221" s="163">
        <f ca="1">IMSS[[#This Row],[DIAS LAB]]*IMSS[[#This Row],[SDI]]*$R$114</f>
        <v>0</v>
      </c>
      <c r="Z221" s="163">
        <f ca="1">IMSS[[#This Row],[DIAS LAB]]*IMSS[[#This Row],[SDI]]*$R$115</f>
        <v>0</v>
      </c>
      <c r="AA221" s="163">
        <f ca="1">IMSS[[#This Row],[DIAS LAB]]*IMSS[[#This Row],[SDI]]*$R$116</f>
        <v>118.48746575342466</v>
      </c>
      <c r="AB221" s="163">
        <f ca="1">IMSS[[#This Row],[DIAS LAB]]*IMSS[[#This Row],[SDI]]*$R$117</f>
        <v>0</v>
      </c>
      <c r="AC221" s="247">
        <f ca="1">SUM(IMSS[[#This Row],[O RSG TRB]:[O INFONAVIT]])</f>
        <v>210.76089041095889</v>
      </c>
      <c r="AD221" s="163"/>
      <c r="AE221" s="165">
        <f ca="1">IMSS[[#This Row],[P TOTAL]]+IMSS[[#This Row],[O TOTAL]]</f>
        <v>2378.99064760274</v>
      </c>
      <c r="AF221" s="163"/>
      <c r="AG221" s="163">
        <f>VLOOKUP(IMSS[[#This Row],[SUE MENS]],$AG$110:$AJ$120,1,1)</f>
        <v>5470.93</v>
      </c>
      <c r="AH221" s="163">
        <f>IMSS[[#This Row],[SUE MENS]]-IMSS[[#This Row],[LIM INF]]</f>
        <v>3979.0699999999997</v>
      </c>
      <c r="AI221" s="163">
        <f>IMSS[[#This Row],[EXC LIM INF]]*(VLOOKUP(IMSS[[#This Row],[LIM INF]],$AG$110:$AJ$120,4,0))</f>
        <v>432.92281600000001</v>
      </c>
      <c r="AJ221" s="163">
        <f>VLOOKUP(IMSS[[#This Row],[LIM INF]],$AG$110:$AJ$120,3)</f>
        <v>321.26</v>
      </c>
      <c r="AK221" s="163">
        <f>SUM(IMSS[[#This Row],[TASA EXC]]+IMSS[[#This Row],[CUOTA FIJA]])</f>
        <v>754.182816</v>
      </c>
      <c r="AL221" s="163">
        <f>VLOOKUP(IMSS[[#This Row],[SUE MENS]],$AL$110:$AN$120,3,1)</f>
        <v>0</v>
      </c>
      <c r="AM221" s="248">
        <f>IF(IMSS[[#This Row],[ISR CARGO]]-IMSS[[#This Row],[SUBS ISR]]&gt;0,IMSS[[#This Row],[ISR CARGO]]-IMSS[[#This Row],[SUBS ISR]],0)</f>
        <v>754.182816</v>
      </c>
      <c r="AN221" s="248">
        <f>IF(IMSS[[#This Row],[SUBS ISR]]-IMSS[[#This Row],[ISR CARGO]]&gt;0,IMSS[[#This Row],[SUBS ISR]]-IMSS[[#This Row],[ISR CARGO]],0)</f>
        <v>0</v>
      </c>
    </row>
    <row r="222" spans="3:40" ht="15" hidden="1" customHeight="1" x14ac:dyDescent="0.25">
      <c r="C222" s="243">
        <v>213</v>
      </c>
      <c r="D222" s="167" t="str">
        <f>VLOOKUP(IMSS[[#This Row],[NEM]],BDD[],2,0)</f>
        <v>Alondra Abigail Bernal Hernandez</v>
      </c>
      <c r="E222" s="167" t="str">
        <f>VLOOKUP(IMSS[[#This Row],[NEM]],BDD[],9,0)</f>
        <v>INST CAMPO</v>
      </c>
      <c r="F222" s="168">
        <v>30</v>
      </c>
      <c r="G222" s="139">
        <f>VLOOKUP(IMSS[[#This Row],[NEM]],BDD[],3,0)</f>
        <v>7445</v>
      </c>
      <c r="H222" s="139">
        <f ca="1">VLOOKUP(IMSS[[#This Row],[NEM]],BDD[],25,0)</f>
        <v>275.36301369863014</v>
      </c>
      <c r="I222" s="143">
        <f>VLOOKUP(IMSS[[#This Row],[DEPT]],$B$3:$G$49,6,0)</f>
        <v>4.6532499999999997E-2</v>
      </c>
      <c r="J222" s="163">
        <f ca="1">IMSS[[#This Row],[DIAS LAB]]*IMSS[[#This Row],[SDI]]*IMSS[[#This Row],[% RSG]]*$Q$108</f>
        <v>384.3998830479452</v>
      </c>
      <c r="K222" s="163">
        <f>IMSS[[#This Row],[DIAS LAB]]*$J$110*$Q$109</f>
        <v>548.47440000000006</v>
      </c>
      <c r="L222" s="166">
        <f ca="1">IMSS[[#This Row],[DIAS LAB]]*IF(IMSS[[#This Row],[SDI]]-$J$113&gt;0,IMSS[[#This Row],[SDI]]-$J$113,0)*$Q$110</f>
        <v>2.145994520547942</v>
      </c>
      <c r="M222" s="166">
        <f ca="1">IMSS[[#This Row],[DIAS LAB]]*IMSS[[#This Row],[SDI]]*$Q$111</f>
        <v>86.739349315068495</v>
      </c>
      <c r="N222" s="163">
        <f ca="1">IMSS[[#This Row],[DIAS LAB]]*IMSS[[#This Row],[SDI]]*$Q$112</f>
        <v>57.826232876712325</v>
      </c>
      <c r="O222" s="166">
        <f ca="1">IMSS[[#This Row],[DIAS LAB]]*IMSS[[#This Row],[SDI]]*$Q$113</f>
        <v>144.56558219178083</v>
      </c>
      <c r="P222" s="163">
        <f ca="1">IMSS[[#This Row],[DIAS LAB]]*IMSS[[#This Row],[SDI]]*$Q$114</f>
        <v>82.608904109589034</v>
      </c>
      <c r="Q222" s="166">
        <f ca="1">IMSS[[#This Row],[DIAS LAB]]*IMSS[[#This Row],[SDI]]*$Q$115</f>
        <v>165.21780821917807</v>
      </c>
      <c r="R222" s="163">
        <f ca="1">IMSS[[#This Row],[DIAS LAB]]*IMSS[[#This Row],[SDI]]*$Q$116</f>
        <v>260.21804794520546</v>
      </c>
      <c r="S222" s="163">
        <f ca="1">IMSS[[#This Row],[DIAS LAB]]*IMSS[[#This Row],[SDI]]*$Q$117</f>
        <v>413.04452054794524</v>
      </c>
      <c r="T222" s="164">
        <f ca="1">SUM(IMSS[[#This Row],[P RSG TRB]:[P INFONAVIT]])</f>
        <v>2145.2407227739723</v>
      </c>
      <c r="U222" s="163">
        <f ca="1">IMSS[[#This Row],[DIAS LAB]]*IMSS[[#This Row],[SDI]]*IMSS[[#This Row],[% RSG]]*$R$108</f>
        <v>0</v>
      </c>
      <c r="V222" s="163">
        <f ca="1">IMSS[[#This Row],[DIAS LAB]]*IMSS[[#This Row],[SDI]]*$R$112</f>
        <v>20.652226027397258</v>
      </c>
      <c r="W222" s="163"/>
      <c r="X222" s="163">
        <f ca="1">IMSS[[#This Row],[DIAS LAB]]*IMSS[[#This Row],[SDI]]*$R$113</f>
        <v>52.043609589041097</v>
      </c>
      <c r="Y222" s="163">
        <f ca="1">IMSS[[#This Row],[DIAS LAB]]*IMSS[[#This Row],[SDI]]*$R$114</f>
        <v>0</v>
      </c>
      <c r="Z222" s="163">
        <f ca="1">IMSS[[#This Row],[DIAS LAB]]*IMSS[[#This Row],[SDI]]*$R$115</f>
        <v>0</v>
      </c>
      <c r="AA222" s="163">
        <f ca="1">IMSS[[#This Row],[DIAS LAB]]*IMSS[[#This Row],[SDI]]*$R$116</f>
        <v>93.348061643835607</v>
      </c>
      <c r="AB222" s="163">
        <f ca="1">IMSS[[#This Row],[DIAS LAB]]*IMSS[[#This Row],[SDI]]*$R$117</f>
        <v>0</v>
      </c>
      <c r="AC222" s="247">
        <f ca="1">SUM(IMSS[[#This Row],[O RSG TRB]:[O INFONAVIT]])</f>
        <v>166.04389726027398</v>
      </c>
      <c r="AD222" s="163"/>
      <c r="AE222" s="165">
        <f ca="1">IMSS[[#This Row],[P TOTAL]]+IMSS[[#This Row],[O TOTAL]]</f>
        <v>2311.2846200342465</v>
      </c>
      <c r="AF222" s="163"/>
      <c r="AG222" s="163">
        <f>VLOOKUP(IMSS[[#This Row],[SUE MENS]],$AG$110:$AJ$120,1,1)</f>
        <v>5470.93</v>
      </c>
      <c r="AH222" s="163">
        <f>IMSS[[#This Row],[SUE MENS]]-IMSS[[#This Row],[LIM INF]]</f>
        <v>1974.0699999999997</v>
      </c>
      <c r="AI222" s="163">
        <f>IMSS[[#This Row],[EXC LIM INF]]*(VLOOKUP(IMSS[[#This Row],[LIM INF]],$AG$110:$AJ$120,4,0))</f>
        <v>214.77881599999998</v>
      </c>
      <c r="AJ222" s="163">
        <f>VLOOKUP(IMSS[[#This Row],[LIM INF]],$AG$110:$AJ$120,3)</f>
        <v>321.26</v>
      </c>
      <c r="AK222" s="163">
        <f>SUM(IMSS[[#This Row],[TASA EXC]]+IMSS[[#This Row],[CUOTA FIJA]])</f>
        <v>536.038816</v>
      </c>
      <c r="AL222" s="163">
        <f>VLOOKUP(IMSS[[#This Row],[SUE MENS]],$AL$110:$AN$120,3,1)</f>
        <v>0</v>
      </c>
      <c r="AM222" s="248">
        <f>IF(IMSS[[#This Row],[ISR CARGO]]-IMSS[[#This Row],[SUBS ISR]]&gt;0,IMSS[[#This Row],[ISR CARGO]]-IMSS[[#This Row],[SUBS ISR]],0)</f>
        <v>536.038816</v>
      </c>
      <c r="AN222" s="248">
        <f>IF(IMSS[[#This Row],[SUBS ISR]]-IMSS[[#This Row],[ISR CARGO]]&gt;0,IMSS[[#This Row],[SUBS ISR]]-IMSS[[#This Row],[ISR CARGO]],0)</f>
        <v>0</v>
      </c>
    </row>
    <row r="223" spans="3:40" ht="15" hidden="1" customHeight="1" x14ac:dyDescent="0.25">
      <c r="C223" s="243">
        <v>214</v>
      </c>
      <c r="D223" s="167" t="str">
        <f>VLOOKUP(IMSS[[#This Row],[NEM]],BDD[],2,0)</f>
        <v>Saul Arturo Gámez De León</v>
      </c>
      <c r="E223" s="167" t="str">
        <f>VLOOKUP(IMSS[[#This Row],[NEM]],BDD[],9,0)</f>
        <v>INST CAMPO</v>
      </c>
      <c r="F223" s="168">
        <v>30</v>
      </c>
      <c r="G223" s="139">
        <f>VLOOKUP(IMSS[[#This Row],[NEM]],BDD[],3,0)</f>
        <v>9450</v>
      </c>
      <c r="H223" s="139">
        <f ca="1">VLOOKUP(IMSS[[#This Row],[NEM]],BDD[],25,0)</f>
        <v>349.52054794520546</v>
      </c>
      <c r="I223" s="143">
        <f>VLOOKUP(IMSS[[#This Row],[DEPT]],$B$3:$G$49,6,0)</f>
        <v>4.6532499999999997E-2</v>
      </c>
      <c r="J223" s="163">
        <f ca="1">IMSS[[#This Row],[DIAS LAB]]*IMSS[[#This Row],[SDI]]*IMSS[[#This Row],[% RSG]]*$Q$108</f>
        <v>487.92194691780821</v>
      </c>
      <c r="K223" s="163">
        <f>IMSS[[#This Row],[DIAS LAB]]*$J$110*$Q$109</f>
        <v>548.47440000000006</v>
      </c>
      <c r="L223" s="166">
        <f ca="1">IMSS[[#This Row],[DIAS LAB]]*IF(IMSS[[#This Row],[SDI]]-$J$113&gt;0,IMSS[[#This Row],[SDI]]-$J$113,0)*$Q$110</f>
        <v>26.617980821917797</v>
      </c>
      <c r="M223" s="166">
        <f ca="1">IMSS[[#This Row],[DIAS LAB]]*IMSS[[#This Row],[SDI]]*$Q$111</f>
        <v>110.09897260273974</v>
      </c>
      <c r="N223" s="163">
        <f ca="1">IMSS[[#This Row],[DIAS LAB]]*IMSS[[#This Row],[SDI]]*$Q$112</f>
        <v>73.399315068493152</v>
      </c>
      <c r="O223" s="166">
        <f ca="1">IMSS[[#This Row],[DIAS LAB]]*IMSS[[#This Row],[SDI]]*$Q$113</f>
        <v>183.4982876712329</v>
      </c>
      <c r="P223" s="163">
        <f ca="1">IMSS[[#This Row],[DIAS LAB]]*IMSS[[#This Row],[SDI]]*$Q$114</f>
        <v>104.85616438356165</v>
      </c>
      <c r="Q223" s="166">
        <f ca="1">IMSS[[#This Row],[DIAS LAB]]*IMSS[[#This Row],[SDI]]*$Q$115</f>
        <v>209.7123287671233</v>
      </c>
      <c r="R223" s="163">
        <f ca="1">IMSS[[#This Row],[DIAS LAB]]*IMSS[[#This Row],[SDI]]*$Q$116</f>
        <v>330.29691780821918</v>
      </c>
      <c r="S223" s="163">
        <f ca="1">IMSS[[#This Row],[DIAS LAB]]*IMSS[[#This Row],[SDI]]*$Q$117</f>
        <v>524.28082191780823</v>
      </c>
      <c r="T223" s="164">
        <f ca="1">SUM(IMSS[[#This Row],[P RSG TRB]:[P INFONAVIT]])</f>
        <v>2599.1571359589047</v>
      </c>
      <c r="U223" s="163">
        <f ca="1">IMSS[[#This Row],[DIAS LAB]]*IMSS[[#This Row],[SDI]]*IMSS[[#This Row],[% RSG]]*$R$108</f>
        <v>0</v>
      </c>
      <c r="V223" s="163">
        <f ca="1">IMSS[[#This Row],[DIAS LAB]]*IMSS[[#This Row],[SDI]]*$R$112</f>
        <v>26.214041095890412</v>
      </c>
      <c r="W223" s="163"/>
      <c r="X223" s="163">
        <f ca="1">IMSS[[#This Row],[DIAS LAB]]*IMSS[[#This Row],[SDI]]*$R$113</f>
        <v>66.059383561643841</v>
      </c>
      <c r="Y223" s="163">
        <f ca="1">IMSS[[#This Row],[DIAS LAB]]*IMSS[[#This Row],[SDI]]*$R$114</f>
        <v>0</v>
      </c>
      <c r="Z223" s="163">
        <f ca="1">IMSS[[#This Row],[DIAS LAB]]*IMSS[[#This Row],[SDI]]*$R$115</f>
        <v>0</v>
      </c>
      <c r="AA223" s="163">
        <f ca="1">IMSS[[#This Row],[DIAS LAB]]*IMSS[[#This Row],[SDI]]*$R$116</f>
        <v>118.48746575342466</v>
      </c>
      <c r="AB223" s="163">
        <f ca="1">IMSS[[#This Row],[DIAS LAB]]*IMSS[[#This Row],[SDI]]*$R$117</f>
        <v>0</v>
      </c>
      <c r="AC223" s="247">
        <f ca="1">SUM(IMSS[[#This Row],[O RSG TRB]:[O INFONAVIT]])</f>
        <v>210.76089041095889</v>
      </c>
      <c r="AD223" s="163"/>
      <c r="AE223" s="165">
        <f ca="1">IMSS[[#This Row],[P TOTAL]]+IMSS[[#This Row],[O TOTAL]]</f>
        <v>2809.9180263698636</v>
      </c>
      <c r="AF223" s="163"/>
      <c r="AG223" s="163">
        <f>VLOOKUP(IMSS[[#This Row],[SUE MENS]],$AG$110:$AJ$120,1,1)</f>
        <v>5470.93</v>
      </c>
      <c r="AH223" s="163">
        <f>IMSS[[#This Row],[SUE MENS]]-IMSS[[#This Row],[LIM INF]]</f>
        <v>3979.0699999999997</v>
      </c>
      <c r="AI223" s="163">
        <f>IMSS[[#This Row],[EXC LIM INF]]*(VLOOKUP(IMSS[[#This Row],[LIM INF]],$AG$110:$AJ$120,4,0))</f>
        <v>432.92281600000001</v>
      </c>
      <c r="AJ223" s="163">
        <f>VLOOKUP(IMSS[[#This Row],[LIM INF]],$AG$110:$AJ$120,3)</f>
        <v>321.26</v>
      </c>
      <c r="AK223" s="163">
        <f>SUM(IMSS[[#This Row],[TASA EXC]]+IMSS[[#This Row],[CUOTA FIJA]])</f>
        <v>754.182816</v>
      </c>
      <c r="AL223" s="163">
        <f>VLOOKUP(IMSS[[#This Row],[SUE MENS]],$AL$110:$AN$120,3,1)</f>
        <v>0</v>
      </c>
      <c r="AM223" s="248">
        <f>IF(IMSS[[#This Row],[ISR CARGO]]-IMSS[[#This Row],[SUBS ISR]]&gt;0,IMSS[[#This Row],[ISR CARGO]]-IMSS[[#This Row],[SUBS ISR]],0)</f>
        <v>754.182816</v>
      </c>
      <c r="AN223" s="248">
        <f>IF(IMSS[[#This Row],[SUBS ISR]]-IMSS[[#This Row],[ISR CARGO]]&gt;0,IMSS[[#This Row],[SUBS ISR]]-IMSS[[#This Row],[ISR CARGO]],0)</f>
        <v>0</v>
      </c>
    </row>
    <row r="224" spans="3:40" ht="15" hidden="1" customHeight="1" x14ac:dyDescent="0.25">
      <c r="C224" s="243">
        <v>215</v>
      </c>
      <c r="D224" s="167" t="str">
        <f>VLOOKUP(IMSS[[#This Row],[NEM]],BDD[],2,0)</f>
        <v>Dayana Milagros Sanchez Leos</v>
      </c>
      <c r="E224" s="167" t="str">
        <f>VLOOKUP(IMSS[[#This Row],[NEM]],BDD[],9,0)</f>
        <v>ANLIS COST</v>
      </c>
      <c r="F224" s="168">
        <v>30</v>
      </c>
      <c r="G224" s="139">
        <f>VLOOKUP(IMSS[[#This Row],[NEM]],BDD[],3,0)</f>
        <v>7950</v>
      </c>
      <c r="H224" s="139">
        <f ca="1">VLOOKUP(IMSS[[#This Row],[NEM]],BDD[],25,0)</f>
        <v>294.04109589041093</v>
      </c>
      <c r="I224" s="143">
        <f>VLOOKUP(IMSS[[#This Row],[DEPT]],$B$3:$G$49,6,0)</f>
        <v>1.130658E-2</v>
      </c>
      <c r="J224" s="163">
        <f ca="1">IMSS[[#This Row],[DIAS LAB]]*IMSS[[#This Row],[SDI]]*IMSS[[#This Row],[% RSG]]*$Q$108</f>
        <v>99.737975219178068</v>
      </c>
      <c r="K224" s="163">
        <f>IMSS[[#This Row],[DIAS LAB]]*$J$110*$Q$109</f>
        <v>548.47440000000006</v>
      </c>
      <c r="L224" s="166">
        <f ca="1">IMSS[[#This Row],[DIAS LAB]]*IF(IMSS[[#This Row],[SDI]]-$J$113&gt;0,IMSS[[#This Row],[SDI]]-$J$113,0)*$Q$110</f>
        <v>8.3097616438356017</v>
      </c>
      <c r="M224" s="166">
        <f ca="1">IMSS[[#This Row],[DIAS LAB]]*IMSS[[#This Row],[SDI]]*$Q$111</f>
        <v>92.622945205479439</v>
      </c>
      <c r="N224" s="163">
        <f ca="1">IMSS[[#This Row],[DIAS LAB]]*IMSS[[#This Row],[SDI]]*$Q$112</f>
        <v>61.748630136986293</v>
      </c>
      <c r="O224" s="166">
        <f ca="1">IMSS[[#This Row],[DIAS LAB]]*IMSS[[#This Row],[SDI]]*$Q$113</f>
        <v>154.37157534246575</v>
      </c>
      <c r="P224" s="163">
        <f ca="1">IMSS[[#This Row],[DIAS LAB]]*IMSS[[#This Row],[SDI]]*$Q$114</f>
        <v>88.212328767123267</v>
      </c>
      <c r="Q224" s="166">
        <f ca="1">IMSS[[#This Row],[DIAS LAB]]*IMSS[[#This Row],[SDI]]*$Q$115</f>
        <v>176.42465753424653</v>
      </c>
      <c r="R224" s="163">
        <f ca="1">IMSS[[#This Row],[DIAS LAB]]*IMSS[[#This Row],[SDI]]*$Q$116</f>
        <v>277.86883561643833</v>
      </c>
      <c r="S224" s="163">
        <f ca="1">IMSS[[#This Row],[DIAS LAB]]*IMSS[[#This Row],[SDI]]*$Q$117</f>
        <v>441.06164383561639</v>
      </c>
      <c r="T224" s="164">
        <f ca="1">SUM(IMSS[[#This Row],[P RSG TRB]:[P INFONAVIT]])</f>
        <v>1948.8327533013698</v>
      </c>
      <c r="U224" s="163">
        <f ca="1">IMSS[[#This Row],[DIAS LAB]]*IMSS[[#This Row],[SDI]]*IMSS[[#This Row],[% RSG]]*$R$108</f>
        <v>0</v>
      </c>
      <c r="V224" s="163">
        <f ca="1">IMSS[[#This Row],[DIAS LAB]]*IMSS[[#This Row],[SDI]]*$R$112</f>
        <v>22.053082191780817</v>
      </c>
      <c r="W224" s="163"/>
      <c r="X224" s="163">
        <f ca="1">IMSS[[#This Row],[DIAS LAB]]*IMSS[[#This Row],[SDI]]*$R$113</f>
        <v>55.573767123287659</v>
      </c>
      <c r="Y224" s="163">
        <f ca="1">IMSS[[#This Row],[DIAS LAB]]*IMSS[[#This Row],[SDI]]*$R$114</f>
        <v>0</v>
      </c>
      <c r="Z224" s="163">
        <f ca="1">IMSS[[#This Row],[DIAS LAB]]*IMSS[[#This Row],[SDI]]*$R$115</f>
        <v>0</v>
      </c>
      <c r="AA224" s="163">
        <f ca="1">IMSS[[#This Row],[DIAS LAB]]*IMSS[[#This Row],[SDI]]*$R$116</f>
        <v>99.679931506849286</v>
      </c>
      <c r="AB224" s="163">
        <f ca="1">IMSS[[#This Row],[DIAS LAB]]*IMSS[[#This Row],[SDI]]*$R$117</f>
        <v>0</v>
      </c>
      <c r="AC224" s="247">
        <f ca="1">SUM(IMSS[[#This Row],[O RSG TRB]:[O INFONAVIT]])</f>
        <v>177.30678082191776</v>
      </c>
      <c r="AD224" s="163"/>
      <c r="AE224" s="165">
        <f ca="1">IMSS[[#This Row],[P TOTAL]]+IMSS[[#This Row],[O TOTAL]]</f>
        <v>2126.1395341232874</v>
      </c>
      <c r="AF224" s="163"/>
      <c r="AG224" s="163">
        <f>VLOOKUP(IMSS[[#This Row],[SUE MENS]],$AG$110:$AJ$120,1,1)</f>
        <v>5470.93</v>
      </c>
      <c r="AH224" s="163">
        <f>IMSS[[#This Row],[SUE MENS]]-IMSS[[#This Row],[LIM INF]]</f>
        <v>2479.0699999999997</v>
      </c>
      <c r="AI224" s="163">
        <f>IMSS[[#This Row],[EXC LIM INF]]*(VLOOKUP(IMSS[[#This Row],[LIM INF]],$AG$110:$AJ$120,4,0))</f>
        <v>269.72281599999997</v>
      </c>
      <c r="AJ224" s="163">
        <f>VLOOKUP(IMSS[[#This Row],[LIM INF]],$AG$110:$AJ$120,3)</f>
        <v>321.26</v>
      </c>
      <c r="AK224" s="163">
        <f>SUM(IMSS[[#This Row],[TASA EXC]]+IMSS[[#This Row],[CUOTA FIJA]])</f>
        <v>590.98281599999996</v>
      </c>
      <c r="AL224" s="163">
        <f>VLOOKUP(IMSS[[#This Row],[SUE MENS]],$AL$110:$AN$120,3,1)</f>
        <v>0</v>
      </c>
      <c r="AM224" s="248">
        <f>IF(IMSS[[#This Row],[ISR CARGO]]-IMSS[[#This Row],[SUBS ISR]]&gt;0,IMSS[[#This Row],[ISR CARGO]]-IMSS[[#This Row],[SUBS ISR]],0)</f>
        <v>590.98281599999996</v>
      </c>
      <c r="AN224" s="248">
        <f>IF(IMSS[[#This Row],[SUBS ISR]]-IMSS[[#This Row],[ISR CARGO]]&gt;0,IMSS[[#This Row],[SUBS ISR]]-IMSS[[#This Row],[ISR CARGO]],0)</f>
        <v>0</v>
      </c>
    </row>
    <row r="225" spans="3:40" ht="15" hidden="1" customHeight="1" x14ac:dyDescent="0.25">
      <c r="C225" s="243">
        <v>216</v>
      </c>
      <c r="D225" s="167" t="str">
        <f>VLOOKUP(IMSS[[#This Row],[NEM]],BDD[],2,0)</f>
        <v>Melba Antonio Texta</v>
      </c>
      <c r="E225" s="167" t="str">
        <f>VLOOKUP(IMSS[[#This Row],[NEM]],BDD[],9,0)</f>
        <v>FACTURAS</v>
      </c>
      <c r="F225" s="168">
        <v>30</v>
      </c>
      <c r="G225" s="139">
        <f>VLOOKUP(IMSS[[#This Row],[NEM]],BDD[],3,0)</f>
        <v>9541</v>
      </c>
      <c r="H225" s="139">
        <f ca="1">VLOOKUP(IMSS[[#This Row],[NEM]],BDD[],25,0)</f>
        <v>352.88630136986302</v>
      </c>
      <c r="I225" s="143">
        <f>VLOOKUP(IMSS[[#This Row],[DEPT]],$B$3:$G$49,6,0)</f>
        <v>5.4355000000000002E-3</v>
      </c>
      <c r="J225" s="163">
        <f ca="1">IMSS[[#This Row],[DIAS LAB]]*IMSS[[#This Row],[SDI]]*IMSS[[#This Row],[% RSG]]*$Q$108</f>
        <v>57.543404732876716</v>
      </c>
      <c r="K225" s="163">
        <f>IMSS[[#This Row],[DIAS LAB]]*$J$110*$Q$109</f>
        <v>548.47440000000006</v>
      </c>
      <c r="L225" s="166">
        <f ca="1">IMSS[[#This Row],[DIAS LAB]]*IF(IMSS[[#This Row],[SDI]]-$J$113&gt;0,IMSS[[#This Row],[SDI]]-$J$113,0)*$Q$110</f>
        <v>27.728679452054791</v>
      </c>
      <c r="M225" s="166">
        <f ca="1">IMSS[[#This Row],[DIAS LAB]]*IMSS[[#This Row],[SDI]]*$Q$111</f>
        <v>111.15918493150686</v>
      </c>
      <c r="N225" s="163">
        <f ca="1">IMSS[[#This Row],[DIAS LAB]]*IMSS[[#This Row],[SDI]]*$Q$112</f>
        <v>74.106123287671238</v>
      </c>
      <c r="O225" s="166">
        <f ca="1">IMSS[[#This Row],[DIAS LAB]]*IMSS[[#This Row],[SDI]]*$Q$113</f>
        <v>185.26530821917811</v>
      </c>
      <c r="P225" s="163">
        <f ca="1">IMSS[[#This Row],[DIAS LAB]]*IMSS[[#This Row],[SDI]]*$Q$114</f>
        <v>105.86589041095891</v>
      </c>
      <c r="Q225" s="166">
        <f ca="1">IMSS[[#This Row],[DIAS LAB]]*IMSS[[#This Row],[SDI]]*$Q$115</f>
        <v>211.73178082191782</v>
      </c>
      <c r="R225" s="163">
        <f ca="1">IMSS[[#This Row],[DIAS LAB]]*IMSS[[#This Row],[SDI]]*$Q$116</f>
        <v>333.47755479452059</v>
      </c>
      <c r="S225" s="163">
        <f ca="1">IMSS[[#This Row],[DIAS LAB]]*IMSS[[#This Row],[SDI]]*$Q$117</f>
        <v>529.32945205479461</v>
      </c>
      <c r="T225" s="164">
        <f ca="1">SUM(IMSS[[#This Row],[P RSG TRB]:[P INFONAVIT]])</f>
        <v>2184.6817787054797</v>
      </c>
      <c r="U225" s="163">
        <f ca="1">IMSS[[#This Row],[DIAS LAB]]*IMSS[[#This Row],[SDI]]*IMSS[[#This Row],[% RSG]]*$R$108</f>
        <v>0</v>
      </c>
      <c r="V225" s="163">
        <f ca="1">IMSS[[#This Row],[DIAS LAB]]*IMSS[[#This Row],[SDI]]*$R$112</f>
        <v>26.466472602739728</v>
      </c>
      <c r="W225" s="163"/>
      <c r="X225" s="163">
        <f ca="1">IMSS[[#This Row],[DIAS LAB]]*IMSS[[#This Row],[SDI]]*$R$113</f>
        <v>66.695510958904109</v>
      </c>
      <c r="Y225" s="163">
        <f ca="1">IMSS[[#This Row],[DIAS LAB]]*IMSS[[#This Row],[SDI]]*$R$114</f>
        <v>0</v>
      </c>
      <c r="Z225" s="163">
        <f ca="1">IMSS[[#This Row],[DIAS LAB]]*IMSS[[#This Row],[SDI]]*$R$115</f>
        <v>0</v>
      </c>
      <c r="AA225" s="163">
        <f ca="1">IMSS[[#This Row],[DIAS LAB]]*IMSS[[#This Row],[SDI]]*$R$116</f>
        <v>119.62845616438356</v>
      </c>
      <c r="AB225" s="163">
        <f ca="1">IMSS[[#This Row],[DIAS LAB]]*IMSS[[#This Row],[SDI]]*$R$117</f>
        <v>0</v>
      </c>
      <c r="AC225" s="247">
        <f ca="1">SUM(IMSS[[#This Row],[O RSG TRB]:[O INFONAVIT]])</f>
        <v>212.79043972602739</v>
      </c>
      <c r="AD225" s="163"/>
      <c r="AE225" s="165">
        <f ca="1">IMSS[[#This Row],[P TOTAL]]+IMSS[[#This Row],[O TOTAL]]</f>
        <v>2397.4722184315069</v>
      </c>
      <c r="AF225" s="163"/>
      <c r="AG225" s="163">
        <f>VLOOKUP(IMSS[[#This Row],[SUE MENS]],$AG$110:$AJ$120,1,1)</f>
        <v>5470.93</v>
      </c>
      <c r="AH225" s="163">
        <f>IMSS[[#This Row],[SUE MENS]]-IMSS[[#This Row],[LIM INF]]</f>
        <v>4070.0699999999997</v>
      </c>
      <c r="AI225" s="163">
        <f>IMSS[[#This Row],[EXC LIM INF]]*(VLOOKUP(IMSS[[#This Row],[LIM INF]],$AG$110:$AJ$120,4,0))</f>
        <v>442.82361600000002</v>
      </c>
      <c r="AJ225" s="163">
        <f>VLOOKUP(IMSS[[#This Row],[LIM INF]],$AG$110:$AJ$120,3)</f>
        <v>321.26</v>
      </c>
      <c r="AK225" s="163">
        <f>SUM(IMSS[[#This Row],[TASA EXC]]+IMSS[[#This Row],[CUOTA FIJA]])</f>
        <v>764.08361600000001</v>
      </c>
      <c r="AL225" s="163">
        <f>VLOOKUP(IMSS[[#This Row],[SUE MENS]],$AL$110:$AN$120,3,1)</f>
        <v>0</v>
      </c>
      <c r="AM225" s="248">
        <f>IF(IMSS[[#This Row],[ISR CARGO]]-IMSS[[#This Row],[SUBS ISR]]&gt;0,IMSS[[#This Row],[ISR CARGO]]-IMSS[[#This Row],[SUBS ISR]],0)</f>
        <v>764.08361600000001</v>
      </c>
      <c r="AN225" s="248">
        <f>IF(IMSS[[#This Row],[SUBS ISR]]-IMSS[[#This Row],[ISR CARGO]]&gt;0,IMSS[[#This Row],[SUBS ISR]]-IMSS[[#This Row],[ISR CARGO]],0)</f>
        <v>0</v>
      </c>
    </row>
    <row r="226" spans="3:40" ht="15" hidden="1" customHeight="1" x14ac:dyDescent="0.25">
      <c r="C226" s="243">
        <v>217</v>
      </c>
      <c r="D226" s="167" t="str">
        <f>VLOOKUP(IMSS[[#This Row],[NEM]],BDD[],2,0)</f>
        <v>Emilene Palma Guzman</v>
      </c>
      <c r="E226" s="167" t="str">
        <f>VLOOKUP(IMSS[[#This Row],[NEM]],BDD[],9,0)</f>
        <v>ARQUITECT</v>
      </c>
      <c r="F226" s="168">
        <v>30</v>
      </c>
      <c r="G226" s="139">
        <f>VLOOKUP(IMSS[[#This Row],[NEM]],BDD[],3,0)</f>
        <v>6778</v>
      </c>
      <c r="H226" s="139">
        <f ca="1">VLOOKUP(IMSS[[#This Row],[NEM]],BDD[],25,0)</f>
        <v>238.31324200913241</v>
      </c>
      <c r="I226" s="143">
        <f>VLOOKUP(IMSS[[#This Row],[DEPT]],$B$3:$G$49,6,0)</f>
        <v>2.5984400000000001E-2</v>
      </c>
      <c r="J226" s="163">
        <f ca="1">IMSS[[#This Row],[DIAS LAB]]*IMSS[[#This Row],[SDI]]*IMSS[[#This Row],[% RSG]]*$Q$108</f>
        <v>185.77279816986302</v>
      </c>
      <c r="K226" s="163">
        <f>IMSS[[#This Row],[DIAS LAB]]*$J$110*$Q$109</f>
        <v>548.47440000000006</v>
      </c>
      <c r="L226" s="166">
        <f ca="1">IMSS[[#This Row],[DIAS LAB]]*IF(IMSS[[#This Row],[SDI]]-$J$113&gt;0,IMSS[[#This Row],[SDI]]-$J$113,0)*$Q$110</f>
        <v>0</v>
      </c>
      <c r="M226" s="166">
        <f ca="1">IMSS[[#This Row],[DIAS LAB]]*IMSS[[#This Row],[SDI]]*$Q$111</f>
        <v>75.06867123287671</v>
      </c>
      <c r="N226" s="163">
        <f ca="1">IMSS[[#This Row],[DIAS LAB]]*IMSS[[#This Row],[SDI]]*$Q$112</f>
        <v>50.045780821917809</v>
      </c>
      <c r="O226" s="166">
        <f ca="1">IMSS[[#This Row],[DIAS LAB]]*IMSS[[#This Row],[SDI]]*$Q$113</f>
        <v>125.11445205479453</v>
      </c>
      <c r="P226" s="163">
        <f ca="1">IMSS[[#This Row],[DIAS LAB]]*IMSS[[#This Row],[SDI]]*$Q$114</f>
        <v>71.493972602739731</v>
      </c>
      <c r="Q226" s="166">
        <f ca="1">IMSS[[#This Row],[DIAS LAB]]*IMSS[[#This Row],[SDI]]*$Q$115</f>
        <v>142.98794520547946</v>
      </c>
      <c r="R226" s="163">
        <f ca="1">IMSS[[#This Row],[DIAS LAB]]*IMSS[[#This Row],[SDI]]*$Q$116</f>
        <v>225.20601369863013</v>
      </c>
      <c r="S226" s="163">
        <f ca="1">IMSS[[#This Row],[DIAS LAB]]*IMSS[[#This Row],[SDI]]*$Q$117</f>
        <v>357.46986301369861</v>
      </c>
      <c r="T226" s="164">
        <f ca="1">SUM(IMSS[[#This Row],[P RSG TRB]:[P INFONAVIT]])</f>
        <v>1781.6338968</v>
      </c>
      <c r="U226" s="163">
        <f ca="1">IMSS[[#This Row],[DIAS LAB]]*IMSS[[#This Row],[SDI]]*IMSS[[#This Row],[% RSG]]*$R$108</f>
        <v>0</v>
      </c>
      <c r="V226" s="163">
        <f ca="1">IMSS[[#This Row],[DIAS LAB]]*IMSS[[#This Row],[SDI]]*$R$112</f>
        <v>17.873493150684933</v>
      </c>
      <c r="W226" s="163"/>
      <c r="X226" s="163">
        <f ca="1">IMSS[[#This Row],[DIAS LAB]]*IMSS[[#This Row],[SDI]]*$R$113</f>
        <v>45.041202739726025</v>
      </c>
      <c r="Y226" s="163">
        <f ca="1">IMSS[[#This Row],[DIAS LAB]]*IMSS[[#This Row],[SDI]]*$R$114</f>
        <v>0</v>
      </c>
      <c r="Z226" s="163">
        <f ca="1">IMSS[[#This Row],[DIAS LAB]]*IMSS[[#This Row],[SDI]]*$R$115</f>
        <v>0</v>
      </c>
      <c r="AA226" s="163">
        <f ca="1">IMSS[[#This Row],[DIAS LAB]]*IMSS[[#This Row],[SDI]]*$R$116</f>
        <v>80.788189041095876</v>
      </c>
      <c r="AB226" s="163">
        <f ca="1">IMSS[[#This Row],[DIAS LAB]]*IMSS[[#This Row],[SDI]]*$R$117</f>
        <v>0</v>
      </c>
      <c r="AC226" s="247">
        <f ca="1">SUM(IMSS[[#This Row],[O RSG TRB]:[O INFONAVIT]])</f>
        <v>143.70288493150684</v>
      </c>
      <c r="AD226" s="163"/>
      <c r="AE226" s="165">
        <f ca="1">IMSS[[#This Row],[P TOTAL]]+IMSS[[#This Row],[O TOTAL]]</f>
        <v>1925.3367817315068</v>
      </c>
      <c r="AF226" s="163"/>
      <c r="AG226" s="163">
        <f>VLOOKUP(IMSS[[#This Row],[SUE MENS]],$AG$110:$AJ$120,1,1)</f>
        <v>5470.93</v>
      </c>
      <c r="AH226" s="163">
        <f>IMSS[[#This Row],[SUE MENS]]-IMSS[[#This Row],[LIM INF]]</f>
        <v>1307.0699999999997</v>
      </c>
      <c r="AI226" s="163">
        <f>IMSS[[#This Row],[EXC LIM INF]]*(VLOOKUP(IMSS[[#This Row],[LIM INF]],$AG$110:$AJ$120,4,0))</f>
        <v>142.20921599999997</v>
      </c>
      <c r="AJ226" s="163">
        <f>VLOOKUP(IMSS[[#This Row],[LIM INF]],$AG$110:$AJ$120,3)</f>
        <v>321.26</v>
      </c>
      <c r="AK226" s="163">
        <f>SUM(IMSS[[#This Row],[TASA EXC]]+IMSS[[#This Row],[CUOTA FIJA]])</f>
        <v>463.46921599999996</v>
      </c>
      <c r="AL226" s="163">
        <f>VLOOKUP(IMSS[[#This Row],[SUE MENS]],$AL$110:$AN$120,3,1)</f>
        <v>253.54</v>
      </c>
      <c r="AM226" s="248">
        <f>IF(IMSS[[#This Row],[ISR CARGO]]-IMSS[[#This Row],[SUBS ISR]]&gt;0,IMSS[[#This Row],[ISR CARGO]]-IMSS[[#This Row],[SUBS ISR]],0)</f>
        <v>209.92921599999997</v>
      </c>
      <c r="AN226" s="248">
        <f>IF(IMSS[[#This Row],[SUBS ISR]]-IMSS[[#This Row],[ISR CARGO]]&gt;0,IMSS[[#This Row],[SUBS ISR]]-IMSS[[#This Row],[ISR CARGO]],0)</f>
        <v>0</v>
      </c>
    </row>
    <row r="227" spans="3:40" ht="15" hidden="1" customHeight="1" x14ac:dyDescent="0.25">
      <c r="C227" s="243">
        <v>220</v>
      </c>
      <c r="D227" s="167" t="str">
        <f>VLOOKUP(IMSS[[#This Row],[NEM]],BDD[],2,0)</f>
        <v>Gabriel  Jimenez Ramos</v>
      </c>
      <c r="E227" s="167" t="str">
        <f>VLOOKUP(IMSS[[#This Row],[NEM]],BDD[],9,0)</f>
        <v>RECLTMTO</v>
      </c>
      <c r="F227" s="168">
        <v>30</v>
      </c>
      <c r="G227" s="139">
        <f>VLOOKUP(IMSS[[#This Row],[NEM]],BDD[],3,0)</f>
        <v>9541</v>
      </c>
      <c r="H227" s="139">
        <f ca="1">VLOOKUP(IMSS[[#This Row],[NEM]],BDD[],25,0)</f>
        <v>352.88630136986302</v>
      </c>
      <c r="I227" s="143">
        <f>VLOOKUP(IMSS[[#This Row],[DEPT]],$B$3:$G$49,6,0)</f>
        <v>5.4355000000000002E-3</v>
      </c>
      <c r="J227" s="163">
        <f ca="1">IMSS[[#This Row],[DIAS LAB]]*IMSS[[#This Row],[SDI]]*IMSS[[#This Row],[% RSG]]*$Q$108</f>
        <v>57.543404732876716</v>
      </c>
      <c r="K227" s="163">
        <f>IMSS[[#This Row],[DIAS LAB]]*$J$110*$Q$109</f>
        <v>548.47440000000006</v>
      </c>
      <c r="L227" s="166">
        <f ca="1">IMSS[[#This Row],[DIAS LAB]]*IF(IMSS[[#This Row],[SDI]]-$J$113&gt;0,IMSS[[#This Row],[SDI]]-$J$113,0)*$Q$110</f>
        <v>27.728679452054791</v>
      </c>
      <c r="M227" s="166">
        <f ca="1">IMSS[[#This Row],[DIAS LAB]]*IMSS[[#This Row],[SDI]]*$Q$111</f>
        <v>111.15918493150686</v>
      </c>
      <c r="N227" s="163">
        <f ca="1">IMSS[[#This Row],[DIAS LAB]]*IMSS[[#This Row],[SDI]]*$Q$112</f>
        <v>74.106123287671238</v>
      </c>
      <c r="O227" s="166">
        <f ca="1">IMSS[[#This Row],[DIAS LAB]]*IMSS[[#This Row],[SDI]]*$Q$113</f>
        <v>185.26530821917811</v>
      </c>
      <c r="P227" s="163">
        <f ca="1">IMSS[[#This Row],[DIAS LAB]]*IMSS[[#This Row],[SDI]]*$Q$114</f>
        <v>105.86589041095891</v>
      </c>
      <c r="Q227" s="166">
        <f ca="1">IMSS[[#This Row],[DIAS LAB]]*IMSS[[#This Row],[SDI]]*$Q$115</f>
        <v>211.73178082191782</v>
      </c>
      <c r="R227" s="163">
        <f ca="1">IMSS[[#This Row],[DIAS LAB]]*IMSS[[#This Row],[SDI]]*$Q$116</f>
        <v>333.47755479452059</v>
      </c>
      <c r="S227" s="163">
        <f ca="1">IMSS[[#This Row],[DIAS LAB]]*IMSS[[#This Row],[SDI]]*$Q$117</f>
        <v>529.32945205479461</v>
      </c>
      <c r="T227" s="164">
        <f ca="1">SUM(IMSS[[#This Row],[P RSG TRB]:[P INFONAVIT]])</f>
        <v>2184.6817787054797</v>
      </c>
      <c r="U227" s="163">
        <f ca="1">IMSS[[#This Row],[DIAS LAB]]*IMSS[[#This Row],[SDI]]*IMSS[[#This Row],[% RSG]]*$R$108</f>
        <v>0</v>
      </c>
      <c r="V227" s="163">
        <f ca="1">IMSS[[#This Row],[DIAS LAB]]*IMSS[[#This Row],[SDI]]*$R$112</f>
        <v>26.466472602739728</v>
      </c>
      <c r="W227" s="163"/>
      <c r="X227" s="163">
        <f ca="1">IMSS[[#This Row],[DIAS LAB]]*IMSS[[#This Row],[SDI]]*$R$113</f>
        <v>66.695510958904109</v>
      </c>
      <c r="Y227" s="163">
        <f ca="1">IMSS[[#This Row],[DIAS LAB]]*IMSS[[#This Row],[SDI]]*$R$114</f>
        <v>0</v>
      </c>
      <c r="Z227" s="163">
        <f ca="1">IMSS[[#This Row],[DIAS LAB]]*IMSS[[#This Row],[SDI]]*$R$115</f>
        <v>0</v>
      </c>
      <c r="AA227" s="163">
        <f ca="1">IMSS[[#This Row],[DIAS LAB]]*IMSS[[#This Row],[SDI]]*$R$116</f>
        <v>119.62845616438356</v>
      </c>
      <c r="AB227" s="163">
        <f ca="1">IMSS[[#This Row],[DIAS LAB]]*IMSS[[#This Row],[SDI]]*$R$117</f>
        <v>0</v>
      </c>
      <c r="AC227" s="247">
        <f ca="1">SUM(IMSS[[#This Row],[O RSG TRB]:[O INFONAVIT]])</f>
        <v>212.79043972602739</v>
      </c>
      <c r="AD227" s="163"/>
      <c r="AE227" s="165">
        <f ca="1">IMSS[[#This Row],[P TOTAL]]+IMSS[[#This Row],[O TOTAL]]</f>
        <v>2397.4722184315069</v>
      </c>
      <c r="AF227" s="163"/>
      <c r="AG227" s="163">
        <f>VLOOKUP(IMSS[[#This Row],[SUE MENS]],$AG$110:$AJ$120,1,1)</f>
        <v>5470.93</v>
      </c>
      <c r="AH227" s="163">
        <f>IMSS[[#This Row],[SUE MENS]]-IMSS[[#This Row],[LIM INF]]</f>
        <v>4070.0699999999997</v>
      </c>
      <c r="AI227" s="163">
        <f>IMSS[[#This Row],[EXC LIM INF]]*(VLOOKUP(IMSS[[#This Row],[LIM INF]],$AG$110:$AJ$120,4,0))</f>
        <v>442.82361600000002</v>
      </c>
      <c r="AJ227" s="163">
        <f>VLOOKUP(IMSS[[#This Row],[LIM INF]],$AG$110:$AJ$120,3)</f>
        <v>321.26</v>
      </c>
      <c r="AK227" s="163">
        <f>SUM(IMSS[[#This Row],[TASA EXC]]+IMSS[[#This Row],[CUOTA FIJA]])</f>
        <v>764.08361600000001</v>
      </c>
      <c r="AL227" s="163">
        <f>VLOOKUP(IMSS[[#This Row],[SUE MENS]],$AL$110:$AN$120,3,1)</f>
        <v>0</v>
      </c>
      <c r="AM227" s="248">
        <f>IF(IMSS[[#This Row],[ISR CARGO]]-IMSS[[#This Row],[SUBS ISR]]&gt;0,IMSS[[#This Row],[ISR CARGO]]-IMSS[[#This Row],[SUBS ISR]],0)</f>
        <v>764.08361600000001</v>
      </c>
      <c r="AN227" s="248">
        <f>IF(IMSS[[#This Row],[SUBS ISR]]-IMSS[[#This Row],[ISR CARGO]]&gt;0,IMSS[[#This Row],[SUBS ISR]]-IMSS[[#This Row],[ISR CARGO]],0)</f>
        <v>0</v>
      </c>
    </row>
    <row r="228" spans="3:40" ht="15" hidden="1" customHeight="1" x14ac:dyDescent="0.25">
      <c r="C228" s="243">
        <v>221</v>
      </c>
      <c r="D228" s="167" t="str">
        <f>VLOOKUP(IMSS[[#This Row],[NEM]],BDD[],2,0)</f>
        <v>Esteban Bonifacio Felipe</v>
      </c>
      <c r="E228" s="167" t="str">
        <f>VLOOKUP(IMSS[[#This Row],[NEM]],BDD[],9,0)</f>
        <v>INST CAMPO</v>
      </c>
      <c r="F228" s="168">
        <v>30</v>
      </c>
      <c r="G228" s="139">
        <f>VLOOKUP(IMSS[[#This Row],[NEM]],BDD[],3,0)</f>
        <v>9450</v>
      </c>
      <c r="H228" s="139">
        <f ca="1">VLOOKUP(IMSS[[#This Row],[NEM]],BDD[],25,0)</f>
        <v>349.52054794520546</v>
      </c>
      <c r="I228" s="143">
        <f>VLOOKUP(IMSS[[#This Row],[DEPT]],$B$3:$G$49,6,0)</f>
        <v>4.6532499999999997E-2</v>
      </c>
      <c r="J228" s="163">
        <f ca="1">IMSS[[#This Row],[DIAS LAB]]*IMSS[[#This Row],[SDI]]*IMSS[[#This Row],[% RSG]]*$Q$108</f>
        <v>487.92194691780821</v>
      </c>
      <c r="K228" s="163">
        <f>IMSS[[#This Row],[DIAS LAB]]*$J$110*$Q$109</f>
        <v>548.47440000000006</v>
      </c>
      <c r="L228" s="166">
        <f ca="1">IMSS[[#This Row],[DIAS LAB]]*IF(IMSS[[#This Row],[SDI]]-$J$113&gt;0,IMSS[[#This Row],[SDI]]-$J$113,0)*$Q$110</f>
        <v>26.617980821917797</v>
      </c>
      <c r="M228" s="166">
        <f ca="1">IMSS[[#This Row],[DIAS LAB]]*IMSS[[#This Row],[SDI]]*$Q$111</f>
        <v>110.09897260273974</v>
      </c>
      <c r="N228" s="163">
        <f ca="1">IMSS[[#This Row],[DIAS LAB]]*IMSS[[#This Row],[SDI]]*$Q$112</f>
        <v>73.399315068493152</v>
      </c>
      <c r="O228" s="166">
        <f ca="1">IMSS[[#This Row],[DIAS LAB]]*IMSS[[#This Row],[SDI]]*$Q$113</f>
        <v>183.4982876712329</v>
      </c>
      <c r="P228" s="163">
        <f ca="1">IMSS[[#This Row],[DIAS LAB]]*IMSS[[#This Row],[SDI]]*$Q$114</f>
        <v>104.85616438356165</v>
      </c>
      <c r="Q228" s="166">
        <f ca="1">IMSS[[#This Row],[DIAS LAB]]*IMSS[[#This Row],[SDI]]*$Q$115</f>
        <v>209.7123287671233</v>
      </c>
      <c r="R228" s="163">
        <f ca="1">IMSS[[#This Row],[DIAS LAB]]*IMSS[[#This Row],[SDI]]*$Q$116</f>
        <v>330.29691780821918</v>
      </c>
      <c r="S228" s="163">
        <f ca="1">IMSS[[#This Row],[DIAS LAB]]*IMSS[[#This Row],[SDI]]*$Q$117</f>
        <v>524.28082191780823</v>
      </c>
      <c r="T228" s="164">
        <f ca="1">SUM(IMSS[[#This Row],[P RSG TRB]:[P INFONAVIT]])</f>
        <v>2599.1571359589047</v>
      </c>
      <c r="U228" s="163">
        <f ca="1">IMSS[[#This Row],[DIAS LAB]]*IMSS[[#This Row],[SDI]]*IMSS[[#This Row],[% RSG]]*$R$108</f>
        <v>0</v>
      </c>
      <c r="V228" s="163">
        <f ca="1">IMSS[[#This Row],[DIAS LAB]]*IMSS[[#This Row],[SDI]]*$R$112</f>
        <v>26.214041095890412</v>
      </c>
      <c r="W228" s="163"/>
      <c r="X228" s="163">
        <f ca="1">IMSS[[#This Row],[DIAS LAB]]*IMSS[[#This Row],[SDI]]*$R$113</f>
        <v>66.059383561643841</v>
      </c>
      <c r="Y228" s="163">
        <f ca="1">IMSS[[#This Row],[DIAS LAB]]*IMSS[[#This Row],[SDI]]*$R$114</f>
        <v>0</v>
      </c>
      <c r="Z228" s="163">
        <f ca="1">IMSS[[#This Row],[DIAS LAB]]*IMSS[[#This Row],[SDI]]*$R$115</f>
        <v>0</v>
      </c>
      <c r="AA228" s="163">
        <f ca="1">IMSS[[#This Row],[DIAS LAB]]*IMSS[[#This Row],[SDI]]*$R$116</f>
        <v>118.48746575342466</v>
      </c>
      <c r="AB228" s="163">
        <f ca="1">IMSS[[#This Row],[DIAS LAB]]*IMSS[[#This Row],[SDI]]*$R$117</f>
        <v>0</v>
      </c>
      <c r="AC228" s="247">
        <f ca="1">SUM(IMSS[[#This Row],[O RSG TRB]:[O INFONAVIT]])</f>
        <v>210.76089041095889</v>
      </c>
      <c r="AD228" s="163"/>
      <c r="AE228" s="165">
        <f ca="1">IMSS[[#This Row],[P TOTAL]]+IMSS[[#This Row],[O TOTAL]]</f>
        <v>2809.9180263698636</v>
      </c>
      <c r="AF228" s="163"/>
      <c r="AG228" s="163">
        <f>VLOOKUP(IMSS[[#This Row],[SUE MENS]],$AG$110:$AJ$120,1,1)</f>
        <v>5470.93</v>
      </c>
      <c r="AH228" s="163">
        <f>IMSS[[#This Row],[SUE MENS]]-IMSS[[#This Row],[LIM INF]]</f>
        <v>3979.0699999999997</v>
      </c>
      <c r="AI228" s="163">
        <f>IMSS[[#This Row],[EXC LIM INF]]*(VLOOKUP(IMSS[[#This Row],[LIM INF]],$AG$110:$AJ$120,4,0))</f>
        <v>432.92281600000001</v>
      </c>
      <c r="AJ228" s="163">
        <f>VLOOKUP(IMSS[[#This Row],[LIM INF]],$AG$110:$AJ$120,3)</f>
        <v>321.26</v>
      </c>
      <c r="AK228" s="163">
        <f>SUM(IMSS[[#This Row],[TASA EXC]]+IMSS[[#This Row],[CUOTA FIJA]])</f>
        <v>754.182816</v>
      </c>
      <c r="AL228" s="163">
        <f>VLOOKUP(IMSS[[#This Row],[SUE MENS]],$AL$110:$AN$120,3,1)</f>
        <v>0</v>
      </c>
      <c r="AM228" s="248">
        <f>IF(IMSS[[#This Row],[ISR CARGO]]-IMSS[[#This Row],[SUBS ISR]]&gt;0,IMSS[[#This Row],[ISR CARGO]]-IMSS[[#This Row],[SUBS ISR]],0)</f>
        <v>754.182816</v>
      </c>
      <c r="AN228" s="248">
        <f>IF(IMSS[[#This Row],[SUBS ISR]]-IMSS[[#This Row],[ISR CARGO]]&gt;0,IMSS[[#This Row],[SUBS ISR]]-IMSS[[#This Row],[ISR CARGO]],0)</f>
        <v>0</v>
      </c>
    </row>
    <row r="229" spans="3:40" ht="15" hidden="1" customHeight="1" x14ac:dyDescent="0.25">
      <c r="C229" s="243">
        <v>222</v>
      </c>
      <c r="D229" s="167" t="str">
        <f>VLOOKUP(IMSS[[#This Row],[NEM]],BDD[],2,0)</f>
        <v>Yadira Rohde Hernandez Lopez</v>
      </c>
      <c r="E229" s="167" t="str">
        <f>VLOOKUP(IMSS[[#This Row],[NEM]],BDD[],9,0)</f>
        <v>RENDER</v>
      </c>
      <c r="F229" s="168">
        <v>30</v>
      </c>
      <c r="G229" s="139">
        <f>VLOOKUP(IMSS[[#This Row],[NEM]],BDD[],3,0)</f>
        <v>10860</v>
      </c>
      <c r="H229" s="139">
        <f ca="1">VLOOKUP(IMSS[[#This Row],[NEM]],BDD[],25,0)</f>
        <v>401.67123287671234</v>
      </c>
      <c r="I229" s="143">
        <f>VLOOKUP(IMSS[[#This Row],[DEPT]],$B$3:$G$49,6,0)</f>
        <v>2.5984400000000001E-2</v>
      </c>
      <c r="J229" s="163">
        <f ca="1">IMSS[[#This Row],[DIAS LAB]]*IMSS[[#This Row],[SDI]]*IMSS[[#This Row],[% RSG]]*$Q$108</f>
        <v>313.11557950684931</v>
      </c>
      <c r="K229" s="163">
        <f>IMSS[[#This Row],[DIAS LAB]]*$J$110*$Q$109</f>
        <v>548.47440000000006</v>
      </c>
      <c r="L229" s="166">
        <f ca="1">IMSS[[#This Row],[DIAS LAB]]*IF(IMSS[[#This Row],[SDI]]-$J$113&gt;0,IMSS[[#This Row],[SDI]]-$J$113,0)*$Q$110</f>
        <v>43.827706849315064</v>
      </c>
      <c r="M229" s="166">
        <f ca="1">IMSS[[#This Row],[DIAS LAB]]*IMSS[[#This Row],[SDI]]*$Q$111</f>
        <v>126.52643835616439</v>
      </c>
      <c r="N229" s="163">
        <f ca="1">IMSS[[#This Row],[DIAS LAB]]*IMSS[[#This Row],[SDI]]*$Q$112</f>
        <v>84.350958904109589</v>
      </c>
      <c r="O229" s="166">
        <f ca="1">IMSS[[#This Row],[DIAS LAB]]*IMSS[[#This Row],[SDI]]*$Q$113</f>
        <v>210.87739726027399</v>
      </c>
      <c r="P229" s="163">
        <f ca="1">IMSS[[#This Row],[DIAS LAB]]*IMSS[[#This Row],[SDI]]*$Q$114</f>
        <v>120.50136986301369</v>
      </c>
      <c r="Q229" s="166">
        <f ca="1">IMSS[[#This Row],[DIAS LAB]]*IMSS[[#This Row],[SDI]]*$Q$115</f>
        <v>241.00273972602739</v>
      </c>
      <c r="R229" s="163">
        <f ca="1">IMSS[[#This Row],[DIAS LAB]]*IMSS[[#This Row],[SDI]]*$Q$116</f>
        <v>379.57931506849314</v>
      </c>
      <c r="S229" s="163">
        <f ca="1">IMSS[[#This Row],[DIAS LAB]]*IMSS[[#This Row],[SDI]]*$Q$117</f>
        <v>602.50684931506851</v>
      </c>
      <c r="T229" s="164">
        <f ca="1">SUM(IMSS[[#This Row],[P RSG TRB]:[P INFONAVIT]])</f>
        <v>2670.7627548493151</v>
      </c>
      <c r="U229" s="163">
        <f ca="1">IMSS[[#This Row],[DIAS LAB]]*IMSS[[#This Row],[SDI]]*IMSS[[#This Row],[% RSG]]*$R$108</f>
        <v>0</v>
      </c>
      <c r="V229" s="163">
        <f ca="1">IMSS[[#This Row],[DIAS LAB]]*IMSS[[#This Row],[SDI]]*$R$112</f>
        <v>30.125342465753423</v>
      </c>
      <c r="W229" s="163"/>
      <c r="X229" s="163">
        <f ca="1">IMSS[[#This Row],[DIAS LAB]]*IMSS[[#This Row],[SDI]]*$R$113</f>
        <v>75.915863013698626</v>
      </c>
      <c r="Y229" s="163">
        <f ca="1">IMSS[[#This Row],[DIAS LAB]]*IMSS[[#This Row],[SDI]]*$R$114</f>
        <v>0</v>
      </c>
      <c r="Z229" s="163">
        <f ca="1">IMSS[[#This Row],[DIAS LAB]]*IMSS[[#This Row],[SDI]]*$R$115</f>
        <v>0</v>
      </c>
      <c r="AA229" s="163">
        <f ca="1">IMSS[[#This Row],[DIAS LAB]]*IMSS[[#This Row],[SDI]]*$R$116</f>
        <v>136.16654794520548</v>
      </c>
      <c r="AB229" s="163">
        <f ca="1">IMSS[[#This Row],[DIAS LAB]]*IMSS[[#This Row],[SDI]]*$R$117</f>
        <v>0</v>
      </c>
      <c r="AC229" s="247">
        <f ca="1">SUM(IMSS[[#This Row],[O RSG TRB]:[O INFONAVIT]])</f>
        <v>242.20775342465754</v>
      </c>
      <c r="AD229" s="163"/>
      <c r="AE229" s="165">
        <f ca="1">IMSS[[#This Row],[P TOTAL]]+IMSS[[#This Row],[O TOTAL]]</f>
        <v>2912.9705082739729</v>
      </c>
      <c r="AF229" s="163"/>
      <c r="AG229" s="163">
        <f>VLOOKUP(IMSS[[#This Row],[SUE MENS]],$AG$110:$AJ$120,1,1)</f>
        <v>9614.67</v>
      </c>
      <c r="AH229" s="163">
        <f>IMSS[[#This Row],[SUE MENS]]-IMSS[[#This Row],[LIM INF]]</f>
        <v>1245.33</v>
      </c>
      <c r="AI229" s="163">
        <f>IMSS[[#This Row],[EXC LIM INF]]*(VLOOKUP(IMSS[[#This Row],[LIM INF]],$AG$110:$AJ$120,4,0))</f>
        <v>199.25279999999998</v>
      </c>
      <c r="AJ229" s="163">
        <f>VLOOKUP(IMSS[[#This Row],[LIM INF]],$AG$110:$AJ$120,3)</f>
        <v>772.1</v>
      </c>
      <c r="AK229" s="163">
        <f>SUM(IMSS[[#This Row],[TASA EXC]]+IMSS[[#This Row],[CUOTA FIJA]])</f>
        <v>971.3528</v>
      </c>
      <c r="AL229" s="163">
        <f>VLOOKUP(IMSS[[#This Row],[SUE MENS]],$AL$110:$AN$120,3,1)</f>
        <v>0</v>
      </c>
      <c r="AM229" s="248">
        <f>IF(IMSS[[#This Row],[ISR CARGO]]-IMSS[[#This Row],[SUBS ISR]]&gt;0,IMSS[[#This Row],[ISR CARGO]]-IMSS[[#This Row],[SUBS ISR]],0)</f>
        <v>971.3528</v>
      </c>
      <c r="AN229" s="248">
        <f>IF(IMSS[[#This Row],[SUBS ISR]]-IMSS[[#This Row],[ISR CARGO]]&gt;0,IMSS[[#This Row],[SUBS ISR]]-IMSS[[#This Row],[ISR CARGO]],0)</f>
        <v>0</v>
      </c>
    </row>
    <row r="230" spans="3:40" ht="15" hidden="1" customHeight="1" x14ac:dyDescent="0.25">
      <c r="C230" s="243">
        <v>223</v>
      </c>
      <c r="D230" s="167" t="str">
        <f>VLOOKUP(IMSS[[#This Row],[NEM]],BDD[],2,0)</f>
        <v>Hector Bracho Cabrera</v>
      </c>
      <c r="E230" s="167" t="str">
        <f>VLOOKUP(IMSS[[#This Row],[NEM]],BDD[],9,0)</f>
        <v>INST CAMPO</v>
      </c>
      <c r="F230" s="168">
        <v>30</v>
      </c>
      <c r="G230" s="139">
        <f>VLOOKUP(IMSS[[#This Row],[NEM]],BDD[],3,0)</f>
        <v>9450</v>
      </c>
      <c r="H230" s="139">
        <f ca="1">VLOOKUP(IMSS[[#This Row],[NEM]],BDD[],25,0)</f>
        <v>349.52054794520546</v>
      </c>
      <c r="I230" s="143">
        <f>VLOOKUP(IMSS[[#This Row],[DEPT]],$B$3:$G$49,6,0)</f>
        <v>4.6532499999999997E-2</v>
      </c>
      <c r="J230" s="163">
        <f ca="1">IMSS[[#This Row],[DIAS LAB]]*IMSS[[#This Row],[SDI]]*IMSS[[#This Row],[% RSG]]*$Q$108</f>
        <v>487.92194691780821</v>
      </c>
      <c r="K230" s="163">
        <f>IMSS[[#This Row],[DIAS LAB]]*$J$110*$Q$109</f>
        <v>548.47440000000006</v>
      </c>
      <c r="L230" s="166">
        <f ca="1">IMSS[[#This Row],[DIAS LAB]]*IF(IMSS[[#This Row],[SDI]]-$J$113&gt;0,IMSS[[#This Row],[SDI]]-$J$113,0)*$Q$110</f>
        <v>26.617980821917797</v>
      </c>
      <c r="M230" s="166">
        <f ca="1">IMSS[[#This Row],[DIAS LAB]]*IMSS[[#This Row],[SDI]]*$Q$111</f>
        <v>110.09897260273974</v>
      </c>
      <c r="N230" s="163">
        <f ca="1">IMSS[[#This Row],[DIAS LAB]]*IMSS[[#This Row],[SDI]]*$Q$112</f>
        <v>73.399315068493152</v>
      </c>
      <c r="O230" s="166">
        <f ca="1">IMSS[[#This Row],[DIAS LAB]]*IMSS[[#This Row],[SDI]]*$Q$113</f>
        <v>183.4982876712329</v>
      </c>
      <c r="P230" s="163">
        <f ca="1">IMSS[[#This Row],[DIAS LAB]]*IMSS[[#This Row],[SDI]]*$Q$114</f>
        <v>104.85616438356165</v>
      </c>
      <c r="Q230" s="166">
        <f ca="1">IMSS[[#This Row],[DIAS LAB]]*IMSS[[#This Row],[SDI]]*$Q$115</f>
        <v>209.7123287671233</v>
      </c>
      <c r="R230" s="163">
        <f ca="1">IMSS[[#This Row],[DIAS LAB]]*IMSS[[#This Row],[SDI]]*$Q$116</f>
        <v>330.29691780821918</v>
      </c>
      <c r="S230" s="163">
        <f ca="1">IMSS[[#This Row],[DIAS LAB]]*IMSS[[#This Row],[SDI]]*$Q$117</f>
        <v>524.28082191780823</v>
      </c>
      <c r="T230" s="164">
        <f ca="1">SUM(IMSS[[#This Row],[P RSG TRB]:[P INFONAVIT]])</f>
        <v>2599.1571359589047</v>
      </c>
      <c r="U230" s="163">
        <f ca="1">IMSS[[#This Row],[DIAS LAB]]*IMSS[[#This Row],[SDI]]*IMSS[[#This Row],[% RSG]]*$R$108</f>
        <v>0</v>
      </c>
      <c r="V230" s="163">
        <f ca="1">IMSS[[#This Row],[DIAS LAB]]*IMSS[[#This Row],[SDI]]*$R$112</f>
        <v>26.214041095890412</v>
      </c>
      <c r="W230" s="163"/>
      <c r="X230" s="163">
        <f ca="1">IMSS[[#This Row],[DIAS LAB]]*IMSS[[#This Row],[SDI]]*$R$113</f>
        <v>66.059383561643841</v>
      </c>
      <c r="Y230" s="163">
        <f ca="1">IMSS[[#This Row],[DIAS LAB]]*IMSS[[#This Row],[SDI]]*$R$114</f>
        <v>0</v>
      </c>
      <c r="Z230" s="163">
        <f ca="1">IMSS[[#This Row],[DIAS LAB]]*IMSS[[#This Row],[SDI]]*$R$115</f>
        <v>0</v>
      </c>
      <c r="AA230" s="163">
        <f ca="1">IMSS[[#This Row],[DIAS LAB]]*IMSS[[#This Row],[SDI]]*$R$116</f>
        <v>118.48746575342466</v>
      </c>
      <c r="AB230" s="163">
        <f ca="1">IMSS[[#This Row],[DIAS LAB]]*IMSS[[#This Row],[SDI]]*$R$117</f>
        <v>0</v>
      </c>
      <c r="AC230" s="247">
        <f ca="1">SUM(IMSS[[#This Row],[O RSG TRB]:[O INFONAVIT]])</f>
        <v>210.76089041095889</v>
      </c>
      <c r="AD230" s="163"/>
      <c r="AE230" s="165">
        <f ca="1">IMSS[[#This Row],[P TOTAL]]+IMSS[[#This Row],[O TOTAL]]</f>
        <v>2809.9180263698636</v>
      </c>
      <c r="AF230" s="163"/>
      <c r="AG230" s="163">
        <f>VLOOKUP(IMSS[[#This Row],[SUE MENS]],$AG$110:$AJ$120,1,1)</f>
        <v>5470.93</v>
      </c>
      <c r="AH230" s="163">
        <f>IMSS[[#This Row],[SUE MENS]]-IMSS[[#This Row],[LIM INF]]</f>
        <v>3979.0699999999997</v>
      </c>
      <c r="AI230" s="163">
        <f>IMSS[[#This Row],[EXC LIM INF]]*(VLOOKUP(IMSS[[#This Row],[LIM INF]],$AG$110:$AJ$120,4,0))</f>
        <v>432.92281600000001</v>
      </c>
      <c r="AJ230" s="163">
        <f>VLOOKUP(IMSS[[#This Row],[LIM INF]],$AG$110:$AJ$120,3)</f>
        <v>321.26</v>
      </c>
      <c r="AK230" s="163">
        <f>SUM(IMSS[[#This Row],[TASA EXC]]+IMSS[[#This Row],[CUOTA FIJA]])</f>
        <v>754.182816</v>
      </c>
      <c r="AL230" s="163">
        <f>VLOOKUP(IMSS[[#This Row],[SUE MENS]],$AL$110:$AN$120,3,1)</f>
        <v>0</v>
      </c>
      <c r="AM230" s="248">
        <f>IF(IMSS[[#This Row],[ISR CARGO]]-IMSS[[#This Row],[SUBS ISR]]&gt;0,IMSS[[#This Row],[ISR CARGO]]-IMSS[[#This Row],[SUBS ISR]],0)</f>
        <v>754.182816</v>
      </c>
      <c r="AN230" s="248">
        <f>IF(IMSS[[#This Row],[SUBS ISR]]-IMSS[[#This Row],[ISR CARGO]]&gt;0,IMSS[[#This Row],[SUBS ISR]]-IMSS[[#This Row],[ISR CARGO]],0)</f>
        <v>0</v>
      </c>
    </row>
    <row r="231" spans="3:40" ht="15" hidden="1" customHeight="1" x14ac:dyDescent="0.25">
      <c r="C231" s="243">
        <v>225</v>
      </c>
      <c r="D231" s="167" t="str">
        <f>VLOOKUP(IMSS[[#This Row],[NEM]],BDD[],2,0)</f>
        <v>Esmeralda Sanchez Hernandez</v>
      </c>
      <c r="E231" s="167" t="str">
        <f>VLOOKUP(IMSS[[#This Row],[NEM]],BDD[],9,0)</f>
        <v>INST CAMPO</v>
      </c>
      <c r="F231" s="168">
        <v>30</v>
      </c>
      <c r="G231" s="139">
        <f>VLOOKUP(IMSS[[#This Row],[NEM]],BDD[],3,0)</f>
        <v>9450</v>
      </c>
      <c r="H231" s="139">
        <f ca="1">VLOOKUP(IMSS[[#This Row],[NEM]],BDD[],25,0)</f>
        <v>349.52054794520546</v>
      </c>
      <c r="I231" s="143">
        <f>VLOOKUP(IMSS[[#This Row],[DEPT]],$B$3:$G$49,6,0)</f>
        <v>4.6532499999999997E-2</v>
      </c>
      <c r="J231" s="163">
        <f ca="1">IMSS[[#This Row],[DIAS LAB]]*IMSS[[#This Row],[SDI]]*IMSS[[#This Row],[% RSG]]*$Q$108</f>
        <v>487.92194691780821</v>
      </c>
      <c r="K231" s="163">
        <f>IMSS[[#This Row],[DIAS LAB]]*$J$110*$Q$109</f>
        <v>548.47440000000006</v>
      </c>
      <c r="L231" s="166">
        <f ca="1">IMSS[[#This Row],[DIAS LAB]]*IF(IMSS[[#This Row],[SDI]]-$J$113&gt;0,IMSS[[#This Row],[SDI]]-$J$113,0)*$Q$110</f>
        <v>26.617980821917797</v>
      </c>
      <c r="M231" s="166">
        <f ca="1">IMSS[[#This Row],[DIAS LAB]]*IMSS[[#This Row],[SDI]]*$Q$111</f>
        <v>110.09897260273974</v>
      </c>
      <c r="N231" s="163">
        <f ca="1">IMSS[[#This Row],[DIAS LAB]]*IMSS[[#This Row],[SDI]]*$Q$112</f>
        <v>73.399315068493152</v>
      </c>
      <c r="O231" s="166">
        <f ca="1">IMSS[[#This Row],[DIAS LAB]]*IMSS[[#This Row],[SDI]]*$Q$113</f>
        <v>183.4982876712329</v>
      </c>
      <c r="P231" s="163">
        <f ca="1">IMSS[[#This Row],[DIAS LAB]]*IMSS[[#This Row],[SDI]]*$Q$114</f>
        <v>104.85616438356165</v>
      </c>
      <c r="Q231" s="166">
        <f ca="1">IMSS[[#This Row],[DIAS LAB]]*IMSS[[#This Row],[SDI]]*$Q$115</f>
        <v>209.7123287671233</v>
      </c>
      <c r="R231" s="163">
        <f ca="1">IMSS[[#This Row],[DIAS LAB]]*IMSS[[#This Row],[SDI]]*$Q$116</f>
        <v>330.29691780821918</v>
      </c>
      <c r="S231" s="163">
        <f ca="1">IMSS[[#This Row],[DIAS LAB]]*IMSS[[#This Row],[SDI]]*$Q$117</f>
        <v>524.28082191780823</v>
      </c>
      <c r="T231" s="164">
        <f ca="1">SUM(IMSS[[#This Row],[P RSG TRB]:[P INFONAVIT]])</f>
        <v>2599.1571359589047</v>
      </c>
      <c r="U231" s="163">
        <f ca="1">IMSS[[#This Row],[DIAS LAB]]*IMSS[[#This Row],[SDI]]*IMSS[[#This Row],[% RSG]]*$R$108</f>
        <v>0</v>
      </c>
      <c r="V231" s="163">
        <f ca="1">IMSS[[#This Row],[DIAS LAB]]*IMSS[[#This Row],[SDI]]*$R$112</f>
        <v>26.214041095890412</v>
      </c>
      <c r="W231" s="163"/>
      <c r="X231" s="163">
        <f ca="1">IMSS[[#This Row],[DIAS LAB]]*IMSS[[#This Row],[SDI]]*$R$113</f>
        <v>66.059383561643841</v>
      </c>
      <c r="Y231" s="163">
        <f ca="1">IMSS[[#This Row],[DIAS LAB]]*IMSS[[#This Row],[SDI]]*$R$114</f>
        <v>0</v>
      </c>
      <c r="Z231" s="163">
        <f ca="1">IMSS[[#This Row],[DIAS LAB]]*IMSS[[#This Row],[SDI]]*$R$115</f>
        <v>0</v>
      </c>
      <c r="AA231" s="163">
        <f ca="1">IMSS[[#This Row],[DIAS LAB]]*IMSS[[#This Row],[SDI]]*$R$116</f>
        <v>118.48746575342466</v>
      </c>
      <c r="AB231" s="163">
        <f ca="1">IMSS[[#This Row],[DIAS LAB]]*IMSS[[#This Row],[SDI]]*$R$117</f>
        <v>0</v>
      </c>
      <c r="AC231" s="247">
        <f ca="1">SUM(IMSS[[#This Row],[O RSG TRB]:[O INFONAVIT]])</f>
        <v>210.76089041095889</v>
      </c>
      <c r="AD231" s="163"/>
      <c r="AE231" s="165">
        <f ca="1">IMSS[[#This Row],[P TOTAL]]+IMSS[[#This Row],[O TOTAL]]</f>
        <v>2809.9180263698636</v>
      </c>
      <c r="AF231" s="163"/>
      <c r="AG231" s="163">
        <f>VLOOKUP(IMSS[[#This Row],[SUE MENS]],$AG$110:$AJ$120,1,1)</f>
        <v>5470.93</v>
      </c>
      <c r="AH231" s="163">
        <f>IMSS[[#This Row],[SUE MENS]]-IMSS[[#This Row],[LIM INF]]</f>
        <v>3979.0699999999997</v>
      </c>
      <c r="AI231" s="163">
        <f>IMSS[[#This Row],[EXC LIM INF]]*(VLOOKUP(IMSS[[#This Row],[LIM INF]],$AG$110:$AJ$120,4,0))</f>
        <v>432.92281600000001</v>
      </c>
      <c r="AJ231" s="163">
        <f>VLOOKUP(IMSS[[#This Row],[LIM INF]],$AG$110:$AJ$120,3)</f>
        <v>321.26</v>
      </c>
      <c r="AK231" s="163">
        <f>SUM(IMSS[[#This Row],[TASA EXC]]+IMSS[[#This Row],[CUOTA FIJA]])</f>
        <v>754.182816</v>
      </c>
      <c r="AL231" s="163">
        <f>VLOOKUP(IMSS[[#This Row],[SUE MENS]],$AL$110:$AN$120,3,1)</f>
        <v>0</v>
      </c>
      <c r="AM231" s="248">
        <f>IF(IMSS[[#This Row],[ISR CARGO]]-IMSS[[#This Row],[SUBS ISR]]&gt;0,IMSS[[#This Row],[ISR CARGO]]-IMSS[[#This Row],[SUBS ISR]],0)</f>
        <v>754.182816</v>
      </c>
      <c r="AN231" s="248">
        <f>IF(IMSS[[#This Row],[SUBS ISR]]-IMSS[[#This Row],[ISR CARGO]]&gt;0,IMSS[[#This Row],[SUBS ISR]]-IMSS[[#This Row],[ISR CARGO]],0)</f>
        <v>0</v>
      </c>
    </row>
    <row r="232" spans="3:40" ht="15" hidden="1" customHeight="1" x14ac:dyDescent="0.25">
      <c r="C232" s="243">
        <v>227</v>
      </c>
      <c r="D232" s="167" t="str">
        <f>VLOOKUP(IMSS[[#This Row],[NEM]],BDD[],2,0)</f>
        <v>Beatriz Adriana Zavaleta Minor</v>
      </c>
      <c r="E232" s="167" t="str">
        <f>VLOOKUP(IMSS[[#This Row],[NEM]],BDD[],9,0)</f>
        <v>CONTA</v>
      </c>
      <c r="F232" s="168">
        <v>30</v>
      </c>
      <c r="G232" s="139">
        <f>VLOOKUP(IMSS[[#This Row],[NEM]],BDD[],3,0)</f>
        <v>10860</v>
      </c>
      <c r="H232" s="139">
        <f ca="1">VLOOKUP(IMSS[[#This Row],[NEM]],BDD[],25,0)</f>
        <v>401.67123287671234</v>
      </c>
      <c r="I232" s="143">
        <f>VLOOKUP(IMSS[[#This Row],[DEPT]],$B$3:$G$49,6,0)</f>
        <v>5.4355000000000002E-3</v>
      </c>
      <c r="J232" s="163">
        <f ca="1">IMSS[[#This Row],[DIAS LAB]]*IMSS[[#This Row],[SDI]]*IMSS[[#This Row],[% RSG]]*$Q$108</f>
        <v>65.498519589041095</v>
      </c>
      <c r="K232" s="163">
        <f>IMSS[[#This Row],[DIAS LAB]]*$J$110*$Q$109</f>
        <v>548.47440000000006</v>
      </c>
      <c r="L232" s="166">
        <f ca="1">IMSS[[#This Row],[DIAS LAB]]*IF(IMSS[[#This Row],[SDI]]-$J$113&gt;0,IMSS[[#This Row],[SDI]]-$J$113,0)*$Q$110</f>
        <v>43.827706849315064</v>
      </c>
      <c r="M232" s="166">
        <f ca="1">IMSS[[#This Row],[DIAS LAB]]*IMSS[[#This Row],[SDI]]*$Q$111</f>
        <v>126.52643835616439</v>
      </c>
      <c r="N232" s="163">
        <f ca="1">IMSS[[#This Row],[DIAS LAB]]*IMSS[[#This Row],[SDI]]*$Q$112</f>
        <v>84.350958904109589</v>
      </c>
      <c r="O232" s="166">
        <f ca="1">IMSS[[#This Row],[DIAS LAB]]*IMSS[[#This Row],[SDI]]*$Q$113</f>
        <v>210.87739726027399</v>
      </c>
      <c r="P232" s="163">
        <f ca="1">IMSS[[#This Row],[DIAS LAB]]*IMSS[[#This Row],[SDI]]*$Q$114</f>
        <v>120.50136986301369</v>
      </c>
      <c r="Q232" s="166">
        <f ca="1">IMSS[[#This Row],[DIAS LAB]]*IMSS[[#This Row],[SDI]]*$Q$115</f>
        <v>241.00273972602739</v>
      </c>
      <c r="R232" s="163">
        <f ca="1">IMSS[[#This Row],[DIAS LAB]]*IMSS[[#This Row],[SDI]]*$Q$116</f>
        <v>379.57931506849314</v>
      </c>
      <c r="S232" s="163">
        <f ca="1">IMSS[[#This Row],[DIAS LAB]]*IMSS[[#This Row],[SDI]]*$Q$117</f>
        <v>602.50684931506851</v>
      </c>
      <c r="T232" s="164">
        <f ca="1">SUM(IMSS[[#This Row],[P RSG TRB]:[P INFONAVIT]])</f>
        <v>2423.1456949315066</v>
      </c>
      <c r="U232" s="163">
        <f ca="1">IMSS[[#This Row],[DIAS LAB]]*IMSS[[#This Row],[SDI]]*IMSS[[#This Row],[% RSG]]*$R$108</f>
        <v>0</v>
      </c>
      <c r="V232" s="163">
        <f ca="1">IMSS[[#This Row],[DIAS LAB]]*IMSS[[#This Row],[SDI]]*$R$112</f>
        <v>30.125342465753423</v>
      </c>
      <c r="W232" s="163"/>
      <c r="X232" s="163">
        <f ca="1">IMSS[[#This Row],[DIAS LAB]]*IMSS[[#This Row],[SDI]]*$R$113</f>
        <v>75.915863013698626</v>
      </c>
      <c r="Y232" s="163">
        <f ca="1">IMSS[[#This Row],[DIAS LAB]]*IMSS[[#This Row],[SDI]]*$R$114</f>
        <v>0</v>
      </c>
      <c r="Z232" s="163">
        <f ca="1">IMSS[[#This Row],[DIAS LAB]]*IMSS[[#This Row],[SDI]]*$R$115</f>
        <v>0</v>
      </c>
      <c r="AA232" s="163">
        <f ca="1">IMSS[[#This Row],[DIAS LAB]]*IMSS[[#This Row],[SDI]]*$R$116</f>
        <v>136.16654794520548</v>
      </c>
      <c r="AB232" s="163">
        <f ca="1">IMSS[[#This Row],[DIAS LAB]]*IMSS[[#This Row],[SDI]]*$R$117</f>
        <v>0</v>
      </c>
      <c r="AC232" s="247">
        <f ca="1">SUM(IMSS[[#This Row],[O RSG TRB]:[O INFONAVIT]])</f>
        <v>242.20775342465754</v>
      </c>
      <c r="AD232" s="163"/>
      <c r="AE232" s="165">
        <f ca="1">IMSS[[#This Row],[P TOTAL]]+IMSS[[#This Row],[O TOTAL]]</f>
        <v>2665.3534483561643</v>
      </c>
      <c r="AF232" s="163"/>
      <c r="AG232" s="163">
        <f>VLOOKUP(IMSS[[#This Row],[SUE MENS]],$AG$110:$AJ$120,1,1)</f>
        <v>9614.67</v>
      </c>
      <c r="AH232" s="163">
        <f>IMSS[[#This Row],[SUE MENS]]-IMSS[[#This Row],[LIM INF]]</f>
        <v>1245.33</v>
      </c>
      <c r="AI232" s="163">
        <f>IMSS[[#This Row],[EXC LIM INF]]*(VLOOKUP(IMSS[[#This Row],[LIM INF]],$AG$110:$AJ$120,4,0))</f>
        <v>199.25279999999998</v>
      </c>
      <c r="AJ232" s="163">
        <f>VLOOKUP(IMSS[[#This Row],[LIM INF]],$AG$110:$AJ$120,3)</f>
        <v>772.1</v>
      </c>
      <c r="AK232" s="163">
        <f>SUM(IMSS[[#This Row],[TASA EXC]]+IMSS[[#This Row],[CUOTA FIJA]])</f>
        <v>971.3528</v>
      </c>
      <c r="AL232" s="163">
        <f>VLOOKUP(IMSS[[#This Row],[SUE MENS]],$AL$110:$AN$120,3,1)</f>
        <v>0</v>
      </c>
      <c r="AM232" s="248">
        <f>IF(IMSS[[#This Row],[ISR CARGO]]-IMSS[[#This Row],[SUBS ISR]]&gt;0,IMSS[[#This Row],[ISR CARGO]]-IMSS[[#This Row],[SUBS ISR]],0)</f>
        <v>971.3528</v>
      </c>
      <c r="AN232" s="248">
        <f>IF(IMSS[[#This Row],[SUBS ISR]]-IMSS[[#This Row],[ISR CARGO]]&gt;0,IMSS[[#This Row],[SUBS ISR]]-IMSS[[#This Row],[ISR CARGO]],0)</f>
        <v>0</v>
      </c>
    </row>
    <row r="233" spans="3:40" ht="15" hidden="1" customHeight="1" x14ac:dyDescent="0.25">
      <c r="C233" s="243">
        <v>228</v>
      </c>
      <c r="D233" s="167" t="str">
        <f>VLOOKUP(IMSS[[#This Row],[NEM]],BDD[],2,0)</f>
        <v>Angela Yazmin Olivares Rivera</v>
      </c>
      <c r="E233" s="167" t="str">
        <f>VLOOKUP(IMSS[[#This Row],[NEM]],BDD[],9,0)</f>
        <v>SOLUCIONES</v>
      </c>
      <c r="F233" s="168">
        <v>30</v>
      </c>
      <c r="G233" s="139">
        <f>VLOOKUP(IMSS[[#This Row],[NEM]],BDD[],3,0)</f>
        <v>9450</v>
      </c>
      <c r="H233" s="139">
        <f ca="1">VLOOKUP(IMSS[[#This Row],[NEM]],BDD[],25,0)</f>
        <v>349.52054794520546</v>
      </c>
      <c r="I233" s="143">
        <f>VLOOKUP(IMSS[[#This Row],[DEPT]],$B$3:$G$49,6,0)</f>
        <v>5.4355000000000002E-3</v>
      </c>
      <c r="J233" s="163">
        <f ca="1">IMSS[[#This Row],[DIAS LAB]]*IMSS[[#This Row],[SDI]]*IMSS[[#This Row],[% RSG]]*$Q$108</f>
        <v>56.994568150684934</v>
      </c>
      <c r="K233" s="163">
        <f>IMSS[[#This Row],[DIAS LAB]]*$J$110*$Q$109</f>
        <v>548.47440000000006</v>
      </c>
      <c r="L233" s="166">
        <f ca="1">IMSS[[#This Row],[DIAS LAB]]*IF(IMSS[[#This Row],[SDI]]-$J$113&gt;0,IMSS[[#This Row],[SDI]]-$J$113,0)*$Q$110</f>
        <v>26.617980821917797</v>
      </c>
      <c r="M233" s="166">
        <f ca="1">IMSS[[#This Row],[DIAS LAB]]*IMSS[[#This Row],[SDI]]*$Q$111</f>
        <v>110.09897260273974</v>
      </c>
      <c r="N233" s="163">
        <f ca="1">IMSS[[#This Row],[DIAS LAB]]*IMSS[[#This Row],[SDI]]*$Q$112</f>
        <v>73.399315068493152</v>
      </c>
      <c r="O233" s="166">
        <f ca="1">IMSS[[#This Row],[DIAS LAB]]*IMSS[[#This Row],[SDI]]*$Q$113</f>
        <v>183.4982876712329</v>
      </c>
      <c r="P233" s="163">
        <f ca="1">IMSS[[#This Row],[DIAS LAB]]*IMSS[[#This Row],[SDI]]*$Q$114</f>
        <v>104.85616438356165</v>
      </c>
      <c r="Q233" s="166">
        <f ca="1">IMSS[[#This Row],[DIAS LAB]]*IMSS[[#This Row],[SDI]]*$Q$115</f>
        <v>209.7123287671233</v>
      </c>
      <c r="R233" s="163">
        <f ca="1">IMSS[[#This Row],[DIAS LAB]]*IMSS[[#This Row],[SDI]]*$Q$116</f>
        <v>330.29691780821918</v>
      </c>
      <c r="S233" s="163">
        <f ca="1">IMSS[[#This Row],[DIAS LAB]]*IMSS[[#This Row],[SDI]]*$Q$117</f>
        <v>524.28082191780823</v>
      </c>
      <c r="T233" s="164">
        <f ca="1">SUM(IMSS[[#This Row],[P RSG TRB]:[P INFONAVIT]])</f>
        <v>2168.2297571917811</v>
      </c>
      <c r="U233" s="163">
        <f ca="1">IMSS[[#This Row],[DIAS LAB]]*IMSS[[#This Row],[SDI]]*IMSS[[#This Row],[% RSG]]*$R$108</f>
        <v>0</v>
      </c>
      <c r="V233" s="163">
        <f ca="1">IMSS[[#This Row],[DIAS LAB]]*IMSS[[#This Row],[SDI]]*$R$112</f>
        <v>26.214041095890412</v>
      </c>
      <c r="W233" s="163"/>
      <c r="X233" s="163">
        <f ca="1">IMSS[[#This Row],[DIAS LAB]]*IMSS[[#This Row],[SDI]]*$R$113</f>
        <v>66.059383561643841</v>
      </c>
      <c r="Y233" s="163">
        <f ca="1">IMSS[[#This Row],[DIAS LAB]]*IMSS[[#This Row],[SDI]]*$R$114</f>
        <v>0</v>
      </c>
      <c r="Z233" s="163">
        <f ca="1">IMSS[[#This Row],[DIAS LAB]]*IMSS[[#This Row],[SDI]]*$R$115</f>
        <v>0</v>
      </c>
      <c r="AA233" s="163">
        <f ca="1">IMSS[[#This Row],[DIAS LAB]]*IMSS[[#This Row],[SDI]]*$R$116</f>
        <v>118.48746575342466</v>
      </c>
      <c r="AB233" s="163">
        <f ca="1">IMSS[[#This Row],[DIAS LAB]]*IMSS[[#This Row],[SDI]]*$R$117</f>
        <v>0</v>
      </c>
      <c r="AC233" s="247">
        <f ca="1">SUM(IMSS[[#This Row],[O RSG TRB]:[O INFONAVIT]])</f>
        <v>210.76089041095889</v>
      </c>
      <c r="AD233" s="163"/>
      <c r="AE233" s="165">
        <f ca="1">IMSS[[#This Row],[P TOTAL]]+IMSS[[#This Row],[O TOTAL]]</f>
        <v>2378.99064760274</v>
      </c>
      <c r="AF233" s="163"/>
      <c r="AG233" s="163">
        <f>VLOOKUP(IMSS[[#This Row],[SUE MENS]],$AG$110:$AJ$120,1,1)</f>
        <v>5470.93</v>
      </c>
      <c r="AH233" s="163">
        <f>IMSS[[#This Row],[SUE MENS]]-IMSS[[#This Row],[LIM INF]]</f>
        <v>3979.0699999999997</v>
      </c>
      <c r="AI233" s="163">
        <f>IMSS[[#This Row],[EXC LIM INF]]*(VLOOKUP(IMSS[[#This Row],[LIM INF]],$AG$110:$AJ$120,4,0))</f>
        <v>432.92281600000001</v>
      </c>
      <c r="AJ233" s="163">
        <f>VLOOKUP(IMSS[[#This Row],[LIM INF]],$AG$110:$AJ$120,3)</f>
        <v>321.26</v>
      </c>
      <c r="AK233" s="163">
        <f>SUM(IMSS[[#This Row],[TASA EXC]]+IMSS[[#This Row],[CUOTA FIJA]])</f>
        <v>754.182816</v>
      </c>
      <c r="AL233" s="163">
        <f>VLOOKUP(IMSS[[#This Row],[SUE MENS]],$AL$110:$AN$120,3,1)</f>
        <v>0</v>
      </c>
      <c r="AM233" s="248">
        <f>IF(IMSS[[#This Row],[ISR CARGO]]-IMSS[[#This Row],[SUBS ISR]]&gt;0,IMSS[[#This Row],[ISR CARGO]]-IMSS[[#This Row],[SUBS ISR]],0)</f>
        <v>754.182816</v>
      </c>
      <c r="AN233" s="248">
        <f>IF(IMSS[[#This Row],[SUBS ISR]]-IMSS[[#This Row],[ISR CARGO]]&gt;0,IMSS[[#This Row],[SUBS ISR]]-IMSS[[#This Row],[ISR CARGO]],0)</f>
        <v>0</v>
      </c>
    </row>
    <row r="234" spans="3:40" ht="15" hidden="1" customHeight="1" x14ac:dyDescent="0.25">
      <c r="C234" s="243">
        <v>229</v>
      </c>
      <c r="D234" s="167" t="str">
        <f>VLOOKUP(IMSS[[#This Row],[NEM]],BDD[],2,0)</f>
        <v>America Anakaren Coronado Trejo</v>
      </c>
      <c r="E234" s="167" t="str">
        <f>VLOOKUP(IMSS[[#This Row],[NEM]],BDD[],9,0)</f>
        <v>ANLIS COST</v>
      </c>
      <c r="F234" s="168">
        <v>30</v>
      </c>
      <c r="G234" s="139">
        <f>VLOOKUP(IMSS[[#This Row],[NEM]],BDD[],3,0)</f>
        <v>9450</v>
      </c>
      <c r="H234" s="139">
        <f ca="1">VLOOKUP(IMSS[[#This Row],[NEM]],BDD[],25,0)</f>
        <v>349.52054794520546</v>
      </c>
      <c r="I234" s="143">
        <f>VLOOKUP(IMSS[[#This Row],[DEPT]],$B$3:$G$49,6,0)</f>
        <v>1.130658E-2</v>
      </c>
      <c r="J234" s="163">
        <f ca="1">IMSS[[#This Row],[DIAS LAB]]*IMSS[[#This Row],[SDI]]*IMSS[[#This Row],[% RSG]]*$Q$108</f>
        <v>118.55646110958904</v>
      </c>
      <c r="K234" s="163">
        <f>IMSS[[#This Row],[DIAS LAB]]*$J$110*$Q$109</f>
        <v>548.47440000000006</v>
      </c>
      <c r="L234" s="166">
        <f ca="1">IMSS[[#This Row],[DIAS LAB]]*IF(IMSS[[#This Row],[SDI]]-$J$113&gt;0,IMSS[[#This Row],[SDI]]-$J$113,0)*$Q$110</f>
        <v>26.617980821917797</v>
      </c>
      <c r="M234" s="166">
        <f ca="1">IMSS[[#This Row],[DIAS LAB]]*IMSS[[#This Row],[SDI]]*$Q$111</f>
        <v>110.09897260273974</v>
      </c>
      <c r="N234" s="163">
        <f ca="1">IMSS[[#This Row],[DIAS LAB]]*IMSS[[#This Row],[SDI]]*$Q$112</f>
        <v>73.399315068493152</v>
      </c>
      <c r="O234" s="166">
        <f ca="1">IMSS[[#This Row],[DIAS LAB]]*IMSS[[#This Row],[SDI]]*$Q$113</f>
        <v>183.4982876712329</v>
      </c>
      <c r="P234" s="163">
        <f ca="1">IMSS[[#This Row],[DIAS LAB]]*IMSS[[#This Row],[SDI]]*$Q$114</f>
        <v>104.85616438356165</v>
      </c>
      <c r="Q234" s="166">
        <f ca="1">IMSS[[#This Row],[DIAS LAB]]*IMSS[[#This Row],[SDI]]*$Q$115</f>
        <v>209.7123287671233</v>
      </c>
      <c r="R234" s="163">
        <f ca="1">IMSS[[#This Row],[DIAS LAB]]*IMSS[[#This Row],[SDI]]*$Q$116</f>
        <v>330.29691780821918</v>
      </c>
      <c r="S234" s="163">
        <f ca="1">IMSS[[#This Row],[DIAS LAB]]*IMSS[[#This Row],[SDI]]*$Q$117</f>
        <v>524.28082191780823</v>
      </c>
      <c r="T234" s="164">
        <f ca="1">SUM(IMSS[[#This Row],[P RSG TRB]:[P INFONAVIT]])</f>
        <v>2229.7916501506852</v>
      </c>
      <c r="U234" s="163">
        <f ca="1">IMSS[[#This Row],[DIAS LAB]]*IMSS[[#This Row],[SDI]]*IMSS[[#This Row],[% RSG]]*$R$108</f>
        <v>0</v>
      </c>
      <c r="V234" s="163">
        <f ca="1">IMSS[[#This Row],[DIAS LAB]]*IMSS[[#This Row],[SDI]]*$R$112</f>
        <v>26.214041095890412</v>
      </c>
      <c r="W234" s="163"/>
      <c r="X234" s="163">
        <f ca="1">IMSS[[#This Row],[DIAS LAB]]*IMSS[[#This Row],[SDI]]*$R$113</f>
        <v>66.059383561643841</v>
      </c>
      <c r="Y234" s="163">
        <f ca="1">IMSS[[#This Row],[DIAS LAB]]*IMSS[[#This Row],[SDI]]*$R$114</f>
        <v>0</v>
      </c>
      <c r="Z234" s="163">
        <f ca="1">IMSS[[#This Row],[DIAS LAB]]*IMSS[[#This Row],[SDI]]*$R$115</f>
        <v>0</v>
      </c>
      <c r="AA234" s="163">
        <f ca="1">IMSS[[#This Row],[DIAS LAB]]*IMSS[[#This Row],[SDI]]*$R$116</f>
        <v>118.48746575342466</v>
      </c>
      <c r="AB234" s="163">
        <f ca="1">IMSS[[#This Row],[DIAS LAB]]*IMSS[[#This Row],[SDI]]*$R$117</f>
        <v>0</v>
      </c>
      <c r="AC234" s="247">
        <f ca="1">SUM(IMSS[[#This Row],[O RSG TRB]:[O INFONAVIT]])</f>
        <v>210.76089041095889</v>
      </c>
      <c r="AD234" s="163"/>
      <c r="AE234" s="165">
        <f ca="1">IMSS[[#This Row],[P TOTAL]]+IMSS[[#This Row],[O TOTAL]]</f>
        <v>2440.552540561644</v>
      </c>
      <c r="AF234" s="163"/>
      <c r="AG234" s="163">
        <f>VLOOKUP(IMSS[[#This Row],[SUE MENS]],$AG$110:$AJ$120,1,1)</f>
        <v>5470.93</v>
      </c>
      <c r="AH234" s="163">
        <f>IMSS[[#This Row],[SUE MENS]]-IMSS[[#This Row],[LIM INF]]</f>
        <v>3979.0699999999997</v>
      </c>
      <c r="AI234" s="163">
        <f>IMSS[[#This Row],[EXC LIM INF]]*(VLOOKUP(IMSS[[#This Row],[LIM INF]],$AG$110:$AJ$120,4,0))</f>
        <v>432.92281600000001</v>
      </c>
      <c r="AJ234" s="163">
        <f>VLOOKUP(IMSS[[#This Row],[LIM INF]],$AG$110:$AJ$120,3)</f>
        <v>321.26</v>
      </c>
      <c r="AK234" s="163">
        <f>SUM(IMSS[[#This Row],[TASA EXC]]+IMSS[[#This Row],[CUOTA FIJA]])</f>
        <v>754.182816</v>
      </c>
      <c r="AL234" s="163">
        <f>VLOOKUP(IMSS[[#This Row],[SUE MENS]],$AL$110:$AN$120,3,1)</f>
        <v>0</v>
      </c>
      <c r="AM234" s="248">
        <f>IF(IMSS[[#This Row],[ISR CARGO]]-IMSS[[#This Row],[SUBS ISR]]&gt;0,IMSS[[#This Row],[ISR CARGO]]-IMSS[[#This Row],[SUBS ISR]],0)</f>
        <v>754.182816</v>
      </c>
      <c r="AN234" s="248">
        <f>IF(IMSS[[#This Row],[SUBS ISR]]-IMSS[[#This Row],[ISR CARGO]]&gt;0,IMSS[[#This Row],[SUBS ISR]]-IMSS[[#This Row],[ISR CARGO]],0)</f>
        <v>0</v>
      </c>
    </row>
    <row r="235" spans="3:40" ht="15" hidden="1" customHeight="1" x14ac:dyDescent="0.25">
      <c r="C235" s="243">
        <v>231</v>
      </c>
      <c r="D235" s="167" t="str">
        <f>VLOOKUP(IMSS[[#This Row],[NEM]],BDD[],2,0)</f>
        <v>Luz Adriana Valenzo Lozano</v>
      </c>
      <c r="E235" s="167" t="str">
        <f>VLOOKUP(IMSS[[#This Row],[NEM]],BDD[],9,0)</f>
        <v>FACTURAS</v>
      </c>
      <c r="F235" s="168">
        <v>30</v>
      </c>
      <c r="G235" s="139">
        <f>VLOOKUP(IMSS[[#This Row],[NEM]],BDD[],3,0)</f>
        <v>9541</v>
      </c>
      <c r="H235" s="139">
        <f ca="1">VLOOKUP(IMSS[[#This Row],[NEM]],BDD[],25,0)</f>
        <v>352.88630136986302</v>
      </c>
      <c r="I235" s="143">
        <f>VLOOKUP(IMSS[[#This Row],[DEPT]],$B$3:$G$49,6,0)</f>
        <v>5.4355000000000002E-3</v>
      </c>
      <c r="J235" s="163">
        <f ca="1">IMSS[[#This Row],[DIAS LAB]]*IMSS[[#This Row],[SDI]]*IMSS[[#This Row],[% RSG]]*$Q$108</f>
        <v>57.543404732876716</v>
      </c>
      <c r="K235" s="163">
        <f>IMSS[[#This Row],[DIAS LAB]]*$J$110*$Q$109</f>
        <v>548.47440000000006</v>
      </c>
      <c r="L235" s="166">
        <f ca="1">IMSS[[#This Row],[DIAS LAB]]*IF(IMSS[[#This Row],[SDI]]-$J$113&gt;0,IMSS[[#This Row],[SDI]]-$J$113,0)*$Q$110</f>
        <v>27.728679452054791</v>
      </c>
      <c r="M235" s="166">
        <f ca="1">IMSS[[#This Row],[DIAS LAB]]*IMSS[[#This Row],[SDI]]*$Q$111</f>
        <v>111.15918493150686</v>
      </c>
      <c r="N235" s="163">
        <f ca="1">IMSS[[#This Row],[DIAS LAB]]*IMSS[[#This Row],[SDI]]*$Q$112</f>
        <v>74.106123287671238</v>
      </c>
      <c r="O235" s="166">
        <f ca="1">IMSS[[#This Row],[DIAS LAB]]*IMSS[[#This Row],[SDI]]*$Q$113</f>
        <v>185.26530821917811</v>
      </c>
      <c r="P235" s="163">
        <f ca="1">IMSS[[#This Row],[DIAS LAB]]*IMSS[[#This Row],[SDI]]*$Q$114</f>
        <v>105.86589041095891</v>
      </c>
      <c r="Q235" s="166">
        <f ca="1">IMSS[[#This Row],[DIAS LAB]]*IMSS[[#This Row],[SDI]]*$Q$115</f>
        <v>211.73178082191782</v>
      </c>
      <c r="R235" s="163">
        <f ca="1">IMSS[[#This Row],[DIAS LAB]]*IMSS[[#This Row],[SDI]]*$Q$116</f>
        <v>333.47755479452059</v>
      </c>
      <c r="S235" s="163">
        <f ca="1">IMSS[[#This Row],[DIAS LAB]]*IMSS[[#This Row],[SDI]]*$Q$117</f>
        <v>529.32945205479461</v>
      </c>
      <c r="T235" s="164">
        <f ca="1">SUM(IMSS[[#This Row],[P RSG TRB]:[P INFONAVIT]])</f>
        <v>2184.6817787054797</v>
      </c>
      <c r="U235" s="163">
        <f ca="1">IMSS[[#This Row],[DIAS LAB]]*IMSS[[#This Row],[SDI]]*IMSS[[#This Row],[% RSG]]*$R$108</f>
        <v>0</v>
      </c>
      <c r="V235" s="163">
        <f ca="1">IMSS[[#This Row],[DIAS LAB]]*IMSS[[#This Row],[SDI]]*$R$112</f>
        <v>26.466472602739728</v>
      </c>
      <c r="W235" s="163"/>
      <c r="X235" s="163">
        <f ca="1">IMSS[[#This Row],[DIAS LAB]]*IMSS[[#This Row],[SDI]]*$R$113</f>
        <v>66.695510958904109</v>
      </c>
      <c r="Y235" s="163">
        <f ca="1">IMSS[[#This Row],[DIAS LAB]]*IMSS[[#This Row],[SDI]]*$R$114</f>
        <v>0</v>
      </c>
      <c r="Z235" s="163">
        <f ca="1">IMSS[[#This Row],[DIAS LAB]]*IMSS[[#This Row],[SDI]]*$R$115</f>
        <v>0</v>
      </c>
      <c r="AA235" s="163">
        <f ca="1">IMSS[[#This Row],[DIAS LAB]]*IMSS[[#This Row],[SDI]]*$R$116</f>
        <v>119.62845616438356</v>
      </c>
      <c r="AB235" s="163">
        <f ca="1">IMSS[[#This Row],[DIAS LAB]]*IMSS[[#This Row],[SDI]]*$R$117</f>
        <v>0</v>
      </c>
      <c r="AC235" s="247">
        <f ca="1">SUM(IMSS[[#This Row],[O RSG TRB]:[O INFONAVIT]])</f>
        <v>212.79043972602739</v>
      </c>
      <c r="AD235" s="163"/>
      <c r="AE235" s="165">
        <f ca="1">IMSS[[#This Row],[P TOTAL]]+IMSS[[#This Row],[O TOTAL]]</f>
        <v>2397.4722184315069</v>
      </c>
      <c r="AF235" s="163"/>
      <c r="AG235" s="163">
        <f>VLOOKUP(IMSS[[#This Row],[SUE MENS]],$AG$110:$AJ$120,1,1)</f>
        <v>5470.93</v>
      </c>
      <c r="AH235" s="163">
        <f>IMSS[[#This Row],[SUE MENS]]-IMSS[[#This Row],[LIM INF]]</f>
        <v>4070.0699999999997</v>
      </c>
      <c r="AI235" s="163">
        <f>IMSS[[#This Row],[EXC LIM INF]]*(VLOOKUP(IMSS[[#This Row],[LIM INF]],$AG$110:$AJ$120,4,0))</f>
        <v>442.82361600000002</v>
      </c>
      <c r="AJ235" s="163">
        <f>VLOOKUP(IMSS[[#This Row],[LIM INF]],$AG$110:$AJ$120,3)</f>
        <v>321.26</v>
      </c>
      <c r="AK235" s="163">
        <f>SUM(IMSS[[#This Row],[TASA EXC]]+IMSS[[#This Row],[CUOTA FIJA]])</f>
        <v>764.08361600000001</v>
      </c>
      <c r="AL235" s="163">
        <f>VLOOKUP(IMSS[[#This Row],[SUE MENS]],$AL$110:$AN$120,3,1)</f>
        <v>0</v>
      </c>
      <c r="AM235" s="248">
        <f>IF(IMSS[[#This Row],[ISR CARGO]]-IMSS[[#This Row],[SUBS ISR]]&gt;0,IMSS[[#This Row],[ISR CARGO]]-IMSS[[#This Row],[SUBS ISR]],0)</f>
        <v>764.08361600000001</v>
      </c>
      <c r="AN235" s="248">
        <f>IF(IMSS[[#This Row],[SUBS ISR]]-IMSS[[#This Row],[ISR CARGO]]&gt;0,IMSS[[#This Row],[SUBS ISR]]-IMSS[[#This Row],[ISR CARGO]],0)</f>
        <v>0</v>
      </c>
    </row>
    <row r="236" spans="3:40" ht="15" hidden="1" customHeight="1" x14ac:dyDescent="0.25">
      <c r="C236" s="243">
        <v>232</v>
      </c>
      <c r="D236" s="167" t="str">
        <f>VLOOKUP(IMSS[[#This Row],[NEM]],BDD[],2,0)</f>
        <v>Karla Odalia Mejia Altamirano</v>
      </c>
      <c r="E236" s="167" t="str">
        <f>VLOOKUP(IMSS[[#This Row],[NEM]],BDD[],9,0)</f>
        <v>RENDER</v>
      </c>
      <c r="F236" s="168">
        <v>30</v>
      </c>
      <c r="G236" s="139">
        <f>VLOOKUP(IMSS[[#This Row],[NEM]],BDD[],3,0)</f>
        <v>7445</v>
      </c>
      <c r="H236" s="139">
        <f ca="1">VLOOKUP(IMSS[[#This Row],[NEM]],BDD[],25,0)</f>
        <v>275.36301369863014</v>
      </c>
      <c r="I236" s="143">
        <f>VLOOKUP(IMSS[[#This Row],[DEPT]],$B$3:$G$49,6,0)</f>
        <v>2.5984400000000001E-2</v>
      </c>
      <c r="J236" s="163">
        <f ca="1">IMSS[[#This Row],[DIAS LAB]]*IMSS[[#This Row],[SDI]]*IMSS[[#This Row],[% RSG]]*$Q$108</f>
        <v>214.65428079452056</v>
      </c>
      <c r="K236" s="163">
        <f>IMSS[[#This Row],[DIAS LAB]]*$J$110*$Q$109</f>
        <v>548.47440000000006</v>
      </c>
      <c r="L236" s="166">
        <f ca="1">IMSS[[#This Row],[DIAS LAB]]*IF(IMSS[[#This Row],[SDI]]-$J$113&gt;0,IMSS[[#This Row],[SDI]]-$J$113,0)*$Q$110</f>
        <v>2.145994520547942</v>
      </c>
      <c r="M236" s="166">
        <f ca="1">IMSS[[#This Row],[DIAS LAB]]*IMSS[[#This Row],[SDI]]*$Q$111</f>
        <v>86.739349315068495</v>
      </c>
      <c r="N236" s="163">
        <f ca="1">IMSS[[#This Row],[DIAS LAB]]*IMSS[[#This Row],[SDI]]*$Q$112</f>
        <v>57.826232876712325</v>
      </c>
      <c r="O236" s="166">
        <f ca="1">IMSS[[#This Row],[DIAS LAB]]*IMSS[[#This Row],[SDI]]*$Q$113</f>
        <v>144.56558219178083</v>
      </c>
      <c r="P236" s="163">
        <f ca="1">IMSS[[#This Row],[DIAS LAB]]*IMSS[[#This Row],[SDI]]*$Q$114</f>
        <v>82.608904109589034</v>
      </c>
      <c r="Q236" s="166">
        <f ca="1">IMSS[[#This Row],[DIAS LAB]]*IMSS[[#This Row],[SDI]]*$Q$115</f>
        <v>165.21780821917807</v>
      </c>
      <c r="R236" s="163">
        <f ca="1">IMSS[[#This Row],[DIAS LAB]]*IMSS[[#This Row],[SDI]]*$Q$116</f>
        <v>260.21804794520546</v>
      </c>
      <c r="S236" s="163">
        <f ca="1">IMSS[[#This Row],[DIAS LAB]]*IMSS[[#This Row],[SDI]]*$Q$117</f>
        <v>413.04452054794524</v>
      </c>
      <c r="T236" s="164">
        <f ca="1">SUM(IMSS[[#This Row],[P RSG TRB]:[P INFONAVIT]])</f>
        <v>1975.495120520548</v>
      </c>
      <c r="U236" s="163">
        <f ca="1">IMSS[[#This Row],[DIAS LAB]]*IMSS[[#This Row],[SDI]]*IMSS[[#This Row],[% RSG]]*$R$108</f>
        <v>0</v>
      </c>
      <c r="V236" s="163">
        <f ca="1">IMSS[[#This Row],[DIAS LAB]]*IMSS[[#This Row],[SDI]]*$R$112</f>
        <v>20.652226027397258</v>
      </c>
      <c r="W236" s="163"/>
      <c r="X236" s="163">
        <f ca="1">IMSS[[#This Row],[DIAS LAB]]*IMSS[[#This Row],[SDI]]*$R$113</f>
        <v>52.043609589041097</v>
      </c>
      <c r="Y236" s="163">
        <f ca="1">IMSS[[#This Row],[DIAS LAB]]*IMSS[[#This Row],[SDI]]*$R$114</f>
        <v>0</v>
      </c>
      <c r="Z236" s="163">
        <f ca="1">IMSS[[#This Row],[DIAS LAB]]*IMSS[[#This Row],[SDI]]*$R$115</f>
        <v>0</v>
      </c>
      <c r="AA236" s="163">
        <f ca="1">IMSS[[#This Row],[DIAS LAB]]*IMSS[[#This Row],[SDI]]*$R$116</f>
        <v>93.348061643835607</v>
      </c>
      <c r="AB236" s="163">
        <f ca="1">IMSS[[#This Row],[DIAS LAB]]*IMSS[[#This Row],[SDI]]*$R$117</f>
        <v>0</v>
      </c>
      <c r="AC236" s="247">
        <f ca="1">SUM(IMSS[[#This Row],[O RSG TRB]:[O INFONAVIT]])</f>
        <v>166.04389726027398</v>
      </c>
      <c r="AD236" s="163"/>
      <c r="AE236" s="165">
        <f ca="1">IMSS[[#This Row],[P TOTAL]]+IMSS[[#This Row],[O TOTAL]]</f>
        <v>2141.5390177808222</v>
      </c>
      <c r="AF236" s="163"/>
      <c r="AG236" s="163">
        <f>VLOOKUP(IMSS[[#This Row],[SUE MENS]],$AG$110:$AJ$120,1,1)</f>
        <v>5470.93</v>
      </c>
      <c r="AH236" s="163">
        <f>IMSS[[#This Row],[SUE MENS]]-IMSS[[#This Row],[LIM INF]]</f>
        <v>1974.0699999999997</v>
      </c>
      <c r="AI236" s="163">
        <f>IMSS[[#This Row],[EXC LIM INF]]*(VLOOKUP(IMSS[[#This Row],[LIM INF]],$AG$110:$AJ$120,4,0))</f>
        <v>214.77881599999998</v>
      </c>
      <c r="AJ236" s="163">
        <f>VLOOKUP(IMSS[[#This Row],[LIM INF]],$AG$110:$AJ$120,3)</f>
        <v>321.26</v>
      </c>
      <c r="AK236" s="163">
        <f>SUM(IMSS[[#This Row],[TASA EXC]]+IMSS[[#This Row],[CUOTA FIJA]])</f>
        <v>536.038816</v>
      </c>
      <c r="AL236" s="163">
        <f>VLOOKUP(IMSS[[#This Row],[SUE MENS]],$AL$110:$AN$120,3,1)</f>
        <v>0</v>
      </c>
      <c r="AM236" s="248">
        <f>IF(IMSS[[#This Row],[ISR CARGO]]-IMSS[[#This Row],[SUBS ISR]]&gt;0,IMSS[[#This Row],[ISR CARGO]]-IMSS[[#This Row],[SUBS ISR]],0)</f>
        <v>536.038816</v>
      </c>
      <c r="AN236" s="248">
        <f>IF(IMSS[[#This Row],[SUBS ISR]]-IMSS[[#This Row],[ISR CARGO]]&gt;0,IMSS[[#This Row],[SUBS ISR]]-IMSS[[#This Row],[ISR CARGO]],0)</f>
        <v>0</v>
      </c>
    </row>
    <row r="237" spans="3:40" ht="15" hidden="1" customHeight="1" x14ac:dyDescent="0.25">
      <c r="C237" s="243">
        <v>233</v>
      </c>
      <c r="D237" s="167" t="str">
        <f>VLOOKUP(IMSS[[#This Row],[NEM]],BDD[],2,0)</f>
        <v>Jesús Eduardo Urbina Valdez</v>
      </c>
      <c r="E237" s="167" t="str">
        <f>VLOOKUP(IMSS[[#This Row],[NEM]],BDD[],9,0)</f>
        <v>RENDER</v>
      </c>
      <c r="F237" s="168">
        <v>30</v>
      </c>
      <c r="G237" s="139">
        <f>VLOOKUP(IMSS[[#This Row],[NEM]],BDD[],3,0)</f>
        <v>9541</v>
      </c>
      <c r="H237" s="139">
        <f ca="1">VLOOKUP(IMSS[[#This Row],[NEM]],BDD[],25,0)</f>
        <v>352.88630136986302</v>
      </c>
      <c r="I237" s="143">
        <f>VLOOKUP(IMSS[[#This Row],[DEPT]],$B$3:$G$49,6,0)</f>
        <v>2.5984400000000001E-2</v>
      </c>
      <c r="J237" s="163">
        <f ca="1">IMSS[[#This Row],[DIAS LAB]]*IMSS[[#This Row],[SDI]]*IMSS[[#This Row],[% RSG]]*$Q$108</f>
        <v>275.08616427945208</v>
      </c>
      <c r="K237" s="163">
        <f>IMSS[[#This Row],[DIAS LAB]]*$J$110*$Q$109</f>
        <v>548.47440000000006</v>
      </c>
      <c r="L237" s="166">
        <f ca="1">IMSS[[#This Row],[DIAS LAB]]*IF(IMSS[[#This Row],[SDI]]-$J$113&gt;0,IMSS[[#This Row],[SDI]]-$J$113,0)*$Q$110</f>
        <v>27.728679452054791</v>
      </c>
      <c r="M237" s="166">
        <f ca="1">IMSS[[#This Row],[DIAS LAB]]*IMSS[[#This Row],[SDI]]*$Q$111</f>
        <v>111.15918493150686</v>
      </c>
      <c r="N237" s="163">
        <f ca="1">IMSS[[#This Row],[DIAS LAB]]*IMSS[[#This Row],[SDI]]*$Q$112</f>
        <v>74.106123287671238</v>
      </c>
      <c r="O237" s="166">
        <f ca="1">IMSS[[#This Row],[DIAS LAB]]*IMSS[[#This Row],[SDI]]*$Q$113</f>
        <v>185.26530821917811</v>
      </c>
      <c r="P237" s="163">
        <f ca="1">IMSS[[#This Row],[DIAS LAB]]*IMSS[[#This Row],[SDI]]*$Q$114</f>
        <v>105.86589041095891</v>
      </c>
      <c r="Q237" s="166">
        <f ca="1">IMSS[[#This Row],[DIAS LAB]]*IMSS[[#This Row],[SDI]]*$Q$115</f>
        <v>211.73178082191782</v>
      </c>
      <c r="R237" s="163">
        <f ca="1">IMSS[[#This Row],[DIAS LAB]]*IMSS[[#This Row],[SDI]]*$Q$116</f>
        <v>333.47755479452059</v>
      </c>
      <c r="S237" s="163">
        <f ca="1">IMSS[[#This Row],[DIAS LAB]]*IMSS[[#This Row],[SDI]]*$Q$117</f>
        <v>529.32945205479461</v>
      </c>
      <c r="T237" s="164">
        <f ca="1">SUM(IMSS[[#This Row],[P RSG TRB]:[P INFONAVIT]])</f>
        <v>2402.224538252055</v>
      </c>
      <c r="U237" s="163">
        <f ca="1">IMSS[[#This Row],[DIAS LAB]]*IMSS[[#This Row],[SDI]]*IMSS[[#This Row],[% RSG]]*$R$108</f>
        <v>0</v>
      </c>
      <c r="V237" s="163">
        <f ca="1">IMSS[[#This Row],[DIAS LAB]]*IMSS[[#This Row],[SDI]]*$R$112</f>
        <v>26.466472602739728</v>
      </c>
      <c r="W237" s="163"/>
      <c r="X237" s="163">
        <f ca="1">IMSS[[#This Row],[DIAS LAB]]*IMSS[[#This Row],[SDI]]*$R$113</f>
        <v>66.695510958904109</v>
      </c>
      <c r="Y237" s="163">
        <f ca="1">IMSS[[#This Row],[DIAS LAB]]*IMSS[[#This Row],[SDI]]*$R$114</f>
        <v>0</v>
      </c>
      <c r="Z237" s="163">
        <f ca="1">IMSS[[#This Row],[DIAS LAB]]*IMSS[[#This Row],[SDI]]*$R$115</f>
        <v>0</v>
      </c>
      <c r="AA237" s="163">
        <f ca="1">IMSS[[#This Row],[DIAS LAB]]*IMSS[[#This Row],[SDI]]*$R$116</f>
        <v>119.62845616438356</v>
      </c>
      <c r="AB237" s="163">
        <f ca="1">IMSS[[#This Row],[DIAS LAB]]*IMSS[[#This Row],[SDI]]*$R$117</f>
        <v>0</v>
      </c>
      <c r="AC237" s="247">
        <f ca="1">SUM(IMSS[[#This Row],[O RSG TRB]:[O INFONAVIT]])</f>
        <v>212.79043972602739</v>
      </c>
      <c r="AD237" s="163"/>
      <c r="AE237" s="165">
        <f ca="1">IMSS[[#This Row],[P TOTAL]]+IMSS[[#This Row],[O TOTAL]]</f>
        <v>2615.0149779780822</v>
      </c>
      <c r="AF237" s="163"/>
      <c r="AG237" s="163">
        <f>VLOOKUP(IMSS[[#This Row],[SUE MENS]],$AG$110:$AJ$120,1,1)</f>
        <v>5470.93</v>
      </c>
      <c r="AH237" s="163">
        <f>IMSS[[#This Row],[SUE MENS]]-IMSS[[#This Row],[LIM INF]]</f>
        <v>4070.0699999999997</v>
      </c>
      <c r="AI237" s="163">
        <f>IMSS[[#This Row],[EXC LIM INF]]*(VLOOKUP(IMSS[[#This Row],[LIM INF]],$AG$110:$AJ$120,4,0))</f>
        <v>442.82361600000002</v>
      </c>
      <c r="AJ237" s="163">
        <f>VLOOKUP(IMSS[[#This Row],[LIM INF]],$AG$110:$AJ$120,3)</f>
        <v>321.26</v>
      </c>
      <c r="AK237" s="163">
        <f>SUM(IMSS[[#This Row],[TASA EXC]]+IMSS[[#This Row],[CUOTA FIJA]])</f>
        <v>764.08361600000001</v>
      </c>
      <c r="AL237" s="163">
        <f>VLOOKUP(IMSS[[#This Row],[SUE MENS]],$AL$110:$AN$120,3,1)</f>
        <v>0</v>
      </c>
      <c r="AM237" s="248">
        <f>IF(IMSS[[#This Row],[ISR CARGO]]-IMSS[[#This Row],[SUBS ISR]]&gt;0,IMSS[[#This Row],[ISR CARGO]]-IMSS[[#This Row],[SUBS ISR]],0)</f>
        <v>764.08361600000001</v>
      </c>
      <c r="AN237" s="248">
        <f>IF(IMSS[[#This Row],[SUBS ISR]]-IMSS[[#This Row],[ISR CARGO]]&gt;0,IMSS[[#This Row],[SUBS ISR]]-IMSS[[#This Row],[ISR CARGO]],0)</f>
        <v>0</v>
      </c>
    </row>
    <row r="238" spans="3:40" ht="15" hidden="1" customHeight="1" x14ac:dyDescent="0.25">
      <c r="C238" s="243">
        <v>236</v>
      </c>
      <c r="D238" s="167" t="str">
        <f>VLOOKUP(IMSS[[#This Row],[NEM]],BDD[],2,0)</f>
        <v>Yeni Santibañez Perez</v>
      </c>
      <c r="E238" s="167" t="str">
        <f>VLOOKUP(IMSS[[#This Row],[NEM]],BDD[],9,0)</f>
        <v>AUDIT ADMN</v>
      </c>
      <c r="F238" s="168">
        <v>30</v>
      </c>
      <c r="G238" s="139">
        <f>VLOOKUP(IMSS[[#This Row],[NEM]],BDD[],3,0)</f>
        <v>10860</v>
      </c>
      <c r="H238" s="139">
        <f ca="1">VLOOKUP(IMSS[[#This Row],[NEM]],BDD[],25,0)</f>
        <v>401.67123287671234</v>
      </c>
      <c r="I238" s="143">
        <f>VLOOKUP(IMSS[[#This Row],[DEPT]],$B$3:$G$49,6,0)</f>
        <v>5.4355000000000002E-3</v>
      </c>
      <c r="J238" s="163">
        <f ca="1">IMSS[[#This Row],[DIAS LAB]]*IMSS[[#This Row],[SDI]]*IMSS[[#This Row],[% RSG]]*$Q$108</f>
        <v>65.498519589041095</v>
      </c>
      <c r="K238" s="163">
        <f>IMSS[[#This Row],[DIAS LAB]]*$J$110*$Q$109</f>
        <v>548.47440000000006</v>
      </c>
      <c r="L238" s="166">
        <f ca="1">IMSS[[#This Row],[DIAS LAB]]*IF(IMSS[[#This Row],[SDI]]-$J$113&gt;0,IMSS[[#This Row],[SDI]]-$J$113,0)*$Q$110</f>
        <v>43.827706849315064</v>
      </c>
      <c r="M238" s="166">
        <f ca="1">IMSS[[#This Row],[DIAS LAB]]*IMSS[[#This Row],[SDI]]*$Q$111</f>
        <v>126.52643835616439</v>
      </c>
      <c r="N238" s="163">
        <f ca="1">IMSS[[#This Row],[DIAS LAB]]*IMSS[[#This Row],[SDI]]*$Q$112</f>
        <v>84.350958904109589</v>
      </c>
      <c r="O238" s="166">
        <f ca="1">IMSS[[#This Row],[DIAS LAB]]*IMSS[[#This Row],[SDI]]*$Q$113</f>
        <v>210.87739726027399</v>
      </c>
      <c r="P238" s="163">
        <f ca="1">IMSS[[#This Row],[DIAS LAB]]*IMSS[[#This Row],[SDI]]*$Q$114</f>
        <v>120.50136986301369</v>
      </c>
      <c r="Q238" s="166">
        <f ca="1">IMSS[[#This Row],[DIAS LAB]]*IMSS[[#This Row],[SDI]]*$Q$115</f>
        <v>241.00273972602739</v>
      </c>
      <c r="R238" s="163">
        <f ca="1">IMSS[[#This Row],[DIAS LAB]]*IMSS[[#This Row],[SDI]]*$Q$116</f>
        <v>379.57931506849314</v>
      </c>
      <c r="S238" s="163">
        <f ca="1">IMSS[[#This Row],[DIAS LAB]]*IMSS[[#This Row],[SDI]]*$Q$117</f>
        <v>602.50684931506851</v>
      </c>
      <c r="T238" s="164">
        <f ca="1">SUM(IMSS[[#This Row],[P RSG TRB]:[P INFONAVIT]])</f>
        <v>2423.1456949315066</v>
      </c>
      <c r="U238" s="163">
        <f ca="1">IMSS[[#This Row],[DIAS LAB]]*IMSS[[#This Row],[SDI]]*IMSS[[#This Row],[% RSG]]*$R$108</f>
        <v>0</v>
      </c>
      <c r="V238" s="163">
        <f ca="1">IMSS[[#This Row],[DIAS LAB]]*IMSS[[#This Row],[SDI]]*$R$112</f>
        <v>30.125342465753423</v>
      </c>
      <c r="W238" s="163"/>
      <c r="X238" s="163">
        <f ca="1">IMSS[[#This Row],[DIAS LAB]]*IMSS[[#This Row],[SDI]]*$R$113</f>
        <v>75.915863013698626</v>
      </c>
      <c r="Y238" s="163">
        <f ca="1">IMSS[[#This Row],[DIAS LAB]]*IMSS[[#This Row],[SDI]]*$R$114</f>
        <v>0</v>
      </c>
      <c r="Z238" s="163">
        <f ca="1">IMSS[[#This Row],[DIAS LAB]]*IMSS[[#This Row],[SDI]]*$R$115</f>
        <v>0</v>
      </c>
      <c r="AA238" s="163">
        <f ca="1">IMSS[[#This Row],[DIAS LAB]]*IMSS[[#This Row],[SDI]]*$R$116</f>
        <v>136.16654794520548</v>
      </c>
      <c r="AB238" s="163">
        <f ca="1">IMSS[[#This Row],[DIAS LAB]]*IMSS[[#This Row],[SDI]]*$R$117</f>
        <v>0</v>
      </c>
      <c r="AC238" s="247">
        <f ca="1">SUM(IMSS[[#This Row],[O RSG TRB]:[O INFONAVIT]])</f>
        <v>242.20775342465754</v>
      </c>
      <c r="AD238" s="163"/>
      <c r="AE238" s="165">
        <f ca="1">IMSS[[#This Row],[P TOTAL]]+IMSS[[#This Row],[O TOTAL]]</f>
        <v>2665.3534483561643</v>
      </c>
      <c r="AF238" s="163"/>
      <c r="AG238" s="163">
        <f>VLOOKUP(IMSS[[#This Row],[SUE MENS]],$AG$110:$AJ$120,1,1)</f>
        <v>9614.67</v>
      </c>
      <c r="AH238" s="163">
        <f>IMSS[[#This Row],[SUE MENS]]-IMSS[[#This Row],[LIM INF]]</f>
        <v>1245.33</v>
      </c>
      <c r="AI238" s="163">
        <f>IMSS[[#This Row],[EXC LIM INF]]*(VLOOKUP(IMSS[[#This Row],[LIM INF]],$AG$110:$AJ$120,4,0))</f>
        <v>199.25279999999998</v>
      </c>
      <c r="AJ238" s="163">
        <f>VLOOKUP(IMSS[[#This Row],[LIM INF]],$AG$110:$AJ$120,3)</f>
        <v>772.1</v>
      </c>
      <c r="AK238" s="163">
        <f>SUM(IMSS[[#This Row],[TASA EXC]]+IMSS[[#This Row],[CUOTA FIJA]])</f>
        <v>971.3528</v>
      </c>
      <c r="AL238" s="163">
        <f>VLOOKUP(IMSS[[#This Row],[SUE MENS]],$AL$110:$AN$120,3,1)</f>
        <v>0</v>
      </c>
      <c r="AM238" s="248">
        <f>IF(IMSS[[#This Row],[ISR CARGO]]-IMSS[[#This Row],[SUBS ISR]]&gt;0,IMSS[[#This Row],[ISR CARGO]]-IMSS[[#This Row],[SUBS ISR]],0)</f>
        <v>971.3528</v>
      </c>
      <c r="AN238" s="248">
        <f>IF(IMSS[[#This Row],[SUBS ISR]]-IMSS[[#This Row],[ISR CARGO]]&gt;0,IMSS[[#This Row],[SUBS ISR]]-IMSS[[#This Row],[ISR CARGO]],0)</f>
        <v>0</v>
      </c>
    </row>
    <row r="239" spans="3:40" ht="15" hidden="1" customHeight="1" x14ac:dyDescent="0.25">
      <c r="C239" s="243">
        <v>237</v>
      </c>
      <c r="D239" s="167" t="str">
        <f>VLOOKUP(IMSS[[#This Row],[NEM]],BDD[],2,0)</f>
        <v>Nailea Alejandra Pérez Sánchez</v>
      </c>
      <c r="E239" s="167" t="str">
        <f>VLOOKUP(IMSS[[#This Row],[NEM]],BDD[],9,0)</f>
        <v>INST CAMPO</v>
      </c>
      <c r="F239" s="168">
        <v>30</v>
      </c>
      <c r="G239" s="139">
        <f>VLOOKUP(IMSS[[#This Row],[NEM]],BDD[],3,0)</f>
        <v>9450</v>
      </c>
      <c r="H239" s="139">
        <f ca="1">VLOOKUP(IMSS[[#This Row],[NEM]],BDD[],25,0)</f>
        <v>349.52054794520546</v>
      </c>
      <c r="I239" s="143">
        <f>VLOOKUP(IMSS[[#This Row],[DEPT]],$B$3:$G$49,6,0)</f>
        <v>4.6532499999999997E-2</v>
      </c>
      <c r="J239" s="163">
        <f ca="1">IMSS[[#This Row],[DIAS LAB]]*IMSS[[#This Row],[SDI]]*IMSS[[#This Row],[% RSG]]*$Q$108</f>
        <v>487.92194691780821</v>
      </c>
      <c r="K239" s="163">
        <f>IMSS[[#This Row],[DIAS LAB]]*$J$110*$Q$109</f>
        <v>548.47440000000006</v>
      </c>
      <c r="L239" s="166">
        <f ca="1">IMSS[[#This Row],[DIAS LAB]]*IF(IMSS[[#This Row],[SDI]]-$J$113&gt;0,IMSS[[#This Row],[SDI]]-$J$113,0)*$Q$110</f>
        <v>26.617980821917797</v>
      </c>
      <c r="M239" s="166">
        <f ca="1">IMSS[[#This Row],[DIAS LAB]]*IMSS[[#This Row],[SDI]]*$Q$111</f>
        <v>110.09897260273974</v>
      </c>
      <c r="N239" s="163">
        <f ca="1">IMSS[[#This Row],[DIAS LAB]]*IMSS[[#This Row],[SDI]]*$Q$112</f>
        <v>73.399315068493152</v>
      </c>
      <c r="O239" s="166">
        <f ca="1">IMSS[[#This Row],[DIAS LAB]]*IMSS[[#This Row],[SDI]]*$Q$113</f>
        <v>183.4982876712329</v>
      </c>
      <c r="P239" s="163">
        <f ca="1">IMSS[[#This Row],[DIAS LAB]]*IMSS[[#This Row],[SDI]]*$Q$114</f>
        <v>104.85616438356165</v>
      </c>
      <c r="Q239" s="166">
        <f ca="1">IMSS[[#This Row],[DIAS LAB]]*IMSS[[#This Row],[SDI]]*$Q$115</f>
        <v>209.7123287671233</v>
      </c>
      <c r="R239" s="163">
        <f ca="1">IMSS[[#This Row],[DIAS LAB]]*IMSS[[#This Row],[SDI]]*$Q$116</f>
        <v>330.29691780821918</v>
      </c>
      <c r="S239" s="163">
        <f ca="1">IMSS[[#This Row],[DIAS LAB]]*IMSS[[#This Row],[SDI]]*$Q$117</f>
        <v>524.28082191780823</v>
      </c>
      <c r="T239" s="164">
        <f ca="1">SUM(IMSS[[#This Row],[P RSG TRB]:[P INFONAVIT]])</f>
        <v>2599.1571359589047</v>
      </c>
      <c r="U239" s="163">
        <f ca="1">IMSS[[#This Row],[DIAS LAB]]*IMSS[[#This Row],[SDI]]*IMSS[[#This Row],[% RSG]]*$R$108</f>
        <v>0</v>
      </c>
      <c r="V239" s="163">
        <f ca="1">IMSS[[#This Row],[DIAS LAB]]*IMSS[[#This Row],[SDI]]*$R$112</f>
        <v>26.214041095890412</v>
      </c>
      <c r="W239" s="163"/>
      <c r="X239" s="163">
        <f ca="1">IMSS[[#This Row],[DIAS LAB]]*IMSS[[#This Row],[SDI]]*$R$113</f>
        <v>66.059383561643841</v>
      </c>
      <c r="Y239" s="163">
        <f ca="1">IMSS[[#This Row],[DIAS LAB]]*IMSS[[#This Row],[SDI]]*$R$114</f>
        <v>0</v>
      </c>
      <c r="Z239" s="163">
        <f ca="1">IMSS[[#This Row],[DIAS LAB]]*IMSS[[#This Row],[SDI]]*$R$115</f>
        <v>0</v>
      </c>
      <c r="AA239" s="163">
        <f ca="1">IMSS[[#This Row],[DIAS LAB]]*IMSS[[#This Row],[SDI]]*$R$116</f>
        <v>118.48746575342466</v>
      </c>
      <c r="AB239" s="163">
        <f ca="1">IMSS[[#This Row],[DIAS LAB]]*IMSS[[#This Row],[SDI]]*$R$117</f>
        <v>0</v>
      </c>
      <c r="AC239" s="247">
        <f ca="1">SUM(IMSS[[#This Row],[O RSG TRB]:[O INFONAVIT]])</f>
        <v>210.76089041095889</v>
      </c>
      <c r="AD239" s="163"/>
      <c r="AE239" s="165">
        <f ca="1">IMSS[[#This Row],[P TOTAL]]+IMSS[[#This Row],[O TOTAL]]</f>
        <v>2809.9180263698636</v>
      </c>
      <c r="AF239" s="163"/>
      <c r="AG239" s="163">
        <f>VLOOKUP(IMSS[[#This Row],[SUE MENS]],$AG$110:$AJ$120,1,1)</f>
        <v>5470.93</v>
      </c>
      <c r="AH239" s="163">
        <f>IMSS[[#This Row],[SUE MENS]]-IMSS[[#This Row],[LIM INF]]</f>
        <v>3979.0699999999997</v>
      </c>
      <c r="AI239" s="163">
        <f>IMSS[[#This Row],[EXC LIM INF]]*(VLOOKUP(IMSS[[#This Row],[LIM INF]],$AG$110:$AJ$120,4,0))</f>
        <v>432.92281600000001</v>
      </c>
      <c r="AJ239" s="163">
        <f>VLOOKUP(IMSS[[#This Row],[LIM INF]],$AG$110:$AJ$120,3)</f>
        <v>321.26</v>
      </c>
      <c r="AK239" s="163">
        <f>SUM(IMSS[[#This Row],[TASA EXC]]+IMSS[[#This Row],[CUOTA FIJA]])</f>
        <v>754.182816</v>
      </c>
      <c r="AL239" s="163">
        <f>VLOOKUP(IMSS[[#This Row],[SUE MENS]],$AL$110:$AN$120,3,1)</f>
        <v>0</v>
      </c>
      <c r="AM239" s="248">
        <f>IF(IMSS[[#This Row],[ISR CARGO]]-IMSS[[#This Row],[SUBS ISR]]&gt;0,IMSS[[#This Row],[ISR CARGO]]-IMSS[[#This Row],[SUBS ISR]],0)</f>
        <v>754.182816</v>
      </c>
      <c r="AN239" s="248">
        <f>IF(IMSS[[#This Row],[SUBS ISR]]-IMSS[[#This Row],[ISR CARGO]]&gt;0,IMSS[[#This Row],[SUBS ISR]]-IMSS[[#This Row],[ISR CARGO]],0)</f>
        <v>0</v>
      </c>
    </row>
    <row r="240" spans="3:40" ht="15" hidden="1" customHeight="1" x14ac:dyDescent="0.25">
      <c r="C240" s="243">
        <v>238</v>
      </c>
      <c r="D240" s="167" t="str">
        <f>VLOOKUP(IMSS[[#This Row],[NEM]],BDD[],2,0)</f>
        <v>Alejandra Lisette Villavicencio Rodríguez</v>
      </c>
      <c r="E240" s="167" t="str">
        <f>VLOOKUP(IMSS[[#This Row],[NEM]],BDD[],9,0)</f>
        <v>RELACIONES</v>
      </c>
      <c r="F240" s="168">
        <v>30</v>
      </c>
      <c r="G240" s="139">
        <f>VLOOKUP(IMSS[[#This Row],[NEM]],BDD[],3,0)</f>
        <v>7950</v>
      </c>
      <c r="H240" s="139">
        <f ca="1">VLOOKUP(IMSS[[#This Row],[NEM]],BDD[],25,0)</f>
        <v>294.04109589041093</v>
      </c>
      <c r="I240" s="143">
        <f>VLOOKUP(IMSS[[#This Row],[DEPT]],$B$3:$G$49,6,0)</f>
        <v>5.4355000000000002E-3</v>
      </c>
      <c r="J240" s="163">
        <f ca="1">IMSS[[#This Row],[DIAS LAB]]*IMSS[[#This Row],[SDI]]*IMSS[[#This Row],[% RSG]]*$Q$108</f>
        <v>47.947811301369853</v>
      </c>
      <c r="K240" s="163">
        <f>IMSS[[#This Row],[DIAS LAB]]*$J$110*$Q$109</f>
        <v>548.47440000000006</v>
      </c>
      <c r="L240" s="166">
        <f ca="1">IMSS[[#This Row],[DIAS LAB]]*IF(IMSS[[#This Row],[SDI]]-$J$113&gt;0,IMSS[[#This Row],[SDI]]-$J$113,0)*$Q$110</f>
        <v>8.3097616438356017</v>
      </c>
      <c r="M240" s="166">
        <f ca="1">IMSS[[#This Row],[DIAS LAB]]*IMSS[[#This Row],[SDI]]*$Q$111</f>
        <v>92.622945205479439</v>
      </c>
      <c r="N240" s="163">
        <f ca="1">IMSS[[#This Row],[DIAS LAB]]*IMSS[[#This Row],[SDI]]*$Q$112</f>
        <v>61.748630136986293</v>
      </c>
      <c r="O240" s="166">
        <f ca="1">IMSS[[#This Row],[DIAS LAB]]*IMSS[[#This Row],[SDI]]*$Q$113</f>
        <v>154.37157534246575</v>
      </c>
      <c r="P240" s="163">
        <f ca="1">IMSS[[#This Row],[DIAS LAB]]*IMSS[[#This Row],[SDI]]*$Q$114</f>
        <v>88.212328767123267</v>
      </c>
      <c r="Q240" s="166">
        <f ca="1">IMSS[[#This Row],[DIAS LAB]]*IMSS[[#This Row],[SDI]]*$Q$115</f>
        <v>176.42465753424653</v>
      </c>
      <c r="R240" s="163">
        <f ca="1">IMSS[[#This Row],[DIAS LAB]]*IMSS[[#This Row],[SDI]]*$Q$116</f>
        <v>277.86883561643833</v>
      </c>
      <c r="S240" s="163">
        <f ca="1">IMSS[[#This Row],[DIAS LAB]]*IMSS[[#This Row],[SDI]]*$Q$117</f>
        <v>441.06164383561639</v>
      </c>
      <c r="T240" s="164">
        <f ca="1">SUM(IMSS[[#This Row],[P RSG TRB]:[P INFONAVIT]])</f>
        <v>1897.0425893835618</v>
      </c>
      <c r="U240" s="163">
        <f ca="1">IMSS[[#This Row],[DIAS LAB]]*IMSS[[#This Row],[SDI]]*IMSS[[#This Row],[% RSG]]*$R$108</f>
        <v>0</v>
      </c>
      <c r="V240" s="163">
        <f ca="1">IMSS[[#This Row],[DIAS LAB]]*IMSS[[#This Row],[SDI]]*$R$112</f>
        <v>22.053082191780817</v>
      </c>
      <c r="W240" s="163"/>
      <c r="X240" s="163">
        <f ca="1">IMSS[[#This Row],[DIAS LAB]]*IMSS[[#This Row],[SDI]]*$R$113</f>
        <v>55.573767123287659</v>
      </c>
      <c r="Y240" s="163">
        <f ca="1">IMSS[[#This Row],[DIAS LAB]]*IMSS[[#This Row],[SDI]]*$R$114</f>
        <v>0</v>
      </c>
      <c r="Z240" s="163">
        <f ca="1">IMSS[[#This Row],[DIAS LAB]]*IMSS[[#This Row],[SDI]]*$R$115</f>
        <v>0</v>
      </c>
      <c r="AA240" s="163">
        <f ca="1">IMSS[[#This Row],[DIAS LAB]]*IMSS[[#This Row],[SDI]]*$R$116</f>
        <v>99.679931506849286</v>
      </c>
      <c r="AB240" s="163">
        <f ca="1">IMSS[[#This Row],[DIAS LAB]]*IMSS[[#This Row],[SDI]]*$R$117</f>
        <v>0</v>
      </c>
      <c r="AC240" s="247">
        <f ca="1">SUM(IMSS[[#This Row],[O RSG TRB]:[O INFONAVIT]])</f>
        <v>177.30678082191776</v>
      </c>
      <c r="AD240" s="163"/>
      <c r="AE240" s="165">
        <f ca="1">IMSS[[#This Row],[P TOTAL]]+IMSS[[#This Row],[O TOTAL]]</f>
        <v>2074.3493702054793</v>
      </c>
      <c r="AF240" s="163"/>
      <c r="AG240" s="163">
        <f>VLOOKUP(IMSS[[#This Row],[SUE MENS]],$AG$110:$AJ$120,1,1)</f>
        <v>5470.93</v>
      </c>
      <c r="AH240" s="163">
        <f>IMSS[[#This Row],[SUE MENS]]-IMSS[[#This Row],[LIM INF]]</f>
        <v>2479.0699999999997</v>
      </c>
      <c r="AI240" s="163">
        <f>IMSS[[#This Row],[EXC LIM INF]]*(VLOOKUP(IMSS[[#This Row],[LIM INF]],$AG$110:$AJ$120,4,0))</f>
        <v>269.72281599999997</v>
      </c>
      <c r="AJ240" s="163">
        <f>VLOOKUP(IMSS[[#This Row],[LIM INF]],$AG$110:$AJ$120,3)</f>
        <v>321.26</v>
      </c>
      <c r="AK240" s="163">
        <f>SUM(IMSS[[#This Row],[TASA EXC]]+IMSS[[#This Row],[CUOTA FIJA]])</f>
        <v>590.98281599999996</v>
      </c>
      <c r="AL240" s="163">
        <f>VLOOKUP(IMSS[[#This Row],[SUE MENS]],$AL$110:$AN$120,3,1)</f>
        <v>0</v>
      </c>
      <c r="AM240" s="248">
        <f>IF(IMSS[[#This Row],[ISR CARGO]]-IMSS[[#This Row],[SUBS ISR]]&gt;0,IMSS[[#This Row],[ISR CARGO]]-IMSS[[#This Row],[SUBS ISR]],0)</f>
        <v>590.98281599999996</v>
      </c>
      <c r="AN240" s="248">
        <f>IF(IMSS[[#This Row],[SUBS ISR]]-IMSS[[#This Row],[ISR CARGO]]&gt;0,IMSS[[#This Row],[SUBS ISR]]-IMSS[[#This Row],[ISR CARGO]],0)</f>
        <v>0</v>
      </c>
    </row>
    <row r="241" spans="3:40" ht="15" hidden="1" customHeight="1" x14ac:dyDescent="0.25">
      <c r="C241" s="243">
        <v>239</v>
      </c>
      <c r="D241" s="167" t="str">
        <f>VLOOKUP(IMSS[[#This Row],[NEM]],BDD[],2,0)</f>
        <v>Ma Guadalupe Delgado Pablo</v>
      </c>
      <c r="E241" s="167" t="str">
        <f>VLOOKUP(IMSS[[#This Row],[NEM]],BDD[],9,0)</f>
        <v>COMPRAS</v>
      </c>
      <c r="F241" s="168">
        <v>30</v>
      </c>
      <c r="G241" s="139">
        <f>VLOOKUP(IMSS[[#This Row],[NEM]],BDD[],3,0)</f>
        <v>10350</v>
      </c>
      <c r="H241" s="139">
        <f ca="1">VLOOKUP(IMSS[[#This Row],[NEM]],BDD[],25,0)</f>
        <v>382.8082191780822</v>
      </c>
      <c r="I241" s="143">
        <f>VLOOKUP(IMSS[[#This Row],[DEPT]],$B$3:$G$49,6,0)</f>
        <v>5.4355000000000002E-3</v>
      </c>
      <c r="J241" s="163">
        <f ca="1">IMSS[[#This Row],[DIAS LAB]]*IMSS[[#This Row],[SDI]]*IMSS[[#This Row],[% RSG]]*$Q$108</f>
        <v>62.422622260273975</v>
      </c>
      <c r="K241" s="163">
        <f>IMSS[[#This Row],[DIAS LAB]]*$J$110*$Q$109</f>
        <v>548.47440000000006</v>
      </c>
      <c r="L241" s="166">
        <f ca="1">IMSS[[#This Row],[DIAS LAB]]*IF(IMSS[[#This Row],[SDI]]-$J$113&gt;0,IMSS[[#This Row],[SDI]]-$J$113,0)*$Q$110</f>
        <v>37.602912328767118</v>
      </c>
      <c r="M241" s="166">
        <f ca="1">IMSS[[#This Row],[DIAS LAB]]*IMSS[[#This Row],[SDI]]*$Q$111</f>
        <v>120.5845890410959</v>
      </c>
      <c r="N241" s="163">
        <f ca="1">IMSS[[#This Row],[DIAS LAB]]*IMSS[[#This Row],[SDI]]*$Q$112</f>
        <v>80.389726027397259</v>
      </c>
      <c r="O241" s="166">
        <f ca="1">IMSS[[#This Row],[DIAS LAB]]*IMSS[[#This Row],[SDI]]*$Q$113</f>
        <v>200.97431506849318</v>
      </c>
      <c r="P241" s="163">
        <f ca="1">IMSS[[#This Row],[DIAS LAB]]*IMSS[[#This Row],[SDI]]*$Q$114</f>
        <v>114.84246575342466</v>
      </c>
      <c r="Q241" s="166">
        <f ca="1">IMSS[[#This Row],[DIAS LAB]]*IMSS[[#This Row],[SDI]]*$Q$115</f>
        <v>229.68493150684932</v>
      </c>
      <c r="R241" s="163">
        <f ca="1">IMSS[[#This Row],[DIAS LAB]]*IMSS[[#This Row],[SDI]]*$Q$116</f>
        <v>361.75376712328767</v>
      </c>
      <c r="S241" s="163">
        <f ca="1">IMSS[[#This Row],[DIAS LAB]]*IMSS[[#This Row],[SDI]]*$Q$117</f>
        <v>574.21232876712327</v>
      </c>
      <c r="T241" s="164">
        <f ca="1">SUM(IMSS[[#This Row],[P RSG TRB]:[P INFONAVIT]])</f>
        <v>2330.9420578767126</v>
      </c>
      <c r="U241" s="163">
        <f ca="1">IMSS[[#This Row],[DIAS LAB]]*IMSS[[#This Row],[SDI]]*IMSS[[#This Row],[% RSG]]*$R$108</f>
        <v>0</v>
      </c>
      <c r="V241" s="163">
        <f ca="1">IMSS[[#This Row],[DIAS LAB]]*IMSS[[#This Row],[SDI]]*$R$112</f>
        <v>28.710616438356166</v>
      </c>
      <c r="W241" s="163"/>
      <c r="X241" s="163">
        <f ca="1">IMSS[[#This Row],[DIAS LAB]]*IMSS[[#This Row],[SDI]]*$R$113</f>
        <v>72.35075342465754</v>
      </c>
      <c r="Y241" s="163">
        <f ca="1">IMSS[[#This Row],[DIAS LAB]]*IMSS[[#This Row],[SDI]]*$R$114</f>
        <v>0</v>
      </c>
      <c r="Z241" s="163">
        <f ca="1">IMSS[[#This Row],[DIAS LAB]]*IMSS[[#This Row],[SDI]]*$R$115</f>
        <v>0</v>
      </c>
      <c r="AA241" s="163">
        <f ca="1">IMSS[[#This Row],[DIAS LAB]]*IMSS[[#This Row],[SDI]]*$R$116</f>
        <v>129.77198630136985</v>
      </c>
      <c r="AB241" s="163">
        <f ca="1">IMSS[[#This Row],[DIAS LAB]]*IMSS[[#This Row],[SDI]]*$R$117</f>
        <v>0</v>
      </c>
      <c r="AC241" s="247">
        <f ca="1">SUM(IMSS[[#This Row],[O RSG TRB]:[O INFONAVIT]])</f>
        <v>230.83335616438356</v>
      </c>
      <c r="AD241" s="163"/>
      <c r="AE241" s="165">
        <f ca="1">IMSS[[#This Row],[P TOTAL]]+IMSS[[#This Row],[O TOTAL]]</f>
        <v>2561.7754140410962</v>
      </c>
      <c r="AF241" s="163"/>
      <c r="AG241" s="163">
        <f>VLOOKUP(IMSS[[#This Row],[SUE MENS]],$AG$110:$AJ$120,1,1)</f>
        <v>9614.67</v>
      </c>
      <c r="AH241" s="163">
        <f>IMSS[[#This Row],[SUE MENS]]-IMSS[[#This Row],[LIM INF]]</f>
        <v>735.32999999999993</v>
      </c>
      <c r="AI241" s="163">
        <f>IMSS[[#This Row],[EXC LIM INF]]*(VLOOKUP(IMSS[[#This Row],[LIM INF]],$AG$110:$AJ$120,4,0))</f>
        <v>117.65279999999998</v>
      </c>
      <c r="AJ241" s="163">
        <f>VLOOKUP(IMSS[[#This Row],[LIM INF]],$AG$110:$AJ$120,3)</f>
        <v>772.1</v>
      </c>
      <c r="AK241" s="163">
        <f>SUM(IMSS[[#This Row],[TASA EXC]]+IMSS[[#This Row],[CUOTA FIJA]])</f>
        <v>889.75279999999998</v>
      </c>
      <c r="AL241" s="163">
        <f>VLOOKUP(IMSS[[#This Row],[SUE MENS]],$AL$110:$AN$120,3,1)</f>
        <v>0</v>
      </c>
      <c r="AM241" s="248">
        <f>IF(IMSS[[#This Row],[ISR CARGO]]-IMSS[[#This Row],[SUBS ISR]]&gt;0,IMSS[[#This Row],[ISR CARGO]]-IMSS[[#This Row],[SUBS ISR]],0)</f>
        <v>889.75279999999998</v>
      </c>
      <c r="AN241" s="248">
        <f>IF(IMSS[[#This Row],[SUBS ISR]]-IMSS[[#This Row],[ISR CARGO]]&gt;0,IMSS[[#This Row],[SUBS ISR]]-IMSS[[#This Row],[ISR CARGO]],0)</f>
        <v>0</v>
      </c>
    </row>
    <row r="242" spans="3:40" ht="15" hidden="1" customHeight="1" x14ac:dyDescent="0.25">
      <c r="C242" s="243">
        <v>240</v>
      </c>
      <c r="D242" s="167" t="str">
        <f>VLOOKUP(IMSS[[#This Row],[NEM]],BDD[],2,0)</f>
        <v>Valeria Lisseth Rodríguez Padilla</v>
      </c>
      <c r="E242" s="167" t="str">
        <f>VLOOKUP(IMSS[[#This Row],[NEM]],BDD[],9,0)</f>
        <v>AUDIT PROY</v>
      </c>
      <c r="F242" s="168">
        <v>30</v>
      </c>
      <c r="G242" s="139">
        <f>VLOOKUP(IMSS[[#This Row],[NEM]],BDD[],3,0)</f>
        <v>7950</v>
      </c>
      <c r="H242" s="139">
        <f ca="1">VLOOKUP(IMSS[[#This Row],[NEM]],BDD[],25,0)</f>
        <v>294.04109589041093</v>
      </c>
      <c r="I242" s="143">
        <f>VLOOKUP(IMSS[[#This Row],[DEPT]],$B$3:$G$49,6,0)</f>
        <v>1.130658E-2</v>
      </c>
      <c r="J242" s="163">
        <f ca="1">IMSS[[#This Row],[DIAS LAB]]*IMSS[[#This Row],[SDI]]*IMSS[[#This Row],[% RSG]]*$Q$108</f>
        <v>99.737975219178068</v>
      </c>
      <c r="K242" s="163">
        <f>IMSS[[#This Row],[DIAS LAB]]*$J$110*$Q$109</f>
        <v>548.47440000000006</v>
      </c>
      <c r="L242" s="166">
        <f ca="1">IMSS[[#This Row],[DIAS LAB]]*IF(IMSS[[#This Row],[SDI]]-$J$113&gt;0,IMSS[[#This Row],[SDI]]-$J$113,0)*$Q$110</f>
        <v>8.3097616438356017</v>
      </c>
      <c r="M242" s="166">
        <f ca="1">IMSS[[#This Row],[DIAS LAB]]*IMSS[[#This Row],[SDI]]*$Q$111</f>
        <v>92.622945205479439</v>
      </c>
      <c r="N242" s="163">
        <f ca="1">IMSS[[#This Row],[DIAS LAB]]*IMSS[[#This Row],[SDI]]*$Q$112</f>
        <v>61.748630136986293</v>
      </c>
      <c r="O242" s="166">
        <f ca="1">IMSS[[#This Row],[DIAS LAB]]*IMSS[[#This Row],[SDI]]*$Q$113</f>
        <v>154.37157534246575</v>
      </c>
      <c r="P242" s="163">
        <f ca="1">IMSS[[#This Row],[DIAS LAB]]*IMSS[[#This Row],[SDI]]*$Q$114</f>
        <v>88.212328767123267</v>
      </c>
      <c r="Q242" s="166">
        <f ca="1">IMSS[[#This Row],[DIAS LAB]]*IMSS[[#This Row],[SDI]]*$Q$115</f>
        <v>176.42465753424653</v>
      </c>
      <c r="R242" s="163">
        <f ca="1">IMSS[[#This Row],[DIAS LAB]]*IMSS[[#This Row],[SDI]]*$Q$116</f>
        <v>277.86883561643833</v>
      </c>
      <c r="S242" s="163">
        <f ca="1">IMSS[[#This Row],[DIAS LAB]]*IMSS[[#This Row],[SDI]]*$Q$117</f>
        <v>441.06164383561639</v>
      </c>
      <c r="T242" s="164">
        <f ca="1">SUM(IMSS[[#This Row],[P RSG TRB]:[P INFONAVIT]])</f>
        <v>1948.8327533013698</v>
      </c>
      <c r="U242" s="163">
        <f ca="1">IMSS[[#This Row],[DIAS LAB]]*IMSS[[#This Row],[SDI]]*IMSS[[#This Row],[% RSG]]*$R$108</f>
        <v>0</v>
      </c>
      <c r="V242" s="163">
        <f ca="1">IMSS[[#This Row],[DIAS LAB]]*IMSS[[#This Row],[SDI]]*$R$112</f>
        <v>22.053082191780817</v>
      </c>
      <c r="W242" s="163"/>
      <c r="X242" s="163">
        <f ca="1">IMSS[[#This Row],[DIAS LAB]]*IMSS[[#This Row],[SDI]]*$R$113</f>
        <v>55.573767123287659</v>
      </c>
      <c r="Y242" s="163">
        <f ca="1">IMSS[[#This Row],[DIAS LAB]]*IMSS[[#This Row],[SDI]]*$R$114</f>
        <v>0</v>
      </c>
      <c r="Z242" s="163">
        <f ca="1">IMSS[[#This Row],[DIAS LAB]]*IMSS[[#This Row],[SDI]]*$R$115</f>
        <v>0</v>
      </c>
      <c r="AA242" s="163">
        <f ca="1">IMSS[[#This Row],[DIAS LAB]]*IMSS[[#This Row],[SDI]]*$R$116</f>
        <v>99.679931506849286</v>
      </c>
      <c r="AB242" s="163">
        <f ca="1">IMSS[[#This Row],[DIAS LAB]]*IMSS[[#This Row],[SDI]]*$R$117</f>
        <v>0</v>
      </c>
      <c r="AC242" s="247">
        <f ca="1">SUM(IMSS[[#This Row],[O RSG TRB]:[O INFONAVIT]])</f>
        <v>177.30678082191776</v>
      </c>
      <c r="AD242" s="163"/>
      <c r="AE242" s="165">
        <f ca="1">IMSS[[#This Row],[P TOTAL]]+IMSS[[#This Row],[O TOTAL]]</f>
        <v>2126.1395341232874</v>
      </c>
      <c r="AF242" s="163"/>
      <c r="AG242" s="163">
        <f>VLOOKUP(IMSS[[#This Row],[SUE MENS]],$AG$110:$AJ$120,1,1)</f>
        <v>5470.93</v>
      </c>
      <c r="AH242" s="163">
        <f>IMSS[[#This Row],[SUE MENS]]-IMSS[[#This Row],[LIM INF]]</f>
        <v>2479.0699999999997</v>
      </c>
      <c r="AI242" s="163">
        <f>IMSS[[#This Row],[EXC LIM INF]]*(VLOOKUP(IMSS[[#This Row],[LIM INF]],$AG$110:$AJ$120,4,0))</f>
        <v>269.72281599999997</v>
      </c>
      <c r="AJ242" s="163">
        <f>VLOOKUP(IMSS[[#This Row],[LIM INF]],$AG$110:$AJ$120,3)</f>
        <v>321.26</v>
      </c>
      <c r="AK242" s="163">
        <f>SUM(IMSS[[#This Row],[TASA EXC]]+IMSS[[#This Row],[CUOTA FIJA]])</f>
        <v>590.98281599999996</v>
      </c>
      <c r="AL242" s="163">
        <f>VLOOKUP(IMSS[[#This Row],[SUE MENS]],$AL$110:$AN$120,3,1)</f>
        <v>0</v>
      </c>
      <c r="AM242" s="248">
        <f>IF(IMSS[[#This Row],[ISR CARGO]]-IMSS[[#This Row],[SUBS ISR]]&gt;0,IMSS[[#This Row],[ISR CARGO]]-IMSS[[#This Row],[SUBS ISR]],0)</f>
        <v>590.98281599999996</v>
      </c>
      <c r="AN242" s="248">
        <f>IF(IMSS[[#This Row],[SUBS ISR]]-IMSS[[#This Row],[ISR CARGO]]&gt;0,IMSS[[#This Row],[SUBS ISR]]-IMSS[[#This Row],[ISR CARGO]],0)</f>
        <v>0</v>
      </c>
    </row>
    <row r="243" spans="3:40" ht="15" hidden="1" customHeight="1" x14ac:dyDescent="0.25">
      <c r="C243" s="243">
        <v>241</v>
      </c>
      <c r="D243" s="167" t="str">
        <f>VLOOKUP(IMSS[[#This Row],[NEM]],BDD[],2,0)</f>
        <v>Katia Nallely De La Rosa Saldaña</v>
      </c>
      <c r="E243" s="167" t="str">
        <f>VLOOKUP(IMSS[[#This Row],[NEM]],BDD[],9,0)</f>
        <v>COMPRAS</v>
      </c>
      <c r="F243" s="168">
        <v>30</v>
      </c>
      <c r="G243" s="139">
        <f>VLOOKUP(IMSS[[#This Row],[NEM]],BDD[],3,0)</f>
        <v>7445</v>
      </c>
      <c r="H243" s="139">
        <f ca="1">VLOOKUP(IMSS[[#This Row],[NEM]],BDD[],25,0)</f>
        <v>275.36301369863014</v>
      </c>
      <c r="I243" s="143">
        <f>VLOOKUP(IMSS[[#This Row],[DEPT]],$B$3:$G$49,6,0)</f>
        <v>5.4355000000000002E-3</v>
      </c>
      <c r="J243" s="163">
        <f ca="1">IMSS[[#This Row],[DIAS LAB]]*IMSS[[#This Row],[SDI]]*IMSS[[#This Row],[% RSG]]*$Q$108</f>
        <v>44.902069828767125</v>
      </c>
      <c r="K243" s="163">
        <f>IMSS[[#This Row],[DIAS LAB]]*$J$110*$Q$109</f>
        <v>548.47440000000006</v>
      </c>
      <c r="L243" s="166">
        <f ca="1">IMSS[[#This Row],[DIAS LAB]]*IF(IMSS[[#This Row],[SDI]]-$J$113&gt;0,IMSS[[#This Row],[SDI]]-$J$113,0)*$Q$110</f>
        <v>2.145994520547942</v>
      </c>
      <c r="M243" s="166">
        <f ca="1">IMSS[[#This Row],[DIAS LAB]]*IMSS[[#This Row],[SDI]]*$Q$111</f>
        <v>86.739349315068495</v>
      </c>
      <c r="N243" s="163">
        <f ca="1">IMSS[[#This Row],[DIAS LAB]]*IMSS[[#This Row],[SDI]]*$Q$112</f>
        <v>57.826232876712325</v>
      </c>
      <c r="O243" s="166">
        <f ca="1">IMSS[[#This Row],[DIAS LAB]]*IMSS[[#This Row],[SDI]]*$Q$113</f>
        <v>144.56558219178083</v>
      </c>
      <c r="P243" s="163">
        <f ca="1">IMSS[[#This Row],[DIAS LAB]]*IMSS[[#This Row],[SDI]]*$Q$114</f>
        <v>82.608904109589034</v>
      </c>
      <c r="Q243" s="166">
        <f ca="1">IMSS[[#This Row],[DIAS LAB]]*IMSS[[#This Row],[SDI]]*$Q$115</f>
        <v>165.21780821917807</v>
      </c>
      <c r="R243" s="163">
        <f ca="1">IMSS[[#This Row],[DIAS LAB]]*IMSS[[#This Row],[SDI]]*$Q$116</f>
        <v>260.21804794520546</v>
      </c>
      <c r="S243" s="163">
        <f ca="1">IMSS[[#This Row],[DIAS LAB]]*IMSS[[#This Row],[SDI]]*$Q$117</f>
        <v>413.04452054794524</v>
      </c>
      <c r="T243" s="164">
        <f ca="1">SUM(IMSS[[#This Row],[P RSG TRB]:[P INFONAVIT]])</f>
        <v>1805.7429095547946</v>
      </c>
      <c r="U243" s="163">
        <f ca="1">IMSS[[#This Row],[DIAS LAB]]*IMSS[[#This Row],[SDI]]*IMSS[[#This Row],[% RSG]]*$R$108</f>
        <v>0</v>
      </c>
      <c r="V243" s="163">
        <f ca="1">IMSS[[#This Row],[DIAS LAB]]*IMSS[[#This Row],[SDI]]*$R$112</f>
        <v>20.652226027397258</v>
      </c>
      <c r="W243" s="163"/>
      <c r="X243" s="163">
        <f ca="1">IMSS[[#This Row],[DIAS LAB]]*IMSS[[#This Row],[SDI]]*$R$113</f>
        <v>52.043609589041097</v>
      </c>
      <c r="Y243" s="163">
        <f ca="1">IMSS[[#This Row],[DIAS LAB]]*IMSS[[#This Row],[SDI]]*$R$114</f>
        <v>0</v>
      </c>
      <c r="Z243" s="163">
        <f ca="1">IMSS[[#This Row],[DIAS LAB]]*IMSS[[#This Row],[SDI]]*$R$115</f>
        <v>0</v>
      </c>
      <c r="AA243" s="163">
        <f ca="1">IMSS[[#This Row],[DIAS LAB]]*IMSS[[#This Row],[SDI]]*$R$116</f>
        <v>93.348061643835607</v>
      </c>
      <c r="AB243" s="163">
        <f ca="1">IMSS[[#This Row],[DIAS LAB]]*IMSS[[#This Row],[SDI]]*$R$117</f>
        <v>0</v>
      </c>
      <c r="AC243" s="247">
        <f ca="1">SUM(IMSS[[#This Row],[O RSG TRB]:[O INFONAVIT]])</f>
        <v>166.04389726027398</v>
      </c>
      <c r="AD243" s="163"/>
      <c r="AE243" s="165">
        <f ca="1">IMSS[[#This Row],[P TOTAL]]+IMSS[[#This Row],[O TOTAL]]</f>
        <v>1971.7868068150685</v>
      </c>
      <c r="AF243" s="163"/>
      <c r="AG243" s="163">
        <f>VLOOKUP(IMSS[[#This Row],[SUE MENS]],$AG$110:$AJ$120,1,1)</f>
        <v>5470.93</v>
      </c>
      <c r="AH243" s="163">
        <f>IMSS[[#This Row],[SUE MENS]]-IMSS[[#This Row],[LIM INF]]</f>
        <v>1974.0699999999997</v>
      </c>
      <c r="AI243" s="163">
        <f>IMSS[[#This Row],[EXC LIM INF]]*(VLOOKUP(IMSS[[#This Row],[LIM INF]],$AG$110:$AJ$120,4,0))</f>
        <v>214.77881599999998</v>
      </c>
      <c r="AJ243" s="163">
        <f>VLOOKUP(IMSS[[#This Row],[LIM INF]],$AG$110:$AJ$120,3)</f>
        <v>321.26</v>
      </c>
      <c r="AK243" s="163">
        <f>SUM(IMSS[[#This Row],[TASA EXC]]+IMSS[[#This Row],[CUOTA FIJA]])</f>
        <v>536.038816</v>
      </c>
      <c r="AL243" s="163">
        <f>VLOOKUP(IMSS[[#This Row],[SUE MENS]],$AL$110:$AN$120,3,1)</f>
        <v>0</v>
      </c>
      <c r="AM243" s="248">
        <f>IF(IMSS[[#This Row],[ISR CARGO]]-IMSS[[#This Row],[SUBS ISR]]&gt;0,IMSS[[#This Row],[ISR CARGO]]-IMSS[[#This Row],[SUBS ISR]],0)</f>
        <v>536.038816</v>
      </c>
      <c r="AN243" s="248">
        <f>IF(IMSS[[#This Row],[SUBS ISR]]-IMSS[[#This Row],[ISR CARGO]]&gt;0,IMSS[[#This Row],[SUBS ISR]]-IMSS[[#This Row],[ISR CARGO]],0)</f>
        <v>0</v>
      </c>
    </row>
    <row r="244" spans="3:40" ht="15" hidden="1" customHeight="1" x14ac:dyDescent="0.25">
      <c r="C244" s="243">
        <v>242</v>
      </c>
      <c r="D244" s="167" t="str">
        <f>VLOOKUP(IMSS[[#This Row],[NEM]],BDD[],2,0)</f>
        <v>Feliciana Bueno Alcaraz</v>
      </c>
      <c r="E244" s="167" t="str">
        <f>VLOOKUP(IMSS[[#This Row],[NEM]],BDD[],9,0)</f>
        <v>INST CAMPO</v>
      </c>
      <c r="F244" s="168">
        <v>30</v>
      </c>
      <c r="G244" s="139">
        <f>VLOOKUP(IMSS[[#This Row],[NEM]],BDD[],3,0)</f>
        <v>9541</v>
      </c>
      <c r="H244" s="139">
        <f ca="1">VLOOKUP(IMSS[[#This Row],[NEM]],BDD[],25,0)</f>
        <v>352.88630136986302</v>
      </c>
      <c r="I244" s="143">
        <f>VLOOKUP(IMSS[[#This Row],[DEPT]],$B$3:$G$49,6,0)</f>
        <v>4.6532499999999997E-2</v>
      </c>
      <c r="J244" s="163">
        <f ca="1">IMSS[[#This Row],[DIAS LAB]]*IMSS[[#This Row],[SDI]]*IMSS[[#This Row],[% RSG]]*$Q$108</f>
        <v>492.62045455479449</v>
      </c>
      <c r="K244" s="163">
        <f>IMSS[[#This Row],[DIAS LAB]]*$J$110*$Q$109</f>
        <v>548.47440000000006</v>
      </c>
      <c r="L244" s="166">
        <f ca="1">IMSS[[#This Row],[DIAS LAB]]*IF(IMSS[[#This Row],[SDI]]-$J$113&gt;0,IMSS[[#This Row],[SDI]]-$J$113,0)*$Q$110</f>
        <v>27.728679452054791</v>
      </c>
      <c r="M244" s="166">
        <f ca="1">IMSS[[#This Row],[DIAS LAB]]*IMSS[[#This Row],[SDI]]*$Q$111</f>
        <v>111.15918493150686</v>
      </c>
      <c r="N244" s="163">
        <f ca="1">IMSS[[#This Row],[DIAS LAB]]*IMSS[[#This Row],[SDI]]*$Q$112</f>
        <v>74.106123287671238</v>
      </c>
      <c r="O244" s="166">
        <f ca="1">IMSS[[#This Row],[DIAS LAB]]*IMSS[[#This Row],[SDI]]*$Q$113</f>
        <v>185.26530821917811</v>
      </c>
      <c r="P244" s="163">
        <f ca="1">IMSS[[#This Row],[DIAS LAB]]*IMSS[[#This Row],[SDI]]*$Q$114</f>
        <v>105.86589041095891</v>
      </c>
      <c r="Q244" s="166">
        <f ca="1">IMSS[[#This Row],[DIAS LAB]]*IMSS[[#This Row],[SDI]]*$Q$115</f>
        <v>211.73178082191782</v>
      </c>
      <c r="R244" s="163">
        <f ca="1">IMSS[[#This Row],[DIAS LAB]]*IMSS[[#This Row],[SDI]]*$Q$116</f>
        <v>333.47755479452059</v>
      </c>
      <c r="S244" s="163">
        <f ca="1">IMSS[[#This Row],[DIAS LAB]]*IMSS[[#This Row],[SDI]]*$Q$117</f>
        <v>529.32945205479461</v>
      </c>
      <c r="T244" s="164">
        <f ca="1">SUM(IMSS[[#This Row],[P RSG TRB]:[P INFONAVIT]])</f>
        <v>2619.7588285273973</v>
      </c>
      <c r="U244" s="163">
        <f ca="1">IMSS[[#This Row],[DIAS LAB]]*IMSS[[#This Row],[SDI]]*IMSS[[#This Row],[% RSG]]*$R$108</f>
        <v>0</v>
      </c>
      <c r="V244" s="163">
        <f ca="1">IMSS[[#This Row],[DIAS LAB]]*IMSS[[#This Row],[SDI]]*$R$112</f>
        <v>26.466472602739728</v>
      </c>
      <c r="W244" s="163"/>
      <c r="X244" s="163">
        <f ca="1">IMSS[[#This Row],[DIAS LAB]]*IMSS[[#This Row],[SDI]]*$R$113</f>
        <v>66.695510958904109</v>
      </c>
      <c r="Y244" s="163">
        <f ca="1">IMSS[[#This Row],[DIAS LAB]]*IMSS[[#This Row],[SDI]]*$R$114</f>
        <v>0</v>
      </c>
      <c r="Z244" s="163">
        <f ca="1">IMSS[[#This Row],[DIAS LAB]]*IMSS[[#This Row],[SDI]]*$R$115</f>
        <v>0</v>
      </c>
      <c r="AA244" s="163">
        <f ca="1">IMSS[[#This Row],[DIAS LAB]]*IMSS[[#This Row],[SDI]]*$R$116</f>
        <v>119.62845616438356</v>
      </c>
      <c r="AB244" s="163">
        <f ca="1">IMSS[[#This Row],[DIAS LAB]]*IMSS[[#This Row],[SDI]]*$R$117</f>
        <v>0</v>
      </c>
      <c r="AC244" s="247">
        <f ca="1">SUM(IMSS[[#This Row],[O RSG TRB]:[O INFONAVIT]])</f>
        <v>212.79043972602739</v>
      </c>
      <c r="AD244" s="163"/>
      <c r="AE244" s="165">
        <f ca="1">IMSS[[#This Row],[P TOTAL]]+IMSS[[#This Row],[O TOTAL]]</f>
        <v>2832.5492682534245</v>
      </c>
      <c r="AF244" s="163"/>
      <c r="AG244" s="163">
        <f>VLOOKUP(IMSS[[#This Row],[SUE MENS]],$AG$110:$AJ$120,1,1)</f>
        <v>5470.93</v>
      </c>
      <c r="AH244" s="163">
        <f>IMSS[[#This Row],[SUE MENS]]-IMSS[[#This Row],[LIM INF]]</f>
        <v>4070.0699999999997</v>
      </c>
      <c r="AI244" s="163">
        <f>IMSS[[#This Row],[EXC LIM INF]]*(VLOOKUP(IMSS[[#This Row],[LIM INF]],$AG$110:$AJ$120,4,0))</f>
        <v>442.82361600000002</v>
      </c>
      <c r="AJ244" s="163">
        <f>VLOOKUP(IMSS[[#This Row],[LIM INF]],$AG$110:$AJ$120,3)</f>
        <v>321.26</v>
      </c>
      <c r="AK244" s="163">
        <f>SUM(IMSS[[#This Row],[TASA EXC]]+IMSS[[#This Row],[CUOTA FIJA]])</f>
        <v>764.08361600000001</v>
      </c>
      <c r="AL244" s="163">
        <f>VLOOKUP(IMSS[[#This Row],[SUE MENS]],$AL$110:$AN$120,3,1)</f>
        <v>0</v>
      </c>
      <c r="AM244" s="248">
        <f>IF(IMSS[[#This Row],[ISR CARGO]]-IMSS[[#This Row],[SUBS ISR]]&gt;0,IMSS[[#This Row],[ISR CARGO]]-IMSS[[#This Row],[SUBS ISR]],0)</f>
        <v>764.08361600000001</v>
      </c>
      <c r="AN244" s="248">
        <f>IF(IMSS[[#This Row],[SUBS ISR]]-IMSS[[#This Row],[ISR CARGO]]&gt;0,IMSS[[#This Row],[SUBS ISR]]-IMSS[[#This Row],[ISR CARGO]],0)</f>
        <v>0</v>
      </c>
    </row>
    <row r="245" spans="3:40" ht="15" hidden="1" customHeight="1" x14ac:dyDescent="0.25">
      <c r="C245" s="243">
        <v>243</v>
      </c>
      <c r="D245" s="167" t="str">
        <f>VLOOKUP(IMSS[[#This Row],[NEM]],BDD[],2,0)</f>
        <v>Juan Socorro Angeles Martinez</v>
      </c>
      <c r="E245" s="167" t="str">
        <f>VLOOKUP(IMSS[[#This Row],[NEM]],BDD[],9,0)</f>
        <v>ARQUITECT</v>
      </c>
      <c r="F245" s="168">
        <v>30</v>
      </c>
      <c r="G245" s="139">
        <f>VLOOKUP(IMSS[[#This Row],[NEM]],BDD[],3,0)</f>
        <v>10860</v>
      </c>
      <c r="H245" s="139">
        <f ca="1">VLOOKUP(IMSS[[#This Row],[NEM]],BDD[],25,0)</f>
        <v>401.67123287671234</v>
      </c>
      <c r="I245" s="143">
        <f>VLOOKUP(IMSS[[#This Row],[DEPT]],$B$3:$G$49,6,0)</f>
        <v>2.5984400000000001E-2</v>
      </c>
      <c r="J245" s="163">
        <f ca="1">IMSS[[#This Row],[DIAS LAB]]*IMSS[[#This Row],[SDI]]*IMSS[[#This Row],[% RSG]]*$Q$108</f>
        <v>313.11557950684931</v>
      </c>
      <c r="K245" s="163">
        <f>IMSS[[#This Row],[DIAS LAB]]*$J$110*$Q$109</f>
        <v>548.47440000000006</v>
      </c>
      <c r="L245" s="166">
        <f ca="1">IMSS[[#This Row],[DIAS LAB]]*IF(IMSS[[#This Row],[SDI]]-$J$113&gt;0,IMSS[[#This Row],[SDI]]-$J$113,0)*$Q$110</f>
        <v>43.827706849315064</v>
      </c>
      <c r="M245" s="166">
        <f ca="1">IMSS[[#This Row],[DIAS LAB]]*IMSS[[#This Row],[SDI]]*$Q$111</f>
        <v>126.52643835616439</v>
      </c>
      <c r="N245" s="163">
        <f ca="1">IMSS[[#This Row],[DIAS LAB]]*IMSS[[#This Row],[SDI]]*$Q$112</f>
        <v>84.350958904109589</v>
      </c>
      <c r="O245" s="166">
        <f ca="1">IMSS[[#This Row],[DIAS LAB]]*IMSS[[#This Row],[SDI]]*$Q$113</f>
        <v>210.87739726027399</v>
      </c>
      <c r="P245" s="163">
        <f ca="1">IMSS[[#This Row],[DIAS LAB]]*IMSS[[#This Row],[SDI]]*$Q$114</f>
        <v>120.50136986301369</v>
      </c>
      <c r="Q245" s="166">
        <f ca="1">IMSS[[#This Row],[DIAS LAB]]*IMSS[[#This Row],[SDI]]*$Q$115</f>
        <v>241.00273972602739</v>
      </c>
      <c r="R245" s="163">
        <f ca="1">IMSS[[#This Row],[DIAS LAB]]*IMSS[[#This Row],[SDI]]*$Q$116</f>
        <v>379.57931506849314</v>
      </c>
      <c r="S245" s="163">
        <f ca="1">IMSS[[#This Row],[DIAS LAB]]*IMSS[[#This Row],[SDI]]*$Q$117</f>
        <v>602.50684931506851</v>
      </c>
      <c r="T245" s="164">
        <f ca="1">SUM(IMSS[[#This Row],[P RSG TRB]:[P INFONAVIT]])</f>
        <v>2670.7627548493151</v>
      </c>
      <c r="U245" s="163">
        <f ca="1">IMSS[[#This Row],[DIAS LAB]]*IMSS[[#This Row],[SDI]]*IMSS[[#This Row],[% RSG]]*$R$108</f>
        <v>0</v>
      </c>
      <c r="V245" s="163">
        <f ca="1">IMSS[[#This Row],[DIAS LAB]]*IMSS[[#This Row],[SDI]]*$R$112</f>
        <v>30.125342465753423</v>
      </c>
      <c r="W245" s="163"/>
      <c r="X245" s="163">
        <f ca="1">IMSS[[#This Row],[DIAS LAB]]*IMSS[[#This Row],[SDI]]*$R$113</f>
        <v>75.915863013698626</v>
      </c>
      <c r="Y245" s="163">
        <f ca="1">IMSS[[#This Row],[DIAS LAB]]*IMSS[[#This Row],[SDI]]*$R$114</f>
        <v>0</v>
      </c>
      <c r="Z245" s="163">
        <f ca="1">IMSS[[#This Row],[DIAS LAB]]*IMSS[[#This Row],[SDI]]*$R$115</f>
        <v>0</v>
      </c>
      <c r="AA245" s="163">
        <f ca="1">IMSS[[#This Row],[DIAS LAB]]*IMSS[[#This Row],[SDI]]*$R$116</f>
        <v>136.16654794520548</v>
      </c>
      <c r="AB245" s="163">
        <f ca="1">IMSS[[#This Row],[DIAS LAB]]*IMSS[[#This Row],[SDI]]*$R$117</f>
        <v>0</v>
      </c>
      <c r="AC245" s="247">
        <f ca="1">SUM(IMSS[[#This Row],[O RSG TRB]:[O INFONAVIT]])</f>
        <v>242.20775342465754</v>
      </c>
      <c r="AD245" s="163"/>
      <c r="AE245" s="165">
        <f ca="1">IMSS[[#This Row],[P TOTAL]]+IMSS[[#This Row],[O TOTAL]]</f>
        <v>2912.9705082739729</v>
      </c>
      <c r="AF245" s="163"/>
      <c r="AG245" s="163">
        <f>VLOOKUP(IMSS[[#This Row],[SUE MENS]],$AG$110:$AJ$120,1,1)</f>
        <v>9614.67</v>
      </c>
      <c r="AH245" s="163">
        <f>IMSS[[#This Row],[SUE MENS]]-IMSS[[#This Row],[LIM INF]]</f>
        <v>1245.33</v>
      </c>
      <c r="AI245" s="163">
        <f>IMSS[[#This Row],[EXC LIM INF]]*(VLOOKUP(IMSS[[#This Row],[LIM INF]],$AG$110:$AJ$120,4,0))</f>
        <v>199.25279999999998</v>
      </c>
      <c r="AJ245" s="163">
        <f>VLOOKUP(IMSS[[#This Row],[LIM INF]],$AG$110:$AJ$120,3)</f>
        <v>772.1</v>
      </c>
      <c r="AK245" s="163">
        <f>SUM(IMSS[[#This Row],[TASA EXC]]+IMSS[[#This Row],[CUOTA FIJA]])</f>
        <v>971.3528</v>
      </c>
      <c r="AL245" s="163">
        <f>VLOOKUP(IMSS[[#This Row],[SUE MENS]],$AL$110:$AN$120,3,1)</f>
        <v>0</v>
      </c>
      <c r="AM245" s="248">
        <f>IF(IMSS[[#This Row],[ISR CARGO]]-IMSS[[#This Row],[SUBS ISR]]&gt;0,IMSS[[#This Row],[ISR CARGO]]-IMSS[[#This Row],[SUBS ISR]],0)</f>
        <v>971.3528</v>
      </c>
      <c r="AN245" s="248">
        <f>IF(IMSS[[#This Row],[SUBS ISR]]-IMSS[[#This Row],[ISR CARGO]]&gt;0,IMSS[[#This Row],[SUBS ISR]]-IMSS[[#This Row],[ISR CARGO]],0)</f>
        <v>0</v>
      </c>
    </row>
    <row r="246" spans="3:40" ht="15" hidden="1" customHeight="1" x14ac:dyDescent="0.25">
      <c r="C246" s="243">
        <v>245</v>
      </c>
      <c r="D246" s="167" t="str">
        <f>VLOOKUP(IMSS[[#This Row],[NEM]],BDD[],2,0)</f>
        <v>Eduardo Garza Guerra</v>
      </c>
      <c r="E246" s="167" t="str">
        <f>VLOOKUP(IMSS[[#This Row],[NEM]],BDD[],9,0)</f>
        <v>RENDER</v>
      </c>
      <c r="F246" s="168">
        <v>30</v>
      </c>
      <c r="G246" s="139">
        <f>VLOOKUP(IMSS[[#This Row],[NEM]],BDD[],3,0)</f>
        <v>7445</v>
      </c>
      <c r="H246" s="139">
        <f ca="1">VLOOKUP(IMSS[[#This Row],[NEM]],BDD[],25,0)</f>
        <v>275.36301369863014</v>
      </c>
      <c r="I246" s="143">
        <f>VLOOKUP(IMSS[[#This Row],[DEPT]],$B$3:$G$49,6,0)</f>
        <v>2.5984400000000001E-2</v>
      </c>
      <c r="J246" s="163">
        <f ca="1">IMSS[[#This Row],[DIAS LAB]]*IMSS[[#This Row],[SDI]]*IMSS[[#This Row],[% RSG]]*$Q$108</f>
        <v>214.65428079452056</v>
      </c>
      <c r="K246" s="163">
        <f>IMSS[[#This Row],[DIAS LAB]]*$J$110*$Q$109</f>
        <v>548.47440000000006</v>
      </c>
      <c r="L246" s="166">
        <f ca="1">IMSS[[#This Row],[DIAS LAB]]*IF(IMSS[[#This Row],[SDI]]-$J$113&gt;0,IMSS[[#This Row],[SDI]]-$J$113,0)*$Q$110</f>
        <v>2.145994520547942</v>
      </c>
      <c r="M246" s="166">
        <f ca="1">IMSS[[#This Row],[DIAS LAB]]*IMSS[[#This Row],[SDI]]*$Q$111</f>
        <v>86.739349315068495</v>
      </c>
      <c r="N246" s="163">
        <f ca="1">IMSS[[#This Row],[DIAS LAB]]*IMSS[[#This Row],[SDI]]*$Q$112</f>
        <v>57.826232876712325</v>
      </c>
      <c r="O246" s="166">
        <f ca="1">IMSS[[#This Row],[DIAS LAB]]*IMSS[[#This Row],[SDI]]*$Q$113</f>
        <v>144.56558219178083</v>
      </c>
      <c r="P246" s="163">
        <f ca="1">IMSS[[#This Row],[DIAS LAB]]*IMSS[[#This Row],[SDI]]*$Q$114</f>
        <v>82.608904109589034</v>
      </c>
      <c r="Q246" s="166">
        <f ca="1">IMSS[[#This Row],[DIAS LAB]]*IMSS[[#This Row],[SDI]]*$Q$115</f>
        <v>165.21780821917807</v>
      </c>
      <c r="R246" s="163">
        <f ca="1">IMSS[[#This Row],[DIAS LAB]]*IMSS[[#This Row],[SDI]]*$Q$116</f>
        <v>260.21804794520546</v>
      </c>
      <c r="S246" s="163">
        <f ca="1">IMSS[[#This Row],[DIAS LAB]]*IMSS[[#This Row],[SDI]]*$Q$117</f>
        <v>413.04452054794524</v>
      </c>
      <c r="T246" s="164">
        <f ca="1">SUM(IMSS[[#This Row],[P RSG TRB]:[P INFONAVIT]])</f>
        <v>1975.495120520548</v>
      </c>
      <c r="U246" s="163">
        <f ca="1">IMSS[[#This Row],[DIAS LAB]]*IMSS[[#This Row],[SDI]]*IMSS[[#This Row],[% RSG]]*$R$108</f>
        <v>0</v>
      </c>
      <c r="V246" s="163">
        <f ca="1">IMSS[[#This Row],[DIAS LAB]]*IMSS[[#This Row],[SDI]]*$R$112</f>
        <v>20.652226027397258</v>
      </c>
      <c r="W246" s="163"/>
      <c r="X246" s="163">
        <f ca="1">IMSS[[#This Row],[DIAS LAB]]*IMSS[[#This Row],[SDI]]*$R$113</f>
        <v>52.043609589041097</v>
      </c>
      <c r="Y246" s="163">
        <f ca="1">IMSS[[#This Row],[DIAS LAB]]*IMSS[[#This Row],[SDI]]*$R$114</f>
        <v>0</v>
      </c>
      <c r="Z246" s="163">
        <f ca="1">IMSS[[#This Row],[DIAS LAB]]*IMSS[[#This Row],[SDI]]*$R$115</f>
        <v>0</v>
      </c>
      <c r="AA246" s="163">
        <f ca="1">IMSS[[#This Row],[DIAS LAB]]*IMSS[[#This Row],[SDI]]*$R$116</f>
        <v>93.348061643835607</v>
      </c>
      <c r="AB246" s="163">
        <f ca="1">IMSS[[#This Row],[DIAS LAB]]*IMSS[[#This Row],[SDI]]*$R$117</f>
        <v>0</v>
      </c>
      <c r="AC246" s="247">
        <f ca="1">SUM(IMSS[[#This Row],[O RSG TRB]:[O INFONAVIT]])</f>
        <v>166.04389726027398</v>
      </c>
      <c r="AD246" s="163"/>
      <c r="AE246" s="165">
        <f ca="1">IMSS[[#This Row],[P TOTAL]]+IMSS[[#This Row],[O TOTAL]]</f>
        <v>2141.5390177808222</v>
      </c>
      <c r="AF246" s="163"/>
      <c r="AG246" s="163">
        <f>VLOOKUP(IMSS[[#This Row],[SUE MENS]],$AG$110:$AJ$120,1,1)</f>
        <v>5470.93</v>
      </c>
      <c r="AH246" s="163">
        <f>IMSS[[#This Row],[SUE MENS]]-IMSS[[#This Row],[LIM INF]]</f>
        <v>1974.0699999999997</v>
      </c>
      <c r="AI246" s="163">
        <f>IMSS[[#This Row],[EXC LIM INF]]*(VLOOKUP(IMSS[[#This Row],[LIM INF]],$AG$110:$AJ$120,4,0))</f>
        <v>214.77881599999998</v>
      </c>
      <c r="AJ246" s="163">
        <f>VLOOKUP(IMSS[[#This Row],[LIM INF]],$AG$110:$AJ$120,3)</f>
        <v>321.26</v>
      </c>
      <c r="AK246" s="163">
        <f>SUM(IMSS[[#This Row],[TASA EXC]]+IMSS[[#This Row],[CUOTA FIJA]])</f>
        <v>536.038816</v>
      </c>
      <c r="AL246" s="163">
        <f>VLOOKUP(IMSS[[#This Row],[SUE MENS]],$AL$110:$AN$120,3,1)</f>
        <v>0</v>
      </c>
      <c r="AM246" s="248">
        <f>IF(IMSS[[#This Row],[ISR CARGO]]-IMSS[[#This Row],[SUBS ISR]]&gt;0,IMSS[[#This Row],[ISR CARGO]]-IMSS[[#This Row],[SUBS ISR]],0)</f>
        <v>536.038816</v>
      </c>
      <c r="AN246" s="248">
        <f>IF(IMSS[[#This Row],[SUBS ISR]]-IMSS[[#This Row],[ISR CARGO]]&gt;0,IMSS[[#This Row],[SUBS ISR]]-IMSS[[#This Row],[ISR CARGO]],0)</f>
        <v>0</v>
      </c>
    </row>
    <row r="247" spans="3:40" ht="15" hidden="1" customHeight="1" x14ac:dyDescent="0.25">
      <c r="C247" s="243">
        <v>246</v>
      </c>
      <c r="D247" s="167" t="str">
        <f>VLOOKUP(IMSS[[#This Row],[NEM]],BDD[],2,0)</f>
        <v>Esmeralda Organista Peñaloza</v>
      </c>
      <c r="E247" s="167" t="str">
        <f>VLOOKUP(IMSS[[#This Row],[NEM]],BDD[],9,0)</f>
        <v>EXTERNOS</v>
      </c>
      <c r="F247" s="168">
        <v>30</v>
      </c>
      <c r="G247" s="139">
        <f>VLOOKUP(IMSS[[#This Row],[NEM]],BDD[],3,0)</f>
        <v>6778</v>
      </c>
      <c r="H247" s="139">
        <f ca="1">VLOOKUP(IMSS[[#This Row],[NEM]],BDD[],25,0)</f>
        <v>238.31324200913241</v>
      </c>
      <c r="I247" s="143">
        <f>VLOOKUP(IMSS[[#This Row],[DEPT]],$B$3:$G$49,6,0)</f>
        <v>5.4355000000000002E-3</v>
      </c>
      <c r="J247" s="163">
        <f ca="1">IMSS[[#This Row],[DIAS LAB]]*IMSS[[#This Row],[SDI]]*IMSS[[#This Row],[% RSG]]*$Q$108</f>
        <v>38.860548808219178</v>
      </c>
      <c r="K247" s="163">
        <f>IMSS[[#This Row],[DIAS LAB]]*$J$110*$Q$109</f>
        <v>548.47440000000006</v>
      </c>
      <c r="L247" s="166">
        <f ca="1">IMSS[[#This Row],[DIAS LAB]]*IF(IMSS[[#This Row],[SDI]]-$J$113&gt;0,IMSS[[#This Row],[SDI]]-$J$113,0)*$Q$110</f>
        <v>0</v>
      </c>
      <c r="M247" s="166">
        <f ca="1">IMSS[[#This Row],[DIAS LAB]]*IMSS[[#This Row],[SDI]]*$Q$111</f>
        <v>75.06867123287671</v>
      </c>
      <c r="N247" s="163">
        <f ca="1">IMSS[[#This Row],[DIAS LAB]]*IMSS[[#This Row],[SDI]]*$Q$112</f>
        <v>50.045780821917809</v>
      </c>
      <c r="O247" s="166">
        <f ca="1">IMSS[[#This Row],[DIAS LAB]]*IMSS[[#This Row],[SDI]]*$Q$113</f>
        <v>125.11445205479453</v>
      </c>
      <c r="P247" s="163">
        <f ca="1">IMSS[[#This Row],[DIAS LAB]]*IMSS[[#This Row],[SDI]]*$Q$114</f>
        <v>71.493972602739731</v>
      </c>
      <c r="Q247" s="166">
        <f ca="1">IMSS[[#This Row],[DIAS LAB]]*IMSS[[#This Row],[SDI]]*$Q$115</f>
        <v>142.98794520547946</v>
      </c>
      <c r="R247" s="163">
        <f ca="1">IMSS[[#This Row],[DIAS LAB]]*IMSS[[#This Row],[SDI]]*$Q$116</f>
        <v>225.20601369863013</v>
      </c>
      <c r="S247" s="163">
        <f ca="1">IMSS[[#This Row],[DIAS LAB]]*IMSS[[#This Row],[SDI]]*$Q$117</f>
        <v>357.46986301369861</v>
      </c>
      <c r="T247" s="164">
        <f ca="1">SUM(IMSS[[#This Row],[P RSG TRB]:[P INFONAVIT]])</f>
        <v>1634.7216474383561</v>
      </c>
      <c r="U247" s="163">
        <f ca="1">IMSS[[#This Row],[DIAS LAB]]*IMSS[[#This Row],[SDI]]*IMSS[[#This Row],[% RSG]]*$R$108</f>
        <v>0</v>
      </c>
      <c r="V247" s="163">
        <f ca="1">IMSS[[#This Row],[DIAS LAB]]*IMSS[[#This Row],[SDI]]*$R$112</f>
        <v>17.873493150684933</v>
      </c>
      <c r="W247" s="163"/>
      <c r="X247" s="163">
        <f ca="1">IMSS[[#This Row],[DIAS LAB]]*IMSS[[#This Row],[SDI]]*$R$113</f>
        <v>45.041202739726025</v>
      </c>
      <c r="Y247" s="163">
        <f ca="1">IMSS[[#This Row],[DIAS LAB]]*IMSS[[#This Row],[SDI]]*$R$114</f>
        <v>0</v>
      </c>
      <c r="Z247" s="163">
        <f ca="1">IMSS[[#This Row],[DIAS LAB]]*IMSS[[#This Row],[SDI]]*$R$115</f>
        <v>0</v>
      </c>
      <c r="AA247" s="163">
        <f ca="1">IMSS[[#This Row],[DIAS LAB]]*IMSS[[#This Row],[SDI]]*$R$116</f>
        <v>80.788189041095876</v>
      </c>
      <c r="AB247" s="163">
        <f ca="1">IMSS[[#This Row],[DIAS LAB]]*IMSS[[#This Row],[SDI]]*$R$117</f>
        <v>0</v>
      </c>
      <c r="AC247" s="247">
        <f ca="1">SUM(IMSS[[#This Row],[O RSG TRB]:[O INFONAVIT]])</f>
        <v>143.70288493150684</v>
      </c>
      <c r="AD247" s="163"/>
      <c r="AE247" s="165">
        <f ca="1">IMSS[[#This Row],[P TOTAL]]+IMSS[[#This Row],[O TOTAL]]</f>
        <v>1778.4245323698628</v>
      </c>
      <c r="AF247" s="163"/>
      <c r="AG247" s="163">
        <f>VLOOKUP(IMSS[[#This Row],[SUE MENS]],$AG$110:$AJ$120,1,1)</f>
        <v>5470.93</v>
      </c>
      <c r="AH247" s="163">
        <f>IMSS[[#This Row],[SUE MENS]]-IMSS[[#This Row],[LIM INF]]</f>
        <v>1307.0699999999997</v>
      </c>
      <c r="AI247" s="163">
        <f>IMSS[[#This Row],[EXC LIM INF]]*(VLOOKUP(IMSS[[#This Row],[LIM INF]],$AG$110:$AJ$120,4,0))</f>
        <v>142.20921599999997</v>
      </c>
      <c r="AJ247" s="163">
        <f>VLOOKUP(IMSS[[#This Row],[LIM INF]],$AG$110:$AJ$120,3)</f>
        <v>321.26</v>
      </c>
      <c r="AK247" s="163">
        <f>SUM(IMSS[[#This Row],[TASA EXC]]+IMSS[[#This Row],[CUOTA FIJA]])</f>
        <v>463.46921599999996</v>
      </c>
      <c r="AL247" s="163">
        <f>VLOOKUP(IMSS[[#This Row],[SUE MENS]],$AL$110:$AN$120,3,1)</f>
        <v>253.54</v>
      </c>
      <c r="AM247" s="248">
        <f>IF(IMSS[[#This Row],[ISR CARGO]]-IMSS[[#This Row],[SUBS ISR]]&gt;0,IMSS[[#This Row],[ISR CARGO]]-IMSS[[#This Row],[SUBS ISR]],0)</f>
        <v>209.92921599999997</v>
      </c>
      <c r="AN247" s="248">
        <f>IF(IMSS[[#This Row],[SUBS ISR]]-IMSS[[#This Row],[ISR CARGO]]&gt;0,IMSS[[#This Row],[SUBS ISR]]-IMSS[[#This Row],[ISR CARGO]],0)</f>
        <v>0</v>
      </c>
    </row>
    <row r="248" spans="3:40" ht="15" hidden="1" customHeight="1" x14ac:dyDescent="0.25">
      <c r="C248" s="243">
        <v>247</v>
      </c>
      <c r="D248" s="167" t="str">
        <f>VLOOKUP(IMSS[[#This Row],[NEM]],BDD[],2,0)</f>
        <v>Abel Lopez Aguilar</v>
      </c>
      <c r="E248" s="167" t="str">
        <f>VLOOKUP(IMSS[[#This Row],[NEM]],BDD[],9,0)</f>
        <v>ARQUITECT</v>
      </c>
      <c r="F248" s="168">
        <v>30</v>
      </c>
      <c r="G248" s="139">
        <f>VLOOKUP(IMSS[[#This Row],[NEM]],BDD[],3,0)</f>
        <v>9541</v>
      </c>
      <c r="H248" s="139">
        <f ca="1">VLOOKUP(IMSS[[#This Row],[NEM]],BDD[],25,0)</f>
        <v>352.88630136986302</v>
      </c>
      <c r="I248" s="143">
        <f>VLOOKUP(IMSS[[#This Row],[DEPT]],$B$3:$G$49,6,0)</f>
        <v>2.5984400000000001E-2</v>
      </c>
      <c r="J248" s="163">
        <f ca="1">IMSS[[#This Row],[DIAS LAB]]*IMSS[[#This Row],[SDI]]*IMSS[[#This Row],[% RSG]]*$Q$108</f>
        <v>275.08616427945208</v>
      </c>
      <c r="K248" s="163">
        <f>IMSS[[#This Row],[DIAS LAB]]*$J$110*$Q$109</f>
        <v>548.47440000000006</v>
      </c>
      <c r="L248" s="166">
        <f ca="1">IMSS[[#This Row],[DIAS LAB]]*IF(IMSS[[#This Row],[SDI]]-$J$113&gt;0,IMSS[[#This Row],[SDI]]-$J$113,0)*$Q$110</f>
        <v>27.728679452054791</v>
      </c>
      <c r="M248" s="166">
        <f ca="1">IMSS[[#This Row],[DIAS LAB]]*IMSS[[#This Row],[SDI]]*$Q$111</f>
        <v>111.15918493150686</v>
      </c>
      <c r="N248" s="163">
        <f ca="1">IMSS[[#This Row],[DIAS LAB]]*IMSS[[#This Row],[SDI]]*$Q$112</f>
        <v>74.106123287671238</v>
      </c>
      <c r="O248" s="166">
        <f ca="1">IMSS[[#This Row],[DIAS LAB]]*IMSS[[#This Row],[SDI]]*$Q$113</f>
        <v>185.26530821917811</v>
      </c>
      <c r="P248" s="163">
        <f ca="1">IMSS[[#This Row],[DIAS LAB]]*IMSS[[#This Row],[SDI]]*$Q$114</f>
        <v>105.86589041095891</v>
      </c>
      <c r="Q248" s="166">
        <f ca="1">IMSS[[#This Row],[DIAS LAB]]*IMSS[[#This Row],[SDI]]*$Q$115</f>
        <v>211.73178082191782</v>
      </c>
      <c r="R248" s="163">
        <f ca="1">IMSS[[#This Row],[DIAS LAB]]*IMSS[[#This Row],[SDI]]*$Q$116</f>
        <v>333.47755479452059</v>
      </c>
      <c r="S248" s="163">
        <f ca="1">IMSS[[#This Row],[DIAS LAB]]*IMSS[[#This Row],[SDI]]*$Q$117</f>
        <v>529.32945205479461</v>
      </c>
      <c r="T248" s="164">
        <f ca="1">SUM(IMSS[[#This Row],[P RSG TRB]:[P INFONAVIT]])</f>
        <v>2402.224538252055</v>
      </c>
      <c r="U248" s="163">
        <f ca="1">IMSS[[#This Row],[DIAS LAB]]*IMSS[[#This Row],[SDI]]*IMSS[[#This Row],[% RSG]]*$R$108</f>
        <v>0</v>
      </c>
      <c r="V248" s="163">
        <f ca="1">IMSS[[#This Row],[DIAS LAB]]*IMSS[[#This Row],[SDI]]*$R$112</f>
        <v>26.466472602739728</v>
      </c>
      <c r="W248" s="163"/>
      <c r="X248" s="163">
        <f ca="1">IMSS[[#This Row],[DIAS LAB]]*IMSS[[#This Row],[SDI]]*$R$113</f>
        <v>66.695510958904109</v>
      </c>
      <c r="Y248" s="163">
        <f ca="1">IMSS[[#This Row],[DIAS LAB]]*IMSS[[#This Row],[SDI]]*$R$114</f>
        <v>0</v>
      </c>
      <c r="Z248" s="163">
        <f ca="1">IMSS[[#This Row],[DIAS LAB]]*IMSS[[#This Row],[SDI]]*$R$115</f>
        <v>0</v>
      </c>
      <c r="AA248" s="163">
        <f ca="1">IMSS[[#This Row],[DIAS LAB]]*IMSS[[#This Row],[SDI]]*$R$116</f>
        <v>119.62845616438356</v>
      </c>
      <c r="AB248" s="163">
        <f ca="1">IMSS[[#This Row],[DIAS LAB]]*IMSS[[#This Row],[SDI]]*$R$117</f>
        <v>0</v>
      </c>
      <c r="AC248" s="247">
        <f ca="1">SUM(IMSS[[#This Row],[O RSG TRB]:[O INFONAVIT]])</f>
        <v>212.79043972602739</v>
      </c>
      <c r="AD248" s="163"/>
      <c r="AE248" s="165">
        <f ca="1">IMSS[[#This Row],[P TOTAL]]+IMSS[[#This Row],[O TOTAL]]</f>
        <v>2615.0149779780822</v>
      </c>
      <c r="AF248" s="163"/>
      <c r="AG248" s="163">
        <f>VLOOKUP(IMSS[[#This Row],[SUE MENS]],$AG$110:$AJ$120,1,1)</f>
        <v>5470.93</v>
      </c>
      <c r="AH248" s="163">
        <f>IMSS[[#This Row],[SUE MENS]]-IMSS[[#This Row],[LIM INF]]</f>
        <v>4070.0699999999997</v>
      </c>
      <c r="AI248" s="163">
        <f>IMSS[[#This Row],[EXC LIM INF]]*(VLOOKUP(IMSS[[#This Row],[LIM INF]],$AG$110:$AJ$120,4,0))</f>
        <v>442.82361600000002</v>
      </c>
      <c r="AJ248" s="163">
        <f>VLOOKUP(IMSS[[#This Row],[LIM INF]],$AG$110:$AJ$120,3)</f>
        <v>321.26</v>
      </c>
      <c r="AK248" s="163">
        <f>SUM(IMSS[[#This Row],[TASA EXC]]+IMSS[[#This Row],[CUOTA FIJA]])</f>
        <v>764.08361600000001</v>
      </c>
      <c r="AL248" s="163">
        <f>VLOOKUP(IMSS[[#This Row],[SUE MENS]],$AL$110:$AN$120,3,1)</f>
        <v>0</v>
      </c>
      <c r="AM248" s="248">
        <f>IF(IMSS[[#This Row],[ISR CARGO]]-IMSS[[#This Row],[SUBS ISR]]&gt;0,IMSS[[#This Row],[ISR CARGO]]-IMSS[[#This Row],[SUBS ISR]],0)</f>
        <v>764.08361600000001</v>
      </c>
      <c r="AN248" s="248">
        <f>IF(IMSS[[#This Row],[SUBS ISR]]-IMSS[[#This Row],[ISR CARGO]]&gt;0,IMSS[[#This Row],[SUBS ISR]]-IMSS[[#This Row],[ISR CARGO]],0)</f>
        <v>0</v>
      </c>
    </row>
    <row r="249" spans="3:40" ht="15" hidden="1" customHeight="1" x14ac:dyDescent="0.25">
      <c r="C249" s="243">
        <v>249</v>
      </c>
      <c r="D249" s="167" t="str">
        <f>VLOOKUP(IMSS[[#This Row],[NEM]],BDD[],2,0)</f>
        <v>Mónica Monserrat Flores García</v>
      </c>
      <c r="E249" s="167" t="str">
        <f>VLOOKUP(IMSS[[#This Row],[NEM]],BDD[],9,0)</f>
        <v>RELACIONES</v>
      </c>
      <c r="F249" s="168">
        <v>30</v>
      </c>
      <c r="G249" s="139">
        <f>VLOOKUP(IMSS[[#This Row],[NEM]],BDD[],3,0)</f>
        <v>9541</v>
      </c>
      <c r="H249" s="139">
        <f ca="1">VLOOKUP(IMSS[[#This Row],[NEM]],BDD[],25,0)</f>
        <v>352.88630136986302</v>
      </c>
      <c r="I249" s="143">
        <f>VLOOKUP(IMSS[[#This Row],[DEPT]],$B$3:$G$49,6,0)</f>
        <v>5.4355000000000002E-3</v>
      </c>
      <c r="J249" s="163">
        <f ca="1">IMSS[[#This Row],[DIAS LAB]]*IMSS[[#This Row],[SDI]]*IMSS[[#This Row],[% RSG]]*$Q$108</f>
        <v>57.543404732876716</v>
      </c>
      <c r="K249" s="163">
        <f>IMSS[[#This Row],[DIAS LAB]]*$J$110*$Q$109</f>
        <v>548.47440000000006</v>
      </c>
      <c r="L249" s="166">
        <f ca="1">IMSS[[#This Row],[DIAS LAB]]*IF(IMSS[[#This Row],[SDI]]-$J$113&gt;0,IMSS[[#This Row],[SDI]]-$J$113,0)*$Q$110</f>
        <v>27.728679452054791</v>
      </c>
      <c r="M249" s="166">
        <f ca="1">IMSS[[#This Row],[DIAS LAB]]*IMSS[[#This Row],[SDI]]*$Q$111</f>
        <v>111.15918493150686</v>
      </c>
      <c r="N249" s="163">
        <f ca="1">IMSS[[#This Row],[DIAS LAB]]*IMSS[[#This Row],[SDI]]*$Q$112</f>
        <v>74.106123287671238</v>
      </c>
      <c r="O249" s="166">
        <f ca="1">IMSS[[#This Row],[DIAS LAB]]*IMSS[[#This Row],[SDI]]*$Q$113</f>
        <v>185.26530821917811</v>
      </c>
      <c r="P249" s="163">
        <f ca="1">IMSS[[#This Row],[DIAS LAB]]*IMSS[[#This Row],[SDI]]*$Q$114</f>
        <v>105.86589041095891</v>
      </c>
      <c r="Q249" s="166">
        <f ca="1">IMSS[[#This Row],[DIAS LAB]]*IMSS[[#This Row],[SDI]]*$Q$115</f>
        <v>211.73178082191782</v>
      </c>
      <c r="R249" s="163">
        <f ca="1">IMSS[[#This Row],[DIAS LAB]]*IMSS[[#This Row],[SDI]]*$Q$116</f>
        <v>333.47755479452059</v>
      </c>
      <c r="S249" s="163">
        <f ca="1">IMSS[[#This Row],[DIAS LAB]]*IMSS[[#This Row],[SDI]]*$Q$117</f>
        <v>529.32945205479461</v>
      </c>
      <c r="T249" s="164">
        <f ca="1">SUM(IMSS[[#This Row],[P RSG TRB]:[P INFONAVIT]])</f>
        <v>2184.6817787054797</v>
      </c>
      <c r="U249" s="163">
        <f ca="1">IMSS[[#This Row],[DIAS LAB]]*IMSS[[#This Row],[SDI]]*IMSS[[#This Row],[% RSG]]*$R$108</f>
        <v>0</v>
      </c>
      <c r="V249" s="163">
        <f ca="1">IMSS[[#This Row],[DIAS LAB]]*IMSS[[#This Row],[SDI]]*$R$112</f>
        <v>26.466472602739728</v>
      </c>
      <c r="W249" s="163"/>
      <c r="X249" s="163">
        <f ca="1">IMSS[[#This Row],[DIAS LAB]]*IMSS[[#This Row],[SDI]]*$R$113</f>
        <v>66.695510958904109</v>
      </c>
      <c r="Y249" s="163">
        <f ca="1">IMSS[[#This Row],[DIAS LAB]]*IMSS[[#This Row],[SDI]]*$R$114</f>
        <v>0</v>
      </c>
      <c r="Z249" s="163">
        <f ca="1">IMSS[[#This Row],[DIAS LAB]]*IMSS[[#This Row],[SDI]]*$R$115</f>
        <v>0</v>
      </c>
      <c r="AA249" s="163">
        <f ca="1">IMSS[[#This Row],[DIAS LAB]]*IMSS[[#This Row],[SDI]]*$R$116</f>
        <v>119.62845616438356</v>
      </c>
      <c r="AB249" s="163">
        <f ca="1">IMSS[[#This Row],[DIAS LAB]]*IMSS[[#This Row],[SDI]]*$R$117</f>
        <v>0</v>
      </c>
      <c r="AC249" s="247">
        <f ca="1">SUM(IMSS[[#This Row],[O RSG TRB]:[O INFONAVIT]])</f>
        <v>212.79043972602739</v>
      </c>
      <c r="AD249" s="163"/>
      <c r="AE249" s="165">
        <f ca="1">IMSS[[#This Row],[P TOTAL]]+IMSS[[#This Row],[O TOTAL]]</f>
        <v>2397.4722184315069</v>
      </c>
      <c r="AF249" s="163"/>
      <c r="AG249" s="163">
        <f>VLOOKUP(IMSS[[#This Row],[SUE MENS]],$AG$110:$AJ$120,1,1)</f>
        <v>5470.93</v>
      </c>
      <c r="AH249" s="163">
        <f>IMSS[[#This Row],[SUE MENS]]-IMSS[[#This Row],[LIM INF]]</f>
        <v>4070.0699999999997</v>
      </c>
      <c r="AI249" s="163">
        <f>IMSS[[#This Row],[EXC LIM INF]]*(VLOOKUP(IMSS[[#This Row],[LIM INF]],$AG$110:$AJ$120,4,0))</f>
        <v>442.82361600000002</v>
      </c>
      <c r="AJ249" s="163">
        <f>VLOOKUP(IMSS[[#This Row],[LIM INF]],$AG$110:$AJ$120,3)</f>
        <v>321.26</v>
      </c>
      <c r="AK249" s="163">
        <f>SUM(IMSS[[#This Row],[TASA EXC]]+IMSS[[#This Row],[CUOTA FIJA]])</f>
        <v>764.08361600000001</v>
      </c>
      <c r="AL249" s="163">
        <f>VLOOKUP(IMSS[[#This Row],[SUE MENS]],$AL$110:$AN$120,3,1)</f>
        <v>0</v>
      </c>
      <c r="AM249" s="248">
        <f>IF(IMSS[[#This Row],[ISR CARGO]]-IMSS[[#This Row],[SUBS ISR]]&gt;0,IMSS[[#This Row],[ISR CARGO]]-IMSS[[#This Row],[SUBS ISR]],0)</f>
        <v>764.08361600000001</v>
      </c>
      <c r="AN249" s="248">
        <f>IF(IMSS[[#This Row],[SUBS ISR]]-IMSS[[#This Row],[ISR CARGO]]&gt;0,IMSS[[#This Row],[SUBS ISR]]-IMSS[[#This Row],[ISR CARGO]],0)</f>
        <v>0</v>
      </c>
    </row>
    <row r="250" spans="3:40" ht="15" hidden="1" customHeight="1" x14ac:dyDescent="0.25">
      <c r="C250" s="243">
        <v>250</v>
      </c>
      <c r="D250" s="167" t="str">
        <f>VLOOKUP(IMSS[[#This Row],[NEM]],BDD[],2,0)</f>
        <v>Higinio Cerros Mayo</v>
      </c>
      <c r="E250" s="167" t="str">
        <f>VLOOKUP(IMSS[[#This Row],[NEM]],BDD[],9,0)</f>
        <v>ADMINCIÓN</v>
      </c>
      <c r="F250" s="168">
        <v>30</v>
      </c>
      <c r="G250" s="139">
        <f>VLOOKUP(IMSS[[#This Row],[NEM]],BDD[],3,0)</f>
        <v>9450</v>
      </c>
      <c r="H250" s="139">
        <f ca="1">VLOOKUP(IMSS[[#This Row],[NEM]],BDD[],25,0)</f>
        <v>349.52054794520546</v>
      </c>
      <c r="I250" s="143">
        <f>VLOOKUP(IMSS[[#This Row],[DEPT]],$B$3:$G$49,6,0)</f>
        <v>5.4355000000000002E-3</v>
      </c>
      <c r="J250" s="163">
        <f ca="1">IMSS[[#This Row],[DIAS LAB]]*IMSS[[#This Row],[SDI]]*IMSS[[#This Row],[% RSG]]*$Q$108</f>
        <v>56.994568150684934</v>
      </c>
      <c r="K250" s="163">
        <f>IMSS[[#This Row],[DIAS LAB]]*$J$110*$Q$109</f>
        <v>548.47440000000006</v>
      </c>
      <c r="L250" s="166">
        <f ca="1">IMSS[[#This Row],[DIAS LAB]]*IF(IMSS[[#This Row],[SDI]]-$J$113&gt;0,IMSS[[#This Row],[SDI]]-$J$113,0)*$Q$110</f>
        <v>26.617980821917797</v>
      </c>
      <c r="M250" s="166">
        <f ca="1">IMSS[[#This Row],[DIAS LAB]]*IMSS[[#This Row],[SDI]]*$Q$111</f>
        <v>110.09897260273974</v>
      </c>
      <c r="N250" s="163">
        <f ca="1">IMSS[[#This Row],[DIAS LAB]]*IMSS[[#This Row],[SDI]]*$Q$112</f>
        <v>73.399315068493152</v>
      </c>
      <c r="O250" s="166">
        <f ca="1">IMSS[[#This Row],[DIAS LAB]]*IMSS[[#This Row],[SDI]]*$Q$113</f>
        <v>183.4982876712329</v>
      </c>
      <c r="P250" s="163">
        <f ca="1">IMSS[[#This Row],[DIAS LAB]]*IMSS[[#This Row],[SDI]]*$Q$114</f>
        <v>104.85616438356165</v>
      </c>
      <c r="Q250" s="166">
        <f ca="1">IMSS[[#This Row],[DIAS LAB]]*IMSS[[#This Row],[SDI]]*$Q$115</f>
        <v>209.7123287671233</v>
      </c>
      <c r="R250" s="163">
        <f ca="1">IMSS[[#This Row],[DIAS LAB]]*IMSS[[#This Row],[SDI]]*$Q$116</f>
        <v>330.29691780821918</v>
      </c>
      <c r="S250" s="163">
        <f ca="1">IMSS[[#This Row],[DIAS LAB]]*IMSS[[#This Row],[SDI]]*$Q$117</f>
        <v>524.28082191780823</v>
      </c>
      <c r="T250" s="164">
        <f ca="1">SUM(IMSS[[#This Row],[P RSG TRB]:[P INFONAVIT]])</f>
        <v>2168.2297571917811</v>
      </c>
      <c r="U250" s="163">
        <f ca="1">IMSS[[#This Row],[DIAS LAB]]*IMSS[[#This Row],[SDI]]*IMSS[[#This Row],[% RSG]]*$R$108</f>
        <v>0</v>
      </c>
      <c r="V250" s="163">
        <f ca="1">IMSS[[#This Row],[DIAS LAB]]*IMSS[[#This Row],[SDI]]*$R$112</f>
        <v>26.214041095890412</v>
      </c>
      <c r="W250" s="163"/>
      <c r="X250" s="163">
        <f ca="1">IMSS[[#This Row],[DIAS LAB]]*IMSS[[#This Row],[SDI]]*$R$113</f>
        <v>66.059383561643841</v>
      </c>
      <c r="Y250" s="163">
        <f ca="1">IMSS[[#This Row],[DIAS LAB]]*IMSS[[#This Row],[SDI]]*$R$114</f>
        <v>0</v>
      </c>
      <c r="Z250" s="163">
        <f ca="1">IMSS[[#This Row],[DIAS LAB]]*IMSS[[#This Row],[SDI]]*$R$115</f>
        <v>0</v>
      </c>
      <c r="AA250" s="163">
        <f ca="1">IMSS[[#This Row],[DIAS LAB]]*IMSS[[#This Row],[SDI]]*$R$116</f>
        <v>118.48746575342466</v>
      </c>
      <c r="AB250" s="163">
        <f ca="1">IMSS[[#This Row],[DIAS LAB]]*IMSS[[#This Row],[SDI]]*$R$117</f>
        <v>0</v>
      </c>
      <c r="AC250" s="247">
        <f ca="1">SUM(IMSS[[#This Row],[O RSG TRB]:[O INFONAVIT]])</f>
        <v>210.76089041095889</v>
      </c>
      <c r="AD250" s="163"/>
      <c r="AE250" s="165">
        <f ca="1">IMSS[[#This Row],[P TOTAL]]+IMSS[[#This Row],[O TOTAL]]</f>
        <v>2378.99064760274</v>
      </c>
      <c r="AF250" s="163"/>
      <c r="AG250" s="163">
        <f>VLOOKUP(IMSS[[#This Row],[SUE MENS]],$AG$110:$AJ$120,1,1)</f>
        <v>5470.93</v>
      </c>
      <c r="AH250" s="163">
        <f>IMSS[[#This Row],[SUE MENS]]-IMSS[[#This Row],[LIM INF]]</f>
        <v>3979.0699999999997</v>
      </c>
      <c r="AI250" s="163">
        <f>IMSS[[#This Row],[EXC LIM INF]]*(VLOOKUP(IMSS[[#This Row],[LIM INF]],$AG$110:$AJ$120,4,0))</f>
        <v>432.92281600000001</v>
      </c>
      <c r="AJ250" s="163">
        <f>VLOOKUP(IMSS[[#This Row],[LIM INF]],$AG$110:$AJ$120,3)</f>
        <v>321.26</v>
      </c>
      <c r="AK250" s="163">
        <f>SUM(IMSS[[#This Row],[TASA EXC]]+IMSS[[#This Row],[CUOTA FIJA]])</f>
        <v>754.182816</v>
      </c>
      <c r="AL250" s="163">
        <f>VLOOKUP(IMSS[[#This Row],[SUE MENS]],$AL$110:$AN$120,3,1)</f>
        <v>0</v>
      </c>
      <c r="AM250" s="248">
        <f>IF(IMSS[[#This Row],[ISR CARGO]]-IMSS[[#This Row],[SUBS ISR]]&gt;0,IMSS[[#This Row],[ISR CARGO]]-IMSS[[#This Row],[SUBS ISR]],0)</f>
        <v>754.182816</v>
      </c>
      <c r="AN250" s="248">
        <f>IF(IMSS[[#This Row],[SUBS ISR]]-IMSS[[#This Row],[ISR CARGO]]&gt;0,IMSS[[#This Row],[SUBS ISR]]-IMSS[[#This Row],[ISR CARGO]],0)</f>
        <v>0</v>
      </c>
    </row>
    <row r="251" spans="3:40" ht="15" hidden="1" customHeight="1" x14ac:dyDescent="0.25">
      <c r="C251" s="243">
        <v>251</v>
      </c>
      <c r="D251" s="167" t="str">
        <f>VLOOKUP(IMSS[[#This Row],[NEM]],BDD[],2,0)</f>
        <v>Brian Rigoberto Quiroz Zamarron</v>
      </c>
      <c r="E251" s="167" t="str">
        <f>VLOOKUP(IMSS[[#This Row],[NEM]],BDD[],9,0)</f>
        <v>ADMINCIÓN</v>
      </c>
      <c r="F251" s="168">
        <v>30</v>
      </c>
      <c r="G251" s="139">
        <f>VLOOKUP(IMSS[[#This Row],[NEM]],BDD[],3,0)</f>
        <v>7445</v>
      </c>
      <c r="H251" s="139">
        <f ca="1">VLOOKUP(IMSS[[#This Row],[NEM]],BDD[],25,0)</f>
        <v>275.36301369863014</v>
      </c>
      <c r="I251" s="143">
        <f>VLOOKUP(IMSS[[#This Row],[DEPT]],$B$3:$G$49,6,0)</f>
        <v>5.4355000000000002E-3</v>
      </c>
      <c r="J251" s="163">
        <f ca="1">IMSS[[#This Row],[DIAS LAB]]*IMSS[[#This Row],[SDI]]*IMSS[[#This Row],[% RSG]]*$Q$108</f>
        <v>44.902069828767125</v>
      </c>
      <c r="K251" s="163">
        <f>IMSS[[#This Row],[DIAS LAB]]*$J$110*$Q$109</f>
        <v>548.47440000000006</v>
      </c>
      <c r="L251" s="166">
        <f ca="1">IMSS[[#This Row],[DIAS LAB]]*IF(IMSS[[#This Row],[SDI]]-$J$113&gt;0,IMSS[[#This Row],[SDI]]-$J$113,0)*$Q$110</f>
        <v>2.145994520547942</v>
      </c>
      <c r="M251" s="166">
        <f ca="1">IMSS[[#This Row],[DIAS LAB]]*IMSS[[#This Row],[SDI]]*$Q$111</f>
        <v>86.739349315068495</v>
      </c>
      <c r="N251" s="163">
        <f ca="1">IMSS[[#This Row],[DIAS LAB]]*IMSS[[#This Row],[SDI]]*$Q$112</f>
        <v>57.826232876712325</v>
      </c>
      <c r="O251" s="166">
        <f ca="1">IMSS[[#This Row],[DIAS LAB]]*IMSS[[#This Row],[SDI]]*$Q$113</f>
        <v>144.56558219178083</v>
      </c>
      <c r="P251" s="163">
        <f ca="1">IMSS[[#This Row],[DIAS LAB]]*IMSS[[#This Row],[SDI]]*$Q$114</f>
        <v>82.608904109589034</v>
      </c>
      <c r="Q251" s="166">
        <f ca="1">IMSS[[#This Row],[DIAS LAB]]*IMSS[[#This Row],[SDI]]*$Q$115</f>
        <v>165.21780821917807</v>
      </c>
      <c r="R251" s="163">
        <f ca="1">IMSS[[#This Row],[DIAS LAB]]*IMSS[[#This Row],[SDI]]*$Q$116</f>
        <v>260.21804794520546</v>
      </c>
      <c r="S251" s="163">
        <f ca="1">IMSS[[#This Row],[DIAS LAB]]*IMSS[[#This Row],[SDI]]*$Q$117</f>
        <v>413.04452054794524</v>
      </c>
      <c r="T251" s="164">
        <f ca="1">SUM(IMSS[[#This Row],[P RSG TRB]:[P INFONAVIT]])</f>
        <v>1805.7429095547946</v>
      </c>
      <c r="U251" s="163">
        <f ca="1">IMSS[[#This Row],[DIAS LAB]]*IMSS[[#This Row],[SDI]]*IMSS[[#This Row],[% RSG]]*$R$108</f>
        <v>0</v>
      </c>
      <c r="V251" s="163">
        <f ca="1">IMSS[[#This Row],[DIAS LAB]]*IMSS[[#This Row],[SDI]]*$R$112</f>
        <v>20.652226027397258</v>
      </c>
      <c r="W251" s="163"/>
      <c r="X251" s="163">
        <f ca="1">IMSS[[#This Row],[DIAS LAB]]*IMSS[[#This Row],[SDI]]*$R$113</f>
        <v>52.043609589041097</v>
      </c>
      <c r="Y251" s="163">
        <f ca="1">IMSS[[#This Row],[DIAS LAB]]*IMSS[[#This Row],[SDI]]*$R$114</f>
        <v>0</v>
      </c>
      <c r="Z251" s="163">
        <f ca="1">IMSS[[#This Row],[DIAS LAB]]*IMSS[[#This Row],[SDI]]*$R$115</f>
        <v>0</v>
      </c>
      <c r="AA251" s="163">
        <f ca="1">IMSS[[#This Row],[DIAS LAB]]*IMSS[[#This Row],[SDI]]*$R$116</f>
        <v>93.348061643835607</v>
      </c>
      <c r="AB251" s="163">
        <f ca="1">IMSS[[#This Row],[DIAS LAB]]*IMSS[[#This Row],[SDI]]*$R$117</f>
        <v>0</v>
      </c>
      <c r="AC251" s="247">
        <f ca="1">SUM(IMSS[[#This Row],[O RSG TRB]:[O INFONAVIT]])</f>
        <v>166.04389726027398</v>
      </c>
      <c r="AD251" s="163"/>
      <c r="AE251" s="165">
        <f ca="1">IMSS[[#This Row],[P TOTAL]]+IMSS[[#This Row],[O TOTAL]]</f>
        <v>1971.7868068150685</v>
      </c>
      <c r="AF251" s="163"/>
      <c r="AG251" s="163">
        <f>VLOOKUP(IMSS[[#This Row],[SUE MENS]],$AG$110:$AJ$120,1,1)</f>
        <v>5470.93</v>
      </c>
      <c r="AH251" s="163">
        <f>IMSS[[#This Row],[SUE MENS]]-IMSS[[#This Row],[LIM INF]]</f>
        <v>1974.0699999999997</v>
      </c>
      <c r="AI251" s="163">
        <f>IMSS[[#This Row],[EXC LIM INF]]*(VLOOKUP(IMSS[[#This Row],[LIM INF]],$AG$110:$AJ$120,4,0))</f>
        <v>214.77881599999998</v>
      </c>
      <c r="AJ251" s="163">
        <f>VLOOKUP(IMSS[[#This Row],[LIM INF]],$AG$110:$AJ$120,3)</f>
        <v>321.26</v>
      </c>
      <c r="AK251" s="163">
        <f>SUM(IMSS[[#This Row],[TASA EXC]]+IMSS[[#This Row],[CUOTA FIJA]])</f>
        <v>536.038816</v>
      </c>
      <c r="AL251" s="163">
        <f>VLOOKUP(IMSS[[#This Row],[SUE MENS]],$AL$110:$AN$120,3,1)</f>
        <v>0</v>
      </c>
      <c r="AM251" s="248">
        <f>IF(IMSS[[#This Row],[ISR CARGO]]-IMSS[[#This Row],[SUBS ISR]]&gt;0,IMSS[[#This Row],[ISR CARGO]]-IMSS[[#This Row],[SUBS ISR]],0)</f>
        <v>536.038816</v>
      </c>
      <c r="AN251" s="248">
        <f>IF(IMSS[[#This Row],[SUBS ISR]]-IMSS[[#This Row],[ISR CARGO]]&gt;0,IMSS[[#This Row],[SUBS ISR]]-IMSS[[#This Row],[ISR CARGO]],0)</f>
        <v>0</v>
      </c>
    </row>
    <row r="252" spans="3:40" ht="15" hidden="1" customHeight="1" x14ac:dyDescent="0.25">
      <c r="C252" s="243">
        <v>252</v>
      </c>
      <c r="D252" s="167" t="str">
        <f>VLOOKUP(IMSS[[#This Row],[NEM]],BDD[],2,0)</f>
        <v>Alberto Aldair Caballero Trujillo</v>
      </c>
      <c r="E252" s="167" t="str">
        <f>VLOOKUP(IMSS[[#This Row],[NEM]],BDD[],9,0)</f>
        <v>SOFTWARE</v>
      </c>
      <c r="F252" s="168">
        <v>30</v>
      </c>
      <c r="G252" s="139">
        <f>VLOOKUP(IMSS[[#This Row],[NEM]],BDD[],3,0)</f>
        <v>7950</v>
      </c>
      <c r="H252" s="139">
        <f ca="1">VLOOKUP(IMSS[[#This Row],[NEM]],BDD[],25,0)</f>
        <v>294.04109589041093</v>
      </c>
      <c r="I252" s="143">
        <f>VLOOKUP(IMSS[[#This Row],[DEPT]],$B$3:$G$49,6,0)</f>
        <v>1.130658E-2</v>
      </c>
      <c r="J252" s="163">
        <f ca="1">IMSS[[#This Row],[DIAS LAB]]*IMSS[[#This Row],[SDI]]*IMSS[[#This Row],[% RSG]]*$Q$108</f>
        <v>99.737975219178068</v>
      </c>
      <c r="K252" s="163">
        <f>IMSS[[#This Row],[DIAS LAB]]*$J$110*$Q$109</f>
        <v>548.47440000000006</v>
      </c>
      <c r="L252" s="166">
        <f ca="1">IMSS[[#This Row],[DIAS LAB]]*IF(IMSS[[#This Row],[SDI]]-$J$113&gt;0,IMSS[[#This Row],[SDI]]-$J$113,0)*$Q$110</f>
        <v>8.3097616438356017</v>
      </c>
      <c r="M252" s="166">
        <f ca="1">IMSS[[#This Row],[DIAS LAB]]*IMSS[[#This Row],[SDI]]*$Q$111</f>
        <v>92.622945205479439</v>
      </c>
      <c r="N252" s="163">
        <f ca="1">IMSS[[#This Row],[DIAS LAB]]*IMSS[[#This Row],[SDI]]*$Q$112</f>
        <v>61.748630136986293</v>
      </c>
      <c r="O252" s="166">
        <f ca="1">IMSS[[#This Row],[DIAS LAB]]*IMSS[[#This Row],[SDI]]*$Q$113</f>
        <v>154.37157534246575</v>
      </c>
      <c r="P252" s="163">
        <f ca="1">IMSS[[#This Row],[DIAS LAB]]*IMSS[[#This Row],[SDI]]*$Q$114</f>
        <v>88.212328767123267</v>
      </c>
      <c r="Q252" s="166">
        <f ca="1">IMSS[[#This Row],[DIAS LAB]]*IMSS[[#This Row],[SDI]]*$Q$115</f>
        <v>176.42465753424653</v>
      </c>
      <c r="R252" s="163">
        <f ca="1">IMSS[[#This Row],[DIAS LAB]]*IMSS[[#This Row],[SDI]]*$Q$116</f>
        <v>277.86883561643833</v>
      </c>
      <c r="S252" s="163">
        <f ca="1">IMSS[[#This Row],[DIAS LAB]]*IMSS[[#This Row],[SDI]]*$Q$117</f>
        <v>441.06164383561639</v>
      </c>
      <c r="T252" s="164">
        <f ca="1">SUM(IMSS[[#This Row],[P RSG TRB]:[P INFONAVIT]])</f>
        <v>1948.8327533013698</v>
      </c>
      <c r="U252" s="163">
        <f ca="1">IMSS[[#This Row],[DIAS LAB]]*IMSS[[#This Row],[SDI]]*IMSS[[#This Row],[% RSG]]*$R$108</f>
        <v>0</v>
      </c>
      <c r="V252" s="163">
        <f ca="1">IMSS[[#This Row],[DIAS LAB]]*IMSS[[#This Row],[SDI]]*$R$112</f>
        <v>22.053082191780817</v>
      </c>
      <c r="W252" s="163"/>
      <c r="X252" s="163">
        <f ca="1">IMSS[[#This Row],[DIAS LAB]]*IMSS[[#This Row],[SDI]]*$R$113</f>
        <v>55.573767123287659</v>
      </c>
      <c r="Y252" s="163">
        <f ca="1">IMSS[[#This Row],[DIAS LAB]]*IMSS[[#This Row],[SDI]]*$R$114</f>
        <v>0</v>
      </c>
      <c r="Z252" s="163">
        <f ca="1">IMSS[[#This Row],[DIAS LAB]]*IMSS[[#This Row],[SDI]]*$R$115</f>
        <v>0</v>
      </c>
      <c r="AA252" s="163">
        <f ca="1">IMSS[[#This Row],[DIAS LAB]]*IMSS[[#This Row],[SDI]]*$R$116</f>
        <v>99.679931506849286</v>
      </c>
      <c r="AB252" s="163">
        <f ca="1">IMSS[[#This Row],[DIAS LAB]]*IMSS[[#This Row],[SDI]]*$R$117</f>
        <v>0</v>
      </c>
      <c r="AC252" s="247">
        <f ca="1">SUM(IMSS[[#This Row],[O RSG TRB]:[O INFONAVIT]])</f>
        <v>177.30678082191776</v>
      </c>
      <c r="AD252" s="163"/>
      <c r="AE252" s="165">
        <f ca="1">IMSS[[#This Row],[P TOTAL]]+IMSS[[#This Row],[O TOTAL]]</f>
        <v>2126.1395341232874</v>
      </c>
      <c r="AF252" s="163"/>
      <c r="AG252" s="163">
        <f>VLOOKUP(IMSS[[#This Row],[SUE MENS]],$AG$110:$AJ$120,1,1)</f>
        <v>5470.93</v>
      </c>
      <c r="AH252" s="163">
        <f>IMSS[[#This Row],[SUE MENS]]-IMSS[[#This Row],[LIM INF]]</f>
        <v>2479.0699999999997</v>
      </c>
      <c r="AI252" s="163">
        <f>IMSS[[#This Row],[EXC LIM INF]]*(VLOOKUP(IMSS[[#This Row],[LIM INF]],$AG$110:$AJ$120,4,0))</f>
        <v>269.72281599999997</v>
      </c>
      <c r="AJ252" s="163">
        <f>VLOOKUP(IMSS[[#This Row],[LIM INF]],$AG$110:$AJ$120,3)</f>
        <v>321.26</v>
      </c>
      <c r="AK252" s="163">
        <f>SUM(IMSS[[#This Row],[TASA EXC]]+IMSS[[#This Row],[CUOTA FIJA]])</f>
        <v>590.98281599999996</v>
      </c>
      <c r="AL252" s="163">
        <f>VLOOKUP(IMSS[[#This Row],[SUE MENS]],$AL$110:$AN$120,3,1)</f>
        <v>0</v>
      </c>
      <c r="AM252" s="248">
        <f>IF(IMSS[[#This Row],[ISR CARGO]]-IMSS[[#This Row],[SUBS ISR]]&gt;0,IMSS[[#This Row],[ISR CARGO]]-IMSS[[#This Row],[SUBS ISR]],0)</f>
        <v>590.98281599999996</v>
      </c>
      <c r="AN252" s="248">
        <f>IF(IMSS[[#This Row],[SUBS ISR]]-IMSS[[#This Row],[ISR CARGO]]&gt;0,IMSS[[#This Row],[SUBS ISR]]-IMSS[[#This Row],[ISR CARGO]],0)</f>
        <v>0</v>
      </c>
    </row>
    <row r="253" spans="3:40" ht="15" hidden="1" customHeight="1" x14ac:dyDescent="0.25">
      <c r="C253" s="243">
        <v>253</v>
      </c>
      <c r="D253" s="167" t="str">
        <f>VLOOKUP(IMSS[[#This Row],[NEM]],BDD[],2,0)</f>
        <v>Mayra Alejandra Zamarrón Aguilar</v>
      </c>
      <c r="E253" s="167" t="str">
        <f>VLOOKUP(IMSS[[#This Row],[NEM]],BDD[],9,0)</f>
        <v>CONTA</v>
      </c>
      <c r="F253" s="168">
        <v>30</v>
      </c>
      <c r="G253" s="139">
        <f>VLOOKUP(IMSS[[#This Row],[NEM]],BDD[],3,0)</f>
        <v>8825</v>
      </c>
      <c r="H253" s="139">
        <f ca="1">VLOOKUP(IMSS[[#This Row],[NEM]],BDD[],25,0)</f>
        <v>326.40410958904113</v>
      </c>
      <c r="I253" s="143">
        <f>VLOOKUP(IMSS[[#This Row],[DEPT]],$B$3:$G$49,6,0)</f>
        <v>5.4355000000000002E-3</v>
      </c>
      <c r="J253" s="163">
        <f ca="1">IMSS[[#This Row],[DIAS LAB]]*IMSS[[#This Row],[SDI]]*IMSS[[#This Row],[% RSG]]*$Q$108</f>
        <v>53.225086130137001</v>
      </c>
      <c r="K253" s="163">
        <f>IMSS[[#This Row],[DIAS LAB]]*$J$110*$Q$109</f>
        <v>548.47440000000006</v>
      </c>
      <c r="L253" s="166">
        <f ca="1">IMSS[[#This Row],[DIAS LAB]]*IF(IMSS[[#This Row],[SDI]]-$J$113&gt;0,IMSS[[#This Row],[SDI]]-$J$113,0)*$Q$110</f>
        <v>18.989556164383565</v>
      </c>
      <c r="M253" s="166">
        <f ca="1">IMSS[[#This Row],[DIAS LAB]]*IMSS[[#This Row],[SDI]]*$Q$111</f>
        <v>102.81729452054797</v>
      </c>
      <c r="N253" s="163">
        <f ca="1">IMSS[[#This Row],[DIAS LAB]]*IMSS[[#This Row],[SDI]]*$Q$112</f>
        <v>68.544863013698645</v>
      </c>
      <c r="O253" s="166">
        <f ca="1">IMSS[[#This Row],[DIAS LAB]]*IMSS[[#This Row],[SDI]]*$Q$113</f>
        <v>171.36215753424662</v>
      </c>
      <c r="P253" s="163">
        <f ca="1">IMSS[[#This Row],[DIAS LAB]]*IMSS[[#This Row],[SDI]]*$Q$114</f>
        <v>97.921232876712352</v>
      </c>
      <c r="Q253" s="166">
        <f ca="1">IMSS[[#This Row],[DIAS LAB]]*IMSS[[#This Row],[SDI]]*$Q$115</f>
        <v>195.8424657534247</v>
      </c>
      <c r="R253" s="163">
        <f ca="1">IMSS[[#This Row],[DIAS LAB]]*IMSS[[#This Row],[SDI]]*$Q$116</f>
        <v>308.45188356164391</v>
      </c>
      <c r="S253" s="163">
        <f ca="1">IMSS[[#This Row],[DIAS LAB]]*IMSS[[#This Row],[SDI]]*$Q$117</f>
        <v>489.60616438356175</v>
      </c>
      <c r="T253" s="164">
        <f ca="1">SUM(IMSS[[#This Row],[P RSG TRB]:[P INFONAVIT]])</f>
        <v>2055.2351039383566</v>
      </c>
      <c r="U253" s="163">
        <f ca="1">IMSS[[#This Row],[DIAS LAB]]*IMSS[[#This Row],[SDI]]*IMSS[[#This Row],[% RSG]]*$R$108</f>
        <v>0</v>
      </c>
      <c r="V253" s="163">
        <f ca="1">IMSS[[#This Row],[DIAS LAB]]*IMSS[[#This Row],[SDI]]*$R$112</f>
        <v>24.480308219178088</v>
      </c>
      <c r="W253" s="163"/>
      <c r="X253" s="163">
        <f ca="1">IMSS[[#This Row],[DIAS LAB]]*IMSS[[#This Row],[SDI]]*$R$113</f>
        <v>61.690376712328778</v>
      </c>
      <c r="Y253" s="163">
        <f ca="1">IMSS[[#This Row],[DIAS LAB]]*IMSS[[#This Row],[SDI]]*$R$114</f>
        <v>0</v>
      </c>
      <c r="Z253" s="163">
        <f ca="1">IMSS[[#This Row],[DIAS LAB]]*IMSS[[#This Row],[SDI]]*$R$115</f>
        <v>0</v>
      </c>
      <c r="AA253" s="163">
        <f ca="1">IMSS[[#This Row],[DIAS LAB]]*IMSS[[#This Row],[SDI]]*$R$116</f>
        <v>110.65099315068494</v>
      </c>
      <c r="AB253" s="163">
        <f ca="1">IMSS[[#This Row],[DIAS LAB]]*IMSS[[#This Row],[SDI]]*$R$117</f>
        <v>0</v>
      </c>
      <c r="AC253" s="247">
        <f ca="1">SUM(IMSS[[#This Row],[O RSG TRB]:[O INFONAVIT]])</f>
        <v>196.8216780821918</v>
      </c>
      <c r="AD253" s="163"/>
      <c r="AE253" s="165">
        <f ca="1">IMSS[[#This Row],[P TOTAL]]+IMSS[[#This Row],[O TOTAL]]</f>
        <v>2252.0567820205483</v>
      </c>
      <c r="AF253" s="163"/>
      <c r="AG253" s="163">
        <f>VLOOKUP(IMSS[[#This Row],[SUE MENS]],$AG$110:$AJ$120,1,1)</f>
        <v>5470.93</v>
      </c>
      <c r="AH253" s="163">
        <f>IMSS[[#This Row],[SUE MENS]]-IMSS[[#This Row],[LIM INF]]</f>
        <v>3354.0699999999997</v>
      </c>
      <c r="AI253" s="163">
        <f>IMSS[[#This Row],[EXC LIM INF]]*(VLOOKUP(IMSS[[#This Row],[LIM INF]],$AG$110:$AJ$120,4,0))</f>
        <v>364.92281600000001</v>
      </c>
      <c r="AJ253" s="163">
        <f>VLOOKUP(IMSS[[#This Row],[LIM INF]],$AG$110:$AJ$120,3)</f>
        <v>321.26</v>
      </c>
      <c r="AK253" s="163">
        <f>SUM(IMSS[[#This Row],[TASA EXC]]+IMSS[[#This Row],[CUOTA FIJA]])</f>
        <v>686.182816</v>
      </c>
      <c r="AL253" s="163">
        <f>VLOOKUP(IMSS[[#This Row],[SUE MENS]],$AL$110:$AN$120,3,1)</f>
        <v>0</v>
      </c>
      <c r="AM253" s="248">
        <f>IF(IMSS[[#This Row],[ISR CARGO]]-IMSS[[#This Row],[SUBS ISR]]&gt;0,IMSS[[#This Row],[ISR CARGO]]-IMSS[[#This Row],[SUBS ISR]],0)</f>
        <v>686.182816</v>
      </c>
      <c r="AN253" s="248">
        <f>IF(IMSS[[#This Row],[SUBS ISR]]-IMSS[[#This Row],[ISR CARGO]]&gt;0,IMSS[[#This Row],[SUBS ISR]]-IMSS[[#This Row],[ISR CARGO]],0)</f>
        <v>0</v>
      </c>
    </row>
    <row r="254" spans="3:40" ht="15" hidden="1" customHeight="1" x14ac:dyDescent="0.25">
      <c r="C254" s="243">
        <v>254</v>
      </c>
      <c r="D254" s="167" t="str">
        <f>VLOOKUP(IMSS[[#This Row],[NEM]],BDD[],2,0)</f>
        <v>Odaliz Maríanela López Gutiérrez</v>
      </c>
      <c r="E254" s="167" t="str">
        <f>VLOOKUP(IMSS[[#This Row],[NEM]],BDD[],9,0)</f>
        <v>ADMINCIÓN</v>
      </c>
      <c r="F254" s="168">
        <v>30</v>
      </c>
      <c r="G254" s="139">
        <f>VLOOKUP(IMSS[[#This Row],[NEM]],BDD[],3,0)</f>
        <v>9450</v>
      </c>
      <c r="H254" s="139">
        <f ca="1">VLOOKUP(IMSS[[#This Row],[NEM]],BDD[],25,0)</f>
        <v>349.52054794520546</v>
      </c>
      <c r="I254" s="143">
        <f>VLOOKUP(IMSS[[#This Row],[DEPT]],$B$3:$G$49,6,0)</f>
        <v>5.4355000000000002E-3</v>
      </c>
      <c r="J254" s="163">
        <f ca="1">IMSS[[#This Row],[DIAS LAB]]*IMSS[[#This Row],[SDI]]*IMSS[[#This Row],[% RSG]]*$Q$108</f>
        <v>56.994568150684934</v>
      </c>
      <c r="K254" s="163">
        <f>IMSS[[#This Row],[DIAS LAB]]*$J$110*$Q$109</f>
        <v>548.47440000000006</v>
      </c>
      <c r="L254" s="166">
        <f ca="1">IMSS[[#This Row],[DIAS LAB]]*IF(IMSS[[#This Row],[SDI]]-$J$113&gt;0,IMSS[[#This Row],[SDI]]-$J$113,0)*$Q$110</f>
        <v>26.617980821917797</v>
      </c>
      <c r="M254" s="166">
        <f ca="1">IMSS[[#This Row],[DIAS LAB]]*IMSS[[#This Row],[SDI]]*$Q$111</f>
        <v>110.09897260273974</v>
      </c>
      <c r="N254" s="163">
        <f ca="1">IMSS[[#This Row],[DIAS LAB]]*IMSS[[#This Row],[SDI]]*$Q$112</f>
        <v>73.399315068493152</v>
      </c>
      <c r="O254" s="166">
        <f ca="1">IMSS[[#This Row],[DIAS LAB]]*IMSS[[#This Row],[SDI]]*$Q$113</f>
        <v>183.4982876712329</v>
      </c>
      <c r="P254" s="163">
        <f ca="1">IMSS[[#This Row],[DIAS LAB]]*IMSS[[#This Row],[SDI]]*$Q$114</f>
        <v>104.85616438356165</v>
      </c>
      <c r="Q254" s="166">
        <f ca="1">IMSS[[#This Row],[DIAS LAB]]*IMSS[[#This Row],[SDI]]*$Q$115</f>
        <v>209.7123287671233</v>
      </c>
      <c r="R254" s="163">
        <f ca="1">IMSS[[#This Row],[DIAS LAB]]*IMSS[[#This Row],[SDI]]*$Q$116</f>
        <v>330.29691780821918</v>
      </c>
      <c r="S254" s="163">
        <f ca="1">IMSS[[#This Row],[DIAS LAB]]*IMSS[[#This Row],[SDI]]*$Q$117</f>
        <v>524.28082191780823</v>
      </c>
      <c r="T254" s="164">
        <f ca="1">SUM(IMSS[[#This Row],[P RSG TRB]:[P INFONAVIT]])</f>
        <v>2168.2297571917811</v>
      </c>
      <c r="U254" s="163">
        <f ca="1">IMSS[[#This Row],[DIAS LAB]]*IMSS[[#This Row],[SDI]]*IMSS[[#This Row],[% RSG]]*$R$108</f>
        <v>0</v>
      </c>
      <c r="V254" s="163">
        <f ca="1">IMSS[[#This Row],[DIAS LAB]]*IMSS[[#This Row],[SDI]]*$R$112</f>
        <v>26.214041095890412</v>
      </c>
      <c r="W254" s="163"/>
      <c r="X254" s="163">
        <f ca="1">IMSS[[#This Row],[DIAS LAB]]*IMSS[[#This Row],[SDI]]*$R$113</f>
        <v>66.059383561643841</v>
      </c>
      <c r="Y254" s="163">
        <f ca="1">IMSS[[#This Row],[DIAS LAB]]*IMSS[[#This Row],[SDI]]*$R$114</f>
        <v>0</v>
      </c>
      <c r="Z254" s="163">
        <f ca="1">IMSS[[#This Row],[DIAS LAB]]*IMSS[[#This Row],[SDI]]*$R$115</f>
        <v>0</v>
      </c>
      <c r="AA254" s="163">
        <f ca="1">IMSS[[#This Row],[DIAS LAB]]*IMSS[[#This Row],[SDI]]*$R$116</f>
        <v>118.48746575342466</v>
      </c>
      <c r="AB254" s="163">
        <f ca="1">IMSS[[#This Row],[DIAS LAB]]*IMSS[[#This Row],[SDI]]*$R$117</f>
        <v>0</v>
      </c>
      <c r="AC254" s="247">
        <f ca="1">SUM(IMSS[[#This Row],[O RSG TRB]:[O INFONAVIT]])</f>
        <v>210.76089041095889</v>
      </c>
      <c r="AD254" s="163"/>
      <c r="AE254" s="165">
        <f ca="1">IMSS[[#This Row],[P TOTAL]]+IMSS[[#This Row],[O TOTAL]]</f>
        <v>2378.99064760274</v>
      </c>
      <c r="AF254" s="163"/>
      <c r="AG254" s="163">
        <f>VLOOKUP(IMSS[[#This Row],[SUE MENS]],$AG$110:$AJ$120,1,1)</f>
        <v>5470.93</v>
      </c>
      <c r="AH254" s="163">
        <f>IMSS[[#This Row],[SUE MENS]]-IMSS[[#This Row],[LIM INF]]</f>
        <v>3979.0699999999997</v>
      </c>
      <c r="AI254" s="163">
        <f>IMSS[[#This Row],[EXC LIM INF]]*(VLOOKUP(IMSS[[#This Row],[LIM INF]],$AG$110:$AJ$120,4,0))</f>
        <v>432.92281600000001</v>
      </c>
      <c r="AJ254" s="163">
        <f>VLOOKUP(IMSS[[#This Row],[LIM INF]],$AG$110:$AJ$120,3)</f>
        <v>321.26</v>
      </c>
      <c r="AK254" s="163">
        <f>SUM(IMSS[[#This Row],[TASA EXC]]+IMSS[[#This Row],[CUOTA FIJA]])</f>
        <v>754.182816</v>
      </c>
      <c r="AL254" s="163">
        <f>VLOOKUP(IMSS[[#This Row],[SUE MENS]],$AL$110:$AN$120,3,1)</f>
        <v>0</v>
      </c>
      <c r="AM254" s="248">
        <f>IF(IMSS[[#This Row],[ISR CARGO]]-IMSS[[#This Row],[SUBS ISR]]&gt;0,IMSS[[#This Row],[ISR CARGO]]-IMSS[[#This Row],[SUBS ISR]],0)</f>
        <v>754.182816</v>
      </c>
      <c r="AN254" s="248">
        <f>IF(IMSS[[#This Row],[SUBS ISR]]-IMSS[[#This Row],[ISR CARGO]]&gt;0,IMSS[[#This Row],[SUBS ISR]]-IMSS[[#This Row],[ISR CARGO]],0)</f>
        <v>0</v>
      </c>
    </row>
    <row r="255" spans="3:40" ht="15" hidden="1" customHeight="1" x14ac:dyDescent="0.25">
      <c r="C255" s="243">
        <v>255</v>
      </c>
      <c r="D255" s="167" t="str">
        <f>VLOOKUP(IMSS[[#This Row],[NEM]],BDD[],2,0)</f>
        <v>Debanhy Yamileth Parada Garza</v>
      </c>
      <c r="E255" s="167" t="str">
        <f>VLOOKUP(IMSS[[#This Row],[NEM]],BDD[],9,0)</f>
        <v>ARQUITECT</v>
      </c>
      <c r="F255" s="168">
        <v>30</v>
      </c>
      <c r="G255" s="139">
        <f>VLOOKUP(IMSS[[#This Row],[NEM]],BDD[],3,0)</f>
        <v>7445</v>
      </c>
      <c r="H255" s="139">
        <f ca="1">VLOOKUP(IMSS[[#This Row],[NEM]],BDD[],25,0)</f>
        <v>274.00319634703197</v>
      </c>
      <c r="I255" s="143">
        <f>VLOOKUP(IMSS[[#This Row],[DEPT]],$B$3:$G$49,6,0)</f>
        <v>2.5984400000000001E-2</v>
      </c>
      <c r="J255" s="163">
        <f ca="1">IMSS[[#This Row],[DIAS LAB]]*IMSS[[#This Row],[SDI]]*IMSS[[#This Row],[% RSG]]*$Q$108</f>
        <v>213.59425965479454</v>
      </c>
      <c r="K255" s="163">
        <f>IMSS[[#This Row],[DIAS LAB]]*$J$110*$Q$109</f>
        <v>548.47440000000006</v>
      </c>
      <c r="L255" s="166">
        <f ca="1">IMSS[[#This Row],[DIAS LAB]]*IF(IMSS[[#This Row],[SDI]]-$J$113&gt;0,IMSS[[#This Row],[SDI]]-$J$113,0)*$Q$110</f>
        <v>1.6972547945205467</v>
      </c>
      <c r="M255" s="166">
        <f ca="1">IMSS[[#This Row],[DIAS LAB]]*IMSS[[#This Row],[SDI]]*$Q$111</f>
        <v>86.311006849315078</v>
      </c>
      <c r="N255" s="163">
        <f ca="1">IMSS[[#This Row],[DIAS LAB]]*IMSS[[#This Row],[SDI]]*$Q$112</f>
        <v>57.540671232876718</v>
      </c>
      <c r="O255" s="166">
        <f ca="1">IMSS[[#This Row],[DIAS LAB]]*IMSS[[#This Row],[SDI]]*$Q$113</f>
        <v>143.8516780821918</v>
      </c>
      <c r="P255" s="163">
        <f ca="1">IMSS[[#This Row],[DIAS LAB]]*IMSS[[#This Row],[SDI]]*$Q$114</f>
        <v>82.200958904109598</v>
      </c>
      <c r="Q255" s="166">
        <f ca="1">IMSS[[#This Row],[DIAS LAB]]*IMSS[[#This Row],[SDI]]*$Q$115</f>
        <v>164.4019178082192</v>
      </c>
      <c r="R255" s="163">
        <f ca="1">IMSS[[#This Row],[DIAS LAB]]*IMSS[[#This Row],[SDI]]*$Q$116</f>
        <v>258.9330205479452</v>
      </c>
      <c r="S255" s="163">
        <f ca="1">IMSS[[#This Row],[DIAS LAB]]*IMSS[[#This Row],[SDI]]*$Q$117</f>
        <v>411.00479452054799</v>
      </c>
      <c r="T255" s="164">
        <f ca="1">SUM(IMSS[[#This Row],[P RSG TRB]:[P INFONAVIT]])</f>
        <v>1968.0099623945207</v>
      </c>
      <c r="U255" s="163">
        <f ca="1">IMSS[[#This Row],[DIAS LAB]]*IMSS[[#This Row],[SDI]]*IMSS[[#This Row],[% RSG]]*$R$108</f>
        <v>0</v>
      </c>
      <c r="V255" s="163">
        <f ca="1">IMSS[[#This Row],[DIAS LAB]]*IMSS[[#This Row],[SDI]]*$R$112</f>
        <v>20.550239726027399</v>
      </c>
      <c r="W255" s="163"/>
      <c r="X255" s="163">
        <f ca="1">IMSS[[#This Row],[DIAS LAB]]*IMSS[[#This Row],[SDI]]*$R$113</f>
        <v>51.786604109589042</v>
      </c>
      <c r="Y255" s="163">
        <f ca="1">IMSS[[#This Row],[DIAS LAB]]*IMSS[[#This Row],[SDI]]*$R$114</f>
        <v>0</v>
      </c>
      <c r="Z255" s="163">
        <f ca="1">IMSS[[#This Row],[DIAS LAB]]*IMSS[[#This Row],[SDI]]*$R$115</f>
        <v>0</v>
      </c>
      <c r="AA255" s="163">
        <f ca="1">IMSS[[#This Row],[DIAS LAB]]*IMSS[[#This Row],[SDI]]*$R$116</f>
        <v>92.887083561643834</v>
      </c>
      <c r="AB255" s="163">
        <f ca="1">IMSS[[#This Row],[DIAS LAB]]*IMSS[[#This Row],[SDI]]*$R$117</f>
        <v>0</v>
      </c>
      <c r="AC255" s="247">
        <f ca="1">SUM(IMSS[[#This Row],[O RSG TRB]:[O INFONAVIT]])</f>
        <v>165.22392739726027</v>
      </c>
      <c r="AD255" s="163"/>
      <c r="AE255" s="165">
        <f ca="1">IMSS[[#This Row],[P TOTAL]]+IMSS[[#This Row],[O TOTAL]]</f>
        <v>2133.2338897917812</v>
      </c>
      <c r="AF255" s="163"/>
      <c r="AG255" s="163">
        <f>VLOOKUP(IMSS[[#This Row],[SUE MENS]],$AG$110:$AJ$120,1,1)</f>
        <v>5470.93</v>
      </c>
      <c r="AH255" s="163">
        <f>IMSS[[#This Row],[SUE MENS]]-IMSS[[#This Row],[LIM INF]]</f>
        <v>1974.0699999999997</v>
      </c>
      <c r="AI255" s="163">
        <f>IMSS[[#This Row],[EXC LIM INF]]*(VLOOKUP(IMSS[[#This Row],[LIM INF]],$AG$110:$AJ$120,4,0))</f>
        <v>214.77881599999998</v>
      </c>
      <c r="AJ255" s="163">
        <f>VLOOKUP(IMSS[[#This Row],[LIM INF]],$AG$110:$AJ$120,3)</f>
        <v>321.26</v>
      </c>
      <c r="AK255" s="163">
        <f>SUM(IMSS[[#This Row],[TASA EXC]]+IMSS[[#This Row],[CUOTA FIJA]])</f>
        <v>536.038816</v>
      </c>
      <c r="AL255" s="163">
        <f>VLOOKUP(IMSS[[#This Row],[SUE MENS]],$AL$110:$AN$120,3,1)</f>
        <v>0</v>
      </c>
      <c r="AM255" s="248">
        <f>IF(IMSS[[#This Row],[ISR CARGO]]-IMSS[[#This Row],[SUBS ISR]]&gt;0,IMSS[[#This Row],[ISR CARGO]]-IMSS[[#This Row],[SUBS ISR]],0)</f>
        <v>536.038816</v>
      </c>
      <c r="AN255" s="248">
        <f>IF(IMSS[[#This Row],[SUBS ISR]]-IMSS[[#This Row],[ISR CARGO]]&gt;0,IMSS[[#This Row],[SUBS ISR]]-IMSS[[#This Row],[ISR CARGO]],0)</f>
        <v>0</v>
      </c>
    </row>
    <row r="256" spans="3:40" ht="15" hidden="1" customHeight="1" x14ac:dyDescent="0.25">
      <c r="C256" s="243">
        <v>256</v>
      </c>
      <c r="D256" s="167" t="str">
        <f>VLOOKUP(IMSS[[#This Row],[NEM]],BDD[],2,0)</f>
        <v>Francisco García Rodriguez</v>
      </c>
      <c r="E256" s="167" t="str">
        <f>VLOOKUP(IMSS[[#This Row],[NEM]],BDD[],9,0)</f>
        <v>ARQUITECT</v>
      </c>
      <c r="F256" s="168">
        <v>30</v>
      </c>
      <c r="G256" s="139">
        <f>VLOOKUP(IMSS[[#This Row],[NEM]],BDD[],3,0)</f>
        <v>7445</v>
      </c>
      <c r="H256" s="139">
        <f ca="1">VLOOKUP(IMSS[[#This Row],[NEM]],BDD[],25,0)</f>
        <v>274.00319634703197</v>
      </c>
      <c r="I256" s="143">
        <f>VLOOKUP(IMSS[[#This Row],[DEPT]],$B$3:$G$49,6,0)</f>
        <v>2.5984400000000001E-2</v>
      </c>
      <c r="J256" s="163">
        <f ca="1">IMSS[[#This Row],[DIAS LAB]]*IMSS[[#This Row],[SDI]]*IMSS[[#This Row],[% RSG]]*$Q$108</f>
        <v>213.59425965479454</v>
      </c>
      <c r="K256" s="163">
        <f>IMSS[[#This Row],[DIAS LAB]]*$J$110*$Q$109</f>
        <v>548.47440000000006</v>
      </c>
      <c r="L256" s="166">
        <f ca="1">IMSS[[#This Row],[DIAS LAB]]*IF(IMSS[[#This Row],[SDI]]-$J$113&gt;0,IMSS[[#This Row],[SDI]]-$J$113,0)*$Q$110</f>
        <v>1.6972547945205467</v>
      </c>
      <c r="M256" s="166">
        <f ca="1">IMSS[[#This Row],[DIAS LAB]]*IMSS[[#This Row],[SDI]]*$Q$111</f>
        <v>86.311006849315078</v>
      </c>
      <c r="N256" s="163">
        <f ca="1">IMSS[[#This Row],[DIAS LAB]]*IMSS[[#This Row],[SDI]]*$Q$112</f>
        <v>57.540671232876718</v>
      </c>
      <c r="O256" s="166">
        <f ca="1">IMSS[[#This Row],[DIAS LAB]]*IMSS[[#This Row],[SDI]]*$Q$113</f>
        <v>143.8516780821918</v>
      </c>
      <c r="P256" s="163">
        <f ca="1">IMSS[[#This Row],[DIAS LAB]]*IMSS[[#This Row],[SDI]]*$Q$114</f>
        <v>82.200958904109598</v>
      </c>
      <c r="Q256" s="166">
        <f ca="1">IMSS[[#This Row],[DIAS LAB]]*IMSS[[#This Row],[SDI]]*$Q$115</f>
        <v>164.4019178082192</v>
      </c>
      <c r="R256" s="163">
        <f ca="1">IMSS[[#This Row],[DIAS LAB]]*IMSS[[#This Row],[SDI]]*$Q$116</f>
        <v>258.9330205479452</v>
      </c>
      <c r="S256" s="163">
        <f ca="1">IMSS[[#This Row],[DIAS LAB]]*IMSS[[#This Row],[SDI]]*$Q$117</f>
        <v>411.00479452054799</v>
      </c>
      <c r="T256" s="164">
        <f ca="1">SUM(IMSS[[#This Row],[P RSG TRB]:[P INFONAVIT]])</f>
        <v>1968.0099623945207</v>
      </c>
      <c r="U256" s="163">
        <f ca="1">IMSS[[#This Row],[DIAS LAB]]*IMSS[[#This Row],[SDI]]*IMSS[[#This Row],[% RSG]]*$R$108</f>
        <v>0</v>
      </c>
      <c r="V256" s="163">
        <f ca="1">IMSS[[#This Row],[DIAS LAB]]*IMSS[[#This Row],[SDI]]*$R$112</f>
        <v>20.550239726027399</v>
      </c>
      <c r="W256" s="163"/>
      <c r="X256" s="163">
        <f ca="1">IMSS[[#This Row],[DIAS LAB]]*IMSS[[#This Row],[SDI]]*$R$113</f>
        <v>51.786604109589042</v>
      </c>
      <c r="Y256" s="163">
        <f ca="1">IMSS[[#This Row],[DIAS LAB]]*IMSS[[#This Row],[SDI]]*$R$114</f>
        <v>0</v>
      </c>
      <c r="Z256" s="163">
        <f ca="1">IMSS[[#This Row],[DIAS LAB]]*IMSS[[#This Row],[SDI]]*$R$115</f>
        <v>0</v>
      </c>
      <c r="AA256" s="163">
        <f ca="1">IMSS[[#This Row],[DIAS LAB]]*IMSS[[#This Row],[SDI]]*$R$116</f>
        <v>92.887083561643834</v>
      </c>
      <c r="AB256" s="163">
        <f ca="1">IMSS[[#This Row],[DIAS LAB]]*IMSS[[#This Row],[SDI]]*$R$117</f>
        <v>0</v>
      </c>
      <c r="AC256" s="247">
        <f ca="1">SUM(IMSS[[#This Row],[O RSG TRB]:[O INFONAVIT]])</f>
        <v>165.22392739726027</v>
      </c>
      <c r="AD256" s="163"/>
      <c r="AE256" s="165">
        <f ca="1">IMSS[[#This Row],[P TOTAL]]+IMSS[[#This Row],[O TOTAL]]</f>
        <v>2133.2338897917812</v>
      </c>
      <c r="AF256" s="163"/>
      <c r="AG256" s="163">
        <f>VLOOKUP(IMSS[[#This Row],[SUE MENS]],$AG$110:$AJ$120,1,1)</f>
        <v>5470.93</v>
      </c>
      <c r="AH256" s="163">
        <f>IMSS[[#This Row],[SUE MENS]]-IMSS[[#This Row],[LIM INF]]</f>
        <v>1974.0699999999997</v>
      </c>
      <c r="AI256" s="163">
        <f>IMSS[[#This Row],[EXC LIM INF]]*(VLOOKUP(IMSS[[#This Row],[LIM INF]],$AG$110:$AJ$120,4,0))</f>
        <v>214.77881599999998</v>
      </c>
      <c r="AJ256" s="163">
        <f>VLOOKUP(IMSS[[#This Row],[LIM INF]],$AG$110:$AJ$120,3)</f>
        <v>321.26</v>
      </c>
      <c r="AK256" s="163">
        <f>SUM(IMSS[[#This Row],[TASA EXC]]+IMSS[[#This Row],[CUOTA FIJA]])</f>
        <v>536.038816</v>
      </c>
      <c r="AL256" s="163">
        <f>VLOOKUP(IMSS[[#This Row],[SUE MENS]],$AL$110:$AN$120,3,1)</f>
        <v>0</v>
      </c>
      <c r="AM256" s="248">
        <f>IF(IMSS[[#This Row],[ISR CARGO]]-IMSS[[#This Row],[SUBS ISR]]&gt;0,IMSS[[#This Row],[ISR CARGO]]-IMSS[[#This Row],[SUBS ISR]],0)</f>
        <v>536.038816</v>
      </c>
      <c r="AN256" s="248">
        <f>IF(IMSS[[#This Row],[SUBS ISR]]-IMSS[[#This Row],[ISR CARGO]]&gt;0,IMSS[[#This Row],[SUBS ISR]]-IMSS[[#This Row],[ISR CARGO]],0)</f>
        <v>0</v>
      </c>
    </row>
    <row r="257" spans="3:40" ht="15" hidden="1" customHeight="1" x14ac:dyDescent="0.25">
      <c r="C257" s="243">
        <v>257</v>
      </c>
      <c r="D257" s="167" t="str">
        <f>VLOOKUP(IMSS[[#This Row],[NEM]],BDD[],2,0)</f>
        <v>Fernanda Isabel Flores García</v>
      </c>
      <c r="E257" s="167" t="str">
        <f>VLOOKUP(IMSS[[#This Row],[NEM]],BDD[],9,0)</f>
        <v>AUDIT PROY</v>
      </c>
      <c r="F257" s="168">
        <v>30</v>
      </c>
      <c r="G257" s="139">
        <f>VLOOKUP(IMSS[[#This Row],[NEM]],BDD[],3,0)</f>
        <v>7445</v>
      </c>
      <c r="H257" s="139">
        <f ca="1">VLOOKUP(IMSS[[#This Row],[NEM]],BDD[],25,0)</f>
        <v>274.00319634703197</v>
      </c>
      <c r="I257" s="143">
        <f>VLOOKUP(IMSS[[#This Row],[DEPT]],$B$3:$G$49,6,0)</f>
        <v>1.130658E-2</v>
      </c>
      <c r="J257" s="163">
        <f ca="1">IMSS[[#This Row],[DIAS LAB]]*IMSS[[#This Row],[SDI]]*IMSS[[#This Row],[% RSG]]*$Q$108</f>
        <v>92.941171792602745</v>
      </c>
      <c r="K257" s="163">
        <f>IMSS[[#This Row],[DIAS LAB]]*$J$110*$Q$109</f>
        <v>548.47440000000006</v>
      </c>
      <c r="L257" s="166">
        <f ca="1">IMSS[[#This Row],[DIAS LAB]]*IF(IMSS[[#This Row],[SDI]]-$J$113&gt;0,IMSS[[#This Row],[SDI]]-$J$113,0)*$Q$110</f>
        <v>1.6972547945205467</v>
      </c>
      <c r="M257" s="166">
        <f ca="1">IMSS[[#This Row],[DIAS LAB]]*IMSS[[#This Row],[SDI]]*$Q$111</f>
        <v>86.311006849315078</v>
      </c>
      <c r="N257" s="163">
        <f ca="1">IMSS[[#This Row],[DIAS LAB]]*IMSS[[#This Row],[SDI]]*$Q$112</f>
        <v>57.540671232876718</v>
      </c>
      <c r="O257" s="166">
        <f ca="1">IMSS[[#This Row],[DIAS LAB]]*IMSS[[#This Row],[SDI]]*$Q$113</f>
        <v>143.8516780821918</v>
      </c>
      <c r="P257" s="163">
        <f ca="1">IMSS[[#This Row],[DIAS LAB]]*IMSS[[#This Row],[SDI]]*$Q$114</f>
        <v>82.200958904109598</v>
      </c>
      <c r="Q257" s="166">
        <f ca="1">IMSS[[#This Row],[DIAS LAB]]*IMSS[[#This Row],[SDI]]*$Q$115</f>
        <v>164.4019178082192</v>
      </c>
      <c r="R257" s="163">
        <f ca="1">IMSS[[#This Row],[DIAS LAB]]*IMSS[[#This Row],[SDI]]*$Q$116</f>
        <v>258.9330205479452</v>
      </c>
      <c r="S257" s="163">
        <f ca="1">IMSS[[#This Row],[DIAS LAB]]*IMSS[[#This Row],[SDI]]*$Q$117</f>
        <v>411.00479452054799</v>
      </c>
      <c r="T257" s="164">
        <f ca="1">SUM(IMSS[[#This Row],[P RSG TRB]:[P INFONAVIT]])</f>
        <v>1847.3568745323291</v>
      </c>
      <c r="U257" s="163">
        <f ca="1">IMSS[[#This Row],[DIAS LAB]]*IMSS[[#This Row],[SDI]]*IMSS[[#This Row],[% RSG]]*$R$108</f>
        <v>0</v>
      </c>
      <c r="V257" s="163">
        <f ca="1">IMSS[[#This Row],[DIAS LAB]]*IMSS[[#This Row],[SDI]]*$R$112</f>
        <v>20.550239726027399</v>
      </c>
      <c r="W257" s="163"/>
      <c r="X257" s="163">
        <f ca="1">IMSS[[#This Row],[DIAS LAB]]*IMSS[[#This Row],[SDI]]*$R$113</f>
        <v>51.786604109589042</v>
      </c>
      <c r="Y257" s="163">
        <f ca="1">IMSS[[#This Row],[DIAS LAB]]*IMSS[[#This Row],[SDI]]*$R$114</f>
        <v>0</v>
      </c>
      <c r="Z257" s="163">
        <f ca="1">IMSS[[#This Row],[DIAS LAB]]*IMSS[[#This Row],[SDI]]*$R$115</f>
        <v>0</v>
      </c>
      <c r="AA257" s="163">
        <f ca="1">IMSS[[#This Row],[DIAS LAB]]*IMSS[[#This Row],[SDI]]*$R$116</f>
        <v>92.887083561643834</v>
      </c>
      <c r="AB257" s="163">
        <f ca="1">IMSS[[#This Row],[DIAS LAB]]*IMSS[[#This Row],[SDI]]*$R$117</f>
        <v>0</v>
      </c>
      <c r="AC257" s="247">
        <f ca="1">SUM(IMSS[[#This Row],[O RSG TRB]:[O INFONAVIT]])</f>
        <v>165.22392739726027</v>
      </c>
      <c r="AD257" s="163"/>
      <c r="AE257" s="165">
        <f ca="1">IMSS[[#This Row],[P TOTAL]]+IMSS[[#This Row],[O TOTAL]]</f>
        <v>2012.5808019295894</v>
      </c>
      <c r="AF257" s="163"/>
      <c r="AG257" s="163">
        <f>VLOOKUP(IMSS[[#This Row],[SUE MENS]],$AG$110:$AJ$120,1,1)</f>
        <v>5470.93</v>
      </c>
      <c r="AH257" s="163">
        <f>IMSS[[#This Row],[SUE MENS]]-IMSS[[#This Row],[LIM INF]]</f>
        <v>1974.0699999999997</v>
      </c>
      <c r="AI257" s="163">
        <f>IMSS[[#This Row],[EXC LIM INF]]*(VLOOKUP(IMSS[[#This Row],[LIM INF]],$AG$110:$AJ$120,4,0))</f>
        <v>214.77881599999998</v>
      </c>
      <c r="AJ257" s="163">
        <f>VLOOKUP(IMSS[[#This Row],[LIM INF]],$AG$110:$AJ$120,3)</f>
        <v>321.26</v>
      </c>
      <c r="AK257" s="163">
        <f>SUM(IMSS[[#This Row],[TASA EXC]]+IMSS[[#This Row],[CUOTA FIJA]])</f>
        <v>536.038816</v>
      </c>
      <c r="AL257" s="163">
        <f>VLOOKUP(IMSS[[#This Row],[SUE MENS]],$AL$110:$AN$120,3,1)</f>
        <v>0</v>
      </c>
      <c r="AM257" s="248">
        <f>IF(IMSS[[#This Row],[ISR CARGO]]-IMSS[[#This Row],[SUBS ISR]]&gt;0,IMSS[[#This Row],[ISR CARGO]]-IMSS[[#This Row],[SUBS ISR]],0)</f>
        <v>536.038816</v>
      </c>
      <c r="AN257" s="248">
        <f>IF(IMSS[[#This Row],[SUBS ISR]]-IMSS[[#This Row],[ISR CARGO]]&gt;0,IMSS[[#This Row],[SUBS ISR]]-IMSS[[#This Row],[ISR CARGO]],0)</f>
        <v>0</v>
      </c>
    </row>
    <row r="258" spans="3:40" ht="15" hidden="1" customHeight="1" x14ac:dyDescent="0.25">
      <c r="C258" s="243">
        <v>258</v>
      </c>
      <c r="D258" s="167" t="str">
        <f>VLOOKUP(IMSS[[#This Row],[NEM]],BDD[],2,0)</f>
        <v>Danna Arely Ortiz García</v>
      </c>
      <c r="E258" s="167" t="str">
        <f>VLOOKUP(IMSS[[#This Row],[NEM]],BDD[],9,0)</f>
        <v>CONTA</v>
      </c>
      <c r="F258" s="168">
        <v>30</v>
      </c>
      <c r="G258" s="139">
        <f>VLOOKUP(IMSS[[#This Row],[NEM]],BDD[],3,0)</f>
        <v>7445</v>
      </c>
      <c r="H258" s="139">
        <f ca="1">VLOOKUP(IMSS[[#This Row],[NEM]],BDD[],25,0)</f>
        <v>274.00319634703197</v>
      </c>
      <c r="I258" s="143">
        <f>VLOOKUP(IMSS[[#This Row],[DEPT]],$B$3:$G$49,6,0)</f>
        <v>5.4355000000000002E-3</v>
      </c>
      <c r="J258" s="163">
        <f ca="1">IMSS[[#This Row],[DIAS LAB]]*IMSS[[#This Row],[SDI]]*IMSS[[#This Row],[% RSG]]*$Q$108</f>
        <v>44.680331212328774</v>
      </c>
      <c r="K258" s="163">
        <f>IMSS[[#This Row],[DIAS LAB]]*$J$110*$Q$109</f>
        <v>548.47440000000006</v>
      </c>
      <c r="L258" s="166">
        <f ca="1">IMSS[[#This Row],[DIAS LAB]]*IF(IMSS[[#This Row],[SDI]]-$J$113&gt;0,IMSS[[#This Row],[SDI]]-$J$113,0)*$Q$110</f>
        <v>1.6972547945205467</v>
      </c>
      <c r="M258" s="166">
        <f ca="1">IMSS[[#This Row],[DIAS LAB]]*IMSS[[#This Row],[SDI]]*$Q$111</f>
        <v>86.311006849315078</v>
      </c>
      <c r="N258" s="163">
        <f ca="1">IMSS[[#This Row],[DIAS LAB]]*IMSS[[#This Row],[SDI]]*$Q$112</f>
        <v>57.540671232876718</v>
      </c>
      <c r="O258" s="166">
        <f ca="1">IMSS[[#This Row],[DIAS LAB]]*IMSS[[#This Row],[SDI]]*$Q$113</f>
        <v>143.8516780821918</v>
      </c>
      <c r="P258" s="163">
        <f ca="1">IMSS[[#This Row],[DIAS LAB]]*IMSS[[#This Row],[SDI]]*$Q$114</f>
        <v>82.200958904109598</v>
      </c>
      <c r="Q258" s="166">
        <f ca="1">IMSS[[#This Row],[DIAS LAB]]*IMSS[[#This Row],[SDI]]*$Q$115</f>
        <v>164.4019178082192</v>
      </c>
      <c r="R258" s="163">
        <f ca="1">IMSS[[#This Row],[DIAS LAB]]*IMSS[[#This Row],[SDI]]*$Q$116</f>
        <v>258.9330205479452</v>
      </c>
      <c r="S258" s="163">
        <f ca="1">IMSS[[#This Row],[DIAS LAB]]*IMSS[[#This Row],[SDI]]*$Q$117</f>
        <v>411.00479452054799</v>
      </c>
      <c r="T258" s="164">
        <f ca="1">SUM(IMSS[[#This Row],[P RSG TRB]:[P INFONAVIT]])</f>
        <v>1799.0960339520548</v>
      </c>
      <c r="U258" s="163">
        <f ca="1">IMSS[[#This Row],[DIAS LAB]]*IMSS[[#This Row],[SDI]]*IMSS[[#This Row],[% RSG]]*$R$108</f>
        <v>0</v>
      </c>
      <c r="V258" s="163">
        <f ca="1">IMSS[[#This Row],[DIAS LAB]]*IMSS[[#This Row],[SDI]]*$R$112</f>
        <v>20.550239726027399</v>
      </c>
      <c r="W258" s="163"/>
      <c r="X258" s="163">
        <f ca="1">IMSS[[#This Row],[DIAS LAB]]*IMSS[[#This Row],[SDI]]*$R$113</f>
        <v>51.786604109589042</v>
      </c>
      <c r="Y258" s="163">
        <f ca="1">IMSS[[#This Row],[DIAS LAB]]*IMSS[[#This Row],[SDI]]*$R$114</f>
        <v>0</v>
      </c>
      <c r="Z258" s="163">
        <f ca="1">IMSS[[#This Row],[DIAS LAB]]*IMSS[[#This Row],[SDI]]*$R$115</f>
        <v>0</v>
      </c>
      <c r="AA258" s="163">
        <f ca="1">IMSS[[#This Row],[DIAS LAB]]*IMSS[[#This Row],[SDI]]*$R$116</f>
        <v>92.887083561643834</v>
      </c>
      <c r="AB258" s="163">
        <f ca="1">IMSS[[#This Row],[DIAS LAB]]*IMSS[[#This Row],[SDI]]*$R$117</f>
        <v>0</v>
      </c>
      <c r="AC258" s="247">
        <f ca="1">SUM(IMSS[[#This Row],[O RSG TRB]:[O INFONAVIT]])</f>
        <v>165.22392739726027</v>
      </c>
      <c r="AD258" s="163"/>
      <c r="AE258" s="165">
        <f ca="1">IMSS[[#This Row],[P TOTAL]]+IMSS[[#This Row],[O TOTAL]]</f>
        <v>1964.319961349315</v>
      </c>
      <c r="AF258" s="163"/>
      <c r="AG258" s="163">
        <f>VLOOKUP(IMSS[[#This Row],[SUE MENS]],$AG$110:$AJ$120,1,1)</f>
        <v>5470.93</v>
      </c>
      <c r="AH258" s="163">
        <f>IMSS[[#This Row],[SUE MENS]]-IMSS[[#This Row],[LIM INF]]</f>
        <v>1974.0699999999997</v>
      </c>
      <c r="AI258" s="163">
        <f>IMSS[[#This Row],[EXC LIM INF]]*(VLOOKUP(IMSS[[#This Row],[LIM INF]],$AG$110:$AJ$120,4,0))</f>
        <v>214.77881599999998</v>
      </c>
      <c r="AJ258" s="163">
        <f>VLOOKUP(IMSS[[#This Row],[LIM INF]],$AG$110:$AJ$120,3)</f>
        <v>321.26</v>
      </c>
      <c r="AK258" s="163">
        <f>SUM(IMSS[[#This Row],[TASA EXC]]+IMSS[[#This Row],[CUOTA FIJA]])</f>
        <v>536.038816</v>
      </c>
      <c r="AL258" s="163">
        <f>VLOOKUP(IMSS[[#This Row],[SUE MENS]],$AL$110:$AN$120,3,1)</f>
        <v>0</v>
      </c>
      <c r="AM258" s="248">
        <f>IF(IMSS[[#This Row],[ISR CARGO]]-IMSS[[#This Row],[SUBS ISR]]&gt;0,IMSS[[#This Row],[ISR CARGO]]-IMSS[[#This Row],[SUBS ISR]],0)</f>
        <v>536.038816</v>
      </c>
      <c r="AN258" s="248">
        <f>IF(IMSS[[#This Row],[SUBS ISR]]-IMSS[[#This Row],[ISR CARGO]]&gt;0,IMSS[[#This Row],[SUBS ISR]]-IMSS[[#This Row],[ISR CARGO]],0)</f>
        <v>0</v>
      </c>
    </row>
    <row r="259" spans="3:40" ht="15" hidden="1" customHeight="1" x14ac:dyDescent="0.25">
      <c r="C259" s="243">
        <v>260</v>
      </c>
      <c r="D259" s="167" t="str">
        <f>VLOOKUP(IMSS[[#This Row],[NEM]],BDD[],2,0)</f>
        <v>Maura Carbajal Crispin</v>
      </c>
      <c r="E259" s="167" t="str">
        <f>VLOOKUP(IMSS[[#This Row],[NEM]],BDD[],9,0)</f>
        <v>SOLUCIONES</v>
      </c>
      <c r="F259" s="168">
        <v>30</v>
      </c>
      <c r="G259" s="139">
        <f>VLOOKUP(IMSS[[#This Row],[NEM]],BDD[],3,0)</f>
        <v>9541</v>
      </c>
      <c r="H259" s="139">
        <f ca="1">VLOOKUP(IMSS[[#This Row],[NEM]],BDD[],25,0)</f>
        <v>351.14365296803658</v>
      </c>
      <c r="I259" s="143">
        <f>VLOOKUP(IMSS[[#This Row],[DEPT]],$B$3:$G$49,6,0)</f>
        <v>5.4355000000000002E-3</v>
      </c>
      <c r="J259" s="163">
        <f ca="1">IMSS[[#This Row],[DIAS LAB]]*IMSS[[#This Row],[SDI]]*IMSS[[#This Row],[% RSG]]*$Q$108</f>
        <v>57.259239771232885</v>
      </c>
      <c r="K259" s="163">
        <f>IMSS[[#This Row],[DIAS LAB]]*$J$110*$Q$109</f>
        <v>548.47440000000006</v>
      </c>
      <c r="L259" s="166">
        <f ca="1">IMSS[[#This Row],[DIAS LAB]]*IF(IMSS[[#This Row],[SDI]]-$J$113&gt;0,IMSS[[#This Row],[SDI]]-$J$113,0)*$Q$110</f>
        <v>27.153605479452061</v>
      </c>
      <c r="M259" s="166">
        <f ca="1">IMSS[[#This Row],[DIAS LAB]]*IMSS[[#This Row],[SDI]]*$Q$111</f>
        <v>110.61025068493153</v>
      </c>
      <c r="N259" s="163">
        <f ca="1">IMSS[[#This Row],[DIAS LAB]]*IMSS[[#This Row],[SDI]]*$Q$112</f>
        <v>73.740167123287677</v>
      </c>
      <c r="O259" s="166">
        <f ca="1">IMSS[[#This Row],[DIAS LAB]]*IMSS[[#This Row],[SDI]]*$Q$113</f>
        <v>184.35041780821922</v>
      </c>
      <c r="P259" s="163">
        <f ca="1">IMSS[[#This Row],[DIAS LAB]]*IMSS[[#This Row],[SDI]]*$Q$114</f>
        <v>105.34309589041096</v>
      </c>
      <c r="Q259" s="166">
        <f ca="1">IMSS[[#This Row],[DIAS LAB]]*IMSS[[#This Row],[SDI]]*$Q$115</f>
        <v>210.68619178082193</v>
      </c>
      <c r="R259" s="163">
        <f ca="1">IMSS[[#This Row],[DIAS LAB]]*IMSS[[#This Row],[SDI]]*$Q$116</f>
        <v>331.83075205479457</v>
      </c>
      <c r="S259" s="163">
        <f ca="1">IMSS[[#This Row],[DIAS LAB]]*IMSS[[#This Row],[SDI]]*$Q$117</f>
        <v>526.71547945205486</v>
      </c>
      <c r="T259" s="164">
        <f ca="1">SUM(IMSS[[#This Row],[P RSG TRB]:[P INFONAVIT]])</f>
        <v>2176.1636000452058</v>
      </c>
      <c r="U259" s="163">
        <f ca="1">IMSS[[#This Row],[DIAS LAB]]*IMSS[[#This Row],[SDI]]*IMSS[[#This Row],[% RSG]]*$R$108</f>
        <v>0</v>
      </c>
      <c r="V259" s="163">
        <f ca="1">IMSS[[#This Row],[DIAS LAB]]*IMSS[[#This Row],[SDI]]*$R$112</f>
        <v>26.335773972602741</v>
      </c>
      <c r="W259" s="163"/>
      <c r="X259" s="163">
        <f ca="1">IMSS[[#This Row],[DIAS LAB]]*IMSS[[#This Row],[SDI]]*$R$113</f>
        <v>66.366150410958909</v>
      </c>
      <c r="Y259" s="163">
        <f ca="1">IMSS[[#This Row],[DIAS LAB]]*IMSS[[#This Row],[SDI]]*$R$114</f>
        <v>0</v>
      </c>
      <c r="Z259" s="163">
        <f ca="1">IMSS[[#This Row],[DIAS LAB]]*IMSS[[#This Row],[SDI]]*$R$115</f>
        <v>0</v>
      </c>
      <c r="AA259" s="163">
        <f ca="1">IMSS[[#This Row],[DIAS LAB]]*IMSS[[#This Row],[SDI]]*$R$116</f>
        <v>119.03769835616438</v>
      </c>
      <c r="AB259" s="163">
        <f ca="1">IMSS[[#This Row],[DIAS LAB]]*IMSS[[#This Row],[SDI]]*$R$117</f>
        <v>0</v>
      </c>
      <c r="AC259" s="247">
        <f ca="1">SUM(IMSS[[#This Row],[O RSG TRB]:[O INFONAVIT]])</f>
        <v>211.73962273972603</v>
      </c>
      <c r="AD259" s="163"/>
      <c r="AE259" s="165">
        <f ca="1">IMSS[[#This Row],[P TOTAL]]+IMSS[[#This Row],[O TOTAL]]</f>
        <v>2387.903222784932</v>
      </c>
      <c r="AF259" s="163"/>
      <c r="AG259" s="163">
        <f>VLOOKUP(IMSS[[#This Row],[SUE MENS]],$AG$110:$AJ$120,1,1)</f>
        <v>5470.93</v>
      </c>
      <c r="AH259" s="163">
        <f>IMSS[[#This Row],[SUE MENS]]-IMSS[[#This Row],[LIM INF]]</f>
        <v>4070.0699999999997</v>
      </c>
      <c r="AI259" s="163">
        <f>IMSS[[#This Row],[EXC LIM INF]]*(VLOOKUP(IMSS[[#This Row],[LIM INF]],$AG$110:$AJ$120,4,0))</f>
        <v>442.82361600000002</v>
      </c>
      <c r="AJ259" s="163">
        <f>VLOOKUP(IMSS[[#This Row],[LIM INF]],$AG$110:$AJ$120,3)</f>
        <v>321.26</v>
      </c>
      <c r="AK259" s="163">
        <f>SUM(IMSS[[#This Row],[TASA EXC]]+IMSS[[#This Row],[CUOTA FIJA]])</f>
        <v>764.08361600000001</v>
      </c>
      <c r="AL259" s="163">
        <f>VLOOKUP(IMSS[[#This Row],[SUE MENS]],$AL$110:$AN$120,3,1)</f>
        <v>0</v>
      </c>
      <c r="AM259" s="248">
        <f>IF(IMSS[[#This Row],[ISR CARGO]]-IMSS[[#This Row],[SUBS ISR]]&gt;0,IMSS[[#This Row],[ISR CARGO]]-IMSS[[#This Row],[SUBS ISR]],0)</f>
        <v>764.08361600000001</v>
      </c>
      <c r="AN259" s="248">
        <f>IF(IMSS[[#This Row],[SUBS ISR]]-IMSS[[#This Row],[ISR CARGO]]&gt;0,IMSS[[#This Row],[SUBS ISR]]-IMSS[[#This Row],[ISR CARGO]],0)</f>
        <v>0</v>
      </c>
    </row>
    <row r="260" spans="3:40" ht="15" hidden="1" customHeight="1" x14ac:dyDescent="0.25">
      <c r="C260" s="243">
        <v>262</v>
      </c>
      <c r="D260" s="167" t="str">
        <f>VLOOKUP(IMSS[[#This Row],[NEM]],BDD[],2,0)</f>
        <v>Sandra Saguilan Baños</v>
      </c>
      <c r="E260" s="167" t="str">
        <f>VLOOKUP(IMSS[[#This Row],[NEM]],BDD[],9,0)</f>
        <v>RENDER</v>
      </c>
      <c r="F260" s="168">
        <v>30</v>
      </c>
      <c r="G260" s="139">
        <f>VLOOKUP(IMSS[[#This Row],[NEM]],BDD[],3,0)</f>
        <v>7445</v>
      </c>
      <c r="H260" s="139">
        <f ca="1">VLOOKUP(IMSS[[#This Row],[NEM]],BDD[],25,0)</f>
        <v>274.00319634703197</v>
      </c>
      <c r="I260" s="143">
        <f>VLOOKUP(IMSS[[#This Row],[DEPT]],$B$3:$G$49,6,0)</f>
        <v>2.5984400000000001E-2</v>
      </c>
      <c r="J260" s="163">
        <f ca="1">IMSS[[#This Row],[DIAS LAB]]*IMSS[[#This Row],[SDI]]*IMSS[[#This Row],[% RSG]]*$Q$108</f>
        <v>213.59425965479454</v>
      </c>
      <c r="K260" s="163">
        <f>IMSS[[#This Row],[DIAS LAB]]*$J$110*$Q$109</f>
        <v>548.47440000000006</v>
      </c>
      <c r="L260" s="166">
        <f ca="1">IMSS[[#This Row],[DIAS LAB]]*IF(IMSS[[#This Row],[SDI]]-$J$113&gt;0,IMSS[[#This Row],[SDI]]-$J$113,0)*$Q$110</f>
        <v>1.6972547945205467</v>
      </c>
      <c r="M260" s="166">
        <f ca="1">IMSS[[#This Row],[DIAS LAB]]*IMSS[[#This Row],[SDI]]*$Q$111</f>
        <v>86.311006849315078</v>
      </c>
      <c r="N260" s="163">
        <f ca="1">IMSS[[#This Row],[DIAS LAB]]*IMSS[[#This Row],[SDI]]*$Q$112</f>
        <v>57.540671232876718</v>
      </c>
      <c r="O260" s="166">
        <f ca="1">IMSS[[#This Row],[DIAS LAB]]*IMSS[[#This Row],[SDI]]*$Q$113</f>
        <v>143.8516780821918</v>
      </c>
      <c r="P260" s="163">
        <f ca="1">IMSS[[#This Row],[DIAS LAB]]*IMSS[[#This Row],[SDI]]*$Q$114</f>
        <v>82.200958904109598</v>
      </c>
      <c r="Q260" s="166">
        <f ca="1">IMSS[[#This Row],[DIAS LAB]]*IMSS[[#This Row],[SDI]]*$Q$115</f>
        <v>164.4019178082192</v>
      </c>
      <c r="R260" s="163">
        <f ca="1">IMSS[[#This Row],[DIAS LAB]]*IMSS[[#This Row],[SDI]]*$Q$116</f>
        <v>258.9330205479452</v>
      </c>
      <c r="S260" s="163">
        <f ca="1">IMSS[[#This Row],[DIAS LAB]]*IMSS[[#This Row],[SDI]]*$Q$117</f>
        <v>411.00479452054799</v>
      </c>
      <c r="T260" s="164">
        <f ca="1">SUM(IMSS[[#This Row],[P RSG TRB]:[P INFONAVIT]])</f>
        <v>1968.0099623945207</v>
      </c>
      <c r="U260" s="163">
        <f ca="1">IMSS[[#This Row],[DIAS LAB]]*IMSS[[#This Row],[SDI]]*IMSS[[#This Row],[% RSG]]*$R$108</f>
        <v>0</v>
      </c>
      <c r="V260" s="163">
        <f ca="1">IMSS[[#This Row],[DIAS LAB]]*IMSS[[#This Row],[SDI]]*$R$112</f>
        <v>20.550239726027399</v>
      </c>
      <c r="W260" s="163"/>
      <c r="X260" s="163">
        <f ca="1">IMSS[[#This Row],[DIAS LAB]]*IMSS[[#This Row],[SDI]]*$R$113</f>
        <v>51.786604109589042</v>
      </c>
      <c r="Y260" s="163">
        <f ca="1">IMSS[[#This Row],[DIAS LAB]]*IMSS[[#This Row],[SDI]]*$R$114</f>
        <v>0</v>
      </c>
      <c r="Z260" s="163">
        <f ca="1">IMSS[[#This Row],[DIAS LAB]]*IMSS[[#This Row],[SDI]]*$R$115</f>
        <v>0</v>
      </c>
      <c r="AA260" s="163">
        <f ca="1">IMSS[[#This Row],[DIAS LAB]]*IMSS[[#This Row],[SDI]]*$R$116</f>
        <v>92.887083561643834</v>
      </c>
      <c r="AB260" s="163">
        <f ca="1">IMSS[[#This Row],[DIAS LAB]]*IMSS[[#This Row],[SDI]]*$R$117</f>
        <v>0</v>
      </c>
      <c r="AC260" s="247">
        <f ca="1">SUM(IMSS[[#This Row],[O RSG TRB]:[O INFONAVIT]])</f>
        <v>165.22392739726027</v>
      </c>
      <c r="AD260" s="163"/>
      <c r="AE260" s="165">
        <f ca="1">IMSS[[#This Row],[P TOTAL]]+IMSS[[#This Row],[O TOTAL]]</f>
        <v>2133.2338897917812</v>
      </c>
      <c r="AF260" s="163"/>
      <c r="AG260" s="163">
        <f>VLOOKUP(IMSS[[#This Row],[SUE MENS]],$AG$110:$AJ$120,1,1)</f>
        <v>5470.93</v>
      </c>
      <c r="AH260" s="163">
        <f>IMSS[[#This Row],[SUE MENS]]-IMSS[[#This Row],[LIM INF]]</f>
        <v>1974.0699999999997</v>
      </c>
      <c r="AI260" s="163">
        <f>IMSS[[#This Row],[EXC LIM INF]]*(VLOOKUP(IMSS[[#This Row],[LIM INF]],$AG$110:$AJ$120,4,0))</f>
        <v>214.77881599999998</v>
      </c>
      <c r="AJ260" s="163">
        <f>VLOOKUP(IMSS[[#This Row],[LIM INF]],$AG$110:$AJ$120,3)</f>
        <v>321.26</v>
      </c>
      <c r="AK260" s="163">
        <f>SUM(IMSS[[#This Row],[TASA EXC]]+IMSS[[#This Row],[CUOTA FIJA]])</f>
        <v>536.038816</v>
      </c>
      <c r="AL260" s="163">
        <f>VLOOKUP(IMSS[[#This Row],[SUE MENS]],$AL$110:$AN$120,3,1)</f>
        <v>0</v>
      </c>
      <c r="AM260" s="248">
        <f>IF(IMSS[[#This Row],[ISR CARGO]]-IMSS[[#This Row],[SUBS ISR]]&gt;0,IMSS[[#This Row],[ISR CARGO]]-IMSS[[#This Row],[SUBS ISR]],0)</f>
        <v>536.038816</v>
      </c>
      <c r="AN260" s="248">
        <f>IF(IMSS[[#This Row],[SUBS ISR]]-IMSS[[#This Row],[ISR CARGO]]&gt;0,IMSS[[#This Row],[SUBS ISR]]-IMSS[[#This Row],[ISR CARGO]],0)</f>
        <v>0</v>
      </c>
    </row>
    <row r="261" spans="3:40" ht="15" hidden="1" customHeight="1" x14ac:dyDescent="0.25">
      <c r="C261" s="243">
        <v>264</v>
      </c>
      <c r="D261" s="167" t="str">
        <f>VLOOKUP(IMSS[[#This Row],[NEM]],BDD[],2,0)</f>
        <v>Julieta Berenice Enriquez Muñoz</v>
      </c>
      <c r="E261" s="167" t="str">
        <f>VLOOKUP(IMSS[[#This Row],[NEM]],BDD[],9,0)</f>
        <v>NÓMINAS</v>
      </c>
      <c r="F261" s="168">
        <v>30</v>
      </c>
      <c r="G261" s="139">
        <f>VLOOKUP(IMSS[[#This Row],[NEM]],BDD[],3,0)</f>
        <v>10350</v>
      </c>
      <c r="H261" s="139">
        <f ca="1">VLOOKUP(IMSS[[#This Row],[NEM]],BDD[],25,0)</f>
        <v>380.91780821917808</v>
      </c>
      <c r="I261" s="143">
        <f>VLOOKUP(IMSS[[#This Row],[DEPT]],$B$3:$G$49,6,0)</f>
        <v>5.4355000000000002E-3</v>
      </c>
      <c r="J261" s="163">
        <f ca="1">IMSS[[#This Row],[DIAS LAB]]*IMSS[[#This Row],[SDI]]*IMSS[[#This Row],[% RSG]]*$Q$108</f>
        <v>62.114362397260273</v>
      </c>
      <c r="K261" s="163">
        <f>IMSS[[#This Row],[DIAS LAB]]*$J$110*$Q$109</f>
        <v>548.47440000000006</v>
      </c>
      <c r="L261" s="166">
        <f ca="1">IMSS[[#This Row],[DIAS LAB]]*IF(IMSS[[#This Row],[SDI]]-$J$113&gt;0,IMSS[[#This Row],[SDI]]-$J$113,0)*$Q$110</f>
        <v>36.979076712328762</v>
      </c>
      <c r="M261" s="166">
        <f ca="1">IMSS[[#This Row],[DIAS LAB]]*IMSS[[#This Row],[SDI]]*$Q$111</f>
        <v>119.98910958904109</v>
      </c>
      <c r="N261" s="163">
        <f ca="1">IMSS[[#This Row],[DIAS LAB]]*IMSS[[#This Row],[SDI]]*$Q$112</f>
        <v>79.992739726027395</v>
      </c>
      <c r="O261" s="166">
        <f ca="1">IMSS[[#This Row],[DIAS LAB]]*IMSS[[#This Row],[SDI]]*$Q$113</f>
        <v>199.9818493150685</v>
      </c>
      <c r="P261" s="163">
        <f ca="1">IMSS[[#This Row],[DIAS LAB]]*IMSS[[#This Row],[SDI]]*$Q$114</f>
        <v>114.27534246575343</v>
      </c>
      <c r="Q261" s="166">
        <f ca="1">IMSS[[#This Row],[DIAS LAB]]*IMSS[[#This Row],[SDI]]*$Q$115</f>
        <v>228.55068493150685</v>
      </c>
      <c r="R261" s="163">
        <f ca="1">IMSS[[#This Row],[DIAS LAB]]*IMSS[[#This Row],[SDI]]*$Q$116</f>
        <v>359.96732876712326</v>
      </c>
      <c r="S261" s="163">
        <f ca="1">IMSS[[#This Row],[DIAS LAB]]*IMSS[[#This Row],[SDI]]*$Q$117</f>
        <v>571.3767123287671</v>
      </c>
      <c r="T261" s="164">
        <f ca="1">SUM(IMSS[[#This Row],[P RSG TRB]:[P INFONAVIT]])</f>
        <v>2321.7016062328767</v>
      </c>
      <c r="U261" s="163">
        <f ca="1">IMSS[[#This Row],[DIAS LAB]]*IMSS[[#This Row],[SDI]]*IMSS[[#This Row],[% RSG]]*$R$108</f>
        <v>0</v>
      </c>
      <c r="V261" s="163">
        <f ca="1">IMSS[[#This Row],[DIAS LAB]]*IMSS[[#This Row],[SDI]]*$R$112</f>
        <v>28.568835616438356</v>
      </c>
      <c r="W261" s="163"/>
      <c r="X261" s="163">
        <f ca="1">IMSS[[#This Row],[DIAS LAB]]*IMSS[[#This Row],[SDI]]*$R$113</f>
        <v>71.993465753424658</v>
      </c>
      <c r="Y261" s="163">
        <f ca="1">IMSS[[#This Row],[DIAS LAB]]*IMSS[[#This Row],[SDI]]*$R$114</f>
        <v>0</v>
      </c>
      <c r="Z261" s="163">
        <f ca="1">IMSS[[#This Row],[DIAS LAB]]*IMSS[[#This Row],[SDI]]*$R$115</f>
        <v>0</v>
      </c>
      <c r="AA261" s="163">
        <f ca="1">IMSS[[#This Row],[DIAS LAB]]*IMSS[[#This Row],[SDI]]*$R$116</f>
        <v>129.13113698630136</v>
      </c>
      <c r="AB261" s="163">
        <f ca="1">IMSS[[#This Row],[DIAS LAB]]*IMSS[[#This Row],[SDI]]*$R$117</f>
        <v>0</v>
      </c>
      <c r="AC261" s="247">
        <f ca="1">SUM(IMSS[[#This Row],[O RSG TRB]:[O INFONAVIT]])</f>
        <v>229.69343835616436</v>
      </c>
      <c r="AD261" s="163"/>
      <c r="AE261" s="165">
        <f ca="1">IMSS[[#This Row],[P TOTAL]]+IMSS[[#This Row],[O TOTAL]]</f>
        <v>2551.3950445890409</v>
      </c>
      <c r="AF261" s="163"/>
      <c r="AG261" s="163">
        <f>VLOOKUP(IMSS[[#This Row],[SUE MENS]],$AG$110:$AJ$120,1,1)</f>
        <v>9614.67</v>
      </c>
      <c r="AH261" s="163">
        <f>IMSS[[#This Row],[SUE MENS]]-IMSS[[#This Row],[LIM INF]]</f>
        <v>735.32999999999993</v>
      </c>
      <c r="AI261" s="163">
        <f>IMSS[[#This Row],[EXC LIM INF]]*(VLOOKUP(IMSS[[#This Row],[LIM INF]],$AG$110:$AJ$120,4,0))</f>
        <v>117.65279999999998</v>
      </c>
      <c r="AJ261" s="163">
        <f>VLOOKUP(IMSS[[#This Row],[LIM INF]],$AG$110:$AJ$120,3)</f>
        <v>772.1</v>
      </c>
      <c r="AK261" s="163">
        <f>SUM(IMSS[[#This Row],[TASA EXC]]+IMSS[[#This Row],[CUOTA FIJA]])</f>
        <v>889.75279999999998</v>
      </c>
      <c r="AL261" s="163">
        <f>VLOOKUP(IMSS[[#This Row],[SUE MENS]],$AL$110:$AN$120,3,1)</f>
        <v>0</v>
      </c>
      <c r="AM261" s="248">
        <f>IF(IMSS[[#This Row],[ISR CARGO]]-IMSS[[#This Row],[SUBS ISR]]&gt;0,IMSS[[#This Row],[ISR CARGO]]-IMSS[[#This Row],[SUBS ISR]],0)</f>
        <v>889.75279999999998</v>
      </c>
      <c r="AN261" s="248">
        <f>IF(IMSS[[#This Row],[SUBS ISR]]-IMSS[[#This Row],[ISR CARGO]]&gt;0,IMSS[[#This Row],[SUBS ISR]]-IMSS[[#This Row],[ISR CARGO]],0)</f>
        <v>0</v>
      </c>
    </row>
    <row r="262" spans="3:40" ht="15" hidden="1" customHeight="1" x14ac:dyDescent="0.25">
      <c r="C262" s="243">
        <v>265</v>
      </c>
      <c r="D262" s="167" t="str">
        <f>VLOOKUP(IMSS[[#This Row],[NEM]],BDD[],2,0)</f>
        <v>Jesus Esteban Benitez Cervantes</v>
      </c>
      <c r="E262" s="167" t="str">
        <f>VLOOKUP(IMSS[[#This Row],[NEM]],BDD[],9,0)</f>
        <v>MATERIALES</v>
      </c>
      <c r="F262" s="168">
        <v>30</v>
      </c>
      <c r="G262" s="139">
        <f>VLOOKUP(IMSS[[#This Row],[NEM]],BDD[],3,0)</f>
        <v>9541</v>
      </c>
      <c r="H262" s="139">
        <f ca="1">VLOOKUP(IMSS[[#This Row],[NEM]],BDD[],25,0)</f>
        <v>351.14365296803658</v>
      </c>
      <c r="I262" s="143">
        <f>VLOOKUP(IMSS[[#This Row],[DEPT]],$B$3:$G$49,6,0)</f>
        <v>4.6532499999999997E-2</v>
      </c>
      <c r="J262" s="163">
        <f ca="1">IMSS[[#This Row],[DIAS LAB]]*IMSS[[#This Row],[SDI]]*IMSS[[#This Row],[% RSG]]*$Q$108</f>
        <v>490.18776095205482</v>
      </c>
      <c r="K262" s="163">
        <f>IMSS[[#This Row],[DIAS LAB]]*$J$110*$Q$109</f>
        <v>548.47440000000006</v>
      </c>
      <c r="L262" s="166">
        <f ca="1">IMSS[[#This Row],[DIAS LAB]]*IF(IMSS[[#This Row],[SDI]]-$J$113&gt;0,IMSS[[#This Row],[SDI]]-$J$113,0)*$Q$110</f>
        <v>27.153605479452061</v>
      </c>
      <c r="M262" s="166">
        <f ca="1">IMSS[[#This Row],[DIAS LAB]]*IMSS[[#This Row],[SDI]]*$Q$111</f>
        <v>110.61025068493153</v>
      </c>
      <c r="N262" s="163">
        <f ca="1">IMSS[[#This Row],[DIAS LAB]]*IMSS[[#This Row],[SDI]]*$Q$112</f>
        <v>73.740167123287677</v>
      </c>
      <c r="O262" s="166">
        <f ca="1">IMSS[[#This Row],[DIAS LAB]]*IMSS[[#This Row],[SDI]]*$Q$113</f>
        <v>184.35041780821922</v>
      </c>
      <c r="P262" s="163">
        <f ca="1">IMSS[[#This Row],[DIAS LAB]]*IMSS[[#This Row],[SDI]]*$Q$114</f>
        <v>105.34309589041096</v>
      </c>
      <c r="Q262" s="166">
        <f ca="1">IMSS[[#This Row],[DIAS LAB]]*IMSS[[#This Row],[SDI]]*$Q$115</f>
        <v>210.68619178082193</v>
      </c>
      <c r="R262" s="163">
        <f ca="1">IMSS[[#This Row],[DIAS LAB]]*IMSS[[#This Row],[SDI]]*$Q$116</f>
        <v>331.83075205479457</v>
      </c>
      <c r="S262" s="163">
        <f ca="1">IMSS[[#This Row],[DIAS LAB]]*IMSS[[#This Row],[SDI]]*$Q$117</f>
        <v>526.71547945205486</v>
      </c>
      <c r="T262" s="164">
        <f ca="1">SUM(IMSS[[#This Row],[P RSG TRB]:[P INFONAVIT]])</f>
        <v>2609.0921212260273</v>
      </c>
      <c r="U262" s="163">
        <f ca="1">IMSS[[#This Row],[DIAS LAB]]*IMSS[[#This Row],[SDI]]*IMSS[[#This Row],[% RSG]]*$R$108</f>
        <v>0</v>
      </c>
      <c r="V262" s="163">
        <f ca="1">IMSS[[#This Row],[DIAS LAB]]*IMSS[[#This Row],[SDI]]*$R$112</f>
        <v>26.335773972602741</v>
      </c>
      <c r="W262" s="163"/>
      <c r="X262" s="163">
        <f ca="1">IMSS[[#This Row],[DIAS LAB]]*IMSS[[#This Row],[SDI]]*$R$113</f>
        <v>66.366150410958909</v>
      </c>
      <c r="Y262" s="163">
        <f ca="1">IMSS[[#This Row],[DIAS LAB]]*IMSS[[#This Row],[SDI]]*$R$114</f>
        <v>0</v>
      </c>
      <c r="Z262" s="163">
        <f ca="1">IMSS[[#This Row],[DIAS LAB]]*IMSS[[#This Row],[SDI]]*$R$115</f>
        <v>0</v>
      </c>
      <c r="AA262" s="163">
        <f ca="1">IMSS[[#This Row],[DIAS LAB]]*IMSS[[#This Row],[SDI]]*$R$116</f>
        <v>119.03769835616438</v>
      </c>
      <c r="AB262" s="163">
        <f ca="1">IMSS[[#This Row],[DIAS LAB]]*IMSS[[#This Row],[SDI]]*$R$117</f>
        <v>0</v>
      </c>
      <c r="AC262" s="247">
        <f ca="1">SUM(IMSS[[#This Row],[O RSG TRB]:[O INFONAVIT]])</f>
        <v>211.73962273972603</v>
      </c>
      <c r="AD262" s="163"/>
      <c r="AE262" s="165">
        <f ca="1">IMSS[[#This Row],[P TOTAL]]+IMSS[[#This Row],[O TOTAL]]</f>
        <v>2820.8317439657535</v>
      </c>
      <c r="AF262" s="163"/>
      <c r="AG262" s="163">
        <f>VLOOKUP(IMSS[[#This Row],[SUE MENS]],$AG$110:$AJ$120,1,1)</f>
        <v>5470.93</v>
      </c>
      <c r="AH262" s="163">
        <f>IMSS[[#This Row],[SUE MENS]]-IMSS[[#This Row],[LIM INF]]</f>
        <v>4070.0699999999997</v>
      </c>
      <c r="AI262" s="163">
        <f>IMSS[[#This Row],[EXC LIM INF]]*(VLOOKUP(IMSS[[#This Row],[LIM INF]],$AG$110:$AJ$120,4,0))</f>
        <v>442.82361600000002</v>
      </c>
      <c r="AJ262" s="163">
        <f>VLOOKUP(IMSS[[#This Row],[LIM INF]],$AG$110:$AJ$120,3)</f>
        <v>321.26</v>
      </c>
      <c r="AK262" s="163">
        <f>SUM(IMSS[[#This Row],[TASA EXC]]+IMSS[[#This Row],[CUOTA FIJA]])</f>
        <v>764.08361600000001</v>
      </c>
      <c r="AL262" s="163">
        <f>VLOOKUP(IMSS[[#This Row],[SUE MENS]],$AL$110:$AN$120,3,1)</f>
        <v>0</v>
      </c>
      <c r="AM262" s="248">
        <f>IF(IMSS[[#This Row],[ISR CARGO]]-IMSS[[#This Row],[SUBS ISR]]&gt;0,IMSS[[#This Row],[ISR CARGO]]-IMSS[[#This Row],[SUBS ISR]],0)</f>
        <v>764.08361600000001</v>
      </c>
      <c r="AN262" s="248">
        <f>IF(IMSS[[#This Row],[SUBS ISR]]-IMSS[[#This Row],[ISR CARGO]]&gt;0,IMSS[[#This Row],[SUBS ISR]]-IMSS[[#This Row],[ISR CARGO]],0)</f>
        <v>0</v>
      </c>
    </row>
    <row r="263" spans="3:40" ht="15" hidden="1" customHeight="1" x14ac:dyDescent="0.25">
      <c r="C263" s="243">
        <v>266</v>
      </c>
      <c r="D263" s="167" t="str">
        <f>VLOOKUP(IMSS[[#This Row],[NEM]],BDD[],2,0)</f>
        <v>Antonia Delgado Flores</v>
      </c>
      <c r="E263" s="167" t="str">
        <f>VLOOKUP(IMSS[[#This Row],[NEM]],BDD[],9,0)</f>
        <v>MATERIALES</v>
      </c>
      <c r="F263" s="168">
        <v>30</v>
      </c>
      <c r="G263" s="139">
        <f>VLOOKUP(IMSS[[#This Row],[NEM]],BDD[],3,0)</f>
        <v>9541</v>
      </c>
      <c r="H263" s="139">
        <f ca="1">VLOOKUP(IMSS[[#This Row],[NEM]],BDD[],25,0)</f>
        <v>351.14365296803658</v>
      </c>
      <c r="I263" s="143">
        <f>VLOOKUP(IMSS[[#This Row],[DEPT]],$B$3:$G$49,6,0)</f>
        <v>4.6532499999999997E-2</v>
      </c>
      <c r="J263" s="163">
        <f ca="1">IMSS[[#This Row],[DIAS LAB]]*IMSS[[#This Row],[SDI]]*IMSS[[#This Row],[% RSG]]*$Q$108</f>
        <v>490.18776095205482</v>
      </c>
      <c r="K263" s="163">
        <f>IMSS[[#This Row],[DIAS LAB]]*$J$110*$Q$109</f>
        <v>548.47440000000006</v>
      </c>
      <c r="L263" s="166">
        <f ca="1">IMSS[[#This Row],[DIAS LAB]]*IF(IMSS[[#This Row],[SDI]]-$J$113&gt;0,IMSS[[#This Row],[SDI]]-$J$113,0)*$Q$110</f>
        <v>27.153605479452061</v>
      </c>
      <c r="M263" s="166">
        <f ca="1">IMSS[[#This Row],[DIAS LAB]]*IMSS[[#This Row],[SDI]]*$Q$111</f>
        <v>110.61025068493153</v>
      </c>
      <c r="N263" s="163">
        <f ca="1">IMSS[[#This Row],[DIAS LAB]]*IMSS[[#This Row],[SDI]]*$Q$112</f>
        <v>73.740167123287677</v>
      </c>
      <c r="O263" s="166">
        <f ca="1">IMSS[[#This Row],[DIAS LAB]]*IMSS[[#This Row],[SDI]]*$Q$113</f>
        <v>184.35041780821922</v>
      </c>
      <c r="P263" s="163">
        <f ca="1">IMSS[[#This Row],[DIAS LAB]]*IMSS[[#This Row],[SDI]]*$Q$114</f>
        <v>105.34309589041096</v>
      </c>
      <c r="Q263" s="166">
        <f ca="1">IMSS[[#This Row],[DIAS LAB]]*IMSS[[#This Row],[SDI]]*$Q$115</f>
        <v>210.68619178082193</v>
      </c>
      <c r="R263" s="163">
        <f ca="1">IMSS[[#This Row],[DIAS LAB]]*IMSS[[#This Row],[SDI]]*$Q$116</f>
        <v>331.83075205479457</v>
      </c>
      <c r="S263" s="163">
        <f ca="1">IMSS[[#This Row],[DIAS LAB]]*IMSS[[#This Row],[SDI]]*$Q$117</f>
        <v>526.71547945205486</v>
      </c>
      <c r="T263" s="164">
        <f ca="1">SUM(IMSS[[#This Row],[P RSG TRB]:[P INFONAVIT]])</f>
        <v>2609.0921212260273</v>
      </c>
      <c r="U263" s="163">
        <f ca="1">IMSS[[#This Row],[DIAS LAB]]*IMSS[[#This Row],[SDI]]*IMSS[[#This Row],[% RSG]]*$R$108</f>
        <v>0</v>
      </c>
      <c r="V263" s="163">
        <f ca="1">IMSS[[#This Row],[DIAS LAB]]*IMSS[[#This Row],[SDI]]*$R$112</f>
        <v>26.335773972602741</v>
      </c>
      <c r="W263" s="163"/>
      <c r="X263" s="163">
        <f ca="1">IMSS[[#This Row],[DIAS LAB]]*IMSS[[#This Row],[SDI]]*$R$113</f>
        <v>66.366150410958909</v>
      </c>
      <c r="Y263" s="163">
        <f ca="1">IMSS[[#This Row],[DIAS LAB]]*IMSS[[#This Row],[SDI]]*$R$114</f>
        <v>0</v>
      </c>
      <c r="Z263" s="163">
        <f ca="1">IMSS[[#This Row],[DIAS LAB]]*IMSS[[#This Row],[SDI]]*$R$115</f>
        <v>0</v>
      </c>
      <c r="AA263" s="163">
        <f ca="1">IMSS[[#This Row],[DIAS LAB]]*IMSS[[#This Row],[SDI]]*$R$116</f>
        <v>119.03769835616438</v>
      </c>
      <c r="AB263" s="163">
        <f ca="1">IMSS[[#This Row],[DIAS LAB]]*IMSS[[#This Row],[SDI]]*$R$117</f>
        <v>0</v>
      </c>
      <c r="AC263" s="247">
        <f ca="1">SUM(IMSS[[#This Row],[O RSG TRB]:[O INFONAVIT]])</f>
        <v>211.73962273972603</v>
      </c>
      <c r="AD263" s="163"/>
      <c r="AE263" s="165">
        <f ca="1">IMSS[[#This Row],[P TOTAL]]+IMSS[[#This Row],[O TOTAL]]</f>
        <v>2820.8317439657535</v>
      </c>
      <c r="AF263" s="163"/>
      <c r="AG263" s="163">
        <f>VLOOKUP(IMSS[[#This Row],[SUE MENS]],$AG$110:$AJ$120,1,1)</f>
        <v>5470.93</v>
      </c>
      <c r="AH263" s="163">
        <f>IMSS[[#This Row],[SUE MENS]]-IMSS[[#This Row],[LIM INF]]</f>
        <v>4070.0699999999997</v>
      </c>
      <c r="AI263" s="163">
        <f>IMSS[[#This Row],[EXC LIM INF]]*(VLOOKUP(IMSS[[#This Row],[LIM INF]],$AG$110:$AJ$120,4,0))</f>
        <v>442.82361600000002</v>
      </c>
      <c r="AJ263" s="163">
        <f>VLOOKUP(IMSS[[#This Row],[LIM INF]],$AG$110:$AJ$120,3)</f>
        <v>321.26</v>
      </c>
      <c r="AK263" s="163">
        <f>SUM(IMSS[[#This Row],[TASA EXC]]+IMSS[[#This Row],[CUOTA FIJA]])</f>
        <v>764.08361600000001</v>
      </c>
      <c r="AL263" s="163">
        <f>VLOOKUP(IMSS[[#This Row],[SUE MENS]],$AL$110:$AN$120,3,1)</f>
        <v>0</v>
      </c>
      <c r="AM263" s="248">
        <f>IF(IMSS[[#This Row],[ISR CARGO]]-IMSS[[#This Row],[SUBS ISR]]&gt;0,IMSS[[#This Row],[ISR CARGO]]-IMSS[[#This Row],[SUBS ISR]],0)</f>
        <v>764.08361600000001</v>
      </c>
      <c r="AN263" s="248">
        <f>IF(IMSS[[#This Row],[SUBS ISR]]-IMSS[[#This Row],[ISR CARGO]]&gt;0,IMSS[[#This Row],[SUBS ISR]]-IMSS[[#This Row],[ISR CARGO]],0)</f>
        <v>0</v>
      </c>
    </row>
    <row r="264" spans="3:40" ht="15" hidden="1" customHeight="1" x14ac:dyDescent="0.25">
      <c r="C264" s="243">
        <v>267</v>
      </c>
      <c r="D264" s="167" t="str">
        <f>VLOOKUP(IMSS[[#This Row],[NEM]],BDD[],2,0)</f>
        <v>Anallely Barona Peñaloza</v>
      </c>
      <c r="E264" s="167" t="str">
        <f>VLOOKUP(IMSS[[#This Row],[NEM]],BDD[],9,0)</f>
        <v>ADMINCIÓN</v>
      </c>
      <c r="F264" s="168">
        <v>30</v>
      </c>
      <c r="G264" s="139">
        <f>VLOOKUP(IMSS[[#This Row],[NEM]],BDD[],3,0)</f>
        <v>7445</v>
      </c>
      <c r="H264" s="139">
        <f ca="1">VLOOKUP(IMSS[[#This Row],[NEM]],BDD[],25,0)</f>
        <v>274.00319634703197</v>
      </c>
      <c r="I264" s="143">
        <f>VLOOKUP(IMSS[[#This Row],[DEPT]],$B$3:$G$49,6,0)</f>
        <v>5.4355000000000002E-3</v>
      </c>
      <c r="J264" s="163">
        <f ca="1">IMSS[[#This Row],[DIAS LAB]]*IMSS[[#This Row],[SDI]]*IMSS[[#This Row],[% RSG]]*$Q$108</f>
        <v>44.680331212328774</v>
      </c>
      <c r="K264" s="163">
        <f>IMSS[[#This Row],[DIAS LAB]]*$J$110*$Q$109</f>
        <v>548.47440000000006</v>
      </c>
      <c r="L264" s="166">
        <f ca="1">IMSS[[#This Row],[DIAS LAB]]*IF(IMSS[[#This Row],[SDI]]-$J$113&gt;0,IMSS[[#This Row],[SDI]]-$J$113,0)*$Q$110</f>
        <v>1.6972547945205467</v>
      </c>
      <c r="M264" s="166">
        <f ca="1">IMSS[[#This Row],[DIAS LAB]]*IMSS[[#This Row],[SDI]]*$Q$111</f>
        <v>86.311006849315078</v>
      </c>
      <c r="N264" s="163">
        <f ca="1">IMSS[[#This Row],[DIAS LAB]]*IMSS[[#This Row],[SDI]]*$Q$112</f>
        <v>57.540671232876718</v>
      </c>
      <c r="O264" s="166">
        <f ca="1">IMSS[[#This Row],[DIAS LAB]]*IMSS[[#This Row],[SDI]]*$Q$113</f>
        <v>143.8516780821918</v>
      </c>
      <c r="P264" s="163">
        <f ca="1">IMSS[[#This Row],[DIAS LAB]]*IMSS[[#This Row],[SDI]]*$Q$114</f>
        <v>82.200958904109598</v>
      </c>
      <c r="Q264" s="166">
        <f ca="1">IMSS[[#This Row],[DIAS LAB]]*IMSS[[#This Row],[SDI]]*$Q$115</f>
        <v>164.4019178082192</v>
      </c>
      <c r="R264" s="163">
        <f ca="1">IMSS[[#This Row],[DIAS LAB]]*IMSS[[#This Row],[SDI]]*$Q$116</f>
        <v>258.9330205479452</v>
      </c>
      <c r="S264" s="163">
        <f ca="1">IMSS[[#This Row],[DIAS LAB]]*IMSS[[#This Row],[SDI]]*$Q$117</f>
        <v>411.00479452054799</v>
      </c>
      <c r="T264" s="164">
        <f ca="1">SUM(IMSS[[#This Row],[P RSG TRB]:[P INFONAVIT]])</f>
        <v>1799.0960339520548</v>
      </c>
      <c r="U264" s="163">
        <f ca="1">IMSS[[#This Row],[DIAS LAB]]*IMSS[[#This Row],[SDI]]*IMSS[[#This Row],[% RSG]]*$R$108</f>
        <v>0</v>
      </c>
      <c r="V264" s="163">
        <f ca="1">IMSS[[#This Row],[DIAS LAB]]*IMSS[[#This Row],[SDI]]*$R$112</f>
        <v>20.550239726027399</v>
      </c>
      <c r="W264" s="163"/>
      <c r="X264" s="163">
        <f ca="1">IMSS[[#This Row],[DIAS LAB]]*IMSS[[#This Row],[SDI]]*$R$113</f>
        <v>51.786604109589042</v>
      </c>
      <c r="Y264" s="163">
        <f ca="1">IMSS[[#This Row],[DIAS LAB]]*IMSS[[#This Row],[SDI]]*$R$114</f>
        <v>0</v>
      </c>
      <c r="Z264" s="163">
        <f ca="1">IMSS[[#This Row],[DIAS LAB]]*IMSS[[#This Row],[SDI]]*$R$115</f>
        <v>0</v>
      </c>
      <c r="AA264" s="163">
        <f ca="1">IMSS[[#This Row],[DIAS LAB]]*IMSS[[#This Row],[SDI]]*$R$116</f>
        <v>92.887083561643834</v>
      </c>
      <c r="AB264" s="163">
        <f ca="1">IMSS[[#This Row],[DIAS LAB]]*IMSS[[#This Row],[SDI]]*$R$117</f>
        <v>0</v>
      </c>
      <c r="AC264" s="247">
        <f ca="1">SUM(IMSS[[#This Row],[O RSG TRB]:[O INFONAVIT]])</f>
        <v>165.22392739726027</v>
      </c>
      <c r="AD264" s="163"/>
      <c r="AE264" s="165">
        <f ca="1">IMSS[[#This Row],[P TOTAL]]+IMSS[[#This Row],[O TOTAL]]</f>
        <v>1964.319961349315</v>
      </c>
      <c r="AF264" s="163"/>
      <c r="AG264" s="163">
        <f>VLOOKUP(IMSS[[#This Row],[SUE MENS]],$AG$110:$AJ$120,1,1)</f>
        <v>5470.93</v>
      </c>
      <c r="AH264" s="163">
        <f>IMSS[[#This Row],[SUE MENS]]-IMSS[[#This Row],[LIM INF]]</f>
        <v>1974.0699999999997</v>
      </c>
      <c r="AI264" s="163">
        <f>IMSS[[#This Row],[EXC LIM INF]]*(VLOOKUP(IMSS[[#This Row],[LIM INF]],$AG$110:$AJ$120,4,0))</f>
        <v>214.77881599999998</v>
      </c>
      <c r="AJ264" s="163">
        <f>VLOOKUP(IMSS[[#This Row],[LIM INF]],$AG$110:$AJ$120,3)</f>
        <v>321.26</v>
      </c>
      <c r="AK264" s="163">
        <f>SUM(IMSS[[#This Row],[TASA EXC]]+IMSS[[#This Row],[CUOTA FIJA]])</f>
        <v>536.038816</v>
      </c>
      <c r="AL264" s="163">
        <f>VLOOKUP(IMSS[[#This Row],[SUE MENS]],$AL$110:$AN$120,3,1)</f>
        <v>0</v>
      </c>
      <c r="AM264" s="248">
        <f>IF(IMSS[[#This Row],[ISR CARGO]]-IMSS[[#This Row],[SUBS ISR]]&gt;0,IMSS[[#This Row],[ISR CARGO]]-IMSS[[#This Row],[SUBS ISR]],0)</f>
        <v>536.038816</v>
      </c>
      <c r="AN264" s="248">
        <f>IF(IMSS[[#This Row],[SUBS ISR]]-IMSS[[#This Row],[ISR CARGO]]&gt;0,IMSS[[#This Row],[SUBS ISR]]-IMSS[[#This Row],[ISR CARGO]],0)</f>
        <v>0</v>
      </c>
    </row>
    <row r="265" spans="3:40" ht="15" hidden="1" customHeight="1" x14ac:dyDescent="0.25">
      <c r="C265" s="243">
        <v>268</v>
      </c>
      <c r="D265" s="167" t="str">
        <f>VLOOKUP(IMSS[[#This Row],[NEM]],BDD[],2,0)</f>
        <v>Sofia Marlen Zambrano Rangel</v>
      </c>
      <c r="E265" s="167" t="str">
        <f>VLOOKUP(IMSS[[#This Row],[NEM]],BDD[],9,0)</f>
        <v>INST CAMPO</v>
      </c>
      <c r="F265" s="168">
        <v>30</v>
      </c>
      <c r="G265" s="139">
        <f>VLOOKUP(IMSS[[#This Row],[NEM]],BDD[],3,0)</f>
        <v>7445</v>
      </c>
      <c r="H265" s="139">
        <f ca="1">VLOOKUP(IMSS[[#This Row],[NEM]],BDD[],25,0)</f>
        <v>274.00319634703197</v>
      </c>
      <c r="I265" s="143">
        <f>VLOOKUP(IMSS[[#This Row],[DEPT]],$B$3:$G$49,6,0)</f>
        <v>4.6532499999999997E-2</v>
      </c>
      <c r="J265" s="163">
        <f ca="1">IMSS[[#This Row],[DIAS LAB]]*IMSS[[#This Row],[SDI]]*IMSS[[#This Row],[% RSG]]*$Q$108</f>
        <v>382.50161202054795</v>
      </c>
      <c r="K265" s="163">
        <f>IMSS[[#This Row],[DIAS LAB]]*$J$110*$Q$109</f>
        <v>548.47440000000006</v>
      </c>
      <c r="L265" s="166">
        <f ca="1">IMSS[[#This Row],[DIAS LAB]]*IF(IMSS[[#This Row],[SDI]]-$J$113&gt;0,IMSS[[#This Row],[SDI]]-$J$113,0)*$Q$110</f>
        <v>1.6972547945205467</v>
      </c>
      <c r="M265" s="166">
        <f ca="1">IMSS[[#This Row],[DIAS LAB]]*IMSS[[#This Row],[SDI]]*$Q$111</f>
        <v>86.311006849315078</v>
      </c>
      <c r="N265" s="163">
        <f ca="1">IMSS[[#This Row],[DIAS LAB]]*IMSS[[#This Row],[SDI]]*$Q$112</f>
        <v>57.540671232876718</v>
      </c>
      <c r="O265" s="166">
        <f ca="1">IMSS[[#This Row],[DIAS LAB]]*IMSS[[#This Row],[SDI]]*$Q$113</f>
        <v>143.8516780821918</v>
      </c>
      <c r="P265" s="163">
        <f ca="1">IMSS[[#This Row],[DIAS LAB]]*IMSS[[#This Row],[SDI]]*$Q$114</f>
        <v>82.200958904109598</v>
      </c>
      <c r="Q265" s="166">
        <f ca="1">IMSS[[#This Row],[DIAS LAB]]*IMSS[[#This Row],[SDI]]*$Q$115</f>
        <v>164.4019178082192</v>
      </c>
      <c r="R265" s="163">
        <f ca="1">IMSS[[#This Row],[DIAS LAB]]*IMSS[[#This Row],[SDI]]*$Q$116</f>
        <v>258.9330205479452</v>
      </c>
      <c r="S265" s="163">
        <f ca="1">IMSS[[#This Row],[DIAS LAB]]*IMSS[[#This Row],[SDI]]*$Q$117</f>
        <v>411.00479452054799</v>
      </c>
      <c r="T265" s="164">
        <f ca="1">SUM(IMSS[[#This Row],[P RSG TRB]:[P INFONAVIT]])</f>
        <v>2136.9173147602742</v>
      </c>
      <c r="U265" s="163">
        <f ca="1">IMSS[[#This Row],[DIAS LAB]]*IMSS[[#This Row],[SDI]]*IMSS[[#This Row],[% RSG]]*$R$108</f>
        <v>0</v>
      </c>
      <c r="V265" s="163">
        <f ca="1">IMSS[[#This Row],[DIAS LAB]]*IMSS[[#This Row],[SDI]]*$R$112</f>
        <v>20.550239726027399</v>
      </c>
      <c r="W265" s="163"/>
      <c r="X265" s="163">
        <f ca="1">IMSS[[#This Row],[DIAS LAB]]*IMSS[[#This Row],[SDI]]*$R$113</f>
        <v>51.786604109589042</v>
      </c>
      <c r="Y265" s="163">
        <f ca="1">IMSS[[#This Row],[DIAS LAB]]*IMSS[[#This Row],[SDI]]*$R$114</f>
        <v>0</v>
      </c>
      <c r="Z265" s="163">
        <f ca="1">IMSS[[#This Row],[DIAS LAB]]*IMSS[[#This Row],[SDI]]*$R$115</f>
        <v>0</v>
      </c>
      <c r="AA265" s="163">
        <f ca="1">IMSS[[#This Row],[DIAS LAB]]*IMSS[[#This Row],[SDI]]*$R$116</f>
        <v>92.887083561643834</v>
      </c>
      <c r="AB265" s="163">
        <f ca="1">IMSS[[#This Row],[DIAS LAB]]*IMSS[[#This Row],[SDI]]*$R$117</f>
        <v>0</v>
      </c>
      <c r="AC265" s="247">
        <f ca="1">SUM(IMSS[[#This Row],[O RSG TRB]:[O INFONAVIT]])</f>
        <v>165.22392739726027</v>
      </c>
      <c r="AD265" s="163"/>
      <c r="AE265" s="165">
        <f ca="1">IMSS[[#This Row],[P TOTAL]]+IMSS[[#This Row],[O TOTAL]]</f>
        <v>2302.1412421575346</v>
      </c>
      <c r="AF265" s="163"/>
      <c r="AG265" s="163">
        <f>VLOOKUP(IMSS[[#This Row],[SUE MENS]],$AG$110:$AJ$120,1,1)</f>
        <v>5470.93</v>
      </c>
      <c r="AH265" s="163">
        <f>IMSS[[#This Row],[SUE MENS]]-IMSS[[#This Row],[LIM INF]]</f>
        <v>1974.0699999999997</v>
      </c>
      <c r="AI265" s="163">
        <f>IMSS[[#This Row],[EXC LIM INF]]*(VLOOKUP(IMSS[[#This Row],[LIM INF]],$AG$110:$AJ$120,4,0))</f>
        <v>214.77881599999998</v>
      </c>
      <c r="AJ265" s="163">
        <f>VLOOKUP(IMSS[[#This Row],[LIM INF]],$AG$110:$AJ$120,3)</f>
        <v>321.26</v>
      </c>
      <c r="AK265" s="163">
        <f>SUM(IMSS[[#This Row],[TASA EXC]]+IMSS[[#This Row],[CUOTA FIJA]])</f>
        <v>536.038816</v>
      </c>
      <c r="AL265" s="163">
        <f>VLOOKUP(IMSS[[#This Row],[SUE MENS]],$AL$110:$AN$120,3,1)</f>
        <v>0</v>
      </c>
      <c r="AM265" s="248">
        <f>IF(IMSS[[#This Row],[ISR CARGO]]-IMSS[[#This Row],[SUBS ISR]]&gt;0,IMSS[[#This Row],[ISR CARGO]]-IMSS[[#This Row],[SUBS ISR]],0)</f>
        <v>536.038816</v>
      </c>
      <c r="AN265" s="248">
        <f>IF(IMSS[[#This Row],[SUBS ISR]]-IMSS[[#This Row],[ISR CARGO]]&gt;0,IMSS[[#This Row],[SUBS ISR]]-IMSS[[#This Row],[ISR CARGO]],0)</f>
        <v>0</v>
      </c>
    </row>
    <row r="266" spans="3:40" ht="15" hidden="1" customHeight="1" x14ac:dyDescent="0.25">
      <c r="C266" s="243">
        <v>269</v>
      </c>
      <c r="D266" s="167" t="str">
        <f>VLOOKUP(IMSS[[#This Row],[NEM]],BDD[],2,0)</f>
        <v>Yesenia Hernandez Guzman</v>
      </c>
      <c r="E266" s="167" t="str">
        <f>VLOOKUP(IMSS[[#This Row],[NEM]],BDD[],9,0)</f>
        <v>ADMINCIÓN</v>
      </c>
      <c r="F266" s="168">
        <v>30</v>
      </c>
      <c r="G266" s="139">
        <f>VLOOKUP(IMSS[[#This Row],[NEM]],BDD[],3,0)</f>
        <v>7445</v>
      </c>
      <c r="H266" s="139">
        <f ca="1">VLOOKUP(IMSS[[#This Row],[NEM]],BDD[],25,0)</f>
        <v>274.00319634703197</v>
      </c>
      <c r="I266" s="143">
        <f>VLOOKUP(IMSS[[#This Row],[DEPT]],$B$3:$G$49,6,0)</f>
        <v>5.4355000000000002E-3</v>
      </c>
      <c r="J266" s="163">
        <f ca="1">IMSS[[#This Row],[DIAS LAB]]*IMSS[[#This Row],[SDI]]*IMSS[[#This Row],[% RSG]]*$Q$108</f>
        <v>44.680331212328774</v>
      </c>
      <c r="K266" s="163">
        <f>IMSS[[#This Row],[DIAS LAB]]*$J$110*$Q$109</f>
        <v>548.47440000000006</v>
      </c>
      <c r="L266" s="166">
        <f ca="1">IMSS[[#This Row],[DIAS LAB]]*IF(IMSS[[#This Row],[SDI]]-$J$113&gt;0,IMSS[[#This Row],[SDI]]-$J$113,0)*$Q$110</f>
        <v>1.6972547945205467</v>
      </c>
      <c r="M266" s="166">
        <f ca="1">IMSS[[#This Row],[DIAS LAB]]*IMSS[[#This Row],[SDI]]*$Q$111</f>
        <v>86.311006849315078</v>
      </c>
      <c r="N266" s="163">
        <f ca="1">IMSS[[#This Row],[DIAS LAB]]*IMSS[[#This Row],[SDI]]*$Q$112</f>
        <v>57.540671232876718</v>
      </c>
      <c r="O266" s="166">
        <f ca="1">IMSS[[#This Row],[DIAS LAB]]*IMSS[[#This Row],[SDI]]*$Q$113</f>
        <v>143.8516780821918</v>
      </c>
      <c r="P266" s="163">
        <f ca="1">IMSS[[#This Row],[DIAS LAB]]*IMSS[[#This Row],[SDI]]*$Q$114</f>
        <v>82.200958904109598</v>
      </c>
      <c r="Q266" s="166">
        <f ca="1">IMSS[[#This Row],[DIAS LAB]]*IMSS[[#This Row],[SDI]]*$Q$115</f>
        <v>164.4019178082192</v>
      </c>
      <c r="R266" s="163">
        <f ca="1">IMSS[[#This Row],[DIAS LAB]]*IMSS[[#This Row],[SDI]]*$Q$116</f>
        <v>258.9330205479452</v>
      </c>
      <c r="S266" s="163">
        <f ca="1">IMSS[[#This Row],[DIAS LAB]]*IMSS[[#This Row],[SDI]]*$Q$117</f>
        <v>411.00479452054799</v>
      </c>
      <c r="T266" s="164">
        <f ca="1">SUM(IMSS[[#This Row],[P RSG TRB]:[P INFONAVIT]])</f>
        <v>1799.0960339520548</v>
      </c>
      <c r="U266" s="163">
        <f ca="1">IMSS[[#This Row],[DIAS LAB]]*IMSS[[#This Row],[SDI]]*IMSS[[#This Row],[% RSG]]*$R$108</f>
        <v>0</v>
      </c>
      <c r="V266" s="163">
        <f ca="1">IMSS[[#This Row],[DIAS LAB]]*IMSS[[#This Row],[SDI]]*$R$112</f>
        <v>20.550239726027399</v>
      </c>
      <c r="W266" s="163"/>
      <c r="X266" s="163">
        <f ca="1">IMSS[[#This Row],[DIAS LAB]]*IMSS[[#This Row],[SDI]]*$R$113</f>
        <v>51.786604109589042</v>
      </c>
      <c r="Y266" s="163">
        <f ca="1">IMSS[[#This Row],[DIAS LAB]]*IMSS[[#This Row],[SDI]]*$R$114</f>
        <v>0</v>
      </c>
      <c r="Z266" s="163">
        <f ca="1">IMSS[[#This Row],[DIAS LAB]]*IMSS[[#This Row],[SDI]]*$R$115</f>
        <v>0</v>
      </c>
      <c r="AA266" s="163">
        <f ca="1">IMSS[[#This Row],[DIAS LAB]]*IMSS[[#This Row],[SDI]]*$R$116</f>
        <v>92.887083561643834</v>
      </c>
      <c r="AB266" s="163">
        <f ca="1">IMSS[[#This Row],[DIAS LAB]]*IMSS[[#This Row],[SDI]]*$R$117</f>
        <v>0</v>
      </c>
      <c r="AC266" s="247">
        <f ca="1">SUM(IMSS[[#This Row],[O RSG TRB]:[O INFONAVIT]])</f>
        <v>165.22392739726027</v>
      </c>
      <c r="AD266" s="163"/>
      <c r="AE266" s="165">
        <f ca="1">IMSS[[#This Row],[P TOTAL]]+IMSS[[#This Row],[O TOTAL]]</f>
        <v>1964.319961349315</v>
      </c>
      <c r="AF266" s="163"/>
      <c r="AG266" s="163">
        <f>VLOOKUP(IMSS[[#This Row],[SUE MENS]],$AG$110:$AJ$120,1,1)</f>
        <v>5470.93</v>
      </c>
      <c r="AH266" s="163">
        <f>IMSS[[#This Row],[SUE MENS]]-IMSS[[#This Row],[LIM INF]]</f>
        <v>1974.0699999999997</v>
      </c>
      <c r="AI266" s="163">
        <f>IMSS[[#This Row],[EXC LIM INF]]*(VLOOKUP(IMSS[[#This Row],[LIM INF]],$AG$110:$AJ$120,4,0))</f>
        <v>214.77881599999998</v>
      </c>
      <c r="AJ266" s="163">
        <f>VLOOKUP(IMSS[[#This Row],[LIM INF]],$AG$110:$AJ$120,3)</f>
        <v>321.26</v>
      </c>
      <c r="AK266" s="163">
        <f>SUM(IMSS[[#This Row],[TASA EXC]]+IMSS[[#This Row],[CUOTA FIJA]])</f>
        <v>536.038816</v>
      </c>
      <c r="AL266" s="163">
        <f>VLOOKUP(IMSS[[#This Row],[SUE MENS]],$AL$110:$AN$120,3,1)</f>
        <v>0</v>
      </c>
      <c r="AM266" s="248">
        <f>IF(IMSS[[#This Row],[ISR CARGO]]-IMSS[[#This Row],[SUBS ISR]]&gt;0,IMSS[[#This Row],[ISR CARGO]]-IMSS[[#This Row],[SUBS ISR]],0)</f>
        <v>536.038816</v>
      </c>
      <c r="AN266" s="248">
        <f>IF(IMSS[[#This Row],[SUBS ISR]]-IMSS[[#This Row],[ISR CARGO]]&gt;0,IMSS[[#This Row],[SUBS ISR]]-IMSS[[#This Row],[ISR CARGO]],0)</f>
        <v>0</v>
      </c>
    </row>
    <row r="267" spans="3:40" ht="15" hidden="1" customHeight="1" x14ac:dyDescent="0.25">
      <c r="C267" s="243">
        <v>270</v>
      </c>
      <c r="D267" s="167" t="str">
        <f>VLOOKUP(IMSS[[#This Row],[NEM]],BDD[],2,0)</f>
        <v>Luis Eduardo Rosales Pérez</v>
      </c>
      <c r="E267" s="167" t="str">
        <f>VLOOKUP(IMSS[[#This Row],[NEM]],BDD[],9,0)</f>
        <v>MATERIALES</v>
      </c>
      <c r="F267" s="168">
        <v>30</v>
      </c>
      <c r="G267" s="139">
        <f>VLOOKUP(IMSS[[#This Row],[NEM]],BDD[],3,0)</f>
        <v>8825</v>
      </c>
      <c r="H267" s="139">
        <f ca="1">VLOOKUP(IMSS[[#This Row],[NEM]],BDD[],25,0)</f>
        <v>324.79223744292239</v>
      </c>
      <c r="I267" s="143">
        <f>VLOOKUP(IMSS[[#This Row],[DEPT]],$B$3:$G$49,6,0)</f>
        <v>4.6532499999999997E-2</v>
      </c>
      <c r="J267" s="163">
        <f ca="1">IMSS[[#This Row],[DIAS LAB]]*IMSS[[#This Row],[SDI]]*IMSS[[#This Row],[% RSG]]*$Q$108</f>
        <v>453.40184366438353</v>
      </c>
      <c r="K267" s="163">
        <f>IMSS[[#This Row],[DIAS LAB]]*$J$110*$Q$109</f>
        <v>548.47440000000006</v>
      </c>
      <c r="L267" s="166">
        <f ca="1">IMSS[[#This Row],[DIAS LAB]]*IF(IMSS[[#This Row],[SDI]]-$J$113&gt;0,IMSS[[#This Row],[SDI]]-$J$113,0)*$Q$110</f>
        <v>18.457638356164384</v>
      </c>
      <c r="M267" s="166">
        <f ca="1">IMSS[[#This Row],[DIAS LAB]]*IMSS[[#This Row],[SDI]]*$Q$111</f>
        <v>102.30955479452055</v>
      </c>
      <c r="N267" s="163">
        <f ca="1">IMSS[[#This Row],[DIAS LAB]]*IMSS[[#This Row],[SDI]]*$Q$112</f>
        <v>68.206369863013691</v>
      </c>
      <c r="O267" s="166">
        <f ca="1">IMSS[[#This Row],[DIAS LAB]]*IMSS[[#This Row],[SDI]]*$Q$113</f>
        <v>170.51592465753427</v>
      </c>
      <c r="P267" s="163">
        <f ca="1">IMSS[[#This Row],[DIAS LAB]]*IMSS[[#This Row],[SDI]]*$Q$114</f>
        <v>97.43767123287671</v>
      </c>
      <c r="Q267" s="166">
        <f ca="1">IMSS[[#This Row],[DIAS LAB]]*IMSS[[#This Row],[SDI]]*$Q$115</f>
        <v>194.87534246575342</v>
      </c>
      <c r="R267" s="163">
        <f ca="1">IMSS[[#This Row],[DIAS LAB]]*IMSS[[#This Row],[SDI]]*$Q$116</f>
        <v>306.92866438356162</v>
      </c>
      <c r="S267" s="163">
        <f ca="1">IMSS[[#This Row],[DIAS LAB]]*IMSS[[#This Row],[SDI]]*$Q$117</f>
        <v>487.18835616438355</v>
      </c>
      <c r="T267" s="164">
        <f ca="1">SUM(IMSS[[#This Row],[P RSG TRB]:[P INFONAVIT]])</f>
        <v>2447.795765582192</v>
      </c>
      <c r="U267" s="163">
        <f ca="1">IMSS[[#This Row],[DIAS LAB]]*IMSS[[#This Row],[SDI]]*IMSS[[#This Row],[% RSG]]*$R$108</f>
        <v>0</v>
      </c>
      <c r="V267" s="163">
        <f ca="1">IMSS[[#This Row],[DIAS LAB]]*IMSS[[#This Row],[SDI]]*$R$112</f>
        <v>24.359417808219177</v>
      </c>
      <c r="W267" s="163"/>
      <c r="X267" s="163">
        <f ca="1">IMSS[[#This Row],[DIAS LAB]]*IMSS[[#This Row],[SDI]]*$R$113</f>
        <v>61.385732876712325</v>
      </c>
      <c r="Y267" s="163">
        <f ca="1">IMSS[[#This Row],[DIAS LAB]]*IMSS[[#This Row],[SDI]]*$R$114</f>
        <v>0</v>
      </c>
      <c r="Z267" s="163">
        <f ca="1">IMSS[[#This Row],[DIAS LAB]]*IMSS[[#This Row],[SDI]]*$R$115</f>
        <v>0</v>
      </c>
      <c r="AA267" s="163">
        <f ca="1">IMSS[[#This Row],[DIAS LAB]]*IMSS[[#This Row],[SDI]]*$R$116</f>
        <v>110.10456849315068</v>
      </c>
      <c r="AB267" s="163">
        <f ca="1">IMSS[[#This Row],[DIAS LAB]]*IMSS[[#This Row],[SDI]]*$R$117</f>
        <v>0</v>
      </c>
      <c r="AC267" s="247">
        <f ca="1">SUM(IMSS[[#This Row],[O RSG TRB]:[O INFONAVIT]])</f>
        <v>195.84971917808218</v>
      </c>
      <c r="AD267" s="163"/>
      <c r="AE267" s="165">
        <f ca="1">IMSS[[#This Row],[P TOTAL]]+IMSS[[#This Row],[O TOTAL]]</f>
        <v>2643.645484760274</v>
      </c>
      <c r="AF267" s="163"/>
      <c r="AG267" s="163">
        <f>VLOOKUP(IMSS[[#This Row],[SUE MENS]],$AG$110:$AJ$120,1,1)</f>
        <v>5470.93</v>
      </c>
      <c r="AH267" s="163">
        <f>IMSS[[#This Row],[SUE MENS]]-IMSS[[#This Row],[LIM INF]]</f>
        <v>3354.0699999999997</v>
      </c>
      <c r="AI267" s="163">
        <f>IMSS[[#This Row],[EXC LIM INF]]*(VLOOKUP(IMSS[[#This Row],[LIM INF]],$AG$110:$AJ$120,4,0))</f>
        <v>364.92281600000001</v>
      </c>
      <c r="AJ267" s="163">
        <f>VLOOKUP(IMSS[[#This Row],[LIM INF]],$AG$110:$AJ$120,3)</f>
        <v>321.26</v>
      </c>
      <c r="AK267" s="163">
        <f>SUM(IMSS[[#This Row],[TASA EXC]]+IMSS[[#This Row],[CUOTA FIJA]])</f>
        <v>686.182816</v>
      </c>
      <c r="AL267" s="163">
        <f>VLOOKUP(IMSS[[#This Row],[SUE MENS]],$AL$110:$AN$120,3,1)</f>
        <v>0</v>
      </c>
      <c r="AM267" s="248">
        <f>IF(IMSS[[#This Row],[ISR CARGO]]-IMSS[[#This Row],[SUBS ISR]]&gt;0,IMSS[[#This Row],[ISR CARGO]]-IMSS[[#This Row],[SUBS ISR]],0)</f>
        <v>686.182816</v>
      </c>
      <c r="AN267" s="248">
        <f>IF(IMSS[[#This Row],[SUBS ISR]]-IMSS[[#This Row],[ISR CARGO]]&gt;0,IMSS[[#This Row],[SUBS ISR]]-IMSS[[#This Row],[ISR CARGO]],0)</f>
        <v>0</v>
      </c>
    </row>
    <row r="268" spans="3:40" ht="15" hidden="1" customHeight="1" x14ac:dyDescent="0.25">
      <c r="C268" s="243">
        <v>271</v>
      </c>
      <c r="D268" s="167" t="str">
        <f>VLOOKUP(IMSS[[#This Row],[NEM]],BDD[],2,0)</f>
        <v>José María Maldonado Nieto</v>
      </c>
      <c r="E268" s="167" t="str">
        <f>VLOOKUP(IMSS[[#This Row],[NEM]],BDD[],9,0)</f>
        <v>RENDER</v>
      </c>
      <c r="F268" s="168">
        <v>30</v>
      </c>
      <c r="G268" s="139">
        <f>VLOOKUP(IMSS[[#This Row],[NEM]],BDD[],3,0)</f>
        <v>7445</v>
      </c>
      <c r="H268" s="139">
        <f ca="1">VLOOKUP(IMSS[[#This Row],[NEM]],BDD[],25,0)</f>
        <v>274.00319634703197</v>
      </c>
      <c r="I268" s="143">
        <f>VLOOKUP(IMSS[[#This Row],[DEPT]],$B$3:$G$49,6,0)</f>
        <v>2.5984400000000001E-2</v>
      </c>
      <c r="J268" s="163">
        <f ca="1">IMSS[[#This Row],[DIAS LAB]]*IMSS[[#This Row],[SDI]]*IMSS[[#This Row],[% RSG]]*$Q$108</f>
        <v>213.59425965479454</v>
      </c>
      <c r="K268" s="163">
        <f>IMSS[[#This Row],[DIAS LAB]]*$J$110*$Q$109</f>
        <v>548.47440000000006</v>
      </c>
      <c r="L268" s="166">
        <f ca="1">IMSS[[#This Row],[DIAS LAB]]*IF(IMSS[[#This Row],[SDI]]-$J$113&gt;0,IMSS[[#This Row],[SDI]]-$J$113,0)*$Q$110</f>
        <v>1.6972547945205467</v>
      </c>
      <c r="M268" s="166">
        <f ca="1">IMSS[[#This Row],[DIAS LAB]]*IMSS[[#This Row],[SDI]]*$Q$111</f>
        <v>86.311006849315078</v>
      </c>
      <c r="N268" s="163">
        <f ca="1">IMSS[[#This Row],[DIAS LAB]]*IMSS[[#This Row],[SDI]]*$Q$112</f>
        <v>57.540671232876718</v>
      </c>
      <c r="O268" s="166">
        <f ca="1">IMSS[[#This Row],[DIAS LAB]]*IMSS[[#This Row],[SDI]]*$Q$113</f>
        <v>143.8516780821918</v>
      </c>
      <c r="P268" s="163">
        <f ca="1">IMSS[[#This Row],[DIAS LAB]]*IMSS[[#This Row],[SDI]]*$Q$114</f>
        <v>82.200958904109598</v>
      </c>
      <c r="Q268" s="166">
        <f ca="1">IMSS[[#This Row],[DIAS LAB]]*IMSS[[#This Row],[SDI]]*$Q$115</f>
        <v>164.4019178082192</v>
      </c>
      <c r="R268" s="163">
        <f ca="1">IMSS[[#This Row],[DIAS LAB]]*IMSS[[#This Row],[SDI]]*$Q$116</f>
        <v>258.9330205479452</v>
      </c>
      <c r="S268" s="163">
        <f ca="1">IMSS[[#This Row],[DIAS LAB]]*IMSS[[#This Row],[SDI]]*$Q$117</f>
        <v>411.00479452054799</v>
      </c>
      <c r="T268" s="164">
        <f ca="1">SUM(IMSS[[#This Row],[P RSG TRB]:[P INFONAVIT]])</f>
        <v>1968.0099623945207</v>
      </c>
      <c r="U268" s="163">
        <f ca="1">IMSS[[#This Row],[DIAS LAB]]*IMSS[[#This Row],[SDI]]*IMSS[[#This Row],[% RSG]]*$R$108</f>
        <v>0</v>
      </c>
      <c r="V268" s="163">
        <f ca="1">IMSS[[#This Row],[DIAS LAB]]*IMSS[[#This Row],[SDI]]*$R$112</f>
        <v>20.550239726027399</v>
      </c>
      <c r="W268" s="163"/>
      <c r="X268" s="163">
        <f ca="1">IMSS[[#This Row],[DIAS LAB]]*IMSS[[#This Row],[SDI]]*$R$113</f>
        <v>51.786604109589042</v>
      </c>
      <c r="Y268" s="163">
        <f ca="1">IMSS[[#This Row],[DIAS LAB]]*IMSS[[#This Row],[SDI]]*$R$114</f>
        <v>0</v>
      </c>
      <c r="Z268" s="163">
        <f ca="1">IMSS[[#This Row],[DIAS LAB]]*IMSS[[#This Row],[SDI]]*$R$115</f>
        <v>0</v>
      </c>
      <c r="AA268" s="163">
        <f ca="1">IMSS[[#This Row],[DIAS LAB]]*IMSS[[#This Row],[SDI]]*$R$116</f>
        <v>92.887083561643834</v>
      </c>
      <c r="AB268" s="163">
        <f ca="1">IMSS[[#This Row],[DIAS LAB]]*IMSS[[#This Row],[SDI]]*$R$117</f>
        <v>0</v>
      </c>
      <c r="AC268" s="247">
        <f ca="1">SUM(IMSS[[#This Row],[O RSG TRB]:[O INFONAVIT]])</f>
        <v>165.22392739726027</v>
      </c>
      <c r="AD268" s="163"/>
      <c r="AE268" s="165">
        <f ca="1">IMSS[[#This Row],[P TOTAL]]+IMSS[[#This Row],[O TOTAL]]</f>
        <v>2133.2338897917812</v>
      </c>
      <c r="AF268" s="163"/>
      <c r="AG268" s="163">
        <f>VLOOKUP(IMSS[[#This Row],[SUE MENS]],$AG$110:$AJ$120,1,1)</f>
        <v>5470.93</v>
      </c>
      <c r="AH268" s="163">
        <f>IMSS[[#This Row],[SUE MENS]]-IMSS[[#This Row],[LIM INF]]</f>
        <v>1974.0699999999997</v>
      </c>
      <c r="AI268" s="163">
        <f>IMSS[[#This Row],[EXC LIM INF]]*(VLOOKUP(IMSS[[#This Row],[LIM INF]],$AG$110:$AJ$120,4,0))</f>
        <v>214.77881599999998</v>
      </c>
      <c r="AJ268" s="163">
        <f>VLOOKUP(IMSS[[#This Row],[LIM INF]],$AG$110:$AJ$120,3)</f>
        <v>321.26</v>
      </c>
      <c r="AK268" s="163">
        <f>SUM(IMSS[[#This Row],[TASA EXC]]+IMSS[[#This Row],[CUOTA FIJA]])</f>
        <v>536.038816</v>
      </c>
      <c r="AL268" s="163">
        <f>VLOOKUP(IMSS[[#This Row],[SUE MENS]],$AL$110:$AN$120,3,1)</f>
        <v>0</v>
      </c>
      <c r="AM268" s="248">
        <f>IF(IMSS[[#This Row],[ISR CARGO]]-IMSS[[#This Row],[SUBS ISR]]&gt;0,IMSS[[#This Row],[ISR CARGO]]-IMSS[[#This Row],[SUBS ISR]],0)</f>
        <v>536.038816</v>
      </c>
      <c r="AN268" s="248">
        <f>IF(IMSS[[#This Row],[SUBS ISR]]-IMSS[[#This Row],[ISR CARGO]]&gt;0,IMSS[[#This Row],[SUBS ISR]]-IMSS[[#This Row],[ISR CARGO]],0)</f>
        <v>0</v>
      </c>
    </row>
    <row r="269" spans="3:40" ht="15" hidden="1" customHeight="1" x14ac:dyDescent="0.25">
      <c r="C269" s="243">
        <v>272</v>
      </c>
      <c r="D269" s="167" t="str">
        <f>VLOOKUP(IMSS[[#This Row],[NEM]],BDD[],2,0)</f>
        <v>Roberto Rodriguez Arroyo</v>
      </c>
      <c r="E269" s="167" t="str">
        <f>VLOOKUP(IMSS[[#This Row],[NEM]],BDD[],9,0)</f>
        <v>SOFTWARE</v>
      </c>
      <c r="F269" s="168">
        <v>30</v>
      </c>
      <c r="G269" s="139">
        <f>VLOOKUP(IMSS[[#This Row],[NEM]],BDD[],3,0)</f>
        <v>9450</v>
      </c>
      <c r="H269" s="139">
        <f ca="1">VLOOKUP(IMSS[[#This Row],[NEM]],BDD[],25,0)</f>
        <v>347.79452054794518</v>
      </c>
      <c r="I269" s="143">
        <f>VLOOKUP(IMSS[[#This Row],[DEPT]],$B$3:$G$49,6,0)</f>
        <v>1.130658E-2</v>
      </c>
      <c r="J269" s="163">
        <f ca="1">IMSS[[#This Row],[DIAS LAB]]*IMSS[[#This Row],[SDI]]*IMSS[[#This Row],[% RSG]]*$Q$108</f>
        <v>117.97099710410957</v>
      </c>
      <c r="K269" s="163">
        <f>IMSS[[#This Row],[DIAS LAB]]*$J$110*$Q$109</f>
        <v>548.47440000000006</v>
      </c>
      <c r="L269" s="166">
        <f ca="1">IMSS[[#This Row],[DIAS LAB]]*IF(IMSS[[#This Row],[SDI]]-$J$113&gt;0,IMSS[[#This Row],[SDI]]-$J$113,0)*$Q$110</f>
        <v>26.048391780821905</v>
      </c>
      <c r="M269" s="166">
        <f ca="1">IMSS[[#This Row],[DIAS LAB]]*IMSS[[#This Row],[SDI]]*$Q$111</f>
        <v>109.55527397260273</v>
      </c>
      <c r="N269" s="163">
        <f ca="1">IMSS[[#This Row],[DIAS LAB]]*IMSS[[#This Row],[SDI]]*$Q$112</f>
        <v>73.03684931506848</v>
      </c>
      <c r="O269" s="166">
        <f ca="1">IMSS[[#This Row],[DIAS LAB]]*IMSS[[#This Row],[SDI]]*$Q$113</f>
        <v>182.59212328767123</v>
      </c>
      <c r="P269" s="163">
        <f ca="1">IMSS[[#This Row],[DIAS LAB]]*IMSS[[#This Row],[SDI]]*$Q$114</f>
        <v>104.33835616438355</v>
      </c>
      <c r="Q269" s="166">
        <f ca="1">IMSS[[#This Row],[DIAS LAB]]*IMSS[[#This Row],[SDI]]*$Q$115</f>
        <v>208.67671232876711</v>
      </c>
      <c r="R269" s="163">
        <f ca="1">IMSS[[#This Row],[DIAS LAB]]*IMSS[[#This Row],[SDI]]*$Q$116</f>
        <v>328.66582191780816</v>
      </c>
      <c r="S269" s="163">
        <f ca="1">IMSS[[#This Row],[DIAS LAB]]*IMSS[[#This Row],[SDI]]*$Q$117</f>
        <v>521.69178082191775</v>
      </c>
      <c r="T269" s="164">
        <f ca="1">SUM(IMSS[[#This Row],[P RSG TRB]:[P INFONAVIT]])</f>
        <v>2221.0507066931505</v>
      </c>
      <c r="U269" s="163">
        <f ca="1">IMSS[[#This Row],[DIAS LAB]]*IMSS[[#This Row],[SDI]]*IMSS[[#This Row],[% RSG]]*$R$108</f>
        <v>0</v>
      </c>
      <c r="V269" s="163">
        <f ca="1">IMSS[[#This Row],[DIAS LAB]]*IMSS[[#This Row],[SDI]]*$R$112</f>
        <v>26.084589041095889</v>
      </c>
      <c r="W269" s="163"/>
      <c r="X269" s="163">
        <f ca="1">IMSS[[#This Row],[DIAS LAB]]*IMSS[[#This Row],[SDI]]*$R$113</f>
        <v>65.733164383561643</v>
      </c>
      <c r="Y269" s="163">
        <f ca="1">IMSS[[#This Row],[DIAS LAB]]*IMSS[[#This Row],[SDI]]*$R$114</f>
        <v>0</v>
      </c>
      <c r="Z269" s="163">
        <f ca="1">IMSS[[#This Row],[DIAS LAB]]*IMSS[[#This Row],[SDI]]*$R$115</f>
        <v>0</v>
      </c>
      <c r="AA269" s="163">
        <f ca="1">IMSS[[#This Row],[DIAS LAB]]*IMSS[[#This Row],[SDI]]*$R$116</f>
        <v>117.90234246575341</v>
      </c>
      <c r="AB269" s="163">
        <f ca="1">IMSS[[#This Row],[DIAS LAB]]*IMSS[[#This Row],[SDI]]*$R$117</f>
        <v>0</v>
      </c>
      <c r="AC269" s="247">
        <f ca="1">SUM(IMSS[[#This Row],[O RSG TRB]:[O INFONAVIT]])</f>
        <v>209.72009589041093</v>
      </c>
      <c r="AD269" s="163"/>
      <c r="AE269" s="165">
        <f ca="1">IMSS[[#This Row],[P TOTAL]]+IMSS[[#This Row],[O TOTAL]]</f>
        <v>2430.7708025835614</v>
      </c>
      <c r="AF269" s="163"/>
      <c r="AG269" s="163">
        <f>VLOOKUP(IMSS[[#This Row],[SUE MENS]],$AG$110:$AJ$120,1,1)</f>
        <v>5470.93</v>
      </c>
      <c r="AH269" s="163">
        <f>IMSS[[#This Row],[SUE MENS]]-IMSS[[#This Row],[LIM INF]]</f>
        <v>3979.0699999999997</v>
      </c>
      <c r="AI269" s="163">
        <f>IMSS[[#This Row],[EXC LIM INF]]*(VLOOKUP(IMSS[[#This Row],[LIM INF]],$AG$110:$AJ$120,4,0))</f>
        <v>432.92281600000001</v>
      </c>
      <c r="AJ269" s="163">
        <f>VLOOKUP(IMSS[[#This Row],[LIM INF]],$AG$110:$AJ$120,3)</f>
        <v>321.26</v>
      </c>
      <c r="AK269" s="163">
        <f>SUM(IMSS[[#This Row],[TASA EXC]]+IMSS[[#This Row],[CUOTA FIJA]])</f>
        <v>754.182816</v>
      </c>
      <c r="AL269" s="163">
        <f>VLOOKUP(IMSS[[#This Row],[SUE MENS]],$AL$110:$AN$120,3,1)</f>
        <v>0</v>
      </c>
      <c r="AM269" s="248">
        <f>IF(IMSS[[#This Row],[ISR CARGO]]-IMSS[[#This Row],[SUBS ISR]]&gt;0,IMSS[[#This Row],[ISR CARGO]]-IMSS[[#This Row],[SUBS ISR]],0)</f>
        <v>754.182816</v>
      </c>
      <c r="AN269" s="248">
        <f>IF(IMSS[[#This Row],[SUBS ISR]]-IMSS[[#This Row],[ISR CARGO]]&gt;0,IMSS[[#This Row],[SUBS ISR]]-IMSS[[#This Row],[ISR CARGO]],0)</f>
        <v>0</v>
      </c>
    </row>
    <row r="270" spans="3:40" ht="15" hidden="1" customHeight="1" x14ac:dyDescent="0.25">
      <c r="C270" s="245">
        <v>273</v>
      </c>
      <c r="D270" s="167" t="str">
        <f>VLOOKUP(IMSS[[#This Row],[NEM]],BDD[],2,0)</f>
        <v>Roberto Alejandro Martínez Osuna</v>
      </c>
      <c r="E270" s="167" t="str">
        <f>VLOOKUP(IMSS[[#This Row],[NEM]],BDD[],9,0)</f>
        <v>RECLTMTO</v>
      </c>
      <c r="F270" s="168">
        <v>30</v>
      </c>
      <c r="G270" s="139">
        <f>VLOOKUP(IMSS[[#This Row],[NEM]],BDD[],3,0)</f>
        <v>6778</v>
      </c>
      <c r="H270" s="139">
        <f ca="1">VLOOKUP(IMSS[[#This Row],[NEM]],BDD[],25,0)</f>
        <v>237.69424657534245</v>
      </c>
      <c r="I270" s="143">
        <f>VLOOKUP(IMSS[[#This Row],[DEPT]],$B$3:$G$49,6,0)</f>
        <v>5.4355000000000002E-3</v>
      </c>
      <c r="J270" s="163">
        <f ca="1">IMSS[[#This Row],[DIAS LAB]]*IMSS[[#This Row],[SDI]]*IMSS[[#This Row],[% RSG]]*$Q$108</f>
        <v>38.759612317808219</v>
      </c>
      <c r="K270" s="163">
        <f>IMSS[[#This Row],[DIAS LAB]]*$J$110*$Q$109</f>
        <v>548.47440000000006</v>
      </c>
      <c r="L270" s="166">
        <f ca="1">IMSS[[#This Row],[DIAS LAB]]*IF(IMSS[[#This Row],[SDI]]-$J$113&gt;0,IMSS[[#This Row],[SDI]]-$J$113,0)*$Q$110</f>
        <v>0</v>
      </c>
      <c r="M270" s="166">
        <f ca="1">IMSS[[#This Row],[DIAS LAB]]*IMSS[[#This Row],[SDI]]*$Q$111</f>
        <v>74.873687671232872</v>
      </c>
      <c r="N270" s="163">
        <f ca="1">IMSS[[#This Row],[DIAS LAB]]*IMSS[[#This Row],[SDI]]*$Q$112</f>
        <v>49.91579178082192</v>
      </c>
      <c r="O270" s="166">
        <f ca="1">IMSS[[#This Row],[DIAS LAB]]*IMSS[[#This Row],[SDI]]*$Q$113</f>
        <v>124.78947945205481</v>
      </c>
      <c r="P270" s="163">
        <f ca="1">IMSS[[#This Row],[DIAS LAB]]*IMSS[[#This Row],[SDI]]*$Q$114</f>
        <v>71.308273972602734</v>
      </c>
      <c r="Q270" s="166">
        <f ca="1">IMSS[[#This Row],[DIAS LAB]]*IMSS[[#This Row],[SDI]]*$Q$115</f>
        <v>142.61654794520547</v>
      </c>
      <c r="R270" s="163">
        <f ca="1">IMSS[[#This Row],[DIAS LAB]]*IMSS[[#This Row],[SDI]]*$Q$116</f>
        <v>224.62106301369863</v>
      </c>
      <c r="S270" s="163">
        <f ca="1">IMSS[[#This Row],[DIAS LAB]]*IMSS[[#This Row],[SDI]]*$Q$117</f>
        <v>356.5413698630137</v>
      </c>
      <c r="T270" s="164">
        <f ca="1">SUM(IMSS[[#This Row],[P RSG TRB]:[P INFONAVIT]])</f>
        <v>1631.9002260164384</v>
      </c>
      <c r="U270" s="163">
        <f ca="1">IMSS[[#This Row],[DIAS LAB]]*IMSS[[#This Row],[SDI]]*IMSS[[#This Row],[% RSG]]*$R$108</f>
        <v>0</v>
      </c>
      <c r="V270" s="163">
        <f ca="1">IMSS[[#This Row],[DIAS LAB]]*IMSS[[#This Row],[SDI]]*$R$112</f>
        <v>17.827068493150684</v>
      </c>
      <c r="W270" s="163"/>
      <c r="X270" s="163">
        <f ca="1">IMSS[[#This Row],[DIAS LAB]]*IMSS[[#This Row],[SDI]]*$R$113</f>
        <v>44.924212602739722</v>
      </c>
      <c r="Y270" s="163">
        <f ca="1">IMSS[[#This Row],[DIAS LAB]]*IMSS[[#This Row],[SDI]]*$R$114</f>
        <v>0</v>
      </c>
      <c r="Z270" s="163">
        <f ca="1">IMSS[[#This Row],[DIAS LAB]]*IMSS[[#This Row],[SDI]]*$R$115</f>
        <v>0</v>
      </c>
      <c r="AA270" s="163">
        <f ca="1">IMSS[[#This Row],[DIAS LAB]]*IMSS[[#This Row],[SDI]]*$R$116</f>
        <v>80.578349589041082</v>
      </c>
      <c r="AB270" s="163">
        <f ca="1">IMSS[[#This Row],[DIAS LAB]]*IMSS[[#This Row],[SDI]]*$R$117</f>
        <v>0</v>
      </c>
      <c r="AC270" s="247">
        <f ca="1">SUM(IMSS[[#This Row],[O RSG TRB]:[O INFONAVIT]])</f>
        <v>143.32963068493149</v>
      </c>
      <c r="AD270" s="163"/>
      <c r="AE270" s="165">
        <f ca="1">IMSS[[#This Row],[P TOTAL]]+IMSS[[#This Row],[O TOTAL]]</f>
        <v>1775.22985670137</v>
      </c>
      <c r="AF270" s="163"/>
      <c r="AG270" s="163">
        <f>VLOOKUP(IMSS[[#This Row],[SUE MENS]],$AG$110:$AJ$120,1,1)</f>
        <v>5470.93</v>
      </c>
      <c r="AH270" s="163">
        <f>IMSS[[#This Row],[SUE MENS]]-IMSS[[#This Row],[LIM INF]]</f>
        <v>1307.0699999999997</v>
      </c>
      <c r="AI270" s="163">
        <f>IMSS[[#This Row],[EXC LIM INF]]*(VLOOKUP(IMSS[[#This Row],[LIM INF]],$AG$110:$AJ$120,4,0))</f>
        <v>142.20921599999997</v>
      </c>
      <c r="AJ270" s="163">
        <f>VLOOKUP(IMSS[[#This Row],[LIM INF]],$AG$110:$AJ$120,3)</f>
        <v>321.26</v>
      </c>
      <c r="AK270" s="163">
        <f>SUM(IMSS[[#This Row],[TASA EXC]]+IMSS[[#This Row],[CUOTA FIJA]])</f>
        <v>463.46921599999996</v>
      </c>
      <c r="AL270" s="163">
        <f>VLOOKUP(IMSS[[#This Row],[SUE MENS]],$AL$110:$AN$120,3,1)</f>
        <v>253.54</v>
      </c>
      <c r="AM270" s="248">
        <f>IF(IMSS[[#This Row],[ISR CARGO]]-IMSS[[#This Row],[SUBS ISR]]&gt;0,IMSS[[#This Row],[ISR CARGO]]-IMSS[[#This Row],[SUBS ISR]],0)</f>
        <v>209.92921599999997</v>
      </c>
      <c r="AN270" s="248">
        <f>IF(IMSS[[#This Row],[SUBS ISR]]-IMSS[[#This Row],[ISR CARGO]]&gt;0,IMSS[[#This Row],[SUBS ISR]]-IMSS[[#This Row],[ISR CARGO]],0)</f>
        <v>0</v>
      </c>
    </row>
    <row r="271" spans="3:40" ht="15" hidden="1" customHeight="1" x14ac:dyDescent="0.25">
      <c r="C271" s="243">
        <v>274</v>
      </c>
      <c r="D271" s="167" t="str">
        <f>VLOOKUP(IMSS[[#This Row],[NEM]],BDD[],2,0)</f>
        <v>Jorge Alberto Quintero Corona</v>
      </c>
      <c r="E271" s="167" t="str">
        <f>VLOOKUP(IMSS[[#This Row],[NEM]],BDD[],9,0)</f>
        <v>EXTERNOS</v>
      </c>
      <c r="F271" s="168">
        <v>30</v>
      </c>
      <c r="G271" s="139">
        <f>VLOOKUP(IMSS[[#This Row],[NEM]],BDD[],3,0)</f>
        <v>9541</v>
      </c>
      <c r="H271" s="139">
        <f ca="1">VLOOKUP(IMSS[[#This Row],[NEM]],BDD[],25,0)</f>
        <v>351.14365296803658</v>
      </c>
      <c r="I271" s="143">
        <f>VLOOKUP(IMSS[[#This Row],[DEPT]],$B$3:$G$49,6,0)</f>
        <v>5.4355000000000002E-3</v>
      </c>
      <c r="J271" s="163">
        <f ca="1">IMSS[[#This Row],[DIAS LAB]]*IMSS[[#This Row],[SDI]]*IMSS[[#This Row],[% RSG]]*$Q$108</f>
        <v>57.259239771232885</v>
      </c>
      <c r="K271" s="163">
        <f>IMSS[[#This Row],[DIAS LAB]]*$J$110*$Q$109</f>
        <v>548.47440000000006</v>
      </c>
      <c r="L271" s="166">
        <f ca="1">IMSS[[#This Row],[DIAS LAB]]*IF(IMSS[[#This Row],[SDI]]-$J$113&gt;0,IMSS[[#This Row],[SDI]]-$J$113,0)*$Q$110</f>
        <v>27.153605479452061</v>
      </c>
      <c r="M271" s="166">
        <f ca="1">IMSS[[#This Row],[DIAS LAB]]*IMSS[[#This Row],[SDI]]*$Q$111</f>
        <v>110.61025068493153</v>
      </c>
      <c r="N271" s="163">
        <f ca="1">IMSS[[#This Row],[DIAS LAB]]*IMSS[[#This Row],[SDI]]*$Q$112</f>
        <v>73.740167123287677</v>
      </c>
      <c r="O271" s="166">
        <f ca="1">IMSS[[#This Row],[DIAS LAB]]*IMSS[[#This Row],[SDI]]*$Q$113</f>
        <v>184.35041780821922</v>
      </c>
      <c r="P271" s="163">
        <f ca="1">IMSS[[#This Row],[DIAS LAB]]*IMSS[[#This Row],[SDI]]*$Q$114</f>
        <v>105.34309589041096</v>
      </c>
      <c r="Q271" s="166">
        <f ca="1">IMSS[[#This Row],[DIAS LAB]]*IMSS[[#This Row],[SDI]]*$Q$115</f>
        <v>210.68619178082193</v>
      </c>
      <c r="R271" s="163">
        <f ca="1">IMSS[[#This Row],[DIAS LAB]]*IMSS[[#This Row],[SDI]]*$Q$116</f>
        <v>331.83075205479457</v>
      </c>
      <c r="S271" s="163">
        <f ca="1">IMSS[[#This Row],[DIAS LAB]]*IMSS[[#This Row],[SDI]]*$Q$117</f>
        <v>526.71547945205486</v>
      </c>
      <c r="T271" s="164">
        <f ca="1">SUM(IMSS[[#This Row],[P RSG TRB]:[P INFONAVIT]])</f>
        <v>2176.1636000452058</v>
      </c>
      <c r="U271" s="163">
        <f ca="1">IMSS[[#This Row],[DIAS LAB]]*IMSS[[#This Row],[SDI]]*IMSS[[#This Row],[% RSG]]*$R$108</f>
        <v>0</v>
      </c>
      <c r="V271" s="163">
        <f ca="1">IMSS[[#This Row],[DIAS LAB]]*IMSS[[#This Row],[SDI]]*$R$112</f>
        <v>26.335773972602741</v>
      </c>
      <c r="W271" s="163"/>
      <c r="X271" s="163">
        <f ca="1">IMSS[[#This Row],[DIAS LAB]]*IMSS[[#This Row],[SDI]]*$R$113</f>
        <v>66.366150410958909</v>
      </c>
      <c r="Y271" s="163">
        <f ca="1">IMSS[[#This Row],[DIAS LAB]]*IMSS[[#This Row],[SDI]]*$R$114</f>
        <v>0</v>
      </c>
      <c r="Z271" s="163">
        <f ca="1">IMSS[[#This Row],[DIAS LAB]]*IMSS[[#This Row],[SDI]]*$R$115</f>
        <v>0</v>
      </c>
      <c r="AA271" s="163">
        <f ca="1">IMSS[[#This Row],[DIAS LAB]]*IMSS[[#This Row],[SDI]]*$R$116</f>
        <v>119.03769835616438</v>
      </c>
      <c r="AB271" s="163">
        <f ca="1">IMSS[[#This Row],[DIAS LAB]]*IMSS[[#This Row],[SDI]]*$R$117</f>
        <v>0</v>
      </c>
      <c r="AC271" s="247">
        <f ca="1">SUM(IMSS[[#This Row],[O RSG TRB]:[O INFONAVIT]])</f>
        <v>211.73962273972603</v>
      </c>
      <c r="AD271" s="163"/>
      <c r="AE271" s="165">
        <f ca="1">IMSS[[#This Row],[P TOTAL]]+IMSS[[#This Row],[O TOTAL]]</f>
        <v>2387.903222784932</v>
      </c>
      <c r="AF271" s="163"/>
      <c r="AG271" s="163">
        <f>VLOOKUP(IMSS[[#This Row],[SUE MENS]],$AG$110:$AJ$120,1,1)</f>
        <v>5470.93</v>
      </c>
      <c r="AH271" s="163">
        <f>IMSS[[#This Row],[SUE MENS]]-IMSS[[#This Row],[LIM INF]]</f>
        <v>4070.0699999999997</v>
      </c>
      <c r="AI271" s="163">
        <f>IMSS[[#This Row],[EXC LIM INF]]*(VLOOKUP(IMSS[[#This Row],[LIM INF]],$AG$110:$AJ$120,4,0))</f>
        <v>442.82361600000002</v>
      </c>
      <c r="AJ271" s="163">
        <f>VLOOKUP(IMSS[[#This Row],[LIM INF]],$AG$110:$AJ$120,3)</f>
        <v>321.26</v>
      </c>
      <c r="AK271" s="163">
        <f>SUM(IMSS[[#This Row],[TASA EXC]]+IMSS[[#This Row],[CUOTA FIJA]])</f>
        <v>764.08361600000001</v>
      </c>
      <c r="AL271" s="163">
        <f>VLOOKUP(IMSS[[#This Row],[SUE MENS]],$AL$110:$AN$120,3,1)</f>
        <v>0</v>
      </c>
      <c r="AM271" s="248">
        <f>IF(IMSS[[#This Row],[ISR CARGO]]-IMSS[[#This Row],[SUBS ISR]]&gt;0,IMSS[[#This Row],[ISR CARGO]]-IMSS[[#This Row],[SUBS ISR]],0)</f>
        <v>764.08361600000001</v>
      </c>
      <c r="AN271" s="248">
        <f>IF(IMSS[[#This Row],[SUBS ISR]]-IMSS[[#This Row],[ISR CARGO]]&gt;0,IMSS[[#This Row],[SUBS ISR]]-IMSS[[#This Row],[ISR CARGO]],0)</f>
        <v>0</v>
      </c>
    </row>
    <row r="272" spans="3:40" ht="15" hidden="1" customHeight="1" x14ac:dyDescent="0.25">
      <c r="C272" s="243">
        <v>275</v>
      </c>
      <c r="D272" s="167" t="str">
        <f>VLOOKUP(IMSS[[#This Row],[NEM]],BDD[],2,0)</f>
        <v>Priscila Estefanía Hernández Sánchez</v>
      </c>
      <c r="E272" s="167" t="str">
        <f>VLOOKUP(IMSS[[#This Row],[NEM]],BDD[],9,0)</f>
        <v>ADMINCIÓN</v>
      </c>
      <c r="F272" s="168">
        <v>30</v>
      </c>
      <c r="G272" s="139">
        <f>VLOOKUP(IMSS[[#This Row],[NEM]],BDD[],3,0)</f>
        <v>10350</v>
      </c>
      <c r="H272" s="139">
        <f ca="1">VLOOKUP(IMSS[[#This Row],[NEM]],BDD[],25,0)</f>
        <v>380.91780821917808</v>
      </c>
      <c r="I272" s="143">
        <f>VLOOKUP(IMSS[[#This Row],[DEPT]],$B$3:$G$49,6,0)</f>
        <v>5.4355000000000002E-3</v>
      </c>
      <c r="J272" s="163">
        <f ca="1">IMSS[[#This Row],[DIAS LAB]]*IMSS[[#This Row],[SDI]]*IMSS[[#This Row],[% RSG]]*$Q$108</f>
        <v>62.114362397260273</v>
      </c>
      <c r="K272" s="163">
        <f>IMSS[[#This Row],[DIAS LAB]]*$J$110*$Q$109</f>
        <v>548.47440000000006</v>
      </c>
      <c r="L272" s="166">
        <f ca="1">IMSS[[#This Row],[DIAS LAB]]*IF(IMSS[[#This Row],[SDI]]-$J$113&gt;0,IMSS[[#This Row],[SDI]]-$J$113,0)*$Q$110</f>
        <v>36.979076712328762</v>
      </c>
      <c r="M272" s="166">
        <f ca="1">IMSS[[#This Row],[DIAS LAB]]*IMSS[[#This Row],[SDI]]*$Q$111</f>
        <v>119.98910958904109</v>
      </c>
      <c r="N272" s="163">
        <f ca="1">IMSS[[#This Row],[DIAS LAB]]*IMSS[[#This Row],[SDI]]*$Q$112</f>
        <v>79.992739726027395</v>
      </c>
      <c r="O272" s="166">
        <f ca="1">IMSS[[#This Row],[DIAS LAB]]*IMSS[[#This Row],[SDI]]*$Q$113</f>
        <v>199.9818493150685</v>
      </c>
      <c r="P272" s="163">
        <f ca="1">IMSS[[#This Row],[DIAS LAB]]*IMSS[[#This Row],[SDI]]*$Q$114</f>
        <v>114.27534246575343</v>
      </c>
      <c r="Q272" s="166">
        <f ca="1">IMSS[[#This Row],[DIAS LAB]]*IMSS[[#This Row],[SDI]]*$Q$115</f>
        <v>228.55068493150685</v>
      </c>
      <c r="R272" s="163">
        <f ca="1">IMSS[[#This Row],[DIAS LAB]]*IMSS[[#This Row],[SDI]]*$Q$116</f>
        <v>359.96732876712326</v>
      </c>
      <c r="S272" s="163">
        <f ca="1">IMSS[[#This Row],[DIAS LAB]]*IMSS[[#This Row],[SDI]]*$Q$117</f>
        <v>571.3767123287671</v>
      </c>
      <c r="T272" s="164">
        <f ca="1">SUM(IMSS[[#This Row],[P RSG TRB]:[P INFONAVIT]])</f>
        <v>2321.7016062328767</v>
      </c>
      <c r="U272" s="163">
        <f ca="1">IMSS[[#This Row],[DIAS LAB]]*IMSS[[#This Row],[SDI]]*IMSS[[#This Row],[% RSG]]*$R$108</f>
        <v>0</v>
      </c>
      <c r="V272" s="163">
        <f ca="1">IMSS[[#This Row],[DIAS LAB]]*IMSS[[#This Row],[SDI]]*$R$112</f>
        <v>28.568835616438356</v>
      </c>
      <c r="W272" s="163"/>
      <c r="X272" s="163">
        <f ca="1">IMSS[[#This Row],[DIAS LAB]]*IMSS[[#This Row],[SDI]]*$R$113</f>
        <v>71.993465753424658</v>
      </c>
      <c r="Y272" s="163">
        <f ca="1">IMSS[[#This Row],[DIAS LAB]]*IMSS[[#This Row],[SDI]]*$R$114</f>
        <v>0</v>
      </c>
      <c r="Z272" s="163">
        <f ca="1">IMSS[[#This Row],[DIAS LAB]]*IMSS[[#This Row],[SDI]]*$R$115</f>
        <v>0</v>
      </c>
      <c r="AA272" s="163">
        <f ca="1">IMSS[[#This Row],[DIAS LAB]]*IMSS[[#This Row],[SDI]]*$R$116</f>
        <v>129.13113698630136</v>
      </c>
      <c r="AB272" s="163">
        <f ca="1">IMSS[[#This Row],[DIAS LAB]]*IMSS[[#This Row],[SDI]]*$R$117</f>
        <v>0</v>
      </c>
      <c r="AC272" s="247">
        <f ca="1">SUM(IMSS[[#This Row],[O RSG TRB]:[O INFONAVIT]])</f>
        <v>229.69343835616436</v>
      </c>
      <c r="AD272" s="163"/>
      <c r="AE272" s="165">
        <f ca="1">IMSS[[#This Row],[P TOTAL]]+IMSS[[#This Row],[O TOTAL]]</f>
        <v>2551.3950445890409</v>
      </c>
      <c r="AF272" s="163"/>
      <c r="AG272" s="163">
        <f>VLOOKUP(IMSS[[#This Row],[SUE MENS]],$AG$110:$AJ$120,1,1)</f>
        <v>9614.67</v>
      </c>
      <c r="AH272" s="163">
        <f>IMSS[[#This Row],[SUE MENS]]-IMSS[[#This Row],[LIM INF]]</f>
        <v>735.32999999999993</v>
      </c>
      <c r="AI272" s="163">
        <f>IMSS[[#This Row],[EXC LIM INF]]*(VLOOKUP(IMSS[[#This Row],[LIM INF]],$AG$110:$AJ$120,4,0))</f>
        <v>117.65279999999998</v>
      </c>
      <c r="AJ272" s="163">
        <f>VLOOKUP(IMSS[[#This Row],[LIM INF]],$AG$110:$AJ$120,3)</f>
        <v>772.1</v>
      </c>
      <c r="AK272" s="163">
        <f>SUM(IMSS[[#This Row],[TASA EXC]]+IMSS[[#This Row],[CUOTA FIJA]])</f>
        <v>889.75279999999998</v>
      </c>
      <c r="AL272" s="163">
        <f>VLOOKUP(IMSS[[#This Row],[SUE MENS]],$AL$110:$AN$120,3,1)</f>
        <v>0</v>
      </c>
      <c r="AM272" s="248">
        <f>IF(IMSS[[#This Row],[ISR CARGO]]-IMSS[[#This Row],[SUBS ISR]]&gt;0,IMSS[[#This Row],[ISR CARGO]]-IMSS[[#This Row],[SUBS ISR]],0)</f>
        <v>889.75279999999998</v>
      </c>
      <c r="AN272" s="248">
        <f>IF(IMSS[[#This Row],[SUBS ISR]]-IMSS[[#This Row],[ISR CARGO]]&gt;0,IMSS[[#This Row],[SUBS ISR]]-IMSS[[#This Row],[ISR CARGO]],0)</f>
        <v>0</v>
      </c>
    </row>
    <row r="273" spans="3:40" ht="15" hidden="1" customHeight="1" x14ac:dyDescent="0.25">
      <c r="C273" s="243">
        <v>276</v>
      </c>
      <c r="D273" s="167" t="str">
        <f>VLOOKUP(IMSS[[#This Row],[NEM]],BDD[],2,0)</f>
        <v>Cidney Aime Ruan Martínez</v>
      </c>
      <c r="E273" s="167" t="str">
        <f>VLOOKUP(IMSS[[#This Row],[NEM]],BDD[],9,0)</f>
        <v>EXTERNOS</v>
      </c>
      <c r="F273" s="168">
        <v>30</v>
      </c>
      <c r="G273" s="139">
        <f>VLOOKUP(IMSS[[#This Row],[NEM]],BDD[],3,0)</f>
        <v>9541</v>
      </c>
      <c r="H273" s="139">
        <f ca="1">VLOOKUP(IMSS[[#This Row],[NEM]],BDD[],25,0)</f>
        <v>351.14365296803658</v>
      </c>
      <c r="I273" s="143">
        <f>VLOOKUP(IMSS[[#This Row],[DEPT]],$B$3:$G$49,6,0)</f>
        <v>5.4355000000000002E-3</v>
      </c>
      <c r="J273" s="163">
        <f ca="1">IMSS[[#This Row],[DIAS LAB]]*IMSS[[#This Row],[SDI]]*IMSS[[#This Row],[% RSG]]*$Q$108</f>
        <v>57.259239771232885</v>
      </c>
      <c r="K273" s="163">
        <f>IMSS[[#This Row],[DIAS LAB]]*$J$110*$Q$109</f>
        <v>548.47440000000006</v>
      </c>
      <c r="L273" s="166">
        <f ca="1">IMSS[[#This Row],[DIAS LAB]]*IF(IMSS[[#This Row],[SDI]]-$J$113&gt;0,IMSS[[#This Row],[SDI]]-$J$113,0)*$Q$110</f>
        <v>27.153605479452061</v>
      </c>
      <c r="M273" s="166">
        <f ca="1">IMSS[[#This Row],[DIAS LAB]]*IMSS[[#This Row],[SDI]]*$Q$111</f>
        <v>110.61025068493153</v>
      </c>
      <c r="N273" s="163">
        <f ca="1">IMSS[[#This Row],[DIAS LAB]]*IMSS[[#This Row],[SDI]]*$Q$112</f>
        <v>73.740167123287677</v>
      </c>
      <c r="O273" s="166">
        <f ca="1">IMSS[[#This Row],[DIAS LAB]]*IMSS[[#This Row],[SDI]]*$Q$113</f>
        <v>184.35041780821922</v>
      </c>
      <c r="P273" s="163">
        <f ca="1">IMSS[[#This Row],[DIAS LAB]]*IMSS[[#This Row],[SDI]]*$Q$114</f>
        <v>105.34309589041096</v>
      </c>
      <c r="Q273" s="166">
        <f ca="1">IMSS[[#This Row],[DIAS LAB]]*IMSS[[#This Row],[SDI]]*$Q$115</f>
        <v>210.68619178082193</v>
      </c>
      <c r="R273" s="163">
        <f ca="1">IMSS[[#This Row],[DIAS LAB]]*IMSS[[#This Row],[SDI]]*$Q$116</f>
        <v>331.83075205479457</v>
      </c>
      <c r="S273" s="163">
        <f ca="1">IMSS[[#This Row],[DIAS LAB]]*IMSS[[#This Row],[SDI]]*$Q$117</f>
        <v>526.71547945205486</v>
      </c>
      <c r="T273" s="164">
        <f ca="1">SUM(IMSS[[#This Row],[P RSG TRB]:[P INFONAVIT]])</f>
        <v>2176.1636000452058</v>
      </c>
      <c r="U273" s="163">
        <f ca="1">IMSS[[#This Row],[DIAS LAB]]*IMSS[[#This Row],[SDI]]*IMSS[[#This Row],[% RSG]]*$R$108</f>
        <v>0</v>
      </c>
      <c r="V273" s="163">
        <f ca="1">IMSS[[#This Row],[DIAS LAB]]*IMSS[[#This Row],[SDI]]*$R$112</f>
        <v>26.335773972602741</v>
      </c>
      <c r="W273" s="163"/>
      <c r="X273" s="163">
        <f ca="1">IMSS[[#This Row],[DIAS LAB]]*IMSS[[#This Row],[SDI]]*$R$113</f>
        <v>66.366150410958909</v>
      </c>
      <c r="Y273" s="163">
        <f ca="1">IMSS[[#This Row],[DIAS LAB]]*IMSS[[#This Row],[SDI]]*$R$114</f>
        <v>0</v>
      </c>
      <c r="Z273" s="163">
        <f ca="1">IMSS[[#This Row],[DIAS LAB]]*IMSS[[#This Row],[SDI]]*$R$115</f>
        <v>0</v>
      </c>
      <c r="AA273" s="163">
        <f ca="1">IMSS[[#This Row],[DIAS LAB]]*IMSS[[#This Row],[SDI]]*$R$116</f>
        <v>119.03769835616438</v>
      </c>
      <c r="AB273" s="163">
        <f ca="1">IMSS[[#This Row],[DIAS LAB]]*IMSS[[#This Row],[SDI]]*$R$117</f>
        <v>0</v>
      </c>
      <c r="AC273" s="247">
        <f ca="1">SUM(IMSS[[#This Row],[O RSG TRB]:[O INFONAVIT]])</f>
        <v>211.73962273972603</v>
      </c>
      <c r="AD273" s="163"/>
      <c r="AE273" s="165">
        <f ca="1">IMSS[[#This Row],[P TOTAL]]+IMSS[[#This Row],[O TOTAL]]</f>
        <v>2387.903222784932</v>
      </c>
      <c r="AF273" s="163"/>
      <c r="AG273" s="163">
        <f>VLOOKUP(IMSS[[#This Row],[SUE MENS]],$AG$110:$AJ$120,1,1)</f>
        <v>5470.93</v>
      </c>
      <c r="AH273" s="163">
        <f>IMSS[[#This Row],[SUE MENS]]-IMSS[[#This Row],[LIM INF]]</f>
        <v>4070.0699999999997</v>
      </c>
      <c r="AI273" s="163">
        <f>IMSS[[#This Row],[EXC LIM INF]]*(VLOOKUP(IMSS[[#This Row],[LIM INF]],$AG$110:$AJ$120,4,0))</f>
        <v>442.82361600000002</v>
      </c>
      <c r="AJ273" s="163">
        <f>VLOOKUP(IMSS[[#This Row],[LIM INF]],$AG$110:$AJ$120,3)</f>
        <v>321.26</v>
      </c>
      <c r="AK273" s="163">
        <f>SUM(IMSS[[#This Row],[TASA EXC]]+IMSS[[#This Row],[CUOTA FIJA]])</f>
        <v>764.08361600000001</v>
      </c>
      <c r="AL273" s="163">
        <f>VLOOKUP(IMSS[[#This Row],[SUE MENS]],$AL$110:$AN$120,3,1)</f>
        <v>0</v>
      </c>
      <c r="AM273" s="248">
        <f>IF(IMSS[[#This Row],[ISR CARGO]]-IMSS[[#This Row],[SUBS ISR]]&gt;0,IMSS[[#This Row],[ISR CARGO]]-IMSS[[#This Row],[SUBS ISR]],0)</f>
        <v>764.08361600000001</v>
      </c>
      <c r="AN273" s="248">
        <f>IF(IMSS[[#This Row],[SUBS ISR]]-IMSS[[#This Row],[ISR CARGO]]&gt;0,IMSS[[#This Row],[SUBS ISR]]-IMSS[[#This Row],[ISR CARGO]],0)</f>
        <v>0</v>
      </c>
    </row>
    <row r="274" spans="3:40" ht="15" hidden="1" customHeight="1" x14ac:dyDescent="0.25">
      <c r="C274" s="243">
        <v>277</v>
      </c>
      <c r="D274" s="167" t="str">
        <f>VLOOKUP(IMSS[[#This Row],[NEM]],BDD[],2,0)</f>
        <v>Esteban Contreras Torres</v>
      </c>
      <c r="E274" s="167" t="str">
        <f>VLOOKUP(IMSS[[#This Row],[NEM]],BDD[],9,0)</f>
        <v>RENDER</v>
      </c>
      <c r="F274" s="168">
        <v>30</v>
      </c>
      <c r="G274" s="139">
        <f>VLOOKUP(IMSS[[#This Row],[NEM]],BDD[],3,0)</f>
        <v>7445</v>
      </c>
      <c r="H274" s="139">
        <f ca="1">VLOOKUP(IMSS[[#This Row],[NEM]],BDD[],25,0)</f>
        <v>274.00319634703197</v>
      </c>
      <c r="I274" s="143">
        <f>VLOOKUP(IMSS[[#This Row],[DEPT]],$B$3:$G$49,6,0)</f>
        <v>2.5984400000000001E-2</v>
      </c>
      <c r="J274" s="163">
        <f ca="1">IMSS[[#This Row],[DIAS LAB]]*IMSS[[#This Row],[SDI]]*IMSS[[#This Row],[% RSG]]*$Q$108</f>
        <v>213.59425965479454</v>
      </c>
      <c r="K274" s="163">
        <f>IMSS[[#This Row],[DIAS LAB]]*$J$110*$Q$109</f>
        <v>548.47440000000006</v>
      </c>
      <c r="L274" s="166">
        <f ca="1">IMSS[[#This Row],[DIAS LAB]]*IF(IMSS[[#This Row],[SDI]]-$J$113&gt;0,IMSS[[#This Row],[SDI]]-$J$113,0)*$Q$110</f>
        <v>1.6972547945205467</v>
      </c>
      <c r="M274" s="166">
        <f ca="1">IMSS[[#This Row],[DIAS LAB]]*IMSS[[#This Row],[SDI]]*$Q$111</f>
        <v>86.311006849315078</v>
      </c>
      <c r="N274" s="163">
        <f ca="1">IMSS[[#This Row],[DIAS LAB]]*IMSS[[#This Row],[SDI]]*$Q$112</f>
        <v>57.540671232876718</v>
      </c>
      <c r="O274" s="166">
        <f ca="1">IMSS[[#This Row],[DIAS LAB]]*IMSS[[#This Row],[SDI]]*$Q$113</f>
        <v>143.8516780821918</v>
      </c>
      <c r="P274" s="163">
        <f ca="1">IMSS[[#This Row],[DIAS LAB]]*IMSS[[#This Row],[SDI]]*$Q$114</f>
        <v>82.200958904109598</v>
      </c>
      <c r="Q274" s="166">
        <f ca="1">IMSS[[#This Row],[DIAS LAB]]*IMSS[[#This Row],[SDI]]*$Q$115</f>
        <v>164.4019178082192</v>
      </c>
      <c r="R274" s="163">
        <f ca="1">IMSS[[#This Row],[DIAS LAB]]*IMSS[[#This Row],[SDI]]*$Q$116</f>
        <v>258.9330205479452</v>
      </c>
      <c r="S274" s="163">
        <f ca="1">IMSS[[#This Row],[DIAS LAB]]*IMSS[[#This Row],[SDI]]*$Q$117</f>
        <v>411.00479452054799</v>
      </c>
      <c r="T274" s="164">
        <f ca="1">SUM(IMSS[[#This Row],[P RSG TRB]:[P INFONAVIT]])</f>
        <v>1968.0099623945207</v>
      </c>
      <c r="U274" s="163">
        <f ca="1">IMSS[[#This Row],[DIAS LAB]]*IMSS[[#This Row],[SDI]]*IMSS[[#This Row],[% RSG]]*$R$108</f>
        <v>0</v>
      </c>
      <c r="V274" s="163">
        <f ca="1">IMSS[[#This Row],[DIAS LAB]]*IMSS[[#This Row],[SDI]]*$R$112</f>
        <v>20.550239726027399</v>
      </c>
      <c r="W274" s="163"/>
      <c r="X274" s="163">
        <f ca="1">IMSS[[#This Row],[DIAS LAB]]*IMSS[[#This Row],[SDI]]*$R$113</f>
        <v>51.786604109589042</v>
      </c>
      <c r="Y274" s="163">
        <f ca="1">IMSS[[#This Row],[DIAS LAB]]*IMSS[[#This Row],[SDI]]*$R$114</f>
        <v>0</v>
      </c>
      <c r="Z274" s="163">
        <f ca="1">IMSS[[#This Row],[DIAS LAB]]*IMSS[[#This Row],[SDI]]*$R$115</f>
        <v>0</v>
      </c>
      <c r="AA274" s="163">
        <f ca="1">IMSS[[#This Row],[DIAS LAB]]*IMSS[[#This Row],[SDI]]*$R$116</f>
        <v>92.887083561643834</v>
      </c>
      <c r="AB274" s="163">
        <f ca="1">IMSS[[#This Row],[DIAS LAB]]*IMSS[[#This Row],[SDI]]*$R$117</f>
        <v>0</v>
      </c>
      <c r="AC274" s="247">
        <f ca="1">SUM(IMSS[[#This Row],[O RSG TRB]:[O INFONAVIT]])</f>
        <v>165.22392739726027</v>
      </c>
      <c r="AD274" s="163"/>
      <c r="AE274" s="165">
        <f ca="1">IMSS[[#This Row],[P TOTAL]]+IMSS[[#This Row],[O TOTAL]]</f>
        <v>2133.2338897917812</v>
      </c>
      <c r="AF274" s="163"/>
      <c r="AG274" s="163">
        <f>VLOOKUP(IMSS[[#This Row],[SUE MENS]],$AG$110:$AJ$120,1,1)</f>
        <v>5470.93</v>
      </c>
      <c r="AH274" s="163">
        <f>IMSS[[#This Row],[SUE MENS]]-IMSS[[#This Row],[LIM INF]]</f>
        <v>1974.0699999999997</v>
      </c>
      <c r="AI274" s="163">
        <f>IMSS[[#This Row],[EXC LIM INF]]*(VLOOKUP(IMSS[[#This Row],[LIM INF]],$AG$110:$AJ$120,4,0))</f>
        <v>214.77881599999998</v>
      </c>
      <c r="AJ274" s="163">
        <f>VLOOKUP(IMSS[[#This Row],[LIM INF]],$AG$110:$AJ$120,3)</f>
        <v>321.26</v>
      </c>
      <c r="AK274" s="163">
        <f>SUM(IMSS[[#This Row],[TASA EXC]]+IMSS[[#This Row],[CUOTA FIJA]])</f>
        <v>536.038816</v>
      </c>
      <c r="AL274" s="163">
        <f>VLOOKUP(IMSS[[#This Row],[SUE MENS]],$AL$110:$AN$120,3,1)</f>
        <v>0</v>
      </c>
      <c r="AM274" s="248">
        <f>IF(IMSS[[#This Row],[ISR CARGO]]-IMSS[[#This Row],[SUBS ISR]]&gt;0,IMSS[[#This Row],[ISR CARGO]]-IMSS[[#This Row],[SUBS ISR]],0)</f>
        <v>536.038816</v>
      </c>
      <c r="AN274" s="248">
        <f>IF(IMSS[[#This Row],[SUBS ISR]]-IMSS[[#This Row],[ISR CARGO]]&gt;0,IMSS[[#This Row],[SUBS ISR]]-IMSS[[#This Row],[ISR CARGO]],0)</f>
        <v>0</v>
      </c>
    </row>
    <row r="275" spans="3:40" ht="15" hidden="1" customHeight="1" x14ac:dyDescent="0.25">
      <c r="C275" s="243">
        <v>278</v>
      </c>
      <c r="D275" s="167" t="str">
        <f>VLOOKUP(IMSS[[#This Row],[NEM]],BDD[],2,0)</f>
        <v>Alexia Fernanda Sánchez López</v>
      </c>
      <c r="E275" s="167" t="str">
        <f>VLOOKUP(IMSS[[#This Row],[NEM]],BDD[],9,0)</f>
        <v>AUDIT ADMN</v>
      </c>
      <c r="F275" s="168">
        <v>30</v>
      </c>
      <c r="G275" s="139">
        <f>VLOOKUP(IMSS[[#This Row],[NEM]],BDD[],3,0)</f>
        <v>7445</v>
      </c>
      <c r="H275" s="139">
        <f ca="1">VLOOKUP(IMSS[[#This Row],[NEM]],BDD[],25,0)</f>
        <v>274.00319634703197</v>
      </c>
      <c r="I275" s="143">
        <f>VLOOKUP(IMSS[[#This Row],[DEPT]],$B$3:$G$49,6,0)</f>
        <v>5.4355000000000002E-3</v>
      </c>
      <c r="J275" s="163">
        <f ca="1">IMSS[[#This Row],[DIAS LAB]]*IMSS[[#This Row],[SDI]]*IMSS[[#This Row],[% RSG]]*$Q$108</f>
        <v>44.680331212328774</v>
      </c>
      <c r="K275" s="163">
        <f>IMSS[[#This Row],[DIAS LAB]]*$J$110*$Q$109</f>
        <v>548.47440000000006</v>
      </c>
      <c r="L275" s="166">
        <f ca="1">IMSS[[#This Row],[DIAS LAB]]*IF(IMSS[[#This Row],[SDI]]-$J$113&gt;0,IMSS[[#This Row],[SDI]]-$J$113,0)*$Q$110</f>
        <v>1.6972547945205467</v>
      </c>
      <c r="M275" s="166">
        <f ca="1">IMSS[[#This Row],[DIAS LAB]]*IMSS[[#This Row],[SDI]]*$Q$111</f>
        <v>86.311006849315078</v>
      </c>
      <c r="N275" s="163">
        <f ca="1">IMSS[[#This Row],[DIAS LAB]]*IMSS[[#This Row],[SDI]]*$Q$112</f>
        <v>57.540671232876718</v>
      </c>
      <c r="O275" s="166">
        <f ca="1">IMSS[[#This Row],[DIAS LAB]]*IMSS[[#This Row],[SDI]]*$Q$113</f>
        <v>143.8516780821918</v>
      </c>
      <c r="P275" s="163">
        <f ca="1">IMSS[[#This Row],[DIAS LAB]]*IMSS[[#This Row],[SDI]]*$Q$114</f>
        <v>82.200958904109598</v>
      </c>
      <c r="Q275" s="166">
        <f ca="1">IMSS[[#This Row],[DIAS LAB]]*IMSS[[#This Row],[SDI]]*$Q$115</f>
        <v>164.4019178082192</v>
      </c>
      <c r="R275" s="163">
        <f ca="1">IMSS[[#This Row],[DIAS LAB]]*IMSS[[#This Row],[SDI]]*$Q$116</f>
        <v>258.9330205479452</v>
      </c>
      <c r="S275" s="163">
        <f ca="1">IMSS[[#This Row],[DIAS LAB]]*IMSS[[#This Row],[SDI]]*$Q$117</f>
        <v>411.00479452054799</v>
      </c>
      <c r="T275" s="164">
        <f ca="1">SUM(IMSS[[#This Row],[P RSG TRB]:[P INFONAVIT]])</f>
        <v>1799.0960339520548</v>
      </c>
      <c r="U275" s="163">
        <f ca="1">IMSS[[#This Row],[DIAS LAB]]*IMSS[[#This Row],[SDI]]*IMSS[[#This Row],[% RSG]]*$R$108</f>
        <v>0</v>
      </c>
      <c r="V275" s="163">
        <f ca="1">IMSS[[#This Row],[DIAS LAB]]*IMSS[[#This Row],[SDI]]*$R$112</f>
        <v>20.550239726027399</v>
      </c>
      <c r="W275" s="163"/>
      <c r="X275" s="163">
        <f ca="1">IMSS[[#This Row],[DIAS LAB]]*IMSS[[#This Row],[SDI]]*$R$113</f>
        <v>51.786604109589042</v>
      </c>
      <c r="Y275" s="163">
        <f ca="1">IMSS[[#This Row],[DIAS LAB]]*IMSS[[#This Row],[SDI]]*$R$114</f>
        <v>0</v>
      </c>
      <c r="Z275" s="163">
        <f ca="1">IMSS[[#This Row],[DIAS LAB]]*IMSS[[#This Row],[SDI]]*$R$115</f>
        <v>0</v>
      </c>
      <c r="AA275" s="163">
        <f ca="1">IMSS[[#This Row],[DIAS LAB]]*IMSS[[#This Row],[SDI]]*$R$116</f>
        <v>92.887083561643834</v>
      </c>
      <c r="AB275" s="163">
        <f ca="1">IMSS[[#This Row],[DIAS LAB]]*IMSS[[#This Row],[SDI]]*$R$117</f>
        <v>0</v>
      </c>
      <c r="AC275" s="247">
        <f ca="1">SUM(IMSS[[#This Row],[O RSG TRB]:[O INFONAVIT]])</f>
        <v>165.22392739726027</v>
      </c>
      <c r="AD275" s="163"/>
      <c r="AE275" s="165">
        <f ca="1">IMSS[[#This Row],[P TOTAL]]+IMSS[[#This Row],[O TOTAL]]</f>
        <v>1964.319961349315</v>
      </c>
      <c r="AF275" s="163"/>
      <c r="AG275" s="163">
        <f>VLOOKUP(IMSS[[#This Row],[SUE MENS]],$AG$110:$AJ$120,1,1)</f>
        <v>5470.93</v>
      </c>
      <c r="AH275" s="163">
        <f>IMSS[[#This Row],[SUE MENS]]-IMSS[[#This Row],[LIM INF]]</f>
        <v>1974.0699999999997</v>
      </c>
      <c r="AI275" s="163">
        <f>IMSS[[#This Row],[EXC LIM INF]]*(VLOOKUP(IMSS[[#This Row],[LIM INF]],$AG$110:$AJ$120,4,0))</f>
        <v>214.77881599999998</v>
      </c>
      <c r="AJ275" s="163">
        <f>VLOOKUP(IMSS[[#This Row],[LIM INF]],$AG$110:$AJ$120,3)</f>
        <v>321.26</v>
      </c>
      <c r="AK275" s="163">
        <f>SUM(IMSS[[#This Row],[TASA EXC]]+IMSS[[#This Row],[CUOTA FIJA]])</f>
        <v>536.038816</v>
      </c>
      <c r="AL275" s="163">
        <f>VLOOKUP(IMSS[[#This Row],[SUE MENS]],$AL$110:$AN$120,3,1)</f>
        <v>0</v>
      </c>
      <c r="AM275" s="248">
        <f>IF(IMSS[[#This Row],[ISR CARGO]]-IMSS[[#This Row],[SUBS ISR]]&gt;0,IMSS[[#This Row],[ISR CARGO]]-IMSS[[#This Row],[SUBS ISR]],0)</f>
        <v>536.038816</v>
      </c>
      <c r="AN275" s="248">
        <f>IF(IMSS[[#This Row],[SUBS ISR]]-IMSS[[#This Row],[ISR CARGO]]&gt;0,IMSS[[#This Row],[SUBS ISR]]-IMSS[[#This Row],[ISR CARGO]],0)</f>
        <v>0</v>
      </c>
    </row>
    <row r="276" spans="3:40" ht="15" hidden="1" customHeight="1" x14ac:dyDescent="0.25">
      <c r="C276" s="243">
        <v>279</v>
      </c>
      <c r="D276" s="167" t="str">
        <f>VLOOKUP(IMSS[[#This Row],[NEM]],BDD[],2,0)</f>
        <v>Francisco Alejandro Torres Méndez</v>
      </c>
      <c r="E276" s="167" t="str">
        <f>VLOOKUP(IMSS[[#This Row],[NEM]],BDD[],9,0)</f>
        <v>ESTRUCTURA</v>
      </c>
      <c r="F276" s="168">
        <v>30</v>
      </c>
      <c r="G276" s="139">
        <f>VLOOKUP(IMSS[[#This Row],[NEM]],BDD[],3,0)</f>
        <v>15850</v>
      </c>
      <c r="H276" s="139">
        <f ca="1">VLOOKUP(IMSS[[#This Row],[NEM]],BDD[],25,0)</f>
        <v>583.33789954337908</v>
      </c>
      <c r="I276" s="143">
        <f>VLOOKUP(IMSS[[#This Row],[DEPT]],$B$3:$G$49,6,0)</f>
        <v>2.5984400000000001E-2</v>
      </c>
      <c r="J276" s="163">
        <f ca="1">IMSS[[#This Row],[DIAS LAB]]*IMSS[[#This Row],[SDI]]*IMSS[[#This Row],[% RSG]]*$Q$108</f>
        <v>454.73055950684937</v>
      </c>
      <c r="K276" s="163">
        <f>IMSS[[#This Row],[DIAS LAB]]*$J$110*$Q$109</f>
        <v>548.47440000000006</v>
      </c>
      <c r="L276" s="166">
        <f ca="1">IMSS[[#This Row],[DIAS LAB]]*IF(IMSS[[#This Row],[SDI]]-$J$113&gt;0,IMSS[[#This Row],[SDI]]-$J$113,0)*$Q$110</f>
        <v>103.77770684931509</v>
      </c>
      <c r="M276" s="166">
        <f ca="1">IMSS[[#This Row],[DIAS LAB]]*IMSS[[#This Row],[SDI]]*$Q$111</f>
        <v>183.75143835616441</v>
      </c>
      <c r="N276" s="163">
        <f ca="1">IMSS[[#This Row],[DIAS LAB]]*IMSS[[#This Row],[SDI]]*$Q$112</f>
        <v>122.50095890410961</v>
      </c>
      <c r="O276" s="166">
        <f ca="1">IMSS[[#This Row],[DIAS LAB]]*IMSS[[#This Row],[SDI]]*$Q$113</f>
        <v>306.25239726027405</v>
      </c>
      <c r="P276" s="163">
        <f ca="1">IMSS[[#This Row],[DIAS LAB]]*IMSS[[#This Row],[SDI]]*$Q$114</f>
        <v>175.00136986301371</v>
      </c>
      <c r="Q276" s="166">
        <f ca="1">IMSS[[#This Row],[DIAS LAB]]*IMSS[[#This Row],[SDI]]*$Q$115</f>
        <v>350.00273972602741</v>
      </c>
      <c r="R276" s="163">
        <f ca="1">IMSS[[#This Row],[DIAS LAB]]*IMSS[[#This Row],[SDI]]*$Q$116</f>
        <v>551.25431506849316</v>
      </c>
      <c r="S276" s="163">
        <f ca="1">IMSS[[#This Row],[DIAS LAB]]*IMSS[[#This Row],[SDI]]*$Q$117</f>
        <v>875.00684931506862</v>
      </c>
      <c r="T276" s="164">
        <f ca="1">SUM(IMSS[[#This Row],[P RSG TRB]:[P INFONAVIT]])</f>
        <v>3670.7527348493159</v>
      </c>
      <c r="U276" s="163">
        <f ca="1">IMSS[[#This Row],[DIAS LAB]]*IMSS[[#This Row],[SDI]]*IMSS[[#This Row],[% RSG]]*$R$108</f>
        <v>0</v>
      </c>
      <c r="V276" s="163">
        <f ca="1">IMSS[[#This Row],[DIAS LAB]]*IMSS[[#This Row],[SDI]]*$R$112</f>
        <v>43.750342465753427</v>
      </c>
      <c r="W276" s="163"/>
      <c r="X276" s="163">
        <f ca="1">IMSS[[#This Row],[DIAS LAB]]*IMSS[[#This Row],[SDI]]*$R$113</f>
        <v>110.25086301369865</v>
      </c>
      <c r="Y276" s="163">
        <f ca="1">IMSS[[#This Row],[DIAS LAB]]*IMSS[[#This Row],[SDI]]*$R$114</f>
        <v>0</v>
      </c>
      <c r="Z276" s="163">
        <f ca="1">IMSS[[#This Row],[DIAS LAB]]*IMSS[[#This Row],[SDI]]*$R$115</f>
        <v>0</v>
      </c>
      <c r="AA276" s="163">
        <f ca="1">IMSS[[#This Row],[DIAS LAB]]*IMSS[[#This Row],[SDI]]*$R$116</f>
        <v>197.75154794520549</v>
      </c>
      <c r="AB276" s="163">
        <f ca="1">IMSS[[#This Row],[DIAS LAB]]*IMSS[[#This Row],[SDI]]*$R$117</f>
        <v>0</v>
      </c>
      <c r="AC276" s="247">
        <f ca="1">SUM(IMSS[[#This Row],[O RSG TRB]:[O INFONAVIT]])</f>
        <v>351.75275342465756</v>
      </c>
      <c r="AD276" s="163"/>
      <c r="AE276" s="165">
        <f ca="1">IMSS[[#This Row],[P TOTAL]]+IMSS[[#This Row],[O TOTAL]]</f>
        <v>4022.5054882739732</v>
      </c>
      <c r="AF276" s="163"/>
      <c r="AG276" s="163">
        <f>VLOOKUP(IMSS[[#This Row],[SUE MENS]],$AG$110:$AJ$120,1,1)</f>
        <v>13381.48</v>
      </c>
      <c r="AH276" s="163">
        <f>IMSS[[#This Row],[SUE MENS]]-IMSS[[#This Row],[LIM INF]]</f>
        <v>2468.5200000000004</v>
      </c>
      <c r="AI276" s="163">
        <f>IMSS[[#This Row],[EXC LIM INF]]*(VLOOKUP(IMSS[[#This Row],[LIM INF]],$AG$110:$AJ$120,4,0))</f>
        <v>527.27587200000005</v>
      </c>
      <c r="AJ276" s="163">
        <f>VLOOKUP(IMSS[[#This Row],[LIM INF]],$AG$110:$AJ$120,3)</f>
        <v>1417.12</v>
      </c>
      <c r="AK276" s="163">
        <f>SUM(IMSS[[#This Row],[TASA EXC]]+IMSS[[#This Row],[CUOTA FIJA]])</f>
        <v>1944.3958720000001</v>
      </c>
      <c r="AL276" s="163">
        <f>VLOOKUP(IMSS[[#This Row],[SUE MENS]],$AL$110:$AN$120,3,1)</f>
        <v>0</v>
      </c>
      <c r="AM276" s="248">
        <f>IF(IMSS[[#This Row],[ISR CARGO]]-IMSS[[#This Row],[SUBS ISR]]&gt;0,IMSS[[#This Row],[ISR CARGO]]-IMSS[[#This Row],[SUBS ISR]],0)</f>
        <v>1944.3958720000001</v>
      </c>
      <c r="AN276" s="248">
        <f>IF(IMSS[[#This Row],[SUBS ISR]]-IMSS[[#This Row],[ISR CARGO]]&gt;0,IMSS[[#This Row],[SUBS ISR]]-IMSS[[#This Row],[ISR CARGO]],0)</f>
        <v>0</v>
      </c>
    </row>
    <row r="277" spans="3:40" ht="15" hidden="1" customHeight="1" x14ac:dyDescent="0.25">
      <c r="C277" s="243">
        <v>280</v>
      </c>
      <c r="D277" s="167" t="str">
        <f>VLOOKUP(IMSS[[#This Row],[NEM]],BDD[],2,0)</f>
        <v>Katy Flores Villanueva</v>
      </c>
      <c r="E277" s="167" t="str">
        <f>VLOOKUP(IMSS[[#This Row],[NEM]],BDD[],9,0)</f>
        <v>ARQUITECT</v>
      </c>
      <c r="F277" s="168">
        <v>30</v>
      </c>
      <c r="G277" s="139">
        <f>VLOOKUP(IMSS[[#This Row],[NEM]],BDD[],3,0)</f>
        <v>9541</v>
      </c>
      <c r="H277" s="139">
        <f ca="1">VLOOKUP(IMSS[[#This Row],[NEM]],BDD[],25,0)</f>
        <v>351.14365296803658</v>
      </c>
      <c r="I277" s="143">
        <f>VLOOKUP(IMSS[[#This Row],[DEPT]],$B$3:$G$49,6,0)</f>
        <v>2.5984400000000001E-2</v>
      </c>
      <c r="J277" s="163">
        <f ca="1">IMSS[[#This Row],[DIAS LAB]]*IMSS[[#This Row],[SDI]]*IMSS[[#This Row],[% RSG]]*$Q$108</f>
        <v>273.72771408547948</v>
      </c>
      <c r="K277" s="163">
        <f>IMSS[[#This Row],[DIAS LAB]]*$J$110*$Q$109</f>
        <v>548.47440000000006</v>
      </c>
      <c r="L277" s="166">
        <f ca="1">IMSS[[#This Row],[DIAS LAB]]*IF(IMSS[[#This Row],[SDI]]-$J$113&gt;0,IMSS[[#This Row],[SDI]]-$J$113,0)*$Q$110</f>
        <v>27.153605479452061</v>
      </c>
      <c r="M277" s="166">
        <f ca="1">IMSS[[#This Row],[DIAS LAB]]*IMSS[[#This Row],[SDI]]*$Q$111</f>
        <v>110.61025068493153</v>
      </c>
      <c r="N277" s="163">
        <f ca="1">IMSS[[#This Row],[DIAS LAB]]*IMSS[[#This Row],[SDI]]*$Q$112</f>
        <v>73.740167123287677</v>
      </c>
      <c r="O277" s="166">
        <f ca="1">IMSS[[#This Row],[DIAS LAB]]*IMSS[[#This Row],[SDI]]*$Q$113</f>
        <v>184.35041780821922</v>
      </c>
      <c r="P277" s="163">
        <f ca="1">IMSS[[#This Row],[DIAS LAB]]*IMSS[[#This Row],[SDI]]*$Q$114</f>
        <v>105.34309589041096</v>
      </c>
      <c r="Q277" s="166">
        <f ca="1">IMSS[[#This Row],[DIAS LAB]]*IMSS[[#This Row],[SDI]]*$Q$115</f>
        <v>210.68619178082193</v>
      </c>
      <c r="R277" s="163">
        <f ca="1">IMSS[[#This Row],[DIAS LAB]]*IMSS[[#This Row],[SDI]]*$Q$116</f>
        <v>331.83075205479457</v>
      </c>
      <c r="S277" s="163">
        <f ca="1">IMSS[[#This Row],[DIAS LAB]]*IMSS[[#This Row],[SDI]]*$Q$117</f>
        <v>526.71547945205486</v>
      </c>
      <c r="T277" s="164">
        <f ca="1">SUM(IMSS[[#This Row],[P RSG TRB]:[P INFONAVIT]])</f>
        <v>2392.6320743594524</v>
      </c>
      <c r="U277" s="163">
        <f ca="1">IMSS[[#This Row],[DIAS LAB]]*IMSS[[#This Row],[SDI]]*IMSS[[#This Row],[% RSG]]*$R$108</f>
        <v>0</v>
      </c>
      <c r="V277" s="163">
        <f ca="1">IMSS[[#This Row],[DIAS LAB]]*IMSS[[#This Row],[SDI]]*$R$112</f>
        <v>26.335773972602741</v>
      </c>
      <c r="W277" s="163"/>
      <c r="X277" s="163">
        <f ca="1">IMSS[[#This Row],[DIAS LAB]]*IMSS[[#This Row],[SDI]]*$R$113</f>
        <v>66.366150410958909</v>
      </c>
      <c r="Y277" s="163">
        <f ca="1">IMSS[[#This Row],[DIAS LAB]]*IMSS[[#This Row],[SDI]]*$R$114</f>
        <v>0</v>
      </c>
      <c r="Z277" s="163">
        <f ca="1">IMSS[[#This Row],[DIAS LAB]]*IMSS[[#This Row],[SDI]]*$R$115</f>
        <v>0</v>
      </c>
      <c r="AA277" s="163">
        <f ca="1">IMSS[[#This Row],[DIAS LAB]]*IMSS[[#This Row],[SDI]]*$R$116</f>
        <v>119.03769835616438</v>
      </c>
      <c r="AB277" s="163">
        <f ca="1">IMSS[[#This Row],[DIAS LAB]]*IMSS[[#This Row],[SDI]]*$R$117</f>
        <v>0</v>
      </c>
      <c r="AC277" s="247">
        <f ca="1">SUM(IMSS[[#This Row],[O RSG TRB]:[O INFONAVIT]])</f>
        <v>211.73962273972603</v>
      </c>
      <c r="AD277" s="163"/>
      <c r="AE277" s="165">
        <f ca="1">IMSS[[#This Row],[P TOTAL]]+IMSS[[#This Row],[O TOTAL]]</f>
        <v>2604.3716970991786</v>
      </c>
      <c r="AF277" s="163"/>
      <c r="AG277" s="163">
        <f>VLOOKUP(IMSS[[#This Row],[SUE MENS]],$AG$110:$AJ$120,1,1)</f>
        <v>5470.93</v>
      </c>
      <c r="AH277" s="163">
        <f>IMSS[[#This Row],[SUE MENS]]-IMSS[[#This Row],[LIM INF]]</f>
        <v>4070.0699999999997</v>
      </c>
      <c r="AI277" s="163">
        <f>IMSS[[#This Row],[EXC LIM INF]]*(VLOOKUP(IMSS[[#This Row],[LIM INF]],$AG$110:$AJ$120,4,0))</f>
        <v>442.82361600000002</v>
      </c>
      <c r="AJ277" s="163">
        <f>VLOOKUP(IMSS[[#This Row],[LIM INF]],$AG$110:$AJ$120,3)</f>
        <v>321.26</v>
      </c>
      <c r="AK277" s="163">
        <f>SUM(IMSS[[#This Row],[TASA EXC]]+IMSS[[#This Row],[CUOTA FIJA]])</f>
        <v>764.08361600000001</v>
      </c>
      <c r="AL277" s="163">
        <f>VLOOKUP(IMSS[[#This Row],[SUE MENS]],$AL$110:$AN$120,3,1)</f>
        <v>0</v>
      </c>
      <c r="AM277" s="248">
        <f>IF(IMSS[[#This Row],[ISR CARGO]]-IMSS[[#This Row],[SUBS ISR]]&gt;0,IMSS[[#This Row],[ISR CARGO]]-IMSS[[#This Row],[SUBS ISR]],0)</f>
        <v>764.08361600000001</v>
      </c>
      <c r="AN277" s="248">
        <f>IF(IMSS[[#This Row],[SUBS ISR]]-IMSS[[#This Row],[ISR CARGO]]&gt;0,IMSS[[#This Row],[SUBS ISR]]-IMSS[[#This Row],[ISR CARGO]],0)</f>
        <v>0</v>
      </c>
    </row>
    <row r="278" spans="3:40" ht="15" hidden="1" customHeight="1" x14ac:dyDescent="0.25">
      <c r="C278" s="243">
        <v>281</v>
      </c>
      <c r="D278" s="167" t="str">
        <f>VLOOKUP(IMSS[[#This Row],[NEM]],BDD[],2,0)</f>
        <v>Evelyn Jazmin Escobedo Rodriguez</v>
      </c>
      <c r="E278" s="167" t="str">
        <f>VLOOKUP(IMSS[[#This Row],[NEM]],BDD[],9,0)</f>
        <v>AUDIT PROY</v>
      </c>
      <c r="F278" s="168">
        <v>30</v>
      </c>
      <c r="G278" s="139">
        <f>VLOOKUP(IMSS[[#This Row],[NEM]],BDD[],3,0)</f>
        <v>9450</v>
      </c>
      <c r="H278" s="139">
        <f ca="1">VLOOKUP(IMSS[[#This Row],[NEM]],BDD[],25,0)</f>
        <v>347.79452054794518</v>
      </c>
      <c r="I278" s="143">
        <f>VLOOKUP(IMSS[[#This Row],[DEPT]],$B$3:$G$49,6,0)</f>
        <v>1.130658E-2</v>
      </c>
      <c r="J278" s="163">
        <f ca="1">IMSS[[#This Row],[DIAS LAB]]*IMSS[[#This Row],[SDI]]*IMSS[[#This Row],[% RSG]]*$Q$108</f>
        <v>117.97099710410957</v>
      </c>
      <c r="K278" s="163">
        <f>IMSS[[#This Row],[DIAS LAB]]*$J$110*$Q$109</f>
        <v>548.47440000000006</v>
      </c>
      <c r="L278" s="166">
        <f ca="1">IMSS[[#This Row],[DIAS LAB]]*IF(IMSS[[#This Row],[SDI]]-$J$113&gt;0,IMSS[[#This Row],[SDI]]-$J$113,0)*$Q$110</f>
        <v>26.048391780821905</v>
      </c>
      <c r="M278" s="166">
        <f ca="1">IMSS[[#This Row],[DIAS LAB]]*IMSS[[#This Row],[SDI]]*$Q$111</f>
        <v>109.55527397260273</v>
      </c>
      <c r="N278" s="163">
        <f ca="1">IMSS[[#This Row],[DIAS LAB]]*IMSS[[#This Row],[SDI]]*$Q$112</f>
        <v>73.03684931506848</v>
      </c>
      <c r="O278" s="166">
        <f ca="1">IMSS[[#This Row],[DIAS LAB]]*IMSS[[#This Row],[SDI]]*$Q$113</f>
        <v>182.59212328767123</v>
      </c>
      <c r="P278" s="163">
        <f ca="1">IMSS[[#This Row],[DIAS LAB]]*IMSS[[#This Row],[SDI]]*$Q$114</f>
        <v>104.33835616438355</v>
      </c>
      <c r="Q278" s="166">
        <f ca="1">IMSS[[#This Row],[DIAS LAB]]*IMSS[[#This Row],[SDI]]*$Q$115</f>
        <v>208.67671232876711</v>
      </c>
      <c r="R278" s="163">
        <f ca="1">IMSS[[#This Row],[DIAS LAB]]*IMSS[[#This Row],[SDI]]*$Q$116</f>
        <v>328.66582191780816</v>
      </c>
      <c r="S278" s="163">
        <f ca="1">IMSS[[#This Row],[DIAS LAB]]*IMSS[[#This Row],[SDI]]*$Q$117</f>
        <v>521.69178082191775</v>
      </c>
      <c r="T278" s="164">
        <f ca="1">SUM(IMSS[[#This Row],[P RSG TRB]:[P INFONAVIT]])</f>
        <v>2221.0507066931505</v>
      </c>
      <c r="U278" s="163">
        <f ca="1">IMSS[[#This Row],[DIAS LAB]]*IMSS[[#This Row],[SDI]]*IMSS[[#This Row],[% RSG]]*$R$108</f>
        <v>0</v>
      </c>
      <c r="V278" s="163">
        <f ca="1">IMSS[[#This Row],[DIAS LAB]]*IMSS[[#This Row],[SDI]]*$R$112</f>
        <v>26.084589041095889</v>
      </c>
      <c r="W278" s="163"/>
      <c r="X278" s="163">
        <f ca="1">IMSS[[#This Row],[DIAS LAB]]*IMSS[[#This Row],[SDI]]*$R$113</f>
        <v>65.733164383561643</v>
      </c>
      <c r="Y278" s="163">
        <f ca="1">IMSS[[#This Row],[DIAS LAB]]*IMSS[[#This Row],[SDI]]*$R$114</f>
        <v>0</v>
      </c>
      <c r="Z278" s="163">
        <f ca="1">IMSS[[#This Row],[DIAS LAB]]*IMSS[[#This Row],[SDI]]*$R$115</f>
        <v>0</v>
      </c>
      <c r="AA278" s="163">
        <f ca="1">IMSS[[#This Row],[DIAS LAB]]*IMSS[[#This Row],[SDI]]*$R$116</f>
        <v>117.90234246575341</v>
      </c>
      <c r="AB278" s="163">
        <f ca="1">IMSS[[#This Row],[DIAS LAB]]*IMSS[[#This Row],[SDI]]*$R$117</f>
        <v>0</v>
      </c>
      <c r="AC278" s="247">
        <f ca="1">SUM(IMSS[[#This Row],[O RSG TRB]:[O INFONAVIT]])</f>
        <v>209.72009589041093</v>
      </c>
      <c r="AD278" s="163"/>
      <c r="AE278" s="165">
        <f ca="1">IMSS[[#This Row],[P TOTAL]]+IMSS[[#This Row],[O TOTAL]]</f>
        <v>2430.7708025835614</v>
      </c>
      <c r="AF278" s="163"/>
      <c r="AG278" s="163">
        <f>VLOOKUP(IMSS[[#This Row],[SUE MENS]],$AG$110:$AJ$120,1,1)</f>
        <v>5470.93</v>
      </c>
      <c r="AH278" s="163">
        <f>IMSS[[#This Row],[SUE MENS]]-IMSS[[#This Row],[LIM INF]]</f>
        <v>3979.0699999999997</v>
      </c>
      <c r="AI278" s="163">
        <f>IMSS[[#This Row],[EXC LIM INF]]*(VLOOKUP(IMSS[[#This Row],[LIM INF]],$AG$110:$AJ$120,4,0))</f>
        <v>432.92281600000001</v>
      </c>
      <c r="AJ278" s="163">
        <f>VLOOKUP(IMSS[[#This Row],[LIM INF]],$AG$110:$AJ$120,3)</f>
        <v>321.26</v>
      </c>
      <c r="AK278" s="163">
        <f>SUM(IMSS[[#This Row],[TASA EXC]]+IMSS[[#This Row],[CUOTA FIJA]])</f>
        <v>754.182816</v>
      </c>
      <c r="AL278" s="163">
        <f>VLOOKUP(IMSS[[#This Row],[SUE MENS]],$AL$110:$AN$120,3,1)</f>
        <v>0</v>
      </c>
      <c r="AM278" s="248">
        <f>IF(IMSS[[#This Row],[ISR CARGO]]-IMSS[[#This Row],[SUBS ISR]]&gt;0,IMSS[[#This Row],[ISR CARGO]]-IMSS[[#This Row],[SUBS ISR]],0)</f>
        <v>754.182816</v>
      </c>
      <c r="AN278" s="248">
        <f>IF(IMSS[[#This Row],[SUBS ISR]]-IMSS[[#This Row],[ISR CARGO]]&gt;0,IMSS[[#This Row],[SUBS ISR]]-IMSS[[#This Row],[ISR CARGO]],0)</f>
        <v>0</v>
      </c>
    </row>
    <row r="279" spans="3:40" ht="15" hidden="1" customHeight="1" x14ac:dyDescent="0.25">
      <c r="C279" s="243">
        <v>282</v>
      </c>
      <c r="D279" s="167" t="str">
        <f>VLOOKUP(IMSS[[#This Row],[NEM]],BDD[],2,0)</f>
        <v>Itzel Alejandra Flores Hernandez</v>
      </c>
      <c r="E279" s="167" t="str">
        <f>VLOOKUP(IMSS[[#This Row],[NEM]],BDD[],9,0)</f>
        <v>CONTROL</v>
      </c>
      <c r="F279" s="168">
        <v>30</v>
      </c>
      <c r="G279" s="139">
        <f>VLOOKUP(IMSS[[#This Row],[NEM]],BDD[],3,0)</f>
        <v>10350</v>
      </c>
      <c r="H279" s="139">
        <f ca="1">VLOOKUP(IMSS[[#This Row],[NEM]],BDD[],25,0)</f>
        <v>380.91780821917808</v>
      </c>
      <c r="I279" s="143">
        <f>VLOOKUP(IMSS[[#This Row],[DEPT]],$B$3:$G$49,6,0)</f>
        <v>5.4355000000000002E-3</v>
      </c>
      <c r="J279" s="163">
        <f ca="1">IMSS[[#This Row],[DIAS LAB]]*IMSS[[#This Row],[SDI]]*IMSS[[#This Row],[% RSG]]*$Q$108</f>
        <v>62.114362397260273</v>
      </c>
      <c r="K279" s="163">
        <f>IMSS[[#This Row],[DIAS LAB]]*$J$110*$Q$109</f>
        <v>548.47440000000006</v>
      </c>
      <c r="L279" s="166">
        <f ca="1">IMSS[[#This Row],[DIAS LAB]]*IF(IMSS[[#This Row],[SDI]]-$J$113&gt;0,IMSS[[#This Row],[SDI]]-$J$113,0)*$Q$110</f>
        <v>36.979076712328762</v>
      </c>
      <c r="M279" s="166">
        <f ca="1">IMSS[[#This Row],[DIAS LAB]]*IMSS[[#This Row],[SDI]]*$Q$111</f>
        <v>119.98910958904109</v>
      </c>
      <c r="N279" s="163">
        <f ca="1">IMSS[[#This Row],[DIAS LAB]]*IMSS[[#This Row],[SDI]]*$Q$112</f>
        <v>79.992739726027395</v>
      </c>
      <c r="O279" s="166">
        <f ca="1">IMSS[[#This Row],[DIAS LAB]]*IMSS[[#This Row],[SDI]]*$Q$113</f>
        <v>199.9818493150685</v>
      </c>
      <c r="P279" s="163">
        <f ca="1">IMSS[[#This Row],[DIAS LAB]]*IMSS[[#This Row],[SDI]]*$Q$114</f>
        <v>114.27534246575343</v>
      </c>
      <c r="Q279" s="166">
        <f ca="1">IMSS[[#This Row],[DIAS LAB]]*IMSS[[#This Row],[SDI]]*$Q$115</f>
        <v>228.55068493150685</v>
      </c>
      <c r="R279" s="163">
        <f ca="1">IMSS[[#This Row],[DIAS LAB]]*IMSS[[#This Row],[SDI]]*$Q$116</f>
        <v>359.96732876712326</v>
      </c>
      <c r="S279" s="163">
        <f ca="1">IMSS[[#This Row],[DIAS LAB]]*IMSS[[#This Row],[SDI]]*$Q$117</f>
        <v>571.3767123287671</v>
      </c>
      <c r="T279" s="164">
        <f ca="1">SUM(IMSS[[#This Row],[P RSG TRB]:[P INFONAVIT]])</f>
        <v>2321.7016062328767</v>
      </c>
      <c r="U279" s="163">
        <f ca="1">IMSS[[#This Row],[DIAS LAB]]*IMSS[[#This Row],[SDI]]*IMSS[[#This Row],[% RSG]]*$R$108</f>
        <v>0</v>
      </c>
      <c r="V279" s="163">
        <f ca="1">IMSS[[#This Row],[DIAS LAB]]*IMSS[[#This Row],[SDI]]*$R$112</f>
        <v>28.568835616438356</v>
      </c>
      <c r="W279" s="163"/>
      <c r="X279" s="163">
        <f ca="1">IMSS[[#This Row],[DIAS LAB]]*IMSS[[#This Row],[SDI]]*$R$113</f>
        <v>71.993465753424658</v>
      </c>
      <c r="Y279" s="163">
        <f ca="1">IMSS[[#This Row],[DIAS LAB]]*IMSS[[#This Row],[SDI]]*$R$114</f>
        <v>0</v>
      </c>
      <c r="Z279" s="163">
        <f ca="1">IMSS[[#This Row],[DIAS LAB]]*IMSS[[#This Row],[SDI]]*$R$115</f>
        <v>0</v>
      </c>
      <c r="AA279" s="163">
        <f ca="1">IMSS[[#This Row],[DIAS LAB]]*IMSS[[#This Row],[SDI]]*$R$116</f>
        <v>129.13113698630136</v>
      </c>
      <c r="AB279" s="163">
        <f ca="1">IMSS[[#This Row],[DIAS LAB]]*IMSS[[#This Row],[SDI]]*$R$117</f>
        <v>0</v>
      </c>
      <c r="AC279" s="247">
        <f ca="1">SUM(IMSS[[#This Row],[O RSG TRB]:[O INFONAVIT]])</f>
        <v>229.69343835616436</v>
      </c>
      <c r="AD279" s="163"/>
      <c r="AE279" s="165">
        <f ca="1">IMSS[[#This Row],[P TOTAL]]+IMSS[[#This Row],[O TOTAL]]</f>
        <v>2551.3950445890409</v>
      </c>
      <c r="AF279" s="163"/>
      <c r="AG279" s="163">
        <f>VLOOKUP(IMSS[[#This Row],[SUE MENS]],$AG$110:$AJ$120,1,1)</f>
        <v>9614.67</v>
      </c>
      <c r="AH279" s="163">
        <f>IMSS[[#This Row],[SUE MENS]]-IMSS[[#This Row],[LIM INF]]</f>
        <v>735.32999999999993</v>
      </c>
      <c r="AI279" s="163">
        <f>IMSS[[#This Row],[EXC LIM INF]]*(VLOOKUP(IMSS[[#This Row],[LIM INF]],$AG$110:$AJ$120,4,0))</f>
        <v>117.65279999999998</v>
      </c>
      <c r="AJ279" s="163">
        <f>VLOOKUP(IMSS[[#This Row],[LIM INF]],$AG$110:$AJ$120,3)</f>
        <v>772.1</v>
      </c>
      <c r="AK279" s="163">
        <f>SUM(IMSS[[#This Row],[TASA EXC]]+IMSS[[#This Row],[CUOTA FIJA]])</f>
        <v>889.75279999999998</v>
      </c>
      <c r="AL279" s="163">
        <f>VLOOKUP(IMSS[[#This Row],[SUE MENS]],$AL$110:$AN$120,3,1)</f>
        <v>0</v>
      </c>
      <c r="AM279" s="248">
        <f>IF(IMSS[[#This Row],[ISR CARGO]]-IMSS[[#This Row],[SUBS ISR]]&gt;0,IMSS[[#This Row],[ISR CARGO]]-IMSS[[#This Row],[SUBS ISR]],0)</f>
        <v>889.75279999999998</v>
      </c>
      <c r="AN279" s="248">
        <f>IF(IMSS[[#This Row],[SUBS ISR]]-IMSS[[#This Row],[ISR CARGO]]&gt;0,IMSS[[#This Row],[SUBS ISR]]-IMSS[[#This Row],[ISR CARGO]],0)</f>
        <v>0</v>
      </c>
    </row>
    <row r="280" spans="3:40" ht="15" hidden="1" customHeight="1" x14ac:dyDescent="0.25">
      <c r="C280" s="243">
        <v>283</v>
      </c>
      <c r="D280" s="167" t="str">
        <f>VLOOKUP(IMSS[[#This Row],[NEM]],BDD[],2,0)</f>
        <v>Carolina Perez Villarreal</v>
      </c>
      <c r="E280" s="167" t="str">
        <f>VLOOKUP(IMSS[[#This Row],[NEM]],BDD[],9,0)</f>
        <v>AUDIT ADMN</v>
      </c>
      <c r="F280" s="168">
        <v>30</v>
      </c>
      <c r="G280" s="139">
        <f>VLOOKUP(IMSS[[#This Row],[NEM]],BDD[],3,0)</f>
        <v>7445</v>
      </c>
      <c r="H280" s="139">
        <f ca="1">VLOOKUP(IMSS[[#This Row],[NEM]],BDD[],25,0)</f>
        <v>274.00319634703197</v>
      </c>
      <c r="I280" s="143">
        <f>VLOOKUP(IMSS[[#This Row],[DEPT]],$B$3:$G$49,6,0)</f>
        <v>5.4355000000000002E-3</v>
      </c>
      <c r="J280" s="163">
        <f ca="1">IMSS[[#This Row],[DIAS LAB]]*IMSS[[#This Row],[SDI]]*IMSS[[#This Row],[% RSG]]*$Q$108</f>
        <v>44.680331212328774</v>
      </c>
      <c r="K280" s="163">
        <f>IMSS[[#This Row],[DIAS LAB]]*$J$110*$Q$109</f>
        <v>548.47440000000006</v>
      </c>
      <c r="L280" s="166">
        <f ca="1">IMSS[[#This Row],[DIAS LAB]]*IF(IMSS[[#This Row],[SDI]]-$J$113&gt;0,IMSS[[#This Row],[SDI]]-$J$113,0)*$Q$110</f>
        <v>1.6972547945205467</v>
      </c>
      <c r="M280" s="166">
        <f ca="1">IMSS[[#This Row],[DIAS LAB]]*IMSS[[#This Row],[SDI]]*$Q$111</f>
        <v>86.311006849315078</v>
      </c>
      <c r="N280" s="163">
        <f ca="1">IMSS[[#This Row],[DIAS LAB]]*IMSS[[#This Row],[SDI]]*$Q$112</f>
        <v>57.540671232876718</v>
      </c>
      <c r="O280" s="166">
        <f ca="1">IMSS[[#This Row],[DIAS LAB]]*IMSS[[#This Row],[SDI]]*$Q$113</f>
        <v>143.8516780821918</v>
      </c>
      <c r="P280" s="163">
        <f ca="1">IMSS[[#This Row],[DIAS LAB]]*IMSS[[#This Row],[SDI]]*$Q$114</f>
        <v>82.200958904109598</v>
      </c>
      <c r="Q280" s="166">
        <f ca="1">IMSS[[#This Row],[DIAS LAB]]*IMSS[[#This Row],[SDI]]*$Q$115</f>
        <v>164.4019178082192</v>
      </c>
      <c r="R280" s="163">
        <f ca="1">IMSS[[#This Row],[DIAS LAB]]*IMSS[[#This Row],[SDI]]*$Q$116</f>
        <v>258.9330205479452</v>
      </c>
      <c r="S280" s="163">
        <f ca="1">IMSS[[#This Row],[DIAS LAB]]*IMSS[[#This Row],[SDI]]*$Q$117</f>
        <v>411.00479452054799</v>
      </c>
      <c r="T280" s="164">
        <f ca="1">SUM(IMSS[[#This Row],[P RSG TRB]:[P INFONAVIT]])</f>
        <v>1799.0960339520548</v>
      </c>
      <c r="U280" s="163">
        <f ca="1">IMSS[[#This Row],[DIAS LAB]]*IMSS[[#This Row],[SDI]]*IMSS[[#This Row],[% RSG]]*$R$108</f>
        <v>0</v>
      </c>
      <c r="V280" s="163">
        <f ca="1">IMSS[[#This Row],[DIAS LAB]]*IMSS[[#This Row],[SDI]]*$R$112</f>
        <v>20.550239726027399</v>
      </c>
      <c r="W280" s="163"/>
      <c r="X280" s="163">
        <f ca="1">IMSS[[#This Row],[DIAS LAB]]*IMSS[[#This Row],[SDI]]*$R$113</f>
        <v>51.786604109589042</v>
      </c>
      <c r="Y280" s="163">
        <f ca="1">IMSS[[#This Row],[DIAS LAB]]*IMSS[[#This Row],[SDI]]*$R$114</f>
        <v>0</v>
      </c>
      <c r="Z280" s="163">
        <f ca="1">IMSS[[#This Row],[DIAS LAB]]*IMSS[[#This Row],[SDI]]*$R$115</f>
        <v>0</v>
      </c>
      <c r="AA280" s="163">
        <f ca="1">IMSS[[#This Row],[DIAS LAB]]*IMSS[[#This Row],[SDI]]*$R$116</f>
        <v>92.887083561643834</v>
      </c>
      <c r="AB280" s="163">
        <f ca="1">IMSS[[#This Row],[DIAS LAB]]*IMSS[[#This Row],[SDI]]*$R$117</f>
        <v>0</v>
      </c>
      <c r="AC280" s="247">
        <f ca="1">SUM(IMSS[[#This Row],[O RSG TRB]:[O INFONAVIT]])</f>
        <v>165.22392739726027</v>
      </c>
      <c r="AD280" s="163"/>
      <c r="AE280" s="165">
        <f ca="1">IMSS[[#This Row],[P TOTAL]]+IMSS[[#This Row],[O TOTAL]]</f>
        <v>1964.319961349315</v>
      </c>
      <c r="AF280" s="163"/>
      <c r="AG280" s="163">
        <f>VLOOKUP(IMSS[[#This Row],[SUE MENS]],$AG$110:$AJ$120,1,1)</f>
        <v>5470.93</v>
      </c>
      <c r="AH280" s="163">
        <f>IMSS[[#This Row],[SUE MENS]]-IMSS[[#This Row],[LIM INF]]</f>
        <v>1974.0699999999997</v>
      </c>
      <c r="AI280" s="163">
        <f>IMSS[[#This Row],[EXC LIM INF]]*(VLOOKUP(IMSS[[#This Row],[LIM INF]],$AG$110:$AJ$120,4,0))</f>
        <v>214.77881599999998</v>
      </c>
      <c r="AJ280" s="163">
        <f>VLOOKUP(IMSS[[#This Row],[LIM INF]],$AG$110:$AJ$120,3)</f>
        <v>321.26</v>
      </c>
      <c r="AK280" s="163">
        <f>SUM(IMSS[[#This Row],[TASA EXC]]+IMSS[[#This Row],[CUOTA FIJA]])</f>
        <v>536.038816</v>
      </c>
      <c r="AL280" s="163">
        <f>VLOOKUP(IMSS[[#This Row],[SUE MENS]],$AL$110:$AN$120,3,1)</f>
        <v>0</v>
      </c>
      <c r="AM280" s="248">
        <f>IF(IMSS[[#This Row],[ISR CARGO]]-IMSS[[#This Row],[SUBS ISR]]&gt;0,IMSS[[#This Row],[ISR CARGO]]-IMSS[[#This Row],[SUBS ISR]],0)</f>
        <v>536.038816</v>
      </c>
      <c r="AN280" s="248">
        <f>IF(IMSS[[#This Row],[SUBS ISR]]-IMSS[[#This Row],[ISR CARGO]]&gt;0,IMSS[[#This Row],[SUBS ISR]]-IMSS[[#This Row],[ISR CARGO]],0)</f>
        <v>0</v>
      </c>
    </row>
    <row r="281" spans="3:40" ht="15" hidden="1" customHeight="1" x14ac:dyDescent="0.25">
      <c r="C281" s="243">
        <v>284</v>
      </c>
      <c r="D281" s="167" t="str">
        <f>VLOOKUP(IMSS[[#This Row],[NEM]],BDD[],2,0)</f>
        <v>Nora Livia Gomez Figueroa</v>
      </c>
      <c r="E281" s="167" t="str">
        <f>VLOOKUP(IMSS[[#This Row],[NEM]],BDD[],9,0)</f>
        <v>EXTERNOS</v>
      </c>
      <c r="F281" s="168">
        <v>30</v>
      </c>
      <c r="G281" s="139">
        <f>VLOOKUP(IMSS[[#This Row],[NEM]],BDD[],3,0)</f>
        <v>7445</v>
      </c>
      <c r="H281" s="139">
        <f ca="1">VLOOKUP(IMSS[[#This Row],[NEM]],BDD[],25,0)</f>
        <v>274.00319634703197</v>
      </c>
      <c r="I281" s="143">
        <f>VLOOKUP(IMSS[[#This Row],[DEPT]],$B$3:$G$49,6,0)</f>
        <v>5.4355000000000002E-3</v>
      </c>
      <c r="J281" s="163">
        <f ca="1">IMSS[[#This Row],[DIAS LAB]]*IMSS[[#This Row],[SDI]]*IMSS[[#This Row],[% RSG]]*$Q$108</f>
        <v>44.680331212328774</v>
      </c>
      <c r="K281" s="163">
        <f>IMSS[[#This Row],[DIAS LAB]]*$J$110*$Q$109</f>
        <v>548.47440000000006</v>
      </c>
      <c r="L281" s="166">
        <f ca="1">IMSS[[#This Row],[DIAS LAB]]*IF(IMSS[[#This Row],[SDI]]-$J$113&gt;0,IMSS[[#This Row],[SDI]]-$J$113,0)*$Q$110</f>
        <v>1.6972547945205467</v>
      </c>
      <c r="M281" s="166">
        <f ca="1">IMSS[[#This Row],[DIAS LAB]]*IMSS[[#This Row],[SDI]]*$Q$111</f>
        <v>86.311006849315078</v>
      </c>
      <c r="N281" s="163">
        <f ca="1">IMSS[[#This Row],[DIAS LAB]]*IMSS[[#This Row],[SDI]]*$Q$112</f>
        <v>57.540671232876718</v>
      </c>
      <c r="O281" s="166">
        <f ca="1">IMSS[[#This Row],[DIAS LAB]]*IMSS[[#This Row],[SDI]]*$Q$113</f>
        <v>143.8516780821918</v>
      </c>
      <c r="P281" s="163">
        <f ca="1">IMSS[[#This Row],[DIAS LAB]]*IMSS[[#This Row],[SDI]]*$Q$114</f>
        <v>82.200958904109598</v>
      </c>
      <c r="Q281" s="166">
        <f ca="1">IMSS[[#This Row],[DIAS LAB]]*IMSS[[#This Row],[SDI]]*$Q$115</f>
        <v>164.4019178082192</v>
      </c>
      <c r="R281" s="163">
        <f ca="1">IMSS[[#This Row],[DIAS LAB]]*IMSS[[#This Row],[SDI]]*$Q$116</f>
        <v>258.9330205479452</v>
      </c>
      <c r="S281" s="163">
        <f ca="1">IMSS[[#This Row],[DIAS LAB]]*IMSS[[#This Row],[SDI]]*$Q$117</f>
        <v>411.00479452054799</v>
      </c>
      <c r="T281" s="164">
        <f ca="1">SUM(IMSS[[#This Row],[P RSG TRB]:[P INFONAVIT]])</f>
        <v>1799.0960339520548</v>
      </c>
      <c r="U281" s="163">
        <f ca="1">IMSS[[#This Row],[DIAS LAB]]*IMSS[[#This Row],[SDI]]*IMSS[[#This Row],[% RSG]]*$R$108</f>
        <v>0</v>
      </c>
      <c r="V281" s="163">
        <f ca="1">IMSS[[#This Row],[DIAS LAB]]*IMSS[[#This Row],[SDI]]*$R$112</f>
        <v>20.550239726027399</v>
      </c>
      <c r="W281" s="163"/>
      <c r="X281" s="163">
        <f ca="1">IMSS[[#This Row],[DIAS LAB]]*IMSS[[#This Row],[SDI]]*$R$113</f>
        <v>51.786604109589042</v>
      </c>
      <c r="Y281" s="163">
        <f ca="1">IMSS[[#This Row],[DIAS LAB]]*IMSS[[#This Row],[SDI]]*$R$114</f>
        <v>0</v>
      </c>
      <c r="Z281" s="163">
        <f ca="1">IMSS[[#This Row],[DIAS LAB]]*IMSS[[#This Row],[SDI]]*$R$115</f>
        <v>0</v>
      </c>
      <c r="AA281" s="163">
        <f ca="1">IMSS[[#This Row],[DIAS LAB]]*IMSS[[#This Row],[SDI]]*$R$116</f>
        <v>92.887083561643834</v>
      </c>
      <c r="AB281" s="163">
        <f ca="1">IMSS[[#This Row],[DIAS LAB]]*IMSS[[#This Row],[SDI]]*$R$117</f>
        <v>0</v>
      </c>
      <c r="AC281" s="247">
        <f ca="1">SUM(IMSS[[#This Row],[O RSG TRB]:[O INFONAVIT]])</f>
        <v>165.22392739726027</v>
      </c>
      <c r="AD281" s="163"/>
      <c r="AE281" s="165">
        <f ca="1">IMSS[[#This Row],[P TOTAL]]+IMSS[[#This Row],[O TOTAL]]</f>
        <v>1964.319961349315</v>
      </c>
      <c r="AF281" s="163"/>
      <c r="AG281" s="163">
        <f>VLOOKUP(IMSS[[#This Row],[SUE MENS]],$AG$110:$AJ$120,1,1)</f>
        <v>5470.93</v>
      </c>
      <c r="AH281" s="163">
        <f>IMSS[[#This Row],[SUE MENS]]-IMSS[[#This Row],[LIM INF]]</f>
        <v>1974.0699999999997</v>
      </c>
      <c r="AI281" s="163">
        <f>IMSS[[#This Row],[EXC LIM INF]]*(VLOOKUP(IMSS[[#This Row],[LIM INF]],$AG$110:$AJ$120,4,0))</f>
        <v>214.77881599999998</v>
      </c>
      <c r="AJ281" s="163">
        <f>VLOOKUP(IMSS[[#This Row],[LIM INF]],$AG$110:$AJ$120,3)</f>
        <v>321.26</v>
      </c>
      <c r="AK281" s="163">
        <f>SUM(IMSS[[#This Row],[TASA EXC]]+IMSS[[#This Row],[CUOTA FIJA]])</f>
        <v>536.038816</v>
      </c>
      <c r="AL281" s="163">
        <f>VLOOKUP(IMSS[[#This Row],[SUE MENS]],$AL$110:$AN$120,3,1)</f>
        <v>0</v>
      </c>
      <c r="AM281" s="248">
        <f>IF(IMSS[[#This Row],[ISR CARGO]]-IMSS[[#This Row],[SUBS ISR]]&gt;0,IMSS[[#This Row],[ISR CARGO]]-IMSS[[#This Row],[SUBS ISR]],0)</f>
        <v>536.038816</v>
      </c>
      <c r="AN281" s="248">
        <f>IF(IMSS[[#This Row],[SUBS ISR]]-IMSS[[#This Row],[ISR CARGO]]&gt;0,IMSS[[#This Row],[SUBS ISR]]-IMSS[[#This Row],[ISR CARGO]],0)</f>
        <v>0</v>
      </c>
    </row>
    <row r="282" spans="3:40" ht="15" hidden="1" customHeight="1" x14ac:dyDescent="0.25">
      <c r="C282" s="243">
        <v>285</v>
      </c>
      <c r="D282" s="167" t="str">
        <f>VLOOKUP(IMSS[[#This Row],[NEM]],BDD[],2,0)</f>
        <v>José Ines Giron Suastegui</v>
      </c>
      <c r="E282" s="167" t="str">
        <f>VLOOKUP(IMSS[[#This Row],[NEM]],BDD[],9,0)</f>
        <v>SOFTWARE</v>
      </c>
      <c r="F282" s="168">
        <v>30</v>
      </c>
      <c r="G282" s="139">
        <f>VLOOKUP(IMSS[[#This Row],[NEM]],BDD[],3,0)</f>
        <v>9450</v>
      </c>
      <c r="H282" s="139">
        <f ca="1">VLOOKUP(IMSS[[#This Row],[NEM]],BDD[],25,0)</f>
        <v>347.79452054794518</v>
      </c>
      <c r="I282" s="143">
        <f>VLOOKUP(IMSS[[#This Row],[DEPT]],$B$3:$G$49,6,0)</f>
        <v>1.130658E-2</v>
      </c>
      <c r="J282" s="163">
        <f ca="1">IMSS[[#This Row],[DIAS LAB]]*IMSS[[#This Row],[SDI]]*IMSS[[#This Row],[% RSG]]*$Q$108</f>
        <v>117.97099710410957</v>
      </c>
      <c r="K282" s="163">
        <f>IMSS[[#This Row],[DIAS LAB]]*$J$110*$Q$109</f>
        <v>548.47440000000006</v>
      </c>
      <c r="L282" s="166">
        <f ca="1">IMSS[[#This Row],[DIAS LAB]]*IF(IMSS[[#This Row],[SDI]]-$J$113&gt;0,IMSS[[#This Row],[SDI]]-$J$113,0)*$Q$110</f>
        <v>26.048391780821905</v>
      </c>
      <c r="M282" s="166">
        <f ca="1">IMSS[[#This Row],[DIAS LAB]]*IMSS[[#This Row],[SDI]]*$Q$111</f>
        <v>109.55527397260273</v>
      </c>
      <c r="N282" s="163">
        <f ca="1">IMSS[[#This Row],[DIAS LAB]]*IMSS[[#This Row],[SDI]]*$Q$112</f>
        <v>73.03684931506848</v>
      </c>
      <c r="O282" s="166">
        <f ca="1">IMSS[[#This Row],[DIAS LAB]]*IMSS[[#This Row],[SDI]]*$Q$113</f>
        <v>182.59212328767123</v>
      </c>
      <c r="P282" s="163">
        <f ca="1">IMSS[[#This Row],[DIAS LAB]]*IMSS[[#This Row],[SDI]]*$Q$114</f>
        <v>104.33835616438355</v>
      </c>
      <c r="Q282" s="166">
        <f ca="1">IMSS[[#This Row],[DIAS LAB]]*IMSS[[#This Row],[SDI]]*$Q$115</f>
        <v>208.67671232876711</v>
      </c>
      <c r="R282" s="163">
        <f ca="1">IMSS[[#This Row],[DIAS LAB]]*IMSS[[#This Row],[SDI]]*$Q$116</f>
        <v>328.66582191780816</v>
      </c>
      <c r="S282" s="163">
        <f ca="1">IMSS[[#This Row],[DIAS LAB]]*IMSS[[#This Row],[SDI]]*$Q$117</f>
        <v>521.69178082191775</v>
      </c>
      <c r="T282" s="164">
        <f ca="1">SUM(IMSS[[#This Row],[P RSG TRB]:[P INFONAVIT]])</f>
        <v>2221.0507066931505</v>
      </c>
      <c r="U282" s="163">
        <f ca="1">IMSS[[#This Row],[DIAS LAB]]*IMSS[[#This Row],[SDI]]*IMSS[[#This Row],[% RSG]]*$R$108</f>
        <v>0</v>
      </c>
      <c r="V282" s="163">
        <f ca="1">IMSS[[#This Row],[DIAS LAB]]*IMSS[[#This Row],[SDI]]*$R$112</f>
        <v>26.084589041095889</v>
      </c>
      <c r="W282" s="163"/>
      <c r="X282" s="163">
        <f ca="1">IMSS[[#This Row],[DIAS LAB]]*IMSS[[#This Row],[SDI]]*$R$113</f>
        <v>65.733164383561643</v>
      </c>
      <c r="Y282" s="163">
        <f ca="1">IMSS[[#This Row],[DIAS LAB]]*IMSS[[#This Row],[SDI]]*$R$114</f>
        <v>0</v>
      </c>
      <c r="Z282" s="163">
        <f ca="1">IMSS[[#This Row],[DIAS LAB]]*IMSS[[#This Row],[SDI]]*$R$115</f>
        <v>0</v>
      </c>
      <c r="AA282" s="163">
        <f ca="1">IMSS[[#This Row],[DIAS LAB]]*IMSS[[#This Row],[SDI]]*$R$116</f>
        <v>117.90234246575341</v>
      </c>
      <c r="AB282" s="163">
        <f ca="1">IMSS[[#This Row],[DIAS LAB]]*IMSS[[#This Row],[SDI]]*$R$117</f>
        <v>0</v>
      </c>
      <c r="AC282" s="247">
        <f ca="1">SUM(IMSS[[#This Row],[O RSG TRB]:[O INFONAVIT]])</f>
        <v>209.72009589041093</v>
      </c>
      <c r="AD282" s="163"/>
      <c r="AE282" s="165">
        <f ca="1">IMSS[[#This Row],[P TOTAL]]+IMSS[[#This Row],[O TOTAL]]</f>
        <v>2430.7708025835614</v>
      </c>
      <c r="AF282" s="163"/>
      <c r="AG282" s="163">
        <f>VLOOKUP(IMSS[[#This Row],[SUE MENS]],$AG$110:$AJ$120,1,1)</f>
        <v>5470.93</v>
      </c>
      <c r="AH282" s="163">
        <f>IMSS[[#This Row],[SUE MENS]]-IMSS[[#This Row],[LIM INF]]</f>
        <v>3979.0699999999997</v>
      </c>
      <c r="AI282" s="163">
        <f>IMSS[[#This Row],[EXC LIM INF]]*(VLOOKUP(IMSS[[#This Row],[LIM INF]],$AG$110:$AJ$120,4,0))</f>
        <v>432.92281600000001</v>
      </c>
      <c r="AJ282" s="163">
        <f>VLOOKUP(IMSS[[#This Row],[LIM INF]],$AG$110:$AJ$120,3)</f>
        <v>321.26</v>
      </c>
      <c r="AK282" s="163">
        <f>SUM(IMSS[[#This Row],[TASA EXC]]+IMSS[[#This Row],[CUOTA FIJA]])</f>
        <v>754.182816</v>
      </c>
      <c r="AL282" s="163">
        <f>VLOOKUP(IMSS[[#This Row],[SUE MENS]],$AL$110:$AN$120,3,1)</f>
        <v>0</v>
      </c>
      <c r="AM282" s="248">
        <f>IF(IMSS[[#This Row],[ISR CARGO]]-IMSS[[#This Row],[SUBS ISR]]&gt;0,IMSS[[#This Row],[ISR CARGO]]-IMSS[[#This Row],[SUBS ISR]],0)</f>
        <v>754.182816</v>
      </c>
      <c r="AN282" s="248">
        <f>IF(IMSS[[#This Row],[SUBS ISR]]-IMSS[[#This Row],[ISR CARGO]]&gt;0,IMSS[[#This Row],[SUBS ISR]]-IMSS[[#This Row],[ISR CARGO]],0)</f>
        <v>0</v>
      </c>
    </row>
    <row r="283" spans="3:40" ht="15" hidden="1" customHeight="1" x14ac:dyDescent="0.25">
      <c r="C283" s="243">
        <v>286</v>
      </c>
      <c r="D283" s="167" t="str">
        <f>VLOOKUP(IMSS[[#This Row],[NEM]],BDD[],2,0)</f>
        <v>Joel Alejandro Flores Santiago</v>
      </c>
      <c r="E283" s="167" t="str">
        <f>VLOOKUP(IMSS[[#This Row],[NEM]],BDD[],9,0)</f>
        <v>RELACIONES</v>
      </c>
      <c r="F283" s="168">
        <v>30</v>
      </c>
      <c r="G283" s="139">
        <f>VLOOKUP(IMSS[[#This Row],[NEM]],BDD[],3,0)</f>
        <v>7445</v>
      </c>
      <c r="H283" s="139">
        <f ca="1">VLOOKUP(IMSS[[#This Row],[NEM]],BDD[],25,0)</f>
        <v>274.00319634703197</v>
      </c>
      <c r="I283" s="143">
        <f>VLOOKUP(IMSS[[#This Row],[DEPT]],$B$3:$G$49,6,0)</f>
        <v>5.4355000000000002E-3</v>
      </c>
      <c r="J283" s="163">
        <f ca="1">IMSS[[#This Row],[DIAS LAB]]*IMSS[[#This Row],[SDI]]*IMSS[[#This Row],[% RSG]]*$Q$108</f>
        <v>44.680331212328774</v>
      </c>
      <c r="K283" s="163">
        <f>IMSS[[#This Row],[DIAS LAB]]*$J$110*$Q$109</f>
        <v>548.47440000000006</v>
      </c>
      <c r="L283" s="166">
        <f ca="1">IMSS[[#This Row],[DIAS LAB]]*IF(IMSS[[#This Row],[SDI]]-$J$113&gt;0,IMSS[[#This Row],[SDI]]-$J$113,0)*$Q$110</f>
        <v>1.6972547945205467</v>
      </c>
      <c r="M283" s="166">
        <f ca="1">IMSS[[#This Row],[DIAS LAB]]*IMSS[[#This Row],[SDI]]*$Q$111</f>
        <v>86.311006849315078</v>
      </c>
      <c r="N283" s="163">
        <f ca="1">IMSS[[#This Row],[DIAS LAB]]*IMSS[[#This Row],[SDI]]*$Q$112</f>
        <v>57.540671232876718</v>
      </c>
      <c r="O283" s="166">
        <f ca="1">IMSS[[#This Row],[DIAS LAB]]*IMSS[[#This Row],[SDI]]*$Q$113</f>
        <v>143.8516780821918</v>
      </c>
      <c r="P283" s="163">
        <f ca="1">IMSS[[#This Row],[DIAS LAB]]*IMSS[[#This Row],[SDI]]*$Q$114</f>
        <v>82.200958904109598</v>
      </c>
      <c r="Q283" s="166">
        <f ca="1">IMSS[[#This Row],[DIAS LAB]]*IMSS[[#This Row],[SDI]]*$Q$115</f>
        <v>164.4019178082192</v>
      </c>
      <c r="R283" s="163">
        <f ca="1">IMSS[[#This Row],[DIAS LAB]]*IMSS[[#This Row],[SDI]]*$Q$116</f>
        <v>258.9330205479452</v>
      </c>
      <c r="S283" s="163">
        <f ca="1">IMSS[[#This Row],[DIAS LAB]]*IMSS[[#This Row],[SDI]]*$Q$117</f>
        <v>411.00479452054799</v>
      </c>
      <c r="T283" s="164">
        <f ca="1">SUM(IMSS[[#This Row],[P RSG TRB]:[P INFONAVIT]])</f>
        <v>1799.0960339520548</v>
      </c>
      <c r="U283" s="163">
        <f ca="1">IMSS[[#This Row],[DIAS LAB]]*IMSS[[#This Row],[SDI]]*IMSS[[#This Row],[% RSG]]*$R$108</f>
        <v>0</v>
      </c>
      <c r="V283" s="163">
        <f ca="1">IMSS[[#This Row],[DIAS LAB]]*IMSS[[#This Row],[SDI]]*$R$112</f>
        <v>20.550239726027399</v>
      </c>
      <c r="W283" s="163"/>
      <c r="X283" s="163">
        <f ca="1">IMSS[[#This Row],[DIAS LAB]]*IMSS[[#This Row],[SDI]]*$R$113</f>
        <v>51.786604109589042</v>
      </c>
      <c r="Y283" s="163">
        <f ca="1">IMSS[[#This Row],[DIAS LAB]]*IMSS[[#This Row],[SDI]]*$R$114</f>
        <v>0</v>
      </c>
      <c r="Z283" s="163">
        <f ca="1">IMSS[[#This Row],[DIAS LAB]]*IMSS[[#This Row],[SDI]]*$R$115</f>
        <v>0</v>
      </c>
      <c r="AA283" s="163">
        <f ca="1">IMSS[[#This Row],[DIAS LAB]]*IMSS[[#This Row],[SDI]]*$R$116</f>
        <v>92.887083561643834</v>
      </c>
      <c r="AB283" s="163">
        <f ca="1">IMSS[[#This Row],[DIAS LAB]]*IMSS[[#This Row],[SDI]]*$R$117</f>
        <v>0</v>
      </c>
      <c r="AC283" s="247">
        <f ca="1">SUM(IMSS[[#This Row],[O RSG TRB]:[O INFONAVIT]])</f>
        <v>165.22392739726027</v>
      </c>
      <c r="AD283" s="163"/>
      <c r="AE283" s="165">
        <f ca="1">IMSS[[#This Row],[P TOTAL]]+IMSS[[#This Row],[O TOTAL]]</f>
        <v>1964.319961349315</v>
      </c>
      <c r="AF283" s="163"/>
      <c r="AG283" s="163">
        <f>VLOOKUP(IMSS[[#This Row],[SUE MENS]],$AG$110:$AJ$120,1,1)</f>
        <v>5470.93</v>
      </c>
      <c r="AH283" s="163">
        <f>IMSS[[#This Row],[SUE MENS]]-IMSS[[#This Row],[LIM INF]]</f>
        <v>1974.0699999999997</v>
      </c>
      <c r="AI283" s="163">
        <f>IMSS[[#This Row],[EXC LIM INF]]*(VLOOKUP(IMSS[[#This Row],[LIM INF]],$AG$110:$AJ$120,4,0))</f>
        <v>214.77881599999998</v>
      </c>
      <c r="AJ283" s="163">
        <f>VLOOKUP(IMSS[[#This Row],[LIM INF]],$AG$110:$AJ$120,3)</f>
        <v>321.26</v>
      </c>
      <c r="AK283" s="163">
        <f>SUM(IMSS[[#This Row],[TASA EXC]]+IMSS[[#This Row],[CUOTA FIJA]])</f>
        <v>536.038816</v>
      </c>
      <c r="AL283" s="163">
        <f>VLOOKUP(IMSS[[#This Row],[SUE MENS]],$AL$110:$AN$120,3,1)</f>
        <v>0</v>
      </c>
      <c r="AM283" s="248">
        <f>IF(IMSS[[#This Row],[ISR CARGO]]-IMSS[[#This Row],[SUBS ISR]]&gt;0,IMSS[[#This Row],[ISR CARGO]]-IMSS[[#This Row],[SUBS ISR]],0)</f>
        <v>536.038816</v>
      </c>
      <c r="AN283" s="248">
        <f>IF(IMSS[[#This Row],[SUBS ISR]]-IMSS[[#This Row],[ISR CARGO]]&gt;0,IMSS[[#This Row],[SUBS ISR]]-IMSS[[#This Row],[ISR CARGO]],0)</f>
        <v>0</v>
      </c>
    </row>
    <row r="284" spans="3:40" ht="15" hidden="1" customHeight="1" x14ac:dyDescent="0.25">
      <c r="C284" s="243">
        <v>289</v>
      </c>
      <c r="D284" s="167" t="str">
        <f>VLOOKUP(IMSS[[#This Row],[NEM]],BDD[],2,0)</f>
        <v>Yessica Macías Ramírez</v>
      </c>
      <c r="E284" s="167" t="str">
        <f>VLOOKUP(IMSS[[#This Row],[NEM]],BDD[],9,0)</f>
        <v>INST CAMPO</v>
      </c>
      <c r="F284" s="168">
        <v>30</v>
      </c>
      <c r="G284" s="139">
        <f>VLOOKUP(IMSS[[#This Row],[NEM]],BDD[],3,0)</f>
        <v>9541</v>
      </c>
      <c r="H284" s="139">
        <f ca="1">VLOOKUP(IMSS[[#This Row],[NEM]],BDD[],25,0)</f>
        <v>351.14365296803658</v>
      </c>
      <c r="I284" s="143">
        <f>VLOOKUP(IMSS[[#This Row],[DEPT]],$B$3:$G$49,6,0)</f>
        <v>4.6532499999999997E-2</v>
      </c>
      <c r="J284" s="163">
        <f ca="1">IMSS[[#This Row],[DIAS LAB]]*IMSS[[#This Row],[SDI]]*IMSS[[#This Row],[% RSG]]*$Q$108</f>
        <v>490.18776095205482</v>
      </c>
      <c r="K284" s="163">
        <f>IMSS[[#This Row],[DIAS LAB]]*$J$110*$Q$109</f>
        <v>548.47440000000006</v>
      </c>
      <c r="L284" s="166">
        <f ca="1">IMSS[[#This Row],[DIAS LAB]]*IF(IMSS[[#This Row],[SDI]]-$J$113&gt;0,IMSS[[#This Row],[SDI]]-$J$113,0)*$Q$110</f>
        <v>27.153605479452061</v>
      </c>
      <c r="M284" s="166">
        <f ca="1">IMSS[[#This Row],[DIAS LAB]]*IMSS[[#This Row],[SDI]]*$Q$111</f>
        <v>110.61025068493153</v>
      </c>
      <c r="N284" s="163">
        <f ca="1">IMSS[[#This Row],[DIAS LAB]]*IMSS[[#This Row],[SDI]]*$Q$112</f>
        <v>73.740167123287677</v>
      </c>
      <c r="O284" s="166">
        <f ca="1">IMSS[[#This Row],[DIAS LAB]]*IMSS[[#This Row],[SDI]]*$Q$113</f>
        <v>184.35041780821922</v>
      </c>
      <c r="P284" s="163">
        <f ca="1">IMSS[[#This Row],[DIAS LAB]]*IMSS[[#This Row],[SDI]]*$Q$114</f>
        <v>105.34309589041096</v>
      </c>
      <c r="Q284" s="166">
        <f ca="1">IMSS[[#This Row],[DIAS LAB]]*IMSS[[#This Row],[SDI]]*$Q$115</f>
        <v>210.68619178082193</v>
      </c>
      <c r="R284" s="163">
        <f ca="1">IMSS[[#This Row],[DIAS LAB]]*IMSS[[#This Row],[SDI]]*$Q$116</f>
        <v>331.83075205479457</v>
      </c>
      <c r="S284" s="163">
        <f ca="1">IMSS[[#This Row],[DIAS LAB]]*IMSS[[#This Row],[SDI]]*$Q$117</f>
        <v>526.71547945205486</v>
      </c>
      <c r="T284" s="164">
        <f ca="1">SUM(IMSS[[#This Row],[P RSG TRB]:[P INFONAVIT]])</f>
        <v>2609.0921212260273</v>
      </c>
      <c r="U284" s="163">
        <f ca="1">IMSS[[#This Row],[DIAS LAB]]*IMSS[[#This Row],[SDI]]*IMSS[[#This Row],[% RSG]]*$R$108</f>
        <v>0</v>
      </c>
      <c r="V284" s="163">
        <f ca="1">IMSS[[#This Row],[DIAS LAB]]*IMSS[[#This Row],[SDI]]*$R$112</f>
        <v>26.335773972602741</v>
      </c>
      <c r="W284" s="163"/>
      <c r="X284" s="163">
        <f ca="1">IMSS[[#This Row],[DIAS LAB]]*IMSS[[#This Row],[SDI]]*$R$113</f>
        <v>66.366150410958909</v>
      </c>
      <c r="Y284" s="163">
        <f ca="1">IMSS[[#This Row],[DIAS LAB]]*IMSS[[#This Row],[SDI]]*$R$114</f>
        <v>0</v>
      </c>
      <c r="Z284" s="163">
        <f ca="1">IMSS[[#This Row],[DIAS LAB]]*IMSS[[#This Row],[SDI]]*$R$115</f>
        <v>0</v>
      </c>
      <c r="AA284" s="163">
        <f ca="1">IMSS[[#This Row],[DIAS LAB]]*IMSS[[#This Row],[SDI]]*$R$116</f>
        <v>119.03769835616438</v>
      </c>
      <c r="AB284" s="163">
        <f ca="1">IMSS[[#This Row],[DIAS LAB]]*IMSS[[#This Row],[SDI]]*$R$117</f>
        <v>0</v>
      </c>
      <c r="AC284" s="247">
        <f ca="1">SUM(IMSS[[#This Row],[O RSG TRB]:[O INFONAVIT]])</f>
        <v>211.73962273972603</v>
      </c>
      <c r="AD284" s="163"/>
      <c r="AE284" s="165">
        <f ca="1">IMSS[[#This Row],[P TOTAL]]+IMSS[[#This Row],[O TOTAL]]</f>
        <v>2820.8317439657535</v>
      </c>
      <c r="AF284" s="163"/>
      <c r="AG284" s="163">
        <f>VLOOKUP(IMSS[[#This Row],[SUE MENS]],$AG$110:$AJ$120,1,1)</f>
        <v>5470.93</v>
      </c>
      <c r="AH284" s="163">
        <f>IMSS[[#This Row],[SUE MENS]]-IMSS[[#This Row],[LIM INF]]</f>
        <v>4070.0699999999997</v>
      </c>
      <c r="AI284" s="163">
        <f>IMSS[[#This Row],[EXC LIM INF]]*(VLOOKUP(IMSS[[#This Row],[LIM INF]],$AG$110:$AJ$120,4,0))</f>
        <v>442.82361600000002</v>
      </c>
      <c r="AJ284" s="163">
        <f>VLOOKUP(IMSS[[#This Row],[LIM INF]],$AG$110:$AJ$120,3)</f>
        <v>321.26</v>
      </c>
      <c r="AK284" s="163">
        <f>SUM(IMSS[[#This Row],[TASA EXC]]+IMSS[[#This Row],[CUOTA FIJA]])</f>
        <v>764.08361600000001</v>
      </c>
      <c r="AL284" s="163">
        <f>VLOOKUP(IMSS[[#This Row],[SUE MENS]],$AL$110:$AN$120,3,1)</f>
        <v>0</v>
      </c>
      <c r="AM284" s="248">
        <f>IF(IMSS[[#This Row],[ISR CARGO]]-IMSS[[#This Row],[SUBS ISR]]&gt;0,IMSS[[#This Row],[ISR CARGO]]-IMSS[[#This Row],[SUBS ISR]],0)</f>
        <v>764.08361600000001</v>
      </c>
      <c r="AN284" s="248">
        <f>IF(IMSS[[#This Row],[SUBS ISR]]-IMSS[[#This Row],[ISR CARGO]]&gt;0,IMSS[[#This Row],[SUBS ISR]]-IMSS[[#This Row],[ISR CARGO]],0)</f>
        <v>0</v>
      </c>
    </row>
    <row r="285" spans="3:40" ht="15" hidden="1" customHeight="1" x14ac:dyDescent="0.25">
      <c r="C285" s="243">
        <v>290</v>
      </c>
      <c r="D285" s="167" t="str">
        <f>VLOOKUP(IMSS[[#This Row],[NEM]],BDD[],2,0)</f>
        <v>Kevin Daniel Martinez Gomez</v>
      </c>
      <c r="E285" s="167" t="str">
        <f>VLOOKUP(IMSS[[#This Row],[NEM]],BDD[],9,0)</f>
        <v>AUDIT ADMN</v>
      </c>
      <c r="F285" s="168">
        <v>30</v>
      </c>
      <c r="G285" s="139">
        <f>VLOOKUP(IMSS[[#This Row],[NEM]],BDD[],3,0)</f>
        <v>7445</v>
      </c>
      <c r="H285" s="139">
        <f ca="1">VLOOKUP(IMSS[[#This Row],[NEM]],BDD[],25,0)</f>
        <v>274.00319634703197</v>
      </c>
      <c r="I285" s="143">
        <f>VLOOKUP(IMSS[[#This Row],[DEPT]],$B$3:$G$49,6,0)</f>
        <v>5.4355000000000002E-3</v>
      </c>
      <c r="J285" s="163">
        <f ca="1">IMSS[[#This Row],[DIAS LAB]]*IMSS[[#This Row],[SDI]]*IMSS[[#This Row],[% RSG]]*$Q$108</f>
        <v>44.680331212328774</v>
      </c>
      <c r="K285" s="163">
        <f>IMSS[[#This Row],[DIAS LAB]]*$J$110*$Q$109</f>
        <v>548.47440000000006</v>
      </c>
      <c r="L285" s="166">
        <f ca="1">IMSS[[#This Row],[DIAS LAB]]*IF(IMSS[[#This Row],[SDI]]-$J$113&gt;0,IMSS[[#This Row],[SDI]]-$J$113,0)*$Q$110</f>
        <v>1.6972547945205467</v>
      </c>
      <c r="M285" s="166">
        <f ca="1">IMSS[[#This Row],[DIAS LAB]]*IMSS[[#This Row],[SDI]]*$Q$111</f>
        <v>86.311006849315078</v>
      </c>
      <c r="N285" s="163">
        <f ca="1">IMSS[[#This Row],[DIAS LAB]]*IMSS[[#This Row],[SDI]]*$Q$112</f>
        <v>57.540671232876718</v>
      </c>
      <c r="O285" s="166">
        <f ca="1">IMSS[[#This Row],[DIAS LAB]]*IMSS[[#This Row],[SDI]]*$Q$113</f>
        <v>143.8516780821918</v>
      </c>
      <c r="P285" s="163">
        <f ca="1">IMSS[[#This Row],[DIAS LAB]]*IMSS[[#This Row],[SDI]]*$Q$114</f>
        <v>82.200958904109598</v>
      </c>
      <c r="Q285" s="166">
        <f ca="1">IMSS[[#This Row],[DIAS LAB]]*IMSS[[#This Row],[SDI]]*$Q$115</f>
        <v>164.4019178082192</v>
      </c>
      <c r="R285" s="163">
        <f ca="1">IMSS[[#This Row],[DIAS LAB]]*IMSS[[#This Row],[SDI]]*$Q$116</f>
        <v>258.9330205479452</v>
      </c>
      <c r="S285" s="163">
        <f ca="1">IMSS[[#This Row],[DIAS LAB]]*IMSS[[#This Row],[SDI]]*$Q$117</f>
        <v>411.00479452054799</v>
      </c>
      <c r="T285" s="164">
        <f ca="1">SUM(IMSS[[#This Row],[P RSG TRB]:[P INFONAVIT]])</f>
        <v>1799.0960339520548</v>
      </c>
      <c r="U285" s="163">
        <f ca="1">IMSS[[#This Row],[DIAS LAB]]*IMSS[[#This Row],[SDI]]*IMSS[[#This Row],[% RSG]]*$R$108</f>
        <v>0</v>
      </c>
      <c r="V285" s="163">
        <f ca="1">IMSS[[#This Row],[DIAS LAB]]*IMSS[[#This Row],[SDI]]*$R$112</f>
        <v>20.550239726027399</v>
      </c>
      <c r="W285" s="163"/>
      <c r="X285" s="163">
        <f ca="1">IMSS[[#This Row],[DIAS LAB]]*IMSS[[#This Row],[SDI]]*$R$113</f>
        <v>51.786604109589042</v>
      </c>
      <c r="Y285" s="163">
        <f ca="1">IMSS[[#This Row],[DIAS LAB]]*IMSS[[#This Row],[SDI]]*$R$114</f>
        <v>0</v>
      </c>
      <c r="Z285" s="163">
        <f ca="1">IMSS[[#This Row],[DIAS LAB]]*IMSS[[#This Row],[SDI]]*$R$115</f>
        <v>0</v>
      </c>
      <c r="AA285" s="163">
        <f ca="1">IMSS[[#This Row],[DIAS LAB]]*IMSS[[#This Row],[SDI]]*$R$116</f>
        <v>92.887083561643834</v>
      </c>
      <c r="AB285" s="163">
        <f ca="1">IMSS[[#This Row],[DIAS LAB]]*IMSS[[#This Row],[SDI]]*$R$117</f>
        <v>0</v>
      </c>
      <c r="AC285" s="247">
        <f ca="1">SUM(IMSS[[#This Row],[O RSG TRB]:[O INFONAVIT]])</f>
        <v>165.22392739726027</v>
      </c>
      <c r="AD285" s="163"/>
      <c r="AE285" s="165">
        <f ca="1">IMSS[[#This Row],[P TOTAL]]+IMSS[[#This Row],[O TOTAL]]</f>
        <v>1964.319961349315</v>
      </c>
      <c r="AF285" s="163"/>
      <c r="AG285" s="163">
        <f>VLOOKUP(IMSS[[#This Row],[SUE MENS]],$AG$110:$AJ$120,1,1)</f>
        <v>5470.93</v>
      </c>
      <c r="AH285" s="163">
        <f>IMSS[[#This Row],[SUE MENS]]-IMSS[[#This Row],[LIM INF]]</f>
        <v>1974.0699999999997</v>
      </c>
      <c r="AI285" s="163">
        <f>IMSS[[#This Row],[EXC LIM INF]]*(VLOOKUP(IMSS[[#This Row],[LIM INF]],$AG$110:$AJ$120,4,0))</f>
        <v>214.77881599999998</v>
      </c>
      <c r="AJ285" s="163">
        <f>VLOOKUP(IMSS[[#This Row],[LIM INF]],$AG$110:$AJ$120,3)</f>
        <v>321.26</v>
      </c>
      <c r="AK285" s="163">
        <f>SUM(IMSS[[#This Row],[TASA EXC]]+IMSS[[#This Row],[CUOTA FIJA]])</f>
        <v>536.038816</v>
      </c>
      <c r="AL285" s="163">
        <f>VLOOKUP(IMSS[[#This Row],[SUE MENS]],$AL$110:$AN$120,3,1)</f>
        <v>0</v>
      </c>
      <c r="AM285" s="248">
        <f>IF(IMSS[[#This Row],[ISR CARGO]]-IMSS[[#This Row],[SUBS ISR]]&gt;0,IMSS[[#This Row],[ISR CARGO]]-IMSS[[#This Row],[SUBS ISR]],0)</f>
        <v>536.038816</v>
      </c>
      <c r="AN285" s="248">
        <f>IF(IMSS[[#This Row],[SUBS ISR]]-IMSS[[#This Row],[ISR CARGO]]&gt;0,IMSS[[#This Row],[SUBS ISR]]-IMSS[[#This Row],[ISR CARGO]],0)</f>
        <v>0</v>
      </c>
    </row>
    <row r="286" spans="3:40" ht="15" hidden="1" customHeight="1" x14ac:dyDescent="0.25">
      <c r="C286" s="243">
        <v>291</v>
      </c>
      <c r="D286" s="167" t="str">
        <f>VLOOKUP(IMSS[[#This Row],[NEM]],BDD[],2,0)</f>
        <v>Fátima Jaqueline Morin García</v>
      </c>
      <c r="E286" s="167" t="str">
        <f>VLOOKUP(IMSS[[#This Row],[NEM]],BDD[],9,0)</f>
        <v>ANLIS COST</v>
      </c>
      <c r="F286" s="168">
        <v>30</v>
      </c>
      <c r="G286" s="139">
        <f>VLOOKUP(IMSS[[#This Row],[NEM]],BDD[],3,0)</f>
        <v>9450</v>
      </c>
      <c r="H286" s="139">
        <f ca="1">VLOOKUP(IMSS[[#This Row],[NEM]],BDD[],25,0)</f>
        <v>347.79452054794518</v>
      </c>
      <c r="I286" s="143">
        <f>VLOOKUP(IMSS[[#This Row],[DEPT]],$B$3:$G$49,6,0)</f>
        <v>1.130658E-2</v>
      </c>
      <c r="J286" s="163">
        <f ca="1">IMSS[[#This Row],[DIAS LAB]]*IMSS[[#This Row],[SDI]]*IMSS[[#This Row],[% RSG]]*$Q$108</f>
        <v>117.97099710410957</v>
      </c>
      <c r="K286" s="163">
        <f>IMSS[[#This Row],[DIAS LAB]]*$J$110*$Q$109</f>
        <v>548.47440000000006</v>
      </c>
      <c r="L286" s="166">
        <f ca="1">IMSS[[#This Row],[DIAS LAB]]*IF(IMSS[[#This Row],[SDI]]-$J$113&gt;0,IMSS[[#This Row],[SDI]]-$J$113,0)*$Q$110</f>
        <v>26.048391780821905</v>
      </c>
      <c r="M286" s="166">
        <f ca="1">IMSS[[#This Row],[DIAS LAB]]*IMSS[[#This Row],[SDI]]*$Q$111</f>
        <v>109.55527397260273</v>
      </c>
      <c r="N286" s="163">
        <f ca="1">IMSS[[#This Row],[DIAS LAB]]*IMSS[[#This Row],[SDI]]*$Q$112</f>
        <v>73.03684931506848</v>
      </c>
      <c r="O286" s="166">
        <f ca="1">IMSS[[#This Row],[DIAS LAB]]*IMSS[[#This Row],[SDI]]*$Q$113</f>
        <v>182.59212328767123</v>
      </c>
      <c r="P286" s="163">
        <f ca="1">IMSS[[#This Row],[DIAS LAB]]*IMSS[[#This Row],[SDI]]*$Q$114</f>
        <v>104.33835616438355</v>
      </c>
      <c r="Q286" s="166">
        <f ca="1">IMSS[[#This Row],[DIAS LAB]]*IMSS[[#This Row],[SDI]]*$Q$115</f>
        <v>208.67671232876711</v>
      </c>
      <c r="R286" s="163">
        <f ca="1">IMSS[[#This Row],[DIAS LAB]]*IMSS[[#This Row],[SDI]]*$Q$116</f>
        <v>328.66582191780816</v>
      </c>
      <c r="S286" s="163">
        <f ca="1">IMSS[[#This Row],[DIAS LAB]]*IMSS[[#This Row],[SDI]]*$Q$117</f>
        <v>521.69178082191775</v>
      </c>
      <c r="T286" s="164">
        <f ca="1">SUM(IMSS[[#This Row],[P RSG TRB]:[P INFONAVIT]])</f>
        <v>2221.0507066931505</v>
      </c>
      <c r="U286" s="163">
        <f ca="1">IMSS[[#This Row],[DIAS LAB]]*IMSS[[#This Row],[SDI]]*IMSS[[#This Row],[% RSG]]*$R$108</f>
        <v>0</v>
      </c>
      <c r="V286" s="163">
        <f ca="1">IMSS[[#This Row],[DIAS LAB]]*IMSS[[#This Row],[SDI]]*$R$112</f>
        <v>26.084589041095889</v>
      </c>
      <c r="W286" s="163"/>
      <c r="X286" s="163">
        <f ca="1">IMSS[[#This Row],[DIAS LAB]]*IMSS[[#This Row],[SDI]]*$R$113</f>
        <v>65.733164383561643</v>
      </c>
      <c r="Y286" s="163">
        <f ca="1">IMSS[[#This Row],[DIAS LAB]]*IMSS[[#This Row],[SDI]]*$R$114</f>
        <v>0</v>
      </c>
      <c r="Z286" s="163">
        <f ca="1">IMSS[[#This Row],[DIAS LAB]]*IMSS[[#This Row],[SDI]]*$R$115</f>
        <v>0</v>
      </c>
      <c r="AA286" s="163">
        <f ca="1">IMSS[[#This Row],[DIAS LAB]]*IMSS[[#This Row],[SDI]]*$R$116</f>
        <v>117.90234246575341</v>
      </c>
      <c r="AB286" s="163">
        <f ca="1">IMSS[[#This Row],[DIAS LAB]]*IMSS[[#This Row],[SDI]]*$R$117</f>
        <v>0</v>
      </c>
      <c r="AC286" s="247">
        <f ca="1">SUM(IMSS[[#This Row],[O RSG TRB]:[O INFONAVIT]])</f>
        <v>209.72009589041093</v>
      </c>
      <c r="AD286" s="163"/>
      <c r="AE286" s="165">
        <f ca="1">IMSS[[#This Row],[P TOTAL]]+IMSS[[#This Row],[O TOTAL]]</f>
        <v>2430.7708025835614</v>
      </c>
      <c r="AF286" s="163"/>
      <c r="AG286" s="163">
        <f>VLOOKUP(IMSS[[#This Row],[SUE MENS]],$AG$110:$AJ$120,1,1)</f>
        <v>5470.93</v>
      </c>
      <c r="AH286" s="163">
        <f>IMSS[[#This Row],[SUE MENS]]-IMSS[[#This Row],[LIM INF]]</f>
        <v>3979.0699999999997</v>
      </c>
      <c r="AI286" s="163">
        <f>IMSS[[#This Row],[EXC LIM INF]]*(VLOOKUP(IMSS[[#This Row],[LIM INF]],$AG$110:$AJ$120,4,0))</f>
        <v>432.92281600000001</v>
      </c>
      <c r="AJ286" s="163">
        <f>VLOOKUP(IMSS[[#This Row],[LIM INF]],$AG$110:$AJ$120,3)</f>
        <v>321.26</v>
      </c>
      <c r="AK286" s="163">
        <f>SUM(IMSS[[#This Row],[TASA EXC]]+IMSS[[#This Row],[CUOTA FIJA]])</f>
        <v>754.182816</v>
      </c>
      <c r="AL286" s="163">
        <f>VLOOKUP(IMSS[[#This Row],[SUE MENS]],$AL$110:$AN$120,3,1)</f>
        <v>0</v>
      </c>
      <c r="AM286" s="248">
        <f>IF(IMSS[[#This Row],[ISR CARGO]]-IMSS[[#This Row],[SUBS ISR]]&gt;0,IMSS[[#This Row],[ISR CARGO]]-IMSS[[#This Row],[SUBS ISR]],0)</f>
        <v>754.182816</v>
      </c>
      <c r="AN286" s="248">
        <f>IF(IMSS[[#This Row],[SUBS ISR]]-IMSS[[#This Row],[ISR CARGO]]&gt;0,IMSS[[#This Row],[SUBS ISR]]-IMSS[[#This Row],[ISR CARGO]],0)</f>
        <v>0</v>
      </c>
    </row>
    <row r="287" spans="3:40" ht="15" hidden="1" customHeight="1" x14ac:dyDescent="0.25">
      <c r="C287" s="243">
        <v>292</v>
      </c>
      <c r="D287" s="167" t="str">
        <f>VLOOKUP(IMSS[[#This Row],[NEM]],BDD[],2,0)</f>
        <v>Samanta Villarreal Núñez</v>
      </c>
      <c r="E287" s="167" t="str">
        <f>VLOOKUP(IMSS[[#This Row],[NEM]],BDD[],9,0)</f>
        <v>ANLIS COST</v>
      </c>
      <c r="F287" s="168">
        <v>30</v>
      </c>
      <c r="G287" s="139">
        <f>VLOOKUP(IMSS[[#This Row],[NEM]],BDD[],3,0)</f>
        <v>9541</v>
      </c>
      <c r="H287" s="139">
        <f ca="1">VLOOKUP(IMSS[[#This Row],[NEM]],BDD[],25,0)</f>
        <v>351.14365296803658</v>
      </c>
      <c r="I287" s="143">
        <f>VLOOKUP(IMSS[[#This Row],[DEPT]],$B$3:$G$49,6,0)</f>
        <v>1.130658E-2</v>
      </c>
      <c r="J287" s="163">
        <f ca="1">IMSS[[#This Row],[DIAS LAB]]*IMSS[[#This Row],[SDI]]*IMSS[[#This Row],[% RSG]]*$Q$108</f>
        <v>119.10701411326029</v>
      </c>
      <c r="K287" s="163">
        <f>IMSS[[#This Row],[DIAS LAB]]*$J$110*$Q$109</f>
        <v>548.47440000000006</v>
      </c>
      <c r="L287" s="166">
        <f ca="1">IMSS[[#This Row],[DIAS LAB]]*IF(IMSS[[#This Row],[SDI]]-$J$113&gt;0,IMSS[[#This Row],[SDI]]-$J$113,0)*$Q$110</f>
        <v>27.153605479452061</v>
      </c>
      <c r="M287" s="166">
        <f ca="1">IMSS[[#This Row],[DIAS LAB]]*IMSS[[#This Row],[SDI]]*$Q$111</f>
        <v>110.61025068493153</v>
      </c>
      <c r="N287" s="163">
        <f ca="1">IMSS[[#This Row],[DIAS LAB]]*IMSS[[#This Row],[SDI]]*$Q$112</f>
        <v>73.740167123287677</v>
      </c>
      <c r="O287" s="166">
        <f ca="1">IMSS[[#This Row],[DIAS LAB]]*IMSS[[#This Row],[SDI]]*$Q$113</f>
        <v>184.35041780821922</v>
      </c>
      <c r="P287" s="163">
        <f ca="1">IMSS[[#This Row],[DIAS LAB]]*IMSS[[#This Row],[SDI]]*$Q$114</f>
        <v>105.34309589041096</v>
      </c>
      <c r="Q287" s="166">
        <f ca="1">IMSS[[#This Row],[DIAS LAB]]*IMSS[[#This Row],[SDI]]*$Q$115</f>
        <v>210.68619178082193</v>
      </c>
      <c r="R287" s="163">
        <f ca="1">IMSS[[#This Row],[DIAS LAB]]*IMSS[[#This Row],[SDI]]*$Q$116</f>
        <v>331.83075205479457</v>
      </c>
      <c r="S287" s="163">
        <f ca="1">IMSS[[#This Row],[DIAS LAB]]*IMSS[[#This Row],[SDI]]*$Q$117</f>
        <v>526.71547945205486</v>
      </c>
      <c r="T287" s="164">
        <f ca="1">SUM(IMSS[[#This Row],[P RSG TRB]:[P INFONAVIT]])</f>
        <v>2238.011374387233</v>
      </c>
      <c r="U287" s="163">
        <f ca="1">IMSS[[#This Row],[DIAS LAB]]*IMSS[[#This Row],[SDI]]*IMSS[[#This Row],[% RSG]]*$R$108</f>
        <v>0</v>
      </c>
      <c r="V287" s="163">
        <f ca="1">IMSS[[#This Row],[DIAS LAB]]*IMSS[[#This Row],[SDI]]*$R$112</f>
        <v>26.335773972602741</v>
      </c>
      <c r="W287" s="163"/>
      <c r="X287" s="163">
        <f ca="1">IMSS[[#This Row],[DIAS LAB]]*IMSS[[#This Row],[SDI]]*$R$113</f>
        <v>66.366150410958909</v>
      </c>
      <c r="Y287" s="163">
        <f ca="1">IMSS[[#This Row],[DIAS LAB]]*IMSS[[#This Row],[SDI]]*$R$114</f>
        <v>0</v>
      </c>
      <c r="Z287" s="163">
        <f ca="1">IMSS[[#This Row],[DIAS LAB]]*IMSS[[#This Row],[SDI]]*$R$115</f>
        <v>0</v>
      </c>
      <c r="AA287" s="163">
        <f ca="1">IMSS[[#This Row],[DIAS LAB]]*IMSS[[#This Row],[SDI]]*$R$116</f>
        <v>119.03769835616438</v>
      </c>
      <c r="AB287" s="163">
        <f ca="1">IMSS[[#This Row],[DIAS LAB]]*IMSS[[#This Row],[SDI]]*$R$117</f>
        <v>0</v>
      </c>
      <c r="AC287" s="247">
        <f ca="1">SUM(IMSS[[#This Row],[O RSG TRB]:[O INFONAVIT]])</f>
        <v>211.73962273972603</v>
      </c>
      <c r="AD287" s="163"/>
      <c r="AE287" s="165">
        <f ca="1">IMSS[[#This Row],[P TOTAL]]+IMSS[[#This Row],[O TOTAL]]</f>
        <v>2449.7509971269592</v>
      </c>
      <c r="AF287" s="163"/>
      <c r="AG287" s="163">
        <f>VLOOKUP(IMSS[[#This Row],[SUE MENS]],$AG$110:$AJ$120,1,1)</f>
        <v>5470.93</v>
      </c>
      <c r="AH287" s="163">
        <f>IMSS[[#This Row],[SUE MENS]]-IMSS[[#This Row],[LIM INF]]</f>
        <v>4070.0699999999997</v>
      </c>
      <c r="AI287" s="163">
        <f>IMSS[[#This Row],[EXC LIM INF]]*(VLOOKUP(IMSS[[#This Row],[LIM INF]],$AG$110:$AJ$120,4,0))</f>
        <v>442.82361600000002</v>
      </c>
      <c r="AJ287" s="163">
        <f>VLOOKUP(IMSS[[#This Row],[LIM INF]],$AG$110:$AJ$120,3)</f>
        <v>321.26</v>
      </c>
      <c r="AK287" s="163">
        <f>SUM(IMSS[[#This Row],[TASA EXC]]+IMSS[[#This Row],[CUOTA FIJA]])</f>
        <v>764.08361600000001</v>
      </c>
      <c r="AL287" s="163">
        <f>VLOOKUP(IMSS[[#This Row],[SUE MENS]],$AL$110:$AN$120,3,1)</f>
        <v>0</v>
      </c>
      <c r="AM287" s="248">
        <f>IF(IMSS[[#This Row],[ISR CARGO]]-IMSS[[#This Row],[SUBS ISR]]&gt;0,IMSS[[#This Row],[ISR CARGO]]-IMSS[[#This Row],[SUBS ISR]],0)</f>
        <v>764.08361600000001</v>
      </c>
      <c r="AN287" s="248">
        <f>IF(IMSS[[#This Row],[SUBS ISR]]-IMSS[[#This Row],[ISR CARGO]]&gt;0,IMSS[[#This Row],[SUBS ISR]]-IMSS[[#This Row],[ISR CARGO]],0)</f>
        <v>0</v>
      </c>
    </row>
    <row r="288" spans="3:40" ht="15" hidden="1" customHeight="1" x14ac:dyDescent="0.25">
      <c r="C288" s="243">
        <v>293</v>
      </c>
      <c r="D288" s="167" t="str">
        <f>VLOOKUP(IMSS[[#This Row],[NEM]],BDD[],2,0)</f>
        <v>Virgilio Amaro Vega</v>
      </c>
      <c r="E288" s="167" t="str">
        <f>VLOOKUP(IMSS[[#This Row],[NEM]],BDD[],9,0)</f>
        <v>COLECTIVOS</v>
      </c>
      <c r="F288" s="168">
        <v>30</v>
      </c>
      <c r="G288" s="139">
        <f>VLOOKUP(IMSS[[#This Row],[NEM]],BDD[],3,0)</f>
        <v>9541</v>
      </c>
      <c r="H288" s="139">
        <f ca="1">VLOOKUP(IMSS[[#This Row],[NEM]],BDD[],25,0)</f>
        <v>351.14365296803658</v>
      </c>
      <c r="I288" s="143">
        <f>VLOOKUP(IMSS[[#This Row],[DEPT]],$B$3:$G$49,6,0)</f>
        <v>5.4355000000000002E-3</v>
      </c>
      <c r="J288" s="163">
        <f ca="1">IMSS[[#This Row],[DIAS LAB]]*IMSS[[#This Row],[SDI]]*IMSS[[#This Row],[% RSG]]*$Q$108</f>
        <v>57.259239771232885</v>
      </c>
      <c r="K288" s="163">
        <f>IMSS[[#This Row],[DIAS LAB]]*$J$110*$Q$109</f>
        <v>548.47440000000006</v>
      </c>
      <c r="L288" s="166">
        <f ca="1">IMSS[[#This Row],[DIAS LAB]]*IF(IMSS[[#This Row],[SDI]]-$J$113&gt;0,IMSS[[#This Row],[SDI]]-$J$113,0)*$Q$110</f>
        <v>27.153605479452061</v>
      </c>
      <c r="M288" s="166">
        <f ca="1">IMSS[[#This Row],[DIAS LAB]]*IMSS[[#This Row],[SDI]]*$Q$111</f>
        <v>110.61025068493153</v>
      </c>
      <c r="N288" s="163">
        <f ca="1">IMSS[[#This Row],[DIAS LAB]]*IMSS[[#This Row],[SDI]]*$Q$112</f>
        <v>73.740167123287677</v>
      </c>
      <c r="O288" s="166">
        <f ca="1">IMSS[[#This Row],[DIAS LAB]]*IMSS[[#This Row],[SDI]]*$Q$113</f>
        <v>184.35041780821922</v>
      </c>
      <c r="P288" s="163">
        <f ca="1">IMSS[[#This Row],[DIAS LAB]]*IMSS[[#This Row],[SDI]]*$Q$114</f>
        <v>105.34309589041096</v>
      </c>
      <c r="Q288" s="166">
        <f ca="1">IMSS[[#This Row],[DIAS LAB]]*IMSS[[#This Row],[SDI]]*$Q$115</f>
        <v>210.68619178082193</v>
      </c>
      <c r="R288" s="163">
        <f ca="1">IMSS[[#This Row],[DIAS LAB]]*IMSS[[#This Row],[SDI]]*$Q$116</f>
        <v>331.83075205479457</v>
      </c>
      <c r="S288" s="163">
        <f ca="1">IMSS[[#This Row],[DIAS LAB]]*IMSS[[#This Row],[SDI]]*$Q$117</f>
        <v>526.71547945205486</v>
      </c>
      <c r="T288" s="164">
        <f ca="1">SUM(IMSS[[#This Row],[P RSG TRB]:[P INFONAVIT]])</f>
        <v>2176.1636000452058</v>
      </c>
      <c r="U288" s="163">
        <f ca="1">IMSS[[#This Row],[DIAS LAB]]*IMSS[[#This Row],[SDI]]*IMSS[[#This Row],[% RSG]]*$R$108</f>
        <v>0</v>
      </c>
      <c r="V288" s="163">
        <f ca="1">IMSS[[#This Row],[DIAS LAB]]*IMSS[[#This Row],[SDI]]*$R$112</f>
        <v>26.335773972602741</v>
      </c>
      <c r="W288" s="163"/>
      <c r="X288" s="163">
        <f ca="1">IMSS[[#This Row],[DIAS LAB]]*IMSS[[#This Row],[SDI]]*$R$113</f>
        <v>66.366150410958909</v>
      </c>
      <c r="Y288" s="163">
        <f ca="1">IMSS[[#This Row],[DIAS LAB]]*IMSS[[#This Row],[SDI]]*$R$114</f>
        <v>0</v>
      </c>
      <c r="Z288" s="163">
        <f ca="1">IMSS[[#This Row],[DIAS LAB]]*IMSS[[#This Row],[SDI]]*$R$115</f>
        <v>0</v>
      </c>
      <c r="AA288" s="163">
        <f ca="1">IMSS[[#This Row],[DIAS LAB]]*IMSS[[#This Row],[SDI]]*$R$116</f>
        <v>119.03769835616438</v>
      </c>
      <c r="AB288" s="163">
        <f ca="1">IMSS[[#This Row],[DIAS LAB]]*IMSS[[#This Row],[SDI]]*$R$117</f>
        <v>0</v>
      </c>
      <c r="AC288" s="247">
        <f ca="1">SUM(IMSS[[#This Row],[O RSG TRB]:[O INFONAVIT]])</f>
        <v>211.73962273972603</v>
      </c>
      <c r="AD288" s="163"/>
      <c r="AE288" s="165">
        <f ca="1">IMSS[[#This Row],[P TOTAL]]+IMSS[[#This Row],[O TOTAL]]</f>
        <v>2387.903222784932</v>
      </c>
      <c r="AF288" s="163"/>
      <c r="AG288" s="163">
        <f>VLOOKUP(IMSS[[#This Row],[SUE MENS]],$AG$110:$AJ$120,1,1)</f>
        <v>5470.93</v>
      </c>
      <c r="AH288" s="163">
        <f>IMSS[[#This Row],[SUE MENS]]-IMSS[[#This Row],[LIM INF]]</f>
        <v>4070.0699999999997</v>
      </c>
      <c r="AI288" s="163">
        <f>IMSS[[#This Row],[EXC LIM INF]]*(VLOOKUP(IMSS[[#This Row],[LIM INF]],$AG$110:$AJ$120,4,0))</f>
        <v>442.82361600000002</v>
      </c>
      <c r="AJ288" s="163">
        <f>VLOOKUP(IMSS[[#This Row],[LIM INF]],$AG$110:$AJ$120,3)</f>
        <v>321.26</v>
      </c>
      <c r="AK288" s="163">
        <f>SUM(IMSS[[#This Row],[TASA EXC]]+IMSS[[#This Row],[CUOTA FIJA]])</f>
        <v>764.08361600000001</v>
      </c>
      <c r="AL288" s="163">
        <f>VLOOKUP(IMSS[[#This Row],[SUE MENS]],$AL$110:$AN$120,3,1)</f>
        <v>0</v>
      </c>
      <c r="AM288" s="248">
        <f>IF(IMSS[[#This Row],[ISR CARGO]]-IMSS[[#This Row],[SUBS ISR]]&gt;0,IMSS[[#This Row],[ISR CARGO]]-IMSS[[#This Row],[SUBS ISR]],0)</f>
        <v>764.08361600000001</v>
      </c>
      <c r="AN288" s="248">
        <f>IF(IMSS[[#This Row],[SUBS ISR]]-IMSS[[#This Row],[ISR CARGO]]&gt;0,IMSS[[#This Row],[SUBS ISR]]-IMSS[[#This Row],[ISR CARGO]],0)</f>
        <v>0</v>
      </c>
    </row>
    <row r="289" spans="3:40" ht="15" hidden="1" customHeight="1" x14ac:dyDescent="0.25">
      <c r="C289" s="243">
        <v>295</v>
      </c>
      <c r="D289" s="167" t="str">
        <f>VLOOKUP(IMSS[[#This Row],[NEM]],BDD[],2,0)</f>
        <v>Rogelio González Valadez</v>
      </c>
      <c r="E289" s="167" t="str">
        <f>VLOOKUP(IMSS[[#This Row],[NEM]],BDD[],9,0)</f>
        <v>RELACIONES</v>
      </c>
      <c r="F289" s="168">
        <v>30</v>
      </c>
      <c r="G289" s="139">
        <f>VLOOKUP(IMSS[[#This Row],[NEM]],BDD[],3,0)</f>
        <v>7950</v>
      </c>
      <c r="H289" s="139">
        <f ca="1">VLOOKUP(IMSS[[#This Row],[NEM]],BDD[],25,0)</f>
        <v>292.58904109589042</v>
      </c>
      <c r="I289" s="143">
        <f>VLOOKUP(IMSS[[#This Row],[DEPT]],$B$3:$G$49,6,0)</f>
        <v>5.4355000000000002E-3</v>
      </c>
      <c r="J289" s="163">
        <f ca="1">IMSS[[#This Row],[DIAS LAB]]*IMSS[[#This Row],[SDI]]*IMSS[[#This Row],[% RSG]]*$Q$108</f>
        <v>47.711031986301379</v>
      </c>
      <c r="K289" s="163">
        <f>IMSS[[#This Row],[DIAS LAB]]*$J$110*$Q$109</f>
        <v>548.47440000000006</v>
      </c>
      <c r="L289" s="166">
        <f ca="1">IMSS[[#This Row],[DIAS LAB]]*IF(IMSS[[#This Row],[SDI]]-$J$113&gt;0,IMSS[[#This Row],[SDI]]-$J$113,0)*$Q$110</f>
        <v>7.8305835616438344</v>
      </c>
      <c r="M289" s="166">
        <f ca="1">IMSS[[#This Row],[DIAS LAB]]*IMSS[[#This Row],[SDI]]*$Q$111</f>
        <v>92.165547945205503</v>
      </c>
      <c r="N289" s="163">
        <f ca="1">IMSS[[#This Row],[DIAS LAB]]*IMSS[[#This Row],[SDI]]*$Q$112</f>
        <v>61.443698630136993</v>
      </c>
      <c r="O289" s="166">
        <f ca="1">IMSS[[#This Row],[DIAS LAB]]*IMSS[[#This Row],[SDI]]*$Q$113</f>
        <v>153.6092465753425</v>
      </c>
      <c r="P289" s="163">
        <f ca="1">IMSS[[#This Row],[DIAS LAB]]*IMSS[[#This Row],[SDI]]*$Q$114</f>
        <v>87.776712328767132</v>
      </c>
      <c r="Q289" s="166">
        <f ca="1">IMSS[[#This Row],[DIAS LAB]]*IMSS[[#This Row],[SDI]]*$Q$115</f>
        <v>175.55342465753426</v>
      </c>
      <c r="R289" s="163">
        <f ca="1">IMSS[[#This Row],[DIAS LAB]]*IMSS[[#This Row],[SDI]]*$Q$116</f>
        <v>276.49664383561645</v>
      </c>
      <c r="S289" s="163">
        <f ca="1">IMSS[[#This Row],[DIAS LAB]]*IMSS[[#This Row],[SDI]]*$Q$117</f>
        <v>438.88356164383572</v>
      </c>
      <c r="T289" s="164">
        <f ca="1">SUM(IMSS[[#This Row],[P RSG TRB]:[P INFONAVIT]])</f>
        <v>1889.9448511643839</v>
      </c>
      <c r="U289" s="163">
        <f ca="1">IMSS[[#This Row],[DIAS LAB]]*IMSS[[#This Row],[SDI]]*IMSS[[#This Row],[% RSG]]*$R$108</f>
        <v>0</v>
      </c>
      <c r="V289" s="163">
        <f ca="1">IMSS[[#This Row],[DIAS LAB]]*IMSS[[#This Row],[SDI]]*$R$112</f>
        <v>21.944178082191783</v>
      </c>
      <c r="W289" s="163"/>
      <c r="X289" s="163">
        <f ca="1">IMSS[[#This Row],[DIAS LAB]]*IMSS[[#This Row],[SDI]]*$R$113</f>
        <v>55.299328767123292</v>
      </c>
      <c r="Y289" s="163">
        <f ca="1">IMSS[[#This Row],[DIAS LAB]]*IMSS[[#This Row],[SDI]]*$R$114</f>
        <v>0</v>
      </c>
      <c r="Z289" s="163">
        <f ca="1">IMSS[[#This Row],[DIAS LAB]]*IMSS[[#This Row],[SDI]]*$R$115</f>
        <v>0</v>
      </c>
      <c r="AA289" s="163">
        <f ca="1">IMSS[[#This Row],[DIAS LAB]]*IMSS[[#This Row],[SDI]]*$R$116</f>
        <v>99.187684931506851</v>
      </c>
      <c r="AB289" s="163">
        <f ca="1">IMSS[[#This Row],[DIAS LAB]]*IMSS[[#This Row],[SDI]]*$R$117</f>
        <v>0</v>
      </c>
      <c r="AC289" s="247">
        <f ca="1">SUM(IMSS[[#This Row],[O RSG TRB]:[O INFONAVIT]])</f>
        <v>176.43119178082193</v>
      </c>
      <c r="AD289" s="163"/>
      <c r="AE289" s="165">
        <f ca="1">IMSS[[#This Row],[P TOTAL]]+IMSS[[#This Row],[O TOTAL]]</f>
        <v>2066.3760429452059</v>
      </c>
      <c r="AF289" s="163"/>
      <c r="AG289" s="163">
        <f>VLOOKUP(IMSS[[#This Row],[SUE MENS]],$AG$110:$AJ$120,1,1)</f>
        <v>5470.93</v>
      </c>
      <c r="AH289" s="163">
        <f>IMSS[[#This Row],[SUE MENS]]-IMSS[[#This Row],[LIM INF]]</f>
        <v>2479.0699999999997</v>
      </c>
      <c r="AI289" s="163">
        <f>IMSS[[#This Row],[EXC LIM INF]]*(VLOOKUP(IMSS[[#This Row],[LIM INF]],$AG$110:$AJ$120,4,0))</f>
        <v>269.72281599999997</v>
      </c>
      <c r="AJ289" s="163">
        <f>VLOOKUP(IMSS[[#This Row],[LIM INF]],$AG$110:$AJ$120,3)</f>
        <v>321.26</v>
      </c>
      <c r="AK289" s="163">
        <f>SUM(IMSS[[#This Row],[TASA EXC]]+IMSS[[#This Row],[CUOTA FIJA]])</f>
        <v>590.98281599999996</v>
      </c>
      <c r="AL289" s="163">
        <f>VLOOKUP(IMSS[[#This Row],[SUE MENS]],$AL$110:$AN$120,3,1)</f>
        <v>0</v>
      </c>
      <c r="AM289" s="248">
        <f>IF(IMSS[[#This Row],[ISR CARGO]]-IMSS[[#This Row],[SUBS ISR]]&gt;0,IMSS[[#This Row],[ISR CARGO]]-IMSS[[#This Row],[SUBS ISR]],0)</f>
        <v>590.98281599999996</v>
      </c>
      <c r="AN289" s="248">
        <f>IF(IMSS[[#This Row],[SUBS ISR]]-IMSS[[#This Row],[ISR CARGO]]&gt;0,IMSS[[#This Row],[SUBS ISR]]-IMSS[[#This Row],[ISR CARGO]],0)</f>
        <v>0</v>
      </c>
    </row>
    <row r="290" spans="3:40" ht="15" hidden="1" customHeight="1" x14ac:dyDescent="0.25">
      <c r="C290" s="243">
        <v>296</v>
      </c>
      <c r="D290" s="167" t="str">
        <f>VLOOKUP(IMSS[[#This Row],[NEM]],BDD[],2,0)</f>
        <v>Julio Alberto Pastenes Ramirez</v>
      </c>
      <c r="E290" s="167" t="str">
        <f>VLOOKUP(IMSS[[#This Row],[NEM]],BDD[],9,0)</f>
        <v>ARQUITECT</v>
      </c>
      <c r="F290" s="168">
        <v>30</v>
      </c>
      <c r="G290" s="139">
        <f>VLOOKUP(IMSS[[#This Row],[NEM]],BDD[],3,0)</f>
        <v>9541</v>
      </c>
      <c r="H290" s="139">
        <f ca="1">VLOOKUP(IMSS[[#This Row],[NEM]],BDD[],25,0)</f>
        <v>351.14365296803658</v>
      </c>
      <c r="I290" s="143">
        <f>VLOOKUP(IMSS[[#This Row],[DEPT]],$B$3:$G$49,6,0)</f>
        <v>2.5984400000000001E-2</v>
      </c>
      <c r="J290" s="163">
        <f ca="1">IMSS[[#This Row],[DIAS LAB]]*IMSS[[#This Row],[SDI]]*IMSS[[#This Row],[% RSG]]*$Q$108</f>
        <v>273.72771408547948</v>
      </c>
      <c r="K290" s="163">
        <f>IMSS[[#This Row],[DIAS LAB]]*$J$110*$Q$109</f>
        <v>548.47440000000006</v>
      </c>
      <c r="L290" s="166">
        <f ca="1">IMSS[[#This Row],[DIAS LAB]]*IF(IMSS[[#This Row],[SDI]]-$J$113&gt;0,IMSS[[#This Row],[SDI]]-$J$113,0)*$Q$110</f>
        <v>27.153605479452061</v>
      </c>
      <c r="M290" s="166">
        <f ca="1">IMSS[[#This Row],[DIAS LAB]]*IMSS[[#This Row],[SDI]]*$Q$111</f>
        <v>110.61025068493153</v>
      </c>
      <c r="N290" s="163">
        <f ca="1">IMSS[[#This Row],[DIAS LAB]]*IMSS[[#This Row],[SDI]]*$Q$112</f>
        <v>73.740167123287677</v>
      </c>
      <c r="O290" s="166">
        <f ca="1">IMSS[[#This Row],[DIAS LAB]]*IMSS[[#This Row],[SDI]]*$Q$113</f>
        <v>184.35041780821922</v>
      </c>
      <c r="P290" s="163">
        <f ca="1">IMSS[[#This Row],[DIAS LAB]]*IMSS[[#This Row],[SDI]]*$Q$114</f>
        <v>105.34309589041096</v>
      </c>
      <c r="Q290" s="166">
        <f ca="1">IMSS[[#This Row],[DIAS LAB]]*IMSS[[#This Row],[SDI]]*$Q$115</f>
        <v>210.68619178082193</v>
      </c>
      <c r="R290" s="163">
        <f ca="1">IMSS[[#This Row],[DIAS LAB]]*IMSS[[#This Row],[SDI]]*$Q$116</f>
        <v>331.83075205479457</v>
      </c>
      <c r="S290" s="163">
        <f ca="1">IMSS[[#This Row],[DIAS LAB]]*IMSS[[#This Row],[SDI]]*$Q$117</f>
        <v>526.71547945205486</v>
      </c>
      <c r="T290" s="164">
        <f ca="1">SUM(IMSS[[#This Row],[P RSG TRB]:[P INFONAVIT]])</f>
        <v>2392.6320743594524</v>
      </c>
      <c r="U290" s="163">
        <f ca="1">IMSS[[#This Row],[DIAS LAB]]*IMSS[[#This Row],[SDI]]*IMSS[[#This Row],[% RSG]]*$R$108</f>
        <v>0</v>
      </c>
      <c r="V290" s="163">
        <f ca="1">IMSS[[#This Row],[DIAS LAB]]*IMSS[[#This Row],[SDI]]*$R$112</f>
        <v>26.335773972602741</v>
      </c>
      <c r="W290" s="163"/>
      <c r="X290" s="163">
        <f ca="1">IMSS[[#This Row],[DIAS LAB]]*IMSS[[#This Row],[SDI]]*$R$113</f>
        <v>66.366150410958909</v>
      </c>
      <c r="Y290" s="163">
        <f ca="1">IMSS[[#This Row],[DIAS LAB]]*IMSS[[#This Row],[SDI]]*$R$114</f>
        <v>0</v>
      </c>
      <c r="Z290" s="163">
        <f ca="1">IMSS[[#This Row],[DIAS LAB]]*IMSS[[#This Row],[SDI]]*$R$115</f>
        <v>0</v>
      </c>
      <c r="AA290" s="163">
        <f ca="1">IMSS[[#This Row],[DIAS LAB]]*IMSS[[#This Row],[SDI]]*$R$116</f>
        <v>119.03769835616438</v>
      </c>
      <c r="AB290" s="163">
        <f ca="1">IMSS[[#This Row],[DIAS LAB]]*IMSS[[#This Row],[SDI]]*$R$117</f>
        <v>0</v>
      </c>
      <c r="AC290" s="247">
        <f ca="1">SUM(IMSS[[#This Row],[O RSG TRB]:[O INFONAVIT]])</f>
        <v>211.73962273972603</v>
      </c>
      <c r="AD290" s="163"/>
      <c r="AE290" s="165">
        <f ca="1">IMSS[[#This Row],[P TOTAL]]+IMSS[[#This Row],[O TOTAL]]</f>
        <v>2604.3716970991786</v>
      </c>
      <c r="AF290" s="163"/>
      <c r="AG290" s="163">
        <f>VLOOKUP(IMSS[[#This Row],[SUE MENS]],$AG$110:$AJ$120,1,1)</f>
        <v>5470.93</v>
      </c>
      <c r="AH290" s="163">
        <f>IMSS[[#This Row],[SUE MENS]]-IMSS[[#This Row],[LIM INF]]</f>
        <v>4070.0699999999997</v>
      </c>
      <c r="AI290" s="163">
        <f>IMSS[[#This Row],[EXC LIM INF]]*(VLOOKUP(IMSS[[#This Row],[LIM INF]],$AG$110:$AJ$120,4,0))</f>
        <v>442.82361600000002</v>
      </c>
      <c r="AJ290" s="163">
        <f>VLOOKUP(IMSS[[#This Row],[LIM INF]],$AG$110:$AJ$120,3)</f>
        <v>321.26</v>
      </c>
      <c r="AK290" s="163">
        <f>SUM(IMSS[[#This Row],[TASA EXC]]+IMSS[[#This Row],[CUOTA FIJA]])</f>
        <v>764.08361600000001</v>
      </c>
      <c r="AL290" s="163">
        <f>VLOOKUP(IMSS[[#This Row],[SUE MENS]],$AL$110:$AN$120,3,1)</f>
        <v>0</v>
      </c>
      <c r="AM290" s="248">
        <f>IF(IMSS[[#This Row],[ISR CARGO]]-IMSS[[#This Row],[SUBS ISR]]&gt;0,IMSS[[#This Row],[ISR CARGO]]-IMSS[[#This Row],[SUBS ISR]],0)</f>
        <v>764.08361600000001</v>
      </c>
      <c r="AN290" s="248">
        <f>IF(IMSS[[#This Row],[SUBS ISR]]-IMSS[[#This Row],[ISR CARGO]]&gt;0,IMSS[[#This Row],[SUBS ISR]]-IMSS[[#This Row],[ISR CARGO]],0)</f>
        <v>0</v>
      </c>
    </row>
    <row r="291" spans="3:40" ht="15" hidden="1" customHeight="1" x14ac:dyDescent="0.25">
      <c r="C291" s="243">
        <v>297</v>
      </c>
      <c r="D291" s="167" t="str">
        <f>VLOOKUP(IMSS[[#This Row],[NEM]],BDD[],2,0)</f>
        <v>Thanya Lizbeth Ceballos Herrera</v>
      </c>
      <c r="E291" s="167" t="str">
        <f>VLOOKUP(IMSS[[#This Row],[NEM]],BDD[],9,0)</f>
        <v>ESTRUCTURA</v>
      </c>
      <c r="F291" s="168">
        <v>30</v>
      </c>
      <c r="G291" s="139">
        <f>VLOOKUP(IMSS[[#This Row],[NEM]],BDD[],3,0)</f>
        <v>10350</v>
      </c>
      <c r="H291" s="139">
        <f ca="1">VLOOKUP(IMSS[[#This Row],[NEM]],BDD[],25,0)</f>
        <v>380.91780821917808</v>
      </c>
      <c r="I291" s="143">
        <f>VLOOKUP(IMSS[[#This Row],[DEPT]],$B$3:$G$49,6,0)</f>
        <v>2.5984400000000001E-2</v>
      </c>
      <c r="J291" s="163">
        <f ca="1">IMSS[[#This Row],[DIAS LAB]]*IMSS[[#This Row],[SDI]]*IMSS[[#This Row],[% RSG]]*$Q$108</f>
        <v>296.93762087671234</v>
      </c>
      <c r="K291" s="163">
        <f>IMSS[[#This Row],[DIAS LAB]]*$J$110*$Q$109</f>
        <v>548.47440000000006</v>
      </c>
      <c r="L291" s="166">
        <f ca="1">IMSS[[#This Row],[DIAS LAB]]*IF(IMSS[[#This Row],[SDI]]-$J$113&gt;0,IMSS[[#This Row],[SDI]]-$J$113,0)*$Q$110</f>
        <v>36.979076712328762</v>
      </c>
      <c r="M291" s="166">
        <f ca="1">IMSS[[#This Row],[DIAS LAB]]*IMSS[[#This Row],[SDI]]*$Q$111</f>
        <v>119.98910958904109</v>
      </c>
      <c r="N291" s="163">
        <f ca="1">IMSS[[#This Row],[DIAS LAB]]*IMSS[[#This Row],[SDI]]*$Q$112</f>
        <v>79.992739726027395</v>
      </c>
      <c r="O291" s="166">
        <f ca="1">IMSS[[#This Row],[DIAS LAB]]*IMSS[[#This Row],[SDI]]*$Q$113</f>
        <v>199.9818493150685</v>
      </c>
      <c r="P291" s="163">
        <f ca="1">IMSS[[#This Row],[DIAS LAB]]*IMSS[[#This Row],[SDI]]*$Q$114</f>
        <v>114.27534246575343</v>
      </c>
      <c r="Q291" s="166">
        <f ca="1">IMSS[[#This Row],[DIAS LAB]]*IMSS[[#This Row],[SDI]]*$Q$115</f>
        <v>228.55068493150685</v>
      </c>
      <c r="R291" s="163">
        <f ca="1">IMSS[[#This Row],[DIAS LAB]]*IMSS[[#This Row],[SDI]]*$Q$116</f>
        <v>359.96732876712326</v>
      </c>
      <c r="S291" s="163">
        <f ca="1">IMSS[[#This Row],[DIAS LAB]]*IMSS[[#This Row],[SDI]]*$Q$117</f>
        <v>571.3767123287671</v>
      </c>
      <c r="T291" s="164">
        <f ca="1">SUM(IMSS[[#This Row],[P RSG TRB]:[P INFONAVIT]])</f>
        <v>2556.524864712329</v>
      </c>
      <c r="U291" s="163">
        <f ca="1">IMSS[[#This Row],[DIAS LAB]]*IMSS[[#This Row],[SDI]]*IMSS[[#This Row],[% RSG]]*$R$108</f>
        <v>0</v>
      </c>
      <c r="V291" s="163">
        <f ca="1">IMSS[[#This Row],[DIAS LAB]]*IMSS[[#This Row],[SDI]]*$R$112</f>
        <v>28.568835616438356</v>
      </c>
      <c r="W291" s="163"/>
      <c r="X291" s="163">
        <f ca="1">IMSS[[#This Row],[DIAS LAB]]*IMSS[[#This Row],[SDI]]*$R$113</f>
        <v>71.993465753424658</v>
      </c>
      <c r="Y291" s="163">
        <f ca="1">IMSS[[#This Row],[DIAS LAB]]*IMSS[[#This Row],[SDI]]*$R$114</f>
        <v>0</v>
      </c>
      <c r="Z291" s="163">
        <f ca="1">IMSS[[#This Row],[DIAS LAB]]*IMSS[[#This Row],[SDI]]*$R$115</f>
        <v>0</v>
      </c>
      <c r="AA291" s="163">
        <f ca="1">IMSS[[#This Row],[DIAS LAB]]*IMSS[[#This Row],[SDI]]*$R$116</f>
        <v>129.13113698630136</v>
      </c>
      <c r="AB291" s="163">
        <f ca="1">IMSS[[#This Row],[DIAS LAB]]*IMSS[[#This Row],[SDI]]*$R$117</f>
        <v>0</v>
      </c>
      <c r="AC291" s="247">
        <f ca="1">SUM(IMSS[[#This Row],[O RSG TRB]:[O INFONAVIT]])</f>
        <v>229.69343835616436</v>
      </c>
      <c r="AD291" s="163"/>
      <c r="AE291" s="165">
        <f ca="1">IMSS[[#This Row],[P TOTAL]]+IMSS[[#This Row],[O TOTAL]]</f>
        <v>2786.2183030684932</v>
      </c>
      <c r="AF291" s="163"/>
      <c r="AG291" s="163">
        <f>VLOOKUP(IMSS[[#This Row],[SUE MENS]],$AG$110:$AJ$120,1,1)</f>
        <v>9614.67</v>
      </c>
      <c r="AH291" s="163">
        <f>IMSS[[#This Row],[SUE MENS]]-IMSS[[#This Row],[LIM INF]]</f>
        <v>735.32999999999993</v>
      </c>
      <c r="AI291" s="163">
        <f>IMSS[[#This Row],[EXC LIM INF]]*(VLOOKUP(IMSS[[#This Row],[LIM INF]],$AG$110:$AJ$120,4,0))</f>
        <v>117.65279999999998</v>
      </c>
      <c r="AJ291" s="163">
        <f>VLOOKUP(IMSS[[#This Row],[LIM INF]],$AG$110:$AJ$120,3)</f>
        <v>772.1</v>
      </c>
      <c r="AK291" s="163">
        <f>SUM(IMSS[[#This Row],[TASA EXC]]+IMSS[[#This Row],[CUOTA FIJA]])</f>
        <v>889.75279999999998</v>
      </c>
      <c r="AL291" s="163">
        <f>VLOOKUP(IMSS[[#This Row],[SUE MENS]],$AL$110:$AN$120,3,1)</f>
        <v>0</v>
      </c>
      <c r="AM291" s="248">
        <f>IF(IMSS[[#This Row],[ISR CARGO]]-IMSS[[#This Row],[SUBS ISR]]&gt;0,IMSS[[#This Row],[ISR CARGO]]-IMSS[[#This Row],[SUBS ISR]],0)</f>
        <v>889.75279999999998</v>
      </c>
      <c r="AN291" s="248">
        <f>IF(IMSS[[#This Row],[SUBS ISR]]-IMSS[[#This Row],[ISR CARGO]]&gt;0,IMSS[[#This Row],[SUBS ISR]]-IMSS[[#This Row],[ISR CARGO]],0)</f>
        <v>0</v>
      </c>
    </row>
    <row r="292" spans="3:40" ht="15" hidden="1" customHeight="1" x14ac:dyDescent="0.25">
      <c r="C292" s="243">
        <v>299</v>
      </c>
      <c r="D292" s="167" t="str">
        <f>VLOOKUP(IMSS[[#This Row],[NEM]],BDD[],2,0)</f>
        <v>Yuliana Carrillo Rodriguez</v>
      </c>
      <c r="E292" s="167" t="str">
        <f>VLOOKUP(IMSS[[#This Row],[NEM]],BDD[],9,0)</f>
        <v>EQUIPOS</v>
      </c>
      <c r="F292" s="168">
        <v>30</v>
      </c>
      <c r="G292" s="139">
        <f>VLOOKUP(IMSS[[#This Row],[NEM]],BDD[],3,0)</f>
        <v>6778</v>
      </c>
      <c r="H292" s="139">
        <f ca="1">VLOOKUP(IMSS[[#This Row],[NEM]],BDD[],25,0)</f>
        <v>237.69424657534245</v>
      </c>
      <c r="I292" s="143">
        <f>VLOOKUP(IMSS[[#This Row],[DEPT]],$B$3:$G$49,6,0)</f>
        <v>1.130658E-2</v>
      </c>
      <c r="J292" s="163">
        <f ca="1">IMSS[[#This Row],[DIAS LAB]]*IMSS[[#This Row],[SDI]]*IMSS[[#This Row],[% RSG]]*$Q$108</f>
        <v>80.625270433315066</v>
      </c>
      <c r="K292" s="163">
        <f>IMSS[[#This Row],[DIAS LAB]]*$J$110*$Q$109</f>
        <v>548.47440000000006</v>
      </c>
      <c r="L292" s="166">
        <f ca="1">IMSS[[#This Row],[DIAS LAB]]*IF(IMSS[[#This Row],[SDI]]-$J$113&gt;0,IMSS[[#This Row],[SDI]]-$J$113,0)*$Q$110</f>
        <v>0</v>
      </c>
      <c r="M292" s="166">
        <f ca="1">IMSS[[#This Row],[DIAS LAB]]*IMSS[[#This Row],[SDI]]*$Q$111</f>
        <v>74.873687671232872</v>
      </c>
      <c r="N292" s="163">
        <f ca="1">IMSS[[#This Row],[DIAS LAB]]*IMSS[[#This Row],[SDI]]*$Q$112</f>
        <v>49.91579178082192</v>
      </c>
      <c r="O292" s="166">
        <f ca="1">IMSS[[#This Row],[DIAS LAB]]*IMSS[[#This Row],[SDI]]*$Q$113</f>
        <v>124.78947945205481</v>
      </c>
      <c r="P292" s="163">
        <f ca="1">IMSS[[#This Row],[DIAS LAB]]*IMSS[[#This Row],[SDI]]*$Q$114</f>
        <v>71.308273972602734</v>
      </c>
      <c r="Q292" s="166">
        <f ca="1">IMSS[[#This Row],[DIAS LAB]]*IMSS[[#This Row],[SDI]]*$Q$115</f>
        <v>142.61654794520547</v>
      </c>
      <c r="R292" s="163">
        <f ca="1">IMSS[[#This Row],[DIAS LAB]]*IMSS[[#This Row],[SDI]]*$Q$116</f>
        <v>224.62106301369863</v>
      </c>
      <c r="S292" s="163">
        <f ca="1">IMSS[[#This Row],[DIAS LAB]]*IMSS[[#This Row],[SDI]]*$Q$117</f>
        <v>356.5413698630137</v>
      </c>
      <c r="T292" s="164">
        <f ca="1">SUM(IMSS[[#This Row],[P RSG TRB]:[P INFONAVIT]])</f>
        <v>1673.7658841319453</v>
      </c>
      <c r="U292" s="163">
        <f ca="1">IMSS[[#This Row],[DIAS LAB]]*IMSS[[#This Row],[SDI]]*IMSS[[#This Row],[% RSG]]*$R$108</f>
        <v>0</v>
      </c>
      <c r="V292" s="163">
        <f ca="1">IMSS[[#This Row],[DIAS LAB]]*IMSS[[#This Row],[SDI]]*$R$112</f>
        <v>17.827068493150684</v>
      </c>
      <c r="W292" s="163"/>
      <c r="X292" s="163">
        <f ca="1">IMSS[[#This Row],[DIAS LAB]]*IMSS[[#This Row],[SDI]]*$R$113</f>
        <v>44.924212602739722</v>
      </c>
      <c r="Y292" s="163">
        <f ca="1">IMSS[[#This Row],[DIAS LAB]]*IMSS[[#This Row],[SDI]]*$R$114</f>
        <v>0</v>
      </c>
      <c r="Z292" s="163">
        <f ca="1">IMSS[[#This Row],[DIAS LAB]]*IMSS[[#This Row],[SDI]]*$R$115</f>
        <v>0</v>
      </c>
      <c r="AA292" s="163">
        <f ca="1">IMSS[[#This Row],[DIAS LAB]]*IMSS[[#This Row],[SDI]]*$R$116</f>
        <v>80.578349589041082</v>
      </c>
      <c r="AB292" s="163">
        <f ca="1">IMSS[[#This Row],[DIAS LAB]]*IMSS[[#This Row],[SDI]]*$R$117</f>
        <v>0</v>
      </c>
      <c r="AC292" s="247">
        <f ca="1">SUM(IMSS[[#This Row],[O RSG TRB]:[O INFONAVIT]])</f>
        <v>143.32963068493149</v>
      </c>
      <c r="AD292" s="163"/>
      <c r="AE292" s="165">
        <f ca="1">IMSS[[#This Row],[P TOTAL]]+IMSS[[#This Row],[O TOTAL]]</f>
        <v>1817.0955148168769</v>
      </c>
      <c r="AF292" s="163"/>
      <c r="AG292" s="163">
        <f>VLOOKUP(IMSS[[#This Row],[SUE MENS]],$AG$110:$AJ$120,1,1)</f>
        <v>5470.93</v>
      </c>
      <c r="AH292" s="163">
        <f>IMSS[[#This Row],[SUE MENS]]-IMSS[[#This Row],[LIM INF]]</f>
        <v>1307.0699999999997</v>
      </c>
      <c r="AI292" s="163">
        <f>IMSS[[#This Row],[EXC LIM INF]]*(VLOOKUP(IMSS[[#This Row],[LIM INF]],$AG$110:$AJ$120,4,0))</f>
        <v>142.20921599999997</v>
      </c>
      <c r="AJ292" s="163">
        <f>VLOOKUP(IMSS[[#This Row],[LIM INF]],$AG$110:$AJ$120,3)</f>
        <v>321.26</v>
      </c>
      <c r="AK292" s="163">
        <f>SUM(IMSS[[#This Row],[TASA EXC]]+IMSS[[#This Row],[CUOTA FIJA]])</f>
        <v>463.46921599999996</v>
      </c>
      <c r="AL292" s="163">
        <f>VLOOKUP(IMSS[[#This Row],[SUE MENS]],$AL$110:$AN$120,3,1)</f>
        <v>253.54</v>
      </c>
      <c r="AM292" s="248">
        <f>IF(IMSS[[#This Row],[ISR CARGO]]-IMSS[[#This Row],[SUBS ISR]]&gt;0,IMSS[[#This Row],[ISR CARGO]]-IMSS[[#This Row],[SUBS ISR]],0)</f>
        <v>209.92921599999997</v>
      </c>
      <c r="AN292" s="248">
        <f>IF(IMSS[[#This Row],[SUBS ISR]]-IMSS[[#This Row],[ISR CARGO]]&gt;0,IMSS[[#This Row],[SUBS ISR]]-IMSS[[#This Row],[ISR CARGO]],0)</f>
        <v>0</v>
      </c>
    </row>
    <row r="293" spans="3:40" ht="15" hidden="1" customHeight="1" x14ac:dyDescent="0.25">
      <c r="C293" s="243">
        <v>300</v>
      </c>
      <c r="D293" s="167" t="str">
        <f>VLOOKUP(IMSS[[#This Row],[NEM]],BDD[],2,0)</f>
        <v>Jaime Alejandro Colunga Medina</v>
      </c>
      <c r="E293" s="167" t="str">
        <f>VLOOKUP(IMSS[[#This Row],[NEM]],BDD[],9,0)</f>
        <v>ADMINCIÓN</v>
      </c>
      <c r="F293" s="168">
        <v>30</v>
      </c>
      <c r="G293" s="139">
        <f>VLOOKUP(IMSS[[#This Row],[NEM]],BDD[],3,0)</f>
        <v>7445</v>
      </c>
      <c r="H293" s="139">
        <f ca="1">VLOOKUP(IMSS[[#This Row],[NEM]],BDD[],25,0)</f>
        <v>274.00319634703197</v>
      </c>
      <c r="I293" s="143">
        <f>VLOOKUP(IMSS[[#This Row],[DEPT]],$B$3:$G$49,6,0)</f>
        <v>5.4355000000000002E-3</v>
      </c>
      <c r="J293" s="163">
        <f ca="1">IMSS[[#This Row],[DIAS LAB]]*IMSS[[#This Row],[SDI]]*IMSS[[#This Row],[% RSG]]*$Q$108</f>
        <v>44.680331212328774</v>
      </c>
      <c r="K293" s="163">
        <f>IMSS[[#This Row],[DIAS LAB]]*$J$110*$Q$109</f>
        <v>548.47440000000006</v>
      </c>
      <c r="L293" s="166">
        <f ca="1">IMSS[[#This Row],[DIAS LAB]]*IF(IMSS[[#This Row],[SDI]]-$J$113&gt;0,IMSS[[#This Row],[SDI]]-$J$113,0)*$Q$110</f>
        <v>1.6972547945205467</v>
      </c>
      <c r="M293" s="166">
        <f ca="1">IMSS[[#This Row],[DIAS LAB]]*IMSS[[#This Row],[SDI]]*$Q$111</f>
        <v>86.311006849315078</v>
      </c>
      <c r="N293" s="163">
        <f ca="1">IMSS[[#This Row],[DIAS LAB]]*IMSS[[#This Row],[SDI]]*$Q$112</f>
        <v>57.540671232876718</v>
      </c>
      <c r="O293" s="166">
        <f ca="1">IMSS[[#This Row],[DIAS LAB]]*IMSS[[#This Row],[SDI]]*$Q$113</f>
        <v>143.8516780821918</v>
      </c>
      <c r="P293" s="163">
        <f ca="1">IMSS[[#This Row],[DIAS LAB]]*IMSS[[#This Row],[SDI]]*$Q$114</f>
        <v>82.200958904109598</v>
      </c>
      <c r="Q293" s="166">
        <f ca="1">IMSS[[#This Row],[DIAS LAB]]*IMSS[[#This Row],[SDI]]*$Q$115</f>
        <v>164.4019178082192</v>
      </c>
      <c r="R293" s="163">
        <f ca="1">IMSS[[#This Row],[DIAS LAB]]*IMSS[[#This Row],[SDI]]*$Q$116</f>
        <v>258.9330205479452</v>
      </c>
      <c r="S293" s="163">
        <f ca="1">IMSS[[#This Row],[DIAS LAB]]*IMSS[[#This Row],[SDI]]*$Q$117</f>
        <v>411.00479452054799</v>
      </c>
      <c r="T293" s="164">
        <f ca="1">SUM(IMSS[[#This Row],[P RSG TRB]:[P INFONAVIT]])</f>
        <v>1799.0960339520548</v>
      </c>
      <c r="U293" s="163">
        <f ca="1">IMSS[[#This Row],[DIAS LAB]]*IMSS[[#This Row],[SDI]]*IMSS[[#This Row],[% RSG]]*$R$108</f>
        <v>0</v>
      </c>
      <c r="V293" s="163">
        <f ca="1">IMSS[[#This Row],[DIAS LAB]]*IMSS[[#This Row],[SDI]]*$R$112</f>
        <v>20.550239726027399</v>
      </c>
      <c r="W293" s="163"/>
      <c r="X293" s="163">
        <f ca="1">IMSS[[#This Row],[DIAS LAB]]*IMSS[[#This Row],[SDI]]*$R$113</f>
        <v>51.786604109589042</v>
      </c>
      <c r="Y293" s="163">
        <f ca="1">IMSS[[#This Row],[DIAS LAB]]*IMSS[[#This Row],[SDI]]*$R$114</f>
        <v>0</v>
      </c>
      <c r="Z293" s="163">
        <f ca="1">IMSS[[#This Row],[DIAS LAB]]*IMSS[[#This Row],[SDI]]*$R$115</f>
        <v>0</v>
      </c>
      <c r="AA293" s="163">
        <f ca="1">IMSS[[#This Row],[DIAS LAB]]*IMSS[[#This Row],[SDI]]*$R$116</f>
        <v>92.887083561643834</v>
      </c>
      <c r="AB293" s="163">
        <f ca="1">IMSS[[#This Row],[DIAS LAB]]*IMSS[[#This Row],[SDI]]*$R$117</f>
        <v>0</v>
      </c>
      <c r="AC293" s="247">
        <f ca="1">SUM(IMSS[[#This Row],[O RSG TRB]:[O INFONAVIT]])</f>
        <v>165.22392739726027</v>
      </c>
      <c r="AD293" s="163"/>
      <c r="AE293" s="165">
        <f ca="1">IMSS[[#This Row],[P TOTAL]]+IMSS[[#This Row],[O TOTAL]]</f>
        <v>1964.319961349315</v>
      </c>
      <c r="AF293" s="163"/>
      <c r="AG293" s="163">
        <f>VLOOKUP(IMSS[[#This Row],[SUE MENS]],$AG$110:$AJ$120,1,1)</f>
        <v>5470.93</v>
      </c>
      <c r="AH293" s="163">
        <f>IMSS[[#This Row],[SUE MENS]]-IMSS[[#This Row],[LIM INF]]</f>
        <v>1974.0699999999997</v>
      </c>
      <c r="AI293" s="163">
        <f>IMSS[[#This Row],[EXC LIM INF]]*(VLOOKUP(IMSS[[#This Row],[LIM INF]],$AG$110:$AJ$120,4,0))</f>
        <v>214.77881599999998</v>
      </c>
      <c r="AJ293" s="163">
        <f>VLOOKUP(IMSS[[#This Row],[LIM INF]],$AG$110:$AJ$120,3)</f>
        <v>321.26</v>
      </c>
      <c r="AK293" s="163">
        <f>SUM(IMSS[[#This Row],[TASA EXC]]+IMSS[[#This Row],[CUOTA FIJA]])</f>
        <v>536.038816</v>
      </c>
      <c r="AL293" s="163">
        <f>VLOOKUP(IMSS[[#This Row],[SUE MENS]],$AL$110:$AN$120,3,1)</f>
        <v>0</v>
      </c>
      <c r="AM293" s="248">
        <f>IF(IMSS[[#This Row],[ISR CARGO]]-IMSS[[#This Row],[SUBS ISR]]&gt;0,IMSS[[#This Row],[ISR CARGO]]-IMSS[[#This Row],[SUBS ISR]],0)</f>
        <v>536.038816</v>
      </c>
      <c r="AN293" s="248">
        <f>IF(IMSS[[#This Row],[SUBS ISR]]-IMSS[[#This Row],[ISR CARGO]]&gt;0,IMSS[[#This Row],[SUBS ISR]]-IMSS[[#This Row],[ISR CARGO]],0)</f>
        <v>0</v>
      </c>
    </row>
    <row r="294" spans="3:40" ht="15" hidden="1" customHeight="1" x14ac:dyDescent="0.25">
      <c r="C294" s="243">
        <v>302</v>
      </c>
      <c r="D294" s="167" t="str">
        <f>VLOOKUP(IMSS[[#This Row],[NEM]],BDD[],2,0)</f>
        <v>Cynthia Lizzeth Zul Hernandez</v>
      </c>
      <c r="E294" s="167" t="str">
        <f>VLOOKUP(IMSS[[#This Row],[NEM]],BDD[],9,0)</f>
        <v>ARQUITECT</v>
      </c>
      <c r="F294" s="168">
        <v>30</v>
      </c>
      <c r="G294" s="139">
        <f>VLOOKUP(IMSS[[#This Row],[NEM]],BDD[],3,0)</f>
        <v>9450</v>
      </c>
      <c r="H294" s="139">
        <f ca="1">VLOOKUP(IMSS[[#This Row],[NEM]],BDD[],25,0)</f>
        <v>347.79452054794518</v>
      </c>
      <c r="I294" s="143">
        <f>VLOOKUP(IMSS[[#This Row],[DEPT]],$B$3:$G$49,6,0)</f>
        <v>2.5984400000000001E-2</v>
      </c>
      <c r="J294" s="163">
        <f ca="1">IMSS[[#This Row],[DIAS LAB]]*IMSS[[#This Row],[SDI]]*IMSS[[#This Row],[% RSG]]*$Q$108</f>
        <v>271.11695819178078</v>
      </c>
      <c r="K294" s="163">
        <f>IMSS[[#This Row],[DIAS LAB]]*$J$110*$Q$109</f>
        <v>548.47440000000006</v>
      </c>
      <c r="L294" s="166">
        <f ca="1">IMSS[[#This Row],[DIAS LAB]]*IF(IMSS[[#This Row],[SDI]]-$J$113&gt;0,IMSS[[#This Row],[SDI]]-$J$113,0)*$Q$110</f>
        <v>26.048391780821905</v>
      </c>
      <c r="M294" s="166">
        <f ca="1">IMSS[[#This Row],[DIAS LAB]]*IMSS[[#This Row],[SDI]]*$Q$111</f>
        <v>109.55527397260273</v>
      </c>
      <c r="N294" s="163">
        <f ca="1">IMSS[[#This Row],[DIAS LAB]]*IMSS[[#This Row],[SDI]]*$Q$112</f>
        <v>73.03684931506848</v>
      </c>
      <c r="O294" s="166">
        <f ca="1">IMSS[[#This Row],[DIAS LAB]]*IMSS[[#This Row],[SDI]]*$Q$113</f>
        <v>182.59212328767123</v>
      </c>
      <c r="P294" s="163">
        <f ca="1">IMSS[[#This Row],[DIAS LAB]]*IMSS[[#This Row],[SDI]]*$Q$114</f>
        <v>104.33835616438355</v>
      </c>
      <c r="Q294" s="166">
        <f ca="1">IMSS[[#This Row],[DIAS LAB]]*IMSS[[#This Row],[SDI]]*$Q$115</f>
        <v>208.67671232876711</v>
      </c>
      <c r="R294" s="163">
        <f ca="1">IMSS[[#This Row],[DIAS LAB]]*IMSS[[#This Row],[SDI]]*$Q$116</f>
        <v>328.66582191780816</v>
      </c>
      <c r="S294" s="163">
        <f ca="1">IMSS[[#This Row],[DIAS LAB]]*IMSS[[#This Row],[SDI]]*$Q$117</f>
        <v>521.69178082191775</v>
      </c>
      <c r="T294" s="164">
        <f ca="1">SUM(IMSS[[#This Row],[P RSG TRB]:[P INFONAVIT]])</f>
        <v>2374.1966677808218</v>
      </c>
      <c r="U294" s="163">
        <f ca="1">IMSS[[#This Row],[DIAS LAB]]*IMSS[[#This Row],[SDI]]*IMSS[[#This Row],[% RSG]]*$R$108</f>
        <v>0</v>
      </c>
      <c r="V294" s="163">
        <f ca="1">IMSS[[#This Row],[DIAS LAB]]*IMSS[[#This Row],[SDI]]*$R$112</f>
        <v>26.084589041095889</v>
      </c>
      <c r="W294" s="163"/>
      <c r="X294" s="163">
        <f ca="1">IMSS[[#This Row],[DIAS LAB]]*IMSS[[#This Row],[SDI]]*$R$113</f>
        <v>65.733164383561643</v>
      </c>
      <c r="Y294" s="163">
        <f ca="1">IMSS[[#This Row],[DIAS LAB]]*IMSS[[#This Row],[SDI]]*$R$114</f>
        <v>0</v>
      </c>
      <c r="Z294" s="163">
        <f ca="1">IMSS[[#This Row],[DIAS LAB]]*IMSS[[#This Row],[SDI]]*$R$115</f>
        <v>0</v>
      </c>
      <c r="AA294" s="163">
        <f ca="1">IMSS[[#This Row],[DIAS LAB]]*IMSS[[#This Row],[SDI]]*$R$116</f>
        <v>117.90234246575341</v>
      </c>
      <c r="AB294" s="163">
        <f ca="1">IMSS[[#This Row],[DIAS LAB]]*IMSS[[#This Row],[SDI]]*$R$117</f>
        <v>0</v>
      </c>
      <c r="AC294" s="247">
        <f ca="1">SUM(IMSS[[#This Row],[O RSG TRB]:[O INFONAVIT]])</f>
        <v>209.72009589041093</v>
      </c>
      <c r="AD294" s="163"/>
      <c r="AE294" s="165">
        <f ca="1">IMSS[[#This Row],[P TOTAL]]+IMSS[[#This Row],[O TOTAL]]</f>
        <v>2583.9167636712327</v>
      </c>
      <c r="AF294" s="163"/>
      <c r="AG294" s="163">
        <f>VLOOKUP(IMSS[[#This Row],[SUE MENS]],$AG$110:$AJ$120,1,1)</f>
        <v>5470.93</v>
      </c>
      <c r="AH294" s="163">
        <f>IMSS[[#This Row],[SUE MENS]]-IMSS[[#This Row],[LIM INF]]</f>
        <v>3979.0699999999997</v>
      </c>
      <c r="AI294" s="163">
        <f>IMSS[[#This Row],[EXC LIM INF]]*(VLOOKUP(IMSS[[#This Row],[LIM INF]],$AG$110:$AJ$120,4,0))</f>
        <v>432.92281600000001</v>
      </c>
      <c r="AJ294" s="163">
        <f>VLOOKUP(IMSS[[#This Row],[LIM INF]],$AG$110:$AJ$120,3)</f>
        <v>321.26</v>
      </c>
      <c r="AK294" s="163">
        <f>SUM(IMSS[[#This Row],[TASA EXC]]+IMSS[[#This Row],[CUOTA FIJA]])</f>
        <v>754.182816</v>
      </c>
      <c r="AL294" s="163">
        <f>VLOOKUP(IMSS[[#This Row],[SUE MENS]],$AL$110:$AN$120,3,1)</f>
        <v>0</v>
      </c>
      <c r="AM294" s="248">
        <f>IF(IMSS[[#This Row],[ISR CARGO]]-IMSS[[#This Row],[SUBS ISR]]&gt;0,IMSS[[#This Row],[ISR CARGO]]-IMSS[[#This Row],[SUBS ISR]],0)</f>
        <v>754.182816</v>
      </c>
      <c r="AN294" s="248">
        <f>IF(IMSS[[#This Row],[SUBS ISR]]-IMSS[[#This Row],[ISR CARGO]]&gt;0,IMSS[[#This Row],[SUBS ISR]]-IMSS[[#This Row],[ISR CARGO]],0)</f>
        <v>0</v>
      </c>
    </row>
    <row r="295" spans="3:40" ht="15" hidden="1" customHeight="1" x14ac:dyDescent="0.25">
      <c r="C295" s="243">
        <v>304</v>
      </c>
      <c r="D295" s="167" t="str">
        <f>VLOOKUP(IMSS[[#This Row],[NEM]],BDD[],2,0)</f>
        <v>Alma Delia Hernandez Bibiano</v>
      </c>
      <c r="E295" s="167" t="str">
        <f>VLOOKUP(IMSS[[#This Row],[NEM]],BDD[],9,0)</f>
        <v>MATERIALES</v>
      </c>
      <c r="F295" s="168">
        <v>30</v>
      </c>
      <c r="G295" s="139">
        <f>VLOOKUP(IMSS[[#This Row],[NEM]],BDD[],3,0)</f>
        <v>9450</v>
      </c>
      <c r="H295" s="139">
        <f ca="1">VLOOKUP(IMSS[[#This Row],[NEM]],BDD[],25,0)</f>
        <v>347.79452054794518</v>
      </c>
      <c r="I295" s="143">
        <f>VLOOKUP(IMSS[[#This Row],[DEPT]],$B$3:$G$49,6,0)</f>
        <v>4.6532499999999997E-2</v>
      </c>
      <c r="J295" s="163">
        <f ca="1">IMSS[[#This Row],[DIAS LAB]]*IMSS[[#This Row],[SDI]]*IMSS[[#This Row],[% RSG]]*$Q$108</f>
        <v>485.51245582191774</v>
      </c>
      <c r="K295" s="163">
        <f>IMSS[[#This Row],[DIAS LAB]]*$J$110*$Q$109</f>
        <v>548.47440000000006</v>
      </c>
      <c r="L295" s="166">
        <f ca="1">IMSS[[#This Row],[DIAS LAB]]*IF(IMSS[[#This Row],[SDI]]-$J$113&gt;0,IMSS[[#This Row],[SDI]]-$J$113,0)*$Q$110</f>
        <v>26.048391780821905</v>
      </c>
      <c r="M295" s="166">
        <f ca="1">IMSS[[#This Row],[DIAS LAB]]*IMSS[[#This Row],[SDI]]*$Q$111</f>
        <v>109.55527397260273</v>
      </c>
      <c r="N295" s="163">
        <f ca="1">IMSS[[#This Row],[DIAS LAB]]*IMSS[[#This Row],[SDI]]*$Q$112</f>
        <v>73.03684931506848</v>
      </c>
      <c r="O295" s="166">
        <f ca="1">IMSS[[#This Row],[DIAS LAB]]*IMSS[[#This Row],[SDI]]*$Q$113</f>
        <v>182.59212328767123</v>
      </c>
      <c r="P295" s="163">
        <f ca="1">IMSS[[#This Row],[DIAS LAB]]*IMSS[[#This Row],[SDI]]*$Q$114</f>
        <v>104.33835616438355</v>
      </c>
      <c r="Q295" s="166">
        <f ca="1">IMSS[[#This Row],[DIAS LAB]]*IMSS[[#This Row],[SDI]]*$Q$115</f>
        <v>208.67671232876711</v>
      </c>
      <c r="R295" s="163">
        <f ca="1">IMSS[[#This Row],[DIAS LAB]]*IMSS[[#This Row],[SDI]]*$Q$116</f>
        <v>328.66582191780816</v>
      </c>
      <c r="S295" s="163">
        <f ca="1">IMSS[[#This Row],[DIAS LAB]]*IMSS[[#This Row],[SDI]]*$Q$117</f>
        <v>521.69178082191775</v>
      </c>
      <c r="T295" s="164">
        <f ca="1">SUM(IMSS[[#This Row],[P RSG TRB]:[P INFONAVIT]])</f>
        <v>2588.5921654109588</v>
      </c>
      <c r="U295" s="163">
        <f ca="1">IMSS[[#This Row],[DIAS LAB]]*IMSS[[#This Row],[SDI]]*IMSS[[#This Row],[% RSG]]*$R$108</f>
        <v>0</v>
      </c>
      <c r="V295" s="163">
        <f ca="1">IMSS[[#This Row],[DIAS LAB]]*IMSS[[#This Row],[SDI]]*$R$112</f>
        <v>26.084589041095889</v>
      </c>
      <c r="W295" s="163"/>
      <c r="X295" s="163">
        <f ca="1">IMSS[[#This Row],[DIAS LAB]]*IMSS[[#This Row],[SDI]]*$R$113</f>
        <v>65.733164383561643</v>
      </c>
      <c r="Y295" s="163">
        <f ca="1">IMSS[[#This Row],[DIAS LAB]]*IMSS[[#This Row],[SDI]]*$R$114</f>
        <v>0</v>
      </c>
      <c r="Z295" s="163">
        <f ca="1">IMSS[[#This Row],[DIAS LAB]]*IMSS[[#This Row],[SDI]]*$R$115</f>
        <v>0</v>
      </c>
      <c r="AA295" s="163">
        <f ca="1">IMSS[[#This Row],[DIAS LAB]]*IMSS[[#This Row],[SDI]]*$R$116</f>
        <v>117.90234246575341</v>
      </c>
      <c r="AB295" s="163">
        <f ca="1">IMSS[[#This Row],[DIAS LAB]]*IMSS[[#This Row],[SDI]]*$R$117</f>
        <v>0</v>
      </c>
      <c r="AC295" s="247">
        <f ca="1">SUM(IMSS[[#This Row],[O RSG TRB]:[O INFONAVIT]])</f>
        <v>209.72009589041093</v>
      </c>
      <c r="AD295" s="163"/>
      <c r="AE295" s="165">
        <f ca="1">IMSS[[#This Row],[P TOTAL]]+IMSS[[#This Row],[O TOTAL]]</f>
        <v>2798.3122613013697</v>
      </c>
      <c r="AF295" s="163"/>
      <c r="AG295" s="163">
        <f>VLOOKUP(IMSS[[#This Row],[SUE MENS]],$AG$110:$AJ$120,1,1)</f>
        <v>5470.93</v>
      </c>
      <c r="AH295" s="163">
        <f>IMSS[[#This Row],[SUE MENS]]-IMSS[[#This Row],[LIM INF]]</f>
        <v>3979.0699999999997</v>
      </c>
      <c r="AI295" s="163">
        <f>IMSS[[#This Row],[EXC LIM INF]]*(VLOOKUP(IMSS[[#This Row],[LIM INF]],$AG$110:$AJ$120,4,0))</f>
        <v>432.92281600000001</v>
      </c>
      <c r="AJ295" s="163">
        <f>VLOOKUP(IMSS[[#This Row],[LIM INF]],$AG$110:$AJ$120,3)</f>
        <v>321.26</v>
      </c>
      <c r="AK295" s="163">
        <f>SUM(IMSS[[#This Row],[TASA EXC]]+IMSS[[#This Row],[CUOTA FIJA]])</f>
        <v>754.182816</v>
      </c>
      <c r="AL295" s="163">
        <f>VLOOKUP(IMSS[[#This Row],[SUE MENS]],$AL$110:$AN$120,3,1)</f>
        <v>0</v>
      </c>
      <c r="AM295" s="248">
        <f>IF(IMSS[[#This Row],[ISR CARGO]]-IMSS[[#This Row],[SUBS ISR]]&gt;0,IMSS[[#This Row],[ISR CARGO]]-IMSS[[#This Row],[SUBS ISR]],0)</f>
        <v>754.182816</v>
      </c>
      <c r="AN295" s="248">
        <f>IF(IMSS[[#This Row],[SUBS ISR]]-IMSS[[#This Row],[ISR CARGO]]&gt;0,IMSS[[#This Row],[SUBS ISR]]-IMSS[[#This Row],[ISR CARGO]],0)</f>
        <v>0</v>
      </c>
    </row>
    <row r="296" spans="3:40" ht="15" hidden="1" customHeight="1" x14ac:dyDescent="0.25">
      <c r="C296" s="243">
        <v>306</v>
      </c>
      <c r="D296" s="167" t="str">
        <f>VLOOKUP(IMSS[[#This Row],[NEM]],BDD[],2,0)</f>
        <v>Claudia Mariel Valenzuela Jimenez</v>
      </c>
      <c r="E296" s="167" t="str">
        <f>VLOOKUP(IMSS[[#This Row],[NEM]],BDD[],9,0)</f>
        <v>CONTA</v>
      </c>
      <c r="F296" s="168">
        <v>30</v>
      </c>
      <c r="G296" s="139">
        <f>VLOOKUP(IMSS[[#This Row],[NEM]],BDD[],3,0)</f>
        <v>7445</v>
      </c>
      <c r="H296" s="139">
        <f ca="1">VLOOKUP(IMSS[[#This Row],[NEM]],BDD[],25,0)</f>
        <v>274.00319634703197</v>
      </c>
      <c r="I296" s="143">
        <f>VLOOKUP(IMSS[[#This Row],[DEPT]],$B$3:$G$49,6,0)</f>
        <v>5.4355000000000002E-3</v>
      </c>
      <c r="J296" s="163">
        <f ca="1">IMSS[[#This Row],[DIAS LAB]]*IMSS[[#This Row],[SDI]]*IMSS[[#This Row],[% RSG]]*$Q$108</f>
        <v>44.680331212328774</v>
      </c>
      <c r="K296" s="163">
        <f>IMSS[[#This Row],[DIAS LAB]]*$J$110*$Q$109</f>
        <v>548.47440000000006</v>
      </c>
      <c r="L296" s="166">
        <f ca="1">IMSS[[#This Row],[DIAS LAB]]*IF(IMSS[[#This Row],[SDI]]-$J$113&gt;0,IMSS[[#This Row],[SDI]]-$J$113,0)*$Q$110</f>
        <v>1.6972547945205467</v>
      </c>
      <c r="M296" s="166">
        <f ca="1">IMSS[[#This Row],[DIAS LAB]]*IMSS[[#This Row],[SDI]]*$Q$111</f>
        <v>86.311006849315078</v>
      </c>
      <c r="N296" s="163">
        <f ca="1">IMSS[[#This Row],[DIAS LAB]]*IMSS[[#This Row],[SDI]]*$Q$112</f>
        <v>57.540671232876718</v>
      </c>
      <c r="O296" s="166">
        <f ca="1">IMSS[[#This Row],[DIAS LAB]]*IMSS[[#This Row],[SDI]]*$Q$113</f>
        <v>143.8516780821918</v>
      </c>
      <c r="P296" s="163">
        <f ca="1">IMSS[[#This Row],[DIAS LAB]]*IMSS[[#This Row],[SDI]]*$Q$114</f>
        <v>82.200958904109598</v>
      </c>
      <c r="Q296" s="166">
        <f ca="1">IMSS[[#This Row],[DIAS LAB]]*IMSS[[#This Row],[SDI]]*$Q$115</f>
        <v>164.4019178082192</v>
      </c>
      <c r="R296" s="163">
        <f ca="1">IMSS[[#This Row],[DIAS LAB]]*IMSS[[#This Row],[SDI]]*$Q$116</f>
        <v>258.9330205479452</v>
      </c>
      <c r="S296" s="163">
        <f ca="1">IMSS[[#This Row],[DIAS LAB]]*IMSS[[#This Row],[SDI]]*$Q$117</f>
        <v>411.00479452054799</v>
      </c>
      <c r="T296" s="164">
        <f ca="1">SUM(IMSS[[#This Row],[P RSG TRB]:[P INFONAVIT]])</f>
        <v>1799.0960339520548</v>
      </c>
      <c r="U296" s="163">
        <f ca="1">IMSS[[#This Row],[DIAS LAB]]*IMSS[[#This Row],[SDI]]*IMSS[[#This Row],[% RSG]]*$R$108</f>
        <v>0</v>
      </c>
      <c r="V296" s="163">
        <f ca="1">IMSS[[#This Row],[DIAS LAB]]*IMSS[[#This Row],[SDI]]*$R$112</f>
        <v>20.550239726027399</v>
      </c>
      <c r="W296" s="163"/>
      <c r="X296" s="163">
        <f ca="1">IMSS[[#This Row],[DIAS LAB]]*IMSS[[#This Row],[SDI]]*$R$113</f>
        <v>51.786604109589042</v>
      </c>
      <c r="Y296" s="163">
        <f ca="1">IMSS[[#This Row],[DIAS LAB]]*IMSS[[#This Row],[SDI]]*$R$114</f>
        <v>0</v>
      </c>
      <c r="Z296" s="163">
        <f ca="1">IMSS[[#This Row],[DIAS LAB]]*IMSS[[#This Row],[SDI]]*$R$115</f>
        <v>0</v>
      </c>
      <c r="AA296" s="163">
        <f ca="1">IMSS[[#This Row],[DIAS LAB]]*IMSS[[#This Row],[SDI]]*$R$116</f>
        <v>92.887083561643834</v>
      </c>
      <c r="AB296" s="163">
        <f ca="1">IMSS[[#This Row],[DIAS LAB]]*IMSS[[#This Row],[SDI]]*$R$117</f>
        <v>0</v>
      </c>
      <c r="AC296" s="247">
        <f ca="1">SUM(IMSS[[#This Row],[O RSG TRB]:[O INFONAVIT]])</f>
        <v>165.22392739726027</v>
      </c>
      <c r="AD296" s="163"/>
      <c r="AE296" s="165">
        <f ca="1">IMSS[[#This Row],[P TOTAL]]+IMSS[[#This Row],[O TOTAL]]</f>
        <v>1964.319961349315</v>
      </c>
      <c r="AF296" s="163"/>
      <c r="AG296" s="163">
        <f>VLOOKUP(IMSS[[#This Row],[SUE MENS]],$AG$110:$AJ$120,1,1)</f>
        <v>5470.93</v>
      </c>
      <c r="AH296" s="163">
        <f>IMSS[[#This Row],[SUE MENS]]-IMSS[[#This Row],[LIM INF]]</f>
        <v>1974.0699999999997</v>
      </c>
      <c r="AI296" s="163">
        <f>IMSS[[#This Row],[EXC LIM INF]]*(VLOOKUP(IMSS[[#This Row],[LIM INF]],$AG$110:$AJ$120,4,0))</f>
        <v>214.77881599999998</v>
      </c>
      <c r="AJ296" s="163">
        <f>VLOOKUP(IMSS[[#This Row],[LIM INF]],$AG$110:$AJ$120,3)</f>
        <v>321.26</v>
      </c>
      <c r="AK296" s="163">
        <f>SUM(IMSS[[#This Row],[TASA EXC]]+IMSS[[#This Row],[CUOTA FIJA]])</f>
        <v>536.038816</v>
      </c>
      <c r="AL296" s="163">
        <f>VLOOKUP(IMSS[[#This Row],[SUE MENS]],$AL$110:$AN$120,3,1)</f>
        <v>0</v>
      </c>
      <c r="AM296" s="248">
        <f>IF(IMSS[[#This Row],[ISR CARGO]]-IMSS[[#This Row],[SUBS ISR]]&gt;0,IMSS[[#This Row],[ISR CARGO]]-IMSS[[#This Row],[SUBS ISR]],0)</f>
        <v>536.038816</v>
      </c>
      <c r="AN296" s="248">
        <f>IF(IMSS[[#This Row],[SUBS ISR]]-IMSS[[#This Row],[ISR CARGO]]&gt;0,IMSS[[#This Row],[SUBS ISR]]-IMSS[[#This Row],[ISR CARGO]],0)</f>
        <v>0</v>
      </c>
    </row>
    <row r="297" spans="3:40" ht="15" hidden="1" customHeight="1" x14ac:dyDescent="0.25">
      <c r="C297" s="243">
        <v>307</v>
      </c>
      <c r="D297" s="167" t="str">
        <f>VLOOKUP(IMSS[[#This Row],[NEM]],BDD[],2,0)</f>
        <v>Adamari Rodríguez García</v>
      </c>
      <c r="E297" s="167" t="str">
        <f>VLOOKUP(IMSS[[#This Row],[NEM]],BDD[],9,0)</f>
        <v>COMPRAS</v>
      </c>
      <c r="F297" s="168">
        <v>30</v>
      </c>
      <c r="G297" s="139">
        <f>VLOOKUP(IMSS[[#This Row],[NEM]],BDD[],3,0)</f>
        <v>7445</v>
      </c>
      <c r="H297" s="139">
        <f ca="1">VLOOKUP(IMSS[[#This Row],[NEM]],BDD[],25,0)</f>
        <v>274.00319634703197</v>
      </c>
      <c r="I297" s="143">
        <f>VLOOKUP(IMSS[[#This Row],[DEPT]],$B$3:$G$49,6,0)</f>
        <v>5.4355000000000002E-3</v>
      </c>
      <c r="J297" s="163">
        <f ca="1">IMSS[[#This Row],[DIAS LAB]]*IMSS[[#This Row],[SDI]]*IMSS[[#This Row],[% RSG]]*$Q$108</f>
        <v>44.680331212328774</v>
      </c>
      <c r="K297" s="163">
        <f>IMSS[[#This Row],[DIAS LAB]]*$J$110*$Q$109</f>
        <v>548.47440000000006</v>
      </c>
      <c r="L297" s="166">
        <f ca="1">IMSS[[#This Row],[DIAS LAB]]*IF(IMSS[[#This Row],[SDI]]-$J$113&gt;0,IMSS[[#This Row],[SDI]]-$J$113,0)*$Q$110</f>
        <v>1.6972547945205467</v>
      </c>
      <c r="M297" s="166">
        <f ca="1">IMSS[[#This Row],[DIAS LAB]]*IMSS[[#This Row],[SDI]]*$Q$111</f>
        <v>86.311006849315078</v>
      </c>
      <c r="N297" s="163">
        <f ca="1">IMSS[[#This Row],[DIAS LAB]]*IMSS[[#This Row],[SDI]]*$Q$112</f>
        <v>57.540671232876718</v>
      </c>
      <c r="O297" s="166">
        <f ca="1">IMSS[[#This Row],[DIAS LAB]]*IMSS[[#This Row],[SDI]]*$Q$113</f>
        <v>143.8516780821918</v>
      </c>
      <c r="P297" s="163">
        <f ca="1">IMSS[[#This Row],[DIAS LAB]]*IMSS[[#This Row],[SDI]]*$Q$114</f>
        <v>82.200958904109598</v>
      </c>
      <c r="Q297" s="166">
        <f ca="1">IMSS[[#This Row],[DIAS LAB]]*IMSS[[#This Row],[SDI]]*$Q$115</f>
        <v>164.4019178082192</v>
      </c>
      <c r="R297" s="163">
        <f ca="1">IMSS[[#This Row],[DIAS LAB]]*IMSS[[#This Row],[SDI]]*$Q$116</f>
        <v>258.9330205479452</v>
      </c>
      <c r="S297" s="163">
        <f ca="1">IMSS[[#This Row],[DIAS LAB]]*IMSS[[#This Row],[SDI]]*$Q$117</f>
        <v>411.00479452054799</v>
      </c>
      <c r="T297" s="164">
        <f ca="1">SUM(IMSS[[#This Row],[P RSG TRB]:[P INFONAVIT]])</f>
        <v>1799.0960339520548</v>
      </c>
      <c r="U297" s="163">
        <f ca="1">IMSS[[#This Row],[DIAS LAB]]*IMSS[[#This Row],[SDI]]*IMSS[[#This Row],[% RSG]]*$R$108</f>
        <v>0</v>
      </c>
      <c r="V297" s="163">
        <f ca="1">IMSS[[#This Row],[DIAS LAB]]*IMSS[[#This Row],[SDI]]*$R$112</f>
        <v>20.550239726027399</v>
      </c>
      <c r="W297" s="163"/>
      <c r="X297" s="163">
        <f ca="1">IMSS[[#This Row],[DIAS LAB]]*IMSS[[#This Row],[SDI]]*$R$113</f>
        <v>51.786604109589042</v>
      </c>
      <c r="Y297" s="163">
        <f ca="1">IMSS[[#This Row],[DIAS LAB]]*IMSS[[#This Row],[SDI]]*$R$114</f>
        <v>0</v>
      </c>
      <c r="Z297" s="163">
        <f ca="1">IMSS[[#This Row],[DIAS LAB]]*IMSS[[#This Row],[SDI]]*$R$115</f>
        <v>0</v>
      </c>
      <c r="AA297" s="163">
        <f ca="1">IMSS[[#This Row],[DIAS LAB]]*IMSS[[#This Row],[SDI]]*$R$116</f>
        <v>92.887083561643834</v>
      </c>
      <c r="AB297" s="163">
        <f ca="1">IMSS[[#This Row],[DIAS LAB]]*IMSS[[#This Row],[SDI]]*$R$117</f>
        <v>0</v>
      </c>
      <c r="AC297" s="247">
        <f ca="1">SUM(IMSS[[#This Row],[O RSG TRB]:[O INFONAVIT]])</f>
        <v>165.22392739726027</v>
      </c>
      <c r="AD297" s="163"/>
      <c r="AE297" s="165">
        <f ca="1">IMSS[[#This Row],[P TOTAL]]+IMSS[[#This Row],[O TOTAL]]</f>
        <v>1964.319961349315</v>
      </c>
      <c r="AF297" s="163"/>
      <c r="AG297" s="163">
        <f>VLOOKUP(IMSS[[#This Row],[SUE MENS]],$AG$110:$AJ$120,1,1)</f>
        <v>5470.93</v>
      </c>
      <c r="AH297" s="163">
        <f>IMSS[[#This Row],[SUE MENS]]-IMSS[[#This Row],[LIM INF]]</f>
        <v>1974.0699999999997</v>
      </c>
      <c r="AI297" s="163">
        <f>IMSS[[#This Row],[EXC LIM INF]]*(VLOOKUP(IMSS[[#This Row],[LIM INF]],$AG$110:$AJ$120,4,0))</f>
        <v>214.77881599999998</v>
      </c>
      <c r="AJ297" s="163">
        <f>VLOOKUP(IMSS[[#This Row],[LIM INF]],$AG$110:$AJ$120,3)</f>
        <v>321.26</v>
      </c>
      <c r="AK297" s="163">
        <f>SUM(IMSS[[#This Row],[TASA EXC]]+IMSS[[#This Row],[CUOTA FIJA]])</f>
        <v>536.038816</v>
      </c>
      <c r="AL297" s="163">
        <f>VLOOKUP(IMSS[[#This Row],[SUE MENS]],$AL$110:$AN$120,3,1)</f>
        <v>0</v>
      </c>
      <c r="AM297" s="248">
        <f>IF(IMSS[[#This Row],[ISR CARGO]]-IMSS[[#This Row],[SUBS ISR]]&gt;0,IMSS[[#This Row],[ISR CARGO]]-IMSS[[#This Row],[SUBS ISR]],0)</f>
        <v>536.038816</v>
      </c>
      <c r="AN297" s="248">
        <f>IF(IMSS[[#This Row],[SUBS ISR]]-IMSS[[#This Row],[ISR CARGO]]&gt;0,IMSS[[#This Row],[SUBS ISR]]-IMSS[[#This Row],[ISR CARGO]],0)</f>
        <v>0</v>
      </c>
    </row>
    <row r="298" spans="3:40" ht="15" hidden="1" customHeight="1" x14ac:dyDescent="0.25">
      <c r="C298" s="243">
        <v>310</v>
      </c>
      <c r="D298" s="167" t="str">
        <f>VLOOKUP(IMSS[[#This Row],[NEM]],BDD[],2,0)</f>
        <v>Iliana Abigail Ortega Silva</v>
      </c>
      <c r="E298" s="167" t="str">
        <f>VLOOKUP(IMSS[[#This Row],[NEM]],BDD[],9,0)</f>
        <v>ANLIS COST</v>
      </c>
      <c r="F298" s="168">
        <v>30</v>
      </c>
      <c r="G298" s="139">
        <f>VLOOKUP(IMSS[[#This Row],[NEM]],BDD[],3,0)</f>
        <v>7950</v>
      </c>
      <c r="H298" s="139">
        <f ca="1">VLOOKUP(IMSS[[#This Row],[NEM]],BDD[],25,0)</f>
        <v>292.58904109589042</v>
      </c>
      <c r="I298" s="143">
        <f>VLOOKUP(IMSS[[#This Row],[DEPT]],$B$3:$G$49,6,0)</f>
        <v>1.130658E-2</v>
      </c>
      <c r="J298" s="163">
        <f ca="1">IMSS[[#This Row],[DIAS LAB]]*IMSS[[#This Row],[SDI]]*IMSS[[#This Row],[% RSG]]*$Q$108</f>
        <v>99.245442008219186</v>
      </c>
      <c r="K298" s="163">
        <f>IMSS[[#This Row],[DIAS LAB]]*$J$110*$Q$109</f>
        <v>548.47440000000006</v>
      </c>
      <c r="L298" s="166">
        <f ca="1">IMSS[[#This Row],[DIAS LAB]]*IF(IMSS[[#This Row],[SDI]]-$J$113&gt;0,IMSS[[#This Row],[SDI]]-$J$113,0)*$Q$110</f>
        <v>7.8305835616438344</v>
      </c>
      <c r="M298" s="166">
        <f ca="1">IMSS[[#This Row],[DIAS LAB]]*IMSS[[#This Row],[SDI]]*$Q$111</f>
        <v>92.165547945205503</v>
      </c>
      <c r="N298" s="163">
        <f ca="1">IMSS[[#This Row],[DIAS LAB]]*IMSS[[#This Row],[SDI]]*$Q$112</f>
        <v>61.443698630136993</v>
      </c>
      <c r="O298" s="166">
        <f ca="1">IMSS[[#This Row],[DIAS LAB]]*IMSS[[#This Row],[SDI]]*$Q$113</f>
        <v>153.6092465753425</v>
      </c>
      <c r="P298" s="163">
        <f ca="1">IMSS[[#This Row],[DIAS LAB]]*IMSS[[#This Row],[SDI]]*$Q$114</f>
        <v>87.776712328767132</v>
      </c>
      <c r="Q298" s="166">
        <f ca="1">IMSS[[#This Row],[DIAS LAB]]*IMSS[[#This Row],[SDI]]*$Q$115</f>
        <v>175.55342465753426</v>
      </c>
      <c r="R298" s="163">
        <f ca="1">IMSS[[#This Row],[DIAS LAB]]*IMSS[[#This Row],[SDI]]*$Q$116</f>
        <v>276.49664383561645</v>
      </c>
      <c r="S298" s="163">
        <f ca="1">IMSS[[#This Row],[DIAS LAB]]*IMSS[[#This Row],[SDI]]*$Q$117</f>
        <v>438.88356164383572</v>
      </c>
      <c r="T298" s="164">
        <f ca="1">SUM(IMSS[[#This Row],[P RSG TRB]:[P INFONAVIT]])</f>
        <v>1941.4792611863015</v>
      </c>
      <c r="U298" s="163">
        <f ca="1">IMSS[[#This Row],[DIAS LAB]]*IMSS[[#This Row],[SDI]]*IMSS[[#This Row],[% RSG]]*$R$108</f>
        <v>0</v>
      </c>
      <c r="V298" s="163">
        <f ca="1">IMSS[[#This Row],[DIAS LAB]]*IMSS[[#This Row],[SDI]]*$R$112</f>
        <v>21.944178082191783</v>
      </c>
      <c r="W298" s="163"/>
      <c r="X298" s="163">
        <f ca="1">IMSS[[#This Row],[DIAS LAB]]*IMSS[[#This Row],[SDI]]*$R$113</f>
        <v>55.299328767123292</v>
      </c>
      <c r="Y298" s="163">
        <f ca="1">IMSS[[#This Row],[DIAS LAB]]*IMSS[[#This Row],[SDI]]*$R$114</f>
        <v>0</v>
      </c>
      <c r="Z298" s="163">
        <f ca="1">IMSS[[#This Row],[DIAS LAB]]*IMSS[[#This Row],[SDI]]*$R$115</f>
        <v>0</v>
      </c>
      <c r="AA298" s="163">
        <f ca="1">IMSS[[#This Row],[DIAS LAB]]*IMSS[[#This Row],[SDI]]*$R$116</f>
        <v>99.187684931506851</v>
      </c>
      <c r="AB298" s="163">
        <f ca="1">IMSS[[#This Row],[DIAS LAB]]*IMSS[[#This Row],[SDI]]*$R$117</f>
        <v>0</v>
      </c>
      <c r="AC298" s="247">
        <f ca="1">SUM(IMSS[[#This Row],[O RSG TRB]:[O INFONAVIT]])</f>
        <v>176.43119178082193</v>
      </c>
      <c r="AD298" s="163"/>
      <c r="AE298" s="165">
        <f ca="1">IMSS[[#This Row],[P TOTAL]]+IMSS[[#This Row],[O TOTAL]]</f>
        <v>2117.9104529671235</v>
      </c>
      <c r="AF298" s="163"/>
      <c r="AG298" s="163">
        <f>VLOOKUP(IMSS[[#This Row],[SUE MENS]],$AG$110:$AJ$120,1,1)</f>
        <v>5470.93</v>
      </c>
      <c r="AH298" s="163">
        <f>IMSS[[#This Row],[SUE MENS]]-IMSS[[#This Row],[LIM INF]]</f>
        <v>2479.0699999999997</v>
      </c>
      <c r="AI298" s="163">
        <f>IMSS[[#This Row],[EXC LIM INF]]*(VLOOKUP(IMSS[[#This Row],[LIM INF]],$AG$110:$AJ$120,4,0))</f>
        <v>269.72281599999997</v>
      </c>
      <c r="AJ298" s="163">
        <f>VLOOKUP(IMSS[[#This Row],[LIM INF]],$AG$110:$AJ$120,3)</f>
        <v>321.26</v>
      </c>
      <c r="AK298" s="163">
        <f>SUM(IMSS[[#This Row],[TASA EXC]]+IMSS[[#This Row],[CUOTA FIJA]])</f>
        <v>590.98281599999996</v>
      </c>
      <c r="AL298" s="163">
        <f>VLOOKUP(IMSS[[#This Row],[SUE MENS]],$AL$110:$AN$120,3,1)</f>
        <v>0</v>
      </c>
      <c r="AM298" s="248">
        <f>IF(IMSS[[#This Row],[ISR CARGO]]-IMSS[[#This Row],[SUBS ISR]]&gt;0,IMSS[[#This Row],[ISR CARGO]]-IMSS[[#This Row],[SUBS ISR]],0)</f>
        <v>590.98281599999996</v>
      </c>
      <c r="AN298" s="248">
        <f>IF(IMSS[[#This Row],[SUBS ISR]]-IMSS[[#This Row],[ISR CARGO]]&gt;0,IMSS[[#This Row],[SUBS ISR]]-IMSS[[#This Row],[ISR CARGO]],0)</f>
        <v>0</v>
      </c>
    </row>
    <row r="299" spans="3:40" ht="15" hidden="1" customHeight="1" x14ac:dyDescent="0.25">
      <c r="C299" s="243">
        <v>311</v>
      </c>
      <c r="D299" s="167" t="str">
        <f>VLOOKUP(IMSS[[#This Row],[NEM]],BDD[],2,0)</f>
        <v>Liliana Peña Popoca</v>
      </c>
      <c r="E299" s="167" t="str">
        <f>VLOOKUP(IMSS[[#This Row],[NEM]],BDD[],9,0)</f>
        <v>COLECTIVOS</v>
      </c>
      <c r="F299" s="168">
        <v>30</v>
      </c>
      <c r="G299" s="139">
        <f>VLOOKUP(IMSS[[#This Row],[NEM]],BDD[],3,0)</f>
        <v>7445</v>
      </c>
      <c r="H299" s="139">
        <f ca="1">VLOOKUP(IMSS[[#This Row],[NEM]],BDD[],25,0)</f>
        <v>274.00319634703197</v>
      </c>
      <c r="I299" s="143">
        <f>VLOOKUP(IMSS[[#This Row],[DEPT]],$B$3:$G$49,6,0)</f>
        <v>5.4355000000000002E-3</v>
      </c>
      <c r="J299" s="163">
        <f ca="1">IMSS[[#This Row],[DIAS LAB]]*IMSS[[#This Row],[SDI]]*IMSS[[#This Row],[% RSG]]*$Q$108</f>
        <v>44.680331212328774</v>
      </c>
      <c r="K299" s="163">
        <f>IMSS[[#This Row],[DIAS LAB]]*$J$110*$Q$109</f>
        <v>548.47440000000006</v>
      </c>
      <c r="L299" s="166">
        <f ca="1">IMSS[[#This Row],[DIAS LAB]]*IF(IMSS[[#This Row],[SDI]]-$J$113&gt;0,IMSS[[#This Row],[SDI]]-$J$113,0)*$Q$110</f>
        <v>1.6972547945205467</v>
      </c>
      <c r="M299" s="166">
        <f ca="1">IMSS[[#This Row],[DIAS LAB]]*IMSS[[#This Row],[SDI]]*$Q$111</f>
        <v>86.311006849315078</v>
      </c>
      <c r="N299" s="163">
        <f ca="1">IMSS[[#This Row],[DIAS LAB]]*IMSS[[#This Row],[SDI]]*$Q$112</f>
        <v>57.540671232876718</v>
      </c>
      <c r="O299" s="166">
        <f ca="1">IMSS[[#This Row],[DIAS LAB]]*IMSS[[#This Row],[SDI]]*$Q$113</f>
        <v>143.8516780821918</v>
      </c>
      <c r="P299" s="163">
        <f ca="1">IMSS[[#This Row],[DIAS LAB]]*IMSS[[#This Row],[SDI]]*$Q$114</f>
        <v>82.200958904109598</v>
      </c>
      <c r="Q299" s="166">
        <f ca="1">IMSS[[#This Row],[DIAS LAB]]*IMSS[[#This Row],[SDI]]*$Q$115</f>
        <v>164.4019178082192</v>
      </c>
      <c r="R299" s="163">
        <f ca="1">IMSS[[#This Row],[DIAS LAB]]*IMSS[[#This Row],[SDI]]*$Q$116</f>
        <v>258.9330205479452</v>
      </c>
      <c r="S299" s="163">
        <f ca="1">IMSS[[#This Row],[DIAS LAB]]*IMSS[[#This Row],[SDI]]*$Q$117</f>
        <v>411.00479452054799</v>
      </c>
      <c r="T299" s="164">
        <f ca="1">SUM(IMSS[[#This Row],[P RSG TRB]:[P INFONAVIT]])</f>
        <v>1799.0960339520548</v>
      </c>
      <c r="U299" s="163">
        <f ca="1">IMSS[[#This Row],[DIAS LAB]]*IMSS[[#This Row],[SDI]]*IMSS[[#This Row],[% RSG]]*$R$108</f>
        <v>0</v>
      </c>
      <c r="V299" s="163">
        <f ca="1">IMSS[[#This Row],[DIAS LAB]]*IMSS[[#This Row],[SDI]]*$R$112</f>
        <v>20.550239726027399</v>
      </c>
      <c r="W299" s="163"/>
      <c r="X299" s="163">
        <f ca="1">IMSS[[#This Row],[DIAS LAB]]*IMSS[[#This Row],[SDI]]*$R$113</f>
        <v>51.786604109589042</v>
      </c>
      <c r="Y299" s="163">
        <f ca="1">IMSS[[#This Row],[DIAS LAB]]*IMSS[[#This Row],[SDI]]*$R$114</f>
        <v>0</v>
      </c>
      <c r="Z299" s="163">
        <f ca="1">IMSS[[#This Row],[DIAS LAB]]*IMSS[[#This Row],[SDI]]*$R$115</f>
        <v>0</v>
      </c>
      <c r="AA299" s="163">
        <f ca="1">IMSS[[#This Row],[DIAS LAB]]*IMSS[[#This Row],[SDI]]*$R$116</f>
        <v>92.887083561643834</v>
      </c>
      <c r="AB299" s="163">
        <f ca="1">IMSS[[#This Row],[DIAS LAB]]*IMSS[[#This Row],[SDI]]*$R$117</f>
        <v>0</v>
      </c>
      <c r="AC299" s="247">
        <f ca="1">SUM(IMSS[[#This Row],[O RSG TRB]:[O INFONAVIT]])</f>
        <v>165.22392739726027</v>
      </c>
      <c r="AD299" s="163"/>
      <c r="AE299" s="165">
        <f ca="1">IMSS[[#This Row],[P TOTAL]]+IMSS[[#This Row],[O TOTAL]]</f>
        <v>1964.319961349315</v>
      </c>
      <c r="AF299" s="163"/>
      <c r="AG299" s="163">
        <f>VLOOKUP(IMSS[[#This Row],[SUE MENS]],$AG$110:$AJ$120,1,1)</f>
        <v>5470.93</v>
      </c>
      <c r="AH299" s="163">
        <f>IMSS[[#This Row],[SUE MENS]]-IMSS[[#This Row],[LIM INF]]</f>
        <v>1974.0699999999997</v>
      </c>
      <c r="AI299" s="163">
        <f>IMSS[[#This Row],[EXC LIM INF]]*(VLOOKUP(IMSS[[#This Row],[LIM INF]],$AG$110:$AJ$120,4,0))</f>
        <v>214.77881599999998</v>
      </c>
      <c r="AJ299" s="163">
        <f>VLOOKUP(IMSS[[#This Row],[LIM INF]],$AG$110:$AJ$120,3)</f>
        <v>321.26</v>
      </c>
      <c r="AK299" s="163">
        <f>SUM(IMSS[[#This Row],[TASA EXC]]+IMSS[[#This Row],[CUOTA FIJA]])</f>
        <v>536.038816</v>
      </c>
      <c r="AL299" s="163">
        <f>VLOOKUP(IMSS[[#This Row],[SUE MENS]],$AL$110:$AN$120,3,1)</f>
        <v>0</v>
      </c>
      <c r="AM299" s="248">
        <f>IF(IMSS[[#This Row],[ISR CARGO]]-IMSS[[#This Row],[SUBS ISR]]&gt;0,IMSS[[#This Row],[ISR CARGO]]-IMSS[[#This Row],[SUBS ISR]],0)</f>
        <v>536.038816</v>
      </c>
      <c r="AN299" s="248">
        <f>IF(IMSS[[#This Row],[SUBS ISR]]-IMSS[[#This Row],[ISR CARGO]]&gt;0,IMSS[[#This Row],[SUBS ISR]]-IMSS[[#This Row],[ISR CARGO]],0)</f>
        <v>0</v>
      </c>
    </row>
    <row r="300" spans="3:40" ht="15" hidden="1" customHeight="1" x14ac:dyDescent="0.25">
      <c r="C300" s="243">
        <v>312</v>
      </c>
      <c r="D300" s="167" t="str">
        <f>VLOOKUP(IMSS[[#This Row],[NEM]],BDD[],2,0)</f>
        <v>Sadrac Said Dávila Cataño</v>
      </c>
      <c r="E300" s="167" t="str">
        <f>VLOOKUP(IMSS[[#This Row],[NEM]],BDD[],9,0)</f>
        <v>ANLIS COST</v>
      </c>
      <c r="F300" s="168">
        <v>30</v>
      </c>
      <c r="G300" s="139">
        <f>VLOOKUP(IMSS[[#This Row],[NEM]],BDD[],3,0)</f>
        <v>9541</v>
      </c>
      <c r="H300" s="139">
        <f ca="1">VLOOKUP(IMSS[[#This Row],[NEM]],BDD[],25,0)</f>
        <v>351.14365296803658</v>
      </c>
      <c r="I300" s="143">
        <f>VLOOKUP(IMSS[[#This Row],[DEPT]],$B$3:$G$49,6,0)</f>
        <v>1.130658E-2</v>
      </c>
      <c r="J300" s="163">
        <f ca="1">IMSS[[#This Row],[DIAS LAB]]*IMSS[[#This Row],[SDI]]*IMSS[[#This Row],[% RSG]]*$Q$108</f>
        <v>119.10701411326029</v>
      </c>
      <c r="K300" s="163">
        <f>IMSS[[#This Row],[DIAS LAB]]*$J$110*$Q$109</f>
        <v>548.47440000000006</v>
      </c>
      <c r="L300" s="166">
        <f ca="1">IMSS[[#This Row],[DIAS LAB]]*IF(IMSS[[#This Row],[SDI]]-$J$113&gt;0,IMSS[[#This Row],[SDI]]-$J$113,0)*$Q$110</f>
        <v>27.153605479452061</v>
      </c>
      <c r="M300" s="166">
        <f ca="1">IMSS[[#This Row],[DIAS LAB]]*IMSS[[#This Row],[SDI]]*$Q$111</f>
        <v>110.61025068493153</v>
      </c>
      <c r="N300" s="163">
        <f ca="1">IMSS[[#This Row],[DIAS LAB]]*IMSS[[#This Row],[SDI]]*$Q$112</f>
        <v>73.740167123287677</v>
      </c>
      <c r="O300" s="166">
        <f ca="1">IMSS[[#This Row],[DIAS LAB]]*IMSS[[#This Row],[SDI]]*$Q$113</f>
        <v>184.35041780821922</v>
      </c>
      <c r="P300" s="163">
        <f ca="1">IMSS[[#This Row],[DIAS LAB]]*IMSS[[#This Row],[SDI]]*$Q$114</f>
        <v>105.34309589041096</v>
      </c>
      <c r="Q300" s="166">
        <f ca="1">IMSS[[#This Row],[DIAS LAB]]*IMSS[[#This Row],[SDI]]*$Q$115</f>
        <v>210.68619178082193</v>
      </c>
      <c r="R300" s="163">
        <f ca="1">IMSS[[#This Row],[DIAS LAB]]*IMSS[[#This Row],[SDI]]*$Q$116</f>
        <v>331.83075205479457</v>
      </c>
      <c r="S300" s="163">
        <f ca="1">IMSS[[#This Row],[DIAS LAB]]*IMSS[[#This Row],[SDI]]*$Q$117</f>
        <v>526.71547945205486</v>
      </c>
      <c r="T300" s="164">
        <f ca="1">SUM(IMSS[[#This Row],[P RSG TRB]:[P INFONAVIT]])</f>
        <v>2238.011374387233</v>
      </c>
      <c r="U300" s="163">
        <f ca="1">IMSS[[#This Row],[DIAS LAB]]*IMSS[[#This Row],[SDI]]*IMSS[[#This Row],[% RSG]]*$R$108</f>
        <v>0</v>
      </c>
      <c r="V300" s="163">
        <f ca="1">IMSS[[#This Row],[DIAS LAB]]*IMSS[[#This Row],[SDI]]*$R$112</f>
        <v>26.335773972602741</v>
      </c>
      <c r="W300" s="163"/>
      <c r="X300" s="163">
        <f ca="1">IMSS[[#This Row],[DIAS LAB]]*IMSS[[#This Row],[SDI]]*$R$113</f>
        <v>66.366150410958909</v>
      </c>
      <c r="Y300" s="163">
        <f ca="1">IMSS[[#This Row],[DIAS LAB]]*IMSS[[#This Row],[SDI]]*$R$114</f>
        <v>0</v>
      </c>
      <c r="Z300" s="163">
        <f ca="1">IMSS[[#This Row],[DIAS LAB]]*IMSS[[#This Row],[SDI]]*$R$115</f>
        <v>0</v>
      </c>
      <c r="AA300" s="163">
        <f ca="1">IMSS[[#This Row],[DIAS LAB]]*IMSS[[#This Row],[SDI]]*$R$116</f>
        <v>119.03769835616438</v>
      </c>
      <c r="AB300" s="163">
        <f ca="1">IMSS[[#This Row],[DIAS LAB]]*IMSS[[#This Row],[SDI]]*$R$117</f>
        <v>0</v>
      </c>
      <c r="AC300" s="247">
        <f ca="1">SUM(IMSS[[#This Row],[O RSG TRB]:[O INFONAVIT]])</f>
        <v>211.73962273972603</v>
      </c>
      <c r="AD300" s="163"/>
      <c r="AE300" s="165">
        <f ca="1">IMSS[[#This Row],[P TOTAL]]+IMSS[[#This Row],[O TOTAL]]</f>
        <v>2449.7509971269592</v>
      </c>
      <c r="AF300" s="163"/>
      <c r="AG300" s="163">
        <f>VLOOKUP(IMSS[[#This Row],[SUE MENS]],$AG$110:$AJ$120,1,1)</f>
        <v>5470.93</v>
      </c>
      <c r="AH300" s="163">
        <f>IMSS[[#This Row],[SUE MENS]]-IMSS[[#This Row],[LIM INF]]</f>
        <v>4070.0699999999997</v>
      </c>
      <c r="AI300" s="163">
        <f>IMSS[[#This Row],[EXC LIM INF]]*(VLOOKUP(IMSS[[#This Row],[LIM INF]],$AG$110:$AJ$120,4,0))</f>
        <v>442.82361600000002</v>
      </c>
      <c r="AJ300" s="163">
        <f>VLOOKUP(IMSS[[#This Row],[LIM INF]],$AG$110:$AJ$120,3)</f>
        <v>321.26</v>
      </c>
      <c r="AK300" s="163">
        <f>SUM(IMSS[[#This Row],[TASA EXC]]+IMSS[[#This Row],[CUOTA FIJA]])</f>
        <v>764.08361600000001</v>
      </c>
      <c r="AL300" s="163">
        <f>VLOOKUP(IMSS[[#This Row],[SUE MENS]],$AL$110:$AN$120,3,1)</f>
        <v>0</v>
      </c>
      <c r="AM300" s="248">
        <f>IF(IMSS[[#This Row],[ISR CARGO]]-IMSS[[#This Row],[SUBS ISR]]&gt;0,IMSS[[#This Row],[ISR CARGO]]-IMSS[[#This Row],[SUBS ISR]],0)</f>
        <v>764.08361600000001</v>
      </c>
      <c r="AN300" s="248">
        <f>IF(IMSS[[#This Row],[SUBS ISR]]-IMSS[[#This Row],[ISR CARGO]]&gt;0,IMSS[[#This Row],[SUBS ISR]]-IMSS[[#This Row],[ISR CARGO]],0)</f>
        <v>0</v>
      </c>
    </row>
    <row r="301" spans="3:40" ht="15" hidden="1" customHeight="1" x14ac:dyDescent="0.25">
      <c r="C301" s="243">
        <v>313</v>
      </c>
      <c r="D301" s="167" t="str">
        <f>VLOOKUP(IMSS[[#This Row],[NEM]],BDD[],2,0)</f>
        <v>Lenda Milena Bazaldua Parra</v>
      </c>
      <c r="E301" s="167" t="str">
        <f>VLOOKUP(IMSS[[#This Row],[NEM]],BDD[],9,0)</f>
        <v>EQUIPOS</v>
      </c>
      <c r="F301" s="168">
        <v>30</v>
      </c>
      <c r="G301" s="139">
        <f>VLOOKUP(IMSS[[#This Row],[NEM]],BDD[],3,0)</f>
        <v>9450</v>
      </c>
      <c r="H301" s="139">
        <f ca="1">VLOOKUP(IMSS[[#This Row],[NEM]],BDD[],25,0)</f>
        <v>347.79452054794518</v>
      </c>
      <c r="I301" s="143">
        <f>VLOOKUP(IMSS[[#This Row],[DEPT]],$B$3:$G$49,6,0)</f>
        <v>1.130658E-2</v>
      </c>
      <c r="J301" s="163">
        <f ca="1">IMSS[[#This Row],[DIAS LAB]]*IMSS[[#This Row],[SDI]]*IMSS[[#This Row],[% RSG]]*$Q$108</f>
        <v>117.97099710410957</v>
      </c>
      <c r="K301" s="163">
        <f>IMSS[[#This Row],[DIAS LAB]]*$J$110*$Q$109</f>
        <v>548.47440000000006</v>
      </c>
      <c r="L301" s="166">
        <f ca="1">IMSS[[#This Row],[DIAS LAB]]*IF(IMSS[[#This Row],[SDI]]-$J$113&gt;0,IMSS[[#This Row],[SDI]]-$J$113,0)*$Q$110</f>
        <v>26.048391780821905</v>
      </c>
      <c r="M301" s="166">
        <f ca="1">IMSS[[#This Row],[DIAS LAB]]*IMSS[[#This Row],[SDI]]*$Q$111</f>
        <v>109.55527397260273</v>
      </c>
      <c r="N301" s="163">
        <f ca="1">IMSS[[#This Row],[DIAS LAB]]*IMSS[[#This Row],[SDI]]*$Q$112</f>
        <v>73.03684931506848</v>
      </c>
      <c r="O301" s="166">
        <f ca="1">IMSS[[#This Row],[DIAS LAB]]*IMSS[[#This Row],[SDI]]*$Q$113</f>
        <v>182.59212328767123</v>
      </c>
      <c r="P301" s="163">
        <f ca="1">IMSS[[#This Row],[DIAS LAB]]*IMSS[[#This Row],[SDI]]*$Q$114</f>
        <v>104.33835616438355</v>
      </c>
      <c r="Q301" s="166">
        <f ca="1">IMSS[[#This Row],[DIAS LAB]]*IMSS[[#This Row],[SDI]]*$Q$115</f>
        <v>208.67671232876711</v>
      </c>
      <c r="R301" s="163">
        <f ca="1">IMSS[[#This Row],[DIAS LAB]]*IMSS[[#This Row],[SDI]]*$Q$116</f>
        <v>328.66582191780816</v>
      </c>
      <c r="S301" s="163">
        <f ca="1">IMSS[[#This Row],[DIAS LAB]]*IMSS[[#This Row],[SDI]]*$Q$117</f>
        <v>521.69178082191775</v>
      </c>
      <c r="T301" s="164">
        <f ca="1">SUM(IMSS[[#This Row],[P RSG TRB]:[P INFONAVIT]])</f>
        <v>2221.0507066931505</v>
      </c>
      <c r="U301" s="163">
        <f ca="1">IMSS[[#This Row],[DIAS LAB]]*IMSS[[#This Row],[SDI]]*IMSS[[#This Row],[% RSG]]*$R$108</f>
        <v>0</v>
      </c>
      <c r="V301" s="163">
        <f ca="1">IMSS[[#This Row],[DIAS LAB]]*IMSS[[#This Row],[SDI]]*$R$112</f>
        <v>26.084589041095889</v>
      </c>
      <c r="W301" s="163"/>
      <c r="X301" s="163">
        <f ca="1">IMSS[[#This Row],[DIAS LAB]]*IMSS[[#This Row],[SDI]]*$R$113</f>
        <v>65.733164383561643</v>
      </c>
      <c r="Y301" s="163">
        <f ca="1">IMSS[[#This Row],[DIAS LAB]]*IMSS[[#This Row],[SDI]]*$R$114</f>
        <v>0</v>
      </c>
      <c r="Z301" s="163">
        <f ca="1">IMSS[[#This Row],[DIAS LAB]]*IMSS[[#This Row],[SDI]]*$R$115</f>
        <v>0</v>
      </c>
      <c r="AA301" s="163">
        <f ca="1">IMSS[[#This Row],[DIAS LAB]]*IMSS[[#This Row],[SDI]]*$R$116</f>
        <v>117.90234246575341</v>
      </c>
      <c r="AB301" s="163">
        <f ca="1">IMSS[[#This Row],[DIAS LAB]]*IMSS[[#This Row],[SDI]]*$R$117</f>
        <v>0</v>
      </c>
      <c r="AC301" s="247">
        <f ca="1">SUM(IMSS[[#This Row],[O RSG TRB]:[O INFONAVIT]])</f>
        <v>209.72009589041093</v>
      </c>
      <c r="AD301" s="163"/>
      <c r="AE301" s="165">
        <f ca="1">IMSS[[#This Row],[P TOTAL]]+IMSS[[#This Row],[O TOTAL]]</f>
        <v>2430.7708025835614</v>
      </c>
      <c r="AF301" s="163"/>
      <c r="AG301" s="163">
        <f>VLOOKUP(IMSS[[#This Row],[SUE MENS]],$AG$110:$AJ$120,1,1)</f>
        <v>5470.93</v>
      </c>
      <c r="AH301" s="163">
        <f>IMSS[[#This Row],[SUE MENS]]-IMSS[[#This Row],[LIM INF]]</f>
        <v>3979.0699999999997</v>
      </c>
      <c r="AI301" s="163">
        <f>IMSS[[#This Row],[EXC LIM INF]]*(VLOOKUP(IMSS[[#This Row],[LIM INF]],$AG$110:$AJ$120,4,0))</f>
        <v>432.92281600000001</v>
      </c>
      <c r="AJ301" s="163">
        <f>VLOOKUP(IMSS[[#This Row],[LIM INF]],$AG$110:$AJ$120,3)</f>
        <v>321.26</v>
      </c>
      <c r="AK301" s="163">
        <f>SUM(IMSS[[#This Row],[TASA EXC]]+IMSS[[#This Row],[CUOTA FIJA]])</f>
        <v>754.182816</v>
      </c>
      <c r="AL301" s="163">
        <f>VLOOKUP(IMSS[[#This Row],[SUE MENS]],$AL$110:$AN$120,3,1)</f>
        <v>0</v>
      </c>
      <c r="AM301" s="248">
        <f>IF(IMSS[[#This Row],[ISR CARGO]]-IMSS[[#This Row],[SUBS ISR]]&gt;0,IMSS[[#This Row],[ISR CARGO]]-IMSS[[#This Row],[SUBS ISR]],0)</f>
        <v>754.182816</v>
      </c>
      <c r="AN301" s="248">
        <f>IF(IMSS[[#This Row],[SUBS ISR]]-IMSS[[#This Row],[ISR CARGO]]&gt;0,IMSS[[#This Row],[SUBS ISR]]-IMSS[[#This Row],[ISR CARGO]],0)</f>
        <v>0</v>
      </c>
    </row>
    <row r="302" spans="3:40" ht="15" hidden="1" customHeight="1" x14ac:dyDescent="0.25">
      <c r="C302" s="243">
        <v>314</v>
      </c>
      <c r="D302" s="167" t="str">
        <f>VLOOKUP(IMSS[[#This Row],[NEM]],BDD[],2,0)</f>
        <v>María Guadalupe Adame Hernandez</v>
      </c>
      <c r="E302" s="167" t="str">
        <f>VLOOKUP(IMSS[[#This Row],[NEM]],BDD[],9,0)</f>
        <v>COLECTIVOS</v>
      </c>
      <c r="F302" s="168">
        <v>30</v>
      </c>
      <c r="G302" s="139">
        <f>VLOOKUP(IMSS[[#This Row],[NEM]],BDD[],3,0)</f>
        <v>7445</v>
      </c>
      <c r="H302" s="139">
        <f ca="1">VLOOKUP(IMSS[[#This Row],[NEM]],BDD[],25,0)</f>
        <v>274.00319634703197</v>
      </c>
      <c r="I302" s="143">
        <f>VLOOKUP(IMSS[[#This Row],[DEPT]],$B$3:$G$49,6,0)</f>
        <v>5.4355000000000002E-3</v>
      </c>
      <c r="J302" s="163">
        <f ca="1">IMSS[[#This Row],[DIAS LAB]]*IMSS[[#This Row],[SDI]]*IMSS[[#This Row],[% RSG]]*$Q$108</f>
        <v>44.680331212328774</v>
      </c>
      <c r="K302" s="163">
        <f>IMSS[[#This Row],[DIAS LAB]]*$J$110*$Q$109</f>
        <v>548.47440000000006</v>
      </c>
      <c r="L302" s="166">
        <f ca="1">IMSS[[#This Row],[DIAS LAB]]*IF(IMSS[[#This Row],[SDI]]-$J$113&gt;0,IMSS[[#This Row],[SDI]]-$J$113,0)*$Q$110</f>
        <v>1.6972547945205467</v>
      </c>
      <c r="M302" s="166">
        <f ca="1">IMSS[[#This Row],[DIAS LAB]]*IMSS[[#This Row],[SDI]]*$Q$111</f>
        <v>86.311006849315078</v>
      </c>
      <c r="N302" s="163">
        <f ca="1">IMSS[[#This Row],[DIAS LAB]]*IMSS[[#This Row],[SDI]]*$Q$112</f>
        <v>57.540671232876718</v>
      </c>
      <c r="O302" s="166">
        <f ca="1">IMSS[[#This Row],[DIAS LAB]]*IMSS[[#This Row],[SDI]]*$Q$113</f>
        <v>143.8516780821918</v>
      </c>
      <c r="P302" s="163">
        <f ca="1">IMSS[[#This Row],[DIAS LAB]]*IMSS[[#This Row],[SDI]]*$Q$114</f>
        <v>82.200958904109598</v>
      </c>
      <c r="Q302" s="166">
        <f ca="1">IMSS[[#This Row],[DIAS LAB]]*IMSS[[#This Row],[SDI]]*$Q$115</f>
        <v>164.4019178082192</v>
      </c>
      <c r="R302" s="163">
        <f ca="1">IMSS[[#This Row],[DIAS LAB]]*IMSS[[#This Row],[SDI]]*$Q$116</f>
        <v>258.9330205479452</v>
      </c>
      <c r="S302" s="163">
        <f ca="1">IMSS[[#This Row],[DIAS LAB]]*IMSS[[#This Row],[SDI]]*$Q$117</f>
        <v>411.00479452054799</v>
      </c>
      <c r="T302" s="164">
        <f ca="1">SUM(IMSS[[#This Row],[P RSG TRB]:[P INFONAVIT]])</f>
        <v>1799.0960339520548</v>
      </c>
      <c r="U302" s="163">
        <f ca="1">IMSS[[#This Row],[DIAS LAB]]*IMSS[[#This Row],[SDI]]*IMSS[[#This Row],[% RSG]]*$R$108</f>
        <v>0</v>
      </c>
      <c r="V302" s="163">
        <f ca="1">IMSS[[#This Row],[DIAS LAB]]*IMSS[[#This Row],[SDI]]*$R$112</f>
        <v>20.550239726027399</v>
      </c>
      <c r="W302" s="163"/>
      <c r="X302" s="163">
        <f ca="1">IMSS[[#This Row],[DIAS LAB]]*IMSS[[#This Row],[SDI]]*$R$113</f>
        <v>51.786604109589042</v>
      </c>
      <c r="Y302" s="163">
        <f ca="1">IMSS[[#This Row],[DIAS LAB]]*IMSS[[#This Row],[SDI]]*$R$114</f>
        <v>0</v>
      </c>
      <c r="Z302" s="163">
        <f ca="1">IMSS[[#This Row],[DIAS LAB]]*IMSS[[#This Row],[SDI]]*$R$115</f>
        <v>0</v>
      </c>
      <c r="AA302" s="163">
        <f ca="1">IMSS[[#This Row],[DIAS LAB]]*IMSS[[#This Row],[SDI]]*$R$116</f>
        <v>92.887083561643834</v>
      </c>
      <c r="AB302" s="163">
        <f ca="1">IMSS[[#This Row],[DIAS LAB]]*IMSS[[#This Row],[SDI]]*$R$117</f>
        <v>0</v>
      </c>
      <c r="AC302" s="247">
        <f ca="1">SUM(IMSS[[#This Row],[O RSG TRB]:[O INFONAVIT]])</f>
        <v>165.22392739726027</v>
      </c>
      <c r="AD302" s="163"/>
      <c r="AE302" s="165">
        <f ca="1">IMSS[[#This Row],[P TOTAL]]+IMSS[[#This Row],[O TOTAL]]</f>
        <v>1964.319961349315</v>
      </c>
      <c r="AF302" s="163"/>
      <c r="AG302" s="163">
        <f>VLOOKUP(IMSS[[#This Row],[SUE MENS]],$AG$110:$AJ$120,1,1)</f>
        <v>5470.93</v>
      </c>
      <c r="AH302" s="163">
        <f>IMSS[[#This Row],[SUE MENS]]-IMSS[[#This Row],[LIM INF]]</f>
        <v>1974.0699999999997</v>
      </c>
      <c r="AI302" s="163">
        <f>IMSS[[#This Row],[EXC LIM INF]]*(VLOOKUP(IMSS[[#This Row],[LIM INF]],$AG$110:$AJ$120,4,0))</f>
        <v>214.77881599999998</v>
      </c>
      <c r="AJ302" s="163">
        <f>VLOOKUP(IMSS[[#This Row],[LIM INF]],$AG$110:$AJ$120,3)</f>
        <v>321.26</v>
      </c>
      <c r="AK302" s="163">
        <f>SUM(IMSS[[#This Row],[TASA EXC]]+IMSS[[#This Row],[CUOTA FIJA]])</f>
        <v>536.038816</v>
      </c>
      <c r="AL302" s="163">
        <f>VLOOKUP(IMSS[[#This Row],[SUE MENS]],$AL$110:$AN$120,3,1)</f>
        <v>0</v>
      </c>
      <c r="AM302" s="248">
        <f>IF(IMSS[[#This Row],[ISR CARGO]]-IMSS[[#This Row],[SUBS ISR]]&gt;0,IMSS[[#This Row],[ISR CARGO]]-IMSS[[#This Row],[SUBS ISR]],0)</f>
        <v>536.038816</v>
      </c>
      <c r="AN302" s="248">
        <f>IF(IMSS[[#This Row],[SUBS ISR]]-IMSS[[#This Row],[ISR CARGO]]&gt;0,IMSS[[#This Row],[SUBS ISR]]-IMSS[[#This Row],[ISR CARGO]],0)</f>
        <v>0</v>
      </c>
    </row>
    <row r="303" spans="3:40" ht="15" hidden="1" customHeight="1" x14ac:dyDescent="0.25">
      <c r="C303" s="243">
        <v>315</v>
      </c>
      <c r="D303" s="167" t="str">
        <f>VLOOKUP(IMSS[[#This Row],[NEM]],BDD[],2,0)</f>
        <v>Uziel Castro García</v>
      </c>
      <c r="E303" s="167" t="str">
        <f>VLOOKUP(IMSS[[#This Row],[NEM]],BDD[],9,0)</f>
        <v>CONTROL</v>
      </c>
      <c r="F303" s="168">
        <v>30</v>
      </c>
      <c r="G303" s="139">
        <f>VLOOKUP(IMSS[[#This Row],[NEM]],BDD[],3,0)</f>
        <v>10860</v>
      </c>
      <c r="H303" s="139">
        <f ca="1">VLOOKUP(IMSS[[#This Row],[NEM]],BDD[],25,0)</f>
        <v>399.68767123287671</v>
      </c>
      <c r="I303" s="143">
        <f>VLOOKUP(IMSS[[#This Row],[DEPT]],$B$3:$G$49,6,0)</f>
        <v>5.4355000000000002E-3</v>
      </c>
      <c r="J303" s="163">
        <f ca="1">IMSS[[#This Row],[DIAS LAB]]*IMSS[[#This Row],[SDI]]*IMSS[[#This Row],[% RSG]]*$Q$108</f>
        <v>65.175070109589043</v>
      </c>
      <c r="K303" s="163">
        <f>IMSS[[#This Row],[DIAS LAB]]*$J$110*$Q$109</f>
        <v>548.47440000000006</v>
      </c>
      <c r="L303" s="166">
        <f ca="1">IMSS[[#This Row],[DIAS LAB]]*IF(IMSS[[#This Row],[SDI]]-$J$113&gt;0,IMSS[[#This Row],[SDI]]-$J$113,0)*$Q$110</f>
        <v>43.173131506849309</v>
      </c>
      <c r="M303" s="166">
        <f ca="1">IMSS[[#This Row],[DIAS LAB]]*IMSS[[#This Row],[SDI]]*$Q$111</f>
        <v>125.90161643835617</v>
      </c>
      <c r="N303" s="163">
        <f ca="1">IMSS[[#This Row],[DIAS LAB]]*IMSS[[#This Row],[SDI]]*$Q$112</f>
        <v>83.93441095890411</v>
      </c>
      <c r="O303" s="166">
        <f ca="1">IMSS[[#This Row],[DIAS LAB]]*IMSS[[#This Row],[SDI]]*$Q$113</f>
        <v>209.8360273972603</v>
      </c>
      <c r="P303" s="163">
        <f ca="1">IMSS[[#This Row],[DIAS LAB]]*IMSS[[#This Row],[SDI]]*$Q$114</f>
        <v>119.90630136986302</v>
      </c>
      <c r="Q303" s="166">
        <f ca="1">IMSS[[#This Row],[DIAS LAB]]*IMSS[[#This Row],[SDI]]*$Q$115</f>
        <v>239.81260273972603</v>
      </c>
      <c r="R303" s="163">
        <f ca="1">IMSS[[#This Row],[DIAS LAB]]*IMSS[[#This Row],[SDI]]*$Q$116</f>
        <v>377.70484931506849</v>
      </c>
      <c r="S303" s="163">
        <f ca="1">IMSS[[#This Row],[DIAS LAB]]*IMSS[[#This Row],[SDI]]*$Q$117</f>
        <v>599.53150684931506</v>
      </c>
      <c r="T303" s="164">
        <f ca="1">SUM(IMSS[[#This Row],[P RSG TRB]:[P INFONAVIT]])</f>
        <v>2413.4499166849318</v>
      </c>
      <c r="U303" s="163">
        <f ca="1">IMSS[[#This Row],[DIAS LAB]]*IMSS[[#This Row],[SDI]]*IMSS[[#This Row],[% RSG]]*$R$108</f>
        <v>0</v>
      </c>
      <c r="V303" s="163">
        <f ca="1">IMSS[[#This Row],[DIAS LAB]]*IMSS[[#This Row],[SDI]]*$R$112</f>
        <v>29.976575342465754</v>
      </c>
      <c r="W303" s="163"/>
      <c r="X303" s="163">
        <f ca="1">IMSS[[#This Row],[DIAS LAB]]*IMSS[[#This Row],[SDI]]*$R$113</f>
        <v>75.5409698630137</v>
      </c>
      <c r="Y303" s="163">
        <f ca="1">IMSS[[#This Row],[DIAS LAB]]*IMSS[[#This Row],[SDI]]*$R$114</f>
        <v>0</v>
      </c>
      <c r="Z303" s="163">
        <f ca="1">IMSS[[#This Row],[DIAS LAB]]*IMSS[[#This Row],[SDI]]*$R$115</f>
        <v>0</v>
      </c>
      <c r="AA303" s="163">
        <f ca="1">IMSS[[#This Row],[DIAS LAB]]*IMSS[[#This Row],[SDI]]*$R$116</f>
        <v>135.49412054794519</v>
      </c>
      <c r="AB303" s="163">
        <f ca="1">IMSS[[#This Row],[DIAS LAB]]*IMSS[[#This Row],[SDI]]*$R$117</f>
        <v>0</v>
      </c>
      <c r="AC303" s="247">
        <f ca="1">SUM(IMSS[[#This Row],[O RSG TRB]:[O INFONAVIT]])</f>
        <v>241.01166575342464</v>
      </c>
      <c r="AD303" s="163"/>
      <c r="AE303" s="165">
        <f ca="1">IMSS[[#This Row],[P TOTAL]]+IMSS[[#This Row],[O TOTAL]]</f>
        <v>2654.4615824383563</v>
      </c>
      <c r="AF303" s="163"/>
      <c r="AG303" s="163">
        <f>VLOOKUP(IMSS[[#This Row],[SUE MENS]],$AG$110:$AJ$120,1,1)</f>
        <v>9614.67</v>
      </c>
      <c r="AH303" s="163">
        <f>IMSS[[#This Row],[SUE MENS]]-IMSS[[#This Row],[LIM INF]]</f>
        <v>1245.33</v>
      </c>
      <c r="AI303" s="163">
        <f>IMSS[[#This Row],[EXC LIM INF]]*(VLOOKUP(IMSS[[#This Row],[LIM INF]],$AG$110:$AJ$120,4,0))</f>
        <v>199.25279999999998</v>
      </c>
      <c r="AJ303" s="163">
        <f>VLOOKUP(IMSS[[#This Row],[LIM INF]],$AG$110:$AJ$120,3)</f>
        <v>772.1</v>
      </c>
      <c r="AK303" s="163">
        <f>SUM(IMSS[[#This Row],[TASA EXC]]+IMSS[[#This Row],[CUOTA FIJA]])</f>
        <v>971.3528</v>
      </c>
      <c r="AL303" s="163">
        <f>VLOOKUP(IMSS[[#This Row],[SUE MENS]],$AL$110:$AN$120,3,1)</f>
        <v>0</v>
      </c>
      <c r="AM303" s="248">
        <f>IF(IMSS[[#This Row],[ISR CARGO]]-IMSS[[#This Row],[SUBS ISR]]&gt;0,IMSS[[#This Row],[ISR CARGO]]-IMSS[[#This Row],[SUBS ISR]],0)</f>
        <v>971.3528</v>
      </c>
      <c r="AN303" s="248">
        <f>IF(IMSS[[#This Row],[SUBS ISR]]-IMSS[[#This Row],[ISR CARGO]]&gt;0,IMSS[[#This Row],[SUBS ISR]]-IMSS[[#This Row],[ISR CARGO]],0)</f>
        <v>0</v>
      </c>
    </row>
    <row r="304" spans="3:40" ht="15" hidden="1" customHeight="1" x14ac:dyDescent="0.25">
      <c r="C304" s="243">
        <v>316</v>
      </c>
      <c r="D304" s="167" t="str">
        <f>VLOOKUP(IMSS[[#This Row],[NEM]],BDD[],2,0)</f>
        <v>Devany Alexandra Montoya Muñiz</v>
      </c>
      <c r="E304" s="167" t="str">
        <f>VLOOKUP(IMSS[[#This Row],[NEM]],BDD[],9,0)</f>
        <v>AUDIT PROY</v>
      </c>
      <c r="F304" s="168">
        <v>30</v>
      </c>
      <c r="G304" s="139">
        <f>VLOOKUP(IMSS[[#This Row],[NEM]],BDD[],3,0)</f>
        <v>7445</v>
      </c>
      <c r="H304" s="139">
        <f ca="1">VLOOKUP(IMSS[[#This Row],[NEM]],BDD[],25,0)</f>
        <v>274.00319634703197</v>
      </c>
      <c r="I304" s="143">
        <f>VLOOKUP(IMSS[[#This Row],[DEPT]],$B$3:$G$49,6,0)</f>
        <v>1.130658E-2</v>
      </c>
      <c r="J304" s="163">
        <f ca="1">IMSS[[#This Row],[DIAS LAB]]*IMSS[[#This Row],[SDI]]*IMSS[[#This Row],[% RSG]]*$Q$108</f>
        <v>92.941171792602745</v>
      </c>
      <c r="K304" s="163">
        <f>IMSS[[#This Row],[DIAS LAB]]*$J$110*$Q$109</f>
        <v>548.47440000000006</v>
      </c>
      <c r="L304" s="166">
        <f ca="1">IMSS[[#This Row],[DIAS LAB]]*IF(IMSS[[#This Row],[SDI]]-$J$113&gt;0,IMSS[[#This Row],[SDI]]-$J$113,0)*$Q$110</f>
        <v>1.6972547945205467</v>
      </c>
      <c r="M304" s="166">
        <f ca="1">IMSS[[#This Row],[DIAS LAB]]*IMSS[[#This Row],[SDI]]*$Q$111</f>
        <v>86.311006849315078</v>
      </c>
      <c r="N304" s="163">
        <f ca="1">IMSS[[#This Row],[DIAS LAB]]*IMSS[[#This Row],[SDI]]*$Q$112</f>
        <v>57.540671232876718</v>
      </c>
      <c r="O304" s="166">
        <f ca="1">IMSS[[#This Row],[DIAS LAB]]*IMSS[[#This Row],[SDI]]*$Q$113</f>
        <v>143.8516780821918</v>
      </c>
      <c r="P304" s="163">
        <f ca="1">IMSS[[#This Row],[DIAS LAB]]*IMSS[[#This Row],[SDI]]*$Q$114</f>
        <v>82.200958904109598</v>
      </c>
      <c r="Q304" s="166">
        <f ca="1">IMSS[[#This Row],[DIAS LAB]]*IMSS[[#This Row],[SDI]]*$Q$115</f>
        <v>164.4019178082192</v>
      </c>
      <c r="R304" s="163">
        <f ca="1">IMSS[[#This Row],[DIAS LAB]]*IMSS[[#This Row],[SDI]]*$Q$116</f>
        <v>258.9330205479452</v>
      </c>
      <c r="S304" s="163">
        <f ca="1">IMSS[[#This Row],[DIAS LAB]]*IMSS[[#This Row],[SDI]]*$Q$117</f>
        <v>411.00479452054799</v>
      </c>
      <c r="T304" s="164">
        <f ca="1">SUM(IMSS[[#This Row],[P RSG TRB]:[P INFONAVIT]])</f>
        <v>1847.3568745323291</v>
      </c>
      <c r="U304" s="163">
        <f ca="1">IMSS[[#This Row],[DIAS LAB]]*IMSS[[#This Row],[SDI]]*IMSS[[#This Row],[% RSG]]*$R$108</f>
        <v>0</v>
      </c>
      <c r="V304" s="163">
        <f ca="1">IMSS[[#This Row],[DIAS LAB]]*IMSS[[#This Row],[SDI]]*$R$112</f>
        <v>20.550239726027399</v>
      </c>
      <c r="W304" s="163"/>
      <c r="X304" s="163">
        <f ca="1">IMSS[[#This Row],[DIAS LAB]]*IMSS[[#This Row],[SDI]]*$R$113</f>
        <v>51.786604109589042</v>
      </c>
      <c r="Y304" s="163">
        <f ca="1">IMSS[[#This Row],[DIAS LAB]]*IMSS[[#This Row],[SDI]]*$R$114</f>
        <v>0</v>
      </c>
      <c r="Z304" s="163">
        <f ca="1">IMSS[[#This Row],[DIAS LAB]]*IMSS[[#This Row],[SDI]]*$R$115</f>
        <v>0</v>
      </c>
      <c r="AA304" s="163">
        <f ca="1">IMSS[[#This Row],[DIAS LAB]]*IMSS[[#This Row],[SDI]]*$R$116</f>
        <v>92.887083561643834</v>
      </c>
      <c r="AB304" s="163">
        <f ca="1">IMSS[[#This Row],[DIAS LAB]]*IMSS[[#This Row],[SDI]]*$R$117</f>
        <v>0</v>
      </c>
      <c r="AC304" s="247">
        <f ca="1">SUM(IMSS[[#This Row],[O RSG TRB]:[O INFONAVIT]])</f>
        <v>165.22392739726027</v>
      </c>
      <c r="AD304" s="163"/>
      <c r="AE304" s="165">
        <f ca="1">IMSS[[#This Row],[P TOTAL]]+IMSS[[#This Row],[O TOTAL]]</f>
        <v>2012.5808019295894</v>
      </c>
      <c r="AF304" s="163"/>
      <c r="AG304" s="163">
        <f>VLOOKUP(IMSS[[#This Row],[SUE MENS]],$AG$110:$AJ$120,1,1)</f>
        <v>5470.93</v>
      </c>
      <c r="AH304" s="163">
        <f>IMSS[[#This Row],[SUE MENS]]-IMSS[[#This Row],[LIM INF]]</f>
        <v>1974.0699999999997</v>
      </c>
      <c r="AI304" s="163">
        <f>IMSS[[#This Row],[EXC LIM INF]]*(VLOOKUP(IMSS[[#This Row],[LIM INF]],$AG$110:$AJ$120,4,0))</f>
        <v>214.77881599999998</v>
      </c>
      <c r="AJ304" s="163">
        <f>VLOOKUP(IMSS[[#This Row],[LIM INF]],$AG$110:$AJ$120,3)</f>
        <v>321.26</v>
      </c>
      <c r="AK304" s="163">
        <f>SUM(IMSS[[#This Row],[TASA EXC]]+IMSS[[#This Row],[CUOTA FIJA]])</f>
        <v>536.038816</v>
      </c>
      <c r="AL304" s="163">
        <f>VLOOKUP(IMSS[[#This Row],[SUE MENS]],$AL$110:$AN$120,3,1)</f>
        <v>0</v>
      </c>
      <c r="AM304" s="248">
        <f>IF(IMSS[[#This Row],[ISR CARGO]]-IMSS[[#This Row],[SUBS ISR]]&gt;0,IMSS[[#This Row],[ISR CARGO]]-IMSS[[#This Row],[SUBS ISR]],0)</f>
        <v>536.038816</v>
      </c>
      <c r="AN304" s="248">
        <f>IF(IMSS[[#This Row],[SUBS ISR]]-IMSS[[#This Row],[ISR CARGO]]&gt;0,IMSS[[#This Row],[SUBS ISR]]-IMSS[[#This Row],[ISR CARGO]],0)</f>
        <v>0</v>
      </c>
    </row>
    <row r="305" spans="3:40" ht="15" hidden="1" customHeight="1" x14ac:dyDescent="0.25">
      <c r="C305" s="243">
        <v>317</v>
      </c>
      <c r="D305" s="167" t="str">
        <f>VLOOKUP(IMSS[[#This Row],[NEM]],BDD[],2,0)</f>
        <v>Nancy Margarita Sáenz Garza</v>
      </c>
      <c r="E305" s="167" t="str">
        <f>VLOOKUP(IMSS[[#This Row],[NEM]],BDD[],9,0)</f>
        <v>ARQUITECT</v>
      </c>
      <c r="F305" s="168">
        <v>30</v>
      </c>
      <c r="G305" s="139">
        <f>VLOOKUP(IMSS[[#This Row],[NEM]],BDD[],3,0)</f>
        <v>6778</v>
      </c>
      <c r="H305" s="139">
        <f ca="1">VLOOKUP(IMSS[[#This Row],[NEM]],BDD[],25,0)</f>
        <v>237.69424657534245</v>
      </c>
      <c r="I305" s="143">
        <f>VLOOKUP(IMSS[[#This Row],[DEPT]],$B$3:$G$49,6,0)</f>
        <v>2.5984400000000001E-2</v>
      </c>
      <c r="J305" s="163">
        <f ca="1">IMSS[[#This Row],[DIAS LAB]]*IMSS[[#This Row],[SDI]]*IMSS[[#This Row],[% RSG]]*$Q$108</f>
        <v>185.29027142136988</v>
      </c>
      <c r="K305" s="163">
        <f>IMSS[[#This Row],[DIAS LAB]]*$J$110*$Q$109</f>
        <v>548.47440000000006</v>
      </c>
      <c r="L305" s="166">
        <f ca="1">IMSS[[#This Row],[DIAS LAB]]*IF(IMSS[[#This Row],[SDI]]-$J$113&gt;0,IMSS[[#This Row],[SDI]]-$J$113,0)*$Q$110</f>
        <v>0</v>
      </c>
      <c r="M305" s="166">
        <f ca="1">IMSS[[#This Row],[DIAS LAB]]*IMSS[[#This Row],[SDI]]*$Q$111</f>
        <v>74.873687671232872</v>
      </c>
      <c r="N305" s="163">
        <f ca="1">IMSS[[#This Row],[DIAS LAB]]*IMSS[[#This Row],[SDI]]*$Q$112</f>
        <v>49.91579178082192</v>
      </c>
      <c r="O305" s="166">
        <f ca="1">IMSS[[#This Row],[DIAS LAB]]*IMSS[[#This Row],[SDI]]*$Q$113</f>
        <v>124.78947945205481</v>
      </c>
      <c r="P305" s="163">
        <f ca="1">IMSS[[#This Row],[DIAS LAB]]*IMSS[[#This Row],[SDI]]*$Q$114</f>
        <v>71.308273972602734</v>
      </c>
      <c r="Q305" s="166">
        <f ca="1">IMSS[[#This Row],[DIAS LAB]]*IMSS[[#This Row],[SDI]]*$Q$115</f>
        <v>142.61654794520547</v>
      </c>
      <c r="R305" s="163">
        <f ca="1">IMSS[[#This Row],[DIAS LAB]]*IMSS[[#This Row],[SDI]]*$Q$116</f>
        <v>224.62106301369863</v>
      </c>
      <c r="S305" s="163">
        <f ca="1">IMSS[[#This Row],[DIAS LAB]]*IMSS[[#This Row],[SDI]]*$Q$117</f>
        <v>356.5413698630137</v>
      </c>
      <c r="T305" s="164">
        <f ca="1">SUM(IMSS[[#This Row],[P RSG TRB]:[P INFONAVIT]])</f>
        <v>1778.4308851200001</v>
      </c>
      <c r="U305" s="163">
        <f ca="1">IMSS[[#This Row],[DIAS LAB]]*IMSS[[#This Row],[SDI]]*IMSS[[#This Row],[% RSG]]*$R$108</f>
        <v>0</v>
      </c>
      <c r="V305" s="163">
        <f ca="1">IMSS[[#This Row],[DIAS LAB]]*IMSS[[#This Row],[SDI]]*$R$112</f>
        <v>17.827068493150684</v>
      </c>
      <c r="W305" s="163"/>
      <c r="X305" s="163">
        <f ca="1">IMSS[[#This Row],[DIAS LAB]]*IMSS[[#This Row],[SDI]]*$R$113</f>
        <v>44.924212602739722</v>
      </c>
      <c r="Y305" s="163">
        <f ca="1">IMSS[[#This Row],[DIAS LAB]]*IMSS[[#This Row],[SDI]]*$R$114</f>
        <v>0</v>
      </c>
      <c r="Z305" s="163">
        <f ca="1">IMSS[[#This Row],[DIAS LAB]]*IMSS[[#This Row],[SDI]]*$R$115</f>
        <v>0</v>
      </c>
      <c r="AA305" s="163">
        <f ca="1">IMSS[[#This Row],[DIAS LAB]]*IMSS[[#This Row],[SDI]]*$R$116</f>
        <v>80.578349589041082</v>
      </c>
      <c r="AB305" s="163">
        <f ca="1">IMSS[[#This Row],[DIAS LAB]]*IMSS[[#This Row],[SDI]]*$R$117</f>
        <v>0</v>
      </c>
      <c r="AC305" s="247">
        <f ca="1">SUM(IMSS[[#This Row],[O RSG TRB]:[O INFONAVIT]])</f>
        <v>143.32963068493149</v>
      </c>
      <c r="AD305" s="163"/>
      <c r="AE305" s="165">
        <f ca="1">IMSS[[#This Row],[P TOTAL]]+IMSS[[#This Row],[O TOTAL]]</f>
        <v>1921.7605158049316</v>
      </c>
      <c r="AF305" s="163"/>
      <c r="AG305" s="163">
        <f>VLOOKUP(IMSS[[#This Row],[SUE MENS]],$AG$110:$AJ$120,1,1)</f>
        <v>5470.93</v>
      </c>
      <c r="AH305" s="163">
        <f>IMSS[[#This Row],[SUE MENS]]-IMSS[[#This Row],[LIM INF]]</f>
        <v>1307.0699999999997</v>
      </c>
      <c r="AI305" s="163">
        <f>IMSS[[#This Row],[EXC LIM INF]]*(VLOOKUP(IMSS[[#This Row],[LIM INF]],$AG$110:$AJ$120,4,0))</f>
        <v>142.20921599999997</v>
      </c>
      <c r="AJ305" s="163">
        <f>VLOOKUP(IMSS[[#This Row],[LIM INF]],$AG$110:$AJ$120,3)</f>
        <v>321.26</v>
      </c>
      <c r="AK305" s="163">
        <f>SUM(IMSS[[#This Row],[TASA EXC]]+IMSS[[#This Row],[CUOTA FIJA]])</f>
        <v>463.46921599999996</v>
      </c>
      <c r="AL305" s="163">
        <f>VLOOKUP(IMSS[[#This Row],[SUE MENS]],$AL$110:$AN$120,3,1)</f>
        <v>253.54</v>
      </c>
      <c r="AM305" s="248">
        <f>IF(IMSS[[#This Row],[ISR CARGO]]-IMSS[[#This Row],[SUBS ISR]]&gt;0,IMSS[[#This Row],[ISR CARGO]]-IMSS[[#This Row],[SUBS ISR]],0)</f>
        <v>209.92921599999997</v>
      </c>
      <c r="AN305" s="248">
        <f>IF(IMSS[[#This Row],[SUBS ISR]]-IMSS[[#This Row],[ISR CARGO]]&gt;0,IMSS[[#This Row],[SUBS ISR]]-IMSS[[#This Row],[ISR CARGO]],0)</f>
        <v>0</v>
      </c>
    </row>
    <row r="306" spans="3:40" ht="15" hidden="1" customHeight="1" x14ac:dyDescent="0.25">
      <c r="C306" s="243">
        <v>318</v>
      </c>
      <c r="D306" s="167" t="str">
        <f>VLOOKUP(IMSS[[#This Row],[NEM]],BDD[],2,0)</f>
        <v>Carlos Antonio Rodriguez Campechano</v>
      </c>
      <c r="E306" s="167" t="str">
        <f>VLOOKUP(IMSS[[#This Row],[NEM]],BDD[],9,0)</f>
        <v>CRÉDITOS</v>
      </c>
      <c r="F306" s="168">
        <v>30</v>
      </c>
      <c r="G306" s="139">
        <f>VLOOKUP(IMSS[[#This Row],[NEM]],BDD[],3,0)</f>
        <v>10350</v>
      </c>
      <c r="H306" s="139">
        <f ca="1">VLOOKUP(IMSS[[#This Row],[NEM]],BDD[],25,0)</f>
        <v>380.91780821917808</v>
      </c>
      <c r="I306" s="143">
        <f>VLOOKUP(IMSS[[#This Row],[DEPT]],$B$3:$G$49,6,0)</f>
        <v>5.4355000000000002E-3</v>
      </c>
      <c r="J306" s="163">
        <f ca="1">IMSS[[#This Row],[DIAS LAB]]*IMSS[[#This Row],[SDI]]*IMSS[[#This Row],[% RSG]]*$Q$108</f>
        <v>62.114362397260273</v>
      </c>
      <c r="K306" s="163">
        <f>IMSS[[#This Row],[DIAS LAB]]*$J$110*$Q$109</f>
        <v>548.47440000000006</v>
      </c>
      <c r="L306" s="166">
        <f ca="1">IMSS[[#This Row],[DIAS LAB]]*IF(IMSS[[#This Row],[SDI]]-$J$113&gt;0,IMSS[[#This Row],[SDI]]-$J$113,0)*$Q$110</f>
        <v>36.979076712328762</v>
      </c>
      <c r="M306" s="166">
        <f ca="1">IMSS[[#This Row],[DIAS LAB]]*IMSS[[#This Row],[SDI]]*$Q$111</f>
        <v>119.98910958904109</v>
      </c>
      <c r="N306" s="163">
        <f ca="1">IMSS[[#This Row],[DIAS LAB]]*IMSS[[#This Row],[SDI]]*$Q$112</f>
        <v>79.992739726027395</v>
      </c>
      <c r="O306" s="166">
        <f ca="1">IMSS[[#This Row],[DIAS LAB]]*IMSS[[#This Row],[SDI]]*$Q$113</f>
        <v>199.9818493150685</v>
      </c>
      <c r="P306" s="163">
        <f ca="1">IMSS[[#This Row],[DIAS LAB]]*IMSS[[#This Row],[SDI]]*$Q$114</f>
        <v>114.27534246575343</v>
      </c>
      <c r="Q306" s="166">
        <f ca="1">IMSS[[#This Row],[DIAS LAB]]*IMSS[[#This Row],[SDI]]*$Q$115</f>
        <v>228.55068493150685</v>
      </c>
      <c r="R306" s="163">
        <f ca="1">IMSS[[#This Row],[DIAS LAB]]*IMSS[[#This Row],[SDI]]*$Q$116</f>
        <v>359.96732876712326</v>
      </c>
      <c r="S306" s="163">
        <f ca="1">IMSS[[#This Row],[DIAS LAB]]*IMSS[[#This Row],[SDI]]*$Q$117</f>
        <v>571.3767123287671</v>
      </c>
      <c r="T306" s="164">
        <f ca="1">SUM(IMSS[[#This Row],[P RSG TRB]:[P INFONAVIT]])</f>
        <v>2321.7016062328767</v>
      </c>
      <c r="U306" s="163">
        <f ca="1">IMSS[[#This Row],[DIAS LAB]]*IMSS[[#This Row],[SDI]]*IMSS[[#This Row],[% RSG]]*$R$108</f>
        <v>0</v>
      </c>
      <c r="V306" s="163">
        <f ca="1">IMSS[[#This Row],[DIAS LAB]]*IMSS[[#This Row],[SDI]]*$R$112</f>
        <v>28.568835616438356</v>
      </c>
      <c r="W306" s="163"/>
      <c r="X306" s="163">
        <f ca="1">IMSS[[#This Row],[DIAS LAB]]*IMSS[[#This Row],[SDI]]*$R$113</f>
        <v>71.993465753424658</v>
      </c>
      <c r="Y306" s="163">
        <f ca="1">IMSS[[#This Row],[DIAS LAB]]*IMSS[[#This Row],[SDI]]*$R$114</f>
        <v>0</v>
      </c>
      <c r="Z306" s="163">
        <f ca="1">IMSS[[#This Row],[DIAS LAB]]*IMSS[[#This Row],[SDI]]*$R$115</f>
        <v>0</v>
      </c>
      <c r="AA306" s="163">
        <f ca="1">IMSS[[#This Row],[DIAS LAB]]*IMSS[[#This Row],[SDI]]*$R$116</f>
        <v>129.13113698630136</v>
      </c>
      <c r="AB306" s="163">
        <f ca="1">IMSS[[#This Row],[DIAS LAB]]*IMSS[[#This Row],[SDI]]*$R$117</f>
        <v>0</v>
      </c>
      <c r="AC306" s="247">
        <f ca="1">SUM(IMSS[[#This Row],[O RSG TRB]:[O INFONAVIT]])</f>
        <v>229.69343835616436</v>
      </c>
      <c r="AD306" s="163"/>
      <c r="AE306" s="165">
        <f ca="1">IMSS[[#This Row],[P TOTAL]]+IMSS[[#This Row],[O TOTAL]]</f>
        <v>2551.3950445890409</v>
      </c>
      <c r="AF306" s="163"/>
      <c r="AG306" s="163">
        <f>VLOOKUP(IMSS[[#This Row],[SUE MENS]],$AG$110:$AJ$120,1,1)</f>
        <v>9614.67</v>
      </c>
      <c r="AH306" s="163">
        <f>IMSS[[#This Row],[SUE MENS]]-IMSS[[#This Row],[LIM INF]]</f>
        <v>735.32999999999993</v>
      </c>
      <c r="AI306" s="163">
        <f>IMSS[[#This Row],[EXC LIM INF]]*(VLOOKUP(IMSS[[#This Row],[LIM INF]],$AG$110:$AJ$120,4,0))</f>
        <v>117.65279999999998</v>
      </c>
      <c r="AJ306" s="163">
        <f>VLOOKUP(IMSS[[#This Row],[LIM INF]],$AG$110:$AJ$120,3)</f>
        <v>772.1</v>
      </c>
      <c r="AK306" s="163">
        <f>SUM(IMSS[[#This Row],[TASA EXC]]+IMSS[[#This Row],[CUOTA FIJA]])</f>
        <v>889.75279999999998</v>
      </c>
      <c r="AL306" s="163">
        <f>VLOOKUP(IMSS[[#This Row],[SUE MENS]],$AL$110:$AN$120,3,1)</f>
        <v>0</v>
      </c>
      <c r="AM306" s="248">
        <f>IF(IMSS[[#This Row],[ISR CARGO]]-IMSS[[#This Row],[SUBS ISR]]&gt;0,IMSS[[#This Row],[ISR CARGO]]-IMSS[[#This Row],[SUBS ISR]],0)</f>
        <v>889.75279999999998</v>
      </c>
      <c r="AN306" s="248">
        <f>IF(IMSS[[#This Row],[SUBS ISR]]-IMSS[[#This Row],[ISR CARGO]]&gt;0,IMSS[[#This Row],[SUBS ISR]]-IMSS[[#This Row],[ISR CARGO]],0)</f>
        <v>0</v>
      </c>
    </row>
    <row r="307" spans="3:40" ht="15" hidden="1" customHeight="1" x14ac:dyDescent="0.25">
      <c r="C307" s="243">
        <v>319</v>
      </c>
      <c r="D307" s="167" t="str">
        <f>VLOOKUP(IMSS[[#This Row],[NEM]],BDD[],2,0)</f>
        <v>Rebeca De La Cruz Salgado</v>
      </c>
      <c r="E307" s="167" t="str">
        <f>VLOOKUP(IMSS[[#This Row],[NEM]],BDD[],9,0)</f>
        <v>INST CAMPO</v>
      </c>
      <c r="F307" s="168">
        <v>30</v>
      </c>
      <c r="G307" s="139">
        <f>VLOOKUP(IMSS[[#This Row],[NEM]],BDD[],3,0)</f>
        <v>6778</v>
      </c>
      <c r="H307" s="139">
        <f ca="1">VLOOKUP(IMSS[[#This Row],[NEM]],BDD[],25,0)</f>
        <v>237.69424657534245</v>
      </c>
      <c r="I307" s="143">
        <f>VLOOKUP(IMSS[[#This Row],[DEPT]],$B$3:$G$49,6,0)</f>
        <v>4.6532499999999997E-2</v>
      </c>
      <c r="J307" s="163">
        <f ca="1">IMSS[[#This Row],[DIAS LAB]]*IMSS[[#This Row],[SDI]]*IMSS[[#This Row],[% RSG]]*$Q$108</f>
        <v>331.81522586301367</v>
      </c>
      <c r="K307" s="163">
        <f>IMSS[[#This Row],[DIAS LAB]]*$J$110*$Q$109</f>
        <v>548.47440000000006</v>
      </c>
      <c r="L307" s="166">
        <f ca="1">IMSS[[#This Row],[DIAS LAB]]*IF(IMSS[[#This Row],[SDI]]-$J$113&gt;0,IMSS[[#This Row],[SDI]]-$J$113,0)*$Q$110</f>
        <v>0</v>
      </c>
      <c r="M307" s="166">
        <f ca="1">IMSS[[#This Row],[DIAS LAB]]*IMSS[[#This Row],[SDI]]*$Q$111</f>
        <v>74.873687671232872</v>
      </c>
      <c r="N307" s="163">
        <f ca="1">IMSS[[#This Row],[DIAS LAB]]*IMSS[[#This Row],[SDI]]*$Q$112</f>
        <v>49.91579178082192</v>
      </c>
      <c r="O307" s="166">
        <f ca="1">IMSS[[#This Row],[DIAS LAB]]*IMSS[[#This Row],[SDI]]*$Q$113</f>
        <v>124.78947945205481</v>
      </c>
      <c r="P307" s="163">
        <f ca="1">IMSS[[#This Row],[DIAS LAB]]*IMSS[[#This Row],[SDI]]*$Q$114</f>
        <v>71.308273972602734</v>
      </c>
      <c r="Q307" s="166">
        <f ca="1">IMSS[[#This Row],[DIAS LAB]]*IMSS[[#This Row],[SDI]]*$Q$115</f>
        <v>142.61654794520547</v>
      </c>
      <c r="R307" s="163">
        <f ca="1">IMSS[[#This Row],[DIAS LAB]]*IMSS[[#This Row],[SDI]]*$Q$116</f>
        <v>224.62106301369863</v>
      </c>
      <c r="S307" s="163">
        <f ca="1">IMSS[[#This Row],[DIAS LAB]]*IMSS[[#This Row],[SDI]]*$Q$117</f>
        <v>356.5413698630137</v>
      </c>
      <c r="T307" s="164">
        <f ca="1">SUM(IMSS[[#This Row],[P RSG TRB]:[P INFONAVIT]])</f>
        <v>1924.9558395616439</v>
      </c>
      <c r="U307" s="163">
        <f ca="1">IMSS[[#This Row],[DIAS LAB]]*IMSS[[#This Row],[SDI]]*IMSS[[#This Row],[% RSG]]*$R$108</f>
        <v>0</v>
      </c>
      <c r="V307" s="163">
        <f ca="1">IMSS[[#This Row],[DIAS LAB]]*IMSS[[#This Row],[SDI]]*$R$112</f>
        <v>17.827068493150684</v>
      </c>
      <c r="W307" s="163"/>
      <c r="X307" s="163">
        <f ca="1">IMSS[[#This Row],[DIAS LAB]]*IMSS[[#This Row],[SDI]]*$R$113</f>
        <v>44.924212602739722</v>
      </c>
      <c r="Y307" s="163">
        <f ca="1">IMSS[[#This Row],[DIAS LAB]]*IMSS[[#This Row],[SDI]]*$R$114</f>
        <v>0</v>
      </c>
      <c r="Z307" s="163">
        <f ca="1">IMSS[[#This Row],[DIAS LAB]]*IMSS[[#This Row],[SDI]]*$R$115</f>
        <v>0</v>
      </c>
      <c r="AA307" s="163">
        <f ca="1">IMSS[[#This Row],[DIAS LAB]]*IMSS[[#This Row],[SDI]]*$R$116</f>
        <v>80.578349589041082</v>
      </c>
      <c r="AB307" s="163">
        <f ca="1">IMSS[[#This Row],[DIAS LAB]]*IMSS[[#This Row],[SDI]]*$R$117</f>
        <v>0</v>
      </c>
      <c r="AC307" s="247">
        <f ca="1">SUM(IMSS[[#This Row],[O RSG TRB]:[O INFONAVIT]])</f>
        <v>143.32963068493149</v>
      </c>
      <c r="AD307" s="163"/>
      <c r="AE307" s="165">
        <f ca="1">IMSS[[#This Row],[P TOTAL]]+IMSS[[#This Row],[O TOTAL]]</f>
        <v>2068.2854702465752</v>
      </c>
      <c r="AF307" s="163"/>
      <c r="AG307" s="163">
        <f>VLOOKUP(IMSS[[#This Row],[SUE MENS]],$AG$110:$AJ$120,1,1)</f>
        <v>5470.93</v>
      </c>
      <c r="AH307" s="163">
        <f>IMSS[[#This Row],[SUE MENS]]-IMSS[[#This Row],[LIM INF]]</f>
        <v>1307.0699999999997</v>
      </c>
      <c r="AI307" s="163">
        <f>IMSS[[#This Row],[EXC LIM INF]]*(VLOOKUP(IMSS[[#This Row],[LIM INF]],$AG$110:$AJ$120,4,0))</f>
        <v>142.20921599999997</v>
      </c>
      <c r="AJ307" s="163">
        <f>VLOOKUP(IMSS[[#This Row],[LIM INF]],$AG$110:$AJ$120,3)</f>
        <v>321.26</v>
      </c>
      <c r="AK307" s="163">
        <f>SUM(IMSS[[#This Row],[TASA EXC]]+IMSS[[#This Row],[CUOTA FIJA]])</f>
        <v>463.46921599999996</v>
      </c>
      <c r="AL307" s="163">
        <f>VLOOKUP(IMSS[[#This Row],[SUE MENS]],$AL$110:$AN$120,3,1)</f>
        <v>253.54</v>
      </c>
      <c r="AM307" s="248">
        <f>IF(IMSS[[#This Row],[ISR CARGO]]-IMSS[[#This Row],[SUBS ISR]]&gt;0,IMSS[[#This Row],[ISR CARGO]]-IMSS[[#This Row],[SUBS ISR]],0)</f>
        <v>209.92921599999997</v>
      </c>
      <c r="AN307" s="248">
        <f>IF(IMSS[[#This Row],[SUBS ISR]]-IMSS[[#This Row],[ISR CARGO]]&gt;0,IMSS[[#This Row],[SUBS ISR]]-IMSS[[#This Row],[ISR CARGO]],0)</f>
        <v>0</v>
      </c>
    </row>
    <row r="308" spans="3:40" ht="15" hidden="1" customHeight="1" x14ac:dyDescent="0.25">
      <c r="C308" s="243">
        <v>320</v>
      </c>
      <c r="D308" s="167" t="str">
        <f>VLOOKUP(IMSS[[#This Row],[NEM]],BDD[],2,0)</f>
        <v>Lidia Teresa Palma Zavaleta</v>
      </c>
      <c r="E308" s="167" t="str">
        <f>VLOOKUP(IMSS[[#This Row],[NEM]],BDD[],9,0)</f>
        <v>CONTROL</v>
      </c>
      <c r="F308" s="168">
        <v>30</v>
      </c>
      <c r="G308" s="139">
        <f>VLOOKUP(IMSS[[#This Row],[NEM]],BDD[],3,0)</f>
        <v>7950</v>
      </c>
      <c r="H308" s="139">
        <f ca="1">VLOOKUP(IMSS[[#This Row],[NEM]],BDD[],25,0)</f>
        <v>292.58904109589042</v>
      </c>
      <c r="I308" s="143">
        <f>VLOOKUP(IMSS[[#This Row],[DEPT]],$B$3:$G$49,6,0)</f>
        <v>5.4355000000000002E-3</v>
      </c>
      <c r="J308" s="163">
        <f ca="1">IMSS[[#This Row],[DIAS LAB]]*IMSS[[#This Row],[SDI]]*IMSS[[#This Row],[% RSG]]*$Q$108</f>
        <v>47.711031986301379</v>
      </c>
      <c r="K308" s="163">
        <f>IMSS[[#This Row],[DIAS LAB]]*$J$110*$Q$109</f>
        <v>548.47440000000006</v>
      </c>
      <c r="L308" s="166">
        <f ca="1">IMSS[[#This Row],[DIAS LAB]]*IF(IMSS[[#This Row],[SDI]]-$J$113&gt;0,IMSS[[#This Row],[SDI]]-$J$113,0)*$Q$110</f>
        <v>7.8305835616438344</v>
      </c>
      <c r="M308" s="166">
        <f ca="1">IMSS[[#This Row],[DIAS LAB]]*IMSS[[#This Row],[SDI]]*$Q$111</f>
        <v>92.165547945205503</v>
      </c>
      <c r="N308" s="163">
        <f ca="1">IMSS[[#This Row],[DIAS LAB]]*IMSS[[#This Row],[SDI]]*$Q$112</f>
        <v>61.443698630136993</v>
      </c>
      <c r="O308" s="166">
        <f ca="1">IMSS[[#This Row],[DIAS LAB]]*IMSS[[#This Row],[SDI]]*$Q$113</f>
        <v>153.6092465753425</v>
      </c>
      <c r="P308" s="163">
        <f ca="1">IMSS[[#This Row],[DIAS LAB]]*IMSS[[#This Row],[SDI]]*$Q$114</f>
        <v>87.776712328767132</v>
      </c>
      <c r="Q308" s="166">
        <f ca="1">IMSS[[#This Row],[DIAS LAB]]*IMSS[[#This Row],[SDI]]*$Q$115</f>
        <v>175.55342465753426</v>
      </c>
      <c r="R308" s="163">
        <f ca="1">IMSS[[#This Row],[DIAS LAB]]*IMSS[[#This Row],[SDI]]*$Q$116</f>
        <v>276.49664383561645</v>
      </c>
      <c r="S308" s="163">
        <f ca="1">IMSS[[#This Row],[DIAS LAB]]*IMSS[[#This Row],[SDI]]*$Q$117</f>
        <v>438.88356164383572</v>
      </c>
      <c r="T308" s="164">
        <f ca="1">SUM(IMSS[[#This Row],[P RSG TRB]:[P INFONAVIT]])</f>
        <v>1889.9448511643839</v>
      </c>
      <c r="U308" s="163">
        <f ca="1">IMSS[[#This Row],[DIAS LAB]]*IMSS[[#This Row],[SDI]]*IMSS[[#This Row],[% RSG]]*$R$108</f>
        <v>0</v>
      </c>
      <c r="V308" s="163">
        <f ca="1">IMSS[[#This Row],[DIAS LAB]]*IMSS[[#This Row],[SDI]]*$R$112</f>
        <v>21.944178082191783</v>
      </c>
      <c r="W308" s="163"/>
      <c r="X308" s="163">
        <f ca="1">IMSS[[#This Row],[DIAS LAB]]*IMSS[[#This Row],[SDI]]*$R$113</f>
        <v>55.299328767123292</v>
      </c>
      <c r="Y308" s="163">
        <f ca="1">IMSS[[#This Row],[DIAS LAB]]*IMSS[[#This Row],[SDI]]*$R$114</f>
        <v>0</v>
      </c>
      <c r="Z308" s="163">
        <f ca="1">IMSS[[#This Row],[DIAS LAB]]*IMSS[[#This Row],[SDI]]*$R$115</f>
        <v>0</v>
      </c>
      <c r="AA308" s="163">
        <f ca="1">IMSS[[#This Row],[DIAS LAB]]*IMSS[[#This Row],[SDI]]*$R$116</f>
        <v>99.187684931506851</v>
      </c>
      <c r="AB308" s="163">
        <f ca="1">IMSS[[#This Row],[DIAS LAB]]*IMSS[[#This Row],[SDI]]*$R$117</f>
        <v>0</v>
      </c>
      <c r="AC308" s="247">
        <f ca="1">SUM(IMSS[[#This Row],[O RSG TRB]:[O INFONAVIT]])</f>
        <v>176.43119178082193</v>
      </c>
      <c r="AD308" s="163"/>
      <c r="AE308" s="165">
        <f ca="1">IMSS[[#This Row],[P TOTAL]]+IMSS[[#This Row],[O TOTAL]]</f>
        <v>2066.3760429452059</v>
      </c>
      <c r="AF308" s="163"/>
      <c r="AG308" s="163">
        <f>VLOOKUP(IMSS[[#This Row],[SUE MENS]],$AG$110:$AJ$120,1,1)</f>
        <v>5470.93</v>
      </c>
      <c r="AH308" s="163">
        <f>IMSS[[#This Row],[SUE MENS]]-IMSS[[#This Row],[LIM INF]]</f>
        <v>2479.0699999999997</v>
      </c>
      <c r="AI308" s="163">
        <f>IMSS[[#This Row],[EXC LIM INF]]*(VLOOKUP(IMSS[[#This Row],[LIM INF]],$AG$110:$AJ$120,4,0))</f>
        <v>269.72281599999997</v>
      </c>
      <c r="AJ308" s="163">
        <f>VLOOKUP(IMSS[[#This Row],[LIM INF]],$AG$110:$AJ$120,3)</f>
        <v>321.26</v>
      </c>
      <c r="AK308" s="163">
        <f>SUM(IMSS[[#This Row],[TASA EXC]]+IMSS[[#This Row],[CUOTA FIJA]])</f>
        <v>590.98281599999996</v>
      </c>
      <c r="AL308" s="163">
        <f>VLOOKUP(IMSS[[#This Row],[SUE MENS]],$AL$110:$AN$120,3,1)</f>
        <v>0</v>
      </c>
      <c r="AM308" s="248">
        <f>IF(IMSS[[#This Row],[ISR CARGO]]-IMSS[[#This Row],[SUBS ISR]]&gt;0,IMSS[[#This Row],[ISR CARGO]]-IMSS[[#This Row],[SUBS ISR]],0)</f>
        <v>590.98281599999996</v>
      </c>
      <c r="AN308" s="248">
        <f>IF(IMSS[[#This Row],[SUBS ISR]]-IMSS[[#This Row],[ISR CARGO]]&gt;0,IMSS[[#This Row],[SUBS ISR]]-IMSS[[#This Row],[ISR CARGO]],0)</f>
        <v>0</v>
      </c>
    </row>
    <row r="309" spans="3:40" ht="15" hidden="1" customHeight="1" x14ac:dyDescent="0.25">
      <c r="C309" s="243">
        <v>321</v>
      </c>
      <c r="D309" s="167" t="str">
        <f>VLOOKUP(IMSS[[#This Row],[NEM]],BDD[],2,0)</f>
        <v>Humberto García Balanzar</v>
      </c>
      <c r="E309" s="167" t="str">
        <f>VLOOKUP(IMSS[[#This Row],[NEM]],BDD[],9,0)</f>
        <v>FACTURAS</v>
      </c>
      <c r="F309" s="168">
        <v>30</v>
      </c>
      <c r="G309" s="139">
        <f>VLOOKUP(IMSS[[#This Row],[NEM]],BDD[],3,0)</f>
        <v>9541</v>
      </c>
      <c r="H309" s="139">
        <f ca="1">VLOOKUP(IMSS[[#This Row],[NEM]],BDD[],25,0)</f>
        <v>351.14365296803658</v>
      </c>
      <c r="I309" s="143">
        <f>VLOOKUP(IMSS[[#This Row],[DEPT]],$B$3:$G$49,6,0)</f>
        <v>5.4355000000000002E-3</v>
      </c>
      <c r="J309" s="163">
        <f ca="1">IMSS[[#This Row],[DIAS LAB]]*IMSS[[#This Row],[SDI]]*IMSS[[#This Row],[% RSG]]*$Q$108</f>
        <v>57.259239771232885</v>
      </c>
      <c r="K309" s="163">
        <f>IMSS[[#This Row],[DIAS LAB]]*$J$110*$Q$109</f>
        <v>548.47440000000006</v>
      </c>
      <c r="L309" s="166">
        <f ca="1">IMSS[[#This Row],[DIAS LAB]]*IF(IMSS[[#This Row],[SDI]]-$J$113&gt;0,IMSS[[#This Row],[SDI]]-$J$113,0)*$Q$110</f>
        <v>27.153605479452061</v>
      </c>
      <c r="M309" s="166">
        <f ca="1">IMSS[[#This Row],[DIAS LAB]]*IMSS[[#This Row],[SDI]]*$Q$111</f>
        <v>110.61025068493153</v>
      </c>
      <c r="N309" s="163">
        <f ca="1">IMSS[[#This Row],[DIAS LAB]]*IMSS[[#This Row],[SDI]]*$Q$112</f>
        <v>73.740167123287677</v>
      </c>
      <c r="O309" s="166">
        <f ca="1">IMSS[[#This Row],[DIAS LAB]]*IMSS[[#This Row],[SDI]]*$Q$113</f>
        <v>184.35041780821922</v>
      </c>
      <c r="P309" s="163">
        <f ca="1">IMSS[[#This Row],[DIAS LAB]]*IMSS[[#This Row],[SDI]]*$Q$114</f>
        <v>105.34309589041096</v>
      </c>
      <c r="Q309" s="166">
        <f ca="1">IMSS[[#This Row],[DIAS LAB]]*IMSS[[#This Row],[SDI]]*$Q$115</f>
        <v>210.68619178082193</v>
      </c>
      <c r="R309" s="163">
        <f ca="1">IMSS[[#This Row],[DIAS LAB]]*IMSS[[#This Row],[SDI]]*$Q$116</f>
        <v>331.83075205479457</v>
      </c>
      <c r="S309" s="163">
        <f ca="1">IMSS[[#This Row],[DIAS LAB]]*IMSS[[#This Row],[SDI]]*$Q$117</f>
        <v>526.71547945205486</v>
      </c>
      <c r="T309" s="164">
        <f ca="1">SUM(IMSS[[#This Row],[P RSG TRB]:[P INFONAVIT]])</f>
        <v>2176.1636000452058</v>
      </c>
      <c r="U309" s="163">
        <f ca="1">IMSS[[#This Row],[DIAS LAB]]*IMSS[[#This Row],[SDI]]*IMSS[[#This Row],[% RSG]]*$R$108</f>
        <v>0</v>
      </c>
      <c r="V309" s="163">
        <f ca="1">IMSS[[#This Row],[DIAS LAB]]*IMSS[[#This Row],[SDI]]*$R$112</f>
        <v>26.335773972602741</v>
      </c>
      <c r="W309" s="163"/>
      <c r="X309" s="163">
        <f ca="1">IMSS[[#This Row],[DIAS LAB]]*IMSS[[#This Row],[SDI]]*$R$113</f>
        <v>66.366150410958909</v>
      </c>
      <c r="Y309" s="163">
        <f ca="1">IMSS[[#This Row],[DIAS LAB]]*IMSS[[#This Row],[SDI]]*$R$114</f>
        <v>0</v>
      </c>
      <c r="Z309" s="163">
        <f ca="1">IMSS[[#This Row],[DIAS LAB]]*IMSS[[#This Row],[SDI]]*$R$115</f>
        <v>0</v>
      </c>
      <c r="AA309" s="163">
        <f ca="1">IMSS[[#This Row],[DIAS LAB]]*IMSS[[#This Row],[SDI]]*$R$116</f>
        <v>119.03769835616438</v>
      </c>
      <c r="AB309" s="163">
        <f ca="1">IMSS[[#This Row],[DIAS LAB]]*IMSS[[#This Row],[SDI]]*$R$117</f>
        <v>0</v>
      </c>
      <c r="AC309" s="247">
        <f ca="1">SUM(IMSS[[#This Row],[O RSG TRB]:[O INFONAVIT]])</f>
        <v>211.73962273972603</v>
      </c>
      <c r="AD309" s="163"/>
      <c r="AE309" s="165">
        <f ca="1">IMSS[[#This Row],[P TOTAL]]+IMSS[[#This Row],[O TOTAL]]</f>
        <v>2387.903222784932</v>
      </c>
      <c r="AF309" s="163"/>
      <c r="AG309" s="163">
        <f>VLOOKUP(IMSS[[#This Row],[SUE MENS]],$AG$110:$AJ$120,1,1)</f>
        <v>5470.93</v>
      </c>
      <c r="AH309" s="163">
        <f>IMSS[[#This Row],[SUE MENS]]-IMSS[[#This Row],[LIM INF]]</f>
        <v>4070.0699999999997</v>
      </c>
      <c r="AI309" s="163">
        <f>IMSS[[#This Row],[EXC LIM INF]]*(VLOOKUP(IMSS[[#This Row],[LIM INF]],$AG$110:$AJ$120,4,0))</f>
        <v>442.82361600000002</v>
      </c>
      <c r="AJ309" s="163">
        <f>VLOOKUP(IMSS[[#This Row],[LIM INF]],$AG$110:$AJ$120,3)</f>
        <v>321.26</v>
      </c>
      <c r="AK309" s="163">
        <f>SUM(IMSS[[#This Row],[TASA EXC]]+IMSS[[#This Row],[CUOTA FIJA]])</f>
        <v>764.08361600000001</v>
      </c>
      <c r="AL309" s="163">
        <f>VLOOKUP(IMSS[[#This Row],[SUE MENS]],$AL$110:$AN$120,3,1)</f>
        <v>0</v>
      </c>
      <c r="AM309" s="248">
        <f>IF(IMSS[[#This Row],[ISR CARGO]]-IMSS[[#This Row],[SUBS ISR]]&gt;0,IMSS[[#This Row],[ISR CARGO]]-IMSS[[#This Row],[SUBS ISR]],0)</f>
        <v>764.08361600000001</v>
      </c>
      <c r="AN309" s="248">
        <f>IF(IMSS[[#This Row],[SUBS ISR]]-IMSS[[#This Row],[ISR CARGO]]&gt;0,IMSS[[#This Row],[SUBS ISR]]-IMSS[[#This Row],[ISR CARGO]],0)</f>
        <v>0</v>
      </c>
    </row>
    <row r="310" spans="3:40" ht="15" hidden="1" customHeight="1" x14ac:dyDescent="0.25">
      <c r="C310" s="243">
        <v>323</v>
      </c>
      <c r="D310" s="167" t="str">
        <f>VLOOKUP(IMSS[[#This Row],[NEM]],BDD[],2,0)</f>
        <v>Karen Jacqueline Rodríguez Puga</v>
      </c>
      <c r="E310" s="167" t="str">
        <f>VLOOKUP(IMSS[[#This Row],[NEM]],BDD[],9,0)</f>
        <v>ADMINCIÓN</v>
      </c>
      <c r="F310" s="168">
        <v>30</v>
      </c>
      <c r="G310" s="139">
        <f>VLOOKUP(IMSS[[#This Row],[NEM]],BDD[],3,0)</f>
        <v>7445</v>
      </c>
      <c r="H310" s="139">
        <f ca="1">VLOOKUP(IMSS[[#This Row],[NEM]],BDD[],25,0)</f>
        <v>274.00319634703197</v>
      </c>
      <c r="I310" s="143">
        <f>VLOOKUP(IMSS[[#This Row],[DEPT]],$B$3:$G$49,6,0)</f>
        <v>5.4355000000000002E-3</v>
      </c>
      <c r="J310" s="163">
        <f ca="1">IMSS[[#This Row],[DIAS LAB]]*IMSS[[#This Row],[SDI]]*IMSS[[#This Row],[% RSG]]*$Q$108</f>
        <v>44.680331212328774</v>
      </c>
      <c r="K310" s="163">
        <f>IMSS[[#This Row],[DIAS LAB]]*$J$110*$Q$109</f>
        <v>548.47440000000006</v>
      </c>
      <c r="L310" s="166">
        <f ca="1">IMSS[[#This Row],[DIAS LAB]]*IF(IMSS[[#This Row],[SDI]]-$J$113&gt;0,IMSS[[#This Row],[SDI]]-$J$113,0)*$Q$110</f>
        <v>1.6972547945205467</v>
      </c>
      <c r="M310" s="166">
        <f ca="1">IMSS[[#This Row],[DIAS LAB]]*IMSS[[#This Row],[SDI]]*$Q$111</f>
        <v>86.311006849315078</v>
      </c>
      <c r="N310" s="163">
        <f ca="1">IMSS[[#This Row],[DIAS LAB]]*IMSS[[#This Row],[SDI]]*$Q$112</f>
        <v>57.540671232876718</v>
      </c>
      <c r="O310" s="166">
        <f ca="1">IMSS[[#This Row],[DIAS LAB]]*IMSS[[#This Row],[SDI]]*$Q$113</f>
        <v>143.8516780821918</v>
      </c>
      <c r="P310" s="163">
        <f ca="1">IMSS[[#This Row],[DIAS LAB]]*IMSS[[#This Row],[SDI]]*$Q$114</f>
        <v>82.200958904109598</v>
      </c>
      <c r="Q310" s="166">
        <f ca="1">IMSS[[#This Row],[DIAS LAB]]*IMSS[[#This Row],[SDI]]*$Q$115</f>
        <v>164.4019178082192</v>
      </c>
      <c r="R310" s="163">
        <f ca="1">IMSS[[#This Row],[DIAS LAB]]*IMSS[[#This Row],[SDI]]*$Q$116</f>
        <v>258.9330205479452</v>
      </c>
      <c r="S310" s="163">
        <f ca="1">IMSS[[#This Row],[DIAS LAB]]*IMSS[[#This Row],[SDI]]*$Q$117</f>
        <v>411.00479452054799</v>
      </c>
      <c r="T310" s="164">
        <f ca="1">SUM(IMSS[[#This Row],[P RSG TRB]:[P INFONAVIT]])</f>
        <v>1799.0960339520548</v>
      </c>
      <c r="U310" s="163">
        <f ca="1">IMSS[[#This Row],[DIAS LAB]]*IMSS[[#This Row],[SDI]]*IMSS[[#This Row],[% RSG]]*$R$108</f>
        <v>0</v>
      </c>
      <c r="V310" s="163">
        <f ca="1">IMSS[[#This Row],[DIAS LAB]]*IMSS[[#This Row],[SDI]]*$R$112</f>
        <v>20.550239726027399</v>
      </c>
      <c r="W310" s="163"/>
      <c r="X310" s="163">
        <f ca="1">IMSS[[#This Row],[DIAS LAB]]*IMSS[[#This Row],[SDI]]*$R$113</f>
        <v>51.786604109589042</v>
      </c>
      <c r="Y310" s="163">
        <f ca="1">IMSS[[#This Row],[DIAS LAB]]*IMSS[[#This Row],[SDI]]*$R$114</f>
        <v>0</v>
      </c>
      <c r="Z310" s="163">
        <f ca="1">IMSS[[#This Row],[DIAS LAB]]*IMSS[[#This Row],[SDI]]*$R$115</f>
        <v>0</v>
      </c>
      <c r="AA310" s="163">
        <f ca="1">IMSS[[#This Row],[DIAS LAB]]*IMSS[[#This Row],[SDI]]*$R$116</f>
        <v>92.887083561643834</v>
      </c>
      <c r="AB310" s="163">
        <f ca="1">IMSS[[#This Row],[DIAS LAB]]*IMSS[[#This Row],[SDI]]*$R$117</f>
        <v>0</v>
      </c>
      <c r="AC310" s="247">
        <f ca="1">SUM(IMSS[[#This Row],[O RSG TRB]:[O INFONAVIT]])</f>
        <v>165.22392739726027</v>
      </c>
      <c r="AD310" s="163"/>
      <c r="AE310" s="165">
        <f ca="1">IMSS[[#This Row],[P TOTAL]]+IMSS[[#This Row],[O TOTAL]]</f>
        <v>1964.319961349315</v>
      </c>
      <c r="AF310" s="163"/>
      <c r="AG310" s="163">
        <f>VLOOKUP(IMSS[[#This Row],[SUE MENS]],$AG$110:$AJ$120,1,1)</f>
        <v>5470.93</v>
      </c>
      <c r="AH310" s="163">
        <f>IMSS[[#This Row],[SUE MENS]]-IMSS[[#This Row],[LIM INF]]</f>
        <v>1974.0699999999997</v>
      </c>
      <c r="AI310" s="163">
        <f>IMSS[[#This Row],[EXC LIM INF]]*(VLOOKUP(IMSS[[#This Row],[LIM INF]],$AG$110:$AJ$120,4,0))</f>
        <v>214.77881599999998</v>
      </c>
      <c r="AJ310" s="163">
        <f>VLOOKUP(IMSS[[#This Row],[LIM INF]],$AG$110:$AJ$120,3)</f>
        <v>321.26</v>
      </c>
      <c r="AK310" s="163">
        <f>SUM(IMSS[[#This Row],[TASA EXC]]+IMSS[[#This Row],[CUOTA FIJA]])</f>
        <v>536.038816</v>
      </c>
      <c r="AL310" s="163">
        <f>VLOOKUP(IMSS[[#This Row],[SUE MENS]],$AL$110:$AN$120,3,1)</f>
        <v>0</v>
      </c>
      <c r="AM310" s="248">
        <f>IF(IMSS[[#This Row],[ISR CARGO]]-IMSS[[#This Row],[SUBS ISR]]&gt;0,IMSS[[#This Row],[ISR CARGO]]-IMSS[[#This Row],[SUBS ISR]],0)</f>
        <v>536.038816</v>
      </c>
      <c r="AN310" s="248">
        <f>IF(IMSS[[#This Row],[SUBS ISR]]-IMSS[[#This Row],[ISR CARGO]]&gt;0,IMSS[[#This Row],[SUBS ISR]]-IMSS[[#This Row],[ISR CARGO]],0)</f>
        <v>0</v>
      </c>
    </row>
    <row r="311" spans="3:40" ht="15" hidden="1" customHeight="1" x14ac:dyDescent="0.25">
      <c r="C311" s="243">
        <v>324</v>
      </c>
      <c r="D311" s="167" t="str">
        <f>VLOOKUP(IMSS[[#This Row],[NEM]],BDD[],2,0)</f>
        <v>María De Jesus Barragan Noyola</v>
      </c>
      <c r="E311" s="167" t="str">
        <f>VLOOKUP(IMSS[[#This Row],[NEM]],BDD[],9,0)</f>
        <v>ADMINCIÓN</v>
      </c>
      <c r="F311" s="168">
        <v>30</v>
      </c>
      <c r="G311" s="139">
        <f>VLOOKUP(IMSS[[#This Row],[NEM]],BDD[],3,0)</f>
        <v>9541</v>
      </c>
      <c r="H311" s="139">
        <f ca="1">VLOOKUP(IMSS[[#This Row],[NEM]],BDD[],25,0)</f>
        <v>351.14365296803658</v>
      </c>
      <c r="I311" s="143">
        <f>VLOOKUP(IMSS[[#This Row],[DEPT]],$B$3:$G$49,6,0)</f>
        <v>5.4355000000000002E-3</v>
      </c>
      <c r="J311" s="163">
        <f ca="1">IMSS[[#This Row],[DIAS LAB]]*IMSS[[#This Row],[SDI]]*IMSS[[#This Row],[% RSG]]*$Q$108</f>
        <v>57.259239771232885</v>
      </c>
      <c r="K311" s="163">
        <f>IMSS[[#This Row],[DIAS LAB]]*$J$110*$Q$109</f>
        <v>548.47440000000006</v>
      </c>
      <c r="L311" s="166">
        <f ca="1">IMSS[[#This Row],[DIAS LAB]]*IF(IMSS[[#This Row],[SDI]]-$J$113&gt;0,IMSS[[#This Row],[SDI]]-$J$113,0)*$Q$110</f>
        <v>27.153605479452061</v>
      </c>
      <c r="M311" s="166">
        <f ca="1">IMSS[[#This Row],[DIAS LAB]]*IMSS[[#This Row],[SDI]]*$Q$111</f>
        <v>110.61025068493153</v>
      </c>
      <c r="N311" s="163">
        <f ca="1">IMSS[[#This Row],[DIAS LAB]]*IMSS[[#This Row],[SDI]]*$Q$112</f>
        <v>73.740167123287677</v>
      </c>
      <c r="O311" s="166">
        <f ca="1">IMSS[[#This Row],[DIAS LAB]]*IMSS[[#This Row],[SDI]]*$Q$113</f>
        <v>184.35041780821922</v>
      </c>
      <c r="P311" s="163">
        <f ca="1">IMSS[[#This Row],[DIAS LAB]]*IMSS[[#This Row],[SDI]]*$Q$114</f>
        <v>105.34309589041096</v>
      </c>
      <c r="Q311" s="166">
        <f ca="1">IMSS[[#This Row],[DIAS LAB]]*IMSS[[#This Row],[SDI]]*$Q$115</f>
        <v>210.68619178082193</v>
      </c>
      <c r="R311" s="163">
        <f ca="1">IMSS[[#This Row],[DIAS LAB]]*IMSS[[#This Row],[SDI]]*$Q$116</f>
        <v>331.83075205479457</v>
      </c>
      <c r="S311" s="163">
        <f ca="1">IMSS[[#This Row],[DIAS LAB]]*IMSS[[#This Row],[SDI]]*$Q$117</f>
        <v>526.71547945205486</v>
      </c>
      <c r="T311" s="164">
        <f ca="1">SUM(IMSS[[#This Row],[P RSG TRB]:[P INFONAVIT]])</f>
        <v>2176.1636000452058</v>
      </c>
      <c r="U311" s="163">
        <f ca="1">IMSS[[#This Row],[DIAS LAB]]*IMSS[[#This Row],[SDI]]*IMSS[[#This Row],[% RSG]]*$R$108</f>
        <v>0</v>
      </c>
      <c r="V311" s="163">
        <f ca="1">IMSS[[#This Row],[DIAS LAB]]*IMSS[[#This Row],[SDI]]*$R$112</f>
        <v>26.335773972602741</v>
      </c>
      <c r="W311" s="163"/>
      <c r="X311" s="163">
        <f ca="1">IMSS[[#This Row],[DIAS LAB]]*IMSS[[#This Row],[SDI]]*$R$113</f>
        <v>66.366150410958909</v>
      </c>
      <c r="Y311" s="163">
        <f ca="1">IMSS[[#This Row],[DIAS LAB]]*IMSS[[#This Row],[SDI]]*$R$114</f>
        <v>0</v>
      </c>
      <c r="Z311" s="163">
        <f ca="1">IMSS[[#This Row],[DIAS LAB]]*IMSS[[#This Row],[SDI]]*$R$115</f>
        <v>0</v>
      </c>
      <c r="AA311" s="163">
        <f ca="1">IMSS[[#This Row],[DIAS LAB]]*IMSS[[#This Row],[SDI]]*$R$116</f>
        <v>119.03769835616438</v>
      </c>
      <c r="AB311" s="163">
        <f ca="1">IMSS[[#This Row],[DIAS LAB]]*IMSS[[#This Row],[SDI]]*$R$117</f>
        <v>0</v>
      </c>
      <c r="AC311" s="247">
        <f ca="1">SUM(IMSS[[#This Row],[O RSG TRB]:[O INFONAVIT]])</f>
        <v>211.73962273972603</v>
      </c>
      <c r="AD311" s="163"/>
      <c r="AE311" s="165">
        <f ca="1">IMSS[[#This Row],[P TOTAL]]+IMSS[[#This Row],[O TOTAL]]</f>
        <v>2387.903222784932</v>
      </c>
      <c r="AF311" s="163"/>
      <c r="AG311" s="163">
        <f>VLOOKUP(IMSS[[#This Row],[SUE MENS]],$AG$110:$AJ$120,1,1)</f>
        <v>5470.93</v>
      </c>
      <c r="AH311" s="163">
        <f>IMSS[[#This Row],[SUE MENS]]-IMSS[[#This Row],[LIM INF]]</f>
        <v>4070.0699999999997</v>
      </c>
      <c r="AI311" s="163">
        <f>IMSS[[#This Row],[EXC LIM INF]]*(VLOOKUP(IMSS[[#This Row],[LIM INF]],$AG$110:$AJ$120,4,0))</f>
        <v>442.82361600000002</v>
      </c>
      <c r="AJ311" s="163">
        <f>VLOOKUP(IMSS[[#This Row],[LIM INF]],$AG$110:$AJ$120,3)</f>
        <v>321.26</v>
      </c>
      <c r="AK311" s="163">
        <f>SUM(IMSS[[#This Row],[TASA EXC]]+IMSS[[#This Row],[CUOTA FIJA]])</f>
        <v>764.08361600000001</v>
      </c>
      <c r="AL311" s="163">
        <f>VLOOKUP(IMSS[[#This Row],[SUE MENS]],$AL$110:$AN$120,3,1)</f>
        <v>0</v>
      </c>
      <c r="AM311" s="248">
        <f>IF(IMSS[[#This Row],[ISR CARGO]]-IMSS[[#This Row],[SUBS ISR]]&gt;0,IMSS[[#This Row],[ISR CARGO]]-IMSS[[#This Row],[SUBS ISR]],0)</f>
        <v>764.08361600000001</v>
      </c>
      <c r="AN311" s="248">
        <f>IF(IMSS[[#This Row],[SUBS ISR]]-IMSS[[#This Row],[ISR CARGO]]&gt;0,IMSS[[#This Row],[SUBS ISR]]-IMSS[[#This Row],[ISR CARGO]],0)</f>
        <v>0</v>
      </c>
    </row>
    <row r="312" spans="3:40" ht="15" hidden="1" customHeight="1" x14ac:dyDescent="0.25">
      <c r="C312" s="243">
        <v>325</v>
      </c>
      <c r="D312" s="167" t="str">
        <f>VLOOKUP(IMSS[[#This Row],[NEM]],BDD[],2,0)</f>
        <v>Delfina Gutierrez Carbajal</v>
      </c>
      <c r="E312" s="167" t="str">
        <f>VLOOKUP(IMSS[[#This Row],[NEM]],BDD[],9,0)</f>
        <v>MATERIALES</v>
      </c>
      <c r="F312" s="168">
        <v>30</v>
      </c>
      <c r="G312" s="139">
        <f>VLOOKUP(IMSS[[#This Row],[NEM]],BDD[],3,0)</f>
        <v>7950</v>
      </c>
      <c r="H312" s="139">
        <f ca="1">VLOOKUP(IMSS[[#This Row],[NEM]],BDD[],25,0)</f>
        <v>292.58904109589042</v>
      </c>
      <c r="I312" s="143">
        <f>VLOOKUP(IMSS[[#This Row],[DEPT]],$B$3:$G$49,6,0)</f>
        <v>4.6532499999999997E-2</v>
      </c>
      <c r="J312" s="163">
        <f ca="1">IMSS[[#This Row],[DIAS LAB]]*IMSS[[#This Row],[SDI]]*IMSS[[#This Row],[% RSG]]*$Q$108</f>
        <v>408.44698664383566</v>
      </c>
      <c r="K312" s="163">
        <f>IMSS[[#This Row],[DIAS LAB]]*$J$110*$Q$109</f>
        <v>548.47440000000006</v>
      </c>
      <c r="L312" s="166">
        <f ca="1">IMSS[[#This Row],[DIAS LAB]]*IF(IMSS[[#This Row],[SDI]]-$J$113&gt;0,IMSS[[#This Row],[SDI]]-$J$113,0)*$Q$110</f>
        <v>7.8305835616438344</v>
      </c>
      <c r="M312" s="166">
        <f ca="1">IMSS[[#This Row],[DIAS LAB]]*IMSS[[#This Row],[SDI]]*$Q$111</f>
        <v>92.165547945205503</v>
      </c>
      <c r="N312" s="163">
        <f ca="1">IMSS[[#This Row],[DIAS LAB]]*IMSS[[#This Row],[SDI]]*$Q$112</f>
        <v>61.443698630136993</v>
      </c>
      <c r="O312" s="166">
        <f ca="1">IMSS[[#This Row],[DIAS LAB]]*IMSS[[#This Row],[SDI]]*$Q$113</f>
        <v>153.6092465753425</v>
      </c>
      <c r="P312" s="163">
        <f ca="1">IMSS[[#This Row],[DIAS LAB]]*IMSS[[#This Row],[SDI]]*$Q$114</f>
        <v>87.776712328767132</v>
      </c>
      <c r="Q312" s="166">
        <f ca="1">IMSS[[#This Row],[DIAS LAB]]*IMSS[[#This Row],[SDI]]*$Q$115</f>
        <v>175.55342465753426</v>
      </c>
      <c r="R312" s="163">
        <f ca="1">IMSS[[#This Row],[DIAS LAB]]*IMSS[[#This Row],[SDI]]*$Q$116</f>
        <v>276.49664383561645</v>
      </c>
      <c r="S312" s="163">
        <f ca="1">IMSS[[#This Row],[DIAS LAB]]*IMSS[[#This Row],[SDI]]*$Q$117</f>
        <v>438.88356164383572</v>
      </c>
      <c r="T312" s="164">
        <f ca="1">SUM(IMSS[[#This Row],[P RSG TRB]:[P INFONAVIT]])</f>
        <v>2250.6808058219185</v>
      </c>
      <c r="U312" s="163">
        <f ca="1">IMSS[[#This Row],[DIAS LAB]]*IMSS[[#This Row],[SDI]]*IMSS[[#This Row],[% RSG]]*$R$108</f>
        <v>0</v>
      </c>
      <c r="V312" s="163">
        <f ca="1">IMSS[[#This Row],[DIAS LAB]]*IMSS[[#This Row],[SDI]]*$R$112</f>
        <v>21.944178082191783</v>
      </c>
      <c r="W312" s="163"/>
      <c r="X312" s="163">
        <f ca="1">IMSS[[#This Row],[DIAS LAB]]*IMSS[[#This Row],[SDI]]*$R$113</f>
        <v>55.299328767123292</v>
      </c>
      <c r="Y312" s="163">
        <f ca="1">IMSS[[#This Row],[DIAS LAB]]*IMSS[[#This Row],[SDI]]*$R$114</f>
        <v>0</v>
      </c>
      <c r="Z312" s="163">
        <f ca="1">IMSS[[#This Row],[DIAS LAB]]*IMSS[[#This Row],[SDI]]*$R$115</f>
        <v>0</v>
      </c>
      <c r="AA312" s="163">
        <f ca="1">IMSS[[#This Row],[DIAS LAB]]*IMSS[[#This Row],[SDI]]*$R$116</f>
        <v>99.187684931506851</v>
      </c>
      <c r="AB312" s="163">
        <f ca="1">IMSS[[#This Row],[DIAS LAB]]*IMSS[[#This Row],[SDI]]*$R$117</f>
        <v>0</v>
      </c>
      <c r="AC312" s="247">
        <f ca="1">SUM(IMSS[[#This Row],[O RSG TRB]:[O INFONAVIT]])</f>
        <v>176.43119178082193</v>
      </c>
      <c r="AD312" s="163"/>
      <c r="AE312" s="165">
        <f ca="1">IMSS[[#This Row],[P TOTAL]]+IMSS[[#This Row],[O TOTAL]]</f>
        <v>2427.1119976027403</v>
      </c>
      <c r="AF312" s="163"/>
      <c r="AG312" s="163">
        <f>VLOOKUP(IMSS[[#This Row],[SUE MENS]],$AG$110:$AJ$120,1,1)</f>
        <v>5470.93</v>
      </c>
      <c r="AH312" s="163">
        <f>IMSS[[#This Row],[SUE MENS]]-IMSS[[#This Row],[LIM INF]]</f>
        <v>2479.0699999999997</v>
      </c>
      <c r="AI312" s="163">
        <f>IMSS[[#This Row],[EXC LIM INF]]*(VLOOKUP(IMSS[[#This Row],[LIM INF]],$AG$110:$AJ$120,4,0))</f>
        <v>269.72281599999997</v>
      </c>
      <c r="AJ312" s="163">
        <f>VLOOKUP(IMSS[[#This Row],[LIM INF]],$AG$110:$AJ$120,3)</f>
        <v>321.26</v>
      </c>
      <c r="AK312" s="163">
        <f>SUM(IMSS[[#This Row],[TASA EXC]]+IMSS[[#This Row],[CUOTA FIJA]])</f>
        <v>590.98281599999996</v>
      </c>
      <c r="AL312" s="163">
        <f>VLOOKUP(IMSS[[#This Row],[SUE MENS]],$AL$110:$AN$120,3,1)</f>
        <v>0</v>
      </c>
      <c r="AM312" s="248">
        <f>IF(IMSS[[#This Row],[ISR CARGO]]-IMSS[[#This Row],[SUBS ISR]]&gt;0,IMSS[[#This Row],[ISR CARGO]]-IMSS[[#This Row],[SUBS ISR]],0)</f>
        <v>590.98281599999996</v>
      </c>
      <c r="AN312" s="248">
        <f>IF(IMSS[[#This Row],[SUBS ISR]]-IMSS[[#This Row],[ISR CARGO]]&gt;0,IMSS[[#This Row],[SUBS ISR]]-IMSS[[#This Row],[ISR CARGO]],0)</f>
        <v>0</v>
      </c>
    </row>
    <row r="313" spans="3:40" ht="15" hidden="1" customHeight="1" x14ac:dyDescent="0.25">
      <c r="C313" s="243">
        <v>327</v>
      </c>
      <c r="D313" s="167" t="str">
        <f>VLOOKUP(IMSS[[#This Row],[NEM]],BDD[],2,0)</f>
        <v>Roberto Bernal Aguilar</v>
      </c>
      <c r="E313" s="167" t="str">
        <f>VLOOKUP(IMSS[[#This Row],[NEM]],BDD[],9,0)</f>
        <v>CONTROL</v>
      </c>
      <c r="F313" s="168">
        <v>30</v>
      </c>
      <c r="G313" s="139">
        <f>VLOOKUP(IMSS[[#This Row],[NEM]],BDD[],3,0)</f>
        <v>7445</v>
      </c>
      <c r="H313" s="139">
        <f ca="1">VLOOKUP(IMSS[[#This Row],[NEM]],BDD[],25,0)</f>
        <v>274.00319634703197</v>
      </c>
      <c r="I313" s="143">
        <f>VLOOKUP(IMSS[[#This Row],[DEPT]],$B$3:$G$49,6,0)</f>
        <v>5.4355000000000002E-3</v>
      </c>
      <c r="J313" s="163">
        <f ca="1">IMSS[[#This Row],[DIAS LAB]]*IMSS[[#This Row],[SDI]]*IMSS[[#This Row],[% RSG]]*$Q$108</f>
        <v>44.680331212328774</v>
      </c>
      <c r="K313" s="163">
        <f>IMSS[[#This Row],[DIAS LAB]]*$J$110*$Q$109</f>
        <v>548.47440000000006</v>
      </c>
      <c r="L313" s="166">
        <f ca="1">IMSS[[#This Row],[DIAS LAB]]*IF(IMSS[[#This Row],[SDI]]-$J$113&gt;0,IMSS[[#This Row],[SDI]]-$J$113,0)*$Q$110</f>
        <v>1.6972547945205467</v>
      </c>
      <c r="M313" s="166">
        <f ca="1">IMSS[[#This Row],[DIAS LAB]]*IMSS[[#This Row],[SDI]]*$Q$111</f>
        <v>86.311006849315078</v>
      </c>
      <c r="N313" s="163">
        <f ca="1">IMSS[[#This Row],[DIAS LAB]]*IMSS[[#This Row],[SDI]]*$Q$112</f>
        <v>57.540671232876718</v>
      </c>
      <c r="O313" s="166">
        <f ca="1">IMSS[[#This Row],[DIAS LAB]]*IMSS[[#This Row],[SDI]]*$Q$113</f>
        <v>143.8516780821918</v>
      </c>
      <c r="P313" s="163">
        <f ca="1">IMSS[[#This Row],[DIAS LAB]]*IMSS[[#This Row],[SDI]]*$Q$114</f>
        <v>82.200958904109598</v>
      </c>
      <c r="Q313" s="166">
        <f ca="1">IMSS[[#This Row],[DIAS LAB]]*IMSS[[#This Row],[SDI]]*$Q$115</f>
        <v>164.4019178082192</v>
      </c>
      <c r="R313" s="163">
        <f ca="1">IMSS[[#This Row],[DIAS LAB]]*IMSS[[#This Row],[SDI]]*$Q$116</f>
        <v>258.9330205479452</v>
      </c>
      <c r="S313" s="163">
        <f ca="1">IMSS[[#This Row],[DIAS LAB]]*IMSS[[#This Row],[SDI]]*$Q$117</f>
        <v>411.00479452054799</v>
      </c>
      <c r="T313" s="164">
        <f ca="1">SUM(IMSS[[#This Row],[P RSG TRB]:[P INFONAVIT]])</f>
        <v>1799.0960339520548</v>
      </c>
      <c r="U313" s="163">
        <f ca="1">IMSS[[#This Row],[DIAS LAB]]*IMSS[[#This Row],[SDI]]*IMSS[[#This Row],[% RSG]]*$R$108</f>
        <v>0</v>
      </c>
      <c r="V313" s="163">
        <f ca="1">IMSS[[#This Row],[DIAS LAB]]*IMSS[[#This Row],[SDI]]*$R$112</f>
        <v>20.550239726027399</v>
      </c>
      <c r="W313" s="163"/>
      <c r="X313" s="163">
        <f ca="1">IMSS[[#This Row],[DIAS LAB]]*IMSS[[#This Row],[SDI]]*$R$113</f>
        <v>51.786604109589042</v>
      </c>
      <c r="Y313" s="163">
        <f ca="1">IMSS[[#This Row],[DIAS LAB]]*IMSS[[#This Row],[SDI]]*$R$114</f>
        <v>0</v>
      </c>
      <c r="Z313" s="163">
        <f ca="1">IMSS[[#This Row],[DIAS LAB]]*IMSS[[#This Row],[SDI]]*$R$115</f>
        <v>0</v>
      </c>
      <c r="AA313" s="163">
        <f ca="1">IMSS[[#This Row],[DIAS LAB]]*IMSS[[#This Row],[SDI]]*$R$116</f>
        <v>92.887083561643834</v>
      </c>
      <c r="AB313" s="163">
        <f ca="1">IMSS[[#This Row],[DIAS LAB]]*IMSS[[#This Row],[SDI]]*$R$117</f>
        <v>0</v>
      </c>
      <c r="AC313" s="247">
        <f ca="1">SUM(IMSS[[#This Row],[O RSG TRB]:[O INFONAVIT]])</f>
        <v>165.22392739726027</v>
      </c>
      <c r="AD313" s="163"/>
      <c r="AE313" s="165">
        <f ca="1">IMSS[[#This Row],[P TOTAL]]+IMSS[[#This Row],[O TOTAL]]</f>
        <v>1964.319961349315</v>
      </c>
      <c r="AF313" s="163"/>
      <c r="AG313" s="163">
        <f>VLOOKUP(IMSS[[#This Row],[SUE MENS]],$AG$110:$AJ$120,1,1)</f>
        <v>5470.93</v>
      </c>
      <c r="AH313" s="163">
        <f>IMSS[[#This Row],[SUE MENS]]-IMSS[[#This Row],[LIM INF]]</f>
        <v>1974.0699999999997</v>
      </c>
      <c r="AI313" s="163">
        <f>IMSS[[#This Row],[EXC LIM INF]]*(VLOOKUP(IMSS[[#This Row],[LIM INF]],$AG$110:$AJ$120,4,0))</f>
        <v>214.77881599999998</v>
      </c>
      <c r="AJ313" s="163">
        <f>VLOOKUP(IMSS[[#This Row],[LIM INF]],$AG$110:$AJ$120,3)</f>
        <v>321.26</v>
      </c>
      <c r="AK313" s="163">
        <f>SUM(IMSS[[#This Row],[TASA EXC]]+IMSS[[#This Row],[CUOTA FIJA]])</f>
        <v>536.038816</v>
      </c>
      <c r="AL313" s="163">
        <f>VLOOKUP(IMSS[[#This Row],[SUE MENS]],$AL$110:$AN$120,3,1)</f>
        <v>0</v>
      </c>
      <c r="AM313" s="248">
        <f>IF(IMSS[[#This Row],[ISR CARGO]]-IMSS[[#This Row],[SUBS ISR]]&gt;0,IMSS[[#This Row],[ISR CARGO]]-IMSS[[#This Row],[SUBS ISR]],0)</f>
        <v>536.038816</v>
      </c>
      <c r="AN313" s="248">
        <f>IF(IMSS[[#This Row],[SUBS ISR]]-IMSS[[#This Row],[ISR CARGO]]&gt;0,IMSS[[#This Row],[SUBS ISR]]-IMSS[[#This Row],[ISR CARGO]],0)</f>
        <v>0</v>
      </c>
    </row>
    <row r="314" spans="3:40" ht="15" hidden="1" customHeight="1" x14ac:dyDescent="0.25">
      <c r="C314" s="243">
        <v>328</v>
      </c>
      <c r="D314" s="167" t="str">
        <f>VLOOKUP(IMSS[[#This Row],[NEM]],BDD[],2,0)</f>
        <v>Teresa Lopez Juárez</v>
      </c>
      <c r="E314" s="167" t="str">
        <f>VLOOKUP(IMSS[[#This Row],[NEM]],BDD[],9,0)</f>
        <v>CONTA</v>
      </c>
      <c r="F314" s="168">
        <v>30</v>
      </c>
      <c r="G314" s="139">
        <f>VLOOKUP(IMSS[[#This Row],[NEM]],BDD[],3,0)</f>
        <v>7950</v>
      </c>
      <c r="H314" s="139">
        <f ca="1">VLOOKUP(IMSS[[#This Row],[NEM]],BDD[],25,0)</f>
        <v>292.58904109589042</v>
      </c>
      <c r="I314" s="143">
        <f>VLOOKUP(IMSS[[#This Row],[DEPT]],$B$3:$G$49,6,0)</f>
        <v>5.4355000000000002E-3</v>
      </c>
      <c r="J314" s="163">
        <f ca="1">IMSS[[#This Row],[DIAS LAB]]*IMSS[[#This Row],[SDI]]*IMSS[[#This Row],[% RSG]]*$Q$108</f>
        <v>47.711031986301379</v>
      </c>
      <c r="K314" s="163">
        <f>IMSS[[#This Row],[DIAS LAB]]*$J$110*$Q$109</f>
        <v>548.47440000000006</v>
      </c>
      <c r="L314" s="166">
        <f ca="1">IMSS[[#This Row],[DIAS LAB]]*IF(IMSS[[#This Row],[SDI]]-$J$113&gt;0,IMSS[[#This Row],[SDI]]-$J$113,0)*$Q$110</f>
        <v>7.8305835616438344</v>
      </c>
      <c r="M314" s="166">
        <f ca="1">IMSS[[#This Row],[DIAS LAB]]*IMSS[[#This Row],[SDI]]*$Q$111</f>
        <v>92.165547945205503</v>
      </c>
      <c r="N314" s="163">
        <f ca="1">IMSS[[#This Row],[DIAS LAB]]*IMSS[[#This Row],[SDI]]*$Q$112</f>
        <v>61.443698630136993</v>
      </c>
      <c r="O314" s="166">
        <f ca="1">IMSS[[#This Row],[DIAS LAB]]*IMSS[[#This Row],[SDI]]*$Q$113</f>
        <v>153.6092465753425</v>
      </c>
      <c r="P314" s="163">
        <f ca="1">IMSS[[#This Row],[DIAS LAB]]*IMSS[[#This Row],[SDI]]*$Q$114</f>
        <v>87.776712328767132</v>
      </c>
      <c r="Q314" s="166">
        <f ca="1">IMSS[[#This Row],[DIAS LAB]]*IMSS[[#This Row],[SDI]]*$Q$115</f>
        <v>175.55342465753426</v>
      </c>
      <c r="R314" s="163">
        <f ca="1">IMSS[[#This Row],[DIAS LAB]]*IMSS[[#This Row],[SDI]]*$Q$116</f>
        <v>276.49664383561645</v>
      </c>
      <c r="S314" s="163">
        <f ca="1">IMSS[[#This Row],[DIAS LAB]]*IMSS[[#This Row],[SDI]]*$Q$117</f>
        <v>438.88356164383572</v>
      </c>
      <c r="T314" s="164">
        <f ca="1">SUM(IMSS[[#This Row],[P RSG TRB]:[P INFONAVIT]])</f>
        <v>1889.9448511643839</v>
      </c>
      <c r="U314" s="163">
        <f ca="1">IMSS[[#This Row],[DIAS LAB]]*IMSS[[#This Row],[SDI]]*IMSS[[#This Row],[% RSG]]*$R$108</f>
        <v>0</v>
      </c>
      <c r="V314" s="163">
        <f ca="1">IMSS[[#This Row],[DIAS LAB]]*IMSS[[#This Row],[SDI]]*$R$112</f>
        <v>21.944178082191783</v>
      </c>
      <c r="W314" s="163"/>
      <c r="X314" s="163">
        <f ca="1">IMSS[[#This Row],[DIAS LAB]]*IMSS[[#This Row],[SDI]]*$R$113</f>
        <v>55.299328767123292</v>
      </c>
      <c r="Y314" s="163">
        <f ca="1">IMSS[[#This Row],[DIAS LAB]]*IMSS[[#This Row],[SDI]]*$R$114</f>
        <v>0</v>
      </c>
      <c r="Z314" s="163">
        <f ca="1">IMSS[[#This Row],[DIAS LAB]]*IMSS[[#This Row],[SDI]]*$R$115</f>
        <v>0</v>
      </c>
      <c r="AA314" s="163">
        <f ca="1">IMSS[[#This Row],[DIAS LAB]]*IMSS[[#This Row],[SDI]]*$R$116</f>
        <v>99.187684931506851</v>
      </c>
      <c r="AB314" s="163">
        <f ca="1">IMSS[[#This Row],[DIAS LAB]]*IMSS[[#This Row],[SDI]]*$R$117</f>
        <v>0</v>
      </c>
      <c r="AC314" s="247">
        <f ca="1">SUM(IMSS[[#This Row],[O RSG TRB]:[O INFONAVIT]])</f>
        <v>176.43119178082193</v>
      </c>
      <c r="AD314" s="163"/>
      <c r="AE314" s="165">
        <f ca="1">IMSS[[#This Row],[P TOTAL]]+IMSS[[#This Row],[O TOTAL]]</f>
        <v>2066.3760429452059</v>
      </c>
      <c r="AF314" s="163"/>
      <c r="AG314" s="163">
        <f>VLOOKUP(IMSS[[#This Row],[SUE MENS]],$AG$110:$AJ$120,1,1)</f>
        <v>5470.93</v>
      </c>
      <c r="AH314" s="163">
        <f>IMSS[[#This Row],[SUE MENS]]-IMSS[[#This Row],[LIM INF]]</f>
        <v>2479.0699999999997</v>
      </c>
      <c r="AI314" s="163">
        <f>IMSS[[#This Row],[EXC LIM INF]]*(VLOOKUP(IMSS[[#This Row],[LIM INF]],$AG$110:$AJ$120,4,0))</f>
        <v>269.72281599999997</v>
      </c>
      <c r="AJ314" s="163">
        <f>VLOOKUP(IMSS[[#This Row],[LIM INF]],$AG$110:$AJ$120,3)</f>
        <v>321.26</v>
      </c>
      <c r="AK314" s="163">
        <f>SUM(IMSS[[#This Row],[TASA EXC]]+IMSS[[#This Row],[CUOTA FIJA]])</f>
        <v>590.98281599999996</v>
      </c>
      <c r="AL314" s="163">
        <f>VLOOKUP(IMSS[[#This Row],[SUE MENS]],$AL$110:$AN$120,3,1)</f>
        <v>0</v>
      </c>
      <c r="AM314" s="248">
        <f>IF(IMSS[[#This Row],[ISR CARGO]]-IMSS[[#This Row],[SUBS ISR]]&gt;0,IMSS[[#This Row],[ISR CARGO]]-IMSS[[#This Row],[SUBS ISR]],0)</f>
        <v>590.98281599999996</v>
      </c>
      <c r="AN314" s="248">
        <f>IF(IMSS[[#This Row],[SUBS ISR]]-IMSS[[#This Row],[ISR CARGO]]&gt;0,IMSS[[#This Row],[SUBS ISR]]-IMSS[[#This Row],[ISR CARGO]],0)</f>
        <v>0</v>
      </c>
    </row>
    <row r="315" spans="3:40" ht="15" hidden="1" customHeight="1" x14ac:dyDescent="0.25">
      <c r="C315" s="243">
        <v>329</v>
      </c>
      <c r="D315" s="167" t="str">
        <f>VLOOKUP(IMSS[[#This Row],[NEM]],BDD[],2,0)</f>
        <v>David Guadalupe Rodriguez Chavez</v>
      </c>
      <c r="E315" s="167" t="str">
        <f>VLOOKUP(IMSS[[#This Row],[NEM]],BDD[],9,0)</f>
        <v>ARQUITECT</v>
      </c>
      <c r="F315" s="168">
        <v>30</v>
      </c>
      <c r="G315" s="139">
        <f>VLOOKUP(IMSS[[#This Row],[NEM]],BDD[],3,0)</f>
        <v>9541</v>
      </c>
      <c r="H315" s="139">
        <f ca="1">VLOOKUP(IMSS[[#This Row],[NEM]],BDD[],25,0)</f>
        <v>351.14365296803658</v>
      </c>
      <c r="I315" s="143">
        <f>VLOOKUP(IMSS[[#This Row],[DEPT]],$B$3:$G$49,6,0)</f>
        <v>2.5984400000000001E-2</v>
      </c>
      <c r="J315" s="163">
        <f ca="1">IMSS[[#This Row],[DIAS LAB]]*IMSS[[#This Row],[SDI]]*IMSS[[#This Row],[% RSG]]*$Q$108</f>
        <v>273.72771408547948</v>
      </c>
      <c r="K315" s="163">
        <f>IMSS[[#This Row],[DIAS LAB]]*$J$110*$Q$109</f>
        <v>548.47440000000006</v>
      </c>
      <c r="L315" s="166">
        <f ca="1">IMSS[[#This Row],[DIAS LAB]]*IF(IMSS[[#This Row],[SDI]]-$J$113&gt;0,IMSS[[#This Row],[SDI]]-$J$113,0)*$Q$110</f>
        <v>27.153605479452061</v>
      </c>
      <c r="M315" s="166">
        <f ca="1">IMSS[[#This Row],[DIAS LAB]]*IMSS[[#This Row],[SDI]]*$Q$111</f>
        <v>110.61025068493153</v>
      </c>
      <c r="N315" s="163">
        <f ca="1">IMSS[[#This Row],[DIAS LAB]]*IMSS[[#This Row],[SDI]]*$Q$112</f>
        <v>73.740167123287677</v>
      </c>
      <c r="O315" s="166">
        <f ca="1">IMSS[[#This Row],[DIAS LAB]]*IMSS[[#This Row],[SDI]]*$Q$113</f>
        <v>184.35041780821922</v>
      </c>
      <c r="P315" s="163">
        <f ca="1">IMSS[[#This Row],[DIAS LAB]]*IMSS[[#This Row],[SDI]]*$Q$114</f>
        <v>105.34309589041096</v>
      </c>
      <c r="Q315" s="166">
        <f ca="1">IMSS[[#This Row],[DIAS LAB]]*IMSS[[#This Row],[SDI]]*$Q$115</f>
        <v>210.68619178082193</v>
      </c>
      <c r="R315" s="163">
        <f ca="1">IMSS[[#This Row],[DIAS LAB]]*IMSS[[#This Row],[SDI]]*$Q$116</f>
        <v>331.83075205479457</v>
      </c>
      <c r="S315" s="163">
        <f ca="1">IMSS[[#This Row],[DIAS LAB]]*IMSS[[#This Row],[SDI]]*$Q$117</f>
        <v>526.71547945205486</v>
      </c>
      <c r="T315" s="164">
        <f ca="1">SUM(IMSS[[#This Row],[P RSG TRB]:[P INFONAVIT]])</f>
        <v>2392.6320743594524</v>
      </c>
      <c r="U315" s="163">
        <f ca="1">IMSS[[#This Row],[DIAS LAB]]*IMSS[[#This Row],[SDI]]*IMSS[[#This Row],[% RSG]]*$R$108</f>
        <v>0</v>
      </c>
      <c r="V315" s="163">
        <f ca="1">IMSS[[#This Row],[DIAS LAB]]*IMSS[[#This Row],[SDI]]*$R$112</f>
        <v>26.335773972602741</v>
      </c>
      <c r="W315" s="163"/>
      <c r="X315" s="163">
        <f ca="1">IMSS[[#This Row],[DIAS LAB]]*IMSS[[#This Row],[SDI]]*$R$113</f>
        <v>66.366150410958909</v>
      </c>
      <c r="Y315" s="163">
        <f ca="1">IMSS[[#This Row],[DIAS LAB]]*IMSS[[#This Row],[SDI]]*$R$114</f>
        <v>0</v>
      </c>
      <c r="Z315" s="163">
        <f ca="1">IMSS[[#This Row],[DIAS LAB]]*IMSS[[#This Row],[SDI]]*$R$115</f>
        <v>0</v>
      </c>
      <c r="AA315" s="163">
        <f ca="1">IMSS[[#This Row],[DIAS LAB]]*IMSS[[#This Row],[SDI]]*$R$116</f>
        <v>119.03769835616438</v>
      </c>
      <c r="AB315" s="163">
        <f ca="1">IMSS[[#This Row],[DIAS LAB]]*IMSS[[#This Row],[SDI]]*$R$117</f>
        <v>0</v>
      </c>
      <c r="AC315" s="247">
        <f ca="1">SUM(IMSS[[#This Row],[O RSG TRB]:[O INFONAVIT]])</f>
        <v>211.73962273972603</v>
      </c>
      <c r="AD315" s="163"/>
      <c r="AE315" s="165">
        <f ca="1">IMSS[[#This Row],[P TOTAL]]+IMSS[[#This Row],[O TOTAL]]</f>
        <v>2604.3716970991786</v>
      </c>
      <c r="AF315" s="163"/>
      <c r="AG315" s="163">
        <f>VLOOKUP(IMSS[[#This Row],[SUE MENS]],$AG$110:$AJ$120,1,1)</f>
        <v>5470.93</v>
      </c>
      <c r="AH315" s="163">
        <f>IMSS[[#This Row],[SUE MENS]]-IMSS[[#This Row],[LIM INF]]</f>
        <v>4070.0699999999997</v>
      </c>
      <c r="AI315" s="163">
        <f>IMSS[[#This Row],[EXC LIM INF]]*(VLOOKUP(IMSS[[#This Row],[LIM INF]],$AG$110:$AJ$120,4,0))</f>
        <v>442.82361600000002</v>
      </c>
      <c r="AJ315" s="163">
        <f>VLOOKUP(IMSS[[#This Row],[LIM INF]],$AG$110:$AJ$120,3)</f>
        <v>321.26</v>
      </c>
      <c r="AK315" s="163">
        <f>SUM(IMSS[[#This Row],[TASA EXC]]+IMSS[[#This Row],[CUOTA FIJA]])</f>
        <v>764.08361600000001</v>
      </c>
      <c r="AL315" s="163">
        <f>VLOOKUP(IMSS[[#This Row],[SUE MENS]],$AL$110:$AN$120,3,1)</f>
        <v>0</v>
      </c>
      <c r="AM315" s="248">
        <f>IF(IMSS[[#This Row],[ISR CARGO]]-IMSS[[#This Row],[SUBS ISR]]&gt;0,IMSS[[#This Row],[ISR CARGO]]-IMSS[[#This Row],[SUBS ISR]],0)</f>
        <v>764.08361600000001</v>
      </c>
      <c r="AN315" s="248">
        <f>IF(IMSS[[#This Row],[SUBS ISR]]-IMSS[[#This Row],[ISR CARGO]]&gt;0,IMSS[[#This Row],[SUBS ISR]]-IMSS[[#This Row],[ISR CARGO]],0)</f>
        <v>0</v>
      </c>
    </row>
    <row r="316" spans="3:40" ht="15" hidden="1" customHeight="1" x14ac:dyDescent="0.25">
      <c r="C316" s="243">
        <v>330</v>
      </c>
      <c r="D316" s="167" t="str">
        <f>VLOOKUP(IMSS[[#This Row],[NEM]],BDD[],2,0)</f>
        <v>Sandra Berenice Buendía Rodríguez</v>
      </c>
      <c r="E316" s="167" t="str">
        <f>VLOOKUP(IMSS[[#This Row],[NEM]],BDD[],9,0)</f>
        <v>INVERS</v>
      </c>
      <c r="F316" s="168">
        <v>30</v>
      </c>
      <c r="G316" s="139">
        <f>VLOOKUP(IMSS[[#This Row],[NEM]],BDD[],3,0)</f>
        <v>27150</v>
      </c>
      <c r="H316" s="139">
        <f ca="1">VLOOKUP(IMSS[[#This Row],[NEM]],BDD[],25,0)</f>
        <v>999.21917808219177</v>
      </c>
      <c r="I316" s="143">
        <f>VLOOKUP(IMSS[[#This Row],[DEPT]],$B$3:$G$49,6,0)</f>
        <v>5.4355000000000002E-3</v>
      </c>
      <c r="J316" s="163">
        <f ca="1">IMSS[[#This Row],[DIAS LAB]]*IMSS[[#This Row],[SDI]]*IMSS[[#This Row],[% RSG]]*$Q$108</f>
        <v>162.93767527397262</v>
      </c>
      <c r="K316" s="163">
        <f>IMSS[[#This Row],[DIAS LAB]]*$J$110*$Q$109</f>
        <v>548.47440000000006</v>
      </c>
      <c r="L316" s="166">
        <f ca="1">IMSS[[#This Row],[DIAS LAB]]*IF(IMSS[[#This Row],[SDI]]-$J$113&gt;0,IMSS[[#This Row],[SDI]]-$J$113,0)*$Q$110</f>
        <v>241.01852876712326</v>
      </c>
      <c r="M316" s="166">
        <f ca="1">IMSS[[#This Row],[DIAS LAB]]*IMSS[[#This Row],[SDI]]*$Q$111</f>
        <v>314.75404109589044</v>
      </c>
      <c r="N316" s="163">
        <f ca="1">IMSS[[#This Row],[DIAS LAB]]*IMSS[[#This Row],[SDI]]*$Q$112</f>
        <v>209.83602739726027</v>
      </c>
      <c r="O316" s="166">
        <f ca="1">IMSS[[#This Row],[DIAS LAB]]*IMSS[[#This Row],[SDI]]*$Q$113</f>
        <v>524.59006849315074</v>
      </c>
      <c r="P316" s="163">
        <f ca="1">IMSS[[#This Row],[DIAS LAB]]*IMSS[[#This Row],[SDI]]*$Q$114</f>
        <v>299.76575342465753</v>
      </c>
      <c r="Q316" s="166">
        <f ca="1">IMSS[[#This Row],[DIAS LAB]]*IMSS[[#This Row],[SDI]]*$Q$115</f>
        <v>599.53150684931506</v>
      </c>
      <c r="R316" s="163">
        <f ca="1">IMSS[[#This Row],[DIAS LAB]]*IMSS[[#This Row],[SDI]]*$Q$116</f>
        <v>944.26212328767122</v>
      </c>
      <c r="S316" s="163">
        <f ca="1">IMSS[[#This Row],[DIAS LAB]]*IMSS[[#This Row],[SDI]]*$Q$117</f>
        <v>1498.8287671232877</v>
      </c>
      <c r="T316" s="164">
        <f ca="1">SUM(IMSS[[#This Row],[P RSG TRB]:[P INFONAVIT]])</f>
        <v>5343.9988917123292</v>
      </c>
      <c r="U316" s="163">
        <f ca="1">IMSS[[#This Row],[DIAS LAB]]*IMSS[[#This Row],[SDI]]*IMSS[[#This Row],[% RSG]]*$R$108</f>
        <v>0</v>
      </c>
      <c r="V316" s="163">
        <f ca="1">IMSS[[#This Row],[DIAS LAB]]*IMSS[[#This Row],[SDI]]*$R$112</f>
        <v>74.941438356164383</v>
      </c>
      <c r="W316" s="163"/>
      <c r="X316" s="163">
        <f ca="1">IMSS[[#This Row],[DIAS LAB]]*IMSS[[#This Row],[SDI]]*$R$113</f>
        <v>188.85242465753424</v>
      </c>
      <c r="Y316" s="163">
        <f ca="1">IMSS[[#This Row],[DIAS LAB]]*IMSS[[#This Row],[SDI]]*$R$114</f>
        <v>0</v>
      </c>
      <c r="Z316" s="163">
        <f ca="1">IMSS[[#This Row],[DIAS LAB]]*IMSS[[#This Row],[SDI]]*$R$115</f>
        <v>0</v>
      </c>
      <c r="AA316" s="163">
        <f ca="1">IMSS[[#This Row],[DIAS LAB]]*IMSS[[#This Row],[SDI]]*$R$116</f>
        <v>338.73530136986295</v>
      </c>
      <c r="AB316" s="163">
        <f ca="1">IMSS[[#This Row],[DIAS LAB]]*IMSS[[#This Row],[SDI]]*$R$117</f>
        <v>0</v>
      </c>
      <c r="AC316" s="247">
        <f ca="1">SUM(IMSS[[#This Row],[O RSG TRB]:[O INFONAVIT]])</f>
        <v>602.52916438356158</v>
      </c>
      <c r="AD316" s="163"/>
      <c r="AE316" s="165">
        <f ca="1">IMSS[[#This Row],[P TOTAL]]+IMSS[[#This Row],[O TOTAL]]</f>
        <v>5946.5280560958909</v>
      </c>
      <c r="AF316" s="163"/>
      <c r="AG316" s="163">
        <f>VLOOKUP(IMSS[[#This Row],[SUE MENS]],$AG$110:$AJ$120,1,1)</f>
        <v>26988.51</v>
      </c>
      <c r="AH316" s="163">
        <f>IMSS[[#This Row],[SUE MENS]]-IMSS[[#This Row],[LIM INF]]</f>
        <v>161.4900000000016</v>
      </c>
      <c r="AI316" s="163">
        <f>IMSS[[#This Row],[EXC LIM INF]]*(VLOOKUP(IMSS[[#This Row],[LIM INF]],$AG$110:$AJ$120,4,0))</f>
        <v>37.982448000000375</v>
      </c>
      <c r="AJ316" s="163">
        <f>VLOOKUP(IMSS[[#This Row],[LIM INF]],$AG$110:$AJ$120,3)</f>
        <v>4323.58</v>
      </c>
      <c r="AK316" s="163">
        <f>SUM(IMSS[[#This Row],[TASA EXC]]+IMSS[[#This Row],[CUOTA FIJA]])</f>
        <v>4361.5624480000006</v>
      </c>
      <c r="AL316" s="163">
        <f>VLOOKUP(IMSS[[#This Row],[SUE MENS]],$AL$110:$AN$120,3,1)</f>
        <v>0</v>
      </c>
      <c r="AM316" s="248">
        <f>IF(IMSS[[#This Row],[ISR CARGO]]-IMSS[[#This Row],[SUBS ISR]]&gt;0,IMSS[[#This Row],[ISR CARGO]]-IMSS[[#This Row],[SUBS ISR]],0)</f>
        <v>4361.5624480000006</v>
      </c>
      <c r="AN316" s="248">
        <f>IF(IMSS[[#This Row],[SUBS ISR]]-IMSS[[#This Row],[ISR CARGO]]&gt;0,IMSS[[#This Row],[SUBS ISR]]-IMSS[[#This Row],[ISR CARGO]],0)</f>
        <v>0</v>
      </c>
    </row>
    <row r="317" spans="3:40" ht="15" hidden="1" customHeight="1" x14ac:dyDescent="0.25">
      <c r="C317" s="243">
        <v>331</v>
      </c>
      <c r="D317" s="167" t="str">
        <f>VLOOKUP(IMSS[[#This Row],[NEM]],BDD[],2,0)</f>
        <v>Ramiro Adrián Sánchez Moreno</v>
      </c>
      <c r="E317" s="167" t="str">
        <f>VLOOKUP(IMSS[[#This Row],[NEM]],BDD[],9,0)</f>
        <v>RENDER</v>
      </c>
      <c r="F317" s="168">
        <v>30</v>
      </c>
      <c r="G317" s="139">
        <f>VLOOKUP(IMSS[[#This Row],[NEM]],BDD[],3,0)</f>
        <v>7950</v>
      </c>
      <c r="H317" s="139">
        <f ca="1">VLOOKUP(IMSS[[#This Row],[NEM]],BDD[],25,0)</f>
        <v>292.58904109589042</v>
      </c>
      <c r="I317" s="143">
        <f>VLOOKUP(IMSS[[#This Row],[DEPT]],$B$3:$G$49,6,0)</f>
        <v>2.5984400000000001E-2</v>
      </c>
      <c r="J317" s="163">
        <f ca="1">IMSS[[#This Row],[DIAS LAB]]*IMSS[[#This Row],[SDI]]*IMSS[[#This Row],[% RSG]]*$Q$108</f>
        <v>228.08252038356167</v>
      </c>
      <c r="K317" s="163">
        <f>IMSS[[#This Row],[DIAS LAB]]*$J$110*$Q$109</f>
        <v>548.47440000000006</v>
      </c>
      <c r="L317" s="166">
        <f ca="1">IMSS[[#This Row],[DIAS LAB]]*IF(IMSS[[#This Row],[SDI]]-$J$113&gt;0,IMSS[[#This Row],[SDI]]-$J$113,0)*$Q$110</f>
        <v>7.8305835616438344</v>
      </c>
      <c r="M317" s="166">
        <f ca="1">IMSS[[#This Row],[DIAS LAB]]*IMSS[[#This Row],[SDI]]*$Q$111</f>
        <v>92.165547945205503</v>
      </c>
      <c r="N317" s="163">
        <f ca="1">IMSS[[#This Row],[DIAS LAB]]*IMSS[[#This Row],[SDI]]*$Q$112</f>
        <v>61.443698630136993</v>
      </c>
      <c r="O317" s="166">
        <f ca="1">IMSS[[#This Row],[DIAS LAB]]*IMSS[[#This Row],[SDI]]*$Q$113</f>
        <v>153.6092465753425</v>
      </c>
      <c r="P317" s="163">
        <f ca="1">IMSS[[#This Row],[DIAS LAB]]*IMSS[[#This Row],[SDI]]*$Q$114</f>
        <v>87.776712328767132</v>
      </c>
      <c r="Q317" s="166">
        <f ca="1">IMSS[[#This Row],[DIAS LAB]]*IMSS[[#This Row],[SDI]]*$Q$115</f>
        <v>175.55342465753426</v>
      </c>
      <c r="R317" s="163">
        <f ca="1">IMSS[[#This Row],[DIAS LAB]]*IMSS[[#This Row],[SDI]]*$Q$116</f>
        <v>276.49664383561645</v>
      </c>
      <c r="S317" s="163">
        <f ca="1">IMSS[[#This Row],[DIAS LAB]]*IMSS[[#This Row],[SDI]]*$Q$117</f>
        <v>438.88356164383572</v>
      </c>
      <c r="T317" s="164">
        <f ca="1">SUM(IMSS[[#This Row],[P RSG TRB]:[P INFONAVIT]])</f>
        <v>2070.3163395616439</v>
      </c>
      <c r="U317" s="163">
        <f ca="1">IMSS[[#This Row],[DIAS LAB]]*IMSS[[#This Row],[SDI]]*IMSS[[#This Row],[% RSG]]*$R$108</f>
        <v>0</v>
      </c>
      <c r="V317" s="163">
        <f ca="1">IMSS[[#This Row],[DIAS LAB]]*IMSS[[#This Row],[SDI]]*$R$112</f>
        <v>21.944178082191783</v>
      </c>
      <c r="W317" s="163"/>
      <c r="X317" s="163">
        <f ca="1">IMSS[[#This Row],[DIAS LAB]]*IMSS[[#This Row],[SDI]]*$R$113</f>
        <v>55.299328767123292</v>
      </c>
      <c r="Y317" s="163">
        <f ca="1">IMSS[[#This Row],[DIAS LAB]]*IMSS[[#This Row],[SDI]]*$R$114</f>
        <v>0</v>
      </c>
      <c r="Z317" s="163">
        <f ca="1">IMSS[[#This Row],[DIAS LAB]]*IMSS[[#This Row],[SDI]]*$R$115</f>
        <v>0</v>
      </c>
      <c r="AA317" s="163">
        <f ca="1">IMSS[[#This Row],[DIAS LAB]]*IMSS[[#This Row],[SDI]]*$R$116</f>
        <v>99.187684931506851</v>
      </c>
      <c r="AB317" s="163">
        <f ca="1">IMSS[[#This Row],[DIAS LAB]]*IMSS[[#This Row],[SDI]]*$R$117</f>
        <v>0</v>
      </c>
      <c r="AC317" s="247">
        <f ca="1">SUM(IMSS[[#This Row],[O RSG TRB]:[O INFONAVIT]])</f>
        <v>176.43119178082193</v>
      </c>
      <c r="AD317" s="163"/>
      <c r="AE317" s="165">
        <f ca="1">IMSS[[#This Row],[P TOTAL]]+IMSS[[#This Row],[O TOTAL]]</f>
        <v>2246.7475313424657</v>
      </c>
      <c r="AF317" s="163"/>
      <c r="AG317" s="163">
        <f>VLOOKUP(IMSS[[#This Row],[SUE MENS]],$AG$110:$AJ$120,1,1)</f>
        <v>5470.93</v>
      </c>
      <c r="AH317" s="163">
        <f>IMSS[[#This Row],[SUE MENS]]-IMSS[[#This Row],[LIM INF]]</f>
        <v>2479.0699999999997</v>
      </c>
      <c r="AI317" s="163">
        <f>IMSS[[#This Row],[EXC LIM INF]]*(VLOOKUP(IMSS[[#This Row],[LIM INF]],$AG$110:$AJ$120,4,0))</f>
        <v>269.72281599999997</v>
      </c>
      <c r="AJ317" s="163">
        <f>VLOOKUP(IMSS[[#This Row],[LIM INF]],$AG$110:$AJ$120,3)</f>
        <v>321.26</v>
      </c>
      <c r="AK317" s="163">
        <f>SUM(IMSS[[#This Row],[TASA EXC]]+IMSS[[#This Row],[CUOTA FIJA]])</f>
        <v>590.98281599999996</v>
      </c>
      <c r="AL317" s="163">
        <f>VLOOKUP(IMSS[[#This Row],[SUE MENS]],$AL$110:$AN$120,3,1)</f>
        <v>0</v>
      </c>
      <c r="AM317" s="248">
        <f>IF(IMSS[[#This Row],[ISR CARGO]]-IMSS[[#This Row],[SUBS ISR]]&gt;0,IMSS[[#This Row],[ISR CARGO]]-IMSS[[#This Row],[SUBS ISR]],0)</f>
        <v>590.98281599999996</v>
      </c>
      <c r="AN317" s="248">
        <f>IF(IMSS[[#This Row],[SUBS ISR]]-IMSS[[#This Row],[ISR CARGO]]&gt;0,IMSS[[#This Row],[SUBS ISR]]-IMSS[[#This Row],[ISR CARGO]],0)</f>
        <v>0</v>
      </c>
    </row>
    <row r="318" spans="3:40" ht="15" hidden="1" customHeight="1" x14ac:dyDescent="0.25">
      <c r="C318" s="243">
        <v>332</v>
      </c>
      <c r="D318" s="167" t="str">
        <f>VLOOKUP(IMSS[[#This Row],[NEM]],BDD[],2,0)</f>
        <v>María Guadalupe Soto Parra</v>
      </c>
      <c r="E318" s="167" t="str">
        <f>VLOOKUP(IMSS[[#This Row],[NEM]],BDD[],9,0)</f>
        <v>ANLIS COST</v>
      </c>
      <c r="F318" s="168">
        <v>30</v>
      </c>
      <c r="G318" s="139">
        <f>VLOOKUP(IMSS[[#This Row],[NEM]],BDD[],3,0)</f>
        <v>9541</v>
      </c>
      <c r="H318" s="139">
        <f ca="1">VLOOKUP(IMSS[[#This Row],[NEM]],BDD[],25,0)</f>
        <v>351.14365296803658</v>
      </c>
      <c r="I318" s="143">
        <f>VLOOKUP(IMSS[[#This Row],[DEPT]],$B$3:$G$49,6,0)</f>
        <v>1.130658E-2</v>
      </c>
      <c r="J318" s="163">
        <f ca="1">IMSS[[#This Row],[DIAS LAB]]*IMSS[[#This Row],[SDI]]*IMSS[[#This Row],[% RSG]]*$Q$108</f>
        <v>119.10701411326029</v>
      </c>
      <c r="K318" s="163">
        <f>IMSS[[#This Row],[DIAS LAB]]*$J$110*$Q$109</f>
        <v>548.47440000000006</v>
      </c>
      <c r="L318" s="166">
        <f ca="1">IMSS[[#This Row],[DIAS LAB]]*IF(IMSS[[#This Row],[SDI]]-$J$113&gt;0,IMSS[[#This Row],[SDI]]-$J$113,0)*$Q$110</f>
        <v>27.153605479452061</v>
      </c>
      <c r="M318" s="166">
        <f ca="1">IMSS[[#This Row],[DIAS LAB]]*IMSS[[#This Row],[SDI]]*$Q$111</f>
        <v>110.61025068493153</v>
      </c>
      <c r="N318" s="163">
        <f ca="1">IMSS[[#This Row],[DIAS LAB]]*IMSS[[#This Row],[SDI]]*$Q$112</f>
        <v>73.740167123287677</v>
      </c>
      <c r="O318" s="166">
        <f ca="1">IMSS[[#This Row],[DIAS LAB]]*IMSS[[#This Row],[SDI]]*$Q$113</f>
        <v>184.35041780821922</v>
      </c>
      <c r="P318" s="163">
        <f ca="1">IMSS[[#This Row],[DIAS LAB]]*IMSS[[#This Row],[SDI]]*$Q$114</f>
        <v>105.34309589041096</v>
      </c>
      <c r="Q318" s="166">
        <f ca="1">IMSS[[#This Row],[DIAS LAB]]*IMSS[[#This Row],[SDI]]*$Q$115</f>
        <v>210.68619178082193</v>
      </c>
      <c r="R318" s="163">
        <f ca="1">IMSS[[#This Row],[DIAS LAB]]*IMSS[[#This Row],[SDI]]*$Q$116</f>
        <v>331.83075205479457</v>
      </c>
      <c r="S318" s="163">
        <f ca="1">IMSS[[#This Row],[DIAS LAB]]*IMSS[[#This Row],[SDI]]*$Q$117</f>
        <v>526.71547945205486</v>
      </c>
      <c r="T318" s="164">
        <f ca="1">SUM(IMSS[[#This Row],[P RSG TRB]:[P INFONAVIT]])</f>
        <v>2238.011374387233</v>
      </c>
      <c r="U318" s="163">
        <f ca="1">IMSS[[#This Row],[DIAS LAB]]*IMSS[[#This Row],[SDI]]*IMSS[[#This Row],[% RSG]]*$R$108</f>
        <v>0</v>
      </c>
      <c r="V318" s="163">
        <f ca="1">IMSS[[#This Row],[DIAS LAB]]*IMSS[[#This Row],[SDI]]*$R$112</f>
        <v>26.335773972602741</v>
      </c>
      <c r="W318" s="163"/>
      <c r="X318" s="163">
        <f ca="1">IMSS[[#This Row],[DIAS LAB]]*IMSS[[#This Row],[SDI]]*$R$113</f>
        <v>66.366150410958909</v>
      </c>
      <c r="Y318" s="163">
        <f ca="1">IMSS[[#This Row],[DIAS LAB]]*IMSS[[#This Row],[SDI]]*$R$114</f>
        <v>0</v>
      </c>
      <c r="Z318" s="163">
        <f ca="1">IMSS[[#This Row],[DIAS LAB]]*IMSS[[#This Row],[SDI]]*$R$115</f>
        <v>0</v>
      </c>
      <c r="AA318" s="163">
        <f ca="1">IMSS[[#This Row],[DIAS LAB]]*IMSS[[#This Row],[SDI]]*$R$116</f>
        <v>119.03769835616438</v>
      </c>
      <c r="AB318" s="163">
        <f ca="1">IMSS[[#This Row],[DIAS LAB]]*IMSS[[#This Row],[SDI]]*$R$117</f>
        <v>0</v>
      </c>
      <c r="AC318" s="247">
        <f ca="1">SUM(IMSS[[#This Row],[O RSG TRB]:[O INFONAVIT]])</f>
        <v>211.73962273972603</v>
      </c>
      <c r="AD318" s="163"/>
      <c r="AE318" s="165">
        <f ca="1">IMSS[[#This Row],[P TOTAL]]+IMSS[[#This Row],[O TOTAL]]</f>
        <v>2449.7509971269592</v>
      </c>
      <c r="AF318" s="163"/>
      <c r="AG318" s="163">
        <f>VLOOKUP(IMSS[[#This Row],[SUE MENS]],$AG$110:$AJ$120,1,1)</f>
        <v>5470.93</v>
      </c>
      <c r="AH318" s="163">
        <f>IMSS[[#This Row],[SUE MENS]]-IMSS[[#This Row],[LIM INF]]</f>
        <v>4070.0699999999997</v>
      </c>
      <c r="AI318" s="163">
        <f>IMSS[[#This Row],[EXC LIM INF]]*(VLOOKUP(IMSS[[#This Row],[LIM INF]],$AG$110:$AJ$120,4,0))</f>
        <v>442.82361600000002</v>
      </c>
      <c r="AJ318" s="163">
        <f>VLOOKUP(IMSS[[#This Row],[LIM INF]],$AG$110:$AJ$120,3)</f>
        <v>321.26</v>
      </c>
      <c r="AK318" s="163">
        <f>SUM(IMSS[[#This Row],[TASA EXC]]+IMSS[[#This Row],[CUOTA FIJA]])</f>
        <v>764.08361600000001</v>
      </c>
      <c r="AL318" s="163">
        <f>VLOOKUP(IMSS[[#This Row],[SUE MENS]],$AL$110:$AN$120,3,1)</f>
        <v>0</v>
      </c>
      <c r="AM318" s="248">
        <f>IF(IMSS[[#This Row],[ISR CARGO]]-IMSS[[#This Row],[SUBS ISR]]&gt;0,IMSS[[#This Row],[ISR CARGO]]-IMSS[[#This Row],[SUBS ISR]],0)</f>
        <v>764.08361600000001</v>
      </c>
      <c r="AN318" s="248">
        <f>IF(IMSS[[#This Row],[SUBS ISR]]-IMSS[[#This Row],[ISR CARGO]]&gt;0,IMSS[[#This Row],[SUBS ISR]]-IMSS[[#This Row],[ISR CARGO]],0)</f>
        <v>0</v>
      </c>
    </row>
    <row r="319" spans="3:40" ht="15" hidden="1" customHeight="1" x14ac:dyDescent="0.25">
      <c r="C319" s="243">
        <v>333</v>
      </c>
      <c r="D319" s="167" t="str">
        <f>VLOOKUP(IMSS[[#This Row],[NEM]],BDD[],2,0)</f>
        <v>Miguel Everardo Vázquez Morales</v>
      </c>
      <c r="E319" s="167" t="str">
        <f>VLOOKUP(IMSS[[#This Row],[NEM]],BDD[],9,0)</f>
        <v>INST CAMPO</v>
      </c>
      <c r="F319" s="168">
        <v>30</v>
      </c>
      <c r="G319" s="139">
        <f>VLOOKUP(IMSS[[#This Row],[NEM]],BDD[],3,0)</f>
        <v>7445</v>
      </c>
      <c r="H319" s="139">
        <f ca="1">VLOOKUP(IMSS[[#This Row],[NEM]],BDD[],25,0)</f>
        <v>274.00319634703197</v>
      </c>
      <c r="I319" s="143">
        <f>VLOOKUP(IMSS[[#This Row],[DEPT]],$B$3:$G$49,6,0)</f>
        <v>4.6532499999999997E-2</v>
      </c>
      <c r="J319" s="163">
        <f ca="1">IMSS[[#This Row],[DIAS LAB]]*IMSS[[#This Row],[SDI]]*IMSS[[#This Row],[% RSG]]*$Q$108</f>
        <v>382.50161202054795</v>
      </c>
      <c r="K319" s="163">
        <f>IMSS[[#This Row],[DIAS LAB]]*$J$110*$Q$109</f>
        <v>548.47440000000006</v>
      </c>
      <c r="L319" s="166">
        <f ca="1">IMSS[[#This Row],[DIAS LAB]]*IF(IMSS[[#This Row],[SDI]]-$J$113&gt;0,IMSS[[#This Row],[SDI]]-$J$113,0)*$Q$110</f>
        <v>1.6972547945205467</v>
      </c>
      <c r="M319" s="166">
        <f ca="1">IMSS[[#This Row],[DIAS LAB]]*IMSS[[#This Row],[SDI]]*$Q$111</f>
        <v>86.311006849315078</v>
      </c>
      <c r="N319" s="163">
        <f ca="1">IMSS[[#This Row],[DIAS LAB]]*IMSS[[#This Row],[SDI]]*$Q$112</f>
        <v>57.540671232876718</v>
      </c>
      <c r="O319" s="166">
        <f ca="1">IMSS[[#This Row],[DIAS LAB]]*IMSS[[#This Row],[SDI]]*$Q$113</f>
        <v>143.8516780821918</v>
      </c>
      <c r="P319" s="163">
        <f ca="1">IMSS[[#This Row],[DIAS LAB]]*IMSS[[#This Row],[SDI]]*$Q$114</f>
        <v>82.200958904109598</v>
      </c>
      <c r="Q319" s="166">
        <f ca="1">IMSS[[#This Row],[DIAS LAB]]*IMSS[[#This Row],[SDI]]*$Q$115</f>
        <v>164.4019178082192</v>
      </c>
      <c r="R319" s="163">
        <f ca="1">IMSS[[#This Row],[DIAS LAB]]*IMSS[[#This Row],[SDI]]*$Q$116</f>
        <v>258.9330205479452</v>
      </c>
      <c r="S319" s="163">
        <f ca="1">IMSS[[#This Row],[DIAS LAB]]*IMSS[[#This Row],[SDI]]*$Q$117</f>
        <v>411.00479452054799</v>
      </c>
      <c r="T319" s="164">
        <f ca="1">SUM(IMSS[[#This Row],[P RSG TRB]:[P INFONAVIT]])</f>
        <v>2136.9173147602742</v>
      </c>
      <c r="U319" s="163">
        <f ca="1">IMSS[[#This Row],[DIAS LAB]]*IMSS[[#This Row],[SDI]]*IMSS[[#This Row],[% RSG]]*$R$108</f>
        <v>0</v>
      </c>
      <c r="V319" s="163">
        <f ca="1">IMSS[[#This Row],[DIAS LAB]]*IMSS[[#This Row],[SDI]]*$R$112</f>
        <v>20.550239726027399</v>
      </c>
      <c r="W319" s="163"/>
      <c r="X319" s="163">
        <f ca="1">IMSS[[#This Row],[DIAS LAB]]*IMSS[[#This Row],[SDI]]*$R$113</f>
        <v>51.786604109589042</v>
      </c>
      <c r="Y319" s="163">
        <f ca="1">IMSS[[#This Row],[DIAS LAB]]*IMSS[[#This Row],[SDI]]*$R$114</f>
        <v>0</v>
      </c>
      <c r="Z319" s="163">
        <f ca="1">IMSS[[#This Row],[DIAS LAB]]*IMSS[[#This Row],[SDI]]*$R$115</f>
        <v>0</v>
      </c>
      <c r="AA319" s="163">
        <f ca="1">IMSS[[#This Row],[DIAS LAB]]*IMSS[[#This Row],[SDI]]*$R$116</f>
        <v>92.887083561643834</v>
      </c>
      <c r="AB319" s="163">
        <f ca="1">IMSS[[#This Row],[DIAS LAB]]*IMSS[[#This Row],[SDI]]*$R$117</f>
        <v>0</v>
      </c>
      <c r="AC319" s="247">
        <f ca="1">SUM(IMSS[[#This Row],[O RSG TRB]:[O INFONAVIT]])</f>
        <v>165.22392739726027</v>
      </c>
      <c r="AD319" s="163"/>
      <c r="AE319" s="165">
        <f ca="1">IMSS[[#This Row],[P TOTAL]]+IMSS[[#This Row],[O TOTAL]]</f>
        <v>2302.1412421575346</v>
      </c>
      <c r="AF319" s="163"/>
      <c r="AG319" s="163">
        <f>VLOOKUP(IMSS[[#This Row],[SUE MENS]],$AG$110:$AJ$120,1,1)</f>
        <v>5470.93</v>
      </c>
      <c r="AH319" s="163">
        <f>IMSS[[#This Row],[SUE MENS]]-IMSS[[#This Row],[LIM INF]]</f>
        <v>1974.0699999999997</v>
      </c>
      <c r="AI319" s="163">
        <f>IMSS[[#This Row],[EXC LIM INF]]*(VLOOKUP(IMSS[[#This Row],[LIM INF]],$AG$110:$AJ$120,4,0))</f>
        <v>214.77881599999998</v>
      </c>
      <c r="AJ319" s="163">
        <f>VLOOKUP(IMSS[[#This Row],[LIM INF]],$AG$110:$AJ$120,3)</f>
        <v>321.26</v>
      </c>
      <c r="AK319" s="163">
        <f>SUM(IMSS[[#This Row],[TASA EXC]]+IMSS[[#This Row],[CUOTA FIJA]])</f>
        <v>536.038816</v>
      </c>
      <c r="AL319" s="163">
        <f>VLOOKUP(IMSS[[#This Row],[SUE MENS]],$AL$110:$AN$120,3,1)</f>
        <v>0</v>
      </c>
      <c r="AM319" s="248">
        <f>IF(IMSS[[#This Row],[ISR CARGO]]-IMSS[[#This Row],[SUBS ISR]]&gt;0,IMSS[[#This Row],[ISR CARGO]]-IMSS[[#This Row],[SUBS ISR]],0)</f>
        <v>536.038816</v>
      </c>
      <c r="AN319" s="248">
        <f>IF(IMSS[[#This Row],[SUBS ISR]]-IMSS[[#This Row],[ISR CARGO]]&gt;0,IMSS[[#This Row],[SUBS ISR]]-IMSS[[#This Row],[ISR CARGO]],0)</f>
        <v>0</v>
      </c>
    </row>
    <row r="320" spans="3:40" ht="15" hidden="1" customHeight="1" x14ac:dyDescent="0.25">
      <c r="C320" s="243">
        <v>334</v>
      </c>
      <c r="D320" s="167" t="str">
        <f>VLOOKUP(IMSS[[#This Row],[NEM]],BDD[],2,0)</f>
        <v>Alma Meliza García García</v>
      </c>
      <c r="E320" s="167" t="str">
        <f>VLOOKUP(IMSS[[#This Row],[NEM]],BDD[],9,0)</f>
        <v>ESTRUCTURA</v>
      </c>
      <c r="F320" s="168">
        <v>30</v>
      </c>
      <c r="G320" s="139">
        <f>VLOOKUP(IMSS[[#This Row],[NEM]],BDD[],3,0)</f>
        <v>9450</v>
      </c>
      <c r="H320" s="139">
        <f ca="1">VLOOKUP(IMSS[[#This Row],[NEM]],BDD[],25,0)</f>
        <v>347.79452054794518</v>
      </c>
      <c r="I320" s="143">
        <f>VLOOKUP(IMSS[[#This Row],[DEPT]],$B$3:$G$49,6,0)</f>
        <v>2.5984400000000001E-2</v>
      </c>
      <c r="J320" s="163">
        <f ca="1">IMSS[[#This Row],[DIAS LAB]]*IMSS[[#This Row],[SDI]]*IMSS[[#This Row],[% RSG]]*$Q$108</f>
        <v>271.11695819178078</v>
      </c>
      <c r="K320" s="163">
        <f>IMSS[[#This Row],[DIAS LAB]]*$J$110*$Q$109</f>
        <v>548.47440000000006</v>
      </c>
      <c r="L320" s="166">
        <f ca="1">IMSS[[#This Row],[DIAS LAB]]*IF(IMSS[[#This Row],[SDI]]-$J$113&gt;0,IMSS[[#This Row],[SDI]]-$J$113,0)*$Q$110</f>
        <v>26.048391780821905</v>
      </c>
      <c r="M320" s="166">
        <f ca="1">IMSS[[#This Row],[DIAS LAB]]*IMSS[[#This Row],[SDI]]*$Q$111</f>
        <v>109.55527397260273</v>
      </c>
      <c r="N320" s="163">
        <f ca="1">IMSS[[#This Row],[DIAS LAB]]*IMSS[[#This Row],[SDI]]*$Q$112</f>
        <v>73.03684931506848</v>
      </c>
      <c r="O320" s="166">
        <f ca="1">IMSS[[#This Row],[DIAS LAB]]*IMSS[[#This Row],[SDI]]*$Q$113</f>
        <v>182.59212328767123</v>
      </c>
      <c r="P320" s="163">
        <f ca="1">IMSS[[#This Row],[DIAS LAB]]*IMSS[[#This Row],[SDI]]*$Q$114</f>
        <v>104.33835616438355</v>
      </c>
      <c r="Q320" s="166">
        <f ca="1">IMSS[[#This Row],[DIAS LAB]]*IMSS[[#This Row],[SDI]]*$Q$115</f>
        <v>208.67671232876711</v>
      </c>
      <c r="R320" s="163">
        <f ca="1">IMSS[[#This Row],[DIAS LAB]]*IMSS[[#This Row],[SDI]]*$Q$116</f>
        <v>328.66582191780816</v>
      </c>
      <c r="S320" s="163">
        <f ca="1">IMSS[[#This Row],[DIAS LAB]]*IMSS[[#This Row],[SDI]]*$Q$117</f>
        <v>521.69178082191775</v>
      </c>
      <c r="T320" s="164">
        <f ca="1">SUM(IMSS[[#This Row],[P RSG TRB]:[P INFONAVIT]])</f>
        <v>2374.1966677808218</v>
      </c>
      <c r="U320" s="163">
        <f ca="1">IMSS[[#This Row],[DIAS LAB]]*IMSS[[#This Row],[SDI]]*IMSS[[#This Row],[% RSG]]*$R$108</f>
        <v>0</v>
      </c>
      <c r="V320" s="163">
        <f ca="1">IMSS[[#This Row],[DIAS LAB]]*IMSS[[#This Row],[SDI]]*$R$112</f>
        <v>26.084589041095889</v>
      </c>
      <c r="W320" s="163"/>
      <c r="X320" s="163">
        <f ca="1">IMSS[[#This Row],[DIAS LAB]]*IMSS[[#This Row],[SDI]]*$R$113</f>
        <v>65.733164383561643</v>
      </c>
      <c r="Y320" s="163">
        <f ca="1">IMSS[[#This Row],[DIAS LAB]]*IMSS[[#This Row],[SDI]]*$R$114</f>
        <v>0</v>
      </c>
      <c r="Z320" s="163">
        <f ca="1">IMSS[[#This Row],[DIAS LAB]]*IMSS[[#This Row],[SDI]]*$R$115</f>
        <v>0</v>
      </c>
      <c r="AA320" s="163">
        <f ca="1">IMSS[[#This Row],[DIAS LAB]]*IMSS[[#This Row],[SDI]]*$R$116</f>
        <v>117.90234246575341</v>
      </c>
      <c r="AB320" s="163">
        <f ca="1">IMSS[[#This Row],[DIAS LAB]]*IMSS[[#This Row],[SDI]]*$R$117</f>
        <v>0</v>
      </c>
      <c r="AC320" s="247">
        <f ca="1">SUM(IMSS[[#This Row],[O RSG TRB]:[O INFONAVIT]])</f>
        <v>209.72009589041093</v>
      </c>
      <c r="AD320" s="163"/>
      <c r="AE320" s="165">
        <f ca="1">IMSS[[#This Row],[P TOTAL]]+IMSS[[#This Row],[O TOTAL]]</f>
        <v>2583.9167636712327</v>
      </c>
      <c r="AF320" s="163"/>
      <c r="AG320" s="163">
        <f>VLOOKUP(IMSS[[#This Row],[SUE MENS]],$AG$110:$AJ$120,1,1)</f>
        <v>5470.93</v>
      </c>
      <c r="AH320" s="163">
        <f>IMSS[[#This Row],[SUE MENS]]-IMSS[[#This Row],[LIM INF]]</f>
        <v>3979.0699999999997</v>
      </c>
      <c r="AI320" s="163">
        <f>IMSS[[#This Row],[EXC LIM INF]]*(VLOOKUP(IMSS[[#This Row],[LIM INF]],$AG$110:$AJ$120,4,0))</f>
        <v>432.92281600000001</v>
      </c>
      <c r="AJ320" s="163">
        <f>VLOOKUP(IMSS[[#This Row],[LIM INF]],$AG$110:$AJ$120,3)</f>
        <v>321.26</v>
      </c>
      <c r="AK320" s="163">
        <f>SUM(IMSS[[#This Row],[TASA EXC]]+IMSS[[#This Row],[CUOTA FIJA]])</f>
        <v>754.182816</v>
      </c>
      <c r="AL320" s="163">
        <f>VLOOKUP(IMSS[[#This Row],[SUE MENS]],$AL$110:$AN$120,3,1)</f>
        <v>0</v>
      </c>
      <c r="AM320" s="248">
        <f>IF(IMSS[[#This Row],[ISR CARGO]]-IMSS[[#This Row],[SUBS ISR]]&gt;0,IMSS[[#This Row],[ISR CARGO]]-IMSS[[#This Row],[SUBS ISR]],0)</f>
        <v>754.182816</v>
      </c>
      <c r="AN320" s="248">
        <f>IF(IMSS[[#This Row],[SUBS ISR]]-IMSS[[#This Row],[ISR CARGO]]&gt;0,IMSS[[#This Row],[SUBS ISR]]-IMSS[[#This Row],[ISR CARGO]],0)</f>
        <v>0</v>
      </c>
    </row>
    <row r="321" spans="3:40" ht="15" hidden="1" customHeight="1" x14ac:dyDescent="0.25">
      <c r="C321" s="243">
        <v>335</v>
      </c>
      <c r="D321" s="167" t="str">
        <f>VLOOKUP(IMSS[[#This Row],[NEM]],BDD[],2,0)</f>
        <v>Jaime Jimenez Pelaez</v>
      </c>
      <c r="E321" s="167" t="str">
        <f>VLOOKUP(IMSS[[#This Row],[NEM]],BDD[],9,0)</f>
        <v>ARQUITECT</v>
      </c>
      <c r="F321" s="168">
        <v>30</v>
      </c>
      <c r="G321" s="139">
        <f>VLOOKUP(IMSS[[#This Row],[NEM]],BDD[],3,0)</f>
        <v>9450</v>
      </c>
      <c r="H321" s="139">
        <f ca="1">VLOOKUP(IMSS[[#This Row],[NEM]],BDD[],25,0)</f>
        <v>347.79452054794518</v>
      </c>
      <c r="I321" s="143">
        <f>VLOOKUP(IMSS[[#This Row],[DEPT]],$B$3:$G$49,6,0)</f>
        <v>2.5984400000000001E-2</v>
      </c>
      <c r="J321" s="163">
        <f ca="1">IMSS[[#This Row],[DIAS LAB]]*IMSS[[#This Row],[SDI]]*IMSS[[#This Row],[% RSG]]*$Q$108</f>
        <v>271.11695819178078</v>
      </c>
      <c r="K321" s="163">
        <f>IMSS[[#This Row],[DIAS LAB]]*$J$110*$Q$109</f>
        <v>548.47440000000006</v>
      </c>
      <c r="L321" s="166">
        <f ca="1">IMSS[[#This Row],[DIAS LAB]]*IF(IMSS[[#This Row],[SDI]]-$J$113&gt;0,IMSS[[#This Row],[SDI]]-$J$113,0)*$Q$110</f>
        <v>26.048391780821905</v>
      </c>
      <c r="M321" s="166">
        <f ca="1">IMSS[[#This Row],[DIAS LAB]]*IMSS[[#This Row],[SDI]]*$Q$111</f>
        <v>109.55527397260273</v>
      </c>
      <c r="N321" s="163">
        <f ca="1">IMSS[[#This Row],[DIAS LAB]]*IMSS[[#This Row],[SDI]]*$Q$112</f>
        <v>73.03684931506848</v>
      </c>
      <c r="O321" s="166">
        <f ca="1">IMSS[[#This Row],[DIAS LAB]]*IMSS[[#This Row],[SDI]]*$Q$113</f>
        <v>182.59212328767123</v>
      </c>
      <c r="P321" s="163">
        <f ca="1">IMSS[[#This Row],[DIAS LAB]]*IMSS[[#This Row],[SDI]]*$Q$114</f>
        <v>104.33835616438355</v>
      </c>
      <c r="Q321" s="166">
        <f ca="1">IMSS[[#This Row],[DIAS LAB]]*IMSS[[#This Row],[SDI]]*$Q$115</f>
        <v>208.67671232876711</v>
      </c>
      <c r="R321" s="163">
        <f ca="1">IMSS[[#This Row],[DIAS LAB]]*IMSS[[#This Row],[SDI]]*$Q$116</f>
        <v>328.66582191780816</v>
      </c>
      <c r="S321" s="163">
        <f ca="1">IMSS[[#This Row],[DIAS LAB]]*IMSS[[#This Row],[SDI]]*$Q$117</f>
        <v>521.69178082191775</v>
      </c>
      <c r="T321" s="164">
        <f ca="1">SUM(IMSS[[#This Row],[P RSG TRB]:[P INFONAVIT]])</f>
        <v>2374.1966677808218</v>
      </c>
      <c r="U321" s="163">
        <f ca="1">IMSS[[#This Row],[DIAS LAB]]*IMSS[[#This Row],[SDI]]*IMSS[[#This Row],[% RSG]]*$R$108</f>
        <v>0</v>
      </c>
      <c r="V321" s="163">
        <f ca="1">IMSS[[#This Row],[DIAS LAB]]*IMSS[[#This Row],[SDI]]*$R$112</f>
        <v>26.084589041095889</v>
      </c>
      <c r="W321" s="163"/>
      <c r="X321" s="163">
        <f ca="1">IMSS[[#This Row],[DIAS LAB]]*IMSS[[#This Row],[SDI]]*$R$113</f>
        <v>65.733164383561643</v>
      </c>
      <c r="Y321" s="163">
        <f ca="1">IMSS[[#This Row],[DIAS LAB]]*IMSS[[#This Row],[SDI]]*$R$114</f>
        <v>0</v>
      </c>
      <c r="Z321" s="163">
        <f ca="1">IMSS[[#This Row],[DIAS LAB]]*IMSS[[#This Row],[SDI]]*$R$115</f>
        <v>0</v>
      </c>
      <c r="AA321" s="163">
        <f ca="1">IMSS[[#This Row],[DIAS LAB]]*IMSS[[#This Row],[SDI]]*$R$116</f>
        <v>117.90234246575341</v>
      </c>
      <c r="AB321" s="163">
        <f ca="1">IMSS[[#This Row],[DIAS LAB]]*IMSS[[#This Row],[SDI]]*$R$117</f>
        <v>0</v>
      </c>
      <c r="AC321" s="247">
        <f ca="1">SUM(IMSS[[#This Row],[O RSG TRB]:[O INFONAVIT]])</f>
        <v>209.72009589041093</v>
      </c>
      <c r="AD321" s="163"/>
      <c r="AE321" s="165">
        <f ca="1">IMSS[[#This Row],[P TOTAL]]+IMSS[[#This Row],[O TOTAL]]</f>
        <v>2583.9167636712327</v>
      </c>
      <c r="AF321" s="163"/>
      <c r="AG321" s="163">
        <f>VLOOKUP(IMSS[[#This Row],[SUE MENS]],$AG$110:$AJ$120,1,1)</f>
        <v>5470.93</v>
      </c>
      <c r="AH321" s="163">
        <f>IMSS[[#This Row],[SUE MENS]]-IMSS[[#This Row],[LIM INF]]</f>
        <v>3979.0699999999997</v>
      </c>
      <c r="AI321" s="163">
        <f>IMSS[[#This Row],[EXC LIM INF]]*(VLOOKUP(IMSS[[#This Row],[LIM INF]],$AG$110:$AJ$120,4,0))</f>
        <v>432.92281600000001</v>
      </c>
      <c r="AJ321" s="163">
        <f>VLOOKUP(IMSS[[#This Row],[LIM INF]],$AG$110:$AJ$120,3)</f>
        <v>321.26</v>
      </c>
      <c r="AK321" s="163">
        <f>SUM(IMSS[[#This Row],[TASA EXC]]+IMSS[[#This Row],[CUOTA FIJA]])</f>
        <v>754.182816</v>
      </c>
      <c r="AL321" s="163">
        <f>VLOOKUP(IMSS[[#This Row],[SUE MENS]],$AL$110:$AN$120,3,1)</f>
        <v>0</v>
      </c>
      <c r="AM321" s="248">
        <f>IF(IMSS[[#This Row],[ISR CARGO]]-IMSS[[#This Row],[SUBS ISR]]&gt;0,IMSS[[#This Row],[ISR CARGO]]-IMSS[[#This Row],[SUBS ISR]],0)</f>
        <v>754.182816</v>
      </c>
      <c r="AN321" s="248">
        <f>IF(IMSS[[#This Row],[SUBS ISR]]-IMSS[[#This Row],[ISR CARGO]]&gt;0,IMSS[[#This Row],[SUBS ISR]]-IMSS[[#This Row],[ISR CARGO]],0)</f>
        <v>0</v>
      </c>
    </row>
    <row r="322" spans="3:40" ht="15" hidden="1" customHeight="1" x14ac:dyDescent="0.25">
      <c r="C322" s="243">
        <v>336</v>
      </c>
      <c r="D322" s="167" t="str">
        <f>VLOOKUP(IMSS[[#This Row],[NEM]],BDD[],2,0)</f>
        <v>Alejandra Vannesa Casas Dueñas</v>
      </c>
      <c r="E322" s="167" t="str">
        <f>VLOOKUP(IMSS[[#This Row],[NEM]],BDD[],9,0)</f>
        <v>ANLIS COST</v>
      </c>
      <c r="F322" s="168">
        <v>30</v>
      </c>
      <c r="G322" s="139">
        <f>VLOOKUP(IMSS[[#This Row],[NEM]],BDD[],3,0)</f>
        <v>9541</v>
      </c>
      <c r="H322" s="139">
        <f ca="1">VLOOKUP(IMSS[[#This Row],[NEM]],BDD[],25,0)</f>
        <v>351.14365296803658</v>
      </c>
      <c r="I322" s="143">
        <f>VLOOKUP(IMSS[[#This Row],[DEPT]],$B$3:$G$49,6,0)</f>
        <v>1.130658E-2</v>
      </c>
      <c r="J322" s="163">
        <f ca="1">IMSS[[#This Row],[DIAS LAB]]*IMSS[[#This Row],[SDI]]*IMSS[[#This Row],[% RSG]]*$Q$108</f>
        <v>119.10701411326029</v>
      </c>
      <c r="K322" s="163">
        <f>IMSS[[#This Row],[DIAS LAB]]*$J$110*$Q$109</f>
        <v>548.47440000000006</v>
      </c>
      <c r="L322" s="166">
        <f ca="1">IMSS[[#This Row],[DIAS LAB]]*IF(IMSS[[#This Row],[SDI]]-$J$113&gt;0,IMSS[[#This Row],[SDI]]-$J$113,0)*$Q$110</f>
        <v>27.153605479452061</v>
      </c>
      <c r="M322" s="166">
        <f ca="1">IMSS[[#This Row],[DIAS LAB]]*IMSS[[#This Row],[SDI]]*$Q$111</f>
        <v>110.61025068493153</v>
      </c>
      <c r="N322" s="163">
        <f ca="1">IMSS[[#This Row],[DIAS LAB]]*IMSS[[#This Row],[SDI]]*$Q$112</f>
        <v>73.740167123287677</v>
      </c>
      <c r="O322" s="166">
        <f ca="1">IMSS[[#This Row],[DIAS LAB]]*IMSS[[#This Row],[SDI]]*$Q$113</f>
        <v>184.35041780821922</v>
      </c>
      <c r="P322" s="163">
        <f ca="1">IMSS[[#This Row],[DIAS LAB]]*IMSS[[#This Row],[SDI]]*$Q$114</f>
        <v>105.34309589041096</v>
      </c>
      <c r="Q322" s="166">
        <f ca="1">IMSS[[#This Row],[DIAS LAB]]*IMSS[[#This Row],[SDI]]*$Q$115</f>
        <v>210.68619178082193</v>
      </c>
      <c r="R322" s="163">
        <f ca="1">IMSS[[#This Row],[DIAS LAB]]*IMSS[[#This Row],[SDI]]*$Q$116</f>
        <v>331.83075205479457</v>
      </c>
      <c r="S322" s="163">
        <f ca="1">IMSS[[#This Row],[DIAS LAB]]*IMSS[[#This Row],[SDI]]*$Q$117</f>
        <v>526.71547945205486</v>
      </c>
      <c r="T322" s="164">
        <f ca="1">SUM(IMSS[[#This Row],[P RSG TRB]:[P INFONAVIT]])</f>
        <v>2238.011374387233</v>
      </c>
      <c r="U322" s="163">
        <f ca="1">IMSS[[#This Row],[DIAS LAB]]*IMSS[[#This Row],[SDI]]*IMSS[[#This Row],[% RSG]]*$R$108</f>
        <v>0</v>
      </c>
      <c r="V322" s="163">
        <f ca="1">IMSS[[#This Row],[DIAS LAB]]*IMSS[[#This Row],[SDI]]*$R$112</f>
        <v>26.335773972602741</v>
      </c>
      <c r="W322" s="163"/>
      <c r="X322" s="163">
        <f ca="1">IMSS[[#This Row],[DIAS LAB]]*IMSS[[#This Row],[SDI]]*$R$113</f>
        <v>66.366150410958909</v>
      </c>
      <c r="Y322" s="163">
        <f ca="1">IMSS[[#This Row],[DIAS LAB]]*IMSS[[#This Row],[SDI]]*$R$114</f>
        <v>0</v>
      </c>
      <c r="Z322" s="163">
        <f ca="1">IMSS[[#This Row],[DIAS LAB]]*IMSS[[#This Row],[SDI]]*$R$115</f>
        <v>0</v>
      </c>
      <c r="AA322" s="163">
        <f ca="1">IMSS[[#This Row],[DIAS LAB]]*IMSS[[#This Row],[SDI]]*$R$116</f>
        <v>119.03769835616438</v>
      </c>
      <c r="AB322" s="163">
        <f ca="1">IMSS[[#This Row],[DIAS LAB]]*IMSS[[#This Row],[SDI]]*$R$117</f>
        <v>0</v>
      </c>
      <c r="AC322" s="247">
        <f ca="1">SUM(IMSS[[#This Row],[O RSG TRB]:[O INFONAVIT]])</f>
        <v>211.73962273972603</v>
      </c>
      <c r="AD322" s="163"/>
      <c r="AE322" s="165">
        <f ca="1">IMSS[[#This Row],[P TOTAL]]+IMSS[[#This Row],[O TOTAL]]</f>
        <v>2449.7509971269592</v>
      </c>
      <c r="AF322" s="163"/>
      <c r="AG322" s="163">
        <f>VLOOKUP(IMSS[[#This Row],[SUE MENS]],$AG$110:$AJ$120,1,1)</f>
        <v>5470.93</v>
      </c>
      <c r="AH322" s="163">
        <f>IMSS[[#This Row],[SUE MENS]]-IMSS[[#This Row],[LIM INF]]</f>
        <v>4070.0699999999997</v>
      </c>
      <c r="AI322" s="163">
        <f>IMSS[[#This Row],[EXC LIM INF]]*(VLOOKUP(IMSS[[#This Row],[LIM INF]],$AG$110:$AJ$120,4,0))</f>
        <v>442.82361600000002</v>
      </c>
      <c r="AJ322" s="163">
        <f>VLOOKUP(IMSS[[#This Row],[LIM INF]],$AG$110:$AJ$120,3)</f>
        <v>321.26</v>
      </c>
      <c r="AK322" s="163">
        <f>SUM(IMSS[[#This Row],[TASA EXC]]+IMSS[[#This Row],[CUOTA FIJA]])</f>
        <v>764.08361600000001</v>
      </c>
      <c r="AL322" s="163">
        <f>VLOOKUP(IMSS[[#This Row],[SUE MENS]],$AL$110:$AN$120,3,1)</f>
        <v>0</v>
      </c>
      <c r="AM322" s="248">
        <f>IF(IMSS[[#This Row],[ISR CARGO]]-IMSS[[#This Row],[SUBS ISR]]&gt;0,IMSS[[#This Row],[ISR CARGO]]-IMSS[[#This Row],[SUBS ISR]],0)</f>
        <v>764.08361600000001</v>
      </c>
      <c r="AN322" s="248">
        <f>IF(IMSS[[#This Row],[SUBS ISR]]-IMSS[[#This Row],[ISR CARGO]]&gt;0,IMSS[[#This Row],[SUBS ISR]]-IMSS[[#This Row],[ISR CARGO]],0)</f>
        <v>0</v>
      </c>
    </row>
    <row r="323" spans="3:40" ht="15" hidden="1" customHeight="1" x14ac:dyDescent="0.25">
      <c r="C323" s="243">
        <v>337</v>
      </c>
      <c r="D323" s="167" t="str">
        <f>VLOOKUP(IMSS[[#This Row],[NEM]],BDD[],2,0)</f>
        <v>Cesar Emiliano Sanchez Pruneda</v>
      </c>
      <c r="E323" s="167" t="str">
        <f>VLOOKUP(IMSS[[#This Row],[NEM]],BDD[],9,0)</f>
        <v>SOLUCIONES</v>
      </c>
      <c r="F323" s="168">
        <v>30</v>
      </c>
      <c r="G323" s="139">
        <f>VLOOKUP(IMSS[[#This Row],[NEM]],BDD[],3,0)</f>
        <v>7445</v>
      </c>
      <c r="H323" s="139">
        <f ca="1">VLOOKUP(IMSS[[#This Row],[NEM]],BDD[],25,0)</f>
        <v>274.00319634703197</v>
      </c>
      <c r="I323" s="143">
        <f>VLOOKUP(IMSS[[#This Row],[DEPT]],$B$3:$G$49,6,0)</f>
        <v>5.4355000000000002E-3</v>
      </c>
      <c r="J323" s="163">
        <f ca="1">IMSS[[#This Row],[DIAS LAB]]*IMSS[[#This Row],[SDI]]*IMSS[[#This Row],[% RSG]]*$Q$108</f>
        <v>44.680331212328774</v>
      </c>
      <c r="K323" s="163">
        <f>IMSS[[#This Row],[DIAS LAB]]*$J$110*$Q$109</f>
        <v>548.47440000000006</v>
      </c>
      <c r="L323" s="166">
        <f ca="1">IMSS[[#This Row],[DIAS LAB]]*IF(IMSS[[#This Row],[SDI]]-$J$113&gt;0,IMSS[[#This Row],[SDI]]-$J$113,0)*$Q$110</f>
        <v>1.6972547945205467</v>
      </c>
      <c r="M323" s="166">
        <f ca="1">IMSS[[#This Row],[DIAS LAB]]*IMSS[[#This Row],[SDI]]*$Q$111</f>
        <v>86.311006849315078</v>
      </c>
      <c r="N323" s="163">
        <f ca="1">IMSS[[#This Row],[DIAS LAB]]*IMSS[[#This Row],[SDI]]*$Q$112</f>
        <v>57.540671232876718</v>
      </c>
      <c r="O323" s="166">
        <f ca="1">IMSS[[#This Row],[DIAS LAB]]*IMSS[[#This Row],[SDI]]*$Q$113</f>
        <v>143.8516780821918</v>
      </c>
      <c r="P323" s="163">
        <f ca="1">IMSS[[#This Row],[DIAS LAB]]*IMSS[[#This Row],[SDI]]*$Q$114</f>
        <v>82.200958904109598</v>
      </c>
      <c r="Q323" s="166">
        <f ca="1">IMSS[[#This Row],[DIAS LAB]]*IMSS[[#This Row],[SDI]]*$Q$115</f>
        <v>164.4019178082192</v>
      </c>
      <c r="R323" s="163">
        <f ca="1">IMSS[[#This Row],[DIAS LAB]]*IMSS[[#This Row],[SDI]]*$Q$116</f>
        <v>258.9330205479452</v>
      </c>
      <c r="S323" s="163">
        <f ca="1">IMSS[[#This Row],[DIAS LAB]]*IMSS[[#This Row],[SDI]]*$Q$117</f>
        <v>411.00479452054799</v>
      </c>
      <c r="T323" s="164">
        <f ca="1">SUM(IMSS[[#This Row],[P RSG TRB]:[P INFONAVIT]])</f>
        <v>1799.0960339520548</v>
      </c>
      <c r="U323" s="163">
        <f ca="1">IMSS[[#This Row],[DIAS LAB]]*IMSS[[#This Row],[SDI]]*IMSS[[#This Row],[% RSG]]*$R$108</f>
        <v>0</v>
      </c>
      <c r="V323" s="163">
        <f ca="1">IMSS[[#This Row],[DIAS LAB]]*IMSS[[#This Row],[SDI]]*$R$112</f>
        <v>20.550239726027399</v>
      </c>
      <c r="W323" s="163"/>
      <c r="X323" s="163">
        <f ca="1">IMSS[[#This Row],[DIAS LAB]]*IMSS[[#This Row],[SDI]]*$R$113</f>
        <v>51.786604109589042</v>
      </c>
      <c r="Y323" s="163">
        <f ca="1">IMSS[[#This Row],[DIAS LAB]]*IMSS[[#This Row],[SDI]]*$R$114</f>
        <v>0</v>
      </c>
      <c r="Z323" s="163">
        <f ca="1">IMSS[[#This Row],[DIAS LAB]]*IMSS[[#This Row],[SDI]]*$R$115</f>
        <v>0</v>
      </c>
      <c r="AA323" s="163">
        <f ca="1">IMSS[[#This Row],[DIAS LAB]]*IMSS[[#This Row],[SDI]]*$R$116</f>
        <v>92.887083561643834</v>
      </c>
      <c r="AB323" s="163">
        <f ca="1">IMSS[[#This Row],[DIAS LAB]]*IMSS[[#This Row],[SDI]]*$R$117</f>
        <v>0</v>
      </c>
      <c r="AC323" s="247">
        <f ca="1">SUM(IMSS[[#This Row],[O RSG TRB]:[O INFONAVIT]])</f>
        <v>165.22392739726027</v>
      </c>
      <c r="AD323" s="163"/>
      <c r="AE323" s="165">
        <f ca="1">IMSS[[#This Row],[P TOTAL]]+IMSS[[#This Row],[O TOTAL]]</f>
        <v>1964.319961349315</v>
      </c>
      <c r="AF323" s="163"/>
      <c r="AG323" s="163">
        <f>VLOOKUP(IMSS[[#This Row],[SUE MENS]],$AG$110:$AJ$120,1,1)</f>
        <v>5470.93</v>
      </c>
      <c r="AH323" s="163">
        <f>IMSS[[#This Row],[SUE MENS]]-IMSS[[#This Row],[LIM INF]]</f>
        <v>1974.0699999999997</v>
      </c>
      <c r="AI323" s="163">
        <f>IMSS[[#This Row],[EXC LIM INF]]*(VLOOKUP(IMSS[[#This Row],[LIM INF]],$AG$110:$AJ$120,4,0))</f>
        <v>214.77881599999998</v>
      </c>
      <c r="AJ323" s="163">
        <f>VLOOKUP(IMSS[[#This Row],[LIM INF]],$AG$110:$AJ$120,3)</f>
        <v>321.26</v>
      </c>
      <c r="AK323" s="163">
        <f>SUM(IMSS[[#This Row],[TASA EXC]]+IMSS[[#This Row],[CUOTA FIJA]])</f>
        <v>536.038816</v>
      </c>
      <c r="AL323" s="163">
        <f>VLOOKUP(IMSS[[#This Row],[SUE MENS]],$AL$110:$AN$120,3,1)</f>
        <v>0</v>
      </c>
      <c r="AM323" s="248">
        <f>IF(IMSS[[#This Row],[ISR CARGO]]-IMSS[[#This Row],[SUBS ISR]]&gt;0,IMSS[[#This Row],[ISR CARGO]]-IMSS[[#This Row],[SUBS ISR]],0)</f>
        <v>536.038816</v>
      </c>
      <c r="AN323" s="248">
        <f>IF(IMSS[[#This Row],[SUBS ISR]]-IMSS[[#This Row],[ISR CARGO]]&gt;0,IMSS[[#This Row],[SUBS ISR]]-IMSS[[#This Row],[ISR CARGO]],0)</f>
        <v>0</v>
      </c>
    </row>
    <row r="324" spans="3:40" ht="15" hidden="1" customHeight="1" x14ac:dyDescent="0.25">
      <c r="C324" s="246">
        <v>339</v>
      </c>
      <c r="D324" s="167" t="str">
        <f>VLOOKUP(IMSS[[#This Row],[NEM]],BDD[],2,0)</f>
        <v>Uriel Mendez Flores</v>
      </c>
      <c r="E324" s="167" t="str">
        <f>VLOOKUP(IMSS[[#This Row],[NEM]],BDD[],9,0)</f>
        <v>ANLIS COST</v>
      </c>
      <c r="F324" s="168">
        <v>30</v>
      </c>
      <c r="G324" s="139">
        <f>VLOOKUP(IMSS[[#This Row],[NEM]],BDD[],3,0)</f>
        <v>6778</v>
      </c>
      <c r="H324" s="139">
        <f ca="1">VLOOKUP(IMSS[[#This Row],[NEM]],BDD[],25,0)</f>
        <v>237.69424657534245</v>
      </c>
      <c r="I324" s="143">
        <f>VLOOKUP(IMSS[[#This Row],[DEPT]],$B$3:$G$49,6,0)</f>
        <v>1.130658E-2</v>
      </c>
      <c r="J324" s="163">
        <f ca="1">IMSS[[#This Row],[DIAS LAB]]*IMSS[[#This Row],[SDI]]*IMSS[[#This Row],[% RSG]]*$Q$108</f>
        <v>80.625270433315066</v>
      </c>
      <c r="K324" s="163">
        <f>IMSS[[#This Row],[DIAS LAB]]*$J$110*$Q$109</f>
        <v>548.47440000000006</v>
      </c>
      <c r="L324" s="166">
        <f ca="1">IMSS[[#This Row],[DIAS LAB]]*IF(IMSS[[#This Row],[SDI]]-$J$113&gt;0,IMSS[[#This Row],[SDI]]-$J$113,0)*$Q$110</f>
        <v>0</v>
      </c>
      <c r="M324" s="166">
        <f ca="1">IMSS[[#This Row],[DIAS LAB]]*IMSS[[#This Row],[SDI]]*$Q$111</f>
        <v>74.873687671232872</v>
      </c>
      <c r="N324" s="163">
        <f ca="1">IMSS[[#This Row],[DIAS LAB]]*IMSS[[#This Row],[SDI]]*$Q$112</f>
        <v>49.91579178082192</v>
      </c>
      <c r="O324" s="166">
        <f ca="1">IMSS[[#This Row],[DIAS LAB]]*IMSS[[#This Row],[SDI]]*$Q$113</f>
        <v>124.78947945205481</v>
      </c>
      <c r="P324" s="163">
        <f ca="1">IMSS[[#This Row],[DIAS LAB]]*IMSS[[#This Row],[SDI]]*$Q$114</f>
        <v>71.308273972602734</v>
      </c>
      <c r="Q324" s="166">
        <f ca="1">IMSS[[#This Row],[DIAS LAB]]*IMSS[[#This Row],[SDI]]*$Q$115</f>
        <v>142.61654794520547</v>
      </c>
      <c r="R324" s="163">
        <f ca="1">IMSS[[#This Row],[DIAS LAB]]*IMSS[[#This Row],[SDI]]*$Q$116</f>
        <v>224.62106301369863</v>
      </c>
      <c r="S324" s="163">
        <f ca="1">IMSS[[#This Row],[DIAS LAB]]*IMSS[[#This Row],[SDI]]*$Q$117</f>
        <v>356.5413698630137</v>
      </c>
      <c r="T324" s="164">
        <f ca="1">SUM(IMSS[[#This Row],[P RSG TRB]:[P INFONAVIT]])</f>
        <v>1673.7658841319453</v>
      </c>
      <c r="U324" s="163">
        <f ca="1">IMSS[[#This Row],[DIAS LAB]]*IMSS[[#This Row],[SDI]]*IMSS[[#This Row],[% RSG]]*$R$108</f>
        <v>0</v>
      </c>
      <c r="V324" s="163">
        <f ca="1">IMSS[[#This Row],[DIAS LAB]]*IMSS[[#This Row],[SDI]]*$R$112</f>
        <v>17.827068493150684</v>
      </c>
      <c r="W324" s="163"/>
      <c r="X324" s="163">
        <f ca="1">IMSS[[#This Row],[DIAS LAB]]*IMSS[[#This Row],[SDI]]*$R$113</f>
        <v>44.924212602739722</v>
      </c>
      <c r="Y324" s="163">
        <f ca="1">IMSS[[#This Row],[DIAS LAB]]*IMSS[[#This Row],[SDI]]*$R$114</f>
        <v>0</v>
      </c>
      <c r="Z324" s="163">
        <f ca="1">IMSS[[#This Row],[DIAS LAB]]*IMSS[[#This Row],[SDI]]*$R$115</f>
        <v>0</v>
      </c>
      <c r="AA324" s="163">
        <f ca="1">IMSS[[#This Row],[DIAS LAB]]*IMSS[[#This Row],[SDI]]*$R$116</f>
        <v>80.578349589041082</v>
      </c>
      <c r="AB324" s="163">
        <f ca="1">IMSS[[#This Row],[DIAS LAB]]*IMSS[[#This Row],[SDI]]*$R$117</f>
        <v>0</v>
      </c>
      <c r="AC324" s="247">
        <f ca="1">SUM(IMSS[[#This Row],[O RSG TRB]:[O INFONAVIT]])</f>
        <v>143.32963068493149</v>
      </c>
      <c r="AD324" s="163"/>
      <c r="AE324" s="165">
        <f ca="1">IMSS[[#This Row],[P TOTAL]]+IMSS[[#This Row],[O TOTAL]]</f>
        <v>1817.0955148168769</v>
      </c>
      <c r="AF324" s="163"/>
      <c r="AG324" s="163">
        <f>VLOOKUP(IMSS[[#This Row],[SUE MENS]],$AG$110:$AJ$120,1,1)</f>
        <v>5470.93</v>
      </c>
      <c r="AH324" s="163">
        <f>IMSS[[#This Row],[SUE MENS]]-IMSS[[#This Row],[LIM INF]]</f>
        <v>1307.0699999999997</v>
      </c>
      <c r="AI324" s="163">
        <f>IMSS[[#This Row],[EXC LIM INF]]*(VLOOKUP(IMSS[[#This Row],[LIM INF]],$AG$110:$AJ$120,4,0))</f>
        <v>142.20921599999997</v>
      </c>
      <c r="AJ324" s="163">
        <f>VLOOKUP(IMSS[[#This Row],[LIM INF]],$AG$110:$AJ$120,3)</f>
        <v>321.26</v>
      </c>
      <c r="AK324" s="163">
        <f>SUM(IMSS[[#This Row],[TASA EXC]]+IMSS[[#This Row],[CUOTA FIJA]])</f>
        <v>463.46921599999996</v>
      </c>
      <c r="AL324" s="163">
        <f>VLOOKUP(IMSS[[#This Row],[SUE MENS]],$AL$110:$AN$120,3,1)</f>
        <v>253.54</v>
      </c>
      <c r="AM324" s="248">
        <f>IF(IMSS[[#This Row],[ISR CARGO]]-IMSS[[#This Row],[SUBS ISR]]&gt;0,IMSS[[#This Row],[ISR CARGO]]-IMSS[[#This Row],[SUBS ISR]],0)</f>
        <v>209.92921599999997</v>
      </c>
      <c r="AN324" s="248">
        <f>IF(IMSS[[#This Row],[SUBS ISR]]-IMSS[[#This Row],[ISR CARGO]]&gt;0,IMSS[[#This Row],[SUBS ISR]]-IMSS[[#This Row],[ISR CARGO]],0)</f>
        <v>0</v>
      </c>
    </row>
    <row r="325" spans="3:40" ht="15" hidden="1" customHeight="1" x14ac:dyDescent="0.25">
      <c r="C325" s="243">
        <v>340</v>
      </c>
      <c r="D325" s="167" t="str">
        <f>VLOOKUP(IMSS[[#This Row],[NEM]],BDD[],2,0)</f>
        <v>Jeannethe Escalera Salinas</v>
      </c>
      <c r="E325" s="167" t="str">
        <f>VLOOKUP(IMSS[[#This Row],[NEM]],BDD[],9,0)</f>
        <v>INST CAMPO</v>
      </c>
      <c r="F325" s="168">
        <v>30</v>
      </c>
      <c r="G325" s="139">
        <f>VLOOKUP(IMSS[[#This Row],[NEM]],BDD[],3,0)</f>
        <v>7445</v>
      </c>
      <c r="H325" s="139">
        <f ca="1">VLOOKUP(IMSS[[#This Row],[NEM]],BDD[],25,0)</f>
        <v>274.00319634703197</v>
      </c>
      <c r="I325" s="143">
        <f>VLOOKUP(IMSS[[#This Row],[DEPT]],$B$3:$G$49,6,0)</f>
        <v>4.6532499999999997E-2</v>
      </c>
      <c r="J325" s="163">
        <f ca="1">IMSS[[#This Row],[DIAS LAB]]*IMSS[[#This Row],[SDI]]*IMSS[[#This Row],[% RSG]]*$Q$108</f>
        <v>382.50161202054795</v>
      </c>
      <c r="K325" s="163">
        <f>IMSS[[#This Row],[DIAS LAB]]*$J$110*$Q$109</f>
        <v>548.47440000000006</v>
      </c>
      <c r="L325" s="166">
        <f ca="1">IMSS[[#This Row],[DIAS LAB]]*IF(IMSS[[#This Row],[SDI]]-$J$113&gt;0,IMSS[[#This Row],[SDI]]-$J$113,0)*$Q$110</f>
        <v>1.6972547945205467</v>
      </c>
      <c r="M325" s="166">
        <f ca="1">IMSS[[#This Row],[DIAS LAB]]*IMSS[[#This Row],[SDI]]*$Q$111</f>
        <v>86.311006849315078</v>
      </c>
      <c r="N325" s="163">
        <f ca="1">IMSS[[#This Row],[DIAS LAB]]*IMSS[[#This Row],[SDI]]*$Q$112</f>
        <v>57.540671232876718</v>
      </c>
      <c r="O325" s="166">
        <f ca="1">IMSS[[#This Row],[DIAS LAB]]*IMSS[[#This Row],[SDI]]*$Q$113</f>
        <v>143.8516780821918</v>
      </c>
      <c r="P325" s="163">
        <f ca="1">IMSS[[#This Row],[DIAS LAB]]*IMSS[[#This Row],[SDI]]*$Q$114</f>
        <v>82.200958904109598</v>
      </c>
      <c r="Q325" s="166">
        <f ca="1">IMSS[[#This Row],[DIAS LAB]]*IMSS[[#This Row],[SDI]]*$Q$115</f>
        <v>164.4019178082192</v>
      </c>
      <c r="R325" s="163">
        <f ca="1">IMSS[[#This Row],[DIAS LAB]]*IMSS[[#This Row],[SDI]]*$Q$116</f>
        <v>258.9330205479452</v>
      </c>
      <c r="S325" s="163">
        <f ca="1">IMSS[[#This Row],[DIAS LAB]]*IMSS[[#This Row],[SDI]]*$Q$117</f>
        <v>411.00479452054799</v>
      </c>
      <c r="T325" s="164">
        <f ca="1">SUM(IMSS[[#This Row],[P RSG TRB]:[P INFONAVIT]])</f>
        <v>2136.9173147602742</v>
      </c>
      <c r="U325" s="163">
        <f ca="1">IMSS[[#This Row],[DIAS LAB]]*IMSS[[#This Row],[SDI]]*IMSS[[#This Row],[% RSG]]*$R$108</f>
        <v>0</v>
      </c>
      <c r="V325" s="163">
        <f ca="1">IMSS[[#This Row],[DIAS LAB]]*IMSS[[#This Row],[SDI]]*$R$112</f>
        <v>20.550239726027399</v>
      </c>
      <c r="W325" s="163"/>
      <c r="X325" s="163">
        <f ca="1">IMSS[[#This Row],[DIAS LAB]]*IMSS[[#This Row],[SDI]]*$R$113</f>
        <v>51.786604109589042</v>
      </c>
      <c r="Y325" s="163">
        <f ca="1">IMSS[[#This Row],[DIAS LAB]]*IMSS[[#This Row],[SDI]]*$R$114</f>
        <v>0</v>
      </c>
      <c r="Z325" s="163">
        <f ca="1">IMSS[[#This Row],[DIAS LAB]]*IMSS[[#This Row],[SDI]]*$R$115</f>
        <v>0</v>
      </c>
      <c r="AA325" s="163">
        <f ca="1">IMSS[[#This Row],[DIAS LAB]]*IMSS[[#This Row],[SDI]]*$R$116</f>
        <v>92.887083561643834</v>
      </c>
      <c r="AB325" s="163">
        <f ca="1">IMSS[[#This Row],[DIAS LAB]]*IMSS[[#This Row],[SDI]]*$R$117</f>
        <v>0</v>
      </c>
      <c r="AC325" s="247">
        <f ca="1">SUM(IMSS[[#This Row],[O RSG TRB]:[O INFONAVIT]])</f>
        <v>165.22392739726027</v>
      </c>
      <c r="AD325" s="163"/>
      <c r="AE325" s="165">
        <f ca="1">IMSS[[#This Row],[P TOTAL]]+IMSS[[#This Row],[O TOTAL]]</f>
        <v>2302.1412421575346</v>
      </c>
      <c r="AF325" s="163"/>
      <c r="AG325" s="163">
        <f>VLOOKUP(IMSS[[#This Row],[SUE MENS]],$AG$110:$AJ$120,1,1)</f>
        <v>5470.93</v>
      </c>
      <c r="AH325" s="163">
        <f>IMSS[[#This Row],[SUE MENS]]-IMSS[[#This Row],[LIM INF]]</f>
        <v>1974.0699999999997</v>
      </c>
      <c r="AI325" s="163">
        <f>IMSS[[#This Row],[EXC LIM INF]]*(VLOOKUP(IMSS[[#This Row],[LIM INF]],$AG$110:$AJ$120,4,0))</f>
        <v>214.77881599999998</v>
      </c>
      <c r="AJ325" s="163">
        <f>VLOOKUP(IMSS[[#This Row],[LIM INF]],$AG$110:$AJ$120,3)</f>
        <v>321.26</v>
      </c>
      <c r="AK325" s="163">
        <f>SUM(IMSS[[#This Row],[TASA EXC]]+IMSS[[#This Row],[CUOTA FIJA]])</f>
        <v>536.038816</v>
      </c>
      <c r="AL325" s="163">
        <f>VLOOKUP(IMSS[[#This Row],[SUE MENS]],$AL$110:$AN$120,3,1)</f>
        <v>0</v>
      </c>
      <c r="AM325" s="248">
        <f>IF(IMSS[[#This Row],[ISR CARGO]]-IMSS[[#This Row],[SUBS ISR]]&gt;0,IMSS[[#This Row],[ISR CARGO]]-IMSS[[#This Row],[SUBS ISR]],0)</f>
        <v>536.038816</v>
      </c>
      <c r="AN325" s="248">
        <f>IF(IMSS[[#This Row],[SUBS ISR]]-IMSS[[#This Row],[ISR CARGO]]&gt;0,IMSS[[#This Row],[SUBS ISR]]-IMSS[[#This Row],[ISR CARGO]],0)</f>
        <v>0</v>
      </c>
    </row>
    <row r="326" spans="3:40" ht="15" hidden="1" customHeight="1" x14ac:dyDescent="0.25">
      <c r="C326" s="243">
        <v>341</v>
      </c>
      <c r="D326" s="167" t="str">
        <f>VLOOKUP(IMSS[[#This Row],[NEM]],BDD[],2,0)</f>
        <v>Guadalupe Zuñiga Pioquinto</v>
      </c>
      <c r="E326" s="167" t="str">
        <f>VLOOKUP(IMSS[[#This Row],[NEM]],BDD[],9,0)</f>
        <v>ARQUITECT</v>
      </c>
      <c r="F326" s="168">
        <v>30</v>
      </c>
      <c r="G326" s="139">
        <f>VLOOKUP(IMSS[[#This Row],[NEM]],BDD[],3,0)</f>
        <v>9541</v>
      </c>
      <c r="H326" s="139">
        <f ca="1">VLOOKUP(IMSS[[#This Row],[NEM]],BDD[],25,0)</f>
        <v>351.14365296803658</v>
      </c>
      <c r="I326" s="143">
        <f>VLOOKUP(IMSS[[#This Row],[DEPT]],$B$3:$G$49,6,0)</f>
        <v>2.5984400000000001E-2</v>
      </c>
      <c r="J326" s="163">
        <f ca="1">IMSS[[#This Row],[DIAS LAB]]*IMSS[[#This Row],[SDI]]*IMSS[[#This Row],[% RSG]]*$Q$108</f>
        <v>273.72771408547948</v>
      </c>
      <c r="K326" s="163">
        <f>IMSS[[#This Row],[DIAS LAB]]*$J$110*$Q$109</f>
        <v>548.47440000000006</v>
      </c>
      <c r="L326" s="166">
        <f ca="1">IMSS[[#This Row],[DIAS LAB]]*IF(IMSS[[#This Row],[SDI]]-$J$113&gt;0,IMSS[[#This Row],[SDI]]-$J$113,0)*$Q$110</f>
        <v>27.153605479452061</v>
      </c>
      <c r="M326" s="166">
        <f ca="1">IMSS[[#This Row],[DIAS LAB]]*IMSS[[#This Row],[SDI]]*$Q$111</f>
        <v>110.61025068493153</v>
      </c>
      <c r="N326" s="163">
        <f ca="1">IMSS[[#This Row],[DIAS LAB]]*IMSS[[#This Row],[SDI]]*$Q$112</f>
        <v>73.740167123287677</v>
      </c>
      <c r="O326" s="166">
        <f ca="1">IMSS[[#This Row],[DIAS LAB]]*IMSS[[#This Row],[SDI]]*$Q$113</f>
        <v>184.35041780821922</v>
      </c>
      <c r="P326" s="163">
        <f ca="1">IMSS[[#This Row],[DIAS LAB]]*IMSS[[#This Row],[SDI]]*$Q$114</f>
        <v>105.34309589041096</v>
      </c>
      <c r="Q326" s="166">
        <f ca="1">IMSS[[#This Row],[DIAS LAB]]*IMSS[[#This Row],[SDI]]*$Q$115</f>
        <v>210.68619178082193</v>
      </c>
      <c r="R326" s="163">
        <f ca="1">IMSS[[#This Row],[DIAS LAB]]*IMSS[[#This Row],[SDI]]*$Q$116</f>
        <v>331.83075205479457</v>
      </c>
      <c r="S326" s="163">
        <f ca="1">IMSS[[#This Row],[DIAS LAB]]*IMSS[[#This Row],[SDI]]*$Q$117</f>
        <v>526.71547945205486</v>
      </c>
      <c r="T326" s="164">
        <f ca="1">SUM(IMSS[[#This Row],[P RSG TRB]:[P INFONAVIT]])</f>
        <v>2392.6320743594524</v>
      </c>
      <c r="U326" s="163">
        <f ca="1">IMSS[[#This Row],[DIAS LAB]]*IMSS[[#This Row],[SDI]]*IMSS[[#This Row],[% RSG]]*$R$108</f>
        <v>0</v>
      </c>
      <c r="V326" s="163">
        <f ca="1">IMSS[[#This Row],[DIAS LAB]]*IMSS[[#This Row],[SDI]]*$R$112</f>
        <v>26.335773972602741</v>
      </c>
      <c r="W326" s="163"/>
      <c r="X326" s="163">
        <f ca="1">IMSS[[#This Row],[DIAS LAB]]*IMSS[[#This Row],[SDI]]*$R$113</f>
        <v>66.366150410958909</v>
      </c>
      <c r="Y326" s="163">
        <f ca="1">IMSS[[#This Row],[DIAS LAB]]*IMSS[[#This Row],[SDI]]*$R$114</f>
        <v>0</v>
      </c>
      <c r="Z326" s="163">
        <f ca="1">IMSS[[#This Row],[DIAS LAB]]*IMSS[[#This Row],[SDI]]*$R$115</f>
        <v>0</v>
      </c>
      <c r="AA326" s="163">
        <f ca="1">IMSS[[#This Row],[DIAS LAB]]*IMSS[[#This Row],[SDI]]*$R$116</f>
        <v>119.03769835616438</v>
      </c>
      <c r="AB326" s="163">
        <f ca="1">IMSS[[#This Row],[DIAS LAB]]*IMSS[[#This Row],[SDI]]*$R$117</f>
        <v>0</v>
      </c>
      <c r="AC326" s="247">
        <f ca="1">SUM(IMSS[[#This Row],[O RSG TRB]:[O INFONAVIT]])</f>
        <v>211.73962273972603</v>
      </c>
      <c r="AD326" s="163"/>
      <c r="AE326" s="165">
        <f ca="1">IMSS[[#This Row],[P TOTAL]]+IMSS[[#This Row],[O TOTAL]]</f>
        <v>2604.3716970991786</v>
      </c>
      <c r="AF326" s="163"/>
      <c r="AG326" s="163">
        <f>VLOOKUP(IMSS[[#This Row],[SUE MENS]],$AG$110:$AJ$120,1,1)</f>
        <v>5470.93</v>
      </c>
      <c r="AH326" s="163">
        <f>IMSS[[#This Row],[SUE MENS]]-IMSS[[#This Row],[LIM INF]]</f>
        <v>4070.0699999999997</v>
      </c>
      <c r="AI326" s="163">
        <f>IMSS[[#This Row],[EXC LIM INF]]*(VLOOKUP(IMSS[[#This Row],[LIM INF]],$AG$110:$AJ$120,4,0))</f>
        <v>442.82361600000002</v>
      </c>
      <c r="AJ326" s="163">
        <f>VLOOKUP(IMSS[[#This Row],[LIM INF]],$AG$110:$AJ$120,3)</f>
        <v>321.26</v>
      </c>
      <c r="AK326" s="163">
        <f>SUM(IMSS[[#This Row],[TASA EXC]]+IMSS[[#This Row],[CUOTA FIJA]])</f>
        <v>764.08361600000001</v>
      </c>
      <c r="AL326" s="163">
        <f>VLOOKUP(IMSS[[#This Row],[SUE MENS]],$AL$110:$AN$120,3,1)</f>
        <v>0</v>
      </c>
      <c r="AM326" s="248">
        <f>IF(IMSS[[#This Row],[ISR CARGO]]-IMSS[[#This Row],[SUBS ISR]]&gt;0,IMSS[[#This Row],[ISR CARGO]]-IMSS[[#This Row],[SUBS ISR]],0)</f>
        <v>764.08361600000001</v>
      </c>
      <c r="AN326" s="248">
        <f>IF(IMSS[[#This Row],[SUBS ISR]]-IMSS[[#This Row],[ISR CARGO]]&gt;0,IMSS[[#This Row],[SUBS ISR]]-IMSS[[#This Row],[ISR CARGO]],0)</f>
        <v>0</v>
      </c>
    </row>
    <row r="327" spans="3:40" ht="15" hidden="1" customHeight="1" x14ac:dyDescent="0.25">
      <c r="C327" s="243">
        <v>342</v>
      </c>
      <c r="D327" s="167" t="str">
        <f>VLOOKUP(IMSS[[#This Row],[NEM]],BDD[],2,0)</f>
        <v>Daphne Abigail Ramos Castro</v>
      </c>
      <c r="E327" s="167" t="str">
        <f>VLOOKUP(IMSS[[#This Row],[NEM]],BDD[],9,0)</f>
        <v>MATERIALES</v>
      </c>
      <c r="F327" s="168">
        <v>30</v>
      </c>
      <c r="G327" s="139">
        <f>VLOOKUP(IMSS[[#This Row],[NEM]],BDD[],3,0)</f>
        <v>9541</v>
      </c>
      <c r="H327" s="139">
        <f ca="1">VLOOKUP(IMSS[[#This Row],[NEM]],BDD[],25,0)</f>
        <v>351.14365296803658</v>
      </c>
      <c r="I327" s="143">
        <f>VLOOKUP(IMSS[[#This Row],[DEPT]],$B$3:$G$49,6,0)</f>
        <v>4.6532499999999997E-2</v>
      </c>
      <c r="J327" s="163">
        <f ca="1">IMSS[[#This Row],[DIAS LAB]]*IMSS[[#This Row],[SDI]]*IMSS[[#This Row],[% RSG]]*$Q$108</f>
        <v>490.18776095205482</v>
      </c>
      <c r="K327" s="163">
        <f>IMSS[[#This Row],[DIAS LAB]]*$J$110*$Q$109</f>
        <v>548.47440000000006</v>
      </c>
      <c r="L327" s="166">
        <f ca="1">IMSS[[#This Row],[DIAS LAB]]*IF(IMSS[[#This Row],[SDI]]-$J$113&gt;0,IMSS[[#This Row],[SDI]]-$J$113,0)*$Q$110</f>
        <v>27.153605479452061</v>
      </c>
      <c r="M327" s="166">
        <f ca="1">IMSS[[#This Row],[DIAS LAB]]*IMSS[[#This Row],[SDI]]*$Q$111</f>
        <v>110.61025068493153</v>
      </c>
      <c r="N327" s="163">
        <f ca="1">IMSS[[#This Row],[DIAS LAB]]*IMSS[[#This Row],[SDI]]*$Q$112</f>
        <v>73.740167123287677</v>
      </c>
      <c r="O327" s="166">
        <f ca="1">IMSS[[#This Row],[DIAS LAB]]*IMSS[[#This Row],[SDI]]*$Q$113</f>
        <v>184.35041780821922</v>
      </c>
      <c r="P327" s="163">
        <f ca="1">IMSS[[#This Row],[DIAS LAB]]*IMSS[[#This Row],[SDI]]*$Q$114</f>
        <v>105.34309589041096</v>
      </c>
      <c r="Q327" s="166">
        <f ca="1">IMSS[[#This Row],[DIAS LAB]]*IMSS[[#This Row],[SDI]]*$Q$115</f>
        <v>210.68619178082193</v>
      </c>
      <c r="R327" s="163">
        <f ca="1">IMSS[[#This Row],[DIAS LAB]]*IMSS[[#This Row],[SDI]]*$Q$116</f>
        <v>331.83075205479457</v>
      </c>
      <c r="S327" s="163">
        <f ca="1">IMSS[[#This Row],[DIAS LAB]]*IMSS[[#This Row],[SDI]]*$Q$117</f>
        <v>526.71547945205486</v>
      </c>
      <c r="T327" s="164">
        <f ca="1">SUM(IMSS[[#This Row],[P RSG TRB]:[P INFONAVIT]])</f>
        <v>2609.0921212260273</v>
      </c>
      <c r="U327" s="163">
        <f ca="1">IMSS[[#This Row],[DIAS LAB]]*IMSS[[#This Row],[SDI]]*IMSS[[#This Row],[% RSG]]*$R$108</f>
        <v>0</v>
      </c>
      <c r="V327" s="163">
        <f ca="1">IMSS[[#This Row],[DIAS LAB]]*IMSS[[#This Row],[SDI]]*$R$112</f>
        <v>26.335773972602741</v>
      </c>
      <c r="W327" s="163"/>
      <c r="X327" s="163">
        <f ca="1">IMSS[[#This Row],[DIAS LAB]]*IMSS[[#This Row],[SDI]]*$R$113</f>
        <v>66.366150410958909</v>
      </c>
      <c r="Y327" s="163">
        <f ca="1">IMSS[[#This Row],[DIAS LAB]]*IMSS[[#This Row],[SDI]]*$R$114</f>
        <v>0</v>
      </c>
      <c r="Z327" s="163">
        <f ca="1">IMSS[[#This Row],[DIAS LAB]]*IMSS[[#This Row],[SDI]]*$R$115</f>
        <v>0</v>
      </c>
      <c r="AA327" s="163">
        <f ca="1">IMSS[[#This Row],[DIAS LAB]]*IMSS[[#This Row],[SDI]]*$R$116</f>
        <v>119.03769835616438</v>
      </c>
      <c r="AB327" s="163">
        <f ca="1">IMSS[[#This Row],[DIAS LAB]]*IMSS[[#This Row],[SDI]]*$R$117</f>
        <v>0</v>
      </c>
      <c r="AC327" s="247">
        <f ca="1">SUM(IMSS[[#This Row],[O RSG TRB]:[O INFONAVIT]])</f>
        <v>211.73962273972603</v>
      </c>
      <c r="AD327" s="163"/>
      <c r="AE327" s="165">
        <f ca="1">IMSS[[#This Row],[P TOTAL]]+IMSS[[#This Row],[O TOTAL]]</f>
        <v>2820.8317439657535</v>
      </c>
      <c r="AF327" s="163"/>
      <c r="AG327" s="163">
        <f>VLOOKUP(IMSS[[#This Row],[SUE MENS]],$AG$110:$AJ$120,1,1)</f>
        <v>5470.93</v>
      </c>
      <c r="AH327" s="163">
        <f>IMSS[[#This Row],[SUE MENS]]-IMSS[[#This Row],[LIM INF]]</f>
        <v>4070.0699999999997</v>
      </c>
      <c r="AI327" s="163">
        <f>IMSS[[#This Row],[EXC LIM INF]]*(VLOOKUP(IMSS[[#This Row],[LIM INF]],$AG$110:$AJ$120,4,0))</f>
        <v>442.82361600000002</v>
      </c>
      <c r="AJ327" s="163">
        <f>VLOOKUP(IMSS[[#This Row],[LIM INF]],$AG$110:$AJ$120,3)</f>
        <v>321.26</v>
      </c>
      <c r="AK327" s="163">
        <f>SUM(IMSS[[#This Row],[TASA EXC]]+IMSS[[#This Row],[CUOTA FIJA]])</f>
        <v>764.08361600000001</v>
      </c>
      <c r="AL327" s="163">
        <f>VLOOKUP(IMSS[[#This Row],[SUE MENS]],$AL$110:$AN$120,3,1)</f>
        <v>0</v>
      </c>
      <c r="AM327" s="248">
        <f>IF(IMSS[[#This Row],[ISR CARGO]]-IMSS[[#This Row],[SUBS ISR]]&gt;0,IMSS[[#This Row],[ISR CARGO]]-IMSS[[#This Row],[SUBS ISR]],0)</f>
        <v>764.08361600000001</v>
      </c>
      <c r="AN327" s="248">
        <f>IF(IMSS[[#This Row],[SUBS ISR]]-IMSS[[#This Row],[ISR CARGO]]&gt;0,IMSS[[#This Row],[SUBS ISR]]-IMSS[[#This Row],[ISR CARGO]],0)</f>
        <v>0</v>
      </c>
    </row>
    <row r="328" spans="3:40" ht="15" hidden="1" customHeight="1" x14ac:dyDescent="0.25">
      <c r="C328" s="243">
        <v>343</v>
      </c>
      <c r="D328" s="167" t="str">
        <f>VLOOKUP(IMSS[[#This Row],[NEM]],BDD[],2,0)</f>
        <v>Marcos Adrián Aguilera Clemente</v>
      </c>
      <c r="E328" s="167" t="str">
        <f>VLOOKUP(IMSS[[#This Row],[NEM]],BDD[],9,0)</f>
        <v>AUDIT PROY</v>
      </c>
      <c r="F328" s="168">
        <v>30</v>
      </c>
      <c r="G328" s="139">
        <f>VLOOKUP(IMSS[[#This Row],[NEM]],BDD[],3,0)</f>
        <v>9450</v>
      </c>
      <c r="H328" s="139">
        <f ca="1">VLOOKUP(IMSS[[#This Row],[NEM]],BDD[],25,0)</f>
        <v>347.79452054794518</v>
      </c>
      <c r="I328" s="143">
        <f>VLOOKUP(IMSS[[#This Row],[DEPT]],$B$3:$G$49,6,0)</f>
        <v>1.130658E-2</v>
      </c>
      <c r="J328" s="163">
        <f ca="1">IMSS[[#This Row],[DIAS LAB]]*IMSS[[#This Row],[SDI]]*IMSS[[#This Row],[% RSG]]*$Q$108</f>
        <v>117.97099710410957</v>
      </c>
      <c r="K328" s="163">
        <f>IMSS[[#This Row],[DIAS LAB]]*$J$110*$Q$109</f>
        <v>548.47440000000006</v>
      </c>
      <c r="L328" s="166">
        <f ca="1">IMSS[[#This Row],[DIAS LAB]]*IF(IMSS[[#This Row],[SDI]]-$J$113&gt;0,IMSS[[#This Row],[SDI]]-$J$113,0)*$Q$110</f>
        <v>26.048391780821905</v>
      </c>
      <c r="M328" s="166">
        <f ca="1">IMSS[[#This Row],[DIAS LAB]]*IMSS[[#This Row],[SDI]]*$Q$111</f>
        <v>109.55527397260273</v>
      </c>
      <c r="N328" s="163">
        <f ca="1">IMSS[[#This Row],[DIAS LAB]]*IMSS[[#This Row],[SDI]]*$Q$112</f>
        <v>73.03684931506848</v>
      </c>
      <c r="O328" s="166">
        <f ca="1">IMSS[[#This Row],[DIAS LAB]]*IMSS[[#This Row],[SDI]]*$Q$113</f>
        <v>182.59212328767123</v>
      </c>
      <c r="P328" s="163">
        <f ca="1">IMSS[[#This Row],[DIAS LAB]]*IMSS[[#This Row],[SDI]]*$Q$114</f>
        <v>104.33835616438355</v>
      </c>
      <c r="Q328" s="166">
        <f ca="1">IMSS[[#This Row],[DIAS LAB]]*IMSS[[#This Row],[SDI]]*$Q$115</f>
        <v>208.67671232876711</v>
      </c>
      <c r="R328" s="163">
        <f ca="1">IMSS[[#This Row],[DIAS LAB]]*IMSS[[#This Row],[SDI]]*$Q$116</f>
        <v>328.66582191780816</v>
      </c>
      <c r="S328" s="163">
        <f ca="1">IMSS[[#This Row],[DIAS LAB]]*IMSS[[#This Row],[SDI]]*$Q$117</f>
        <v>521.69178082191775</v>
      </c>
      <c r="T328" s="164">
        <f ca="1">SUM(IMSS[[#This Row],[P RSG TRB]:[P INFONAVIT]])</f>
        <v>2221.0507066931505</v>
      </c>
      <c r="U328" s="163">
        <f ca="1">IMSS[[#This Row],[DIAS LAB]]*IMSS[[#This Row],[SDI]]*IMSS[[#This Row],[% RSG]]*$R$108</f>
        <v>0</v>
      </c>
      <c r="V328" s="163">
        <f ca="1">IMSS[[#This Row],[DIAS LAB]]*IMSS[[#This Row],[SDI]]*$R$112</f>
        <v>26.084589041095889</v>
      </c>
      <c r="W328" s="163"/>
      <c r="X328" s="163">
        <f ca="1">IMSS[[#This Row],[DIAS LAB]]*IMSS[[#This Row],[SDI]]*$R$113</f>
        <v>65.733164383561643</v>
      </c>
      <c r="Y328" s="163">
        <f ca="1">IMSS[[#This Row],[DIAS LAB]]*IMSS[[#This Row],[SDI]]*$R$114</f>
        <v>0</v>
      </c>
      <c r="Z328" s="163">
        <f ca="1">IMSS[[#This Row],[DIAS LAB]]*IMSS[[#This Row],[SDI]]*$R$115</f>
        <v>0</v>
      </c>
      <c r="AA328" s="163">
        <f ca="1">IMSS[[#This Row],[DIAS LAB]]*IMSS[[#This Row],[SDI]]*$R$116</f>
        <v>117.90234246575341</v>
      </c>
      <c r="AB328" s="163">
        <f ca="1">IMSS[[#This Row],[DIAS LAB]]*IMSS[[#This Row],[SDI]]*$R$117</f>
        <v>0</v>
      </c>
      <c r="AC328" s="247">
        <f ca="1">SUM(IMSS[[#This Row],[O RSG TRB]:[O INFONAVIT]])</f>
        <v>209.72009589041093</v>
      </c>
      <c r="AD328" s="163"/>
      <c r="AE328" s="165">
        <f ca="1">IMSS[[#This Row],[P TOTAL]]+IMSS[[#This Row],[O TOTAL]]</f>
        <v>2430.7708025835614</v>
      </c>
      <c r="AF328" s="163"/>
      <c r="AG328" s="163">
        <f>VLOOKUP(IMSS[[#This Row],[SUE MENS]],$AG$110:$AJ$120,1,1)</f>
        <v>5470.93</v>
      </c>
      <c r="AH328" s="163">
        <f>IMSS[[#This Row],[SUE MENS]]-IMSS[[#This Row],[LIM INF]]</f>
        <v>3979.0699999999997</v>
      </c>
      <c r="AI328" s="163">
        <f>IMSS[[#This Row],[EXC LIM INF]]*(VLOOKUP(IMSS[[#This Row],[LIM INF]],$AG$110:$AJ$120,4,0))</f>
        <v>432.92281600000001</v>
      </c>
      <c r="AJ328" s="163">
        <f>VLOOKUP(IMSS[[#This Row],[LIM INF]],$AG$110:$AJ$120,3)</f>
        <v>321.26</v>
      </c>
      <c r="AK328" s="163">
        <f>SUM(IMSS[[#This Row],[TASA EXC]]+IMSS[[#This Row],[CUOTA FIJA]])</f>
        <v>754.182816</v>
      </c>
      <c r="AL328" s="163">
        <f>VLOOKUP(IMSS[[#This Row],[SUE MENS]],$AL$110:$AN$120,3,1)</f>
        <v>0</v>
      </c>
      <c r="AM328" s="248">
        <f>IF(IMSS[[#This Row],[ISR CARGO]]-IMSS[[#This Row],[SUBS ISR]]&gt;0,IMSS[[#This Row],[ISR CARGO]]-IMSS[[#This Row],[SUBS ISR]],0)</f>
        <v>754.182816</v>
      </c>
      <c r="AN328" s="248">
        <f>IF(IMSS[[#This Row],[SUBS ISR]]-IMSS[[#This Row],[ISR CARGO]]&gt;0,IMSS[[#This Row],[SUBS ISR]]-IMSS[[#This Row],[ISR CARGO]],0)</f>
        <v>0</v>
      </c>
    </row>
    <row r="329" spans="3:40" ht="15" hidden="1" customHeight="1" x14ac:dyDescent="0.25">
      <c r="C329" s="243">
        <v>345</v>
      </c>
      <c r="D329" s="167" t="str">
        <f>VLOOKUP(IMSS[[#This Row],[NEM]],BDD[],2,0)</f>
        <v>Carla Carolina Juárez Villarreal</v>
      </c>
      <c r="E329" s="167" t="str">
        <f>VLOOKUP(IMSS[[#This Row],[NEM]],BDD[],9,0)</f>
        <v>ADMINCIÓN</v>
      </c>
      <c r="F329" s="168">
        <v>30</v>
      </c>
      <c r="G329" s="139">
        <f>VLOOKUP(IMSS[[#This Row],[NEM]],BDD[],3,0)</f>
        <v>7445</v>
      </c>
      <c r="H329" s="139">
        <f ca="1">VLOOKUP(IMSS[[#This Row],[NEM]],BDD[],25,0)</f>
        <v>274.00319634703197</v>
      </c>
      <c r="I329" s="143">
        <f>VLOOKUP(IMSS[[#This Row],[DEPT]],$B$3:$G$49,6,0)</f>
        <v>5.4355000000000002E-3</v>
      </c>
      <c r="J329" s="163">
        <f ca="1">IMSS[[#This Row],[DIAS LAB]]*IMSS[[#This Row],[SDI]]*IMSS[[#This Row],[% RSG]]*$Q$108</f>
        <v>44.680331212328774</v>
      </c>
      <c r="K329" s="163">
        <f>IMSS[[#This Row],[DIAS LAB]]*$J$110*$Q$109</f>
        <v>548.47440000000006</v>
      </c>
      <c r="L329" s="166">
        <f ca="1">IMSS[[#This Row],[DIAS LAB]]*IF(IMSS[[#This Row],[SDI]]-$J$113&gt;0,IMSS[[#This Row],[SDI]]-$J$113,0)*$Q$110</f>
        <v>1.6972547945205467</v>
      </c>
      <c r="M329" s="166">
        <f ca="1">IMSS[[#This Row],[DIAS LAB]]*IMSS[[#This Row],[SDI]]*$Q$111</f>
        <v>86.311006849315078</v>
      </c>
      <c r="N329" s="163">
        <f ca="1">IMSS[[#This Row],[DIAS LAB]]*IMSS[[#This Row],[SDI]]*$Q$112</f>
        <v>57.540671232876718</v>
      </c>
      <c r="O329" s="166">
        <f ca="1">IMSS[[#This Row],[DIAS LAB]]*IMSS[[#This Row],[SDI]]*$Q$113</f>
        <v>143.8516780821918</v>
      </c>
      <c r="P329" s="163">
        <f ca="1">IMSS[[#This Row],[DIAS LAB]]*IMSS[[#This Row],[SDI]]*$Q$114</f>
        <v>82.200958904109598</v>
      </c>
      <c r="Q329" s="166">
        <f ca="1">IMSS[[#This Row],[DIAS LAB]]*IMSS[[#This Row],[SDI]]*$Q$115</f>
        <v>164.4019178082192</v>
      </c>
      <c r="R329" s="163">
        <f ca="1">IMSS[[#This Row],[DIAS LAB]]*IMSS[[#This Row],[SDI]]*$Q$116</f>
        <v>258.9330205479452</v>
      </c>
      <c r="S329" s="163">
        <f ca="1">IMSS[[#This Row],[DIAS LAB]]*IMSS[[#This Row],[SDI]]*$Q$117</f>
        <v>411.00479452054799</v>
      </c>
      <c r="T329" s="164">
        <f ca="1">SUM(IMSS[[#This Row],[P RSG TRB]:[P INFONAVIT]])</f>
        <v>1799.0960339520548</v>
      </c>
      <c r="U329" s="163">
        <f ca="1">IMSS[[#This Row],[DIAS LAB]]*IMSS[[#This Row],[SDI]]*IMSS[[#This Row],[% RSG]]*$R$108</f>
        <v>0</v>
      </c>
      <c r="V329" s="163">
        <f ca="1">IMSS[[#This Row],[DIAS LAB]]*IMSS[[#This Row],[SDI]]*$R$112</f>
        <v>20.550239726027399</v>
      </c>
      <c r="W329" s="163"/>
      <c r="X329" s="163">
        <f ca="1">IMSS[[#This Row],[DIAS LAB]]*IMSS[[#This Row],[SDI]]*$R$113</f>
        <v>51.786604109589042</v>
      </c>
      <c r="Y329" s="163">
        <f ca="1">IMSS[[#This Row],[DIAS LAB]]*IMSS[[#This Row],[SDI]]*$R$114</f>
        <v>0</v>
      </c>
      <c r="Z329" s="163">
        <f ca="1">IMSS[[#This Row],[DIAS LAB]]*IMSS[[#This Row],[SDI]]*$R$115</f>
        <v>0</v>
      </c>
      <c r="AA329" s="163">
        <f ca="1">IMSS[[#This Row],[DIAS LAB]]*IMSS[[#This Row],[SDI]]*$R$116</f>
        <v>92.887083561643834</v>
      </c>
      <c r="AB329" s="163">
        <f ca="1">IMSS[[#This Row],[DIAS LAB]]*IMSS[[#This Row],[SDI]]*$R$117</f>
        <v>0</v>
      </c>
      <c r="AC329" s="247">
        <f ca="1">SUM(IMSS[[#This Row],[O RSG TRB]:[O INFONAVIT]])</f>
        <v>165.22392739726027</v>
      </c>
      <c r="AD329" s="163"/>
      <c r="AE329" s="165">
        <f ca="1">IMSS[[#This Row],[P TOTAL]]+IMSS[[#This Row],[O TOTAL]]</f>
        <v>1964.319961349315</v>
      </c>
      <c r="AF329" s="163"/>
      <c r="AG329" s="163">
        <f>VLOOKUP(IMSS[[#This Row],[SUE MENS]],$AG$110:$AJ$120,1,1)</f>
        <v>5470.93</v>
      </c>
      <c r="AH329" s="163">
        <f>IMSS[[#This Row],[SUE MENS]]-IMSS[[#This Row],[LIM INF]]</f>
        <v>1974.0699999999997</v>
      </c>
      <c r="AI329" s="163">
        <f>IMSS[[#This Row],[EXC LIM INF]]*(VLOOKUP(IMSS[[#This Row],[LIM INF]],$AG$110:$AJ$120,4,0))</f>
        <v>214.77881599999998</v>
      </c>
      <c r="AJ329" s="163">
        <f>VLOOKUP(IMSS[[#This Row],[LIM INF]],$AG$110:$AJ$120,3)</f>
        <v>321.26</v>
      </c>
      <c r="AK329" s="163">
        <f>SUM(IMSS[[#This Row],[TASA EXC]]+IMSS[[#This Row],[CUOTA FIJA]])</f>
        <v>536.038816</v>
      </c>
      <c r="AL329" s="163">
        <f>VLOOKUP(IMSS[[#This Row],[SUE MENS]],$AL$110:$AN$120,3,1)</f>
        <v>0</v>
      </c>
      <c r="AM329" s="248">
        <f>IF(IMSS[[#This Row],[ISR CARGO]]-IMSS[[#This Row],[SUBS ISR]]&gt;0,IMSS[[#This Row],[ISR CARGO]]-IMSS[[#This Row],[SUBS ISR]],0)</f>
        <v>536.038816</v>
      </c>
      <c r="AN329" s="248">
        <f>IF(IMSS[[#This Row],[SUBS ISR]]-IMSS[[#This Row],[ISR CARGO]]&gt;0,IMSS[[#This Row],[SUBS ISR]]-IMSS[[#This Row],[ISR CARGO]],0)</f>
        <v>0</v>
      </c>
    </row>
    <row r="330" spans="3:40" ht="15" hidden="1" customHeight="1" x14ac:dyDescent="0.25">
      <c r="C330" s="243">
        <v>347</v>
      </c>
      <c r="D330" s="167" t="str">
        <f>VLOOKUP(IMSS[[#This Row],[NEM]],BDD[],2,0)</f>
        <v>Tomas Corona Castro</v>
      </c>
      <c r="E330" s="167" t="str">
        <f>VLOOKUP(IMSS[[#This Row],[NEM]],BDD[],9,0)</f>
        <v>ARQUITECT</v>
      </c>
      <c r="F330" s="168">
        <v>30</v>
      </c>
      <c r="G330" s="139">
        <f>VLOOKUP(IMSS[[#This Row],[NEM]],BDD[],3,0)</f>
        <v>10860</v>
      </c>
      <c r="H330" s="139">
        <f ca="1">VLOOKUP(IMSS[[#This Row],[NEM]],BDD[],25,0)</f>
        <v>399.68767123287671</v>
      </c>
      <c r="I330" s="143">
        <f>VLOOKUP(IMSS[[#This Row],[DEPT]],$B$3:$G$49,6,0)</f>
        <v>2.5984400000000001E-2</v>
      </c>
      <c r="J330" s="163">
        <f ca="1">IMSS[[#This Row],[DIAS LAB]]*IMSS[[#This Row],[SDI]]*IMSS[[#This Row],[% RSG]]*$Q$108</f>
        <v>311.56932973150685</v>
      </c>
      <c r="K330" s="163">
        <f>IMSS[[#This Row],[DIAS LAB]]*$J$110*$Q$109</f>
        <v>548.47440000000006</v>
      </c>
      <c r="L330" s="166">
        <f ca="1">IMSS[[#This Row],[DIAS LAB]]*IF(IMSS[[#This Row],[SDI]]-$J$113&gt;0,IMSS[[#This Row],[SDI]]-$J$113,0)*$Q$110</f>
        <v>43.173131506849309</v>
      </c>
      <c r="M330" s="166">
        <f ca="1">IMSS[[#This Row],[DIAS LAB]]*IMSS[[#This Row],[SDI]]*$Q$111</f>
        <v>125.90161643835617</v>
      </c>
      <c r="N330" s="163">
        <f ca="1">IMSS[[#This Row],[DIAS LAB]]*IMSS[[#This Row],[SDI]]*$Q$112</f>
        <v>83.93441095890411</v>
      </c>
      <c r="O330" s="166">
        <f ca="1">IMSS[[#This Row],[DIAS LAB]]*IMSS[[#This Row],[SDI]]*$Q$113</f>
        <v>209.8360273972603</v>
      </c>
      <c r="P330" s="163">
        <f ca="1">IMSS[[#This Row],[DIAS LAB]]*IMSS[[#This Row],[SDI]]*$Q$114</f>
        <v>119.90630136986302</v>
      </c>
      <c r="Q330" s="166">
        <f ca="1">IMSS[[#This Row],[DIAS LAB]]*IMSS[[#This Row],[SDI]]*$Q$115</f>
        <v>239.81260273972603</v>
      </c>
      <c r="R330" s="163">
        <f ca="1">IMSS[[#This Row],[DIAS LAB]]*IMSS[[#This Row],[SDI]]*$Q$116</f>
        <v>377.70484931506849</v>
      </c>
      <c r="S330" s="163">
        <f ca="1">IMSS[[#This Row],[DIAS LAB]]*IMSS[[#This Row],[SDI]]*$Q$117</f>
        <v>599.53150684931506</v>
      </c>
      <c r="T330" s="164">
        <f ca="1">SUM(IMSS[[#This Row],[P RSG TRB]:[P INFONAVIT]])</f>
        <v>2659.8441763068499</v>
      </c>
      <c r="U330" s="163">
        <f ca="1">IMSS[[#This Row],[DIAS LAB]]*IMSS[[#This Row],[SDI]]*IMSS[[#This Row],[% RSG]]*$R$108</f>
        <v>0</v>
      </c>
      <c r="V330" s="163">
        <f ca="1">IMSS[[#This Row],[DIAS LAB]]*IMSS[[#This Row],[SDI]]*$R$112</f>
        <v>29.976575342465754</v>
      </c>
      <c r="W330" s="163"/>
      <c r="X330" s="163">
        <f ca="1">IMSS[[#This Row],[DIAS LAB]]*IMSS[[#This Row],[SDI]]*$R$113</f>
        <v>75.5409698630137</v>
      </c>
      <c r="Y330" s="163">
        <f ca="1">IMSS[[#This Row],[DIAS LAB]]*IMSS[[#This Row],[SDI]]*$R$114</f>
        <v>0</v>
      </c>
      <c r="Z330" s="163">
        <f ca="1">IMSS[[#This Row],[DIAS LAB]]*IMSS[[#This Row],[SDI]]*$R$115</f>
        <v>0</v>
      </c>
      <c r="AA330" s="163">
        <f ca="1">IMSS[[#This Row],[DIAS LAB]]*IMSS[[#This Row],[SDI]]*$R$116</f>
        <v>135.49412054794519</v>
      </c>
      <c r="AB330" s="163">
        <f ca="1">IMSS[[#This Row],[DIAS LAB]]*IMSS[[#This Row],[SDI]]*$R$117</f>
        <v>0</v>
      </c>
      <c r="AC330" s="247">
        <f ca="1">SUM(IMSS[[#This Row],[O RSG TRB]:[O INFONAVIT]])</f>
        <v>241.01166575342464</v>
      </c>
      <c r="AD330" s="163"/>
      <c r="AE330" s="165">
        <f ca="1">IMSS[[#This Row],[P TOTAL]]+IMSS[[#This Row],[O TOTAL]]</f>
        <v>2900.8558420602744</v>
      </c>
      <c r="AF330" s="163"/>
      <c r="AG330" s="163">
        <f>VLOOKUP(IMSS[[#This Row],[SUE MENS]],$AG$110:$AJ$120,1,1)</f>
        <v>9614.67</v>
      </c>
      <c r="AH330" s="163">
        <f>IMSS[[#This Row],[SUE MENS]]-IMSS[[#This Row],[LIM INF]]</f>
        <v>1245.33</v>
      </c>
      <c r="AI330" s="163">
        <f>IMSS[[#This Row],[EXC LIM INF]]*(VLOOKUP(IMSS[[#This Row],[LIM INF]],$AG$110:$AJ$120,4,0))</f>
        <v>199.25279999999998</v>
      </c>
      <c r="AJ330" s="163">
        <f>VLOOKUP(IMSS[[#This Row],[LIM INF]],$AG$110:$AJ$120,3)</f>
        <v>772.1</v>
      </c>
      <c r="AK330" s="163">
        <f>SUM(IMSS[[#This Row],[TASA EXC]]+IMSS[[#This Row],[CUOTA FIJA]])</f>
        <v>971.3528</v>
      </c>
      <c r="AL330" s="163">
        <f>VLOOKUP(IMSS[[#This Row],[SUE MENS]],$AL$110:$AN$120,3,1)</f>
        <v>0</v>
      </c>
      <c r="AM330" s="248">
        <f>IF(IMSS[[#This Row],[ISR CARGO]]-IMSS[[#This Row],[SUBS ISR]]&gt;0,IMSS[[#This Row],[ISR CARGO]]-IMSS[[#This Row],[SUBS ISR]],0)</f>
        <v>971.3528</v>
      </c>
      <c r="AN330" s="248">
        <f>IF(IMSS[[#This Row],[SUBS ISR]]-IMSS[[#This Row],[ISR CARGO]]&gt;0,IMSS[[#This Row],[SUBS ISR]]-IMSS[[#This Row],[ISR CARGO]],0)</f>
        <v>0</v>
      </c>
    </row>
    <row r="331" spans="3:40" ht="15" hidden="1" customHeight="1" x14ac:dyDescent="0.25">
      <c r="C331" s="243">
        <v>348</v>
      </c>
      <c r="D331" s="167" t="str">
        <f>VLOOKUP(IMSS[[#This Row],[NEM]],BDD[],2,0)</f>
        <v>Adelaido Sanchez Mejia</v>
      </c>
      <c r="E331" s="167" t="str">
        <f>VLOOKUP(IMSS[[#This Row],[NEM]],BDD[],9,0)</f>
        <v>ARQUITECT</v>
      </c>
      <c r="F331" s="168">
        <v>30</v>
      </c>
      <c r="G331" s="139">
        <f>VLOOKUP(IMSS[[#This Row],[NEM]],BDD[],3,0)</f>
        <v>9541</v>
      </c>
      <c r="H331" s="139">
        <f ca="1">VLOOKUP(IMSS[[#This Row],[NEM]],BDD[],25,0)</f>
        <v>351.14365296803658</v>
      </c>
      <c r="I331" s="143">
        <f>VLOOKUP(IMSS[[#This Row],[DEPT]],$B$3:$G$49,6,0)</f>
        <v>2.5984400000000001E-2</v>
      </c>
      <c r="J331" s="163">
        <f ca="1">IMSS[[#This Row],[DIAS LAB]]*IMSS[[#This Row],[SDI]]*IMSS[[#This Row],[% RSG]]*$Q$108</f>
        <v>273.72771408547948</v>
      </c>
      <c r="K331" s="163">
        <f>IMSS[[#This Row],[DIAS LAB]]*$J$110*$Q$109</f>
        <v>548.47440000000006</v>
      </c>
      <c r="L331" s="166">
        <f ca="1">IMSS[[#This Row],[DIAS LAB]]*IF(IMSS[[#This Row],[SDI]]-$J$113&gt;0,IMSS[[#This Row],[SDI]]-$J$113,0)*$Q$110</f>
        <v>27.153605479452061</v>
      </c>
      <c r="M331" s="166">
        <f ca="1">IMSS[[#This Row],[DIAS LAB]]*IMSS[[#This Row],[SDI]]*$Q$111</f>
        <v>110.61025068493153</v>
      </c>
      <c r="N331" s="163">
        <f ca="1">IMSS[[#This Row],[DIAS LAB]]*IMSS[[#This Row],[SDI]]*$Q$112</f>
        <v>73.740167123287677</v>
      </c>
      <c r="O331" s="166">
        <f ca="1">IMSS[[#This Row],[DIAS LAB]]*IMSS[[#This Row],[SDI]]*$Q$113</f>
        <v>184.35041780821922</v>
      </c>
      <c r="P331" s="163">
        <f ca="1">IMSS[[#This Row],[DIAS LAB]]*IMSS[[#This Row],[SDI]]*$Q$114</f>
        <v>105.34309589041096</v>
      </c>
      <c r="Q331" s="166">
        <f ca="1">IMSS[[#This Row],[DIAS LAB]]*IMSS[[#This Row],[SDI]]*$Q$115</f>
        <v>210.68619178082193</v>
      </c>
      <c r="R331" s="163">
        <f ca="1">IMSS[[#This Row],[DIAS LAB]]*IMSS[[#This Row],[SDI]]*$Q$116</f>
        <v>331.83075205479457</v>
      </c>
      <c r="S331" s="163">
        <f ca="1">IMSS[[#This Row],[DIAS LAB]]*IMSS[[#This Row],[SDI]]*$Q$117</f>
        <v>526.71547945205486</v>
      </c>
      <c r="T331" s="164">
        <f ca="1">SUM(IMSS[[#This Row],[P RSG TRB]:[P INFONAVIT]])</f>
        <v>2392.6320743594524</v>
      </c>
      <c r="U331" s="163">
        <f ca="1">IMSS[[#This Row],[DIAS LAB]]*IMSS[[#This Row],[SDI]]*IMSS[[#This Row],[% RSG]]*$R$108</f>
        <v>0</v>
      </c>
      <c r="V331" s="163">
        <f ca="1">IMSS[[#This Row],[DIAS LAB]]*IMSS[[#This Row],[SDI]]*$R$112</f>
        <v>26.335773972602741</v>
      </c>
      <c r="W331" s="163"/>
      <c r="X331" s="163">
        <f ca="1">IMSS[[#This Row],[DIAS LAB]]*IMSS[[#This Row],[SDI]]*$R$113</f>
        <v>66.366150410958909</v>
      </c>
      <c r="Y331" s="163">
        <f ca="1">IMSS[[#This Row],[DIAS LAB]]*IMSS[[#This Row],[SDI]]*$R$114</f>
        <v>0</v>
      </c>
      <c r="Z331" s="163">
        <f ca="1">IMSS[[#This Row],[DIAS LAB]]*IMSS[[#This Row],[SDI]]*$R$115</f>
        <v>0</v>
      </c>
      <c r="AA331" s="163">
        <f ca="1">IMSS[[#This Row],[DIAS LAB]]*IMSS[[#This Row],[SDI]]*$R$116</f>
        <v>119.03769835616438</v>
      </c>
      <c r="AB331" s="163">
        <f ca="1">IMSS[[#This Row],[DIAS LAB]]*IMSS[[#This Row],[SDI]]*$R$117</f>
        <v>0</v>
      </c>
      <c r="AC331" s="247">
        <f ca="1">SUM(IMSS[[#This Row],[O RSG TRB]:[O INFONAVIT]])</f>
        <v>211.73962273972603</v>
      </c>
      <c r="AD331" s="163"/>
      <c r="AE331" s="165">
        <f ca="1">IMSS[[#This Row],[P TOTAL]]+IMSS[[#This Row],[O TOTAL]]</f>
        <v>2604.3716970991786</v>
      </c>
      <c r="AF331" s="163"/>
      <c r="AG331" s="163">
        <f>VLOOKUP(IMSS[[#This Row],[SUE MENS]],$AG$110:$AJ$120,1,1)</f>
        <v>5470.93</v>
      </c>
      <c r="AH331" s="163">
        <f>IMSS[[#This Row],[SUE MENS]]-IMSS[[#This Row],[LIM INF]]</f>
        <v>4070.0699999999997</v>
      </c>
      <c r="AI331" s="163">
        <f>IMSS[[#This Row],[EXC LIM INF]]*(VLOOKUP(IMSS[[#This Row],[LIM INF]],$AG$110:$AJ$120,4,0))</f>
        <v>442.82361600000002</v>
      </c>
      <c r="AJ331" s="163">
        <f>VLOOKUP(IMSS[[#This Row],[LIM INF]],$AG$110:$AJ$120,3)</f>
        <v>321.26</v>
      </c>
      <c r="AK331" s="163">
        <f>SUM(IMSS[[#This Row],[TASA EXC]]+IMSS[[#This Row],[CUOTA FIJA]])</f>
        <v>764.08361600000001</v>
      </c>
      <c r="AL331" s="163">
        <f>VLOOKUP(IMSS[[#This Row],[SUE MENS]],$AL$110:$AN$120,3,1)</f>
        <v>0</v>
      </c>
      <c r="AM331" s="248">
        <f>IF(IMSS[[#This Row],[ISR CARGO]]-IMSS[[#This Row],[SUBS ISR]]&gt;0,IMSS[[#This Row],[ISR CARGO]]-IMSS[[#This Row],[SUBS ISR]],0)</f>
        <v>764.08361600000001</v>
      </c>
      <c r="AN331" s="248">
        <f>IF(IMSS[[#This Row],[SUBS ISR]]-IMSS[[#This Row],[ISR CARGO]]&gt;0,IMSS[[#This Row],[SUBS ISR]]-IMSS[[#This Row],[ISR CARGO]],0)</f>
        <v>0</v>
      </c>
    </row>
    <row r="332" spans="3:40" ht="15" hidden="1" customHeight="1" x14ac:dyDescent="0.25">
      <c r="C332" s="243">
        <v>350</v>
      </c>
      <c r="D332" s="167" t="str">
        <f>VLOOKUP(IMSS[[#This Row],[NEM]],BDD[],2,0)</f>
        <v>Silvia Sandoval Castañeda</v>
      </c>
      <c r="E332" s="167" t="str">
        <f>VLOOKUP(IMSS[[#This Row],[NEM]],BDD[],9,0)</f>
        <v>SOFTWARE</v>
      </c>
      <c r="F332" s="168">
        <v>30</v>
      </c>
      <c r="G332" s="139">
        <f>VLOOKUP(IMSS[[#This Row],[NEM]],BDD[],3,0)</f>
        <v>7950</v>
      </c>
      <c r="H332" s="139">
        <f ca="1">VLOOKUP(IMSS[[#This Row],[NEM]],BDD[],25,0)</f>
        <v>278.79452054794518</v>
      </c>
      <c r="I332" s="143">
        <f>VLOOKUP(IMSS[[#This Row],[DEPT]],$B$3:$G$49,6,0)</f>
        <v>1.130658E-2</v>
      </c>
      <c r="J332" s="163">
        <f ca="1">IMSS[[#This Row],[DIAS LAB]]*IMSS[[#This Row],[SDI]]*IMSS[[#This Row],[% RSG]]*$Q$108</f>
        <v>94.56637650410957</v>
      </c>
      <c r="K332" s="163">
        <f>IMSS[[#This Row],[DIAS LAB]]*$J$110*$Q$109</f>
        <v>548.47440000000006</v>
      </c>
      <c r="L332" s="166">
        <f ca="1">IMSS[[#This Row],[DIAS LAB]]*IF(IMSS[[#This Row],[SDI]]-$J$113&gt;0,IMSS[[#This Row],[SDI]]-$J$113,0)*$Q$110</f>
        <v>3.2783917808219059</v>
      </c>
      <c r="M332" s="166">
        <f ca="1">IMSS[[#This Row],[DIAS LAB]]*IMSS[[#This Row],[SDI]]*$Q$111</f>
        <v>87.820273972602735</v>
      </c>
      <c r="N332" s="163">
        <f ca="1">IMSS[[#This Row],[DIAS LAB]]*IMSS[[#This Row],[SDI]]*$Q$112</f>
        <v>58.546849315068485</v>
      </c>
      <c r="O332" s="166">
        <f ca="1">IMSS[[#This Row],[DIAS LAB]]*IMSS[[#This Row],[SDI]]*$Q$113</f>
        <v>146.36712328767123</v>
      </c>
      <c r="P332" s="163">
        <f ca="1">IMSS[[#This Row],[DIAS LAB]]*IMSS[[#This Row],[SDI]]*$Q$114</f>
        <v>83.638356164383552</v>
      </c>
      <c r="Q332" s="166">
        <f ca="1">IMSS[[#This Row],[DIAS LAB]]*IMSS[[#This Row],[SDI]]*$Q$115</f>
        <v>167.2767123287671</v>
      </c>
      <c r="R332" s="163">
        <f ca="1">IMSS[[#This Row],[DIAS LAB]]*IMSS[[#This Row],[SDI]]*$Q$116</f>
        <v>263.46082191780818</v>
      </c>
      <c r="S332" s="163">
        <f ca="1">IMSS[[#This Row],[DIAS LAB]]*IMSS[[#This Row],[SDI]]*$Q$117</f>
        <v>418.19178082191775</v>
      </c>
      <c r="T332" s="164">
        <f ca="1">SUM(IMSS[[#This Row],[P RSG TRB]:[P INFONAVIT]])</f>
        <v>1871.6210860931506</v>
      </c>
      <c r="U332" s="163">
        <f ca="1">IMSS[[#This Row],[DIAS LAB]]*IMSS[[#This Row],[SDI]]*IMSS[[#This Row],[% RSG]]*$R$108</f>
        <v>0</v>
      </c>
      <c r="V332" s="163">
        <f ca="1">IMSS[[#This Row],[DIAS LAB]]*IMSS[[#This Row],[SDI]]*$R$112</f>
        <v>20.909589041095888</v>
      </c>
      <c r="W332" s="163"/>
      <c r="X332" s="163">
        <f ca="1">IMSS[[#This Row],[DIAS LAB]]*IMSS[[#This Row],[SDI]]*$R$113</f>
        <v>52.692164383561639</v>
      </c>
      <c r="Y332" s="163">
        <f ca="1">IMSS[[#This Row],[DIAS LAB]]*IMSS[[#This Row],[SDI]]*$R$114</f>
        <v>0</v>
      </c>
      <c r="Z332" s="163">
        <f ca="1">IMSS[[#This Row],[DIAS LAB]]*IMSS[[#This Row],[SDI]]*$R$115</f>
        <v>0</v>
      </c>
      <c r="AA332" s="163">
        <f ca="1">IMSS[[#This Row],[DIAS LAB]]*IMSS[[#This Row],[SDI]]*$R$116</f>
        <v>94.511342465753401</v>
      </c>
      <c r="AB332" s="163">
        <f ca="1">IMSS[[#This Row],[DIAS LAB]]*IMSS[[#This Row],[SDI]]*$R$117</f>
        <v>0</v>
      </c>
      <c r="AC332" s="247">
        <f ca="1">SUM(IMSS[[#This Row],[O RSG TRB]:[O INFONAVIT]])</f>
        <v>168.11309589041093</v>
      </c>
      <c r="AD332" s="163"/>
      <c r="AE332" s="165">
        <f ca="1">IMSS[[#This Row],[P TOTAL]]+IMSS[[#This Row],[O TOTAL]]</f>
        <v>2039.7341819835615</v>
      </c>
      <c r="AF332" s="163"/>
      <c r="AG332" s="163">
        <f>VLOOKUP(IMSS[[#This Row],[SUE MENS]],$AG$110:$AJ$120,1,1)</f>
        <v>5470.93</v>
      </c>
      <c r="AH332" s="163">
        <f>IMSS[[#This Row],[SUE MENS]]-IMSS[[#This Row],[LIM INF]]</f>
        <v>2479.0699999999997</v>
      </c>
      <c r="AI332" s="163">
        <f>IMSS[[#This Row],[EXC LIM INF]]*(VLOOKUP(IMSS[[#This Row],[LIM INF]],$AG$110:$AJ$120,4,0))</f>
        <v>269.72281599999997</v>
      </c>
      <c r="AJ332" s="163">
        <f>VLOOKUP(IMSS[[#This Row],[LIM INF]],$AG$110:$AJ$120,3)</f>
        <v>321.26</v>
      </c>
      <c r="AK332" s="163">
        <f>SUM(IMSS[[#This Row],[TASA EXC]]+IMSS[[#This Row],[CUOTA FIJA]])</f>
        <v>590.98281599999996</v>
      </c>
      <c r="AL332" s="163">
        <f>VLOOKUP(IMSS[[#This Row],[SUE MENS]],$AL$110:$AN$120,3,1)</f>
        <v>0</v>
      </c>
      <c r="AM332" s="248">
        <f>IF(IMSS[[#This Row],[ISR CARGO]]-IMSS[[#This Row],[SUBS ISR]]&gt;0,IMSS[[#This Row],[ISR CARGO]]-IMSS[[#This Row],[SUBS ISR]],0)</f>
        <v>590.98281599999996</v>
      </c>
      <c r="AN332" s="248">
        <f>IF(IMSS[[#This Row],[SUBS ISR]]-IMSS[[#This Row],[ISR CARGO]]&gt;0,IMSS[[#This Row],[SUBS ISR]]-IMSS[[#This Row],[ISR CARGO]],0)</f>
        <v>0</v>
      </c>
    </row>
    <row r="333" spans="3:40" ht="15" hidden="1" customHeight="1" x14ac:dyDescent="0.25">
      <c r="C333" s="243">
        <v>351</v>
      </c>
      <c r="D333" s="167" t="str">
        <f>VLOOKUP(IMSS[[#This Row],[NEM]],BDD[],2,0)</f>
        <v>José Meraz Felix</v>
      </c>
      <c r="E333" s="167" t="str">
        <f>VLOOKUP(IMSS[[#This Row],[NEM]],BDD[],9,0)</f>
        <v>ADMINCIÓN</v>
      </c>
      <c r="F333" s="168">
        <v>30</v>
      </c>
      <c r="G333" s="139">
        <f>VLOOKUP(IMSS[[#This Row],[NEM]],BDD[],3,0)</f>
        <v>10350</v>
      </c>
      <c r="H333" s="139">
        <f ca="1">VLOOKUP(IMSS[[#This Row],[NEM]],BDD[],25,0)</f>
        <v>380.91780821917808</v>
      </c>
      <c r="I333" s="143">
        <f>VLOOKUP(IMSS[[#This Row],[DEPT]],$B$3:$G$49,6,0)</f>
        <v>5.4355000000000002E-3</v>
      </c>
      <c r="J333" s="163">
        <f ca="1">IMSS[[#This Row],[DIAS LAB]]*IMSS[[#This Row],[SDI]]*IMSS[[#This Row],[% RSG]]*$Q$108</f>
        <v>62.114362397260273</v>
      </c>
      <c r="K333" s="163">
        <f>IMSS[[#This Row],[DIAS LAB]]*$J$110*$Q$109</f>
        <v>548.47440000000006</v>
      </c>
      <c r="L333" s="166">
        <f ca="1">IMSS[[#This Row],[DIAS LAB]]*IF(IMSS[[#This Row],[SDI]]-$J$113&gt;0,IMSS[[#This Row],[SDI]]-$J$113,0)*$Q$110</f>
        <v>36.979076712328762</v>
      </c>
      <c r="M333" s="166">
        <f ca="1">IMSS[[#This Row],[DIAS LAB]]*IMSS[[#This Row],[SDI]]*$Q$111</f>
        <v>119.98910958904109</v>
      </c>
      <c r="N333" s="163">
        <f ca="1">IMSS[[#This Row],[DIAS LAB]]*IMSS[[#This Row],[SDI]]*$Q$112</f>
        <v>79.992739726027395</v>
      </c>
      <c r="O333" s="166">
        <f ca="1">IMSS[[#This Row],[DIAS LAB]]*IMSS[[#This Row],[SDI]]*$Q$113</f>
        <v>199.9818493150685</v>
      </c>
      <c r="P333" s="163">
        <f ca="1">IMSS[[#This Row],[DIAS LAB]]*IMSS[[#This Row],[SDI]]*$Q$114</f>
        <v>114.27534246575343</v>
      </c>
      <c r="Q333" s="166">
        <f ca="1">IMSS[[#This Row],[DIAS LAB]]*IMSS[[#This Row],[SDI]]*$Q$115</f>
        <v>228.55068493150685</v>
      </c>
      <c r="R333" s="163">
        <f ca="1">IMSS[[#This Row],[DIAS LAB]]*IMSS[[#This Row],[SDI]]*$Q$116</f>
        <v>359.96732876712326</v>
      </c>
      <c r="S333" s="163">
        <f ca="1">IMSS[[#This Row],[DIAS LAB]]*IMSS[[#This Row],[SDI]]*$Q$117</f>
        <v>571.3767123287671</v>
      </c>
      <c r="T333" s="164">
        <f ca="1">SUM(IMSS[[#This Row],[P RSG TRB]:[P INFONAVIT]])</f>
        <v>2321.7016062328767</v>
      </c>
      <c r="U333" s="163">
        <f ca="1">IMSS[[#This Row],[DIAS LAB]]*IMSS[[#This Row],[SDI]]*IMSS[[#This Row],[% RSG]]*$R$108</f>
        <v>0</v>
      </c>
      <c r="V333" s="163">
        <f ca="1">IMSS[[#This Row],[DIAS LAB]]*IMSS[[#This Row],[SDI]]*$R$112</f>
        <v>28.568835616438356</v>
      </c>
      <c r="W333" s="163"/>
      <c r="X333" s="163">
        <f ca="1">IMSS[[#This Row],[DIAS LAB]]*IMSS[[#This Row],[SDI]]*$R$113</f>
        <v>71.993465753424658</v>
      </c>
      <c r="Y333" s="163">
        <f ca="1">IMSS[[#This Row],[DIAS LAB]]*IMSS[[#This Row],[SDI]]*$R$114</f>
        <v>0</v>
      </c>
      <c r="Z333" s="163">
        <f ca="1">IMSS[[#This Row],[DIAS LAB]]*IMSS[[#This Row],[SDI]]*$R$115</f>
        <v>0</v>
      </c>
      <c r="AA333" s="163">
        <f ca="1">IMSS[[#This Row],[DIAS LAB]]*IMSS[[#This Row],[SDI]]*$R$116</f>
        <v>129.13113698630136</v>
      </c>
      <c r="AB333" s="163">
        <f ca="1">IMSS[[#This Row],[DIAS LAB]]*IMSS[[#This Row],[SDI]]*$R$117</f>
        <v>0</v>
      </c>
      <c r="AC333" s="247">
        <f ca="1">SUM(IMSS[[#This Row],[O RSG TRB]:[O INFONAVIT]])</f>
        <v>229.69343835616436</v>
      </c>
      <c r="AD333" s="163"/>
      <c r="AE333" s="165">
        <f ca="1">IMSS[[#This Row],[P TOTAL]]+IMSS[[#This Row],[O TOTAL]]</f>
        <v>2551.3950445890409</v>
      </c>
      <c r="AF333" s="163"/>
      <c r="AG333" s="163">
        <f>VLOOKUP(IMSS[[#This Row],[SUE MENS]],$AG$110:$AJ$120,1,1)</f>
        <v>9614.67</v>
      </c>
      <c r="AH333" s="163">
        <f>IMSS[[#This Row],[SUE MENS]]-IMSS[[#This Row],[LIM INF]]</f>
        <v>735.32999999999993</v>
      </c>
      <c r="AI333" s="163">
        <f>IMSS[[#This Row],[EXC LIM INF]]*(VLOOKUP(IMSS[[#This Row],[LIM INF]],$AG$110:$AJ$120,4,0))</f>
        <v>117.65279999999998</v>
      </c>
      <c r="AJ333" s="163">
        <f>VLOOKUP(IMSS[[#This Row],[LIM INF]],$AG$110:$AJ$120,3)</f>
        <v>772.1</v>
      </c>
      <c r="AK333" s="163">
        <f>SUM(IMSS[[#This Row],[TASA EXC]]+IMSS[[#This Row],[CUOTA FIJA]])</f>
        <v>889.75279999999998</v>
      </c>
      <c r="AL333" s="163">
        <f>VLOOKUP(IMSS[[#This Row],[SUE MENS]],$AL$110:$AN$120,3,1)</f>
        <v>0</v>
      </c>
      <c r="AM333" s="248">
        <f>IF(IMSS[[#This Row],[ISR CARGO]]-IMSS[[#This Row],[SUBS ISR]]&gt;0,IMSS[[#This Row],[ISR CARGO]]-IMSS[[#This Row],[SUBS ISR]],0)</f>
        <v>889.75279999999998</v>
      </c>
      <c r="AN333" s="248">
        <f>IF(IMSS[[#This Row],[SUBS ISR]]-IMSS[[#This Row],[ISR CARGO]]&gt;0,IMSS[[#This Row],[SUBS ISR]]-IMSS[[#This Row],[ISR CARGO]],0)</f>
        <v>0</v>
      </c>
    </row>
    <row r="334" spans="3:40" ht="15" hidden="1" customHeight="1" x14ac:dyDescent="0.25">
      <c r="C334" s="243">
        <v>352</v>
      </c>
      <c r="D334" s="167" t="str">
        <f>VLOOKUP(IMSS[[#This Row],[NEM]],BDD[],2,0)</f>
        <v>Karla Faryde González Lozano</v>
      </c>
      <c r="E334" s="167" t="str">
        <f>VLOOKUP(IMSS[[#This Row],[NEM]],BDD[],9,0)</f>
        <v>ANLIS COST</v>
      </c>
      <c r="F334" s="168">
        <v>30</v>
      </c>
      <c r="G334" s="139">
        <f>VLOOKUP(IMSS[[#This Row],[NEM]],BDD[],3,0)</f>
        <v>7950</v>
      </c>
      <c r="H334" s="139">
        <f ca="1">VLOOKUP(IMSS[[#This Row],[NEM]],BDD[],25,0)</f>
        <v>292.58904109589042</v>
      </c>
      <c r="I334" s="143">
        <f>VLOOKUP(IMSS[[#This Row],[DEPT]],$B$3:$G$49,6,0)</f>
        <v>1.130658E-2</v>
      </c>
      <c r="J334" s="163">
        <f ca="1">IMSS[[#This Row],[DIAS LAB]]*IMSS[[#This Row],[SDI]]*IMSS[[#This Row],[% RSG]]*$Q$108</f>
        <v>99.245442008219186</v>
      </c>
      <c r="K334" s="163">
        <f>IMSS[[#This Row],[DIAS LAB]]*$J$110*$Q$109</f>
        <v>548.47440000000006</v>
      </c>
      <c r="L334" s="166">
        <f ca="1">IMSS[[#This Row],[DIAS LAB]]*IF(IMSS[[#This Row],[SDI]]-$J$113&gt;0,IMSS[[#This Row],[SDI]]-$J$113,0)*$Q$110</f>
        <v>7.8305835616438344</v>
      </c>
      <c r="M334" s="166">
        <f ca="1">IMSS[[#This Row],[DIAS LAB]]*IMSS[[#This Row],[SDI]]*$Q$111</f>
        <v>92.165547945205503</v>
      </c>
      <c r="N334" s="163">
        <f ca="1">IMSS[[#This Row],[DIAS LAB]]*IMSS[[#This Row],[SDI]]*$Q$112</f>
        <v>61.443698630136993</v>
      </c>
      <c r="O334" s="166">
        <f ca="1">IMSS[[#This Row],[DIAS LAB]]*IMSS[[#This Row],[SDI]]*$Q$113</f>
        <v>153.6092465753425</v>
      </c>
      <c r="P334" s="163">
        <f ca="1">IMSS[[#This Row],[DIAS LAB]]*IMSS[[#This Row],[SDI]]*$Q$114</f>
        <v>87.776712328767132</v>
      </c>
      <c r="Q334" s="166">
        <f ca="1">IMSS[[#This Row],[DIAS LAB]]*IMSS[[#This Row],[SDI]]*$Q$115</f>
        <v>175.55342465753426</v>
      </c>
      <c r="R334" s="163">
        <f ca="1">IMSS[[#This Row],[DIAS LAB]]*IMSS[[#This Row],[SDI]]*$Q$116</f>
        <v>276.49664383561645</v>
      </c>
      <c r="S334" s="163">
        <f ca="1">IMSS[[#This Row],[DIAS LAB]]*IMSS[[#This Row],[SDI]]*$Q$117</f>
        <v>438.88356164383572</v>
      </c>
      <c r="T334" s="164">
        <f ca="1">SUM(IMSS[[#This Row],[P RSG TRB]:[P INFONAVIT]])</f>
        <v>1941.4792611863015</v>
      </c>
      <c r="U334" s="163">
        <f ca="1">IMSS[[#This Row],[DIAS LAB]]*IMSS[[#This Row],[SDI]]*IMSS[[#This Row],[% RSG]]*$R$108</f>
        <v>0</v>
      </c>
      <c r="V334" s="163">
        <f ca="1">IMSS[[#This Row],[DIAS LAB]]*IMSS[[#This Row],[SDI]]*$R$112</f>
        <v>21.944178082191783</v>
      </c>
      <c r="W334" s="163"/>
      <c r="X334" s="163">
        <f ca="1">IMSS[[#This Row],[DIAS LAB]]*IMSS[[#This Row],[SDI]]*$R$113</f>
        <v>55.299328767123292</v>
      </c>
      <c r="Y334" s="163">
        <f ca="1">IMSS[[#This Row],[DIAS LAB]]*IMSS[[#This Row],[SDI]]*$R$114</f>
        <v>0</v>
      </c>
      <c r="Z334" s="163">
        <f ca="1">IMSS[[#This Row],[DIAS LAB]]*IMSS[[#This Row],[SDI]]*$R$115</f>
        <v>0</v>
      </c>
      <c r="AA334" s="163">
        <f ca="1">IMSS[[#This Row],[DIAS LAB]]*IMSS[[#This Row],[SDI]]*$R$116</f>
        <v>99.187684931506851</v>
      </c>
      <c r="AB334" s="163">
        <f ca="1">IMSS[[#This Row],[DIAS LAB]]*IMSS[[#This Row],[SDI]]*$R$117</f>
        <v>0</v>
      </c>
      <c r="AC334" s="247">
        <f ca="1">SUM(IMSS[[#This Row],[O RSG TRB]:[O INFONAVIT]])</f>
        <v>176.43119178082193</v>
      </c>
      <c r="AD334" s="163"/>
      <c r="AE334" s="165">
        <f ca="1">IMSS[[#This Row],[P TOTAL]]+IMSS[[#This Row],[O TOTAL]]</f>
        <v>2117.9104529671235</v>
      </c>
      <c r="AF334" s="163"/>
      <c r="AG334" s="163">
        <f>VLOOKUP(IMSS[[#This Row],[SUE MENS]],$AG$110:$AJ$120,1,1)</f>
        <v>5470.93</v>
      </c>
      <c r="AH334" s="163">
        <f>IMSS[[#This Row],[SUE MENS]]-IMSS[[#This Row],[LIM INF]]</f>
        <v>2479.0699999999997</v>
      </c>
      <c r="AI334" s="163">
        <f>IMSS[[#This Row],[EXC LIM INF]]*(VLOOKUP(IMSS[[#This Row],[LIM INF]],$AG$110:$AJ$120,4,0))</f>
        <v>269.72281599999997</v>
      </c>
      <c r="AJ334" s="163">
        <f>VLOOKUP(IMSS[[#This Row],[LIM INF]],$AG$110:$AJ$120,3)</f>
        <v>321.26</v>
      </c>
      <c r="AK334" s="163">
        <f>SUM(IMSS[[#This Row],[TASA EXC]]+IMSS[[#This Row],[CUOTA FIJA]])</f>
        <v>590.98281599999996</v>
      </c>
      <c r="AL334" s="163">
        <f>VLOOKUP(IMSS[[#This Row],[SUE MENS]],$AL$110:$AN$120,3,1)</f>
        <v>0</v>
      </c>
      <c r="AM334" s="248">
        <f>IF(IMSS[[#This Row],[ISR CARGO]]-IMSS[[#This Row],[SUBS ISR]]&gt;0,IMSS[[#This Row],[ISR CARGO]]-IMSS[[#This Row],[SUBS ISR]],0)</f>
        <v>590.98281599999996</v>
      </c>
      <c r="AN334" s="248">
        <f>IF(IMSS[[#This Row],[SUBS ISR]]-IMSS[[#This Row],[ISR CARGO]]&gt;0,IMSS[[#This Row],[SUBS ISR]]-IMSS[[#This Row],[ISR CARGO]],0)</f>
        <v>0</v>
      </c>
    </row>
    <row r="335" spans="3:40" ht="15" hidden="1" customHeight="1" x14ac:dyDescent="0.25">
      <c r="C335" s="243">
        <v>353</v>
      </c>
      <c r="D335" s="167" t="str">
        <f>VLOOKUP(IMSS[[#This Row],[NEM]],BDD[],2,0)</f>
        <v>Griselda Fuentes Lugo</v>
      </c>
      <c r="E335" s="167" t="str">
        <f>VLOOKUP(IMSS[[#This Row],[NEM]],BDD[],9,0)</f>
        <v>SOLUCIONES</v>
      </c>
      <c r="F335" s="168">
        <v>30</v>
      </c>
      <c r="G335" s="139">
        <f>VLOOKUP(IMSS[[#This Row],[NEM]],BDD[],3,0)</f>
        <v>9450</v>
      </c>
      <c r="H335" s="139">
        <f ca="1">VLOOKUP(IMSS[[#This Row],[NEM]],BDD[],25,0)</f>
        <v>347.79452054794518</v>
      </c>
      <c r="I335" s="143">
        <f>VLOOKUP(IMSS[[#This Row],[DEPT]],$B$3:$G$49,6,0)</f>
        <v>5.4355000000000002E-3</v>
      </c>
      <c r="J335" s="163">
        <f ca="1">IMSS[[#This Row],[DIAS LAB]]*IMSS[[#This Row],[SDI]]*IMSS[[#This Row],[% RSG]]*$Q$108</f>
        <v>56.713113493150679</v>
      </c>
      <c r="K335" s="163">
        <f>IMSS[[#This Row],[DIAS LAB]]*$J$110*$Q$109</f>
        <v>548.47440000000006</v>
      </c>
      <c r="L335" s="166">
        <f ca="1">IMSS[[#This Row],[DIAS LAB]]*IF(IMSS[[#This Row],[SDI]]-$J$113&gt;0,IMSS[[#This Row],[SDI]]-$J$113,0)*$Q$110</f>
        <v>26.048391780821905</v>
      </c>
      <c r="M335" s="166">
        <f ca="1">IMSS[[#This Row],[DIAS LAB]]*IMSS[[#This Row],[SDI]]*$Q$111</f>
        <v>109.55527397260273</v>
      </c>
      <c r="N335" s="163">
        <f ca="1">IMSS[[#This Row],[DIAS LAB]]*IMSS[[#This Row],[SDI]]*$Q$112</f>
        <v>73.03684931506848</v>
      </c>
      <c r="O335" s="166">
        <f ca="1">IMSS[[#This Row],[DIAS LAB]]*IMSS[[#This Row],[SDI]]*$Q$113</f>
        <v>182.59212328767123</v>
      </c>
      <c r="P335" s="163">
        <f ca="1">IMSS[[#This Row],[DIAS LAB]]*IMSS[[#This Row],[SDI]]*$Q$114</f>
        <v>104.33835616438355</v>
      </c>
      <c r="Q335" s="166">
        <f ca="1">IMSS[[#This Row],[DIAS LAB]]*IMSS[[#This Row],[SDI]]*$Q$115</f>
        <v>208.67671232876711</v>
      </c>
      <c r="R335" s="163">
        <f ca="1">IMSS[[#This Row],[DIAS LAB]]*IMSS[[#This Row],[SDI]]*$Q$116</f>
        <v>328.66582191780816</v>
      </c>
      <c r="S335" s="163">
        <f ca="1">IMSS[[#This Row],[DIAS LAB]]*IMSS[[#This Row],[SDI]]*$Q$117</f>
        <v>521.69178082191775</v>
      </c>
      <c r="T335" s="164">
        <f ca="1">SUM(IMSS[[#This Row],[P RSG TRB]:[P INFONAVIT]])</f>
        <v>2159.7928230821917</v>
      </c>
      <c r="U335" s="163">
        <f ca="1">IMSS[[#This Row],[DIAS LAB]]*IMSS[[#This Row],[SDI]]*IMSS[[#This Row],[% RSG]]*$R$108</f>
        <v>0</v>
      </c>
      <c r="V335" s="163">
        <f ca="1">IMSS[[#This Row],[DIAS LAB]]*IMSS[[#This Row],[SDI]]*$R$112</f>
        <v>26.084589041095889</v>
      </c>
      <c r="W335" s="163"/>
      <c r="X335" s="163">
        <f ca="1">IMSS[[#This Row],[DIAS LAB]]*IMSS[[#This Row],[SDI]]*$R$113</f>
        <v>65.733164383561643</v>
      </c>
      <c r="Y335" s="163">
        <f ca="1">IMSS[[#This Row],[DIAS LAB]]*IMSS[[#This Row],[SDI]]*$R$114</f>
        <v>0</v>
      </c>
      <c r="Z335" s="163">
        <f ca="1">IMSS[[#This Row],[DIAS LAB]]*IMSS[[#This Row],[SDI]]*$R$115</f>
        <v>0</v>
      </c>
      <c r="AA335" s="163">
        <f ca="1">IMSS[[#This Row],[DIAS LAB]]*IMSS[[#This Row],[SDI]]*$R$116</f>
        <v>117.90234246575341</v>
      </c>
      <c r="AB335" s="163">
        <f ca="1">IMSS[[#This Row],[DIAS LAB]]*IMSS[[#This Row],[SDI]]*$R$117</f>
        <v>0</v>
      </c>
      <c r="AC335" s="247">
        <f ca="1">SUM(IMSS[[#This Row],[O RSG TRB]:[O INFONAVIT]])</f>
        <v>209.72009589041093</v>
      </c>
      <c r="AD335" s="163"/>
      <c r="AE335" s="165">
        <f ca="1">IMSS[[#This Row],[P TOTAL]]+IMSS[[#This Row],[O TOTAL]]</f>
        <v>2369.5129189726026</v>
      </c>
      <c r="AF335" s="163"/>
      <c r="AG335" s="163">
        <f>VLOOKUP(IMSS[[#This Row],[SUE MENS]],$AG$110:$AJ$120,1,1)</f>
        <v>5470.93</v>
      </c>
      <c r="AH335" s="163">
        <f>IMSS[[#This Row],[SUE MENS]]-IMSS[[#This Row],[LIM INF]]</f>
        <v>3979.0699999999997</v>
      </c>
      <c r="AI335" s="163">
        <f>IMSS[[#This Row],[EXC LIM INF]]*(VLOOKUP(IMSS[[#This Row],[LIM INF]],$AG$110:$AJ$120,4,0))</f>
        <v>432.92281600000001</v>
      </c>
      <c r="AJ335" s="163">
        <f>VLOOKUP(IMSS[[#This Row],[LIM INF]],$AG$110:$AJ$120,3)</f>
        <v>321.26</v>
      </c>
      <c r="AK335" s="163">
        <f>SUM(IMSS[[#This Row],[TASA EXC]]+IMSS[[#This Row],[CUOTA FIJA]])</f>
        <v>754.182816</v>
      </c>
      <c r="AL335" s="163">
        <f>VLOOKUP(IMSS[[#This Row],[SUE MENS]],$AL$110:$AN$120,3,1)</f>
        <v>0</v>
      </c>
      <c r="AM335" s="248">
        <f>IF(IMSS[[#This Row],[ISR CARGO]]-IMSS[[#This Row],[SUBS ISR]]&gt;0,IMSS[[#This Row],[ISR CARGO]]-IMSS[[#This Row],[SUBS ISR]],0)</f>
        <v>754.182816</v>
      </c>
      <c r="AN335" s="248">
        <f>IF(IMSS[[#This Row],[SUBS ISR]]-IMSS[[#This Row],[ISR CARGO]]&gt;0,IMSS[[#This Row],[SUBS ISR]]-IMSS[[#This Row],[ISR CARGO]],0)</f>
        <v>0</v>
      </c>
    </row>
    <row r="336" spans="3:40" ht="15" hidden="1" customHeight="1" x14ac:dyDescent="0.25">
      <c r="C336" s="243">
        <v>354</v>
      </c>
      <c r="D336" s="167" t="str">
        <f>VLOOKUP(IMSS[[#This Row],[NEM]],BDD[],2,0)</f>
        <v>Evelin Denisse Tovar Martinez</v>
      </c>
      <c r="E336" s="167" t="str">
        <f>VLOOKUP(IMSS[[#This Row],[NEM]],BDD[],9,0)</f>
        <v>ARQUITECT</v>
      </c>
      <c r="F336" s="168">
        <v>30</v>
      </c>
      <c r="G336" s="139">
        <f>VLOOKUP(IMSS[[#This Row],[NEM]],BDD[],3,0)</f>
        <v>7445</v>
      </c>
      <c r="H336" s="139">
        <f ca="1">VLOOKUP(IMSS[[#This Row],[NEM]],BDD[],25,0)</f>
        <v>274.00319634703197</v>
      </c>
      <c r="I336" s="143">
        <f>VLOOKUP(IMSS[[#This Row],[DEPT]],$B$3:$G$49,6,0)</f>
        <v>2.5984400000000001E-2</v>
      </c>
      <c r="J336" s="163">
        <f ca="1">IMSS[[#This Row],[DIAS LAB]]*IMSS[[#This Row],[SDI]]*IMSS[[#This Row],[% RSG]]*$Q$108</f>
        <v>213.59425965479454</v>
      </c>
      <c r="K336" s="163">
        <f>IMSS[[#This Row],[DIAS LAB]]*$J$110*$Q$109</f>
        <v>548.47440000000006</v>
      </c>
      <c r="L336" s="166">
        <f ca="1">IMSS[[#This Row],[DIAS LAB]]*IF(IMSS[[#This Row],[SDI]]-$J$113&gt;0,IMSS[[#This Row],[SDI]]-$J$113,0)*$Q$110</f>
        <v>1.6972547945205467</v>
      </c>
      <c r="M336" s="166">
        <f ca="1">IMSS[[#This Row],[DIAS LAB]]*IMSS[[#This Row],[SDI]]*$Q$111</f>
        <v>86.311006849315078</v>
      </c>
      <c r="N336" s="163">
        <f ca="1">IMSS[[#This Row],[DIAS LAB]]*IMSS[[#This Row],[SDI]]*$Q$112</f>
        <v>57.540671232876718</v>
      </c>
      <c r="O336" s="166">
        <f ca="1">IMSS[[#This Row],[DIAS LAB]]*IMSS[[#This Row],[SDI]]*$Q$113</f>
        <v>143.8516780821918</v>
      </c>
      <c r="P336" s="163">
        <f ca="1">IMSS[[#This Row],[DIAS LAB]]*IMSS[[#This Row],[SDI]]*$Q$114</f>
        <v>82.200958904109598</v>
      </c>
      <c r="Q336" s="166">
        <f ca="1">IMSS[[#This Row],[DIAS LAB]]*IMSS[[#This Row],[SDI]]*$Q$115</f>
        <v>164.4019178082192</v>
      </c>
      <c r="R336" s="163">
        <f ca="1">IMSS[[#This Row],[DIAS LAB]]*IMSS[[#This Row],[SDI]]*$Q$116</f>
        <v>258.9330205479452</v>
      </c>
      <c r="S336" s="163">
        <f ca="1">IMSS[[#This Row],[DIAS LAB]]*IMSS[[#This Row],[SDI]]*$Q$117</f>
        <v>411.00479452054799</v>
      </c>
      <c r="T336" s="164">
        <f ca="1">SUM(IMSS[[#This Row],[P RSG TRB]:[P INFONAVIT]])</f>
        <v>1968.0099623945207</v>
      </c>
      <c r="U336" s="163">
        <f ca="1">IMSS[[#This Row],[DIAS LAB]]*IMSS[[#This Row],[SDI]]*IMSS[[#This Row],[% RSG]]*$R$108</f>
        <v>0</v>
      </c>
      <c r="V336" s="163">
        <f ca="1">IMSS[[#This Row],[DIAS LAB]]*IMSS[[#This Row],[SDI]]*$R$112</f>
        <v>20.550239726027399</v>
      </c>
      <c r="W336" s="163"/>
      <c r="X336" s="163">
        <f ca="1">IMSS[[#This Row],[DIAS LAB]]*IMSS[[#This Row],[SDI]]*$R$113</f>
        <v>51.786604109589042</v>
      </c>
      <c r="Y336" s="163">
        <f ca="1">IMSS[[#This Row],[DIAS LAB]]*IMSS[[#This Row],[SDI]]*$R$114</f>
        <v>0</v>
      </c>
      <c r="Z336" s="163">
        <f ca="1">IMSS[[#This Row],[DIAS LAB]]*IMSS[[#This Row],[SDI]]*$R$115</f>
        <v>0</v>
      </c>
      <c r="AA336" s="163">
        <f ca="1">IMSS[[#This Row],[DIAS LAB]]*IMSS[[#This Row],[SDI]]*$R$116</f>
        <v>92.887083561643834</v>
      </c>
      <c r="AB336" s="163">
        <f ca="1">IMSS[[#This Row],[DIAS LAB]]*IMSS[[#This Row],[SDI]]*$R$117</f>
        <v>0</v>
      </c>
      <c r="AC336" s="247">
        <f ca="1">SUM(IMSS[[#This Row],[O RSG TRB]:[O INFONAVIT]])</f>
        <v>165.22392739726027</v>
      </c>
      <c r="AD336" s="163"/>
      <c r="AE336" s="165">
        <f ca="1">IMSS[[#This Row],[P TOTAL]]+IMSS[[#This Row],[O TOTAL]]</f>
        <v>2133.2338897917812</v>
      </c>
      <c r="AF336" s="163"/>
      <c r="AG336" s="163">
        <f>VLOOKUP(IMSS[[#This Row],[SUE MENS]],$AG$110:$AJ$120,1,1)</f>
        <v>5470.93</v>
      </c>
      <c r="AH336" s="163">
        <f>IMSS[[#This Row],[SUE MENS]]-IMSS[[#This Row],[LIM INF]]</f>
        <v>1974.0699999999997</v>
      </c>
      <c r="AI336" s="163">
        <f>IMSS[[#This Row],[EXC LIM INF]]*(VLOOKUP(IMSS[[#This Row],[LIM INF]],$AG$110:$AJ$120,4,0))</f>
        <v>214.77881599999998</v>
      </c>
      <c r="AJ336" s="163">
        <f>VLOOKUP(IMSS[[#This Row],[LIM INF]],$AG$110:$AJ$120,3)</f>
        <v>321.26</v>
      </c>
      <c r="AK336" s="163">
        <f>SUM(IMSS[[#This Row],[TASA EXC]]+IMSS[[#This Row],[CUOTA FIJA]])</f>
        <v>536.038816</v>
      </c>
      <c r="AL336" s="163">
        <f>VLOOKUP(IMSS[[#This Row],[SUE MENS]],$AL$110:$AN$120,3,1)</f>
        <v>0</v>
      </c>
      <c r="AM336" s="248">
        <f>IF(IMSS[[#This Row],[ISR CARGO]]-IMSS[[#This Row],[SUBS ISR]]&gt;0,IMSS[[#This Row],[ISR CARGO]]-IMSS[[#This Row],[SUBS ISR]],0)</f>
        <v>536.038816</v>
      </c>
      <c r="AN336" s="248">
        <f>IF(IMSS[[#This Row],[SUBS ISR]]-IMSS[[#This Row],[ISR CARGO]]&gt;0,IMSS[[#This Row],[SUBS ISR]]-IMSS[[#This Row],[ISR CARGO]],0)</f>
        <v>0</v>
      </c>
    </row>
    <row r="337" spans="3:40" ht="15" hidden="1" customHeight="1" x14ac:dyDescent="0.25">
      <c r="C337" s="243">
        <v>355</v>
      </c>
      <c r="D337" s="167" t="str">
        <f>VLOOKUP(IMSS[[#This Row],[NEM]],BDD[],2,0)</f>
        <v>Elda Karyme Espinosa Vela</v>
      </c>
      <c r="E337" s="167" t="str">
        <f>VLOOKUP(IMSS[[#This Row],[NEM]],BDD[],9,0)</f>
        <v>MATERIALES</v>
      </c>
      <c r="F337" s="168">
        <v>30</v>
      </c>
      <c r="G337" s="139">
        <f>VLOOKUP(IMSS[[#This Row],[NEM]],BDD[],3,0)</f>
        <v>9450</v>
      </c>
      <c r="H337" s="139">
        <f ca="1">VLOOKUP(IMSS[[#This Row],[NEM]],BDD[],25,0)</f>
        <v>347.79452054794518</v>
      </c>
      <c r="I337" s="143">
        <f>VLOOKUP(IMSS[[#This Row],[DEPT]],$B$3:$G$49,6,0)</f>
        <v>4.6532499999999997E-2</v>
      </c>
      <c r="J337" s="163">
        <f ca="1">IMSS[[#This Row],[DIAS LAB]]*IMSS[[#This Row],[SDI]]*IMSS[[#This Row],[% RSG]]*$Q$108</f>
        <v>485.51245582191774</v>
      </c>
      <c r="K337" s="163">
        <f>IMSS[[#This Row],[DIAS LAB]]*$J$110*$Q$109</f>
        <v>548.47440000000006</v>
      </c>
      <c r="L337" s="166">
        <f ca="1">IMSS[[#This Row],[DIAS LAB]]*IF(IMSS[[#This Row],[SDI]]-$J$113&gt;0,IMSS[[#This Row],[SDI]]-$J$113,0)*$Q$110</f>
        <v>26.048391780821905</v>
      </c>
      <c r="M337" s="166">
        <f ca="1">IMSS[[#This Row],[DIAS LAB]]*IMSS[[#This Row],[SDI]]*$Q$111</f>
        <v>109.55527397260273</v>
      </c>
      <c r="N337" s="163">
        <f ca="1">IMSS[[#This Row],[DIAS LAB]]*IMSS[[#This Row],[SDI]]*$Q$112</f>
        <v>73.03684931506848</v>
      </c>
      <c r="O337" s="166">
        <f ca="1">IMSS[[#This Row],[DIAS LAB]]*IMSS[[#This Row],[SDI]]*$Q$113</f>
        <v>182.59212328767123</v>
      </c>
      <c r="P337" s="163">
        <f ca="1">IMSS[[#This Row],[DIAS LAB]]*IMSS[[#This Row],[SDI]]*$Q$114</f>
        <v>104.33835616438355</v>
      </c>
      <c r="Q337" s="166">
        <f ca="1">IMSS[[#This Row],[DIAS LAB]]*IMSS[[#This Row],[SDI]]*$Q$115</f>
        <v>208.67671232876711</v>
      </c>
      <c r="R337" s="163">
        <f ca="1">IMSS[[#This Row],[DIAS LAB]]*IMSS[[#This Row],[SDI]]*$Q$116</f>
        <v>328.66582191780816</v>
      </c>
      <c r="S337" s="163">
        <f ca="1">IMSS[[#This Row],[DIAS LAB]]*IMSS[[#This Row],[SDI]]*$Q$117</f>
        <v>521.69178082191775</v>
      </c>
      <c r="T337" s="164">
        <f ca="1">SUM(IMSS[[#This Row],[P RSG TRB]:[P INFONAVIT]])</f>
        <v>2588.5921654109588</v>
      </c>
      <c r="U337" s="163">
        <f ca="1">IMSS[[#This Row],[DIAS LAB]]*IMSS[[#This Row],[SDI]]*IMSS[[#This Row],[% RSG]]*$R$108</f>
        <v>0</v>
      </c>
      <c r="V337" s="163">
        <f ca="1">IMSS[[#This Row],[DIAS LAB]]*IMSS[[#This Row],[SDI]]*$R$112</f>
        <v>26.084589041095889</v>
      </c>
      <c r="W337" s="163"/>
      <c r="X337" s="163">
        <f ca="1">IMSS[[#This Row],[DIAS LAB]]*IMSS[[#This Row],[SDI]]*$R$113</f>
        <v>65.733164383561643</v>
      </c>
      <c r="Y337" s="163">
        <f ca="1">IMSS[[#This Row],[DIAS LAB]]*IMSS[[#This Row],[SDI]]*$R$114</f>
        <v>0</v>
      </c>
      <c r="Z337" s="163">
        <f ca="1">IMSS[[#This Row],[DIAS LAB]]*IMSS[[#This Row],[SDI]]*$R$115</f>
        <v>0</v>
      </c>
      <c r="AA337" s="163">
        <f ca="1">IMSS[[#This Row],[DIAS LAB]]*IMSS[[#This Row],[SDI]]*$R$116</f>
        <v>117.90234246575341</v>
      </c>
      <c r="AB337" s="163">
        <f ca="1">IMSS[[#This Row],[DIAS LAB]]*IMSS[[#This Row],[SDI]]*$R$117</f>
        <v>0</v>
      </c>
      <c r="AC337" s="247">
        <f ca="1">SUM(IMSS[[#This Row],[O RSG TRB]:[O INFONAVIT]])</f>
        <v>209.72009589041093</v>
      </c>
      <c r="AD337" s="163"/>
      <c r="AE337" s="165">
        <f ca="1">IMSS[[#This Row],[P TOTAL]]+IMSS[[#This Row],[O TOTAL]]</f>
        <v>2798.3122613013697</v>
      </c>
      <c r="AF337" s="163"/>
      <c r="AG337" s="163">
        <f>VLOOKUP(IMSS[[#This Row],[SUE MENS]],$AG$110:$AJ$120,1,1)</f>
        <v>5470.93</v>
      </c>
      <c r="AH337" s="163">
        <f>IMSS[[#This Row],[SUE MENS]]-IMSS[[#This Row],[LIM INF]]</f>
        <v>3979.0699999999997</v>
      </c>
      <c r="AI337" s="163">
        <f>IMSS[[#This Row],[EXC LIM INF]]*(VLOOKUP(IMSS[[#This Row],[LIM INF]],$AG$110:$AJ$120,4,0))</f>
        <v>432.92281600000001</v>
      </c>
      <c r="AJ337" s="163">
        <f>VLOOKUP(IMSS[[#This Row],[LIM INF]],$AG$110:$AJ$120,3)</f>
        <v>321.26</v>
      </c>
      <c r="AK337" s="163">
        <f>SUM(IMSS[[#This Row],[TASA EXC]]+IMSS[[#This Row],[CUOTA FIJA]])</f>
        <v>754.182816</v>
      </c>
      <c r="AL337" s="163">
        <f>VLOOKUP(IMSS[[#This Row],[SUE MENS]],$AL$110:$AN$120,3,1)</f>
        <v>0</v>
      </c>
      <c r="AM337" s="248">
        <f>IF(IMSS[[#This Row],[ISR CARGO]]-IMSS[[#This Row],[SUBS ISR]]&gt;0,IMSS[[#This Row],[ISR CARGO]]-IMSS[[#This Row],[SUBS ISR]],0)</f>
        <v>754.182816</v>
      </c>
      <c r="AN337" s="248">
        <f>IF(IMSS[[#This Row],[SUBS ISR]]-IMSS[[#This Row],[ISR CARGO]]&gt;0,IMSS[[#This Row],[SUBS ISR]]-IMSS[[#This Row],[ISR CARGO]],0)</f>
        <v>0</v>
      </c>
    </row>
    <row r="338" spans="3:40" ht="15" hidden="1" customHeight="1" x14ac:dyDescent="0.25">
      <c r="C338" s="243">
        <v>356</v>
      </c>
      <c r="D338" s="167" t="str">
        <f>VLOOKUP(IMSS[[#This Row],[NEM]],BDD[],2,0)</f>
        <v>Carolina Ortiz Montero</v>
      </c>
      <c r="E338" s="167" t="str">
        <f>VLOOKUP(IMSS[[#This Row],[NEM]],BDD[],9,0)</f>
        <v>ARQUITECT</v>
      </c>
      <c r="F338" s="168">
        <v>30</v>
      </c>
      <c r="G338" s="139">
        <f>VLOOKUP(IMSS[[#This Row],[NEM]],BDD[],3,0)</f>
        <v>9541</v>
      </c>
      <c r="H338" s="139">
        <f ca="1">VLOOKUP(IMSS[[#This Row],[NEM]],BDD[],25,0)</f>
        <v>351.14365296803658</v>
      </c>
      <c r="I338" s="143">
        <f>VLOOKUP(IMSS[[#This Row],[DEPT]],$B$3:$G$49,6,0)</f>
        <v>2.5984400000000001E-2</v>
      </c>
      <c r="J338" s="163">
        <f ca="1">IMSS[[#This Row],[DIAS LAB]]*IMSS[[#This Row],[SDI]]*IMSS[[#This Row],[% RSG]]*$Q$108</f>
        <v>273.72771408547948</v>
      </c>
      <c r="K338" s="163">
        <f>IMSS[[#This Row],[DIAS LAB]]*$J$110*$Q$109</f>
        <v>548.47440000000006</v>
      </c>
      <c r="L338" s="166">
        <f ca="1">IMSS[[#This Row],[DIAS LAB]]*IF(IMSS[[#This Row],[SDI]]-$J$113&gt;0,IMSS[[#This Row],[SDI]]-$J$113,0)*$Q$110</f>
        <v>27.153605479452061</v>
      </c>
      <c r="M338" s="166">
        <f ca="1">IMSS[[#This Row],[DIAS LAB]]*IMSS[[#This Row],[SDI]]*$Q$111</f>
        <v>110.61025068493153</v>
      </c>
      <c r="N338" s="163">
        <f ca="1">IMSS[[#This Row],[DIAS LAB]]*IMSS[[#This Row],[SDI]]*$Q$112</f>
        <v>73.740167123287677</v>
      </c>
      <c r="O338" s="166">
        <f ca="1">IMSS[[#This Row],[DIAS LAB]]*IMSS[[#This Row],[SDI]]*$Q$113</f>
        <v>184.35041780821922</v>
      </c>
      <c r="P338" s="163">
        <f ca="1">IMSS[[#This Row],[DIAS LAB]]*IMSS[[#This Row],[SDI]]*$Q$114</f>
        <v>105.34309589041096</v>
      </c>
      <c r="Q338" s="166">
        <f ca="1">IMSS[[#This Row],[DIAS LAB]]*IMSS[[#This Row],[SDI]]*$Q$115</f>
        <v>210.68619178082193</v>
      </c>
      <c r="R338" s="163">
        <f ca="1">IMSS[[#This Row],[DIAS LAB]]*IMSS[[#This Row],[SDI]]*$Q$116</f>
        <v>331.83075205479457</v>
      </c>
      <c r="S338" s="163">
        <f ca="1">IMSS[[#This Row],[DIAS LAB]]*IMSS[[#This Row],[SDI]]*$Q$117</f>
        <v>526.71547945205486</v>
      </c>
      <c r="T338" s="164">
        <f ca="1">SUM(IMSS[[#This Row],[P RSG TRB]:[P INFONAVIT]])</f>
        <v>2392.6320743594524</v>
      </c>
      <c r="U338" s="163">
        <f ca="1">IMSS[[#This Row],[DIAS LAB]]*IMSS[[#This Row],[SDI]]*IMSS[[#This Row],[% RSG]]*$R$108</f>
        <v>0</v>
      </c>
      <c r="V338" s="163">
        <f ca="1">IMSS[[#This Row],[DIAS LAB]]*IMSS[[#This Row],[SDI]]*$R$112</f>
        <v>26.335773972602741</v>
      </c>
      <c r="W338" s="163"/>
      <c r="X338" s="163">
        <f ca="1">IMSS[[#This Row],[DIAS LAB]]*IMSS[[#This Row],[SDI]]*$R$113</f>
        <v>66.366150410958909</v>
      </c>
      <c r="Y338" s="163">
        <f ca="1">IMSS[[#This Row],[DIAS LAB]]*IMSS[[#This Row],[SDI]]*$R$114</f>
        <v>0</v>
      </c>
      <c r="Z338" s="163">
        <f ca="1">IMSS[[#This Row],[DIAS LAB]]*IMSS[[#This Row],[SDI]]*$R$115</f>
        <v>0</v>
      </c>
      <c r="AA338" s="163">
        <f ca="1">IMSS[[#This Row],[DIAS LAB]]*IMSS[[#This Row],[SDI]]*$R$116</f>
        <v>119.03769835616438</v>
      </c>
      <c r="AB338" s="163">
        <f ca="1">IMSS[[#This Row],[DIAS LAB]]*IMSS[[#This Row],[SDI]]*$R$117</f>
        <v>0</v>
      </c>
      <c r="AC338" s="247">
        <f ca="1">SUM(IMSS[[#This Row],[O RSG TRB]:[O INFONAVIT]])</f>
        <v>211.73962273972603</v>
      </c>
      <c r="AD338" s="163"/>
      <c r="AE338" s="165">
        <f ca="1">IMSS[[#This Row],[P TOTAL]]+IMSS[[#This Row],[O TOTAL]]</f>
        <v>2604.3716970991786</v>
      </c>
      <c r="AF338" s="163"/>
      <c r="AG338" s="163">
        <f>VLOOKUP(IMSS[[#This Row],[SUE MENS]],$AG$110:$AJ$120,1,1)</f>
        <v>5470.93</v>
      </c>
      <c r="AH338" s="163">
        <f>IMSS[[#This Row],[SUE MENS]]-IMSS[[#This Row],[LIM INF]]</f>
        <v>4070.0699999999997</v>
      </c>
      <c r="AI338" s="163">
        <f>IMSS[[#This Row],[EXC LIM INF]]*(VLOOKUP(IMSS[[#This Row],[LIM INF]],$AG$110:$AJ$120,4,0))</f>
        <v>442.82361600000002</v>
      </c>
      <c r="AJ338" s="163">
        <f>VLOOKUP(IMSS[[#This Row],[LIM INF]],$AG$110:$AJ$120,3)</f>
        <v>321.26</v>
      </c>
      <c r="AK338" s="163">
        <f>SUM(IMSS[[#This Row],[TASA EXC]]+IMSS[[#This Row],[CUOTA FIJA]])</f>
        <v>764.08361600000001</v>
      </c>
      <c r="AL338" s="163">
        <f>VLOOKUP(IMSS[[#This Row],[SUE MENS]],$AL$110:$AN$120,3,1)</f>
        <v>0</v>
      </c>
      <c r="AM338" s="248">
        <f>IF(IMSS[[#This Row],[ISR CARGO]]-IMSS[[#This Row],[SUBS ISR]]&gt;0,IMSS[[#This Row],[ISR CARGO]]-IMSS[[#This Row],[SUBS ISR]],0)</f>
        <v>764.08361600000001</v>
      </c>
      <c r="AN338" s="248">
        <f>IF(IMSS[[#This Row],[SUBS ISR]]-IMSS[[#This Row],[ISR CARGO]]&gt;0,IMSS[[#This Row],[SUBS ISR]]-IMSS[[#This Row],[ISR CARGO]],0)</f>
        <v>0</v>
      </c>
    </row>
    <row r="339" spans="3:40" ht="15" hidden="1" customHeight="1" x14ac:dyDescent="0.25">
      <c r="C339" s="243">
        <v>357</v>
      </c>
      <c r="D339" s="167" t="str">
        <f>VLOOKUP(IMSS[[#This Row],[NEM]],BDD[],2,0)</f>
        <v>Fátima Valeria Morales Fabila</v>
      </c>
      <c r="E339" s="167" t="str">
        <f>VLOOKUP(IMSS[[#This Row],[NEM]],BDD[],9,0)</f>
        <v>INST CAMPO</v>
      </c>
      <c r="F339" s="168">
        <v>30</v>
      </c>
      <c r="G339" s="139">
        <f>VLOOKUP(IMSS[[#This Row],[NEM]],BDD[],3,0)</f>
        <v>7445</v>
      </c>
      <c r="H339" s="139">
        <f ca="1">VLOOKUP(IMSS[[#This Row],[NEM]],BDD[],25,0)</f>
        <v>274.00319634703197</v>
      </c>
      <c r="I339" s="143">
        <f>VLOOKUP(IMSS[[#This Row],[DEPT]],$B$3:$G$49,6,0)</f>
        <v>4.6532499999999997E-2</v>
      </c>
      <c r="J339" s="163">
        <f ca="1">IMSS[[#This Row],[DIAS LAB]]*IMSS[[#This Row],[SDI]]*IMSS[[#This Row],[% RSG]]*$Q$108</f>
        <v>382.50161202054795</v>
      </c>
      <c r="K339" s="163">
        <f>IMSS[[#This Row],[DIAS LAB]]*$J$110*$Q$109</f>
        <v>548.47440000000006</v>
      </c>
      <c r="L339" s="166">
        <f ca="1">IMSS[[#This Row],[DIAS LAB]]*IF(IMSS[[#This Row],[SDI]]-$J$113&gt;0,IMSS[[#This Row],[SDI]]-$J$113,0)*$Q$110</f>
        <v>1.6972547945205467</v>
      </c>
      <c r="M339" s="166">
        <f ca="1">IMSS[[#This Row],[DIAS LAB]]*IMSS[[#This Row],[SDI]]*$Q$111</f>
        <v>86.311006849315078</v>
      </c>
      <c r="N339" s="163">
        <f ca="1">IMSS[[#This Row],[DIAS LAB]]*IMSS[[#This Row],[SDI]]*$Q$112</f>
        <v>57.540671232876718</v>
      </c>
      <c r="O339" s="166">
        <f ca="1">IMSS[[#This Row],[DIAS LAB]]*IMSS[[#This Row],[SDI]]*$Q$113</f>
        <v>143.8516780821918</v>
      </c>
      <c r="P339" s="163">
        <f ca="1">IMSS[[#This Row],[DIAS LAB]]*IMSS[[#This Row],[SDI]]*$Q$114</f>
        <v>82.200958904109598</v>
      </c>
      <c r="Q339" s="166">
        <f ca="1">IMSS[[#This Row],[DIAS LAB]]*IMSS[[#This Row],[SDI]]*$Q$115</f>
        <v>164.4019178082192</v>
      </c>
      <c r="R339" s="163">
        <f ca="1">IMSS[[#This Row],[DIAS LAB]]*IMSS[[#This Row],[SDI]]*$Q$116</f>
        <v>258.9330205479452</v>
      </c>
      <c r="S339" s="163">
        <f ca="1">IMSS[[#This Row],[DIAS LAB]]*IMSS[[#This Row],[SDI]]*$Q$117</f>
        <v>411.00479452054799</v>
      </c>
      <c r="T339" s="164">
        <f ca="1">SUM(IMSS[[#This Row],[P RSG TRB]:[P INFONAVIT]])</f>
        <v>2136.9173147602742</v>
      </c>
      <c r="U339" s="163">
        <f ca="1">IMSS[[#This Row],[DIAS LAB]]*IMSS[[#This Row],[SDI]]*IMSS[[#This Row],[% RSG]]*$R$108</f>
        <v>0</v>
      </c>
      <c r="V339" s="163">
        <f ca="1">IMSS[[#This Row],[DIAS LAB]]*IMSS[[#This Row],[SDI]]*$R$112</f>
        <v>20.550239726027399</v>
      </c>
      <c r="W339" s="163"/>
      <c r="X339" s="163">
        <f ca="1">IMSS[[#This Row],[DIAS LAB]]*IMSS[[#This Row],[SDI]]*$R$113</f>
        <v>51.786604109589042</v>
      </c>
      <c r="Y339" s="163">
        <f ca="1">IMSS[[#This Row],[DIAS LAB]]*IMSS[[#This Row],[SDI]]*$R$114</f>
        <v>0</v>
      </c>
      <c r="Z339" s="163">
        <f ca="1">IMSS[[#This Row],[DIAS LAB]]*IMSS[[#This Row],[SDI]]*$R$115</f>
        <v>0</v>
      </c>
      <c r="AA339" s="163">
        <f ca="1">IMSS[[#This Row],[DIAS LAB]]*IMSS[[#This Row],[SDI]]*$R$116</f>
        <v>92.887083561643834</v>
      </c>
      <c r="AB339" s="163">
        <f ca="1">IMSS[[#This Row],[DIAS LAB]]*IMSS[[#This Row],[SDI]]*$R$117</f>
        <v>0</v>
      </c>
      <c r="AC339" s="247">
        <f ca="1">SUM(IMSS[[#This Row],[O RSG TRB]:[O INFONAVIT]])</f>
        <v>165.22392739726027</v>
      </c>
      <c r="AD339" s="163"/>
      <c r="AE339" s="165">
        <f ca="1">IMSS[[#This Row],[P TOTAL]]+IMSS[[#This Row],[O TOTAL]]</f>
        <v>2302.1412421575346</v>
      </c>
      <c r="AF339" s="163"/>
      <c r="AG339" s="163">
        <f>VLOOKUP(IMSS[[#This Row],[SUE MENS]],$AG$110:$AJ$120,1,1)</f>
        <v>5470.93</v>
      </c>
      <c r="AH339" s="163">
        <f>IMSS[[#This Row],[SUE MENS]]-IMSS[[#This Row],[LIM INF]]</f>
        <v>1974.0699999999997</v>
      </c>
      <c r="AI339" s="163">
        <f>IMSS[[#This Row],[EXC LIM INF]]*(VLOOKUP(IMSS[[#This Row],[LIM INF]],$AG$110:$AJ$120,4,0))</f>
        <v>214.77881599999998</v>
      </c>
      <c r="AJ339" s="163">
        <f>VLOOKUP(IMSS[[#This Row],[LIM INF]],$AG$110:$AJ$120,3)</f>
        <v>321.26</v>
      </c>
      <c r="AK339" s="163">
        <f>SUM(IMSS[[#This Row],[TASA EXC]]+IMSS[[#This Row],[CUOTA FIJA]])</f>
        <v>536.038816</v>
      </c>
      <c r="AL339" s="163">
        <f>VLOOKUP(IMSS[[#This Row],[SUE MENS]],$AL$110:$AN$120,3,1)</f>
        <v>0</v>
      </c>
      <c r="AM339" s="248">
        <f>IF(IMSS[[#This Row],[ISR CARGO]]-IMSS[[#This Row],[SUBS ISR]]&gt;0,IMSS[[#This Row],[ISR CARGO]]-IMSS[[#This Row],[SUBS ISR]],0)</f>
        <v>536.038816</v>
      </c>
      <c r="AN339" s="248">
        <f>IF(IMSS[[#This Row],[SUBS ISR]]-IMSS[[#This Row],[ISR CARGO]]&gt;0,IMSS[[#This Row],[SUBS ISR]]-IMSS[[#This Row],[ISR CARGO]],0)</f>
        <v>0</v>
      </c>
    </row>
    <row r="340" spans="3:40" ht="15" hidden="1" customHeight="1" x14ac:dyDescent="0.25">
      <c r="C340" s="243">
        <v>358</v>
      </c>
      <c r="D340" s="167" t="str">
        <f>VLOOKUP(IMSS[[#This Row],[NEM]],BDD[],2,0)</f>
        <v>Rodrigo Silva Contreras</v>
      </c>
      <c r="E340" s="167" t="str">
        <f>VLOOKUP(IMSS[[#This Row],[NEM]],BDD[],9,0)</f>
        <v>COMPRAS</v>
      </c>
      <c r="F340" s="168">
        <v>30</v>
      </c>
      <c r="G340" s="139">
        <f>VLOOKUP(IMSS[[#This Row],[NEM]],BDD[],3,0)</f>
        <v>9450</v>
      </c>
      <c r="H340" s="139">
        <f ca="1">VLOOKUP(IMSS[[#This Row],[NEM]],BDD[],25,0)</f>
        <v>347.79452054794518</v>
      </c>
      <c r="I340" s="143">
        <f>VLOOKUP(IMSS[[#This Row],[DEPT]],$B$3:$G$49,6,0)</f>
        <v>5.4355000000000002E-3</v>
      </c>
      <c r="J340" s="163">
        <f ca="1">IMSS[[#This Row],[DIAS LAB]]*IMSS[[#This Row],[SDI]]*IMSS[[#This Row],[% RSG]]*$Q$108</f>
        <v>56.713113493150679</v>
      </c>
      <c r="K340" s="163">
        <f>IMSS[[#This Row],[DIAS LAB]]*$J$110*$Q$109</f>
        <v>548.47440000000006</v>
      </c>
      <c r="L340" s="166">
        <f ca="1">IMSS[[#This Row],[DIAS LAB]]*IF(IMSS[[#This Row],[SDI]]-$J$113&gt;0,IMSS[[#This Row],[SDI]]-$J$113,0)*$Q$110</f>
        <v>26.048391780821905</v>
      </c>
      <c r="M340" s="166">
        <f ca="1">IMSS[[#This Row],[DIAS LAB]]*IMSS[[#This Row],[SDI]]*$Q$111</f>
        <v>109.55527397260273</v>
      </c>
      <c r="N340" s="163">
        <f ca="1">IMSS[[#This Row],[DIAS LAB]]*IMSS[[#This Row],[SDI]]*$Q$112</f>
        <v>73.03684931506848</v>
      </c>
      <c r="O340" s="166">
        <f ca="1">IMSS[[#This Row],[DIAS LAB]]*IMSS[[#This Row],[SDI]]*$Q$113</f>
        <v>182.59212328767123</v>
      </c>
      <c r="P340" s="163">
        <f ca="1">IMSS[[#This Row],[DIAS LAB]]*IMSS[[#This Row],[SDI]]*$Q$114</f>
        <v>104.33835616438355</v>
      </c>
      <c r="Q340" s="166">
        <f ca="1">IMSS[[#This Row],[DIAS LAB]]*IMSS[[#This Row],[SDI]]*$Q$115</f>
        <v>208.67671232876711</v>
      </c>
      <c r="R340" s="163">
        <f ca="1">IMSS[[#This Row],[DIAS LAB]]*IMSS[[#This Row],[SDI]]*$Q$116</f>
        <v>328.66582191780816</v>
      </c>
      <c r="S340" s="163">
        <f ca="1">IMSS[[#This Row],[DIAS LAB]]*IMSS[[#This Row],[SDI]]*$Q$117</f>
        <v>521.69178082191775</v>
      </c>
      <c r="T340" s="164">
        <f ca="1">SUM(IMSS[[#This Row],[P RSG TRB]:[P INFONAVIT]])</f>
        <v>2159.7928230821917</v>
      </c>
      <c r="U340" s="163">
        <f ca="1">IMSS[[#This Row],[DIAS LAB]]*IMSS[[#This Row],[SDI]]*IMSS[[#This Row],[% RSG]]*$R$108</f>
        <v>0</v>
      </c>
      <c r="V340" s="163">
        <f ca="1">IMSS[[#This Row],[DIAS LAB]]*IMSS[[#This Row],[SDI]]*$R$112</f>
        <v>26.084589041095889</v>
      </c>
      <c r="W340" s="163"/>
      <c r="X340" s="163">
        <f ca="1">IMSS[[#This Row],[DIAS LAB]]*IMSS[[#This Row],[SDI]]*$R$113</f>
        <v>65.733164383561643</v>
      </c>
      <c r="Y340" s="163">
        <f ca="1">IMSS[[#This Row],[DIAS LAB]]*IMSS[[#This Row],[SDI]]*$R$114</f>
        <v>0</v>
      </c>
      <c r="Z340" s="163">
        <f ca="1">IMSS[[#This Row],[DIAS LAB]]*IMSS[[#This Row],[SDI]]*$R$115</f>
        <v>0</v>
      </c>
      <c r="AA340" s="163">
        <f ca="1">IMSS[[#This Row],[DIAS LAB]]*IMSS[[#This Row],[SDI]]*$R$116</f>
        <v>117.90234246575341</v>
      </c>
      <c r="AB340" s="163">
        <f ca="1">IMSS[[#This Row],[DIAS LAB]]*IMSS[[#This Row],[SDI]]*$R$117</f>
        <v>0</v>
      </c>
      <c r="AC340" s="247">
        <f ca="1">SUM(IMSS[[#This Row],[O RSG TRB]:[O INFONAVIT]])</f>
        <v>209.72009589041093</v>
      </c>
      <c r="AD340" s="163"/>
      <c r="AE340" s="165">
        <f ca="1">IMSS[[#This Row],[P TOTAL]]+IMSS[[#This Row],[O TOTAL]]</f>
        <v>2369.5129189726026</v>
      </c>
      <c r="AF340" s="163"/>
      <c r="AG340" s="163">
        <f>VLOOKUP(IMSS[[#This Row],[SUE MENS]],$AG$110:$AJ$120,1,1)</f>
        <v>5470.93</v>
      </c>
      <c r="AH340" s="163">
        <f>IMSS[[#This Row],[SUE MENS]]-IMSS[[#This Row],[LIM INF]]</f>
        <v>3979.0699999999997</v>
      </c>
      <c r="AI340" s="163">
        <f>IMSS[[#This Row],[EXC LIM INF]]*(VLOOKUP(IMSS[[#This Row],[LIM INF]],$AG$110:$AJ$120,4,0))</f>
        <v>432.92281600000001</v>
      </c>
      <c r="AJ340" s="163">
        <f>VLOOKUP(IMSS[[#This Row],[LIM INF]],$AG$110:$AJ$120,3)</f>
        <v>321.26</v>
      </c>
      <c r="AK340" s="163">
        <f>SUM(IMSS[[#This Row],[TASA EXC]]+IMSS[[#This Row],[CUOTA FIJA]])</f>
        <v>754.182816</v>
      </c>
      <c r="AL340" s="163">
        <f>VLOOKUP(IMSS[[#This Row],[SUE MENS]],$AL$110:$AN$120,3,1)</f>
        <v>0</v>
      </c>
      <c r="AM340" s="248">
        <f>IF(IMSS[[#This Row],[ISR CARGO]]-IMSS[[#This Row],[SUBS ISR]]&gt;0,IMSS[[#This Row],[ISR CARGO]]-IMSS[[#This Row],[SUBS ISR]],0)</f>
        <v>754.182816</v>
      </c>
      <c r="AN340" s="248">
        <f>IF(IMSS[[#This Row],[SUBS ISR]]-IMSS[[#This Row],[ISR CARGO]]&gt;0,IMSS[[#This Row],[SUBS ISR]]-IMSS[[#This Row],[ISR CARGO]],0)</f>
        <v>0</v>
      </c>
    </row>
    <row r="341" spans="3:40" ht="15" hidden="1" customHeight="1" x14ac:dyDescent="0.25">
      <c r="C341" s="243">
        <v>359</v>
      </c>
      <c r="D341" s="167" t="str">
        <f>VLOOKUP(IMSS[[#This Row],[NEM]],BDD[],2,0)</f>
        <v>Tita Hurtado Jimenez</v>
      </c>
      <c r="E341" s="167" t="str">
        <f>VLOOKUP(IMSS[[#This Row],[NEM]],BDD[],9,0)</f>
        <v>ADMINCIÓN</v>
      </c>
      <c r="F341" s="168">
        <v>30</v>
      </c>
      <c r="G341" s="139">
        <f>VLOOKUP(IMSS[[#This Row],[NEM]],BDD[],3,0)</f>
        <v>7445</v>
      </c>
      <c r="H341" s="139">
        <f ca="1">VLOOKUP(IMSS[[#This Row],[NEM]],BDD[],25,0)</f>
        <v>274.00319634703197</v>
      </c>
      <c r="I341" s="143">
        <f>VLOOKUP(IMSS[[#This Row],[DEPT]],$B$3:$G$49,6,0)</f>
        <v>5.4355000000000002E-3</v>
      </c>
      <c r="J341" s="163">
        <f ca="1">IMSS[[#This Row],[DIAS LAB]]*IMSS[[#This Row],[SDI]]*IMSS[[#This Row],[% RSG]]*$Q$108</f>
        <v>44.680331212328774</v>
      </c>
      <c r="K341" s="163">
        <f>IMSS[[#This Row],[DIAS LAB]]*$J$110*$Q$109</f>
        <v>548.47440000000006</v>
      </c>
      <c r="L341" s="166">
        <f ca="1">IMSS[[#This Row],[DIAS LAB]]*IF(IMSS[[#This Row],[SDI]]-$J$113&gt;0,IMSS[[#This Row],[SDI]]-$J$113,0)*$Q$110</f>
        <v>1.6972547945205467</v>
      </c>
      <c r="M341" s="166">
        <f ca="1">IMSS[[#This Row],[DIAS LAB]]*IMSS[[#This Row],[SDI]]*$Q$111</f>
        <v>86.311006849315078</v>
      </c>
      <c r="N341" s="163">
        <f ca="1">IMSS[[#This Row],[DIAS LAB]]*IMSS[[#This Row],[SDI]]*$Q$112</f>
        <v>57.540671232876718</v>
      </c>
      <c r="O341" s="166">
        <f ca="1">IMSS[[#This Row],[DIAS LAB]]*IMSS[[#This Row],[SDI]]*$Q$113</f>
        <v>143.8516780821918</v>
      </c>
      <c r="P341" s="163">
        <f ca="1">IMSS[[#This Row],[DIAS LAB]]*IMSS[[#This Row],[SDI]]*$Q$114</f>
        <v>82.200958904109598</v>
      </c>
      <c r="Q341" s="166">
        <f ca="1">IMSS[[#This Row],[DIAS LAB]]*IMSS[[#This Row],[SDI]]*$Q$115</f>
        <v>164.4019178082192</v>
      </c>
      <c r="R341" s="163">
        <f ca="1">IMSS[[#This Row],[DIAS LAB]]*IMSS[[#This Row],[SDI]]*$Q$116</f>
        <v>258.9330205479452</v>
      </c>
      <c r="S341" s="163">
        <f ca="1">IMSS[[#This Row],[DIAS LAB]]*IMSS[[#This Row],[SDI]]*$Q$117</f>
        <v>411.00479452054799</v>
      </c>
      <c r="T341" s="164">
        <f ca="1">SUM(IMSS[[#This Row],[P RSG TRB]:[P INFONAVIT]])</f>
        <v>1799.0960339520548</v>
      </c>
      <c r="U341" s="163">
        <f ca="1">IMSS[[#This Row],[DIAS LAB]]*IMSS[[#This Row],[SDI]]*IMSS[[#This Row],[% RSG]]*$R$108</f>
        <v>0</v>
      </c>
      <c r="V341" s="163">
        <f ca="1">IMSS[[#This Row],[DIAS LAB]]*IMSS[[#This Row],[SDI]]*$R$112</f>
        <v>20.550239726027399</v>
      </c>
      <c r="W341" s="163"/>
      <c r="X341" s="163">
        <f ca="1">IMSS[[#This Row],[DIAS LAB]]*IMSS[[#This Row],[SDI]]*$R$113</f>
        <v>51.786604109589042</v>
      </c>
      <c r="Y341" s="163">
        <f ca="1">IMSS[[#This Row],[DIAS LAB]]*IMSS[[#This Row],[SDI]]*$R$114</f>
        <v>0</v>
      </c>
      <c r="Z341" s="163">
        <f ca="1">IMSS[[#This Row],[DIAS LAB]]*IMSS[[#This Row],[SDI]]*$R$115</f>
        <v>0</v>
      </c>
      <c r="AA341" s="163">
        <f ca="1">IMSS[[#This Row],[DIAS LAB]]*IMSS[[#This Row],[SDI]]*$R$116</f>
        <v>92.887083561643834</v>
      </c>
      <c r="AB341" s="163">
        <f ca="1">IMSS[[#This Row],[DIAS LAB]]*IMSS[[#This Row],[SDI]]*$R$117</f>
        <v>0</v>
      </c>
      <c r="AC341" s="247">
        <f ca="1">SUM(IMSS[[#This Row],[O RSG TRB]:[O INFONAVIT]])</f>
        <v>165.22392739726027</v>
      </c>
      <c r="AD341" s="163"/>
      <c r="AE341" s="165">
        <f ca="1">IMSS[[#This Row],[P TOTAL]]+IMSS[[#This Row],[O TOTAL]]</f>
        <v>1964.319961349315</v>
      </c>
      <c r="AF341" s="163"/>
      <c r="AG341" s="163">
        <f>VLOOKUP(IMSS[[#This Row],[SUE MENS]],$AG$110:$AJ$120,1,1)</f>
        <v>5470.93</v>
      </c>
      <c r="AH341" s="163">
        <f>IMSS[[#This Row],[SUE MENS]]-IMSS[[#This Row],[LIM INF]]</f>
        <v>1974.0699999999997</v>
      </c>
      <c r="AI341" s="163">
        <f>IMSS[[#This Row],[EXC LIM INF]]*(VLOOKUP(IMSS[[#This Row],[LIM INF]],$AG$110:$AJ$120,4,0))</f>
        <v>214.77881599999998</v>
      </c>
      <c r="AJ341" s="163">
        <f>VLOOKUP(IMSS[[#This Row],[LIM INF]],$AG$110:$AJ$120,3)</f>
        <v>321.26</v>
      </c>
      <c r="AK341" s="163">
        <f>SUM(IMSS[[#This Row],[TASA EXC]]+IMSS[[#This Row],[CUOTA FIJA]])</f>
        <v>536.038816</v>
      </c>
      <c r="AL341" s="163">
        <f>VLOOKUP(IMSS[[#This Row],[SUE MENS]],$AL$110:$AN$120,3,1)</f>
        <v>0</v>
      </c>
      <c r="AM341" s="248">
        <f>IF(IMSS[[#This Row],[ISR CARGO]]-IMSS[[#This Row],[SUBS ISR]]&gt;0,IMSS[[#This Row],[ISR CARGO]]-IMSS[[#This Row],[SUBS ISR]],0)</f>
        <v>536.038816</v>
      </c>
      <c r="AN341" s="248">
        <f>IF(IMSS[[#This Row],[SUBS ISR]]-IMSS[[#This Row],[ISR CARGO]]&gt;0,IMSS[[#This Row],[SUBS ISR]]-IMSS[[#This Row],[ISR CARGO]],0)</f>
        <v>0</v>
      </c>
    </row>
    <row r="342" spans="3:40" ht="15" hidden="1" customHeight="1" x14ac:dyDescent="0.25">
      <c r="C342" s="243">
        <v>360</v>
      </c>
      <c r="D342" s="167" t="str">
        <f>VLOOKUP(IMSS[[#This Row],[NEM]],BDD[],2,0)</f>
        <v>Arturo Guzman Pacheco</v>
      </c>
      <c r="E342" s="167" t="str">
        <f>VLOOKUP(IMSS[[#This Row],[NEM]],BDD[],9,0)</f>
        <v>CONTA</v>
      </c>
      <c r="F342" s="168">
        <v>30</v>
      </c>
      <c r="G342" s="139">
        <f>VLOOKUP(IMSS[[#This Row],[NEM]],BDD[],3,0)</f>
        <v>9541</v>
      </c>
      <c r="H342" s="139">
        <f ca="1">VLOOKUP(IMSS[[#This Row],[NEM]],BDD[],25,0)</f>
        <v>351.14365296803658</v>
      </c>
      <c r="I342" s="143">
        <f>VLOOKUP(IMSS[[#This Row],[DEPT]],$B$3:$G$49,6,0)</f>
        <v>5.4355000000000002E-3</v>
      </c>
      <c r="J342" s="163">
        <f ca="1">IMSS[[#This Row],[DIAS LAB]]*IMSS[[#This Row],[SDI]]*IMSS[[#This Row],[% RSG]]*$Q$108</f>
        <v>57.259239771232885</v>
      </c>
      <c r="K342" s="163">
        <f>IMSS[[#This Row],[DIAS LAB]]*$J$110*$Q$109</f>
        <v>548.47440000000006</v>
      </c>
      <c r="L342" s="166">
        <f ca="1">IMSS[[#This Row],[DIAS LAB]]*IF(IMSS[[#This Row],[SDI]]-$J$113&gt;0,IMSS[[#This Row],[SDI]]-$J$113,0)*$Q$110</f>
        <v>27.153605479452061</v>
      </c>
      <c r="M342" s="166">
        <f ca="1">IMSS[[#This Row],[DIAS LAB]]*IMSS[[#This Row],[SDI]]*$Q$111</f>
        <v>110.61025068493153</v>
      </c>
      <c r="N342" s="163">
        <f ca="1">IMSS[[#This Row],[DIAS LAB]]*IMSS[[#This Row],[SDI]]*$Q$112</f>
        <v>73.740167123287677</v>
      </c>
      <c r="O342" s="166">
        <f ca="1">IMSS[[#This Row],[DIAS LAB]]*IMSS[[#This Row],[SDI]]*$Q$113</f>
        <v>184.35041780821922</v>
      </c>
      <c r="P342" s="163">
        <f ca="1">IMSS[[#This Row],[DIAS LAB]]*IMSS[[#This Row],[SDI]]*$Q$114</f>
        <v>105.34309589041096</v>
      </c>
      <c r="Q342" s="166">
        <f ca="1">IMSS[[#This Row],[DIAS LAB]]*IMSS[[#This Row],[SDI]]*$Q$115</f>
        <v>210.68619178082193</v>
      </c>
      <c r="R342" s="163">
        <f ca="1">IMSS[[#This Row],[DIAS LAB]]*IMSS[[#This Row],[SDI]]*$Q$116</f>
        <v>331.83075205479457</v>
      </c>
      <c r="S342" s="163">
        <f ca="1">IMSS[[#This Row],[DIAS LAB]]*IMSS[[#This Row],[SDI]]*$Q$117</f>
        <v>526.71547945205486</v>
      </c>
      <c r="T342" s="164">
        <f ca="1">SUM(IMSS[[#This Row],[P RSG TRB]:[P INFONAVIT]])</f>
        <v>2176.1636000452058</v>
      </c>
      <c r="U342" s="163">
        <f ca="1">IMSS[[#This Row],[DIAS LAB]]*IMSS[[#This Row],[SDI]]*IMSS[[#This Row],[% RSG]]*$R$108</f>
        <v>0</v>
      </c>
      <c r="V342" s="163">
        <f ca="1">IMSS[[#This Row],[DIAS LAB]]*IMSS[[#This Row],[SDI]]*$R$112</f>
        <v>26.335773972602741</v>
      </c>
      <c r="W342" s="163"/>
      <c r="X342" s="163">
        <f ca="1">IMSS[[#This Row],[DIAS LAB]]*IMSS[[#This Row],[SDI]]*$R$113</f>
        <v>66.366150410958909</v>
      </c>
      <c r="Y342" s="163">
        <f ca="1">IMSS[[#This Row],[DIAS LAB]]*IMSS[[#This Row],[SDI]]*$R$114</f>
        <v>0</v>
      </c>
      <c r="Z342" s="163">
        <f ca="1">IMSS[[#This Row],[DIAS LAB]]*IMSS[[#This Row],[SDI]]*$R$115</f>
        <v>0</v>
      </c>
      <c r="AA342" s="163">
        <f ca="1">IMSS[[#This Row],[DIAS LAB]]*IMSS[[#This Row],[SDI]]*$R$116</f>
        <v>119.03769835616438</v>
      </c>
      <c r="AB342" s="163">
        <f ca="1">IMSS[[#This Row],[DIAS LAB]]*IMSS[[#This Row],[SDI]]*$R$117</f>
        <v>0</v>
      </c>
      <c r="AC342" s="247">
        <f ca="1">SUM(IMSS[[#This Row],[O RSG TRB]:[O INFONAVIT]])</f>
        <v>211.73962273972603</v>
      </c>
      <c r="AD342" s="163"/>
      <c r="AE342" s="165">
        <f ca="1">IMSS[[#This Row],[P TOTAL]]+IMSS[[#This Row],[O TOTAL]]</f>
        <v>2387.903222784932</v>
      </c>
      <c r="AF342" s="163"/>
      <c r="AG342" s="163">
        <f>VLOOKUP(IMSS[[#This Row],[SUE MENS]],$AG$110:$AJ$120,1,1)</f>
        <v>5470.93</v>
      </c>
      <c r="AH342" s="163">
        <f>IMSS[[#This Row],[SUE MENS]]-IMSS[[#This Row],[LIM INF]]</f>
        <v>4070.0699999999997</v>
      </c>
      <c r="AI342" s="163">
        <f>IMSS[[#This Row],[EXC LIM INF]]*(VLOOKUP(IMSS[[#This Row],[LIM INF]],$AG$110:$AJ$120,4,0))</f>
        <v>442.82361600000002</v>
      </c>
      <c r="AJ342" s="163">
        <f>VLOOKUP(IMSS[[#This Row],[LIM INF]],$AG$110:$AJ$120,3)</f>
        <v>321.26</v>
      </c>
      <c r="AK342" s="163">
        <f>SUM(IMSS[[#This Row],[TASA EXC]]+IMSS[[#This Row],[CUOTA FIJA]])</f>
        <v>764.08361600000001</v>
      </c>
      <c r="AL342" s="163">
        <f>VLOOKUP(IMSS[[#This Row],[SUE MENS]],$AL$110:$AN$120,3,1)</f>
        <v>0</v>
      </c>
      <c r="AM342" s="248">
        <f>IF(IMSS[[#This Row],[ISR CARGO]]-IMSS[[#This Row],[SUBS ISR]]&gt;0,IMSS[[#This Row],[ISR CARGO]]-IMSS[[#This Row],[SUBS ISR]],0)</f>
        <v>764.08361600000001</v>
      </c>
      <c r="AN342" s="248">
        <f>IF(IMSS[[#This Row],[SUBS ISR]]-IMSS[[#This Row],[ISR CARGO]]&gt;0,IMSS[[#This Row],[SUBS ISR]]-IMSS[[#This Row],[ISR CARGO]],0)</f>
        <v>0</v>
      </c>
    </row>
    <row r="343" spans="3:40" ht="15" hidden="1" customHeight="1" x14ac:dyDescent="0.25">
      <c r="C343" s="243">
        <v>362</v>
      </c>
      <c r="D343" s="167" t="str">
        <f>VLOOKUP(IMSS[[#This Row],[NEM]],BDD[],2,0)</f>
        <v>Armando Hernandez Avila</v>
      </c>
      <c r="E343" s="167" t="str">
        <f>VLOOKUP(IMSS[[#This Row],[NEM]],BDD[],9,0)</f>
        <v>ARQUITECT</v>
      </c>
      <c r="F343" s="168">
        <v>30</v>
      </c>
      <c r="G343" s="139">
        <f>VLOOKUP(IMSS[[#This Row],[NEM]],BDD[],3,0)</f>
        <v>9450</v>
      </c>
      <c r="H343" s="139">
        <f ca="1">VLOOKUP(IMSS[[#This Row],[NEM]],BDD[],25,0)</f>
        <v>347.79452054794518</v>
      </c>
      <c r="I343" s="143">
        <f>VLOOKUP(IMSS[[#This Row],[DEPT]],$B$3:$G$49,6,0)</f>
        <v>2.5984400000000001E-2</v>
      </c>
      <c r="J343" s="163">
        <f ca="1">IMSS[[#This Row],[DIAS LAB]]*IMSS[[#This Row],[SDI]]*IMSS[[#This Row],[% RSG]]*$Q$108</f>
        <v>271.11695819178078</v>
      </c>
      <c r="K343" s="163">
        <f>IMSS[[#This Row],[DIAS LAB]]*$J$110*$Q$109</f>
        <v>548.47440000000006</v>
      </c>
      <c r="L343" s="166">
        <f ca="1">IMSS[[#This Row],[DIAS LAB]]*IF(IMSS[[#This Row],[SDI]]-$J$113&gt;0,IMSS[[#This Row],[SDI]]-$J$113,0)*$Q$110</f>
        <v>26.048391780821905</v>
      </c>
      <c r="M343" s="166">
        <f ca="1">IMSS[[#This Row],[DIAS LAB]]*IMSS[[#This Row],[SDI]]*$Q$111</f>
        <v>109.55527397260273</v>
      </c>
      <c r="N343" s="163">
        <f ca="1">IMSS[[#This Row],[DIAS LAB]]*IMSS[[#This Row],[SDI]]*$Q$112</f>
        <v>73.03684931506848</v>
      </c>
      <c r="O343" s="166">
        <f ca="1">IMSS[[#This Row],[DIAS LAB]]*IMSS[[#This Row],[SDI]]*$Q$113</f>
        <v>182.59212328767123</v>
      </c>
      <c r="P343" s="163">
        <f ca="1">IMSS[[#This Row],[DIAS LAB]]*IMSS[[#This Row],[SDI]]*$Q$114</f>
        <v>104.33835616438355</v>
      </c>
      <c r="Q343" s="166">
        <f ca="1">IMSS[[#This Row],[DIAS LAB]]*IMSS[[#This Row],[SDI]]*$Q$115</f>
        <v>208.67671232876711</v>
      </c>
      <c r="R343" s="163">
        <f ca="1">IMSS[[#This Row],[DIAS LAB]]*IMSS[[#This Row],[SDI]]*$Q$116</f>
        <v>328.66582191780816</v>
      </c>
      <c r="S343" s="163">
        <f ca="1">IMSS[[#This Row],[DIAS LAB]]*IMSS[[#This Row],[SDI]]*$Q$117</f>
        <v>521.69178082191775</v>
      </c>
      <c r="T343" s="164">
        <f ca="1">SUM(IMSS[[#This Row],[P RSG TRB]:[P INFONAVIT]])</f>
        <v>2374.1966677808218</v>
      </c>
      <c r="U343" s="163">
        <f ca="1">IMSS[[#This Row],[DIAS LAB]]*IMSS[[#This Row],[SDI]]*IMSS[[#This Row],[% RSG]]*$R$108</f>
        <v>0</v>
      </c>
      <c r="V343" s="163">
        <f ca="1">IMSS[[#This Row],[DIAS LAB]]*IMSS[[#This Row],[SDI]]*$R$112</f>
        <v>26.084589041095889</v>
      </c>
      <c r="W343" s="163"/>
      <c r="X343" s="163">
        <f ca="1">IMSS[[#This Row],[DIAS LAB]]*IMSS[[#This Row],[SDI]]*$R$113</f>
        <v>65.733164383561643</v>
      </c>
      <c r="Y343" s="163">
        <f ca="1">IMSS[[#This Row],[DIAS LAB]]*IMSS[[#This Row],[SDI]]*$R$114</f>
        <v>0</v>
      </c>
      <c r="Z343" s="163">
        <f ca="1">IMSS[[#This Row],[DIAS LAB]]*IMSS[[#This Row],[SDI]]*$R$115</f>
        <v>0</v>
      </c>
      <c r="AA343" s="163">
        <f ca="1">IMSS[[#This Row],[DIAS LAB]]*IMSS[[#This Row],[SDI]]*$R$116</f>
        <v>117.90234246575341</v>
      </c>
      <c r="AB343" s="163">
        <f ca="1">IMSS[[#This Row],[DIAS LAB]]*IMSS[[#This Row],[SDI]]*$R$117</f>
        <v>0</v>
      </c>
      <c r="AC343" s="247">
        <f ca="1">SUM(IMSS[[#This Row],[O RSG TRB]:[O INFONAVIT]])</f>
        <v>209.72009589041093</v>
      </c>
      <c r="AD343" s="163"/>
      <c r="AE343" s="165">
        <f ca="1">IMSS[[#This Row],[P TOTAL]]+IMSS[[#This Row],[O TOTAL]]</f>
        <v>2583.9167636712327</v>
      </c>
      <c r="AF343" s="163"/>
      <c r="AG343" s="163">
        <f>VLOOKUP(IMSS[[#This Row],[SUE MENS]],$AG$110:$AJ$120,1,1)</f>
        <v>5470.93</v>
      </c>
      <c r="AH343" s="163">
        <f>IMSS[[#This Row],[SUE MENS]]-IMSS[[#This Row],[LIM INF]]</f>
        <v>3979.0699999999997</v>
      </c>
      <c r="AI343" s="163">
        <f>IMSS[[#This Row],[EXC LIM INF]]*(VLOOKUP(IMSS[[#This Row],[LIM INF]],$AG$110:$AJ$120,4,0))</f>
        <v>432.92281600000001</v>
      </c>
      <c r="AJ343" s="163">
        <f>VLOOKUP(IMSS[[#This Row],[LIM INF]],$AG$110:$AJ$120,3)</f>
        <v>321.26</v>
      </c>
      <c r="AK343" s="163">
        <f>SUM(IMSS[[#This Row],[TASA EXC]]+IMSS[[#This Row],[CUOTA FIJA]])</f>
        <v>754.182816</v>
      </c>
      <c r="AL343" s="163">
        <f>VLOOKUP(IMSS[[#This Row],[SUE MENS]],$AL$110:$AN$120,3,1)</f>
        <v>0</v>
      </c>
      <c r="AM343" s="248">
        <f>IF(IMSS[[#This Row],[ISR CARGO]]-IMSS[[#This Row],[SUBS ISR]]&gt;0,IMSS[[#This Row],[ISR CARGO]]-IMSS[[#This Row],[SUBS ISR]],0)</f>
        <v>754.182816</v>
      </c>
      <c r="AN343" s="248">
        <f>IF(IMSS[[#This Row],[SUBS ISR]]-IMSS[[#This Row],[ISR CARGO]]&gt;0,IMSS[[#This Row],[SUBS ISR]]-IMSS[[#This Row],[ISR CARGO]],0)</f>
        <v>0</v>
      </c>
    </row>
    <row r="344" spans="3:40" ht="15" hidden="1" customHeight="1" x14ac:dyDescent="0.25">
      <c r="C344" s="243">
        <v>364</v>
      </c>
      <c r="D344" s="167" t="str">
        <f>VLOOKUP(IMSS[[#This Row],[NEM]],BDD[],2,0)</f>
        <v>Yasmin Blanco Noyola</v>
      </c>
      <c r="E344" s="167" t="str">
        <f>VLOOKUP(IMSS[[#This Row],[NEM]],BDD[],9,0)</f>
        <v>ESTRUCTURA</v>
      </c>
      <c r="F344" s="168">
        <v>30</v>
      </c>
      <c r="G344" s="139">
        <f>VLOOKUP(IMSS[[#This Row],[NEM]],BDD[],3,0)</f>
        <v>10860</v>
      </c>
      <c r="H344" s="139">
        <f ca="1">VLOOKUP(IMSS[[#This Row],[NEM]],BDD[],25,0)</f>
        <v>399.68767123287671</v>
      </c>
      <c r="I344" s="143">
        <f>VLOOKUP(IMSS[[#This Row],[DEPT]],$B$3:$G$49,6,0)</f>
        <v>2.5984400000000001E-2</v>
      </c>
      <c r="J344" s="163">
        <f ca="1">IMSS[[#This Row],[DIAS LAB]]*IMSS[[#This Row],[SDI]]*IMSS[[#This Row],[% RSG]]*$Q$108</f>
        <v>311.56932973150685</v>
      </c>
      <c r="K344" s="163">
        <f>IMSS[[#This Row],[DIAS LAB]]*$J$110*$Q$109</f>
        <v>548.47440000000006</v>
      </c>
      <c r="L344" s="166">
        <f ca="1">IMSS[[#This Row],[DIAS LAB]]*IF(IMSS[[#This Row],[SDI]]-$J$113&gt;0,IMSS[[#This Row],[SDI]]-$J$113,0)*$Q$110</f>
        <v>43.173131506849309</v>
      </c>
      <c r="M344" s="166">
        <f ca="1">IMSS[[#This Row],[DIAS LAB]]*IMSS[[#This Row],[SDI]]*$Q$111</f>
        <v>125.90161643835617</v>
      </c>
      <c r="N344" s="163">
        <f ca="1">IMSS[[#This Row],[DIAS LAB]]*IMSS[[#This Row],[SDI]]*$Q$112</f>
        <v>83.93441095890411</v>
      </c>
      <c r="O344" s="166">
        <f ca="1">IMSS[[#This Row],[DIAS LAB]]*IMSS[[#This Row],[SDI]]*$Q$113</f>
        <v>209.8360273972603</v>
      </c>
      <c r="P344" s="163">
        <f ca="1">IMSS[[#This Row],[DIAS LAB]]*IMSS[[#This Row],[SDI]]*$Q$114</f>
        <v>119.90630136986302</v>
      </c>
      <c r="Q344" s="166">
        <f ca="1">IMSS[[#This Row],[DIAS LAB]]*IMSS[[#This Row],[SDI]]*$Q$115</f>
        <v>239.81260273972603</v>
      </c>
      <c r="R344" s="163">
        <f ca="1">IMSS[[#This Row],[DIAS LAB]]*IMSS[[#This Row],[SDI]]*$Q$116</f>
        <v>377.70484931506849</v>
      </c>
      <c r="S344" s="163">
        <f ca="1">IMSS[[#This Row],[DIAS LAB]]*IMSS[[#This Row],[SDI]]*$Q$117</f>
        <v>599.53150684931506</v>
      </c>
      <c r="T344" s="164">
        <f ca="1">SUM(IMSS[[#This Row],[P RSG TRB]:[P INFONAVIT]])</f>
        <v>2659.8441763068499</v>
      </c>
      <c r="U344" s="163">
        <f ca="1">IMSS[[#This Row],[DIAS LAB]]*IMSS[[#This Row],[SDI]]*IMSS[[#This Row],[% RSG]]*$R$108</f>
        <v>0</v>
      </c>
      <c r="V344" s="163">
        <f ca="1">IMSS[[#This Row],[DIAS LAB]]*IMSS[[#This Row],[SDI]]*$R$112</f>
        <v>29.976575342465754</v>
      </c>
      <c r="W344" s="163"/>
      <c r="X344" s="163">
        <f ca="1">IMSS[[#This Row],[DIAS LAB]]*IMSS[[#This Row],[SDI]]*$R$113</f>
        <v>75.5409698630137</v>
      </c>
      <c r="Y344" s="163">
        <f ca="1">IMSS[[#This Row],[DIAS LAB]]*IMSS[[#This Row],[SDI]]*$R$114</f>
        <v>0</v>
      </c>
      <c r="Z344" s="163">
        <f ca="1">IMSS[[#This Row],[DIAS LAB]]*IMSS[[#This Row],[SDI]]*$R$115</f>
        <v>0</v>
      </c>
      <c r="AA344" s="163">
        <f ca="1">IMSS[[#This Row],[DIAS LAB]]*IMSS[[#This Row],[SDI]]*$R$116</f>
        <v>135.49412054794519</v>
      </c>
      <c r="AB344" s="163">
        <f ca="1">IMSS[[#This Row],[DIAS LAB]]*IMSS[[#This Row],[SDI]]*$R$117</f>
        <v>0</v>
      </c>
      <c r="AC344" s="247">
        <f ca="1">SUM(IMSS[[#This Row],[O RSG TRB]:[O INFONAVIT]])</f>
        <v>241.01166575342464</v>
      </c>
      <c r="AD344" s="163"/>
      <c r="AE344" s="165">
        <f ca="1">IMSS[[#This Row],[P TOTAL]]+IMSS[[#This Row],[O TOTAL]]</f>
        <v>2900.8558420602744</v>
      </c>
      <c r="AF344" s="163"/>
      <c r="AG344" s="163">
        <f>VLOOKUP(IMSS[[#This Row],[SUE MENS]],$AG$110:$AJ$120,1,1)</f>
        <v>9614.67</v>
      </c>
      <c r="AH344" s="163">
        <f>IMSS[[#This Row],[SUE MENS]]-IMSS[[#This Row],[LIM INF]]</f>
        <v>1245.33</v>
      </c>
      <c r="AI344" s="163">
        <f>IMSS[[#This Row],[EXC LIM INF]]*(VLOOKUP(IMSS[[#This Row],[LIM INF]],$AG$110:$AJ$120,4,0))</f>
        <v>199.25279999999998</v>
      </c>
      <c r="AJ344" s="163">
        <f>VLOOKUP(IMSS[[#This Row],[LIM INF]],$AG$110:$AJ$120,3)</f>
        <v>772.1</v>
      </c>
      <c r="AK344" s="163">
        <f>SUM(IMSS[[#This Row],[TASA EXC]]+IMSS[[#This Row],[CUOTA FIJA]])</f>
        <v>971.3528</v>
      </c>
      <c r="AL344" s="163">
        <f>VLOOKUP(IMSS[[#This Row],[SUE MENS]],$AL$110:$AN$120,3,1)</f>
        <v>0</v>
      </c>
      <c r="AM344" s="248">
        <f>IF(IMSS[[#This Row],[ISR CARGO]]-IMSS[[#This Row],[SUBS ISR]]&gt;0,IMSS[[#This Row],[ISR CARGO]]-IMSS[[#This Row],[SUBS ISR]],0)</f>
        <v>971.3528</v>
      </c>
      <c r="AN344" s="248">
        <f>IF(IMSS[[#This Row],[SUBS ISR]]-IMSS[[#This Row],[ISR CARGO]]&gt;0,IMSS[[#This Row],[SUBS ISR]]-IMSS[[#This Row],[ISR CARGO]],0)</f>
        <v>0</v>
      </c>
    </row>
    <row r="345" spans="3:40" ht="15" hidden="1" customHeight="1" x14ac:dyDescent="0.25">
      <c r="C345" s="243">
        <v>365</v>
      </c>
      <c r="D345" s="167" t="str">
        <f>VLOOKUP(IMSS[[#This Row],[NEM]],BDD[],2,0)</f>
        <v>Jesus Alexis Camarillo Moreno</v>
      </c>
      <c r="E345" s="167" t="str">
        <f>VLOOKUP(IMSS[[#This Row],[NEM]],BDD[],9,0)</f>
        <v>ARQUITECT</v>
      </c>
      <c r="F345" s="168">
        <v>30</v>
      </c>
      <c r="G345" s="139">
        <f>VLOOKUP(IMSS[[#This Row],[NEM]],BDD[],3,0)</f>
        <v>7445</v>
      </c>
      <c r="H345" s="139">
        <f ca="1">VLOOKUP(IMSS[[#This Row],[NEM]],BDD[],25,0)</f>
        <v>274.00319634703197</v>
      </c>
      <c r="I345" s="143">
        <f>VLOOKUP(IMSS[[#This Row],[DEPT]],$B$3:$G$49,6,0)</f>
        <v>2.5984400000000001E-2</v>
      </c>
      <c r="J345" s="163">
        <f ca="1">IMSS[[#This Row],[DIAS LAB]]*IMSS[[#This Row],[SDI]]*IMSS[[#This Row],[% RSG]]*$Q$108</f>
        <v>213.59425965479454</v>
      </c>
      <c r="K345" s="163">
        <f>IMSS[[#This Row],[DIAS LAB]]*$J$110*$Q$109</f>
        <v>548.47440000000006</v>
      </c>
      <c r="L345" s="166">
        <f ca="1">IMSS[[#This Row],[DIAS LAB]]*IF(IMSS[[#This Row],[SDI]]-$J$113&gt;0,IMSS[[#This Row],[SDI]]-$J$113,0)*$Q$110</f>
        <v>1.6972547945205467</v>
      </c>
      <c r="M345" s="166">
        <f ca="1">IMSS[[#This Row],[DIAS LAB]]*IMSS[[#This Row],[SDI]]*$Q$111</f>
        <v>86.311006849315078</v>
      </c>
      <c r="N345" s="163">
        <f ca="1">IMSS[[#This Row],[DIAS LAB]]*IMSS[[#This Row],[SDI]]*$Q$112</f>
        <v>57.540671232876718</v>
      </c>
      <c r="O345" s="166">
        <f ca="1">IMSS[[#This Row],[DIAS LAB]]*IMSS[[#This Row],[SDI]]*$Q$113</f>
        <v>143.8516780821918</v>
      </c>
      <c r="P345" s="163">
        <f ca="1">IMSS[[#This Row],[DIAS LAB]]*IMSS[[#This Row],[SDI]]*$Q$114</f>
        <v>82.200958904109598</v>
      </c>
      <c r="Q345" s="166">
        <f ca="1">IMSS[[#This Row],[DIAS LAB]]*IMSS[[#This Row],[SDI]]*$Q$115</f>
        <v>164.4019178082192</v>
      </c>
      <c r="R345" s="163">
        <f ca="1">IMSS[[#This Row],[DIAS LAB]]*IMSS[[#This Row],[SDI]]*$Q$116</f>
        <v>258.9330205479452</v>
      </c>
      <c r="S345" s="163">
        <f ca="1">IMSS[[#This Row],[DIAS LAB]]*IMSS[[#This Row],[SDI]]*$Q$117</f>
        <v>411.00479452054799</v>
      </c>
      <c r="T345" s="164">
        <f ca="1">SUM(IMSS[[#This Row],[P RSG TRB]:[P INFONAVIT]])</f>
        <v>1968.0099623945207</v>
      </c>
      <c r="U345" s="163">
        <f ca="1">IMSS[[#This Row],[DIAS LAB]]*IMSS[[#This Row],[SDI]]*IMSS[[#This Row],[% RSG]]*$R$108</f>
        <v>0</v>
      </c>
      <c r="V345" s="163">
        <f ca="1">IMSS[[#This Row],[DIAS LAB]]*IMSS[[#This Row],[SDI]]*$R$112</f>
        <v>20.550239726027399</v>
      </c>
      <c r="W345" s="163"/>
      <c r="X345" s="163">
        <f ca="1">IMSS[[#This Row],[DIAS LAB]]*IMSS[[#This Row],[SDI]]*$R$113</f>
        <v>51.786604109589042</v>
      </c>
      <c r="Y345" s="163">
        <f ca="1">IMSS[[#This Row],[DIAS LAB]]*IMSS[[#This Row],[SDI]]*$R$114</f>
        <v>0</v>
      </c>
      <c r="Z345" s="163">
        <f ca="1">IMSS[[#This Row],[DIAS LAB]]*IMSS[[#This Row],[SDI]]*$R$115</f>
        <v>0</v>
      </c>
      <c r="AA345" s="163">
        <f ca="1">IMSS[[#This Row],[DIAS LAB]]*IMSS[[#This Row],[SDI]]*$R$116</f>
        <v>92.887083561643834</v>
      </c>
      <c r="AB345" s="163">
        <f ca="1">IMSS[[#This Row],[DIAS LAB]]*IMSS[[#This Row],[SDI]]*$R$117</f>
        <v>0</v>
      </c>
      <c r="AC345" s="247">
        <f ca="1">SUM(IMSS[[#This Row],[O RSG TRB]:[O INFONAVIT]])</f>
        <v>165.22392739726027</v>
      </c>
      <c r="AD345" s="163"/>
      <c r="AE345" s="165">
        <f ca="1">IMSS[[#This Row],[P TOTAL]]+IMSS[[#This Row],[O TOTAL]]</f>
        <v>2133.2338897917812</v>
      </c>
      <c r="AF345" s="163"/>
      <c r="AG345" s="163">
        <f>VLOOKUP(IMSS[[#This Row],[SUE MENS]],$AG$110:$AJ$120,1,1)</f>
        <v>5470.93</v>
      </c>
      <c r="AH345" s="163">
        <f>IMSS[[#This Row],[SUE MENS]]-IMSS[[#This Row],[LIM INF]]</f>
        <v>1974.0699999999997</v>
      </c>
      <c r="AI345" s="163">
        <f>IMSS[[#This Row],[EXC LIM INF]]*(VLOOKUP(IMSS[[#This Row],[LIM INF]],$AG$110:$AJ$120,4,0))</f>
        <v>214.77881599999998</v>
      </c>
      <c r="AJ345" s="163">
        <f>VLOOKUP(IMSS[[#This Row],[LIM INF]],$AG$110:$AJ$120,3)</f>
        <v>321.26</v>
      </c>
      <c r="AK345" s="163">
        <f>SUM(IMSS[[#This Row],[TASA EXC]]+IMSS[[#This Row],[CUOTA FIJA]])</f>
        <v>536.038816</v>
      </c>
      <c r="AL345" s="163">
        <f>VLOOKUP(IMSS[[#This Row],[SUE MENS]],$AL$110:$AN$120,3,1)</f>
        <v>0</v>
      </c>
      <c r="AM345" s="248">
        <f>IF(IMSS[[#This Row],[ISR CARGO]]-IMSS[[#This Row],[SUBS ISR]]&gt;0,IMSS[[#This Row],[ISR CARGO]]-IMSS[[#This Row],[SUBS ISR]],0)</f>
        <v>536.038816</v>
      </c>
      <c r="AN345" s="248">
        <f>IF(IMSS[[#This Row],[SUBS ISR]]-IMSS[[#This Row],[ISR CARGO]]&gt;0,IMSS[[#This Row],[SUBS ISR]]-IMSS[[#This Row],[ISR CARGO]],0)</f>
        <v>0</v>
      </c>
    </row>
    <row r="346" spans="3:40" ht="15" hidden="1" customHeight="1" x14ac:dyDescent="0.25">
      <c r="C346" s="243">
        <v>367</v>
      </c>
      <c r="D346" s="167" t="str">
        <f>VLOOKUP(IMSS[[#This Row],[NEM]],BDD[],2,0)</f>
        <v>Brisa Celene Hernandez Loeza</v>
      </c>
      <c r="E346" s="167" t="str">
        <f>VLOOKUP(IMSS[[#This Row],[NEM]],BDD[],9,0)</f>
        <v>INST CAMPO</v>
      </c>
      <c r="F346" s="168">
        <v>30</v>
      </c>
      <c r="G346" s="139">
        <f>VLOOKUP(IMSS[[#This Row],[NEM]],BDD[],3,0)</f>
        <v>9450</v>
      </c>
      <c r="H346" s="139">
        <f ca="1">VLOOKUP(IMSS[[#This Row],[NEM]],BDD[],25,0)</f>
        <v>347.79452054794518</v>
      </c>
      <c r="I346" s="143">
        <f>VLOOKUP(IMSS[[#This Row],[DEPT]],$B$3:$G$49,6,0)</f>
        <v>4.6532499999999997E-2</v>
      </c>
      <c r="J346" s="163">
        <f ca="1">IMSS[[#This Row],[DIAS LAB]]*IMSS[[#This Row],[SDI]]*IMSS[[#This Row],[% RSG]]*$Q$108</f>
        <v>485.51245582191774</v>
      </c>
      <c r="K346" s="163">
        <f>IMSS[[#This Row],[DIAS LAB]]*$J$110*$Q$109</f>
        <v>548.47440000000006</v>
      </c>
      <c r="L346" s="166">
        <f ca="1">IMSS[[#This Row],[DIAS LAB]]*IF(IMSS[[#This Row],[SDI]]-$J$113&gt;0,IMSS[[#This Row],[SDI]]-$J$113,0)*$Q$110</f>
        <v>26.048391780821905</v>
      </c>
      <c r="M346" s="166">
        <f ca="1">IMSS[[#This Row],[DIAS LAB]]*IMSS[[#This Row],[SDI]]*$Q$111</f>
        <v>109.55527397260273</v>
      </c>
      <c r="N346" s="163">
        <f ca="1">IMSS[[#This Row],[DIAS LAB]]*IMSS[[#This Row],[SDI]]*$Q$112</f>
        <v>73.03684931506848</v>
      </c>
      <c r="O346" s="166">
        <f ca="1">IMSS[[#This Row],[DIAS LAB]]*IMSS[[#This Row],[SDI]]*$Q$113</f>
        <v>182.59212328767123</v>
      </c>
      <c r="P346" s="163">
        <f ca="1">IMSS[[#This Row],[DIAS LAB]]*IMSS[[#This Row],[SDI]]*$Q$114</f>
        <v>104.33835616438355</v>
      </c>
      <c r="Q346" s="166">
        <f ca="1">IMSS[[#This Row],[DIAS LAB]]*IMSS[[#This Row],[SDI]]*$Q$115</f>
        <v>208.67671232876711</v>
      </c>
      <c r="R346" s="163">
        <f ca="1">IMSS[[#This Row],[DIAS LAB]]*IMSS[[#This Row],[SDI]]*$Q$116</f>
        <v>328.66582191780816</v>
      </c>
      <c r="S346" s="163">
        <f ca="1">IMSS[[#This Row],[DIAS LAB]]*IMSS[[#This Row],[SDI]]*$Q$117</f>
        <v>521.69178082191775</v>
      </c>
      <c r="T346" s="164">
        <f ca="1">SUM(IMSS[[#This Row],[P RSG TRB]:[P INFONAVIT]])</f>
        <v>2588.5921654109588</v>
      </c>
      <c r="U346" s="163">
        <f ca="1">IMSS[[#This Row],[DIAS LAB]]*IMSS[[#This Row],[SDI]]*IMSS[[#This Row],[% RSG]]*$R$108</f>
        <v>0</v>
      </c>
      <c r="V346" s="163">
        <f ca="1">IMSS[[#This Row],[DIAS LAB]]*IMSS[[#This Row],[SDI]]*$R$112</f>
        <v>26.084589041095889</v>
      </c>
      <c r="W346" s="163"/>
      <c r="X346" s="163">
        <f ca="1">IMSS[[#This Row],[DIAS LAB]]*IMSS[[#This Row],[SDI]]*$R$113</f>
        <v>65.733164383561643</v>
      </c>
      <c r="Y346" s="163">
        <f ca="1">IMSS[[#This Row],[DIAS LAB]]*IMSS[[#This Row],[SDI]]*$R$114</f>
        <v>0</v>
      </c>
      <c r="Z346" s="163">
        <f ca="1">IMSS[[#This Row],[DIAS LAB]]*IMSS[[#This Row],[SDI]]*$R$115</f>
        <v>0</v>
      </c>
      <c r="AA346" s="163">
        <f ca="1">IMSS[[#This Row],[DIAS LAB]]*IMSS[[#This Row],[SDI]]*$R$116</f>
        <v>117.90234246575341</v>
      </c>
      <c r="AB346" s="163">
        <f ca="1">IMSS[[#This Row],[DIAS LAB]]*IMSS[[#This Row],[SDI]]*$R$117</f>
        <v>0</v>
      </c>
      <c r="AC346" s="247">
        <f ca="1">SUM(IMSS[[#This Row],[O RSG TRB]:[O INFONAVIT]])</f>
        <v>209.72009589041093</v>
      </c>
      <c r="AD346" s="163"/>
      <c r="AE346" s="165">
        <f ca="1">IMSS[[#This Row],[P TOTAL]]+IMSS[[#This Row],[O TOTAL]]</f>
        <v>2798.3122613013697</v>
      </c>
      <c r="AF346" s="163"/>
      <c r="AG346" s="163">
        <f>VLOOKUP(IMSS[[#This Row],[SUE MENS]],$AG$110:$AJ$120,1,1)</f>
        <v>5470.93</v>
      </c>
      <c r="AH346" s="163">
        <f>IMSS[[#This Row],[SUE MENS]]-IMSS[[#This Row],[LIM INF]]</f>
        <v>3979.0699999999997</v>
      </c>
      <c r="AI346" s="163">
        <f>IMSS[[#This Row],[EXC LIM INF]]*(VLOOKUP(IMSS[[#This Row],[LIM INF]],$AG$110:$AJ$120,4,0))</f>
        <v>432.92281600000001</v>
      </c>
      <c r="AJ346" s="163">
        <f>VLOOKUP(IMSS[[#This Row],[LIM INF]],$AG$110:$AJ$120,3)</f>
        <v>321.26</v>
      </c>
      <c r="AK346" s="163">
        <f>SUM(IMSS[[#This Row],[TASA EXC]]+IMSS[[#This Row],[CUOTA FIJA]])</f>
        <v>754.182816</v>
      </c>
      <c r="AL346" s="163">
        <f>VLOOKUP(IMSS[[#This Row],[SUE MENS]],$AL$110:$AN$120,3,1)</f>
        <v>0</v>
      </c>
      <c r="AM346" s="248">
        <f>IF(IMSS[[#This Row],[ISR CARGO]]-IMSS[[#This Row],[SUBS ISR]]&gt;0,IMSS[[#This Row],[ISR CARGO]]-IMSS[[#This Row],[SUBS ISR]],0)</f>
        <v>754.182816</v>
      </c>
      <c r="AN346" s="248">
        <f>IF(IMSS[[#This Row],[SUBS ISR]]-IMSS[[#This Row],[ISR CARGO]]&gt;0,IMSS[[#This Row],[SUBS ISR]]-IMSS[[#This Row],[ISR CARGO]],0)</f>
        <v>0</v>
      </c>
    </row>
    <row r="347" spans="3:40" ht="15" hidden="1" customHeight="1" x14ac:dyDescent="0.25">
      <c r="C347" s="243">
        <v>368</v>
      </c>
      <c r="D347" s="167" t="str">
        <f>VLOOKUP(IMSS[[#This Row],[NEM]],BDD[],2,0)</f>
        <v>Daniel Villarreal Acevedo</v>
      </c>
      <c r="E347" s="167" t="str">
        <f>VLOOKUP(IMSS[[#This Row],[NEM]],BDD[],9,0)</f>
        <v>INST CAMPO</v>
      </c>
      <c r="F347" s="168">
        <v>30</v>
      </c>
      <c r="G347" s="139">
        <f>VLOOKUP(IMSS[[#This Row],[NEM]],BDD[],3,0)</f>
        <v>8825</v>
      </c>
      <c r="H347" s="139">
        <f ca="1">VLOOKUP(IMSS[[#This Row],[NEM]],BDD[],25,0)</f>
        <v>324.79223744292239</v>
      </c>
      <c r="I347" s="143">
        <f>VLOOKUP(IMSS[[#This Row],[DEPT]],$B$3:$G$49,6,0)</f>
        <v>4.6532499999999997E-2</v>
      </c>
      <c r="J347" s="163">
        <f ca="1">IMSS[[#This Row],[DIAS LAB]]*IMSS[[#This Row],[SDI]]*IMSS[[#This Row],[% RSG]]*$Q$108</f>
        <v>453.40184366438353</v>
      </c>
      <c r="K347" s="163">
        <f>IMSS[[#This Row],[DIAS LAB]]*$J$110*$Q$109</f>
        <v>548.47440000000006</v>
      </c>
      <c r="L347" s="166">
        <f ca="1">IMSS[[#This Row],[DIAS LAB]]*IF(IMSS[[#This Row],[SDI]]-$J$113&gt;0,IMSS[[#This Row],[SDI]]-$J$113,0)*$Q$110</f>
        <v>18.457638356164384</v>
      </c>
      <c r="M347" s="166">
        <f ca="1">IMSS[[#This Row],[DIAS LAB]]*IMSS[[#This Row],[SDI]]*$Q$111</f>
        <v>102.30955479452055</v>
      </c>
      <c r="N347" s="163">
        <f ca="1">IMSS[[#This Row],[DIAS LAB]]*IMSS[[#This Row],[SDI]]*$Q$112</f>
        <v>68.206369863013691</v>
      </c>
      <c r="O347" s="166">
        <f ca="1">IMSS[[#This Row],[DIAS LAB]]*IMSS[[#This Row],[SDI]]*$Q$113</f>
        <v>170.51592465753427</v>
      </c>
      <c r="P347" s="163">
        <f ca="1">IMSS[[#This Row],[DIAS LAB]]*IMSS[[#This Row],[SDI]]*$Q$114</f>
        <v>97.43767123287671</v>
      </c>
      <c r="Q347" s="166">
        <f ca="1">IMSS[[#This Row],[DIAS LAB]]*IMSS[[#This Row],[SDI]]*$Q$115</f>
        <v>194.87534246575342</v>
      </c>
      <c r="R347" s="163">
        <f ca="1">IMSS[[#This Row],[DIAS LAB]]*IMSS[[#This Row],[SDI]]*$Q$116</f>
        <v>306.92866438356162</v>
      </c>
      <c r="S347" s="163">
        <f ca="1">IMSS[[#This Row],[DIAS LAB]]*IMSS[[#This Row],[SDI]]*$Q$117</f>
        <v>487.18835616438355</v>
      </c>
      <c r="T347" s="164">
        <f ca="1">SUM(IMSS[[#This Row],[P RSG TRB]:[P INFONAVIT]])</f>
        <v>2447.795765582192</v>
      </c>
      <c r="U347" s="163">
        <f ca="1">IMSS[[#This Row],[DIAS LAB]]*IMSS[[#This Row],[SDI]]*IMSS[[#This Row],[% RSG]]*$R$108</f>
        <v>0</v>
      </c>
      <c r="V347" s="163">
        <f ca="1">IMSS[[#This Row],[DIAS LAB]]*IMSS[[#This Row],[SDI]]*$R$112</f>
        <v>24.359417808219177</v>
      </c>
      <c r="W347" s="163"/>
      <c r="X347" s="163">
        <f ca="1">IMSS[[#This Row],[DIAS LAB]]*IMSS[[#This Row],[SDI]]*$R$113</f>
        <v>61.385732876712325</v>
      </c>
      <c r="Y347" s="163">
        <f ca="1">IMSS[[#This Row],[DIAS LAB]]*IMSS[[#This Row],[SDI]]*$R$114</f>
        <v>0</v>
      </c>
      <c r="Z347" s="163">
        <f ca="1">IMSS[[#This Row],[DIAS LAB]]*IMSS[[#This Row],[SDI]]*$R$115</f>
        <v>0</v>
      </c>
      <c r="AA347" s="163">
        <f ca="1">IMSS[[#This Row],[DIAS LAB]]*IMSS[[#This Row],[SDI]]*$R$116</f>
        <v>110.10456849315068</v>
      </c>
      <c r="AB347" s="163">
        <f ca="1">IMSS[[#This Row],[DIAS LAB]]*IMSS[[#This Row],[SDI]]*$R$117</f>
        <v>0</v>
      </c>
      <c r="AC347" s="247">
        <f ca="1">SUM(IMSS[[#This Row],[O RSG TRB]:[O INFONAVIT]])</f>
        <v>195.84971917808218</v>
      </c>
      <c r="AD347" s="163"/>
      <c r="AE347" s="165">
        <f ca="1">IMSS[[#This Row],[P TOTAL]]+IMSS[[#This Row],[O TOTAL]]</f>
        <v>2643.645484760274</v>
      </c>
      <c r="AF347" s="163"/>
      <c r="AG347" s="163">
        <f>VLOOKUP(IMSS[[#This Row],[SUE MENS]],$AG$110:$AJ$120,1,1)</f>
        <v>5470.93</v>
      </c>
      <c r="AH347" s="163">
        <f>IMSS[[#This Row],[SUE MENS]]-IMSS[[#This Row],[LIM INF]]</f>
        <v>3354.0699999999997</v>
      </c>
      <c r="AI347" s="163">
        <f>IMSS[[#This Row],[EXC LIM INF]]*(VLOOKUP(IMSS[[#This Row],[LIM INF]],$AG$110:$AJ$120,4,0))</f>
        <v>364.92281600000001</v>
      </c>
      <c r="AJ347" s="163">
        <f>VLOOKUP(IMSS[[#This Row],[LIM INF]],$AG$110:$AJ$120,3)</f>
        <v>321.26</v>
      </c>
      <c r="AK347" s="163">
        <f>SUM(IMSS[[#This Row],[TASA EXC]]+IMSS[[#This Row],[CUOTA FIJA]])</f>
        <v>686.182816</v>
      </c>
      <c r="AL347" s="163">
        <f>VLOOKUP(IMSS[[#This Row],[SUE MENS]],$AL$110:$AN$120,3,1)</f>
        <v>0</v>
      </c>
      <c r="AM347" s="248">
        <f>IF(IMSS[[#This Row],[ISR CARGO]]-IMSS[[#This Row],[SUBS ISR]]&gt;0,IMSS[[#This Row],[ISR CARGO]]-IMSS[[#This Row],[SUBS ISR]],0)</f>
        <v>686.182816</v>
      </c>
      <c r="AN347" s="248">
        <f>IF(IMSS[[#This Row],[SUBS ISR]]-IMSS[[#This Row],[ISR CARGO]]&gt;0,IMSS[[#This Row],[SUBS ISR]]-IMSS[[#This Row],[ISR CARGO]],0)</f>
        <v>0</v>
      </c>
    </row>
    <row r="348" spans="3:40" ht="15" hidden="1" customHeight="1" x14ac:dyDescent="0.25">
      <c r="C348" s="243">
        <v>369</v>
      </c>
      <c r="D348" s="167" t="str">
        <f>VLOOKUP(IMSS[[#This Row],[NEM]],BDD[],2,0)</f>
        <v>Araceli Yuridia Barrera Saldaña</v>
      </c>
      <c r="E348" s="167" t="str">
        <f>VLOOKUP(IMSS[[#This Row],[NEM]],BDD[],9,0)</f>
        <v>RENDER</v>
      </c>
      <c r="F348" s="168">
        <v>30</v>
      </c>
      <c r="G348" s="139">
        <f>VLOOKUP(IMSS[[#This Row],[NEM]],BDD[],3,0)</f>
        <v>7445</v>
      </c>
      <c r="H348" s="139">
        <f ca="1">VLOOKUP(IMSS[[#This Row],[NEM]],BDD[],25,0)</f>
        <v>274.00319634703197</v>
      </c>
      <c r="I348" s="143">
        <f>VLOOKUP(IMSS[[#This Row],[DEPT]],$B$3:$G$49,6,0)</f>
        <v>2.5984400000000001E-2</v>
      </c>
      <c r="J348" s="163">
        <f ca="1">IMSS[[#This Row],[DIAS LAB]]*IMSS[[#This Row],[SDI]]*IMSS[[#This Row],[% RSG]]*$Q$108</f>
        <v>213.59425965479454</v>
      </c>
      <c r="K348" s="163">
        <f>IMSS[[#This Row],[DIAS LAB]]*$J$110*$Q$109</f>
        <v>548.47440000000006</v>
      </c>
      <c r="L348" s="166">
        <f ca="1">IMSS[[#This Row],[DIAS LAB]]*IF(IMSS[[#This Row],[SDI]]-$J$113&gt;0,IMSS[[#This Row],[SDI]]-$J$113,0)*$Q$110</f>
        <v>1.6972547945205467</v>
      </c>
      <c r="M348" s="166">
        <f ca="1">IMSS[[#This Row],[DIAS LAB]]*IMSS[[#This Row],[SDI]]*$Q$111</f>
        <v>86.311006849315078</v>
      </c>
      <c r="N348" s="163">
        <f ca="1">IMSS[[#This Row],[DIAS LAB]]*IMSS[[#This Row],[SDI]]*$Q$112</f>
        <v>57.540671232876718</v>
      </c>
      <c r="O348" s="166">
        <f ca="1">IMSS[[#This Row],[DIAS LAB]]*IMSS[[#This Row],[SDI]]*$Q$113</f>
        <v>143.8516780821918</v>
      </c>
      <c r="P348" s="163">
        <f ca="1">IMSS[[#This Row],[DIAS LAB]]*IMSS[[#This Row],[SDI]]*$Q$114</f>
        <v>82.200958904109598</v>
      </c>
      <c r="Q348" s="166">
        <f ca="1">IMSS[[#This Row],[DIAS LAB]]*IMSS[[#This Row],[SDI]]*$Q$115</f>
        <v>164.4019178082192</v>
      </c>
      <c r="R348" s="163">
        <f ca="1">IMSS[[#This Row],[DIAS LAB]]*IMSS[[#This Row],[SDI]]*$Q$116</f>
        <v>258.9330205479452</v>
      </c>
      <c r="S348" s="163">
        <f ca="1">IMSS[[#This Row],[DIAS LAB]]*IMSS[[#This Row],[SDI]]*$Q$117</f>
        <v>411.00479452054799</v>
      </c>
      <c r="T348" s="164">
        <f ca="1">SUM(IMSS[[#This Row],[P RSG TRB]:[P INFONAVIT]])</f>
        <v>1968.0099623945207</v>
      </c>
      <c r="U348" s="163">
        <f ca="1">IMSS[[#This Row],[DIAS LAB]]*IMSS[[#This Row],[SDI]]*IMSS[[#This Row],[% RSG]]*$R$108</f>
        <v>0</v>
      </c>
      <c r="V348" s="163">
        <f ca="1">IMSS[[#This Row],[DIAS LAB]]*IMSS[[#This Row],[SDI]]*$R$112</f>
        <v>20.550239726027399</v>
      </c>
      <c r="W348" s="163"/>
      <c r="X348" s="163">
        <f ca="1">IMSS[[#This Row],[DIAS LAB]]*IMSS[[#This Row],[SDI]]*$R$113</f>
        <v>51.786604109589042</v>
      </c>
      <c r="Y348" s="163">
        <f ca="1">IMSS[[#This Row],[DIAS LAB]]*IMSS[[#This Row],[SDI]]*$R$114</f>
        <v>0</v>
      </c>
      <c r="Z348" s="163">
        <f ca="1">IMSS[[#This Row],[DIAS LAB]]*IMSS[[#This Row],[SDI]]*$R$115</f>
        <v>0</v>
      </c>
      <c r="AA348" s="163">
        <f ca="1">IMSS[[#This Row],[DIAS LAB]]*IMSS[[#This Row],[SDI]]*$R$116</f>
        <v>92.887083561643834</v>
      </c>
      <c r="AB348" s="163">
        <f ca="1">IMSS[[#This Row],[DIAS LAB]]*IMSS[[#This Row],[SDI]]*$R$117</f>
        <v>0</v>
      </c>
      <c r="AC348" s="247">
        <f ca="1">SUM(IMSS[[#This Row],[O RSG TRB]:[O INFONAVIT]])</f>
        <v>165.22392739726027</v>
      </c>
      <c r="AD348" s="163"/>
      <c r="AE348" s="165">
        <f ca="1">IMSS[[#This Row],[P TOTAL]]+IMSS[[#This Row],[O TOTAL]]</f>
        <v>2133.2338897917812</v>
      </c>
      <c r="AF348" s="163"/>
      <c r="AG348" s="163">
        <f>VLOOKUP(IMSS[[#This Row],[SUE MENS]],$AG$110:$AJ$120,1,1)</f>
        <v>5470.93</v>
      </c>
      <c r="AH348" s="163">
        <f>IMSS[[#This Row],[SUE MENS]]-IMSS[[#This Row],[LIM INF]]</f>
        <v>1974.0699999999997</v>
      </c>
      <c r="AI348" s="163">
        <f>IMSS[[#This Row],[EXC LIM INF]]*(VLOOKUP(IMSS[[#This Row],[LIM INF]],$AG$110:$AJ$120,4,0))</f>
        <v>214.77881599999998</v>
      </c>
      <c r="AJ348" s="163">
        <f>VLOOKUP(IMSS[[#This Row],[LIM INF]],$AG$110:$AJ$120,3)</f>
        <v>321.26</v>
      </c>
      <c r="AK348" s="163">
        <f>SUM(IMSS[[#This Row],[TASA EXC]]+IMSS[[#This Row],[CUOTA FIJA]])</f>
        <v>536.038816</v>
      </c>
      <c r="AL348" s="163">
        <f>VLOOKUP(IMSS[[#This Row],[SUE MENS]],$AL$110:$AN$120,3,1)</f>
        <v>0</v>
      </c>
      <c r="AM348" s="248">
        <f>IF(IMSS[[#This Row],[ISR CARGO]]-IMSS[[#This Row],[SUBS ISR]]&gt;0,IMSS[[#This Row],[ISR CARGO]]-IMSS[[#This Row],[SUBS ISR]],0)</f>
        <v>536.038816</v>
      </c>
      <c r="AN348" s="248">
        <f>IF(IMSS[[#This Row],[SUBS ISR]]-IMSS[[#This Row],[ISR CARGO]]&gt;0,IMSS[[#This Row],[SUBS ISR]]-IMSS[[#This Row],[ISR CARGO]],0)</f>
        <v>0</v>
      </c>
    </row>
    <row r="349" spans="3:40" ht="15" hidden="1" customHeight="1" x14ac:dyDescent="0.25">
      <c r="C349" s="243">
        <v>372</v>
      </c>
      <c r="D349" s="167" t="str">
        <f>VLOOKUP(IMSS[[#This Row],[NEM]],BDD[],2,0)</f>
        <v>Valeria Del Carmen Sánchez Valladares</v>
      </c>
      <c r="E349" s="167" t="str">
        <f>VLOOKUP(IMSS[[#This Row],[NEM]],BDD[],9,0)</f>
        <v>AUDIT PROY</v>
      </c>
      <c r="F349" s="168">
        <v>30</v>
      </c>
      <c r="G349" s="139">
        <f>VLOOKUP(IMSS[[#This Row],[NEM]],BDD[],3,0)</f>
        <v>7445</v>
      </c>
      <c r="H349" s="139">
        <f ca="1">VLOOKUP(IMSS[[#This Row],[NEM]],BDD[],25,0)</f>
        <v>274.00319634703197</v>
      </c>
      <c r="I349" s="143">
        <f>VLOOKUP(IMSS[[#This Row],[DEPT]],$B$3:$G$49,6,0)</f>
        <v>1.130658E-2</v>
      </c>
      <c r="J349" s="163">
        <f ca="1">IMSS[[#This Row],[DIAS LAB]]*IMSS[[#This Row],[SDI]]*IMSS[[#This Row],[% RSG]]*$Q$108</f>
        <v>92.941171792602745</v>
      </c>
      <c r="K349" s="163">
        <f>IMSS[[#This Row],[DIAS LAB]]*$J$110*$Q$109</f>
        <v>548.47440000000006</v>
      </c>
      <c r="L349" s="166">
        <f ca="1">IMSS[[#This Row],[DIAS LAB]]*IF(IMSS[[#This Row],[SDI]]-$J$113&gt;0,IMSS[[#This Row],[SDI]]-$J$113,0)*$Q$110</f>
        <v>1.6972547945205467</v>
      </c>
      <c r="M349" s="166">
        <f ca="1">IMSS[[#This Row],[DIAS LAB]]*IMSS[[#This Row],[SDI]]*$Q$111</f>
        <v>86.311006849315078</v>
      </c>
      <c r="N349" s="163">
        <f ca="1">IMSS[[#This Row],[DIAS LAB]]*IMSS[[#This Row],[SDI]]*$Q$112</f>
        <v>57.540671232876718</v>
      </c>
      <c r="O349" s="166">
        <f ca="1">IMSS[[#This Row],[DIAS LAB]]*IMSS[[#This Row],[SDI]]*$Q$113</f>
        <v>143.8516780821918</v>
      </c>
      <c r="P349" s="163">
        <f ca="1">IMSS[[#This Row],[DIAS LAB]]*IMSS[[#This Row],[SDI]]*$Q$114</f>
        <v>82.200958904109598</v>
      </c>
      <c r="Q349" s="166">
        <f ca="1">IMSS[[#This Row],[DIAS LAB]]*IMSS[[#This Row],[SDI]]*$Q$115</f>
        <v>164.4019178082192</v>
      </c>
      <c r="R349" s="163">
        <f ca="1">IMSS[[#This Row],[DIAS LAB]]*IMSS[[#This Row],[SDI]]*$Q$116</f>
        <v>258.9330205479452</v>
      </c>
      <c r="S349" s="163">
        <f ca="1">IMSS[[#This Row],[DIAS LAB]]*IMSS[[#This Row],[SDI]]*$Q$117</f>
        <v>411.00479452054799</v>
      </c>
      <c r="T349" s="164">
        <f ca="1">SUM(IMSS[[#This Row],[P RSG TRB]:[P INFONAVIT]])</f>
        <v>1847.3568745323291</v>
      </c>
      <c r="U349" s="163">
        <f ca="1">IMSS[[#This Row],[DIAS LAB]]*IMSS[[#This Row],[SDI]]*IMSS[[#This Row],[% RSG]]*$R$108</f>
        <v>0</v>
      </c>
      <c r="V349" s="163">
        <f ca="1">IMSS[[#This Row],[DIAS LAB]]*IMSS[[#This Row],[SDI]]*$R$112</f>
        <v>20.550239726027399</v>
      </c>
      <c r="W349" s="163"/>
      <c r="X349" s="163">
        <f ca="1">IMSS[[#This Row],[DIAS LAB]]*IMSS[[#This Row],[SDI]]*$R$113</f>
        <v>51.786604109589042</v>
      </c>
      <c r="Y349" s="163">
        <f ca="1">IMSS[[#This Row],[DIAS LAB]]*IMSS[[#This Row],[SDI]]*$R$114</f>
        <v>0</v>
      </c>
      <c r="Z349" s="163">
        <f ca="1">IMSS[[#This Row],[DIAS LAB]]*IMSS[[#This Row],[SDI]]*$R$115</f>
        <v>0</v>
      </c>
      <c r="AA349" s="163">
        <f ca="1">IMSS[[#This Row],[DIAS LAB]]*IMSS[[#This Row],[SDI]]*$R$116</f>
        <v>92.887083561643834</v>
      </c>
      <c r="AB349" s="163">
        <f ca="1">IMSS[[#This Row],[DIAS LAB]]*IMSS[[#This Row],[SDI]]*$R$117</f>
        <v>0</v>
      </c>
      <c r="AC349" s="247">
        <f ca="1">SUM(IMSS[[#This Row],[O RSG TRB]:[O INFONAVIT]])</f>
        <v>165.22392739726027</v>
      </c>
      <c r="AD349" s="163"/>
      <c r="AE349" s="165">
        <f ca="1">IMSS[[#This Row],[P TOTAL]]+IMSS[[#This Row],[O TOTAL]]</f>
        <v>2012.5808019295894</v>
      </c>
      <c r="AF349" s="163"/>
      <c r="AG349" s="163">
        <f>VLOOKUP(IMSS[[#This Row],[SUE MENS]],$AG$110:$AJ$120,1,1)</f>
        <v>5470.93</v>
      </c>
      <c r="AH349" s="163">
        <f>IMSS[[#This Row],[SUE MENS]]-IMSS[[#This Row],[LIM INF]]</f>
        <v>1974.0699999999997</v>
      </c>
      <c r="AI349" s="163">
        <f>IMSS[[#This Row],[EXC LIM INF]]*(VLOOKUP(IMSS[[#This Row],[LIM INF]],$AG$110:$AJ$120,4,0))</f>
        <v>214.77881599999998</v>
      </c>
      <c r="AJ349" s="163">
        <f>VLOOKUP(IMSS[[#This Row],[LIM INF]],$AG$110:$AJ$120,3)</f>
        <v>321.26</v>
      </c>
      <c r="AK349" s="163">
        <f>SUM(IMSS[[#This Row],[TASA EXC]]+IMSS[[#This Row],[CUOTA FIJA]])</f>
        <v>536.038816</v>
      </c>
      <c r="AL349" s="163">
        <f>VLOOKUP(IMSS[[#This Row],[SUE MENS]],$AL$110:$AN$120,3,1)</f>
        <v>0</v>
      </c>
      <c r="AM349" s="248">
        <f>IF(IMSS[[#This Row],[ISR CARGO]]-IMSS[[#This Row],[SUBS ISR]]&gt;0,IMSS[[#This Row],[ISR CARGO]]-IMSS[[#This Row],[SUBS ISR]],0)</f>
        <v>536.038816</v>
      </c>
      <c r="AN349" s="248">
        <f>IF(IMSS[[#This Row],[SUBS ISR]]-IMSS[[#This Row],[ISR CARGO]]&gt;0,IMSS[[#This Row],[SUBS ISR]]-IMSS[[#This Row],[ISR CARGO]],0)</f>
        <v>0</v>
      </c>
    </row>
    <row r="350" spans="3:40" ht="15" hidden="1" customHeight="1" x14ac:dyDescent="0.25">
      <c r="C350" s="243">
        <v>373</v>
      </c>
      <c r="D350" s="167" t="str">
        <f>VLOOKUP(IMSS[[#This Row],[NEM]],BDD[],2,0)</f>
        <v>Yadira Yossary González Leyva</v>
      </c>
      <c r="E350" s="167" t="str">
        <f>VLOOKUP(IMSS[[#This Row],[NEM]],BDD[],9,0)</f>
        <v>INST CAMPO</v>
      </c>
      <c r="F350" s="168">
        <v>30</v>
      </c>
      <c r="G350" s="139">
        <f>VLOOKUP(IMSS[[#This Row],[NEM]],BDD[],3,0)</f>
        <v>25800</v>
      </c>
      <c r="H350" s="139">
        <f ca="1">VLOOKUP(IMSS[[#This Row],[NEM]],BDD[],25,0)</f>
        <v>949.53424657534254</v>
      </c>
      <c r="I350" s="143">
        <f>VLOOKUP(IMSS[[#This Row],[DEPT]],$B$3:$G$49,6,0)</f>
        <v>4.6532499999999997E-2</v>
      </c>
      <c r="J350" s="163">
        <f ca="1">IMSS[[#This Row],[DIAS LAB]]*IMSS[[#This Row],[SDI]]*IMSS[[#This Row],[% RSG]]*$Q$108</f>
        <v>1325.5260698630138</v>
      </c>
      <c r="K350" s="163">
        <f>IMSS[[#This Row],[DIAS LAB]]*$J$110*$Q$109</f>
        <v>548.47440000000006</v>
      </c>
      <c r="L350" s="166">
        <f ca="1">IMSS[[#This Row],[DIAS LAB]]*IF(IMSS[[#This Row],[SDI]]-$J$113&gt;0,IMSS[[#This Row],[SDI]]-$J$113,0)*$Q$110</f>
        <v>224.62250136986302</v>
      </c>
      <c r="M350" s="166">
        <f ca="1">IMSS[[#This Row],[DIAS LAB]]*IMSS[[#This Row],[SDI]]*$Q$111</f>
        <v>299.10328767123292</v>
      </c>
      <c r="N350" s="163">
        <f ca="1">IMSS[[#This Row],[DIAS LAB]]*IMSS[[#This Row],[SDI]]*$Q$112</f>
        <v>199.40219178082194</v>
      </c>
      <c r="O350" s="166">
        <f ca="1">IMSS[[#This Row],[DIAS LAB]]*IMSS[[#This Row],[SDI]]*$Q$113</f>
        <v>498.50547945205489</v>
      </c>
      <c r="P350" s="163">
        <f ca="1">IMSS[[#This Row],[DIAS LAB]]*IMSS[[#This Row],[SDI]]*$Q$114</f>
        <v>284.86027397260278</v>
      </c>
      <c r="Q350" s="166">
        <f ca="1">IMSS[[#This Row],[DIAS LAB]]*IMSS[[#This Row],[SDI]]*$Q$115</f>
        <v>569.72054794520557</v>
      </c>
      <c r="R350" s="163">
        <f ca="1">IMSS[[#This Row],[DIAS LAB]]*IMSS[[#This Row],[SDI]]*$Q$116</f>
        <v>897.30986301369876</v>
      </c>
      <c r="S350" s="163">
        <f ca="1">IMSS[[#This Row],[DIAS LAB]]*IMSS[[#This Row],[SDI]]*$Q$117</f>
        <v>1424.3013698630139</v>
      </c>
      <c r="T350" s="164">
        <f ca="1">SUM(IMSS[[#This Row],[P RSG TRB]:[P INFONAVIT]])</f>
        <v>6271.8259849315073</v>
      </c>
      <c r="U350" s="163">
        <f ca="1">IMSS[[#This Row],[DIAS LAB]]*IMSS[[#This Row],[SDI]]*IMSS[[#This Row],[% RSG]]*$R$108</f>
        <v>0</v>
      </c>
      <c r="V350" s="163">
        <f ca="1">IMSS[[#This Row],[DIAS LAB]]*IMSS[[#This Row],[SDI]]*$R$112</f>
        <v>71.215068493150696</v>
      </c>
      <c r="W350" s="163"/>
      <c r="X350" s="163">
        <f ca="1">IMSS[[#This Row],[DIAS LAB]]*IMSS[[#This Row],[SDI]]*$R$113</f>
        <v>179.46197260273973</v>
      </c>
      <c r="Y350" s="163">
        <f ca="1">IMSS[[#This Row],[DIAS LAB]]*IMSS[[#This Row],[SDI]]*$R$114</f>
        <v>0</v>
      </c>
      <c r="Z350" s="163">
        <f ca="1">IMSS[[#This Row],[DIAS LAB]]*IMSS[[#This Row],[SDI]]*$R$115</f>
        <v>0</v>
      </c>
      <c r="AA350" s="163">
        <f ca="1">IMSS[[#This Row],[DIAS LAB]]*IMSS[[#This Row],[SDI]]*$R$116</f>
        <v>321.89210958904113</v>
      </c>
      <c r="AB350" s="163">
        <f ca="1">IMSS[[#This Row],[DIAS LAB]]*IMSS[[#This Row],[SDI]]*$R$117</f>
        <v>0</v>
      </c>
      <c r="AC350" s="247">
        <f ca="1">SUM(IMSS[[#This Row],[O RSG TRB]:[O INFONAVIT]])</f>
        <v>572.56915068493163</v>
      </c>
      <c r="AD350" s="163"/>
      <c r="AE350" s="165">
        <f ca="1">IMSS[[#This Row],[P TOTAL]]+IMSS[[#This Row],[O TOTAL]]</f>
        <v>6844.3951356164389</v>
      </c>
      <c r="AF350" s="163"/>
      <c r="AG350" s="163">
        <f>VLOOKUP(IMSS[[#This Row],[SUE MENS]],$AG$110:$AJ$120,1,1)</f>
        <v>13381.48</v>
      </c>
      <c r="AH350" s="163">
        <f>IMSS[[#This Row],[SUE MENS]]-IMSS[[#This Row],[LIM INF]]</f>
        <v>12418.52</v>
      </c>
      <c r="AI350" s="163">
        <f>IMSS[[#This Row],[EXC LIM INF]]*(VLOOKUP(IMSS[[#This Row],[LIM INF]],$AG$110:$AJ$120,4,0))</f>
        <v>2652.5958719999999</v>
      </c>
      <c r="AJ350" s="163">
        <f>VLOOKUP(IMSS[[#This Row],[LIM INF]],$AG$110:$AJ$120,3)</f>
        <v>1417.12</v>
      </c>
      <c r="AK350" s="163">
        <f>SUM(IMSS[[#This Row],[TASA EXC]]+IMSS[[#This Row],[CUOTA FIJA]])</f>
        <v>4069.7158719999998</v>
      </c>
      <c r="AL350" s="163">
        <f>VLOOKUP(IMSS[[#This Row],[SUE MENS]],$AL$110:$AN$120,3,1)</f>
        <v>0</v>
      </c>
      <c r="AM350" s="248">
        <f>IF(IMSS[[#This Row],[ISR CARGO]]-IMSS[[#This Row],[SUBS ISR]]&gt;0,IMSS[[#This Row],[ISR CARGO]]-IMSS[[#This Row],[SUBS ISR]],0)</f>
        <v>4069.7158719999998</v>
      </c>
      <c r="AN350" s="248">
        <f>IF(IMSS[[#This Row],[SUBS ISR]]-IMSS[[#This Row],[ISR CARGO]]&gt;0,IMSS[[#This Row],[SUBS ISR]]-IMSS[[#This Row],[ISR CARGO]],0)</f>
        <v>0</v>
      </c>
    </row>
    <row r="351" spans="3:40" ht="15" hidden="1" customHeight="1" x14ac:dyDescent="0.25">
      <c r="C351" s="243">
        <v>377</v>
      </c>
      <c r="D351" s="167" t="str">
        <f>VLOOKUP(IMSS[[#This Row],[NEM]],BDD[],2,0)</f>
        <v>Blas Francisco Cedomio Alvarez</v>
      </c>
      <c r="E351" s="167" t="str">
        <f>VLOOKUP(IMSS[[#This Row],[NEM]],BDD[],9,0)</f>
        <v>INST CAMPO</v>
      </c>
      <c r="F351" s="168">
        <v>30</v>
      </c>
      <c r="G351" s="139">
        <f>VLOOKUP(IMSS[[#This Row],[NEM]],BDD[],3,0)</f>
        <v>9541</v>
      </c>
      <c r="H351" s="139">
        <f ca="1">VLOOKUP(IMSS[[#This Row],[NEM]],BDD[],25,0)</f>
        <v>351.14365296803658</v>
      </c>
      <c r="I351" s="143">
        <f>VLOOKUP(IMSS[[#This Row],[DEPT]],$B$3:$G$49,6,0)</f>
        <v>4.6532499999999997E-2</v>
      </c>
      <c r="J351" s="163">
        <f ca="1">IMSS[[#This Row],[DIAS LAB]]*IMSS[[#This Row],[SDI]]*IMSS[[#This Row],[% RSG]]*$Q$108</f>
        <v>490.18776095205482</v>
      </c>
      <c r="K351" s="163">
        <f>IMSS[[#This Row],[DIAS LAB]]*$J$110*$Q$109</f>
        <v>548.47440000000006</v>
      </c>
      <c r="L351" s="166">
        <f ca="1">IMSS[[#This Row],[DIAS LAB]]*IF(IMSS[[#This Row],[SDI]]-$J$113&gt;0,IMSS[[#This Row],[SDI]]-$J$113,0)*$Q$110</f>
        <v>27.153605479452061</v>
      </c>
      <c r="M351" s="166">
        <f ca="1">IMSS[[#This Row],[DIAS LAB]]*IMSS[[#This Row],[SDI]]*$Q$111</f>
        <v>110.61025068493153</v>
      </c>
      <c r="N351" s="163">
        <f ca="1">IMSS[[#This Row],[DIAS LAB]]*IMSS[[#This Row],[SDI]]*$Q$112</f>
        <v>73.740167123287677</v>
      </c>
      <c r="O351" s="166">
        <f ca="1">IMSS[[#This Row],[DIAS LAB]]*IMSS[[#This Row],[SDI]]*$Q$113</f>
        <v>184.35041780821922</v>
      </c>
      <c r="P351" s="163">
        <f ca="1">IMSS[[#This Row],[DIAS LAB]]*IMSS[[#This Row],[SDI]]*$Q$114</f>
        <v>105.34309589041096</v>
      </c>
      <c r="Q351" s="166">
        <f ca="1">IMSS[[#This Row],[DIAS LAB]]*IMSS[[#This Row],[SDI]]*$Q$115</f>
        <v>210.68619178082193</v>
      </c>
      <c r="R351" s="163">
        <f ca="1">IMSS[[#This Row],[DIAS LAB]]*IMSS[[#This Row],[SDI]]*$Q$116</f>
        <v>331.83075205479457</v>
      </c>
      <c r="S351" s="163">
        <f ca="1">IMSS[[#This Row],[DIAS LAB]]*IMSS[[#This Row],[SDI]]*$Q$117</f>
        <v>526.71547945205486</v>
      </c>
      <c r="T351" s="164">
        <f ca="1">SUM(IMSS[[#This Row],[P RSG TRB]:[P INFONAVIT]])</f>
        <v>2609.0921212260273</v>
      </c>
      <c r="U351" s="163">
        <f ca="1">IMSS[[#This Row],[DIAS LAB]]*IMSS[[#This Row],[SDI]]*IMSS[[#This Row],[% RSG]]*$R$108</f>
        <v>0</v>
      </c>
      <c r="V351" s="163">
        <f ca="1">IMSS[[#This Row],[DIAS LAB]]*IMSS[[#This Row],[SDI]]*$R$112</f>
        <v>26.335773972602741</v>
      </c>
      <c r="W351" s="163"/>
      <c r="X351" s="163">
        <f ca="1">IMSS[[#This Row],[DIAS LAB]]*IMSS[[#This Row],[SDI]]*$R$113</f>
        <v>66.366150410958909</v>
      </c>
      <c r="Y351" s="163">
        <f ca="1">IMSS[[#This Row],[DIAS LAB]]*IMSS[[#This Row],[SDI]]*$R$114</f>
        <v>0</v>
      </c>
      <c r="Z351" s="163">
        <f ca="1">IMSS[[#This Row],[DIAS LAB]]*IMSS[[#This Row],[SDI]]*$R$115</f>
        <v>0</v>
      </c>
      <c r="AA351" s="163">
        <f ca="1">IMSS[[#This Row],[DIAS LAB]]*IMSS[[#This Row],[SDI]]*$R$116</f>
        <v>119.03769835616438</v>
      </c>
      <c r="AB351" s="163">
        <f ca="1">IMSS[[#This Row],[DIAS LAB]]*IMSS[[#This Row],[SDI]]*$R$117</f>
        <v>0</v>
      </c>
      <c r="AC351" s="247">
        <f ca="1">SUM(IMSS[[#This Row],[O RSG TRB]:[O INFONAVIT]])</f>
        <v>211.73962273972603</v>
      </c>
      <c r="AD351" s="163"/>
      <c r="AE351" s="165">
        <f ca="1">IMSS[[#This Row],[P TOTAL]]+IMSS[[#This Row],[O TOTAL]]</f>
        <v>2820.8317439657535</v>
      </c>
      <c r="AF351" s="163"/>
      <c r="AG351" s="163">
        <f>VLOOKUP(IMSS[[#This Row],[SUE MENS]],$AG$110:$AJ$120,1,1)</f>
        <v>5470.93</v>
      </c>
      <c r="AH351" s="163">
        <f>IMSS[[#This Row],[SUE MENS]]-IMSS[[#This Row],[LIM INF]]</f>
        <v>4070.0699999999997</v>
      </c>
      <c r="AI351" s="163">
        <f>IMSS[[#This Row],[EXC LIM INF]]*(VLOOKUP(IMSS[[#This Row],[LIM INF]],$AG$110:$AJ$120,4,0))</f>
        <v>442.82361600000002</v>
      </c>
      <c r="AJ351" s="163">
        <f>VLOOKUP(IMSS[[#This Row],[LIM INF]],$AG$110:$AJ$120,3)</f>
        <v>321.26</v>
      </c>
      <c r="AK351" s="163">
        <f>SUM(IMSS[[#This Row],[TASA EXC]]+IMSS[[#This Row],[CUOTA FIJA]])</f>
        <v>764.08361600000001</v>
      </c>
      <c r="AL351" s="163">
        <f>VLOOKUP(IMSS[[#This Row],[SUE MENS]],$AL$110:$AN$120,3,1)</f>
        <v>0</v>
      </c>
      <c r="AM351" s="248">
        <f>IF(IMSS[[#This Row],[ISR CARGO]]-IMSS[[#This Row],[SUBS ISR]]&gt;0,IMSS[[#This Row],[ISR CARGO]]-IMSS[[#This Row],[SUBS ISR]],0)</f>
        <v>764.08361600000001</v>
      </c>
      <c r="AN351" s="248">
        <f>IF(IMSS[[#This Row],[SUBS ISR]]-IMSS[[#This Row],[ISR CARGO]]&gt;0,IMSS[[#This Row],[SUBS ISR]]-IMSS[[#This Row],[ISR CARGO]],0)</f>
        <v>0</v>
      </c>
    </row>
    <row r="352" spans="3:40" ht="15" hidden="1" customHeight="1" x14ac:dyDescent="0.25">
      <c r="C352" s="243">
        <v>378</v>
      </c>
      <c r="D352" s="167" t="str">
        <f>VLOOKUP(IMSS[[#This Row],[NEM]],BDD[],2,0)</f>
        <v>Angélica Sarahi Escamilla Puente</v>
      </c>
      <c r="E352" s="167" t="str">
        <f>VLOOKUP(IMSS[[#This Row],[NEM]],BDD[],9,0)</f>
        <v>CONTA</v>
      </c>
      <c r="F352" s="168">
        <v>30</v>
      </c>
      <c r="G352" s="139">
        <f>VLOOKUP(IMSS[[#This Row],[NEM]],BDD[],3,0)</f>
        <v>3900</v>
      </c>
      <c r="H352" s="139">
        <f ca="1">VLOOKUP(IMSS[[#This Row],[NEM]],BDD[],25,0)</f>
        <v>136.76712328767121</v>
      </c>
      <c r="I352" s="143">
        <f>VLOOKUP(IMSS[[#This Row],[DEPT]],$B$3:$G$49,6,0)</f>
        <v>5.4355000000000002E-3</v>
      </c>
      <c r="J352" s="163">
        <f ca="1">IMSS[[#This Row],[DIAS LAB]]*IMSS[[#This Row],[SDI]]*IMSS[[#This Row],[% RSG]]*$Q$108</f>
        <v>22.301930958904109</v>
      </c>
      <c r="K352" s="163">
        <f>IMSS[[#This Row],[DIAS LAB]]*$J$110*$Q$109</f>
        <v>548.47440000000006</v>
      </c>
      <c r="L352" s="166">
        <f ca="1">IMSS[[#This Row],[DIAS LAB]]*IF(IMSS[[#This Row],[SDI]]-$J$113&gt;0,IMSS[[#This Row],[SDI]]-$J$113,0)*$Q$110</f>
        <v>0</v>
      </c>
      <c r="M352" s="166">
        <f ca="1">IMSS[[#This Row],[DIAS LAB]]*IMSS[[#This Row],[SDI]]*$Q$111</f>
        <v>43.08164383561644</v>
      </c>
      <c r="N352" s="163">
        <f ca="1">IMSS[[#This Row],[DIAS LAB]]*IMSS[[#This Row],[SDI]]*$Q$112</f>
        <v>28.721095890410957</v>
      </c>
      <c r="O352" s="166">
        <f ca="1">IMSS[[#This Row],[DIAS LAB]]*IMSS[[#This Row],[SDI]]*$Q$113</f>
        <v>71.802739726027397</v>
      </c>
      <c r="P352" s="163">
        <f ca="1">IMSS[[#This Row],[DIAS LAB]]*IMSS[[#This Row],[SDI]]*$Q$114</f>
        <v>41.030136986301372</v>
      </c>
      <c r="Q352" s="166">
        <f ca="1">IMSS[[#This Row],[DIAS LAB]]*IMSS[[#This Row],[SDI]]*$Q$115</f>
        <v>82.060273972602744</v>
      </c>
      <c r="R352" s="163">
        <f ca="1">IMSS[[#This Row],[DIAS LAB]]*IMSS[[#This Row],[SDI]]*$Q$116</f>
        <v>129.2449315068493</v>
      </c>
      <c r="S352" s="163">
        <f ca="1">IMSS[[#This Row],[DIAS LAB]]*IMSS[[#This Row],[SDI]]*$Q$117</f>
        <v>205.15068493150685</v>
      </c>
      <c r="T352" s="164">
        <f ca="1">SUM(IMSS[[#This Row],[P RSG TRB]:[P INFONAVIT]])</f>
        <v>1171.8678378082193</v>
      </c>
      <c r="U352" s="163">
        <f ca="1">IMSS[[#This Row],[DIAS LAB]]*IMSS[[#This Row],[SDI]]*IMSS[[#This Row],[% RSG]]*$R$108</f>
        <v>0</v>
      </c>
      <c r="V352" s="163">
        <f ca="1">IMSS[[#This Row],[DIAS LAB]]*IMSS[[#This Row],[SDI]]*$R$112</f>
        <v>10.257534246575343</v>
      </c>
      <c r="W352" s="163"/>
      <c r="X352" s="163">
        <f ca="1">IMSS[[#This Row],[DIAS LAB]]*IMSS[[#This Row],[SDI]]*$R$113</f>
        <v>25.848986301369862</v>
      </c>
      <c r="Y352" s="163">
        <f ca="1">IMSS[[#This Row],[DIAS LAB]]*IMSS[[#This Row],[SDI]]*$R$114</f>
        <v>0</v>
      </c>
      <c r="Z352" s="163">
        <f ca="1">IMSS[[#This Row],[DIAS LAB]]*IMSS[[#This Row],[SDI]]*$R$115</f>
        <v>0</v>
      </c>
      <c r="AA352" s="163">
        <f ca="1">IMSS[[#This Row],[DIAS LAB]]*IMSS[[#This Row],[SDI]]*$R$116</f>
        <v>46.364054794520541</v>
      </c>
      <c r="AB352" s="163">
        <f ca="1">IMSS[[#This Row],[DIAS LAB]]*IMSS[[#This Row],[SDI]]*$R$117</f>
        <v>0</v>
      </c>
      <c r="AC352" s="247">
        <f ca="1">SUM(IMSS[[#This Row],[O RSG TRB]:[O INFONAVIT]])</f>
        <v>82.47057534246575</v>
      </c>
      <c r="AD352" s="163"/>
      <c r="AE352" s="165">
        <f ca="1">IMSS[[#This Row],[P TOTAL]]+IMSS[[#This Row],[O TOTAL]]</f>
        <v>1254.338413150685</v>
      </c>
      <c r="AF352" s="163"/>
      <c r="AG352" s="163">
        <f>VLOOKUP(IMSS[[#This Row],[SUE MENS]],$AG$110:$AJ$120,1,1)</f>
        <v>644.59</v>
      </c>
      <c r="AH352" s="163">
        <f>IMSS[[#This Row],[SUE MENS]]-IMSS[[#This Row],[LIM INF]]</f>
        <v>3255.41</v>
      </c>
      <c r="AI352" s="163">
        <f>IMSS[[#This Row],[EXC LIM INF]]*(VLOOKUP(IMSS[[#This Row],[LIM INF]],$AG$110:$AJ$120,4,0))</f>
        <v>208.34623999999999</v>
      </c>
      <c r="AJ352" s="163">
        <f>VLOOKUP(IMSS[[#This Row],[LIM INF]],$AG$110:$AJ$120,3)</f>
        <v>12.38</v>
      </c>
      <c r="AK352" s="163">
        <f>SUM(IMSS[[#This Row],[TASA EXC]]+IMSS[[#This Row],[CUOTA FIJA]])</f>
        <v>220.72623999999999</v>
      </c>
      <c r="AL352" s="163">
        <f>VLOOKUP(IMSS[[#This Row],[SUE MENS]],$AL$110:$AN$120,3,1)</f>
        <v>382.46</v>
      </c>
      <c r="AM352" s="248">
        <f>IF(IMSS[[#This Row],[ISR CARGO]]-IMSS[[#This Row],[SUBS ISR]]&gt;0,IMSS[[#This Row],[ISR CARGO]]-IMSS[[#This Row],[SUBS ISR]],0)</f>
        <v>0</v>
      </c>
      <c r="AN352" s="248">
        <f>IF(IMSS[[#This Row],[SUBS ISR]]-IMSS[[#This Row],[ISR CARGO]]&gt;0,IMSS[[#This Row],[SUBS ISR]]-IMSS[[#This Row],[ISR CARGO]],0)</f>
        <v>161.73375999999999</v>
      </c>
    </row>
    <row r="353" spans="3:40" ht="15" hidden="1" customHeight="1" x14ac:dyDescent="0.25">
      <c r="C353" s="243">
        <v>382</v>
      </c>
      <c r="D353" s="167" t="str">
        <f>VLOOKUP(IMSS[[#This Row],[NEM]],BDD[],2,0)</f>
        <v>Cecilia Jacqueline Loredo Gaytan</v>
      </c>
      <c r="E353" s="167" t="str">
        <f>VLOOKUP(IMSS[[#This Row],[NEM]],BDD[],9,0)</f>
        <v>EXTERNOS</v>
      </c>
      <c r="F353" s="168">
        <v>30</v>
      </c>
      <c r="G353" s="139">
        <f>VLOOKUP(IMSS[[#This Row],[NEM]],BDD[],3,0)</f>
        <v>9450</v>
      </c>
      <c r="H353" s="139">
        <f ca="1">VLOOKUP(IMSS[[#This Row],[NEM]],BDD[],25,0)</f>
        <v>347.79452054794518</v>
      </c>
      <c r="I353" s="143">
        <f>VLOOKUP(IMSS[[#This Row],[DEPT]],$B$3:$G$49,6,0)</f>
        <v>5.4355000000000002E-3</v>
      </c>
      <c r="J353" s="163">
        <f ca="1">IMSS[[#This Row],[DIAS LAB]]*IMSS[[#This Row],[SDI]]*IMSS[[#This Row],[% RSG]]*$Q$108</f>
        <v>56.713113493150679</v>
      </c>
      <c r="K353" s="163">
        <f>IMSS[[#This Row],[DIAS LAB]]*$J$110*$Q$109</f>
        <v>548.47440000000006</v>
      </c>
      <c r="L353" s="166">
        <f ca="1">IMSS[[#This Row],[DIAS LAB]]*IF(IMSS[[#This Row],[SDI]]-$J$113&gt;0,IMSS[[#This Row],[SDI]]-$J$113,0)*$Q$110</f>
        <v>26.048391780821905</v>
      </c>
      <c r="M353" s="166">
        <f ca="1">IMSS[[#This Row],[DIAS LAB]]*IMSS[[#This Row],[SDI]]*$Q$111</f>
        <v>109.55527397260273</v>
      </c>
      <c r="N353" s="163">
        <f ca="1">IMSS[[#This Row],[DIAS LAB]]*IMSS[[#This Row],[SDI]]*$Q$112</f>
        <v>73.03684931506848</v>
      </c>
      <c r="O353" s="166">
        <f ca="1">IMSS[[#This Row],[DIAS LAB]]*IMSS[[#This Row],[SDI]]*$Q$113</f>
        <v>182.59212328767123</v>
      </c>
      <c r="P353" s="163">
        <f ca="1">IMSS[[#This Row],[DIAS LAB]]*IMSS[[#This Row],[SDI]]*$Q$114</f>
        <v>104.33835616438355</v>
      </c>
      <c r="Q353" s="166">
        <f ca="1">IMSS[[#This Row],[DIAS LAB]]*IMSS[[#This Row],[SDI]]*$Q$115</f>
        <v>208.67671232876711</v>
      </c>
      <c r="R353" s="163">
        <f ca="1">IMSS[[#This Row],[DIAS LAB]]*IMSS[[#This Row],[SDI]]*$Q$116</f>
        <v>328.66582191780816</v>
      </c>
      <c r="S353" s="163">
        <f ca="1">IMSS[[#This Row],[DIAS LAB]]*IMSS[[#This Row],[SDI]]*$Q$117</f>
        <v>521.69178082191775</v>
      </c>
      <c r="T353" s="164">
        <f ca="1">SUM(IMSS[[#This Row],[P RSG TRB]:[P INFONAVIT]])</f>
        <v>2159.7928230821917</v>
      </c>
      <c r="U353" s="163">
        <f ca="1">IMSS[[#This Row],[DIAS LAB]]*IMSS[[#This Row],[SDI]]*IMSS[[#This Row],[% RSG]]*$R$108</f>
        <v>0</v>
      </c>
      <c r="V353" s="163">
        <f ca="1">IMSS[[#This Row],[DIAS LAB]]*IMSS[[#This Row],[SDI]]*$R$112</f>
        <v>26.084589041095889</v>
      </c>
      <c r="W353" s="163"/>
      <c r="X353" s="163">
        <f ca="1">IMSS[[#This Row],[DIAS LAB]]*IMSS[[#This Row],[SDI]]*$R$113</f>
        <v>65.733164383561643</v>
      </c>
      <c r="Y353" s="163">
        <f ca="1">IMSS[[#This Row],[DIAS LAB]]*IMSS[[#This Row],[SDI]]*$R$114</f>
        <v>0</v>
      </c>
      <c r="Z353" s="163">
        <f ca="1">IMSS[[#This Row],[DIAS LAB]]*IMSS[[#This Row],[SDI]]*$R$115</f>
        <v>0</v>
      </c>
      <c r="AA353" s="163">
        <f ca="1">IMSS[[#This Row],[DIAS LAB]]*IMSS[[#This Row],[SDI]]*$R$116</f>
        <v>117.90234246575341</v>
      </c>
      <c r="AB353" s="163">
        <f ca="1">IMSS[[#This Row],[DIAS LAB]]*IMSS[[#This Row],[SDI]]*$R$117</f>
        <v>0</v>
      </c>
      <c r="AC353" s="247">
        <f ca="1">SUM(IMSS[[#This Row],[O RSG TRB]:[O INFONAVIT]])</f>
        <v>209.72009589041093</v>
      </c>
      <c r="AD353" s="163"/>
      <c r="AE353" s="165">
        <f ca="1">IMSS[[#This Row],[P TOTAL]]+IMSS[[#This Row],[O TOTAL]]</f>
        <v>2369.5129189726026</v>
      </c>
      <c r="AF353" s="163"/>
      <c r="AG353" s="163">
        <f>VLOOKUP(IMSS[[#This Row],[SUE MENS]],$AG$110:$AJ$120,1,1)</f>
        <v>5470.93</v>
      </c>
      <c r="AH353" s="163">
        <f>IMSS[[#This Row],[SUE MENS]]-IMSS[[#This Row],[LIM INF]]</f>
        <v>3979.0699999999997</v>
      </c>
      <c r="AI353" s="163">
        <f>IMSS[[#This Row],[EXC LIM INF]]*(VLOOKUP(IMSS[[#This Row],[LIM INF]],$AG$110:$AJ$120,4,0))</f>
        <v>432.92281600000001</v>
      </c>
      <c r="AJ353" s="163">
        <f>VLOOKUP(IMSS[[#This Row],[LIM INF]],$AG$110:$AJ$120,3)</f>
        <v>321.26</v>
      </c>
      <c r="AK353" s="163">
        <f>SUM(IMSS[[#This Row],[TASA EXC]]+IMSS[[#This Row],[CUOTA FIJA]])</f>
        <v>754.182816</v>
      </c>
      <c r="AL353" s="163">
        <f>VLOOKUP(IMSS[[#This Row],[SUE MENS]],$AL$110:$AN$120,3,1)</f>
        <v>0</v>
      </c>
      <c r="AM353" s="248">
        <f>IF(IMSS[[#This Row],[ISR CARGO]]-IMSS[[#This Row],[SUBS ISR]]&gt;0,IMSS[[#This Row],[ISR CARGO]]-IMSS[[#This Row],[SUBS ISR]],0)</f>
        <v>754.182816</v>
      </c>
      <c r="AN353" s="248">
        <f>IF(IMSS[[#This Row],[SUBS ISR]]-IMSS[[#This Row],[ISR CARGO]]&gt;0,IMSS[[#This Row],[SUBS ISR]]-IMSS[[#This Row],[ISR CARGO]],0)</f>
        <v>0</v>
      </c>
    </row>
    <row r="354" spans="3:40" ht="15" hidden="1" customHeight="1" x14ac:dyDescent="0.25">
      <c r="C354" s="243">
        <v>383</v>
      </c>
      <c r="D354" s="167" t="str">
        <f>VLOOKUP(IMSS[[#This Row],[NEM]],BDD[],2,0)</f>
        <v>Mario Alberto Arcos Santiago</v>
      </c>
      <c r="E354" s="167" t="str">
        <f>VLOOKUP(IMSS[[#This Row],[NEM]],BDD[],9,0)</f>
        <v>COMPRAS</v>
      </c>
      <c r="F354" s="168">
        <v>30</v>
      </c>
      <c r="G354" s="139">
        <f>VLOOKUP(IMSS[[#This Row],[NEM]],BDD[],3,0)</f>
        <v>9450</v>
      </c>
      <c r="H354" s="139">
        <f ca="1">VLOOKUP(IMSS[[#This Row],[NEM]],BDD[],25,0)</f>
        <v>347.79452054794518</v>
      </c>
      <c r="I354" s="143">
        <f>VLOOKUP(IMSS[[#This Row],[DEPT]],$B$3:$G$49,6,0)</f>
        <v>5.4355000000000002E-3</v>
      </c>
      <c r="J354" s="163">
        <f ca="1">IMSS[[#This Row],[DIAS LAB]]*IMSS[[#This Row],[SDI]]*IMSS[[#This Row],[% RSG]]*$Q$108</f>
        <v>56.713113493150679</v>
      </c>
      <c r="K354" s="163">
        <f>IMSS[[#This Row],[DIAS LAB]]*$J$110*$Q$109</f>
        <v>548.47440000000006</v>
      </c>
      <c r="L354" s="166">
        <f ca="1">IMSS[[#This Row],[DIAS LAB]]*IF(IMSS[[#This Row],[SDI]]-$J$113&gt;0,IMSS[[#This Row],[SDI]]-$J$113,0)*$Q$110</f>
        <v>26.048391780821905</v>
      </c>
      <c r="M354" s="166">
        <f ca="1">IMSS[[#This Row],[DIAS LAB]]*IMSS[[#This Row],[SDI]]*$Q$111</f>
        <v>109.55527397260273</v>
      </c>
      <c r="N354" s="163">
        <f ca="1">IMSS[[#This Row],[DIAS LAB]]*IMSS[[#This Row],[SDI]]*$Q$112</f>
        <v>73.03684931506848</v>
      </c>
      <c r="O354" s="166">
        <f ca="1">IMSS[[#This Row],[DIAS LAB]]*IMSS[[#This Row],[SDI]]*$Q$113</f>
        <v>182.59212328767123</v>
      </c>
      <c r="P354" s="163">
        <f ca="1">IMSS[[#This Row],[DIAS LAB]]*IMSS[[#This Row],[SDI]]*$Q$114</f>
        <v>104.33835616438355</v>
      </c>
      <c r="Q354" s="166">
        <f ca="1">IMSS[[#This Row],[DIAS LAB]]*IMSS[[#This Row],[SDI]]*$Q$115</f>
        <v>208.67671232876711</v>
      </c>
      <c r="R354" s="163">
        <f ca="1">IMSS[[#This Row],[DIAS LAB]]*IMSS[[#This Row],[SDI]]*$Q$116</f>
        <v>328.66582191780816</v>
      </c>
      <c r="S354" s="163">
        <f ca="1">IMSS[[#This Row],[DIAS LAB]]*IMSS[[#This Row],[SDI]]*$Q$117</f>
        <v>521.69178082191775</v>
      </c>
      <c r="T354" s="164">
        <f ca="1">SUM(IMSS[[#This Row],[P RSG TRB]:[P INFONAVIT]])</f>
        <v>2159.7928230821917</v>
      </c>
      <c r="U354" s="163">
        <f ca="1">IMSS[[#This Row],[DIAS LAB]]*IMSS[[#This Row],[SDI]]*IMSS[[#This Row],[% RSG]]*$R$108</f>
        <v>0</v>
      </c>
      <c r="V354" s="163">
        <f ca="1">IMSS[[#This Row],[DIAS LAB]]*IMSS[[#This Row],[SDI]]*$R$112</f>
        <v>26.084589041095889</v>
      </c>
      <c r="W354" s="163"/>
      <c r="X354" s="163">
        <f ca="1">IMSS[[#This Row],[DIAS LAB]]*IMSS[[#This Row],[SDI]]*$R$113</f>
        <v>65.733164383561643</v>
      </c>
      <c r="Y354" s="163">
        <f ca="1">IMSS[[#This Row],[DIAS LAB]]*IMSS[[#This Row],[SDI]]*$R$114</f>
        <v>0</v>
      </c>
      <c r="Z354" s="163">
        <f ca="1">IMSS[[#This Row],[DIAS LAB]]*IMSS[[#This Row],[SDI]]*$R$115</f>
        <v>0</v>
      </c>
      <c r="AA354" s="163">
        <f ca="1">IMSS[[#This Row],[DIAS LAB]]*IMSS[[#This Row],[SDI]]*$R$116</f>
        <v>117.90234246575341</v>
      </c>
      <c r="AB354" s="163">
        <f ca="1">IMSS[[#This Row],[DIAS LAB]]*IMSS[[#This Row],[SDI]]*$R$117</f>
        <v>0</v>
      </c>
      <c r="AC354" s="247">
        <f ca="1">SUM(IMSS[[#This Row],[O RSG TRB]:[O INFONAVIT]])</f>
        <v>209.72009589041093</v>
      </c>
      <c r="AD354" s="163"/>
      <c r="AE354" s="165">
        <f ca="1">IMSS[[#This Row],[P TOTAL]]+IMSS[[#This Row],[O TOTAL]]</f>
        <v>2369.5129189726026</v>
      </c>
      <c r="AF354" s="163"/>
      <c r="AG354" s="163">
        <f>VLOOKUP(IMSS[[#This Row],[SUE MENS]],$AG$110:$AJ$120,1,1)</f>
        <v>5470.93</v>
      </c>
      <c r="AH354" s="163">
        <f>IMSS[[#This Row],[SUE MENS]]-IMSS[[#This Row],[LIM INF]]</f>
        <v>3979.0699999999997</v>
      </c>
      <c r="AI354" s="163">
        <f>IMSS[[#This Row],[EXC LIM INF]]*(VLOOKUP(IMSS[[#This Row],[LIM INF]],$AG$110:$AJ$120,4,0))</f>
        <v>432.92281600000001</v>
      </c>
      <c r="AJ354" s="163">
        <f>VLOOKUP(IMSS[[#This Row],[LIM INF]],$AG$110:$AJ$120,3)</f>
        <v>321.26</v>
      </c>
      <c r="AK354" s="163">
        <f>SUM(IMSS[[#This Row],[TASA EXC]]+IMSS[[#This Row],[CUOTA FIJA]])</f>
        <v>754.182816</v>
      </c>
      <c r="AL354" s="163">
        <f>VLOOKUP(IMSS[[#This Row],[SUE MENS]],$AL$110:$AN$120,3,1)</f>
        <v>0</v>
      </c>
      <c r="AM354" s="248">
        <f>IF(IMSS[[#This Row],[ISR CARGO]]-IMSS[[#This Row],[SUBS ISR]]&gt;0,IMSS[[#This Row],[ISR CARGO]]-IMSS[[#This Row],[SUBS ISR]],0)</f>
        <v>754.182816</v>
      </c>
      <c r="AN354" s="248">
        <f>IF(IMSS[[#This Row],[SUBS ISR]]-IMSS[[#This Row],[ISR CARGO]]&gt;0,IMSS[[#This Row],[SUBS ISR]]-IMSS[[#This Row],[ISR CARGO]],0)</f>
        <v>0</v>
      </c>
    </row>
    <row r="355" spans="3:40" ht="15" hidden="1" customHeight="1" x14ac:dyDescent="0.25">
      <c r="C355" s="243">
        <v>384</v>
      </c>
      <c r="D355" s="167" t="str">
        <f>VLOOKUP(IMSS[[#This Row],[NEM]],BDD[],2,0)</f>
        <v>Noemi Villalobos Santana</v>
      </c>
      <c r="E355" s="167" t="str">
        <f>VLOOKUP(IMSS[[#This Row],[NEM]],BDD[],9,0)</f>
        <v>AUDIT ADMN</v>
      </c>
      <c r="F355" s="168">
        <v>30</v>
      </c>
      <c r="G355" s="139">
        <f>VLOOKUP(IMSS[[#This Row],[NEM]],BDD[],3,0)</f>
        <v>8825</v>
      </c>
      <c r="H355" s="139">
        <f ca="1">VLOOKUP(IMSS[[#This Row],[NEM]],BDD[],25,0)</f>
        <v>324.79223744292239</v>
      </c>
      <c r="I355" s="143">
        <f>VLOOKUP(IMSS[[#This Row],[DEPT]],$B$3:$G$49,6,0)</f>
        <v>5.4355000000000002E-3</v>
      </c>
      <c r="J355" s="163">
        <f ca="1">IMSS[[#This Row],[DIAS LAB]]*IMSS[[#This Row],[SDI]]*IMSS[[#This Row],[% RSG]]*$Q$108</f>
        <v>52.96224619863014</v>
      </c>
      <c r="K355" s="163">
        <f>IMSS[[#This Row],[DIAS LAB]]*$J$110*$Q$109</f>
        <v>548.47440000000006</v>
      </c>
      <c r="L355" s="166">
        <f ca="1">IMSS[[#This Row],[DIAS LAB]]*IF(IMSS[[#This Row],[SDI]]-$J$113&gt;0,IMSS[[#This Row],[SDI]]-$J$113,0)*$Q$110</f>
        <v>18.457638356164384</v>
      </c>
      <c r="M355" s="166">
        <f ca="1">IMSS[[#This Row],[DIAS LAB]]*IMSS[[#This Row],[SDI]]*$Q$111</f>
        <v>102.30955479452055</v>
      </c>
      <c r="N355" s="163">
        <f ca="1">IMSS[[#This Row],[DIAS LAB]]*IMSS[[#This Row],[SDI]]*$Q$112</f>
        <v>68.206369863013691</v>
      </c>
      <c r="O355" s="166">
        <f ca="1">IMSS[[#This Row],[DIAS LAB]]*IMSS[[#This Row],[SDI]]*$Q$113</f>
        <v>170.51592465753427</v>
      </c>
      <c r="P355" s="163">
        <f ca="1">IMSS[[#This Row],[DIAS LAB]]*IMSS[[#This Row],[SDI]]*$Q$114</f>
        <v>97.43767123287671</v>
      </c>
      <c r="Q355" s="166">
        <f ca="1">IMSS[[#This Row],[DIAS LAB]]*IMSS[[#This Row],[SDI]]*$Q$115</f>
        <v>194.87534246575342</v>
      </c>
      <c r="R355" s="163">
        <f ca="1">IMSS[[#This Row],[DIAS LAB]]*IMSS[[#This Row],[SDI]]*$Q$116</f>
        <v>306.92866438356162</v>
      </c>
      <c r="S355" s="163">
        <f ca="1">IMSS[[#This Row],[DIAS LAB]]*IMSS[[#This Row],[SDI]]*$Q$117</f>
        <v>487.18835616438355</v>
      </c>
      <c r="T355" s="164">
        <f ca="1">SUM(IMSS[[#This Row],[P RSG TRB]:[P INFONAVIT]])</f>
        <v>2047.3561681164383</v>
      </c>
      <c r="U355" s="163">
        <f ca="1">IMSS[[#This Row],[DIAS LAB]]*IMSS[[#This Row],[SDI]]*IMSS[[#This Row],[% RSG]]*$R$108</f>
        <v>0</v>
      </c>
      <c r="V355" s="163">
        <f ca="1">IMSS[[#This Row],[DIAS LAB]]*IMSS[[#This Row],[SDI]]*$R$112</f>
        <v>24.359417808219177</v>
      </c>
      <c r="W355" s="163"/>
      <c r="X355" s="163">
        <f ca="1">IMSS[[#This Row],[DIAS LAB]]*IMSS[[#This Row],[SDI]]*$R$113</f>
        <v>61.385732876712325</v>
      </c>
      <c r="Y355" s="163">
        <f ca="1">IMSS[[#This Row],[DIAS LAB]]*IMSS[[#This Row],[SDI]]*$R$114</f>
        <v>0</v>
      </c>
      <c r="Z355" s="163">
        <f ca="1">IMSS[[#This Row],[DIAS LAB]]*IMSS[[#This Row],[SDI]]*$R$115</f>
        <v>0</v>
      </c>
      <c r="AA355" s="163">
        <f ca="1">IMSS[[#This Row],[DIAS LAB]]*IMSS[[#This Row],[SDI]]*$R$116</f>
        <v>110.10456849315068</v>
      </c>
      <c r="AB355" s="163">
        <f ca="1">IMSS[[#This Row],[DIAS LAB]]*IMSS[[#This Row],[SDI]]*$R$117</f>
        <v>0</v>
      </c>
      <c r="AC355" s="247">
        <f ca="1">SUM(IMSS[[#This Row],[O RSG TRB]:[O INFONAVIT]])</f>
        <v>195.84971917808218</v>
      </c>
      <c r="AD355" s="163"/>
      <c r="AE355" s="165">
        <f ca="1">IMSS[[#This Row],[P TOTAL]]+IMSS[[#This Row],[O TOTAL]]</f>
        <v>2243.2058872945204</v>
      </c>
      <c r="AF355" s="163"/>
      <c r="AG355" s="163">
        <f>VLOOKUP(IMSS[[#This Row],[SUE MENS]],$AG$110:$AJ$120,1,1)</f>
        <v>5470.93</v>
      </c>
      <c r="AH355" s="163">
        <f>IMSS[[#This Row],[SUE MENS]]-IMSS[[#This Row],[LIM INF]]</f>
        <v>3354.0699999999997</v>
      </c>
      <c r="AI355" s="163">
        <f>IMSS[[#This Row],[EXC LIM INF]]*(VLOOKUP(IMSS[[#This Row],[LIM INF]],$AG$110:$AJ$120,4,0))</f>
        <v>364.92281600000001</v>
      </c>
      <c r="AJ355" s="163">
        <f>VLOOKUP(IMSS[[#This Row],[LIM INF]],$AG$110:$AJ$120,3)</f>
        <v>321.26</v>
      </c>
      <c r="AK355" s="163">
        <f>SUM(IMSS[[#This Row],[TASA EXC]]+IMSS[[#This Row],[CUOTA FIJA]])</f>
        <v>686.182816</v>
      </c>
      <c r="AL355" s="163">
        <f>VLOOKUP(IMSS[[#This Row],[SUE MENS]],$AL$110:$AN$120,3,1)</f>
        <v>0</v>
      </c>
      <c r="AM355" s="248">
        <f>IF(IMSS[[#This Row],[ISR CARGO]]-IMSS[[#This Row],[SUBS ISR]]&gt;0,IMSS[[#This Row],[ISR CARGO]]-IMSS[[#This Row],[SUBS ISR]],0)</f>
        <v>686.182816</v>
      </c>
      <c r="AN355" s="248">
        <f>IF(IMSS[[#This Row],[SUBS ISR]]-IMSS[[#This Row],[ISR CARGO]]&gt;0,IMSS[[#This Row],[SUBS ISR]]-IMSS[[#This Row],[ISR CARGO]],0)</f>
        <v>0</v>
      </c>
    </row>
    <row r="356" spans="3:40" ht="15" hidden="1" customHeight="1" x14ac:dyDescent="0.25">
      <c r="C356" s="243">
        <v>385</v>
      </c>
      <c r="D356" s="167" t="str">
        <f>VLOOKUP(IMSS[[#This Row],[NEM]],BDD[],2,0)</f>
        <v>Joana Lizeth Pérez Albardín</v>
      </c>
      <c r="E356" s="167" t="str">
        <f>VLOOKUP(IMSS[[#This Row],[NEM]],BDD[],9,0)</f>
        <v>AUDIT PROY</v>
      </c>
      <c r="F356" s="168">
        <v>30</v>
      </c>
      <c r="G356" s="139">
        <f>VLOOKUP(IMSS[[#This Row],[NEM]],BDD[],3,0)</f>
        <v>7445</v>
      </c>
      <c r="H356" s="139">
        <f ca="1">VLOOKUP(IMSS[[#This Row],[NEM]],BDD[],25,0)</f>
        <v>274.00319634703197</v>
      </c>
      <c r="I356" s="143">
        <f>VLOOKUP(IMSS[[#This Row],[DEPT]],$B$3:$G$49,6,0)</f>
        <v>1.130658E-2</v>
      </c>
      <c r="J356" s="163">
        <f ca="1">IMSS[[#This Row],[DIAS LAB]]*IMSS[[#This Row],[SDI]]*IMSS[[#This Row],[% RSG]]*$Q$108</f>
        <v>92.941171792602745</v>
      </c>
      <c r="K356" s="163">
        <f>IMSS[[#This Row],[DIAS LAB]]*$J$110*$Q$109</f>
        <v>548.47440000000006</v>
      </c>
      <c r="L356" s="166">
        <f ca="1">IMSS[[#This Row],[DIAS LAB]]*IF(IMSS[[#This Row],[SDI]]-$J$113&gt;0,IMSS[[#This Row],[SDI]]-$J$113,0)*$Q$110</f>
        <v>1.6972547945205467</v>
      </c>
      <c r="M356" s="166">
        <f ca="1">IMSS[[#This Row],[DIAS LAB]]*IMSS[[#This Row],[SDI]]*$Q$111</f>
        <v>86.311006849315078</v>
      </c>
      <c r="N356" s="163">
        <f ca="1">IMSS[[#This Row],[DIAS LAB]]*IMSS[[#This Row],[SDI]]*$Q$112</f>
        <v>57.540671232876718</v>
      </c>
      <c r="O356" s="166">
        <f ca="1">IMSS[[#This Row],[DIAS LAB]]*IMSS[[#This Row],[SDI]]*$Q$113</f>
        <v>143.8516780821918</v>
      </c>
      <c r="P356" s="163">
        <f ca="1">IMSS[[#This Row],[DIAS LAB]]*IMSS[[#This Row],[SDI]]*$Q$114</f>
        <v>82.200958904109598</v>
      </c>
      <c r="Q356" s="166">
        <f ca="1">IMSS[[#This Row],[DIAS LAB]]*IMSS[[#This Row],[SDI]]*$Q$115</f>
        <v>164.4019178082192</v>
      </c>
      <c r="R356" s="163">
        <f ca="1">IMSS[[#This Row],[DIAS LAB]]*IMSS[[#This Row],[SDI]]*$Q$116</f>
        <v>258.9330205479452</v>
      </c>
      <c r="S356" s="163">
        <f ca="1">IMSS[[#This Row],[DIAS LAB]]*IMSS[[#This Row],[SDI]]*$Q$117</f>
        <v>411.00479452054799</v>
      </c>
      <c r="T356" s="164">
        <f ca="1">SUM(IMSS[[#This Row],[P RSG TRB]:[P INFONAVIT]])</f>
        <v>1847.3568745323291</v>
      </c>
      <c r="U356" s="163">
        <f ca="1">IMSS[[#This Row],[DIAS LAB]]*IMSS[[#This Row],[SDI]]*IMSS[[#This Row],[% RSG]]*$R$108</f>
        <v>0</v>
      </c>
      <c r="V356" s="163">
        <f ca="1">IMSS[[#This Row],[DIAS LAB]]*IMSS[[#This Row],[SDI]]*$R$112</f>
        <v>20.550239726027399</v>
      </c>
      <c r="W356" s="163"/>
      <c r="X356" s="163">
        <f ca="1">IMSS[[#This Row],[DIAS LAB]]*IMSS[[#This Row],[SDI]]*$R$113</f>
        <v>51.786604109589042</v>
      </c>
      <c r="Y356" s="163">
        <f ca="1">IMSS[[#This Row],[DIAS LAB]]*IMSS[[#This Row],[SDI]]*$R$114</f>
        <v>0</v>
      </c>
      <c r="Z356" s="163">
        <f ca="1">IMSS[[#This Row],[DIAS LAB]]*IMSS[[#This Row],[SDI]]*$R$115</f>
        <v>0</v>
      </c>
      <c r="AA356" s="163">
        <f ca="1">IMSS[[#This Row],[DIAS LAB]]*IMSS[[#This Row],[SDI]]*$R$116</f>
        <v>92.887083561643834</v>
      </c>
      <c r="AB356" s="163">
        <f ca="1">IMSS[[#This Row],[DIAS LAB]]*IMSS[[#This Row],[SDI]]*$R$117</f>
        <v>0</v>
      </c>
      <c r="AC356" s="247">
        <f ca="1">SUM(IMSS[[#This Row],[O RSG TRB]:[O INFONAVIT]])</f>
        <v>165.22392739726027</v>
      </c>
      <c r="AD356" s="163"/>
      <c r="AE356" s="165">
        <f ca="1">IMSS[[#This Row],[P TOTAL]]+IMSS[[#This Row],[O TOTAL]]</f>
        <v>2012.5808019295894</v>
      </c>
      <c r="AF356" s="163"/>
      <c r="AG356" s="163">
        <f>VLOOKUP(IMSS[[#This Row],[SUE MENS]],$AG$110:$AJ$120,1,1)</f>
        <v>5470.93</v>
      </c>
      <c r="AH356" s="163">
        <f>IMSS[[#This Row],[SUE MENS]]-IMSS[[#This Row],[LIM INF]]</f>
        <v>1974.0699999999997</v>
      </c>
      <c r="AI356" s="163">
        <f>IMSS[[#This Row],[EXC LIM INF]]*(VLOOKUP(IMSS[[#This Row],[LIM INF]],$AG$110:$AJ$120,4,0))</f>
        <v>214.77881599999998</v>
      </c>
      <c r="AJ356" s="163">
        <f>VLOOKUP(IMSS[[#This Row],[LIM INF]],$AG$110:$AJ$120,3)</f>
        <v>321.26</v>
      </c>
      <c r="AK356" s="163">
        <f>SUM(IMSS[[#This Row],[TASA EXC]]+IMSS[[#This Row],[CUOTA FIJA]])</f>
        <v>536.038816</v>
      </c>
      <c r="AL356" s="163">
        <f>VLOOKUP(IMSS[[#This Row],[SUE MENS]],$AL$110:$AN$120,3,1)</f>
        <v>0</v>
      </c>
      <c r="AM356" s="248">
        <f>IF(IMSS[[#This Row],[ISR CARGO]]-IMSS[[#This Row],[SUBS ISR]]&gt;0,IMSS[[#This Row],[ISR CARGO]]-IMSS[[#This Row],[SUBS ISR]],0)</f>
        <v>536.038816</v>
      </c>
      <c r="AN356" s="248">
        <f>IF(IMSS[[#This Row],[SUBS ISR]]-IMSS[[#This Row],[ISR CARGO]]&gt;0,IMSS[[#This Row],[SUBS ISR]]-IMSS[[#This Row],[ISR CARGO]],0)</f>
        <v>0</v>
      </c>
    </row>
    <row r="357" spans="3:40" ht="15" hidden="1" customHeight="1" x14ac:dyDescent="0.25">
      <c r="C357" s="243">
        <v>386</v>
      </c>
      <c r="D357" s="167" t="str">
        <f>VLOOKUP(IMSS[[#This Row],[NEM]],BDD[],2,0)</f>
        <v>José Madero Tijerina</v>
      </c>
      <c r="E357" s="167" t="str">
        <f>VLOOKUP(IMSS[[#This Row],[NEM]],BDD[],9,0)</f>
        <v>RELACIONES</v>
      </c>
      <c r="F357" s="168">
        <v>30</v>
      </c>
      <c r="G357" s="139">
        <f>VLOOKUP(IMSS[[#This Row],[NEM]],BDD[],3,0)</f>
        <v>9450</v>
      </c>
      <c r="H357" s="139">
        <f ca="1">VLOOKUP(IMSS[[#This Row],[NEM]],BDD[],25,0)</f>
        <v>347.79452054794518</v>
      </c>
      <c r="I357" s="143">
        <f>VLOOKUP(IMSS[[#This Row],[DEPT]],$B$3:$G$49,6,0)</f>
        <v>5.4355000000000002E-3</v>
      </c>
      <c r="J357" s="163">
        <f ca="1">IMSS[[#This Row],[DIAS LAB]]*IMSS[[#This Row],[SDI]]*IMSS[[#This Row],[% RSG]]*$Q$108</f>
        <v>56.713113493150679</v>
      </c>
      <c r="K357" s="163">
        <f>IMSS[[#This Row],[DIAS LAB]]*$J$110*$Q$109</f>
        <v>548.47440000000006</v>
      </c>
      <c r="L357" s="166">
        <f ca="1">IMSS[[#This Row],[DIAS LAB]]*IF(IMSS[[#This Row],[SDI]]-$J$113&gt;0,IMSS[[#This Row],[SDI]]-$J$113,0)*$Q$110</f>
        <v>26.048391780821905</v>
      </c>
      <c r="M357" s="166">
        <f ca="1">IMSS[[#This Row],[DIAS LAB]]*IMSS[[#This Row],[SDI]]*$Q$111</f>
        <v>109.55527397260273</v>
      </c>
      <c r="N357" s="163">
        <f ca="1">IMSS[[#This Row],[DIAS LAB]]*IMSS[[#This Row],[SDI]]*$Q$112</f>
        <v>73.03684931506848</v>
      </c>
      <c r="O357" s="166">
        <f ca="1">IMSS[[#This Row],[DIAS LAB]]*IMSS[[#This Row],[SDI]]*$Q$113</f>
        <v>182.59212328767123</v>
      </c>
      <c r="P357" s="163">
        <f ca="1">IMSS[[#This Row],[DIAS LAB]]*IMSS[[#This Row],[SDI]]*$Q$114</f>
        <v>104.33835616438355</v>
      </c>
      <c r="Q357" s="166">
        <f ca="1">IMSS[[#This Row],[DIAS LAB]]*IMSS[[#This Row],[SDI]]*$Q$115</f>
        <v>208.67671232876711</v>
      </c>
      <c r="R357" s="163">
        <f ca="1">IMSS[[#This Row],[DIAS LAB]]*IMSS[[#This Row],[SDI]]*$Q$116</f>
        <v>328.66582191780816</v>
      </c>
      <c r="S357" s="163">
        <f ca="1">IMSS[[#This Row],[DIAS LAB]]*IMSS[[#This Row],[SDI]]*$Q$117</f>
        <v>521.69178082191775</v>
      </c>
      <c r="T357" s="164">
        <f ca="1">SUM(IMSS[[#This Row],[P RSG TRB]:[P INFONAVIT]])</f>
        <v>2159.7928230821917</v>
      </c>
      <c r="U357" s="163">
        <f ca="1">IMSS[[#This Row],[DIAS LAB]]*IMSS[[#This Row],[SDI]]*IMSS[[#This Row],[% RSG]]*$R$108</f>
        <v>0</v>
      </c>
      <c r="V357" s="163">
        <f ca="1">IMSS[[#This Row],[DIAS LAB]]*IMSS[[#This Row],[SDI]]*$R$112</f>
        <v>26.084589041095889</v>
      </c>
      <c r="W357" s="163"/>
      <c r="X357" s="163">
        <f ca="1">IMSS[[#This Row],[DIAS LAB]]*IMSS[[#This Row],[SDI]]*$R$113</f>
        <v>65.733164383561643</v>
      </c>
      <c r="Y357" s="163">
        <f ca="1">IMSS[[#This Row],[DIAS LAB]]*IMSS[[#This Row],[SDI]]*$R$114</f>
        <v>0</v>
      </c>
      <c r="Z357" s="163">
        <f ca="1">IMSS[[#This Row],[DIAS LAB]]*IMSS[[#This Row],[SDI]]*$R$115</f>
        <v>0</v>
      </c>
      <c r="AA357" s="163">
        <f ca="1">IMSS[[#This Row],[DIAS LAB]]*IMSS[[#This Row],[SDI]]*$R$116</f>
        <v>117.90234246575341</v>
      </c>
      <c r="AB357" s="163">
        <f ca="1">IMSS[[#This Row],[DIAS LAB]]*IMSS[[#This Row],[SDI]]*$R$117</f>
        <v>0</v>
      </c>
      <c r="AC357" s="247">
        <f ca="1">SUM(IMSS[[#This Row],[O RSG TRB]:[O INFONAVIT]])</f>
        <v>209.72009589041093</v>
      </c>
      <c r="AD357" s="163"/>
      <c r="AE357" s="165">
        <f ca="1">IMSS[[#This Row],[P TOTAL]]+IMSS[[#This Row],[O TOTAL]]</f>
        <v>2369.5129189726026</v>
      </c>
      <c r="AF357" s="163"/>
      <c r="AG357" s="163">
        <f>VLOOKUP(IMSS[[#This Row],[SUE MENS]],$AG$110:$AJ$120,1,1)</f>
        <v>5470.93</v>
      </c>
      <c r="AH357" s="163">
        <f>IMSS[[#This Row],[SUE MENS]]-IMSS[[#This Row],[LIM INF]]</f>
        <v>3979.0699999999997</v>
      </c>
      <c r="AI357" s="163">
        <f>IMSS[[#This Row],[EXC LIM INF]]*(VLOOKUP(IMSS[[#This Row],[LIM INF]],$AG$110:$AJ$120,4,0))</f>
        <v>432.92281600000001</v>
      </c>
      <c r="AJ357" s="163">
        <f>VLOOKUP(IMSS[[#This Row],[LIM INF]],$AG$110:$AJ$120,3)</f>
        <v>321.26</v>
      </c>
      <c r="AK357" s="163">
        <f>SUM(IMSS[[#This Row],[TASA EXC]]+IMSS[[#This Row],[CUOTA FIJA]])</f>
        <v>754.182816</v>
      </c>
      <c r="AL357" s="163">
        <f>VLOOKUP(IMSS[[#This Row],[SUE MENS]],$AL$110:$AN$120,3,1)</f>
        <v>0</v>
      </c>
      <c r="AM357" s="248">
        <f>IF(IMSS[[#This Row],[ISR CARGO]]-IMSS[[#This Row],[SUBS ISR]]&gt;0,IMSS[[#This Row],[ISR CARGO]]-IMSS[[#This Row],[SUBS ISR]],0)</f>
        <v>754.182816</v>
      </c>
      <c r="AN357" s="248">
        <f>IF(IMSS[[#This Row],[SUBS ISR]]-IMSS[[#This Row],[ISR CARGO]]&gt;0,IMSS[[#This Row],[SUBS ISR]]-IMSS[[#This Row],[ISR CARGO]],0)</f>
        <v>0</v>
      </c>
    </row>
    <row r="358" spans="3:40" ht="15" hidden="1" customHeight="1" x14ac:dyDescent="0.25">
      <c r="C358" s="243">
        <v>387</v>
      </c>
      <c r="D358" s="167" t="str">
        <f>VLOOKUP(IMSS[[#This Row],[NEM]],BDD[],2,0)</f>
        <v>Salvador Morales Alcocer</v>
      </c>
      <c r="E358" s="167" t="str">
        <f>VLOOKUP(IMSS[[#This Row],[NEM]],BDD[],9,0)</f>
        <v>FACTURAS</v>
      </c>
      <c r="F358" s="168">
        <v>30</v>
      </c>
      <c r="G358" s="139">
        <f>VLOOKUP(IMSS[[#This Row],[NEM]],BDD[],3,0)</f>
        <v>10860</v>
      </c>
      <c r="H358" s="139">
        <f ca="1">VLOOKUP(IMSS[[#This Row],[NEM]],BDD[],25,0)</f>
        <v>399.68767123287671</v>
      </c>
      <c r="I358" s="143">
        <f>VLOOKUP(IMSS[[#This Row],[DEPT]],$B$3:$G$49,6,0)</f>
        <v>5.4355000000000002E-3</v>
      </c>
      <c r="J358" s="163">
        <f ca="1">IMSS[[#This Row],[DIAS LAB]]*IMSS[[#This Row],[SDI]]*IMSS[[#This Row],[% RSG]]*$Q$108</f>
        <v>65.175070109589043</v>
      </c>
      <c r="K358" s="163">
        <f>IMSS[[#This Row],[DIAS LAB]]*$J$110*$Q$109</f>
        <v>548.47440000000006</v>
      </c>
      <c r="L358" s="166">
        <f ca="1">IMSS[[#This Row],[DIAS LAB]]*IF(IMSS[[#This Row],[SDI]]-$J$113&gt;0,IMSS[[#This Row],[SDI]]-$J$113,0)*$Q$110</f>
        <v>43.173131506849309</v>
      </c>
      <c r="M358" s="166">
        <f ca="1">IMSS[[#This Row],[DIAS LAB]]*IMSS[[#This Row],[SDI]]*$Q$111</f>
        <v>125.90161643835617</v>
      </c>
      <c r="N358" s="163">
        <f ca="1">IMSS[[#This Row],[DIAS LAB]]*IMSS[[#This Row],[SDI]]*$Q$112</f>
        <v>83.93441095890411</v>
      </c>
      <c r="O358" s="166">
        <f ca="1">IMSS[[#This Row],[DIAS LAB]]*IMSS[[#This Row],[SDI]]*$Q$113</f>
        <v>209.8360273972603</v>
      </c>
      <c r="P358" s="163">
        <f ca="1">IMSS[[#This Row],[DIAS LAB]]*IMSS[[#This Row],[SDI]]*$Q$114</f>
        <v>119.90630136986302</v>
      </c>
      <c r="Q358" s="166">
        <f ca="1">IMSS[[#This Row],[DIAS LAB]]*IMSS[[#This Row],[SDI]]*$Q$115</f>
        <v>239.81260273972603</v>
      </c>
      <c r="R358" s="163">
        <f ca="1">IMSS[[#This Row],[DIAS LAB]]*IMSS[[#This Row],[SDI]]*$Q$116</f>
        <v>377.70484931506849</v>
      </c>
      <c r="S358" s="163">
        <f ca="1">IMSS[[#This Row],[DIAS LAB]]*IMSS[[#This Row],[SDI]]*$Q$117</f>
        <v>599.53150684931506</v>
      </c>
      <c r="T358" s="164">
        <f ca="1">SUM(IMSS[[#This Row],[P RSG TRB]:[P INFONAVIT]])</f>
        <v>2413.4499166849318</v>
      </c>
      <c r="U358" s="163">
        <f ca="1">IMSS[[#This Row],[DIAS LAB]]*IMSS[[#This Row],[SDI]]*IMSS[[#This Row],[% RSG]]*$R$108</f>
        <v>0</v>
      </c>
      <c r="V358" s="163">
        <f ca="1">IMSS[[#This Row],[DIAS LAB]]*IMSS[[#This Row],[SDI]]*$R$112</f>
        <v>29.976575342465754</v>
      </c>
      <c r="W358" s="163"/>
      <c r="X358" s="163">
        <f ca="1">IMSS[[#This Row],[DIAS LAB]]*IMSS[[#This Row],[SDI]]*$R$113</f>
        <v>75.5409698630137</v>
      </c>
      <c r="Y358" s="163">
        <f ca="1">IMSS[[#This Row],[DIAS LAB]]*IMSS[[#This Row],[SDI]]*$R$114</f>
        <v>0</v>
      </c>
      <c r="Z358" s="163">
        <f ca="1">IMSS[[#This Row],[DIAS LAB]]*IMSS[[#This Row],[SDI]]*$R$115</f>
        <v>0</v>
      </c>
      <c r="AA358" s="163">
        <f ca="1">IMSS[[#This Row],[DIAS LAB]]*IMSS[[#This Row],[SDI]]*$R$116</f>
        <v>135.49412054794519</v>
      </c>
      <c r="AB358" s="163">
        <f ca="1">IMSS[[#This Row],[DIAS LAB]]*IMSS[[#This Row],[SDI]]*$R$117</f>
        <v>0</v>
      </c>
      <c r="AC358" s="247">
        <f ca="1">SUM(IMSS[[#This Row],[O RSG TRB]:[O INFONAVIT]])</f>
        <v>241.01166575342464</v>
      </c>
      <c r="AD358" s="163"/>
      <c r="AE358" s="165">
        <f ca="1">IMSS[[#This Row],[P TOTAL]]+IMSS[[#This Row],[O TOTAL]]</f>
        <v>2654.4615824383563</v>
      </c>
      <c r="AF358" s="163"/>
      <c r="AG358" s="163">
        <f>VLOOKUP(IMSS[[#This Row],[SUE MENS]],$AG$110:$AJ$120,1,1)</f>
        <v>9614.67</v>
      </c>
      <c r="AH358" s="163">
        <f>IMSS[[#This Row],[SUE MENS]]-IMSS[[#This Row],[LIM INF]]</f>
        <v>1245.33</v>
      </c>
      <c r="AI358" s="163">
        <f>IMSS[[#This Row],[EXC LIM INF]]*(VLOOKUP(IMSS[[#This Row],[LIM INF]],$AG$110:$AJ$120,4,0))</f>
        <v>199.25279999999998</v>
      </c>
      <c r="AJ358" s="163">
        <f>VLOOKUP(IMSS[[#This Row],[LIM INF]],$AG$110:$AJ$120,3)</f>
        <v>772.1</v>
      </c>
      <c r="AK358" s="163">
        <f>SUM(IMSS[[#This Row],[TASA EXC]]+IMSS[[#This Row],[CUOTA FIJA]])</f>
        <v>971.3528</v>
      </c>
      <c r="AL358" s="163">
        <f>VLOOKUP(IMSS[[#This Row],[SUE MENS]],$AL$110:$AN$120,3,1)</f>
        <v>0</v>
      </c>
      <c r="AM358" s="248">
        <f>IF(IMSS[[#This Row],[ISR CARGO]]-IMSS[[#This Row],[SUBS ISR]]&gt;0,IMSS[[#This Row],[ISR CARGO]]-IMSS[[#This Row],[SUBS ISR]],0)</f>
        <v>971.3528</v>
      </c>
      <c r="AN358" s="248">
        <f>IF(IMSS[[#This Row],[SUBS ISR]]-IMSS[[#This Row],[ISR CARGO]]&gt;0,IMSS[[#This Row],[SUBS ISR]]-IMSS[[#This Row],[ISR CARGO]],0)</f>
        <v>0</v>
      </c>
    </row>
    <row r="359" spans="3:40" ht="15" hidden="1" customHeight="1" x14ac:dyDescent="0.25">
      <c r="C359" s="243">
        <v>388</v>
      </c>
      <c r="D359" s="167" t="str">
        <f>VLOOKUP(IMSS[[#This Row],[NEM]],BDD[],2,0)</f>
        <v>Brayan Antonio Lara Torres Carmona</v>
      </c>
      <c r="E359" s="167" t="str">
        <f>VLOOKUP(IMSS[[#This Row],[NEM]],BDD[],9,0)</f>
        <v>CONTA</v>
      </c>
      <c r="F359" s="168">
        <v>30</v>
      </c>
      <c r="G359" s="139">
        <f>VLOOKUP(IMSS[[#This Row],[NEM]],BDD[],3,0)</f>
        <v>9450</v>
      </c>
      <c r="H359" s="139">
        <f ca="1">VLOOKUP(IMSS[[#This Row],[NEM]],BDD[],25,0)</f>
        <v>347.79452054794518</v>
      </c>
      <c r="I359" s="143">
        <f>VLOOKUP(IMSS[[#This Row],[DEPT]],$B$3:$G$49,6,0)</f>
        <v>5.4355000000000002E-3</v>
      </c>
      <c r="J359" s="163">
        <f ca="1">IMSS[[#This Row],[DIAS LAB]]*IMSS[[#This Row],[SDI]]*IMSS[[#This Row],[% RSG]]*$Q$108</f>
        <v>56.713113493150679</v>
      </c>
      <c r="K359" s="163">
        <f>IMSS[[#This Row],[DIAS LAB]]*$J$110*$Q$109</f>
        <v>548.47440000000006</v>
      </c>
      <c r="L359" s="166">
        <f ca="1">IMSS[[#This Row],[DIAS LAB]]*IF(IMSS[[#This Row],[SDI]]-$J$113&gt;0,IMSS[[#This Row],[SDI]]-$J$113,0)*$Q$110</f>
        <v>26.048391780821905</v>
      </c>
      <c r="M359" s="166">
        <f ca="1">IMSS[[#This Row],[DIAS LAB]]*IMSS[[#This Row],[SDI]]*$Q$111</f>
        <v>109.55527397260273</v>
      </c>
      <c r="N359" s="163">
        <f ca="1">IMSS[[#This Row],[DIAS LAB]]*IMSS[[#This Row],[SDI]]*$Q$112</f>
        <v>73.03684931506848</v>
      </c>
      <c r="O359" s="166">
        <f ca="1">IMSS[[#This Row],[DIAS LAB]]*IMSS[[#This Row],[SDI]]*$Q$113</f>
        <v>182.59212328767123</v>
      </c>
      <c r="P359" s="163">
        <f ca="1">IMSS[[#This Row],[DIAS LAB]]*IMSS[[#This Row],[SDI]]*$Q$114</f>
        <v>104.33835616438355</v>
      </c>
      <c r="Q359" s="166">
        <f ca="1">IMSS[[#This Row],[DIAS LAB]]*IMSS[[#This Row],[SDI]]*$Q$115</f>
        <v>208.67671232876711</v>
      </c>
      <c r="R359" s="163">
        <f ca="1">IMSS[[#This Row],[DIAS LAB]]*IMSS[[#This Row],[SDI]]*$Q$116</f>
        <v>328.66582191780816</v>
      </c>
      <c r="S359" s="163">
        <f ca="1">IMSS[[#This Row],[DIAS LAB]]*IMSS[[#This Row],[SDI]]*$Q$117</f>
        <v>521.69178082191775</v>
      </c>
      <c r="T359" s="164">
        <f ca="1">SUM(IMSS[[#This Row],[P RSG TRB]:[P INFONAVIT]])</f>
        <v>2159.7928230821917</v>
      </c>
      <c r="U359" s="163">
        <f ca="1">IMSS[[#This Row],[DIAS LAB]]*IMSS[[#This Row],[SDI]]*IMSS[[#This Row],[% RSG]]*$R$108</f>
        <v>0</v>
      </c>
      <c r="V359" s="163">
        <f ca="1">IMSS[[#This Row],[DIAS LAB]]*IMSS[[#This Row],[SDI]]*$R$112</f>
        <v>26.084589041095889</v>
      </c>
      <c r="W359" s="163"/>
      <c r="X359" s="163">
        <f ca="1">IMSS[[#This Row],[DIAS LAB]]*IMSS[[#This Row],[SDI]]*$R$113</f>
        <v>65.733164383561643</v>
      </c>
      <c r="Y359" s="163">
        <f ca="1">IMSS[[#This Row],[DIAS LAB]]*IMSS[[#This Row],[SDI]]*$R$114</f>
        <v>0</v>
      </c>
      <c r="Z359" s="163">
        <f ca="1">IMSS[[#This Row],[DIAS LAB]]*IMSS[[#This Row],[SDI]]*$R$115</f>
        <v>0</v>
      </c>
      <c r="AA359" s="163">
        <f ca="1">IMSS[[#This Row],[DIAS LAB]]*IMSS[[#This Row],[SDI]]*$R$116</f>
        <v>117.90234246575341</v>
      </c>
      <c r="AB359" s="163">
        <f ca="1">IMSS[[#This Row],[DIAS LAB]]*IMSS[[#This Row],[SDI]]*$R$117</f>
        <v>0</v>
      </c>
      <c r="AC359" s="247">
        <f ca="1">SUM(IMSS[[#This Row],[O RSG TRB]:[O INFONAVIT]])</f>
        <v>209.72009589041093</v>
      </c>
      <c r="AD359" s="163"/>
      <c r="AE359" s="165">
        <f ca="1">IMSS[[#This Row],[P TOTAL]]+IMSS[[#This Row],[O TOTAL]]</f>
        <v>2369.5129189726026</v>
      </c>
      <c r="AF359" s="163"/>
      <c r="AG359" s="163">
        <f>VLOOKUP(IMSS[[#This Row],[SUE MENS]],$AG$110:$AJ$120,1,1)</f>
        <v>5470.93</v>
      </c>
      <c r="AH359" s="163">
        <f>IMSS[[#This Row],[SUE MENS]]-IMSS[[#This Row],[LIM INF]]</f>
        <v>3979.0699999999997</v>
      </c>
      <c r="AI359" s="163">
        <f>IMSS[[#This Row],[EXC LIM INF]]*(VLOOKUP(IMSS[[#This Row],[LIM INF]],$AG$110:$AJ$120,4,0))</f>
        <v>432.92281600000001</v>
      </c>
      <c r="AJ359" s="163">
        <f>VLOOKUP(IMSS[[#This Row],[LIM INF]],$AG$110:$AJ$120,3)</f>
        <v>321.26</v>
      </c>
      <c r="AK359" s="163">
        <f>SUM(IMSS[[#This Row],[TASA EXC]]+IMSS[[#This Row],[CUOTA FIJA]])</f>
        <v>754.182816</v>
      </c>
      <c r="AL359" s="163">
        <f>VLOOKUP(IMSS[[#This Row],[SUE MENS]],$AL$110:$AN$120,3,1)</f>
        <v>0</v>
      </c>
      <c r="AM359" s="248">
        <f>IF(IMSS[[#This Row],[ISR CARGO]]-IMSS[[#This Row],[SUBS ISR]]&gt;0,IMSS[[#This Row],[ISR CARGO]]-IMSS[[#This Row],[SUBS ISR]],0)</f>
        <v>754.182816</v>
      </c>
      <c r="AN359" s="248">
        <f>IF(IMSS[[#This Row],[SUBS ISR]]-IMSS[[#This Row],[ISR CARGO]]&gt;0,IMSS[[#This Row],[SUBS ISR]]-IMSS[[#This Row],[ISR CARGO]],0)</f>
        <v>0</v>
      </c>
    </row>
    <row r="360" spans="3:40" ht="15" hidden="1" customHeight="1" x14ac:dyDescent="0.25">
      <c r="C360" s="243">
        <v>389</v>
      </c>
      <c r="D360" s="167" t="str">
        <f>VLOOKUP(IMSS[[#This Row],[NEM]],BDD[],2,0)</f>
        <v>Alma Rely Manrique Cartagena</v>
      </c>
      <c r="E360" s="167" t="str">
        <f>VLOOKUP(IMSS[[#This Row],[NEM]],BDD[],9,0)</f>
        <v>ESTRUCTURA</v>
      </c>
      <c r="F360" s="168">
        <v>30</v>
      </c>
      <c r="G360" s="139">
        <f>VLOOKUP(IMSS[[#This Row],[NEM]],BDD[],3,0)</f>
        <v>10350</v>
      </c>
      <c r="H360" s="139">
        <f ca="1">VLOOKUP(IMSS[[#This Row],[NEM]],BDD[],25,0)</f>
        <v>380.91780821917808</v>
      </c>
      <c r="I360" s="143">
        <f>VLOOKUP(IMSS[[#This Row],[DEPT]],$B$3:$G$49,6,0)</f>
        <v>2.5984400000000001E-2</v>
      </c>
      <c r="J360" s="163">
        <f ca="1">IMSS[[#This Row],[DIAS LAB]]*IMSS[[#This Row],[SDI]]*IMSS[[#This Row],[% RSG]]*$Q$108</f>
        <v>296.93762087671234</v>
      </c>
      <c r="K360" s="163">
        <f>IMSS[[#This Row],[DIAS LAB]]*$J$110*$Q$109</f>
        <v>548.47440000000006</v>
      </c>
      <c r="L360" s="166">
        <f ca="1">IMSS[[#This Row],[DIAS LAB]]*IF(IMSS[[#This Row],[SDI]]-$J$113&gt;0,IMSS[[#This Row],[SDI]]-$J$113,0)*$Q$110</f>
        <v>36.979076712328762</v>
      </c>
      <c r="M360" s="166">
        <f ca="1">IMSS[[#This Row],[DIAS LAB]]*IMSS[[#This Row],[SDI]]*$Q$111</f>
        <v>119.98910958904109</v>
      </c>
      <c r="N360" s="163">
        <f ca="1">IMSS[[#This Row],[DIAS LAB]]*IMSS[[#This Row],[SDI]]*$Q$112</f>
        <v>79.992739726027395</v>
      </c>
      <c r="O360" s="166">
        <f ca="1">IMSS[[#This Row],[DIAS LAB]]*IMSS[[#This Row],[SDI]]*$Q$113</f>
        <v>199.9818493150685</v>
      </c>
      <c r="P360" s="163">
        <f ca="1">IMSS[[#This Row],[DIAS LAB]]*IMSS[[#This Row],[SDI]]*$Q$114</f>
        <v>114.27534246575343</v>
      </c>
      <c r="Q360" s="166">
        <f ca="1">IMSS[[#This Row],[DIAS LAB]]*IMSS[[#This Row],[SDI]]*$Q$115</f>
        <v>228.55068493150685</v>
      </c>
      <c r="R360" s="163">
        <f ca="1">IMSS[[#This Row],[DIAS LAB]]*IMSS[[#This Row],[SDI]]*$Q$116</f>
        <v>359.96732876712326</v>
      </c>
      <c r="S360" s="163">
        <f ca="1">IMSS[[#This Row],[DIAS LAB]]*IMSS[[#This Row],[SDI]]*$Q$117</f>
        <v>571.3767123287671</v>
      </c>
      <c r="T360" s="164">
        <f ca="1">SUM(IMSS[[#This Row],[P RSG TRB]:[P INFONAVIT]])</f>
        <v>2556.524864712329</v>
      </c>
      <c r="U360" s="163">
        <f ca="1">IMSS[[#This Row],[DIAS LAB]]*IMSS[[#This Row],[SDI]]*IMSS[[#This Row],[% RSG]]*$R$108</f>
        <v>0</v>
      </c>
      <c r="V360" s="163">
        <f ca="1">IMSS[[#This Row],[DIAS LAB]]*IMSS[[#This Row],[SDI]]*$R$112</f>
        <v>28.568835616438356</v>
      </c>
      <c r="W360" s="163"/>
      <c r="X360" s="163">
        <f ca="1">IMSS[[#This Row],[DIAS LAB]]*IMSS[[#This Row],[SDI]]*$R$113</f>
        <v>71.993465753424658</v>
      </c>
      <c r="Y360" s="163">
        <f ca="1">IMSS[[#This Row],[DIAS LAB]]*IMSS[[#This Row],[SDI]]*$R$114</f>
        <v>0</v>
      </c>
      <c r="Z360" s="163">
        <f ca="1">IMSS[[#This Row],[DIAS LAB]]*IMSS[[#This Row],[SDI]]*$R$115</f>
        <v>0</v>
      </c>
      <c r="AA360" s="163">
        <f ca="1">IMSS[[#This Row],[DIAS LAB]]*IMSS[[#This Row],[SDI]]*$R$116</f>
        <v>129.13113698630136</v>
      </c>
      <c r="AB360" s="163">
        <f ca="1">IMSS[[#This Row],[DIAS LAB]]*IMSS[[#This Row],[SDI]]*$R$117</f>
        <v>0</v>
      </c>
      <c r="AC360" s="247">
        <f ca="1">SUM(IMSS[[#This Row],[O RSG TRB]:[O INFONAVIT]])</f>
        <v>229.69343835616436</v>
      </c>
      <c r="AD360" s="163"/>
      <c r="AE360" s="165">
        <f ca="1">IMSS[[#This Row],[P TOTAL]]+IMSS[[#This Row],[O TOTAL]]</f>
        <v>2786.2183030684932</v>
      </c>
      <c r="AF360" s="163"/>
      <c r="AG360" s="163">
        <f>VLOOKUP(IMSS[[#This Row],[SUE MENS]],$AG$110:$AJ$120,1,1)</f>
        <v>9614.67</v>
      </c>
      <c r="AH360" s="163">
        <f>IMSS[[#This Row],[SUE MENS]]-IMSS[[#This Row],[LIM INF]]</f>
        <v>735.32999999999993</v>
      </c>
      <c r="AI360" s="163">
        <f>IMSS[[#This Row],[EXC LIM INF]]*(VLOOKUP(IMSS[[#This Row],[LIM INF]],$AG$110:$AJ$120,4,0))</f>
        <v>117.65279999999998</v>
      </c>
      <c r="AJ360" s="163">
        <f>VLOOKUP(IMSS[[#This Row],[LIM INF]],$AG$110:$AJ$120,3)</f>
        <v>772.1</v>
      </c>
      <c r="AK360" s="163">
        <f>SUM(IMSS[[#This Row],[TASA EXC]]+IMSS[[#This Row],[CUOTA FIJA]])</f>
        <v>889.75279999999998</v>
      </c>
      <c r="AL360" s="163">
        <f>VLOOKUP(IMSS[[#This Row],[SUE MENS]],$AL$110:$AN$120,3,1)</f>
        <v>0</v>
      </c>
      <c r="AM360" s="248">
        <f>IF(IMSS[[#This Row],[ISR CARGO]]-IMSS[[#This Row],[SUBS ISR]]&gt;0,IMSS[[#This Row],[ISR CARGO]]-IMSS[[#This Row],[SUBS ISR]],0)</f>
        <v>889.75279999999998</v>
      </c>
      <c r="AN360" s="248">
        <f>IF(IMSS[[#This Row],[SUBS ISR]]-IMSS[[#This Row],[ISR CARGO]]&gt;0,IMSS[[#This Row],[SUBS ISR]]-IMSS[[#This Row],[ISR CARGO]],0)</f>
        <v>0</v>
      </c>
    </row>
    <row r="361" spans="3:40" ht="15" hidden="1" customHeight="1" x14ac:dyDescent="0.25">
      <c r="C361" s="243">
        <v>391</v>
      </c>
      <c r="D361" s="167" t="str">
        <f>VLOOKUP(IMSS[[#This Row],[NEM]],BDD[],2,0)</f>
        <v>Alfonso Noyola Bustos</v>
      </c>
      <c r="E361" s="167" t="str">
        <f>VLOOKUP(IMSS[[#This Row],[NEM]],BDD[],9,0)</f>
        <v>INST CAMPO</v>
      </c>
      <c r="F361" s="168">
        <v>30</v>
      </c>
      <c r="G361" s="139">
        <f>VLOOKUP(IMSS[[#This Row],[NEM]],BDD[],3,0)</f>
        <v>7445</v>
      </c>
      <c r="H361" s="139">
        <f ca="1">VLOOKUP(IMSS[[#This Row],[NEM]],BDD[],25,0)</f>
        <v>274.00319634703197</v>
      </c>
      <c r="I361" s="143">
        <f>VLOOKUP(IMSS[[#This Row],[DEPT]],$B$3:$G$49,6,0)</f>
        <v>4.6532499999999997E-2</v>
      </c>
      <c r="J361" s="163">
        <f ca="1">IMSS[[#This Row],[DIAS LAB]]*IMSS[[#This Row],[SDI]]*IMSS[[#This Row],[% RSG]]*$Q$108</f>
        <v>382.50161202054795</v>
      </c>
      <c r="K361" s="163">
        <f>IMSS[[#This Row],[DIAS LAB]]*$J$110*$Q$109</f>
        <v>548.47440000000006</v>
      </c>
      <c r="L361" s="166">
        <f ca="1">IMSS[[#This Row],[DIAS LAB]]*IF(IMSS[[#This Row],[SDI]]-$J$113&gt;0,IMSS[[#This Row],[SDI]]-$J$113,0)*$Q$110</f>
        <v>1.6972547945205467</v>
      </c>
      <c r="M361" s="166">
        <f ca="1">IMSS[[#This Row],[DIAS LAB]]*IMSS[[#This Row],[SDI]]*$Q$111</f>
        <v>86.311006849315078</v>
      </c>
      <c r="N361" s="163">
        <f ca="1">IMSS[[#This Row],[DIAS LAB]]*IMSS[[#This Row],[SDI]]*$Q$112</f>
        <v>57.540671232876718</v>
      </c>
      <c r="O361" s="166">
        <f ca="1">IMSS[[#This Row],[DIAS LAB]]*IMSS[[#This Row],[SDI]]*$Q$113</f>
        <v>143.8516780821918</v>
      </c>
      <c r="P361" s="163">
        <f ca="1">IMSS[[#This Row],[DIAS LAB]]*IMSS[[#This Row],[SDI]]*$Q$114</f>
        <v>82.200958904109598</v>
      </c>
      <c r="Q361" s="166">
        <f ca="1">IMSS[[#This Row],[DIAS LAB]]*IMSS[[#This Row],[SDI]]*$Q$115</f>
        <v>164.4019178082192</v>
      </c>
      <c r="R361" s="163">
        <f ca="1">IMSS[[#This Row],[DIAS LAB]]*IMSS[[#This Row],[SDI]]*$Q$116</f>
        <v>258.9330205479452</v>
      </c>
      <c r="S361" s="163">
        <f ca="1">IMSS[[#This Row],[DIAS LAB]]*IMSS[[#This Row],[SDI]]*$Q$117</f>
        <v>411.00479452054799</v>
      </c>
      <c r="T361" s="164">
        <f ca="1">SUM(IMSS[[#This Row],[P RSG TRB]:[P INFONAVIT]])</f>
        <v>2136.9173147602742</v>
      </c>
      <c r="U361" s="163">
        <f ca="1">IMSS[[#This Row],[DIAS LAB]]*IMSS[[#This Row],[SDI]]*IMSS[[#This Row],[% RSG]]*$R$108</f>
        <v>0</v>
      </c>
      <c r="V361" s="163">
        <f ca="1">IMSS[[#This Row],[DIAS LAB]]*IMSS[[#This Row],[SDI]]*$R$112</f>
        <v>20.550239726027399</v>
      </c>
      <c r="W361" s="163"/>
      <c r="X361" s="163">
        <f ca="1">IMSS[[#This Row],[DIAS LAB]]*IMSS[[#This Row],[SDI]]*$R$113</f>
        <v>51.786604109589042</v>
      </c>
      <c r="Y361" s="163">
        <f ca="1">IMSS[[#This Row],[DIAS LAB]]*IMSS[[#This Row],[SDI]]*$R$114</f>
        <v>0</v>
      </c>
      <c r="Z361" s="163">
        <f ca="1">IMSS[[#This Row],[DIAS LAB]]*IMSS[[#This Row],[SDI]]*$R$115</f>
        <v>0</v>
      </c>
      <c r="AA361" s="163">
        <f ca="1">IMSS[[#This Row],[DIAS LAB]]*IMSS[[#This Row],[SDI]]*$R$116</f>
        <v>92.887083561643834</v>
      </c>
      <c r="AB361" s="163">
        <f ca="1">IMSS[[#This Row],[DIAS LAB]]*IMSS[[#This Row],[SDI]]*$R$117</f>
        <v>0</v>
      </c>
      <c r="AC361" s="247">
        <f ca="1">SUM(IMSS[[#This Row],[O RSG TRB]:[O INFONAVIT]])</f>
        <v>165.22392739726027</v>
      </c>
      <c r="AD361" s="163"/>
      <c r="AE361" s="165">
        <f ca="1">IMSS[[#This Row],[P TOTAL]]+IMSS[[#This Row],[O TOTAL]]</f>
        <v>2302.1412421575346</v>
      </c>
      <c r="AF361" s="163"/>
      <c r="AG361" s="163">
        <f>VLOOKUP(IMSS[[#This Row],[SUE MENS]],$AG$110:$AJ$120,1,1)</f>
        <v>5470.93</v>
      </c>
      <c r="AH361" s="163">
        <f>IMSS[[#This Row],[SUE MENS]]-IMSS[[#This Row],[LIM INF]]</f>
        <v>1974.0699999999997</v>
      </c>
      <c r="AI361" s="163">
        <f>IMSS[[#This Row],[EXC LIM INF]]*(VLOOKUP(IMSS[[#This Row],[LIM INF]],$AG$110:$AJ$120,4,0))</f>
        <v>214.77881599999998</v>
      </c>
      <c r="AJ361" s="163">
        <f>VLOOKUP(IMSS[[#This Row],[LIM INF]],$AG$110:$AJ$120,3)</f>
        <v>321.26</v>
      </c>
      <c r="AK361" s="163">
        <f>SUM(IMSS[[#This Row],[TASA EXC]]+IMSS[[#This Row],[CUOTA FIJA]])</f>
        <v>536.038816</v>
      </c>
      <c r="AL361" s="163">
        <f>VLOOKUP(IMSS[[#This Row],[SUE MENS]],$AL$110:$AN$120,3,1)</f>
        <v>0</v>
      </c>
      <c r="AM361" s="248">
        <f>IF(IMSS[[#This Row],[ISR CARGO]]-IMSS[[#This Row],[SUBS ISR]]&gt;0,IMSS[[#This Row],[ISR CARGO]]-IMSS[[#This Row],[SUBS ISR]],0)</f>
        <v>536.038816</v>
      </c>
      <c r="AN361" s="248">
        <f>IF(IMSS[[#This Row],[SUBS ISR]]-IMSS[[#This Row],[ISR CARGO]]&gt;0,IMSS[[#This Row],[SUBS ISR]]-IMSS[[#This Row],[ISR CARGO]],0)</f>
        <v>0</v>
      </c>
    </row>
    <row r="362" spans="3:40" ht="15" hidden="1" customHeight="1" x14ac:dyDescent="0.25">
      <c r="C362" s="246">
        <v>392</v>
      </c>
      <c r="D362" s="167" t="str">
        <f>VLOOKUP(IMSS[[#This Row],[NEM]],BDD[],2,0)</f>
        <v>Alexander Islas Gutierrez</v>
      </c>
      <c r="E362" s="167" t="str">
        <f>VLOOKUP(IMSS[[#This Row],[NEM]],BDD[],9,0)</f>
        <v>CONTROL</v>
      </c>
      <c r="F362" s="168">
        <v>30</v>
      </c>
      <c r="G362" s="139">
        <f>VLOOKUP(IMSS[[#This Row],[NEM]],BDD[],3,0)</f>
        <v>6778</v>
      </c>
      <c r="H362" s="139">
        <f ca="1">VLOOKUP(IMSS[[#This Row],[NEM]],BDD[],25,0)</f>
        <v>246.36018264840183</v>
      </c>
      <c r="I362" s="143">
        <f>VLOOKUP(IMSS[[#This Row],[DEPT]],$B$3:$G$49,6,0)</f>
        <v>5.4355000000000002E-3</v>
      </c>
      <c r="J362" s="163">
        <f ca="1">IMSS[[#This Row],[DIAS LAB]]*IMSS[[#This Row],[SDI]]*IMSS[[#This Row],[% RSG]]*$Q$108</f>
        <v>40.172723183561644</v>
      </c>
      <c r="K362" s="163">
        <f>IMSS[[#This Row],[DIAS LAB]]*$J$110*$Q$109</f>
        <v>548.47440000000006</v>
      </c>
      <c r="L362" s="166">
        <f ca="1">IMSS[[#This Row],[DIAS LAB]]*IF(IMSS[[#This Row],[SDI]]-$J$113&gt;0,IMSS[[#This Row],[SDI]]-$J$113,0)*$Q$110</f>
        <v>0</v>
      </c>
      <c r="M362" s="166">
        <f ca="1">IMSS[[#This Row],[DIAS LAB]]*IMSS[[#This Row],[SDI]]*$Q$111</f>
        <v>77.603457534246587</v>
      </c>
      <c r="N362" s="163">
        <f ca="1">IMSS[[#This Row],[DIAS LAB]]*IMSS[[#This Row],[SDI]]*$Q$112</f>
        <v>51.735638356164387</v>
      </c>
      <c r="O362" s="166">
        <f ca="1">IMSS[[#This Row],[DIAS LAB]]*IMSS[[#This Row],[SDI]]*$Q$113</f>
        <v>129.33909589041096</v>
      </c>
      <c r="P362" s="163">
        <f ca="1">IMSS[[#This Row],[DIAS LAB]]*IMSS[[#This Row],[SDI]]*$Q$114</f>
        <v>73.908054794520552</v>
      </c>
      <c r="Q362" s="166">
        <f ca="1">IMSS[[#This Row],[DIAS LAB]]*IMSS[[#This Row],[SDI]]*$Q$115</f>
        <v>147.8161095890411</v>
      </c>
      <c r="R362" s="163">
        <f ca="1">IMSS[[#This Row],[DIAS LAB]]*IMSS[[#This Row],[SDI]]*$Q$116</f>
        <v>232.81037260273973</v>
      </c>
      <c r="S362" s="163">
        <f ca="1">IMSS[[#This Row],[DIAS LAB]]*IMSS[[#This Row],[SDI]]*$Q$117</f>
        <v>369.54027397260279</v>
      </c>
      <c r="T362" s="164">
        <f ca="1">SUM(IMSS[[#This Row],[P RSG TRB]:[P INFONAVIT]])</f>
        <v>1671.4001259232878</v>
      </c>
      <c r="U362" s="163">
        <f ca="1">IMSS[[#This Row],[DIAS LAB]]*IMSS[[#This Row],[SDI]]*IMSS[[#This Row],[% RSG]]*$R$108</f>
        <v>0</v>
      </c>
      <c r="V362" s="163">
        <f ca="1">IMSS[[#This Row],[DIAS LAB]]*IMSS[[#This Row],[SDI]]*$R$112</f>
        <v>18.477013698630138</v>
      </c>
      <c r="W362" s="163"/>
      <c r="X362" s="163">
        <f ca="1">IMSS[[#This Row],[DIAS LAB]]*IMSS[[#This Row],[SDI]]*$R$113</f>
        <v>46.562074520547945</v>
      </c>
      <c r="Y362" s="163">
        <f ca="1">IMSS[[#This Row],[DIAS LAB]]*IMSS[[#This Row],[SDI]]*$R$114</f>
        <v>0</v>
      </c>
      <c r="Z362" s="163">
        <f ca="1">IMSS[[#This Row],[DIAS LAB]]*IMSS[[#This Row],[SDI]]*$R$115</f>
        <v>0</v>
      </c>
      <c r="AA362" s="163">
        <f ca="1">IMSS[[#This Row],[DIAS LAB]]*IMSS[[#This Row],[SDI]]*$R$116</f>
        <v>83.516101917808214</v>
      </c>
      <c r="AB362" s="163">
        <f ca="1">IMSS[[#This Row],[DIAS LAB]]*IMSS[[#This Row],[SDI]]*$R$117</f>
        <v>0</v>
      </c>
      <c r="AC362" s="247">
        <f ca="1">SUM(IMSS[[#This Row],[O RSG TRB]:[O INFONAVIT]])</f>
        <v>148.55519013698631</v>
      </c>
      <c r="AD362" s="163"/>
      <c r="AE362" s="165">
        <f ca="1">IMSS[[#This Row],[P TOTAL]]+IMSS[[#This Row],[O TOTAL]]</f>
        <v>1819.9553160602741</v>
      </c>
      <c r="AF362" s="163"/>
      <c r="AG362" s="163">
        <f>VLOOKUP(IMSS[[#This Row],[SUE MENS]],$AG$110:$AJ$120,1,1)</f>
        <v>5470.93</v>
      </c>
      <c r="AH362" s="163">
        <f>IMSS[[#This Row],[SUE MENS]]-IMSS[[#This Row],[LIM INF]]</f>
        <v>1307.0699999999997</v>
      </c>
      <c r="AI362" s="163">
        <f>IMSS[[#This Row],[EXC LIM INF]]*(VLOOKUP(IMSS[[#This Row],[LIM INF]],$AG$110:$AJ$120,4,0))</f>
        <v>142.20921599999997</v>
      </c>
      <c r="AJ362" s="163">
        <f>VLOOKUP(IMSS[[#This Row],[LIM INF]],$AG$110:$AJ$120,3)</f>
        <v>321.26</v>
      </c>
      <c r="AK362" s="163">
        <f>SUM(IMSS[[#This Row],[TASA EXC]]+IMSS[[#This Row],[CUOTA FIJA]])</f>
        <v>463.46921599999996</v>
      </c>
      <c r="AL362" s="163">
        <f>VLOOKUP(IMSS[[#This Row],[SUE MENS]],$AL$110:$AN$120,3,1)</f>
        <v>253.54</v>
      </c>
      <c r="AM362" s="248">
        <f>IF(IMSS[[#This Row],[ISR CARGO]]-IMSS[[#This Row],[SUBS ISR]]&gt;0,IMSS[[#This Row],[ISR CARGO]]-IMSS[[#This Row],[SUBS ISR]],0)</f>
        <v>209.92921599999997</v>
      </c>
      <c r="AN362" s="248">
        <f>IF(IMSS[[#This Row],[SUBS ISR]]-IMSS[[#This Row],[ISR CARGO]]&gt;0,IMSS[[#This Row],[SUBS ISR]]-IMSS[[#This Row],[ISR CARGO]],0)</f>
        <v>0</v>
      </c>
    </row>
    <row r="363" spans="3:40" ht="15" hidden="1" customHeight="1" x14ac:dyDescent="0.25">
      <c r="C363" s="243">
        <v>393</v>
      </c>
      <c r="D363" s="167" t="str">
        <f>VLOOKUP(IMSS[[#This Row],[NEM]],BDD[],2,0)</f>
        <v>Rocio Diaz Palma</v>
      </c>
      <c r="E363" s="167" t="str">
        <f>VLOOKUP(IMSS[[#This Row],[NEM]],BDD[],9,0)</f>
        <v>CONTROL</v>
      </c>
      <c r="F363" s="168">
        <v>30</v>
      </c>
      <c r="G363" s="139">
        <f>VLOOKUP(IMSS[[#This Row],[NEM]],BDD[],3,0)</f>
        <v>10350</v>
      </c>
      <c r="H363" s="139">
        <f ca="1">VLOOKUP(IMSS[[#This Row],[NEM]],BDD[],25,0)</f>
        <v>380.91780821917808</v>
      </c>
      <c r="I363" s="143">
        <f>VLOOKUP(IMSS[[#This Row],[DEPT]],$B$3:$G$49,6,0)</f>
        <v>5.4355000000000002E-3</v>
      </c>
      <c r="J363" s="163">
        <f ca="1">IMSS[[#This Row],[DIAS LAB]]*IMSS[[#This Row],[SDI]]*IMSS[[#This Row],[% RSG]]*$Q$108</f>
        <v>62.114362397260273</v>
      </c>
      <c r="K363" s="163">
        <f>IMSS[[#This Row],[DIAS LAB]]*$J$110*$Q$109</f>
        <v>548.47440000000006</v>
      </c>
      <c r="L363" s="166">
        <f ca="1">IMSS[[#This Row],[DIAS LAB]]*IF(IMSS[[#This Row],[SDI]]-$J$113&gt;0,IMSS[[#This Row],[SDI]]-$J$113,0)*$Q$110</f>
        <v>36.979076712328762</v>
      </c>
      <c r="M363" s="166">
        <f ca="1">IMSS[[#This Row],[DIAS LAB]]*IMSS[[#This Row],[SDI]]*$Q$111</f>
        <v>119.98910958904109</v>
      </c>
      <c r="N363" s="163">
        <f ca="1">IMSS[[#This Row],[DIAS LAB]]*IMSS[[#This Row],[SDI]]*$Q$112</f>
        <v>79.992739726027395</v>
      </c>
      <c r="O363" s="166">
        <f ca="1">IMSS[[#This Row],[DIAS LAB]]*IMSS[[#This Row],[SDI]]*$Q$113</f>
        <v>199.9818493150685</v>
      </c>
      <c r="P363" s="163">
        <f ca="1">IMSS[[#This Row],[DIAS LAB]]*IMSS[[#This Row],[SDI]]*$Q$114</f>
        <v>114.27534246575343</v>
      </c>
      <c r="Q363" s="166">
        <f ca="1">IMSS[[#This Row],[DIAS LAB]]*IMSS[[#This Row],[SDI]]*$Q$115</f>
        <v>228.55068493150685</v>
      </c>
      <c r="R363" s="163">
        <f ca="1">IMSS[[#This Row],[DIAS LAB]]*IMSS[[#This Row],[SDI]]*$Q$116</f>
        <v>359.96732876712326</v>
      </c>
      <c r="S363" s="163">
        <f ca="1">IMSS[[#This Row],[DIAS LAB]]*IMSS[[#This Row],[SDI]]*$Q$117</f>
        <v>571.3767123287671</v>
      </c>
      <c r="T363" s="164">
        <f ca="1">SUM(IMSS[[#This Row],[P RSG TRB]:[P INFONAVIT]])</f>
        <v>2321.7016062328767</v>
      </c>
      <c r="U363" s="163">
        <f ca="1">IMSS[[#This Row],[DIAS LAB]]*IMSS[[#This Row],[SDI]]*IMSS[[#This Row],[% RSG]]*$R$108</f>
        <v>0</v>
      </c>
      <c r="V363" s="163">
        <f ca="1">IMSS[[#This Row],[DIAS LAB]]*IMSS[[#This Row],[SDI]]*$R$112</f>
        <v>28.568835616438356</v>
      </c>
      <c r="W363" s="163"/>
      <c r="X363" s="163">
        <f ca="1">IMSS[[#This Row],[DIAS LAB]]*IMSS[[#This Row],[SDI]]*$R$113</f>
        <v>71.993465753424658</v>
      </c>
      <c r="Y363" s="163">
        <f ca="1">IMSS[[#This Row],[DIAS LAB]]*IMSS[[#This Row],[SDI]]*$R$114</f>
        <v>0</v>
      </c>
      <c r="Z363" s="163">
        <f ca="1">IMSS[[#This Row],[DIAS LAB]]*IMSS[[#This Row],[SDI]]*$R$115</f>
        <v>0</v>
      </c>
      <c r="AA363" s="163">
        <f ca="1">IMSS[[#This Row],[DIAS LAB]]*IMSS[[#This Row],[SDI]]*$R$116</f>
        <v>129.13113698630136</v>
      </c>
      <c r="AB363" s="163">
        <f ca="1">IMSS[[#This Row],[DIAS LAB]]*IMSS[[#This Row],[SDI]]*$R$117</f>
        <v>0</v>
      </c>
      <c r="AC363" s="247">
        <f ca="1">SUM(IMSS[[#This Row],[O RSG TRB]:[O INFONAVIT]])</f>
        <v>229.69343835616436</v>
      </c>
      <c r="AD363" s="163"/>
      <c r="AE363" s="165">
        <f ca="1">IMSS[[#This Row],[P TOTAL]]+IMSS[[#This Row],[O TOTAL]]</f>
        <v>2551.3950445890409</v>
      </c>
      <c r="AF363" s="163"/>
      <c r="AG363" s="163">
        <f>VLOOKUP(IMSS[[#This Row],[SUE MENS]],$AG$110:$AJ$120,1,1)</f>
        <v>9614.67</v>
      </c>
      <c r="AH363" s="163">
        <f>IMSS[[#This Row],[SUE MENS]]-IMSS[[#This Row],[LIM INF]]</f>
        <v>735.32999999999993</v>
      </c>
      <c r="AI363" s="163">
        <f>IMSS[[#This Row],[EXC LIM INF]]*(VLOOKUP(IMSS[[#This Row],[LIM INF]],$AG$110:$AJ$120,4,0))</f>
        <v>117.65279999999998</v>
      </c>
      <c r="AJ363" s="163">
        <f>VLOOKUP(IMSS[[#This Row],[LIM INF]],$AG$110:$AJ$120,3)</f>
        <v>772.1</v>
      </c>
      <c r="AK363" s="163">
        <f>SUM(IMSS[[#This Row],[TASA EXC]]+IMSS[[#This Row],[CUOTA FIJA]])</f>
        <v>889.75279999999998</v>
      </c>
      <c r="AL363" s="163">
        <f>VLOOKUP(IMSS[[#This Row],[SUE MENS]],$AL$110:$AN$120,3,1)</f>
        <v>0</v>
      </c>
      <c r="AM363" s="248">
        <f>IF(IMSS[[#This Row],[ISR CARGO]]-IMSS[[#This Row],[SUBS ISR]]&gt;0,IMSS[[#This Row],[ISR CARGO]]-IMSS[[#This Row],[SUBS ISR]],0)</f>
        <v>889.75279999999998</v>
      </c>
      <c r="AN363" s="248">
        <f>IF(IMSS[[#This Row],[SUBS ISR]]-IMSS[[#This Row],[ISR CARGO]]&gt;0,IMSS[[#This Row],[SUBS ISR]]-IMSS[[#This Row],[ISR CARGO]],0)</f>
        <v>0</v>
      </c>
    </row>
    <row r="364" spans="3:40" ht="15" hidden="1" customHeight="1" x14ac:dyDescent="0.25">
      <c r="C364" s="243">
        <v>394</v>
      </c>
      <c r="D364" s="167" t="str">
        <f>VLOOKUP(IMSS[[#This Row],[NEM]],BDD[],2,0)</f>
        <v>Edson Alejandro Vazquez Castillo</v>
      </c>
      <c r="E364" s="167" t="str">
        <f>VLOOKUP(IMSS[[#This Row],[NEM]],BDD[],9,0)</f>
        <v>ARQUITECT</v>
      </c>
      <c r="F364" s="168">
        <v>30</v>
      </c>
      <c r="G364" s="139">
        <f>VLOOKUP(IMSS[[#This Row],[NEM]],BDD[],3,0)</f>
        <v>7445</v>
      </c>
      <c r="H364" s="139">
        <f ca="1">VLOOKUP(IMSS[[#This Row],[NEM]],BDD[],25,0)</f>
        <v>274.00319634703197</v>
      </c>
      <c r="I364" s="143">
        <f>VLOOKUP(IMSS[[#This Row],[DEPT]],$B$3:$G$49,6,0)</f>
        <v>2.5984400000000001E-2</v>
      </c>
      <c r="J364" s="163">
        <f ca="1">IMSS[[#This Row],[DIAS LAB]]*IMSS[[#This Row],[SDI]]*IMSS[[#This Row],[% RSG]]*$Q$108</f>
        <v>213.59425965479454</v>
      </c>
      <c r="K364" s="163">
        <f>IMSS[[#This Row],[DIAS LAB]]*$J$110*$Q$109</f>
        <v>548.47440000000006</v>
      </c>
      <c r="L364" s="166">
        <f ca="1">IMSS[[#This Row],[DIAS LAB]]*IF(IMSS[[#This Row],[SDI]]-$J$113&gt;0,IMSS[[#This Row],[SDI]]-$J$113,0)*$Q$110</f>
        <v>1.6972547945205467</v>
      </c>
      <c r="M364" s="166">
        <f ca="1">IMSS[[#This Row],[DIAS LAB]]*IMSS[[#This Row],[SDI]]*$Q$111</f>
        <v>86.311006849315078</v>
      </c>
      <c r="N364" s="163">
        <f ca="1">IMSS[[#This Row],[DIAS LAB]]*IMSS[[#This Row],[SDI]]*$Q$112</f>
        <v>57.540671232876718</v>
      </c>
      <c r="O364" s="166">
        <f ca="1">IMSS[[#This Row],[DIAS LAB]]*IMSS[[#This Row],[SDI]]*$Q$113</f>
        <v>143.8516780821918</v>
      </c>
      <c r="P364" s="163">
        <f ca="1">IMSS[[#This Row],[DIAS LAB]]*IMSS[[#This Row],[SDI]]*$Q$114</f>
        <v>82.200958904109598</v>
      </c>
      <c r="Q364" s="166">
        <f ca="1">IMSS[[#This Row],[DIAS LAB]]*IMSS[[#This Row],[SDI]]*$Q$115</f>
        <v>164.4019178082192</v>
      </c>
      <c r="R364" s="163">
        <f ca="1">IMSS[[#This Row],[DIAS LAB]]*IMSS[[#This Row],[SDI]]*$Q$116</f>
        <v>258.9330205479452</v>
      </c>
      <c r="S364" s="163">
        <f ca="1">IMSS[[#This Row],[DIAS LAB]]*IMSS[[#This Row],[SDI]]*$Q$117</f>
        <v>411.00479452054799</v>
      </c>
      <c r="T364" s="164">
        <f ca="1">SUM(IMSS[[#This Row],[P RSG TRB]:[P INFONAVIT]])</f>
        <v>1968.0099623945207</v>
      </c>
      <c r="U364" s="163">
        <f ca="1">IMSS[[#This Row],[DIAS LAB]]*IMSS[[#This Row],[SDI]]*IMSS[[#This Row],[% RSG]]*$R$108</f>
        <v>0</v>
      </c>
      <c r="V364" s="163">
        <f ca="1">IMSS[[#This Row],[DIAS LAB]]*IMSS[[#This Row],[SDI]]*$R$112</f>
        <v>20.550239726027399</v>
      </c>
      <c r="W364" s="163"/>
      <c r="X364" s="163">
        <f ca="1">IMSS[[#This Row],[DIAS LAB]]*IMSS[[#This Row],[SDI]]*$R$113</f>
        <v>51.786604109589042</v>
      </c>
      <c r="Y364" s="163">
        <f ca="1">IMSS[[#This Row],[DIAS LAB]]*IMSS[[#This Row],[SDI]]*$R$114</f>
        <v>0</v>
      </c>
      <c r="Z364" s="163">
        <f ca="1">IMSS[[#This Row],[DIAS LAB]]*IMSS[[#This Row],[SDI]]*$R$115</f>
        <v>0</v>
      </c>
      <c r="AA364" s="163">
        <f ca="1">IMSS[[#This Row],[DIAS LAB]]*IMSS[[#This Row],[SDI]]*$R$116</f>
        <v>92.887083561643834</v>
      </c>
      <c r="AB364" s="163">
        <f ca="1">IMSS[[#This Row],[DIAS LAB]]*IMSS[[#This Row],[SDI]]*$R$117</f>
        <v>0</v>
      </c>
      <c r="AC364" s="247">
        <f ca="1">SUM(IMSS[[#This Row],[O RSG TRB]:[O INFONAVIT]])</f>
        <v>165.22392739726027</v>
      </c>
      <c r="AD364" s="163"/>
      <c r="AE364" s="165">
        <f ca="1">IMSS[[#This Row],[P TOTAL]]+IMSS[[#This Row],[O TOTAL]]</f>
        <v>2133.2338897917812</v>
      </c>
      <c r="AF364" s="163"/>
      <c r="AG364" s="163">
        <f>VLOOKUP(IMSS[[#This Row],[SUE MENS]],$AG$110:$AJ$120,1,1)</f>
        <v>5470.93</v>
      </c>
      <c r="AH364" s="163">
        <f>IMSS[[#This Row],[SUE MENS]]-IMSS[[#This Row],[LIM INF]]</f>
        <v>1974.0699999999997</v>
      </c>
      <c r="AI364" s="163">
        <f>IMSS[[#This Row],[EXC LIM INF]]*(VLOOKUP(IMSS[[#This Row],[LIM INF]],$AG$110:$AJ$120,4,0))</f>
        <v>214.77881599999998</v>
      </c>
      <c r="AJ364" s="163">
        <f>VLOOKUP(IMSS[[#This Row],[LIM INF]],$AG$110:$AJ$120,3)</f>
        <v>321.26</v>
      </c>
      <c r="AK364" s="163">
        <f>SUM(IMSS[[#This Row],[TASA EXC]]+IMSS[[#This Row],[CUOTA FIJA]])</f>
        <v>536.038816</v>
      </c>
      <c r="AL364" s="163">
        <f>VLOOKUP(IMSS[[#This Row],[SUE MENS]],$AL$110:$AN$120,3,1)</f>
        <v>0</v>
      </c>
      <c r="AM364" s="248">
        <f>IF(IMSS[[#This Row],[ISR CARGO]]-IMSS[[#This Row],[SUBS ISR]]&gt;0,IMSS[[#This Row],[ISR CARGO]]-IMSS[[#This Row],[SUBS ISR]],0)</f>
        <v>536.038816</v>
      </c>
      <c r="AN364" s="248">
        <f>IF(IMSS[[#This Row],[SUBS ISR]]-IMSS[[#This Row],[ISR CARGO]]&gt;0,IMSS[[#This Row],[SUBS ISR]]-IMSS[[#This Row],[ISR CARGO]],0)</f>
        <v>0</v>
      </c>
    </row>
    <row r="365" spans="3:40" ht="15" hidden="1" customHeight="1" x14ac:dyDescent="0.25">
      <c r="C365" s="243">
        <v>395</v>
      </c>
      <c r="D365" s="167" t="str">
        <f>VLOOKUP(IMSS[[#This Row],[NEM]],BDD[],2,0)</f>
        <v>Irma Solis Bolivar</v>
      </c>
      <c r="E365" s="167" t="str">
        <f>VLOOKUP(IMSS[[#This Row],[NEM]],BDD[],9,0)</f>
        <v>EQUIPOS</v>
      </c>
      <c r="F365" s="168">
        <v>30</v>
      </c>
      <c r="G365" s="139">
        <f>VLOOKUP(IMSS[[#This Row],[NEM]],BDD[],3,0)</f>
        <v>9450</v>
      </c>
      <c r="H365" s="139">
        <f ca="1">VLOOKUP(IMSS[[#This Row],[NEM]],BDD[],25,0)</f>
        <v>347.79452054794518</v>
      </c>
      <c r="I365" s="143">
        <f>VLOOKUP(IMSS[[#This Row],[DEPT]],$B$3:$G$49,6,0)</f>
        <v>1.130658E-2</v>
      </c>
      <c r="J365" s="163">
        <f ca="1">IMSS[[#This Row],[DIAS LAB]]*IMSS[[#This Row],[SDI]]*IMSS[[#This Row],[% RSG]]*$Q$108</f>
        <v>117.97099710410957</v>
      </c>
      <c r="K365" s="163">
        <f>IMSS[[#This Row],[DIAS LAB]]*$J$110*$Q$109</f>
        <v>548.47440000000006</v>
      </c>
      <c r="L365" s="166">
        <f ca="1">IMSS[[#This Row],[DIAS LAB]]*IF(IMSS[[#This Row],[SDI]]-$J$113&gt;0,IMSS[[#This Row],[SDI]]-$J$113,0)*$Q$110</f>
        <v>26.048391780821905</v>
      </c>
      <c r="M365" s="166">
        <f ca="1">IMSS[[#This Row],[DIAS LAB]]*IMSS[[#This Row],[SDI]]*$Q$111</f>
        <v>109.55527397260273</v>
      </c>
      <c r="N365" s="163">
        <f ca="1">IMSS[[#This Row],[DIAS LAB]]*IMSS[[#This Row],[SDI]]*$Q$112</f>
        <v>73.03684931506848</v>
      </c>
      <c r="O365" s="166">
        <f ca="1">IMSS[[#This Row],[DIAS LAB]]*IMSS[[#This Row],[SDI]]*$Q$113</f>
        <v>182.59212328767123</v>
      </c>
      <c r="P365" s="163">
        <f ca="1">IMSS[[#This Row],[DIAS LAB]]*IMSS[[#This Row],[SDI]]*$Q$114</f>
        <v>104.33835616438355</v>
      </c>
      <c r="Q365" s="166">
        <f ca="1">IMSS[[#This Row],[DIAS LAB]]*IMSS[[#This Row],[SDI]]*$Q$115</f>
        <v>208.67671232876711</v>
      </c>
      <c r="R365" s="163">
        <f ca="1">IMSS[[#This Row],[DIAS LAB]]*IMSS[[#This Row],[SDI]]*$Q$116</f>
        <v>328.66582191780816</v>
      </c>
      <c r="S365" s="163">
        <f ca="1">IMSS[[#This Row],[DIAS LAB]]*IMSS[[#This Row],[SDI]]*$Q$117</f>
        <v>521.69178082191775</v>
      </c>
      <c r="T365" s="164">
        <f ca="1">SUM(IMSS[[#This Row],[P RSG TRB]:[P INFONAVIT]])</f>
        <v>2221.0507066931505</v>
      </c>
      <c r="U365" s="163">
        <f ca="1">IMSS[[#This Row],[DIAS LAB]]*IMSS[[#This Row],[SDI]]*IMSS[[#This Row],[% RSG]]*$R$108</f>
        <v>0</v>
      </c>
      <c r="V365" s="163">
        <f ca="1">IMSS[[#This Row],[DIAS LAB]]*IMSS[[#This Row],[SDI]]*$R$112</f>
        <v>26.084589041095889</v>
      </c>
      <c r="W365" s="163"/>
      <c r="X365" s="163">
        <f ca="1">IMSS[[#This Row],[DIAS LAB]]*IMSS[[#This Row],[SDI]]*$R$113</f>
        <v>65.733164383561643</v>
      </c>
      <c r="Y365" s="163">
        <f ca="1">IMSS[[#This Row],[DIAS LAB]]*IMSS[[#This Row],[SDI]]*$R$114</f>
        <v>0</v>
      </c>
      <c r="Z365" s="163">
        <f ca="1">IMSS[[#This Row],[DIAS LAB]]*IMSS[[#This Row],[SDI]]*$R$115</f>
        <v>0</v>
      </c>
      <c r="AA365" s="163">
        <f ca="1">IMSS[[#This Row],[DIAS LAB]]*IMSS[[#This Row],[SDI]]*$R$116</f>
        <v>117.90234246575341</v>
      </c>
      <c r="AB365" s="163">
        <f ca="1">IMSS[[#This Row],[DIAS LAB]]*IMSS[[#This Row],[SDI]]*$R$117</f>
        <v>0</v>
      </c>
      <c r="AC365" s="247">
        <f ca="1">SUM(IMSS[[#This Row],[O RSG TRB]:[O INFONAVIT]])</f>
        <v>209.72009589041093</v>
      </c>
      <c r="AD365" s="163"/>
      <c r="AE365" s="165">
        <f ca="1">IMSS[[#This Row],[P TOTAL]]+IMSS[[#This Row],[O TOTAL]]</f>
        <v>2430.7708025835614</v>
      </c>
      <c r="AF365" s="163"/>
      <c r="AG365" s="163">
        <f>VLOOKUP(IMSS[[#This Row],[SUE MENS]],$AG$110:$AJ$120,1,1)</f>
        <v>5470.93</v>
      </c>
      <c r="AH365" s="163">
        <f>IMSS[[#This Row],[SUE MENS]]-IMSS[[#This Row],[LIM INF]]</f>
        <v>3979.0699999999997</v>
      </c>
      <c r="AI365" s="163">
        <f>IMSS[[#This Row],[EXC LIM INF]]*(VLOOKUP(IMSS[[#This Row],[LIM INF]],$AG$110:$AJ$120,4,0))</f>
        <v>432.92281600000001</v>
      </c>
      <c r="AJ365" s="163">
        <f>VLOOKUP(IMSS[[#This Row],[LIM INF]],$AG$110:$AJ$120,3)</f>
        <v>321.26</v>
      </c>
      <c r="AK365" s="163">
        <f>SUM(IMSS[[#This Row],[TASA EXC]]+IMSS[[#This Row],[CUOTA FIJA]])</f>
        <v>754.182816</v>
      </c>
      <c r="AL365" s="163">
        <f>VLOOKUP(IMSS[[#This Row],[SUE MENS]],$AL$110:$AN$120,3,1)</f>
        <v>0</v>
      </c>
      <c r="AM365" s="248">
        <f>IF(IMSS[[#This Row],[ISR CARGO]]-IMSS[[#This Row],[SUBS ISR]]&gt;0,IMSS[[#This Row],[ISR CARGO]]-IMSS[[#This Row],[SUBS ISR]],0)</f>
        <v>754.182816</v>
      </c>
      <c r="AN365" s="248">
        <f>IF(IMSS[[#This Row],[SUBS ISR]]-IMSS[[#This Row],[ISR CARGO]]&gt;0,IMSS[[#This Row],[SUBS ISR]]-IMSS[[#This Row],[ISR CARGO]],0)</f>
        <v>0</v>
      </c>
    </row>
    <row r="366" spans="3:40" ht="15" hidden="1" customHeight="1" x14ac:dyDescent="0.25">
      <c r="C366" s="243">
        <v>396</v>
      </c>
      <c r="D366" s="167" t="str">
        <f>VLOOKUP(IMSS[[#This Row],[NEM]],BDD[],2,0)</f>
        <v>Ingrid Elizabeth Perez Rangel</v>
      </c>
      <c r="E366" s="167" t="str">
        <f>VLOOKUP(IMSS[[#This Row],[NEM]],BDD[],9,0)</f>
        <v>SOLUCIONES</v>
      </c>
      <c r="F366" s="168">
        <v>30</v>
      </c>
      <c r="G366" s="139">
        <f>VLOOKUP(IMSS[[#This Row],[NEM]],BDD[],3,0)</f>
        <v>9450</v>
      </c>
      <c r="H366" s="139">
        <f ca="1">VLOOKUP(IMSS[[#This Row],[NEM]],BDD[],25,0)</f>
        <v>347.79452054794518</v>
      </c>
      <c r="I366" s="143">
        <f>VLOOKUP(IMSS[[#This Row],[DEPT]],$B$3:$G$49,6,0)</f>
        <v>5.4355000000000002E-3</v>
      </c>
      <c r="J366" s="163">
        <f ca="1">IMSS[[#This Row],[DIAS LAB]]*IMSS[[#This Row],[SDI]]*IMSS[[#This Row],[% RSG]]*$Q$108</f>
        <v>56.713113493150679</v>
      </c>
      <c r="K366" s="163">
        <f>IMSS[[#This Row],[DIAS LAB]]*$J$110*$Q$109</f>
        <v>548.47440000000006</v>
      </c>
      <c r="L366" s="166">
        <f ca="1">IMSS[[#This Row],[DIAS LAB]]*IF(IMSS[[#This Row],[SDI]]-$J$113&gt;0,IMSS[[#This Row],[SDI]]-$J$113,0)*$Q$110</f>
        <v>26.048391780821905</v>
      </c>
      <c r="M366" s="166">
        <f ca="1">IMSS[[#This Row],[DIAS LAB]]*IMSS[[#This Row],[SDI]]*$Q$111</f>
        <v>109.55527397260273</v>
      </c>
      <c r="N366" s="163">
        <f ca="1">IMSS[[#This Row],[DIAS LAB]]*IMSS[[#This Row],[SDI]]*$Q$112</f>
        <v>73.03684931506848</v>
      </c>
      <c r="O366" s="166">
        <f ca="1">IMSS[[#This Row],[DIAS LAB]]*IMSS[[#This Row],[SDI]]*$Q$113</f>
        <v>182.59212328767123</v>
      </c>
      <c r="P366" s="163">
        <f ca="1">IMSS[[#This Row],[DIAS LAB]]*IMSS[[#This Row],[SDI]]*$Q$114</f>
        <v>104.33835616438355</v>
      </c>
      <c r="Q366" s="166">
        <f ca="1">IMSS[[#This Row],[DIAS LAB]]*IMSS[[#This Row],[SDI]]*$Q$115</f>
        <v>208.67671232876711</v>
      </c>
      <c r="R366" s="163">
        <f ca="1">IMSS[[#This Row],[DIAS LAB]]*IMSS[[#This Row],[SDI]]*$Q$116</f>
        <v>328.66582191780816</v>
      </c>
      <c r="S366" s="163">
        <f ca="1">IMSS[[#This Row],[DIAS LAB]]*IMSS[[#This Row],[SDI]]*$Q$117</f>
        <v>521.69178082191775</v>
      </c>
      <c r="T366" s="164">
        <f ca="1">SUM(IMSS[[#This Row],[P RSG TRB]:[P INFONAVIT]])</f>
        <v>2159.7928230821917</v>
      </c>
      <c r="U366" s="163">
        <f ca="1">IMSS[[#This Row],[DIAS LAB]]*IMSS[[#This Row],[SDI]]*IMSS[[#This Row],[% RSG]]*$R$108</f>
        <v>0</v>
      </c>
      <c r="V366" s="163">
        <f ca="1">IMSS[[#This Row],[DIAS LAB]]*IMSS[[#This Row],[SDI]]*$R$112</f>
        <v>26.084589041095889</v>
      </c>
      <c r="W366" s="163"/>
      <c r="X366" s="163">
        <f ca="1">IMSS[[#This Row],[DIAS LAB]]*IMSS[[#This Row],[SDI]]*$R$113</f>
        <v>65.733164383561643</v>
      </c>
      <c r="Y366" s="163">
        <f ca="1">IMSS[[#This Row],[DIAS LAB]]*IMSS[[#This Row],[SDI]]*$R$114</f>
        <v>0</v>
      </c>
      <c r="Z366" s="163">
        <f ca="1">IMSS[[#This Row],[DIAS LAB]]*IMSS[[#This Row],[SDI]]*$R$115</f>
        <v>0</v>
      </c>
      <c r="AA366" s="163">
        <f ca="1">IMSS[[#This Row],[DIAS LAB]]*IMSS[[#This Row],[SDI]]*$R$116</f>
        <v>117.90234246575341</v>
      </c>
      <c r="AB366" s="163">
        <f ca="1">IMSS[[#This Row],[DIAS LAB]]*IMSS[[#This Row],[SDI]]*$R$117</f>
        <v>0</v>
      </c>
      <c r="AC366" s="247">
        <f ca="1">SUM(IMSS[[#This Row],[O RSG TRB]:[O INFONAVIT]])</f>
        <v>209.72009589041093</v>
      </c>
      <c r="AD366" s="163"/>
      <c r="AE366" s="165">
        <f ca="1">IMSS[[#This Row],[P TOTAL]]+IMSS[[#This Row],[O TOTAL]]</f>
        <v>2369.5129189726026</v>
      </c>
      <c r="AF366" s="163"/>
      <c r="AG366" s="163">
        <f>VLOOKUP(IMSS[[#This Row],[SUE MENS]],$AG$110:$AJ$120,1,1)</f>
        <v>5470.93</v>
      </c>
      <c r="AH366" s="163">
        <f>IMSS[[#This Row],[SUE MENS]]-IMSS[[#This Row],[LIM INF]]</f>
        <v>3979.0699999999997</v>
      </c>
      <c r="AI366" s="163">
        <f>IMSS[[#This Row],[EXC LIM INF]]*(VLOOKUP(IMSS[[#This Row],[LIM INF]],$AG$110:$AJ$120,4,0))</f>
        <v>432.92281600000001</v>
      </c>
      <c r="AJ366" s="163">
        <f>VLOOKUP(IMSS[[#This Row],[LIM INF]],$AG$110:$AJ$120,3)</f>
        <v>321.26</v>
      </c>
      <c r="AK366" s="163">
        <f>SUM(IMSS[[#This Row],[TASA EXC]]+IMSS[[#This Row],[CUOTA FIJA]])</f>
        <v>754.182816</v>
      </c>
      <c r="AL366" s="163">
        <f>VLOOKUP(IMSS[[#This Row],[SUE MENS]],$AL$110:$AN$120,3,1)</f>
        <v>0</v>
      </c>
      <c r="AM366" s="248">
        <f>IF(IMSS[[#This Row],[ISR CARGO]]-IMSS[[#This Row],[SUBS ISR]]&gt;0,IMSS[[#This Row],[ISR CARGO]]-IMSS[[#This Row],[SUBS ISR]],0)</f>
        <v>754.182816</v>
      </c>
      <c r="AN366" s="248">
        <f>IF(IMSS[[#This Row],[SUBS ISR]]-IMSS[[#This Row],[ISR CARGO]]&gt;0,IMSS[[#This Row],[SUBS ISR]]-IMSS[[#This Row],[ISR CARGO]],0)</f>
        <v>0</v>
      </c>
    </row>
    <row r="367" spans="3:40" ht="15" hidden="1" customHeight="1" x14ac:dyDescent="0.25">
      <c r="C367" s="243">
        <v>397</v>
      </c>
      <c r="D367" s="167" t="str">
        <f>VLOOKUP(IMSS[[#This Row],[NEM]],BDD[],2,0)</f>
        <v>Juan Miguel Cruz Bailon</v>
      </c>
      <c r="E367" s="167" t="str">
        <f>VLOOKUP(IMSS[[#This Row],[NEM]],BDD[],9,0)</f>
        <v>CONTROL</v>
      </c>
      <c r="F367" s="168">
        <v>30</v>
      </c>
      <c r="G367" s="139">
        <f>VLOOKUP(IMSS[[#This Row],[NEM]],BDD[],3,0)</f>
        <v>9541</v>
      </c>
      <c r="H367" s="139">
        <f ca="1">VLOOKUP(IMSS[[#This Row],[NEM]],BDD[],25,0)</f>
        <v>351.14365296803658</v>
      </c>
      <c r="I367" s="143">
        <f>VLOOKUP(IMSS[[#This Row],[DEPT]],$B$3:$G$49,6,0)</f>
        <v>5.4355000000000002E-3</v>
      </c>
      <c r="J367" s="163">
        <f ca="1">IMSS[[#This Row],[DIAS LAB]]*IMSS[[#This Row],[SDI]]*IMSS[[#This Row],[% RSG]]*$Q$108</f>
        <v>57.259239771232885</v>
      </c>
      <c r="K367" s="163">
        <f>IMSS[[#This Row],[DIAS LAB]]*$J$110*$Q$109</f>
        <v>548.47440000000006</v>
      </c>
      <c r="L367" s="166">
        <f ca="1">IMSS[[#This Row],[DIAS LAB]]*IF(IMSS[[#This Row],[SDI]]-$J$113&gt;0,IMSS[[#This Row],[SDI]]-$J$113,0)*$Q$110</f>
        <v>27.153605479452061</v>
      </c>
      <c r="M367" s="166">
        <f ca="1">IMSS[[#This Row],[DIAS LAB]]*IMSS[[#This Row],[SDI]]*$Q$111</f>
        <v>110.61025068493153</v>
      </c>
      <c r="N367" s="163">
        <f ca="1">IMSS[[#This Row],[DIAS LAB]]*IMSS[[#This Row],[SDI]]*$Q$112</f>
        <v>73.740167123287677</v>
      </c>
      <c r="O367" s="166">
        <f ca="1">IMSS[[#This Row],[DIAS LAB]]*IMSS[[#This Row],[SDI]]*$Q$113</f>
        <v>184.35041780821922</v>
      </c>
      <c r="P367" s="163">
        <f ca="1">IMSS[[#This Row],[DIAS LAB]]*IMSS[[#This Row],[SDI]]*$Q$114</f>
        <v>105.34309589041096</v>
      </c>
      <c r="Q367" s="166">
        <f ca="1">IMSS[[#This Row],[DIAS LAB]]*IMSS[[#This Row],[SDI]]*$Q$115</f>
        <v>210.68619178082193</v>
      </c>
      <c r="R367" s="163">
        <f ca="1">IMSS[[#This Row],[DIAS LAB]]*IMSS[[#This Row],[SDI]]*$Q$116</f>
        <v>331.83075205479457</v>
      </c>
      <c r="S367" s="163">
        <f ca="1">IMSS[[#This Row],[DIAS LAB]]*IMSS[[#This Row],[SDI]]*$Q$117</f>
        <v>526.71547945205486</v>
      </c>
      <c r="T367" s="164">
        <f ca="1">SUM(IMSS[[#This Row],[P RSG TRB]:[P INFONAVIT]])</f>
        <v>2176.1636000452058</v>
      </c>
      <c r="U367" s="163">
        <f ca="1">IMSS[[#This Row],[DIAS LAB]]*IMSS[[#This Row],[SDI]]*IMSS[[#This Row],[% RSG]]*$R$108</f>
        <v>0</v>
      </c>
      <c r="V367" s="163">
        <f ca="1">IMSS[[#This Row],[DIAS LAB]]*IMSS[[#This Row],[SDI]]*$R$112</f>
        <v>26.335773972602741</v>
      </c>
      <c r="W367" s="163"/>
      <c r="X367" s="163">
        <f ca="1">IMSS[[#This Row],[DIAS LAB]]*IMSS[[#This Row],[SDI]]*$R$113</f>
        <v>66.366150410958909</v>
      </c>
      <c r="Y367" s="163">
        <f ca="1">IMSS[[#This Row],[DIAS LAB]]*IMSS[[#This Row],[SDI]]*$R$114</f>
        <v>0</v>
      </c>
      <c r="Z367" s="163">
        <f ca="1">IMSS[[#This Row],[DIAS LAB]]*IMSS[[#This Row],[SDI]]*$R$115</f>
        <v>0</v>
      </c>
      <c r="AA367" s="163">
        <f ca="1">IMSS[[#This Row],[DIAS LAB]]*IMSS[[#This Row],[SDI]]*$R$116</f>
        <v>119.03769835616438</v>
      </c>
      <c r="AB367" s="163">
        <f ca="1">IMSS[[#This Row],[DIAS LAB]]*IMSS[[#This Row],[SDI]]*$R$117</f>
        <v>0</v>
      </c>
      <c r="AC367" s="247">
        <f ca="1">SUM(IMSS[[#This Row],[O RSG TRB]:[O INFONAVIT]])</f>
        <v>211.73962273972603</v>
      </c>
      <c r="AD367" s="163"/>
      <c r="AE367" s="165">
        <f ca="1">IMSS[[#This Row],[P TOTAL]]+IMSS[[#This Row],[O TOTAL]]</f>
        <v>2387.903222784932</v>
      </c>
      <c r="AF367" s="163"/>
      <c r="AG367" s="163">
        <f>VLOOKUP(IMSS[[#This Row],[SUE MENS]],$AG$110:$AJ$120,1,1)</f>
        <v>5470.93</v>
      </c>
      <c r="AH367" s="163">
        <f>IMSS[[#This Row],[SUE MENS]]-IMSS[[#This Row],[LIM INF]]</f>
        <v>4070.0699999999997</v>
      </c>
      <c r="AI367" s="163">
        <f>IMSS[[#This Row],[EXC LIM INF]]*(VLOOKUP(IMSS[[#This Row],[LIM INF]],$AG$110:$AJ$120,4,0))</f>
        <v>442.82361600000002</v>
      </c>
      <c r="AJ367" s="163">
        <f>VLOOKUP(IMSS[[#This Row],[LIM INF]],$AG$110:$AJ$120,3)</f>
        <v>321.26</v>
      </c>
      <c r="AK367" s="163">
        <f>SUM(IMSS[[#This Row],[TASA EXC]]+IMSS[[#This Row],[CUOTA FIJA]])</f>
        <v>764.08361600000001</v>
      </c>
      <c r="AL367" s="163">
        <f>VLOOKUP(IMSS[[#This Row],[SUE MENS]],$AL$110:$AN$120,3,1)</f>
        <v>0</v>
      </c>
      <c r="AM367" s="248">
        <f>IF(IMSS[[#This Row],[ISR CARGO]]-IMSS[[#This Row],[SUBS ISR]]&gt;0,IMSS[[#This Row],[ISR CARGO]]-IMSS[[#This Row],[SUBS ISR]],0)</f>
        <v>764.08361600000001</v>
      </c>
      <c r="AN367" s="248">
        <f>IF(IMSS[[#This Row],[SUBS ISR]]-IMSS[[#This Row],[ISR CARGO]]&gt;0,IMSS[[#This Row],[SUBS ISR]]-IMSS[[#This Row],[ISR CARGO]],0)</f>
        <v>0</v>
      </c>
    </row>
    <row r="368" spans="3:40" ht="15" hidden="1" customHeight="1" x14ac:dyDescent="0.25">
      <c r="C368" s="243">
        <v>398</v>
      </c>
      <c r="D368" s="167" t="str">
        <f>VLOOKUP(IMSS[[#This Row],[NEM]],BDD[],2,0)</f>
        <v>Rocio Del Carmen Hernandez Gallardo</v>
      </c>
      <c r="E368" s="167" t="str">
        <f>VLOOKUP(IMSS[[#This Row],[NEM]],BDD[],9,0)</f>
        <v>INST CAMPO</v>
      </c>
      <c r="F368" s="168">
        <v>30</v>
      </c>
      <c r="G368" s="139">
        <f>VLOOKUP(IMSS[[#This Row],[NEM]],BDD[],3,0)</f>
        <v>7445</v>
      </c>
      <c r="H368" s="139">
        <f ca="1">VLOOKUP(IMSS[[#This Row],[NEM]],BDD[],25,0)</f>
        <v>274.00319634703197</v>
      </c>
      <c r="I368" s="143">
        <f>VLOOKUP(IMSS[[#This Row],[DEPT]],$B$3:$G$49,6,0)</f>
        <v>4.6532499999999997E-2</v>
      </c>
      <c r="J368" s="163">
        <f ca="1">IMSS[[#This Row],[DIAS LAB]]*IMSS[[#This Row],[SDI]]*IMSS[[#This Row],[% RSG]]*$Q$108</f>
        <v>382.50161202054795</v>
      </c>
      <c r="K368" s="163">
        <f>IMSS[[#This Row],[DIAS LAB]]*$J$110*$Q$109</f>
        <v>548.47440000000006</v>
      </c>
      <c r="L368" s="166">
        <f ca="1">IMSS[[#This Row],[DIAS LAB]]*IF(IMSS[[#This Row],[SDI]]-$J$113&gt;0,IMSS[[#This Row],[SDI]]-$J$113,0)*$Q$110</f>
        <v>1.6972547945205467</v>
      </c>
      <c r="M368" s="166">
        <f ca="1">IMSS[[#This Row],[DIAS LAB]]*IMSS[[#This Row],[SDI]]*$Q$111</f>
        <v>86.311006849315078</v>
      </c>
      <c r="N368" s="163">
        <f ca="1">IMSS[[#This Row],[DIAS LAB]]*IMSS[[#This Row],[SDI]]*$Q$112</f>
        <v>57.540671232876718</v>
      </c>
      <c r="O368" s="166">
        <f ca="1">IMSS[[#This Row],[DIAS LAB]]*IMSS[[#This Row],[SDI]]*$Q$113</f>
        <v>143.8516780821918</v>
      </c>
      <c r="P368" s="163">
        <f ca="1">IMSS[[#This Row],[DIAS LAB]]*IMSS[[#This Row],[SDI]]*$Q$114</f>
        <v>82.200958904109598</v>
      </c>
      <c r="Q368" s="166">
        <f ca="1">IMSS[[#This Row],[DIAS LAB]]*IMSS[[#This Row],[SDI]]*$Q$115</f>
        <v>164.4019178082192</v>
      </c>
      <c r="R368" s="163">
        <f ca="1">IMSS[[#This Row],[DIAS LAB]]*IMSS[[#This Row],[SDI]]*$Q$116</f>
        <v>258.9330205479452</v>
      </c>
      <c r="S368" s="163">
        <f ca="1">IMSS[[#This Row],[DIAS LAB]]*IMSS[[#This Row],[SDI]]*$Q$117</f>
        <v>411.00479452054799</v>
      </c>
      <c r="T368" s="164">
        <f ca="1">SUM(IMSS[[#This Row],[P RSG TRB]:[P INFONAVIT]])</f>
        <v>2136.9173147602742</v>
      </c>
      <c r="U368" s="163">
        <f ca="1">IMSS[[#This Row],[DIAS LAB]]*IMSS[[#This Row],[SDI]]*IMSS[[#This Row],[% RSG]]*$R$108</f>
        <v>0</v>
      </c>
      <c r="V368" s="163">
        <f ca="1">IMSS[[#This Row],[DIAS LAB]]*IMSS[[#This Row],[SDI]]*$R$112</f>
        <v>20.550239726027399</v>
      </c>
      <c r="W368" s="163"/>
      <c r="X368" s="163">
        <f ca="1">IMSS[[#This Row],[DIAS LAB]]*IMSS[[#This Row],[SDI]]*$R$113</f>
        <v>51.786604109589042</v>
      </c>
      <c r="Y368" s="163">
        <f ca="1">IMSS[[#This Row],[DIAS LAB]]*IMSS[[#This Row],[SDI]]*$R$114</f>
        <v>0</v>
      </c>
      <c r="Z368" s="163">
        <f ca="1">IMSS[[#This Row],[DIAS LAB]]*IMSS[[#This Row],[SDI]]*$R$115</f>
        <v>0</v>
      </c>
      <c r="AA368" s="163">
        <f ca="1">IMSS[[#This Row],[DIAS LAB]]*IMSS[[#This Row],[SDI]]*$R$116</f>
        <v>92.887083561643834</v>
      </c>
      <c r="AB368" s="163">
        <f ca="1">IMSS[[#This Row],[DIAS LAB]]*IMSS[[#This Row],[SDI]]*$R$117</f>
        <v>0</v>
      </c>
      <c r="AC368" s="247">
        <f ca="1">SUM(IMSS[[#This Row],[O RSG TRB]:[O INFONAVIT]])</f>
        <v>165.22392739726027</v>
      </c>
      <c r="AD368" s="163"/>
      <c r="AE368" s="165">
        <f ca="1">IMSS[[#This Row],[P TOTAL]]+IMSS[[#This Row],[O TOTAL]]</f>
        <v>2302.1412421575346</v>
      </c>
      <c r="AF368" s="163"/>
      <c r="AG368" s="163">
        <f>VLOOKUP(IMSS[[#This Row],[SUE MENS]],$AG$110:$AJ$120,1,1)</f>
        <v>5470.93</v>
      </c>
      <c r="AH368" s="163">
        <f>IMSS[[#This Row],[SUE MENS]]-IMSS[[#This Row],[LIM INF]]</f>
        <v>1974.0699999999997</v>
      </c>
      <c r="AI368" s="163">
        <f>IMSS[[#This Row],[EXC LIM INF]]*(VLOOKUP(IMSS[[#This Row],[LIM INF]],$AG$110:$AJ$120,4,0))</f>
        <v>214.77881599999998</v>
      </c>
      <c r="AJ368" s="163">
        <f>VLOOKUP(IMSS[[#This Row],[LIM INF]],$AG$110:$AJ$120,3)</f>
        <v>321.26</v>
      </c>
      <c r="AK368" s="163">
        <f>SUM(IMSS[[#This Row],[TASA EXC]]+IMSS[[#This Row],[CUOTA FIJA]])</f>
        <v>536.038816</v>
      </c>
      <c r="AL368" s="163">
        <f>VLOOKUP(IMSS[[#This Row],[SUE MENS]],$AL$110:$AN$120,3,1)</f>
        <v>0</v>
      </c>
      <c r="AM368" s="248">
        <f>IF(IMSS[[#This Row],[ISR CARGO]]-IMSS[[#This Row],[SUBS ISR]]&gt;0,IMSS[[#This Row],[ISR CARGO]]-IMSS[[#This Row],[SUBS ISR]],0)</f>
        <v>536.038816</v>
      </c>
      <c r="AN368" s="248">
        <f>IF(IMSS[[#This Row],[SUBS ISR]]-IMSS[[#This Row],[ISR CARGO]]&gt;0,IMSS[[#This Row],[SUBS ISR]]-IMSS[[#This Row],[ISR CARGO]],0)</f>
        <v>0</v>
      </c>
    </row>
    <row r="369" spans="3:40" ht="15" hidden="1" customHeight="1" x14ac:dyDescent="0.25">
      <c r="C369" s="243">
        <v>399</v>
      </c>
      <c r="D369" s="167" t="str">
        <f>VLOOKUP(IMSS[[#This Row],[NEM]],BDD[],2,0)</f>
        <v>Damaris López Cárcamo</v>
      </c>
      <c r="E369" s="167" t="str">
        <f>VLOOKUP(IMSS[[#This Row],[NEM]],BDD[],9,0)</f>
        <v>MATERIALES</v>
      </c>
      <c r="F369" s="168">
        <v>30</v>
      </c>
      <c r="G369" s="139">
        <f>VLOOKUP(IMSS[[#This Row],[NEM]],BDD[],3,0)</f>
        <v>7445</v>
      </c>
      <c r="H369" s="139">
        <f ca="1">VLOOKUP(IMSS[[#This Row],[NEM]],BDD[],25,0)</f>
        <v>274.00319634703197</v>
      </c>
      <c r="I369" s="143">
        <f>VLOOKUP(IMSS[[#This Row],[DEPT]],$B$3:$G$49,6,0)</f>
        <v>4.6532499999999997E-2</v>
      </c>
      <c r="J369" s="163">
        <f ca="1">IMSS[[#This Row],[DIAS LAB]]*IMSS[[#This Row],[SDI]]*IMSS[[#This Row],[% RSG]]*$Q$108</f>
        <v>382.50161202054795</v>
      </c>
      <c r="K369" s="163">
        <f>IMSS[[#This Row],[DIAS LAB]]*$J$110*$Q$109</f>
        <v>548.47440000000006</v>
      </c>
      <c r="L369" s="166">
        <f ca="1">IMSS[[#This Row],[DIAS LAB]]*IF(IMSS[[#This Row],[SDI]]-$J$113&gt;0,IMSS[[#This Row],[SDI]]-$J$113,0)*$Q$110</f>
        <v>1.6972547945205467</v>
      </c>
      <c r="M369" s="166">
        <f ca="1">IMSS[[#This Row],[DIAS LAB]]*IMSS[[#This Row],[SDI]]*$Q$111</f>
        <v>86.311006849315078</v>
      </c>
      <c r="N369" s="163">
        <f ca="1">IMSS[[#This Row],[DIAS LAB]]*IMSS[[#This Row],[SDI]]*$Q$112</f>
        <v>57.540671232876718</v>
      </c>
      <c r="O369" s="166">
        <f ca="1">IMSS[[#This Row],[DIAS LAB]]*IMSS[[#This Row],[SDI]]*$Q$113</f>
        <v>143.8516780821918</v>
      </c>
      <c r="P369" s="163">
        <f ca="1">IMSS[[#This Row],[DIAS LAB]]*IMSS[[#This Row],[SDI]]*$Q$114</f>
        <v>82.200958904109598</v>
      </c>
      <c r="Q369" s="166">
        <f ca="1">IMSS[[#This Row],[DIAS LAB]]*IMSS[[#This Row],[SDI]]*$Q$115</f>
        <v>164.4019178082192</v>
      </c>
      <c r="R369" s="163">
        <f ca="1">IMSS[[#This Row],[DIAS LAB]]*IMSS[[#This Row],[SDI]]*$Q$116</f>
        <v>258.9330205479452</v>
      </c>
      <c r="S369" s="163">
        <f ca="1">IMSS[[#This Row],[DIAS LAB]]*IMSS[[#This Row],[SDI]]*$Q$117</f>
        <v>411.00479452054799</v>
      </c>
      <c r="T369" s="164">
        <f ca="1">SUM(IMSS[[#This Row],[P RSG TRB]:[P INFONAVIT]])</f>
        <v>2136.9173147602742</v>
      </c>
      <c r="U369" s="163">
        <f ca="1">IMSS[[#This Row],[DIAS LAB]]*IMSS[[#This Row],[SDI]]*IMSS[[#This Row],[% RSG]]*$R$108</f>
        <v>0</v>
      </c>
      <c r="V369" s="163">
        <f ca="1">IMSS[[#This Row],[DIAS LAB]]*IMSS[[#This Row],[SDI]]*$R$112</f>
        <v>20.550239726027399</v>
      </c>
      <c r="W369" s="163"/>
      <c r="X369" s="163">
        <f ca="1">IMSS[[#This Row],[DIAS LAB]]*IMSS[[#This Row],[SDI]]*$R$113</f>
        <v>51.786604109589042</v>
      </c>
      <c r="Y369" s="163">
        <f ca="1">IMSS[[#This Row],[DIAS LAB]]*IMSS[[#This Row],[SDI]]*$R$114</f>
        <v>0</v>
      </c>
      <c r="Z369" s="163">
        <f ca="1">IMSS[[#This Row],[DIAS LAB]]*IMSS[[#This Row],[SDI]]*$R$115</f>
        <v>0</v>
      </c>
      <c r="AA369" s="163">
        <f ca="1">IMSS[[#This Row],[DIAS LAB]]*IMSS[[#This Row],[SDI]]*$R$116</f>
        <v>92.887083561643834</v>
      </c>
      <c r="AB369" s="163">
        <f ca="1">IMSS[[#This Row],[DIAS LAB]]*IMSS[[#This Row],[SDI]]*$R$117</f>
        <v>0</v>
      </c>
      <c r="AC369" s="247">
        <f ca="1">SUM(IMSS[[#This Row],[O RSG TRB]:[O INFONAVIT]])</f>
        <v>165.22392739726027</v>
      </c>
      <c r="AD369" s="163"/>
      <c r="AE369" s="165">
        <f ca="1">IMSS[[#This Row],[P TOTAL]]+IMSS[[#This Row],[O TOTAL]]</f>
        <v>2302.1412421575346</v>
      </c>
      <c r="AF369" s="163"/>
      <c r="AG369" s="163">
        <f>VLOOKUP(IMSS[[#This Row],[SUE MENS]],$AG$110:$AJ$120,1,1)</f>
        <v>5470.93</v>
      </c>
      <c r="AH369" s="163">
        <f>IMSS[[#This Row],[SUE MENS]]-IMSS[[#This Row],[LIM INF]]</f>
        <v>1974.0699999999997</v>
      </c>
      <c r="AI369" s="163">
        <f>IMSS[[#This Row],[EXC LIM INF]]*(VLOOKUP(IMSS[[#This Row],[LIM INF]],$AG$110:$AJ$120,4,0))</f>
        <v>214.77881599999998</v>
      </c>
      <c r="AJ369" s="163">
        <f>VLOOKUP(IMSS[[#This Row],[LIM INF]],$AG$110:$AJ$120,3)</f>
        <v>321.26</v>
      </c>
      <c r="AK369" s="163">
        <f>SUM(IMSS[[#This Row],[TASA EXC]]+IMSS[[#This Row],[CUOTA FIJA]])</f>
        <v>536.038816</v>
      </c>
      <c r="AL369" s="163">
        <f>VLOOKUP(IMSS[[#This Row],[SUE MENS]],$AL$110:$AN$120,3,1)</f>
        <v>0</v>
      </c>
      <c r="AM369" s="248">
        <f>IF(IMSS[[#This Row],[ISR CARGO]]-IMSS[[#This Row],[SUBS ISR]]&gt;0,IMSS[[#This Row],[ISR CARGO]]-IMSS[[#This Row],[SUBS ISR]],0)</f>
        <v>536.038816</v>
      </c>
      <c r="AN369" s="248">
        <f>IF(IMSS[[#This Row],[SUBS ISR]]-IMSS[[#This Row],[ISR CARGO]]&gt;0,IMSS[[#This Row],[SUBS ISR]]-IMSS[[#This Row],[ISR CARGO]],0)</f>
        <v>0</v>
      </c>
    </row>
    <row r="370" spans="3:40" ht="15" hidden="1" customHeight="1" x14ac:dyDescent="0.25">
      <c r="C370" s="243">
        <v>401</v>
      </c>
      <c r="D370" s="139" t="str">
        <f>VLOOKUP(IMSS[[#This Row],[NEM]],BDD[],2,0)</f>
        <v>Juan Pablo Arellano Mejia</v>
      </c>
      <c r="E370" s="139" t="str">
        <f>VLOOKUP(IMSS[[#This Row],[NEM]],BDD[],9,0)</f>
        <v>MATERIALES</v>
      </c>
      <c r="F370" s="168">
        <v>30</v>
      </c>
      <c r="G370" s="139">
        <f>VLOOKUP(IMSS[[#This Row],[NEM]],BDD[],3,0)</f>
        <v>7445</v>
      </c>
      <c r="H370" s="139">
        <f ca="1">VLOOKUP(IMSS[[#This Row],[NEM]],BDD[],25,0)</f>
        <v>274.00319634703197</v>
      </c>
      <c r="I370" s="143">
        <f>VLOOKUP(IMSS[[#This Row],[DEPT]],$B$3:$G$49,6,0)</f>
        <v>4.6532499999999997E-2</v>
      </c>
      <c r="J370" s="163">
        <f ca="1">IMSS[[#This Row],[DIAS LAB]]*IMSS[[#This Row],[SDI]]*IMSS[[#This Row],[% RSG]]*$Q$108</f>
        <v>382.50161202054795</v>
      </c>
      <c r="K370" s="166">
        <f>IMSS[[#This Row],[DIAS LAB]]*$J$110*$Q$109</f>
        <v>548.47440000000006</v>
      </c>
      <c r="L370" s="163">
        <f ca="1">IMSS[[#This Row],[DIAS LAB]]*IF(IMSS[[#This Row],[SDI]]-$J$113&gt;0,IMSS[[#This Row],[SDI]]-$J$113,0)*$Q$110</f>
        <v>1.6972547945205467</v>
      </c>
      <c r="M370" s="163">
        <f ca="1">IMSS[[#This Row],[DIAS LAB]]*IMSS[[#This Row],[SDI]]*$Q$111</f>
        <v>86.311006849315078</v>
      </c>
      <c r="N370" s="163">
        <f ca="1">IMSS[[#This Row],[DIAS LAB]]*IMSS[[#This Row],[SDI]]*$Q$112</f>
        <v>57.540671232876718</v>
      </c>
      <c r="O370" s="163">
        <f ca="1">IMSS[[#This Row],[DIAS LAB]]*IMSS[[#This Row],[SDI]]*$Q$113</f>
        <v>143.8516780821918</v>
      </c>
      <c r="P370" s="163">
        <f ca="1">IMSS[[#This Row],[DIAS LAB]]*IMSS[[#This Row],[SDI]]*$Q$114</f>
        <v>82.200958904109598</v>
      </c>
      <c r="Q370" s="163">
        <f ca="1">IMSS[[#This Row],[DIAS LAB]]*IMSS[[#This Row],[SDI]]*$Q$115</f>
        <v>164.4019178082192</v>
      </c>
      <c r="R370" s="163">
        <f ca="1">IMSS[[#This Row],[DIAS LAB]]*IMSS[[#This Row],[SDI]]*$Q$116</f>
        <v>258.9330205479452</v>
      </c>
      <c r="S370" s="163">
        <f ca="1">IMSS[[#This Row],[DIAS LAB]]*IMSS[[#This Row],[SDI]]*$Q$117</f>
        <v>411.00479452054799</v>
      </c>
      <c r="T370" s="164">
        <f ca="1">SUM(IMSS[[#This Row],[P RSG TRB]:[P INFONAVIT]])</f>
        <v>2136.9173147602742</v>
      </c>
      <c r="U370" s="163">
        <f ca="1">IMSS[[#This Row],[DIAS LAB]]*IMSS[[#This Row],[SDI]]*IMSS[[#This Row],[% RSG]]*$R$108</f>
        <v>0</v>
      </c>
      <c r="V370" s="163">
        <f ca="1">IMSS[[#This Row],[DIAS LAB]]*IMSS[[#This Row],[SDI]]*$R$112</f>
        <v>20.550239726027399</v>
      </c>
      <c r="W370" s="163"/>
      <c r="X370" s="163">
        <f ca="1">IMSS[[#This Row],[DIAS LAB]]*IMSS[[#This Row],[SDI]]*$R$113</f>
        <v>51.786604109589042</v>
      </c>
      <c r="Y370" s="163">
        <f ca="1">IMSS[[#This Row],[DIAS LAB]]*IMSS[[#This Row],[SDI]]*$R$114</f>
        <v>0</v>
      </c>
      <c r="Z370" s="163">
        <f ca="1">IMSS[[#This Row],[DIAS LAB]]*IMSS[[#This Row],[SDI]]*$R$115</f>
        <v>0</v>
      </c>
      <c r="AA370" s="163">
        <f ca="1">IMSS[[#This Row],[DIAS LAB]]*IMSS[[#This Row],[SDI]]*$R$116</f>
        <v>92.887083561643834</v>
      </c>
      <c r="AB370" s="163">
        <f ca="1">IMSS[[#This Row],[DIAS LAB]]*IMSS[[#This Row],[SDI]]*$R$117</f>
        <v>0</v>
      </c>
      <c r="AC370" s="247">
        <f ca="1">SUM(IMSS[[#This Row],[O RSG TRB]:[O INFONAVIT]])</f>
        <v>165.22392739726027</v>
      </c>
      <c r="AD370" s="163"/>
      <c r="AE370" s="165">
        <f ca="1">IMSS[[#This Row],[P TOTAL]]+IMSS[[#This Row],[O TOTAL]]</f>
        <v>2302.1412421575346</v>
      </c>
      <c r="AF370" s="163"/>
      <c r="AG370" s="163">
        <f>VLOOKUP(IMSS[[#This Row],[SUE MENS]],$AG$110:$AJ$120,1,1)</f>
        <v>5470.93</v>
      </c>
      <c r="AH370" s="163">
        <f>IMSS[[#This Row],[SUE MENS]]-IMSS[[#This Row],[LIM INF]]</f>
        <v>1974.0699999999997</v>
      </c>
      <c r="AI370" s="163">
        <f>IMSS[[#This Row],[EXC LIM INF]]*(VLOOKUP(IMSS[[#This Row],[LIM INF]],$AG$110:$AJ$120,4,0))</f>
        <v>214.77881599999998</v>
      </c>
      <c r="AJ370" s="163">
        <f>VLOOKUP(IMSS[[#This Row],[LIM INF]],$AG$110:$AJ$120,3)</f>
        <v>321.26</v>
      </c>
      <c r="AK370" s="163">
        <f>SUM(IMSS[[#This Row],[TASA EXC]]+IMSS[[#This Row],[CUOTA FIJA]])</f>
        <v>536.038816</v>
      </c>
      <c r="AL370" s="163">
        <f>VLOOKUP(IMSS[[#This Row],[SUE MENS]],$AL$110:$AN$120,3,1)</f>
        <v>0</v>
      </c>
      <c r="AM370" s="248">
        <f>IF(IMSS[[#This Row],[ISR CARGO]]-IMSS[[#This Row],[SUBS ISR]]&gt;0,IMSS[[#This Row],[ISR CARGO]]-IMSS[[#This Row],[SUBS ISR]],0)</f>
        <v>536.038816</v>
      </c>
      <c r="AN370" s="248">
        <f>IF(IMSS[[#This Row],[SUBS ISR]]-IMSS[[#This Row],[ISR CARGO]]&gt;0,IMSS[[#This Row],[SUBS ISR]]-IMSS[[#This Row],[ISR CARGO]],0)</f>
        <v>0</v>
      </c>
    </row>
    <row r="371" spans="3:40" ht="15" hidden="1" customHeight="1" x14ac:dyDescent="0.25">
      <c r="C371" s="243">
        <v>402</v>
      </c>
      <c r="D371" s="167" t="str">
        <f>VLOOKUP(IMSS[[#This Row],[NEM]],BDD[],2,0)</f>
        <v>José Humberto Peñaflor Galicia</v>
      </c>
      <c r="E371" s="167" t="str">
        <f>VLOOKUP(IMSS[[#This Row],[NEM]],BDD[],9,0)</f>
        <v>ESTRUCTURA</v>
      </c>
      <c r="F371" s="168">
        <v>30</v>
      </c>
      <c r="G371" s="139">
        <f>VLOOKUP(IMSS[[#This Row],[NEM]],BDD[],3,0)</f>
        <v>9541</v>
      </c>
      <c r="H371" s="139">
        <f ca="1">VLOOKUP(IMSS[[#This Row],[NEM]],BDD[],25,0)</f>
        <v>351.14365296803658</v>
      </c>
      <c r="I371" s="143">
        <f>VLOOKUP(IMSS[[#This Row],[DEPT]],$B$3:$G$49,6,0)</f>
        <v>2.5984400000000001E-2</v>
      </c>
      <c r="J371" s="163">
        <f ca="1">IMSS[[#This Row],[DIAS LAB]]*IMSS[[#This Row],[SDI]]*IMSS[[#This Row],[% RSG]]*$Q$108</f>
        <v>273.72771408547948</v>
      </c>
      <c r="K371" s="163">
        <f>IMSS[[#This Row],[DIAS LAB]]*$J$110*$Q$109</f>
        <v>548.47440000000006</v>
      </c>
      <c r="L371" s="166">
        <f ca="1">IMSS[[#This Row],[DIAS LAB]]*IF(IMSS[[#This Row],[SDI]]-$J$113&gt;0,IMSS[[#This Row],[SDI]]-$J$113,0)*$Q$110</f>
        <v>27.153605479452061</v>
      </c>
      <c r="M371" s="166">
        <f ca="1">IMSS[[#This Row],[DIAS LAB]]*IMSS[[#This Row],[SDI]]*$Q$111</f>
        <v>110.61025068493153</v>
      </c>
      <c r="N371" s="163">
        <f ca="1">IMSS[[#This Row],[DIAS LAB]]*IMSS[[#This Row],[SDI]]*$Q$112</f>
        <v>73.740167123287677</v>
      </c>
      <c r="O371" s="166">
        <f ca="1">IMSS[[#This Row],[DIAS LAB]]*IMSS[[#This Row],[SDI]]*$Q$113</f>
        <v>184.35041780821922</v>
      </c>
      <c r="P371" s="163">
        <f ca="1">IMSS[[#This Row],[DIAS LAB]]*IMSS[[#This Row],[SDI]]*$Q$114</f>
        <v>105.34309589041096</v>
      </c>
      <c r="Q371" s="166">
        <f ca="1">IMSS[[#This Row],[DIAS LAB]]*IMSS[[#This Row],[SDI]]*$Q$115</f>
        <v>210.68619178082193</v>
      </c>
      <c r="R371" s="163">
        <f ca="1">IMSS[[#This Row],[DIAS LAB]]*IMSS[[#This Row],[SDI]]*$Q$116</f>
        <v>331.83075205479457</v>
      </c>
      <c r="S371" s="163">
        <f ca="1">IMSS[[#This Row],[DIAS LAB]]*IMSS[[#This Row],[SDI]]*$Q$117</f>
        <v>526.71547945205486</v>
      </c>
      <c r="T371" s="164">
        <f ca="1">SUM(IMSS[[#This Row],[P RSG TRB]:[P INFONAVIT]])</f>
        <v>2392.6320743594524</v>
      </c>
      <c r="U371" s="163">
        <f ca="1">IMSS[[#This Row],[DIAS LAB]]*IMSS[[#This Row],[SDI]]*IMSS[[#This Row],[% RSG]]*$R$108</f>
        <v>0</v>
      </c>
      <c r="V371" s="163">
        <f ca="1">IMSS[[#This Row],[DIAS LAB]]*IMSS[[#This Row],[SDI]]*$R$112</f>
        <v>26.335773972602741</v>
      </c>
      <c r="W371" s="163"/>
      <c r="X371" s="163">
        <f ca="1">IMSS[[#This Row],[DIAS LAB]]*IMSS[[#This Row],[SDI]]*$R$113</f>
        <v>66.366150410958909</v>
      </c>
      <c r="Y371" s="163">
        <f ca="1">IMSS[[#This Row],[DIAS LAB]]*IMSS[[#This Row],[SDI]]*$R$114</f>
        <v>0</v>
      </c>
      <c r="Z371" s="163">
        <f ca="1">IMSS[[#This Row],[DIAS LAB]]*IMSS[[#This Row],[SDI]]*$R$115</f>
        <v>0</v>
      </c>
      <c r="AA371" s="163">
        <f ca="1">IMSS[[#This Row],[DIAS LAB]]*IMSS[[#This Row],[SDI]]*$R$116</f>
        <v>119.03769835616438</v>
      </c>
      <c r="AB371" s="163">
        <f ca="1">IMSS[[#This Row],[DIAS LAB]]*IMSS[[#This Row],[SDI]]*$R$117</f>
        <v>0</v>
      </c>
      <c r="AC371" s="247">
        <f ca="1">SUM(IMSS[[#This Row],[O RSG TRB]:[O INFONAVIT]])</f>
        <v>211.73962273972603</v>
      </c>
      <c r="AD371" s="163"/>
      <c r="AE371" s="165">
        <f ca="1">IMSS[[#This Row],[P TOTAL]]+IMSS[[#This Row],[O TOTAL]]</f>
        <v>2604.3716970991786</v>
      </c>
      <c r="AF371" s="163"/>
      <c r="AG371" s="163">
        <f>VLOOKUP(IMSS[[#This Row],[SUE MENS]],$AG$110:$AJ$120,1,1)</f>
        <v>5470.93</v>
      </c>
      <c r="AH371" s="163">
        <f>IMSS[[#This Row],[SUE MENS]]-IMSS[[#This Row],[LIM INF]]</f>
        <v>4070.0699999999997</v>
      </c>
      <c r="AI371" s="163">
        <f>IMSS[[#This Row],[EXC LIM INF]]*(VLOOKUP(IMSS[[#This Row],[LIM INF]],$AG$110:$AJ$120,4,0))</f>
        <v>442.82361600000002</v>
      </c>
      <c r="AJ371" s="163">
        <f>VLOOKUP(IMSS[[#This Row],[LIM INF]],$AG$110:$AJ$120,3)</f>
        <v>321.26</v>
      </c>
      <c r="AK371" s="163">
        <f>SUM(IMSS[[#This Row],[TASA EXC]]+IMSS[[#This Row],[CUOTA FIJA]])</f>
        <v>764.08361600000001</v>
      </c>
      <c r="AL371" s="163">
        <f>VLOOKUP(IMSS[[#This Row],[SUE MENS]],$AL$110:$AN$120,3,1)</f>
        <v>0</v>
      </c>
      <c r="AM371" s="248">
        <f>IF(IMSS[[#This Row],[ISR CARGO]]-IMSS[[#This Row],[SUBS ISR]]&gt;0,IMSS[[#This Row],[ISR CARGO]]-IMSS[[#This Row],[SUBS ISR]],0)</f>
        <v>764.08361600000001</v>
      </c>
      <c r="AN371" s="248">
        <f>IF(IMSS[[#This Row],[SUBS ISR]]-IMSS[[#This Row],[ISR CARGO]]&gt;0,IMSS[[#This Row],[SUBS ISR]]-IMSS[[#This Row],[ISR CARGO]],0)</f>
        <v>0</v>
      </c>
    </row>
    <row r="372" spans="3:40" ht="15" hidden="1" customHeight="1" x14ac:dyDescent="0.25">
      <c r="C372" s="243">
        <v>403</v>
      </c>
      <c r="D372" s="167" t="str">
        <f>VLOOKUP(IMSS[[#This Row],[NEM]],BDD[],2,0)</f>
        <v>Sheyla Rubi Ocampo Ponce</v>
      </c>
      <c r="E372" s="167" t="str">
        <f>VLOOKUP(IMSS[[#This Row],[NEM]],BDD[],9,0)</f>
        <v>COMPRAS</v>
      </c>
      <c r="F372" s="168">
        <v>30</v>
      </c>
      <c r="G372" s="139">
        <f>VLOOKUP(IMSS[[#This Row],[NEM]],BDD[],3,0)</f>
        <v>7950</v>
      </c>
      <c r="H372" s="139">
        <f ca="1">VLOOKUP(IMSS[[#This Row],[NEM]],BDD[],25,0)</f>
        <v>292.58904109589042</v>
      </c>
      <c r="I372" s="143">
        <f>VLOOKUP(IMSS[[#This Row],[DEPT]],$B$3:$G$49,6,0)</f>
        <v>5.4355000000000002E-3</v>
      </c>
      <c r="J372" s="163">
        <f ca="1">IMSS[[#This Row],[DIAS LAB]]*IMSS[[#This Row],[SDI]]*IMSS[[#This Row],[% RSG]]*$Q$108</f>
        <v>47.711031986301379</v>
      </c>
      <c r="K372" s="163">
        <f>IMSS[[#This Row],[DIAS LAB]]*$J$110*$Q$109</f>
        <v>548.47440000000006</v>
      </c>
      <c r="L372" s="166">
        <f ca="1">IMSS[[#This Row],[DIAS LAB]]*IF(IMSS[[#This Row],[SDI]]-$J$113&gt;0,IMSS[[#This Row],[SDI]]-$J$113,0)*$Q$110</f>
        <v>7.8305835616438344</v>
      </c>
      <c r="M372" s="166">
        <f ca="1">IMSS[[#This Row],[DIAS LAB]]*IMSS[[#This Row],[SDI]]*$Q$111</f>
        <v>92.165547945205503</v>
      </c>
      <c r="N372" s="163">
        <f ca="1">IMSS[[#This Row],[DIAS LAB]]*IMSS[[#This Row],[SDI]]*$Q$112</f>
        <v>61.443698630136993</v>
      </c>
      <c r="O372" s="166">
        <f ca="1">IMSS[[#This Row],[DIAS LAB]]*IMSS[[#This Row],[SDI]]*$Q$113</f>
        <v>153.6092465753425</v>
      </c>
      <c r="P372" s="163">
        <f ca="1">IMSS[[#This Row],[DIAS LAB]]*IMSS[[#This Row],[SDI]]*$Q$114</f>
        <v>87.776712328767132</v>
      </c>
      <c r="Q372" s="166">
        <f ca="1">IMSS[[#This Row],[DIAS LAB]]*IMSS[[#This Row],[SDI]]*$Q$115</f>
        <v>175.55342465753426</v>
      </c>
      <c r="R372" s="163">
        <f ca="1">IMSS[[#This Row],[DIAS LAB]]*IMSS[[#This Row],[SDI]]*$Q$116</f>
        <v>276.49664383561645</v>
      </c>
      <c r="S372" s="163">
        <f ca="1">IMSS[[#This Row],[DIAS LAB]]*IMSS[[#This Row],[SDI]]*$Q$117</f>
        <v>438.88356164383572</v>
      </c>
      <c r="T372" s="164">
        <f ca="1">SUM(IMSS[[#This Row],[P RSG TRB]:[P INFONAVIT]])</f>
        <v>1889.9448511643839</v>
      </c>
      <c r="U372" s="163">
        <f ca="1">IMSS[[#This Row],[DIAS LAB]]*IMSS[[#This Row],[SDI]]*IMSS[[#This Row],[% RSG]]*$R$108</f>
        <v>0</v>
      </c>
      <c r="V372" s="163">
        <f ca="1">IMSS[[#This Row],[DIAS LAB]]*IMSS[[#This Row],[SDI]]*$R$112</f>
        <v>21.944178082191783</v>
      </c>
      <c r="W372" s="163"/>
      <c r="X372" s="163">
        <f ca="1">IMSS[[#This Row],[DIAS LAB]]*IMSS[[#This Row],[SDI]]*$R$113</f>
        <v>55.299328767123292</v>
      </c>
      <c r="Y372" s="163">
        <f ca="1">IMSS[[#This Row],[DIAS LAB]]*IMSS[[#This Row],[SDI]]*$R$114</f>
        <v>0</v>
      </c>
      <c r="Z372" s="163">
        <f ca="1">IMSS[[#This Row],[DIAS LAB]]*IMSS[[#This Row],[SDI]]*$R$115</f>
        <v>0</v>
      </c>
      <c r="AA372" s="163">
        <f ca="1">IMSS[[#This Row],[DIAS LAB]]*IMSS[[#This Row],[SDI]]*$R$116</f>
        <v>99.187684931506851</v>
      </c>
      <c r="AB372" s="163">
        <f ca="1">IMSS[[#This Row],[DIAS LAB]]*IMSS[[#This Row],[SDI]]*$R$117</f>
        <v>0</v>
      </c>
      <c r="AC372" s="247">
        <f ca="1">SUM(IMSS[[#This Row],[O RSG TRB]:[O INFONAVIT]])</f>
        <v>176.43119178082193</v>
      </c>
      <c r="AD372" s="163"/>
      <c r="AE372" s="165">
        <f ca="1">IMSS[[#This Row],[P TOTAL]]+IMSS[[#This Row],[O TOTAL]]</f>
        <v>2066.3760429452059</v>
      </c>
      <c r="AF372" s="163"/>
      <c r="AG372" s="163">
        <f>VLOOKUP(IMSS[[#This Row],[SUE MENS]],$AG$110:$AJ$120,1,1)</f>
        <v>5470.93</v>
      </c>
      <c r="AH372" s="163">
        <f>IMSS[[#This Row],[SUE MENS]]-IMSS[[#This Row],[LIM INF]]</f>
        <v>2479.0699999999997</v>
      </c>
      <c r="AI372" s="163">
        <f>IMSS[[#This Row],[EXC LIM INF]]*(VLOOKUP(IMSS[[#This Row],[LIM INF]],$AG$110:$AJ$120,4,0))</f>
        <v>269.72281599999997</v>
      </c>
      <c r="AJ372" s="163">
        <f>VLOOKUP(IMSS[[#This Row],[LIM INF]],$AG$110:$AJ$120,3)</f>
        <v>321.26</v>
      </c>
      <c r="AK372" s="163">
        <f>SUM(IMSS[[#This Row],[TASA EXC]]+IMSS[[#This Row],[CUOTA FIJA]])</f>
        <v>590.98281599999996</v>
      </c>
      <c r="AL372" s="163">
        <f>VLOOKUP(IMSS[[#This Row],[SUE MENS]],$AL$110:$AN$120,3,1)</f>
        <v>0</v>
      </c>
      <c r="AM372" s="248">
        <f>IF(IMSS[[#This Row],[ISR CARGO]]-IMSS[[#This Row],[SUBS ISR]]&gt;0,IMSS[[#This Row],[ISR CARGO]]-IMSS[[#This Row],[SUBS ISR]],0)</f>
        <v>590.98281599999996</v>
      </c>
      <c r="AN372" s="248">
        <f>IF(IMSS[[#This Row],[SUBS ISR]]-IMSS[[#This Row],[ISR CARGO]]&gt;0,IMSS[[#This Row],[SUBS ISR]]-IMSS[[#This Row],[ISR CARGO]],0)</f>
        <v>0</v>
      </c>
    </row>
    <row r="373" spans="3:40" ht="15" hidden="1" customHeight="1" x14ac:dyDescent="0.25">
      <c r="C373" s="243">
        <v>404</v>
      </c>
      <c r="D373" s="167" t="str">
        <f>VLOOKUP(IMSS[[#This Row],[NEM]],BDD[],2,0)</f>
        <v>Jaime Alejandro Sanchez Niño</v>
      </c>
      <c r="E373" s="167" t="str">
        <f>VLOOKUP(IMSS[[#This Row],[NEM]],BDD[],9,0)</f>
        <v>INST CAMPO</v>
      </c>
      <c r="F373" s="168">
        <v>30</v>
      </c>
      <c r="G373" s="139">
        <f>VLOOKUP(IMSS[[#This Row],[NEM]],BDD[],3,0)</f>
        <v>9450</v>
      </c>
      <c r="H373" s="139">
        <f ca="1">VLOOKUP(IMSS[[#This Row],[NEM]],BDD[],25,0)</f>
        <v>347.79452054794518</v>
      </c>
      <c r="I373" s="143">
        <f>VLOOKUP(IMSS[[#This Row],[DEPT]],$B$3:$G$49,6,0)</f>
        <v>4.6532499999999997E-2</v>
      </c>
      <c r="J373" s="163">
        <f ca="1">IMSS[[#This Row],[DIAS LAB]]*IMSS[[#This Row],[SDI]]*IMSS[[#This Row],[% RSG]]*$Q$108</f>
        <v>485.51245582191774</v>
      </c>
      <c r="K373" s="163">
        <f>IMSS[[#This Row],[DIAS LAB]]*$J$110*$Q$109</f>
        <v>548.47440000000006</v>
      </c>
      <c r="L373" s="166">
        <f ca="1">IMSS[[#This Row],[DIAS LAB]]*IF(IMSS[[#This Row],[SDI]]-$J$113&gt;0,IMSS[[#This Row],[SDI]]-$J$113,0)*$Q$110</f>
        <v>26.048391780821905</v>
      </c>
      <c r="M373" s="166">
        <f ca="1">IMSS[[#This Row],[DIAS LAB]]*IMSS[[#This Row],[SDI]]*$Q$111</f>
        <v>109.55527397260273</v>
      </c>
      <c r="N373" s="163">
        <f ca="1">IMSS[[#This Row],[DIAS LAB]]*IMSS[[#This Row],[SDI]]*$Q$112</f>
        <v>73.03684931506848</v>
      </c>
      <c r="O373" s="166">
        <f ca="1">IMSS[[#This Row],[DIAS LAB]]*IMSS[[#This Row],[SDI]]*$Q$113</f>
        <v>182.59212328767123</v>
      </c>
      <c r="P373" s="163">
        <f ca="1">IMSS[[#This Row],[DIAS LAB]]*IMSS[[#This Row],[SDI]]*$Q$114</f>
        <v>104.33835616438355</v>
      </c>
      <c r="Q373" s="166">
        <f ca="1">IMSS[[#This Row],[DIAS LAB]]*IMSS[[#This Row],[SDI]]*$Q$115</f>
        <v>208.67671232876711</v>
      </c>
      <c r="R373" s="163">
        <f ca="1">IMSS[[#This Row],[DIAS LAB]]*IMSS[[#This Row],[SDI]]*$Q$116</f>
        <v>328.66582191780816</v>
      </c>
      <c r="S373" s="163">
        <f ca="1">IMSS[[#This Row],[DIAS LAB]]*IMSS[[#This Row],[SDI]]*$Q$117</f>
        <v>521.69178082191775</v>
      </c>
      <c r="T373" s="164">
        <f ca="1">SUM(IMSS[[#This Row],[P RSG TRB]:[P INFONAVIT]])</f>
        <v>2588.5921654109588</v>
      </c>
      <c r="U373" s="163">
        <f ca="1">IMSS[[#This Row],[DIAS LAB]]*IMSS[[#This Row],[SDI]]*IMSS[[#This Row],[% RSG]]*$R$108</f>
        <v>0</v>
      </c>
      <c r="V373" s="163">
        <f ca="1">IMSS[[#This Row],[DIAS LAB]]*IMSS[[#This Row],[SDI]]*$R$112</f>
        <v>26.084589041095889</v>
      </c>
      <c r="W373" s="163"/>
      <c r="X373" s="163">
        <f ca="1">IMSS[[#This Row],[DIAS LAB]]*IMSS[[#This Row],[SDI]]*$R$113</f>
        <v>65.733164383561643</v>
      </c>
      <c r="Y373" s="163">
        <f ca="1">IMSS[[#This Row],[DIAS LAB]]*IMSS[[#This Row],[SDI]]*$R$114</f>
        <v>0</v>
      </c>
      <c r="Z373" s="163">
        <f ca="1">IMSS[[#This Row],[DIAS LAB]]*IMSS[[#This Row],[SDI]]*$R$115</f>
        <v>0</v>
      </c>
      <c r="AA373" s="163">
        <f ca="1">IMSS[[#This Row],[DIAS LAB]]*IMSS[[#This Row],[SDI]]*$R$116</f>
        <v>117.90234246575341</v>
      </c>
      <c r="AB373" s="163">
        <f ca="1">IMSS[[#This Row],[DIAS LAB]]*IMSS[[#This Row],[SDI]]*$R$117</f>
        <v>0</v>
      </c>
      <c r="AC373" s="247">
        <f ca="1">SUM(IMSS[[#This Row],[O RSG TRB]:[O INFONAVIT]])</f>
        <v>209.72009589041093</v>
      </c>
      <c r="AD373" s="163"/>
      <c r="AE373" s="165">
        <f ca="1">IMSS[[#This Row],[P TOTAL]]+IMSS[[#This Row],[O TOTAL]]</f>
        <v>2798.3122613013697</v>
      </c>
      <c r="AF373" s="163"/>
      <c r="AG373" s="163">
        <f>VLOOKUP(IMSS[[#This Row],[SUE MENS]],$AG$110:$AJ$120,1,1)</f>
        <v>5470.93</v>
      </c>
      <c r="AH373" s="163">
        <f>IMSS[[#This Row],[SUE MENS]]-IMSS[[#This Row],[LIM INF]]</f>
        <v>3979.0699999999997</v>
      </c>
      <c r="AI373" s="163">
        <f>IMSS[[#This Row],[EXC LIM INF]]*(VLOOKUP(IMSS[[#This Row],[LIM INF]],$AG$110:$AJ$120,4,0))</f>
        <v>432.92281600000001</v>
      </c>
      <c r="AJ373" s="163">
        <f>VLOOKUP(IMSS[[#This Row],[LIM INF]],$AG$110:$AJ$120,3)</f>
        <v>321.26</v>
      </c>
      <c r="AK373" s="163">
        <f>SUM(IMSS[[#This Row],[TASA EXC]]+IMSS[[#This Row],[CUOTA FIJA]])</f>
        <v>754.182816</v>
      </c>
      <c r="AL373" s="163">
        <f>VLOOKUP(IMSS[[#This Row],[SUE MENS]],$AL$110:$AN$120,3,1)</f>
        <v>0</v>
      </c>
      <c r="AM373" s="248">
        <f>IF(IMSS[[#This Row],[ISR CARGO]]-IMSS[[#This Row],[SUBS ISR]]&gt;0,IMSS[[#This Row],[ISR CARGO]]-IMSS[[#This Row],[SUBS ISR]],0)</f>
        <v>754.182816</v>
      </c>
      <c r="AN373" s="248">
        <f>IF(IMSS[[#This Row],[SUBS ISR]]-IMSS[[#This Row],[ISR CARGO]]&gt;0,IMSS[[#This Row],[SUBS ISR]]-IMSS[[#This Row],[ISR CARGO]],0)</f>
        <v>0</v>
      </c>
    </row>
    <row r="374" spans="3:40" ht="15" hidden="1" customHeight="1" x14ac:dyDescent="0.25">
      <c r="C374" s="243">
        <v>405</v>
      </c>
      <c r="D374" s="167" t="str">
        <f>VLOOKUP(IMSS[[#This Row],[NEM]],BDD[],2,0)</f>
        <v>Eduardo Pacheco Nava</v>
      </c>
      <c r="E374" s="167" t="str">
        <f>VLOOKUP(IMSS[[#This Row],[NEM]],BDD[],9,0)</f>
        <v>COMPRAS</v>
      </c>
      <c r="F374" s="168">
        <v>30</v>
      </c>
      <c r="G374" s="139">
        <f>VLOOKUP(IMSS[[#This Row],[NEM]],BDD[],3,0)</f>
        <v>6778</v>
      </c>
      <c r="H374" s="139">
        <f ca="1">VLOOKUP(IMSS[[#This Row],[NEM]],BDD[],25,0)</f>
        <v>237.69424657534245</v>
      </c>
      <c r="I374" s="143">
        <f>VLOOKUP(IMSS[[#This Row],[DEPT]],$B$3:$G$49,6,0)</f>
        <v>5.4355000000000002E-3</v>
      </c>
      <c r="J374" s="163">
        <f ca="1">IMSS[[#This Row],[DIAS LAB]]*IMSS[[#This Row],[SDI]]*IMSS[[#This Row],[% RSG]]*$Q$108</f>
        <v>38.759612317808219</v>
      </c>
      <c r="K374" s="163">
        <f>IMSS[[#This Row],[DIAS LAB]]*$J$110*$Q$109</f>
        <v>548.47440000000006</v>
      </c>
      <c r="L374" s="166">
        <f ca="1">IMSS[[#This Row],[DIAS LAB]]*IF(IMSS[[#This Row],[SDI]]-$J$113&gt;0,IMSS[[#This Row],[SDI]]-$J$113,0)*$Q$110</f>
        <v>0</v>
      </c>
      <c r="M374" s="166">
        <f ca="1">IMSS[[#This Row],[DIAS LAB]]*IMSS[[#This Row],[SDI]]*$Q$111</f>
        <v>74.873687671232872</v>
      </c>
      <c r="N374" s="163">
        <f ca="1">IMSS[[#This Row],[DIAS LAB]]*IMSS[[#This Row],[SDI]]*$Q$112</f>
        <v>49.91579178082192</v>
      </c>
      <c r="O374" s="166">
        <f ca="1">IMSS[[#This Row],[DIAS LAB]]*IMSS[[#This Row],[SDI]]*$Q$113</f>
        <v>124.78947945205481</v>
      </c>
      <c r="P374" s="163">
        <f ca="1">IMSS[[#This Row],[DIAS LAB]]*IMSS[[#This Row],[SDI]]*$Q$114</f>
        <v>71.308273972602734</v>
      </c>
      <c r="Q374" s="166">
        <f ca="1">IMSS[[#This Row],[DIAS LAB]]*IMSS[[#This Row],[SDI]]*$Q$115</f>
        <v>142.61654794520547</v>
      </c>
      <c r="R374" s="163">
        <f ca="1">IMSS[[#This Row],[DIAS LAB]]*IMSS[[#This Row],[SDI]]*$Q$116</f>
        <v>224.62106301369863</v>
      </c>
      <c r="S374" s="163">
        <f ca="1">IMSS[[#This Row],[DIAS LAB]]*IMSS[[#This Row],[SDI]]*$Q$117</f>
        <v>356.5413698630137</v>
      </c>
      <c r="T374" s="164">
        <f ca="1">SUM(IMSS[[#This Row],[P RSG TRB]:[P INFONAVIT]])</f>
        <v>1631.9002260164384</v>
      </c>
      <c r="U374" s="163">
        <f ca="1">IMSS[[#This Row],[DIAS LAB]]*IMSS[[#This Row],[SDI]]*IMSS[[#This Row],[% RSG]]*$R$108</f>
        <v>0</v>
      </c>
      <c r="V374" s="163">
        <f ca="1">IMSS[[#This Row],[DIAS LAB]]*IMSS[[#This Row],[SDI]]*$R$112</f>
        <v>17.827068493150684</v>
      </c>
      <c r="W374" s="163"/>
      <c r="X374" s="163">
        <f ca="1">IMSS[[#This Row],[DIAS LAB]]*IMSS[[#This Row],[SDI]]*$R$113</f>
        <v>44.924212602739722</v>
      </c>
      <c r="Y374" s="163">
        <f ca="1">IMSS[[#This Row],[DIAS LAB]]*IMSS[[#This Row],[SDI]]*$R$114</f>
        <v>0</v>
      </c>
      <c r="Z374" s="163">
        <f ca="1">IMSS[[#This Row],[DIAS LAB]]*IMSS[[#This Row],[SDI]]*$R$115</f>
        <v>0</v>
      </c>
      <c r="AA374" s="163">
        <f ca="1">IMSS[[#This Row],[DIAS LAB]]*IMSS[[#This Row],[SDI]]*$R$116</f>
        <v>80.578349589041082</v>
      </c>
      <c r="AB374" s="163">
        <f ca="1">IMSS[[#This Row],[DIAS LAB]]*IMSS[[#This Row],[SDI]]*$R$117</f>
        <v>0</v>
      </c>
      <c r="AC374" s="247">
        <f ca="1">SUM(IMSS[[#This Row],[O RSG TRB]:[O INFONAVIT]])</f>
        <v>143.32963068493149</v>
      </c>
      <c r="AD374" s="163"/>
      <c r="AE374" s="165">
        <f ca="1">IMSS[[#This Row],[P TOTAL]]+IMSS[[#This Row],[O TOTAL]]</f>
        <v>1775.22985670137</v>
      </c>
      <c r="AF374" s="163"/>
      <c r="AG374" s="163">
        <f>VLOOKUP(IMSS[[#This Row],[SUE MENS]],$AG$110:$AJ$120,1,1)</f>
        <v>5470.93</v>
      </c>
      <c r="AH374" s="163">
        <f>IMSS[[#This Row],[SUE MENS]]-IMSS[[#This Row],[LIM INF]]</f>
        <v>1307.0699999999997</v>
      </c>
      <c r="AI374" s="163">
        <f>IMSS[[#This Row],[EXC LIM INF]]*(VLOOKUP(IMSS[[#This Row],[LIM INF]],$AG$110:$AJ$120,4,0))</f>
        <v>142.20921599999997</v>
      </c>
      <c r="AJ374" s="163">
        <f>VLOOKUP(IMSS[[#This Row],[LIM INF]],$AG$110:$AJ$120,3)</f>
        <v>321.26</v>
      </c>
      <c r="AK374" s="163">
        <f>SUM(IMSS[[#This Row],[TASA EXC]]+IMSS[[#This Row],[CUOTA FIJA]])</f>
        <v>463.46921599999996</v>
      </c>
      <c r="AL374" s="163">
        <f>VLOOKUP(IMSS[[#This Row],[SUE MENS]],$AL$110:$AN$120,3,1)</f>
        <v>253.54</v>
      </c>
      <c r="AM374" s="248">
        <f>IF(IMSS[[#This Row],[ISR CARGO]]-IMSS[[#This Row],[SUBS ISR]]&gt;0,IMSS[[#This Row],[ISR CARGO]]-IMSS[[#This Row],[SUBS ISR]],0)</f>
        <v>209.92921599999997</v>
      </c>
      <c r="AN374" s="248">
        <f>IF(IMSS[[#This Row],[SUBS ISR]]-IMSS[[#This Row],[ISR CARGO]]&gt;0,IMSS[[#This Row],[SUBS ISR]]-IMSS[[#This Row],[ISR CARGO]],0)</f>
        <v>0</v>
      </c>
    </row>
    <row r="375" spans="3:40" ht="15" hidden="1" customHeight="1" x14ac:dyDescent="0.25">
      <c r="C375" s="243">
        <v>407</v>
      </c>
      <c r="D375" s="167" t="str">
        <f>VLOOKUP(IMSS[[#This Row],[NEM]],BDD[],2,0)</f>
        <v>Bernandina Salgado Lorenzo</v>
      </c>
      <c r="E375" s="167" t="str">
        <f>VLOOKUP(IMSS[[#This Row],[NEM]],BDD[],9,0)</f>
        <v>INST CAMPO</v>
      </c>
      <c r="F375" s="168">
        <v>30</v>
      </c>
      <c r="G375" s="139">
        <f>VLOOKUP(IMSS[[#This Row],[NEM]],BDD[],3,0)</f>
        <v>7950</v>
      </c>
      <c r="H375" s="139">
        <f ca="1">VLOOKUP(IMSS[[#This Row],[NEM]],BDD[],25,0)</f>
        <v>292.58904109589042</v>
      </c>
      <c r="I375" s="143">
        <f>VLOOKUP(IMSS[[#This Row],[DEPT]],$B$3:$G$49,6,0)</f>
        <v>4.6532499999999997E-2</v>
      </c>
      <c r="J375" s="163">
        <f ca="1">IMSS[[#This Row],[DIAS LAB]]*IMSS[[#This Row],[SDI]]*IMSS[[#This Row],[% RSG]]*$Q$108</f>
        <v>408.44698664383566</v>
      </c>
      <c r="K375" s="163">
        <f>IMSS[[#This Row],[DIAS LAB]]*$J$110*$Q$109</f>
        <v>548.47440000000006</v>
      </c>
      <c r="L375" s="166">
        <f ca="1">IMSS[[#This Row],[DIAS LAB]]*IF(IMSS[[#This Row],[SDI]]-$J$113&gt;0,IMSS[[#This Row],[SDI]]-$J$113,0)*$Q$110</f>
        <v>7.8305835616438344</v>
      </c>
      <c r="M375" s="166">
        <f ca="1">IMSS[[#This Row],[DIAS LAB]]*IMSS[[#This Row],[SDI]]*$Q$111</f>
        <v>92.165547945205503</v>
      </c>
      <c r="N375" s="163">
        <f ca="1">IMSS[[#This Row],[DIAS LAB]]*IMSS[[#This Row],[SDI]]*$Q$112</f>
        <v>61.443698630136993</v>
      </c>
      <c r="O375" s="166">
        <f ca="1">IMSS[[#This Row],[DIAS LAB]]*IMSS[[#This Row],[SDI]]*$Q$113</f>
        <v>153.6092465753425</v>
      </c>
      <c r="P375" s="163">
        <f ca="1">IMSS[[#This Row],[DIAS LAB]]*IMSS[[#This Row],[SDI]]*$Q$114</f>
        <v>87.776712328767132</v>
      </c>
      <c r="Q375" s="166">
        <f ca="1">IMSS[[#This Row],[DIAS LAB]]*IMSS[[#This Row],[SDI]]*$Q$115</f>
        <v>175.55342465753426</v>
      </c>
      <c r="R375" s="163">
        <f ca="1">IMSS[[#This Row],[DIAS LAB]]*IMSS[[#This Row],[SDI]]*$Q$116</f>
        <v>276.49664383561645</v>
      </c>
      <c r="S375" s="163">
        <f ca="1">IMSS[[#This Row],[DIAS LAB]]*IMSS[[#This Row],[SDI]]*$Q$117</f>
        <v>438.88356164383572</v>
      </c>
      <c r="T375" s="164">
        <f ca="1">SUM(IMSS[[#This Row],[P RSG TRB]:[P INFONAVIT]])</f>
        <v>2250.6808058219185</v>
      </c>
      <c r="U375" s="163">
        <f ca="1">IMSS[[#This Row],[DIAS LAB]]*IMSS[[#This Row],[SDI]]*IMSS[[#This Row],[% RSG]]*$R$108</f>
        <v>0</v>
      </c>
      <c r="V375" s="163">
        <f ca="1">IMSS[[#This Row],[DIAS LAB]]*IMSS[[#This Row],[SDI]]*$R$112</f>
        <v>21.944178082191783</v>
      </c>
      <c r="W375" s="163"/>
      <c r="X375" s="163">
        <f ca="1">IMSS[[#This Row],[DIAS LAB]]*IMSS[[#This Row],[SDI]]*$R$113</f>
        <v>55.299328767123292</v>
      </c>
      <c r="Y375" s="163">
        <f ca="1">IMSS[[#This Row],[DIAS LAB]]*IMSS[[#This Row],[SDI]]*$R$114</f>
        <v>0</v>
      </c>
      <c r="Z375" s="163">
        <f ca="1">IMSS[[#This Row],[DIAS LAB]]*IMSS[[#This Row],[SDI]]*$R$115</f>
        <v>0</v>
      </c>
      <c r="AA375" s="163">
        <f ca="1">IMSS[[#This Row],[DIAS LAB]]*IMSS[[#This Row],[SDI]]*$R$116</f>
        <v>99.187684931506851</v>
      </c>
      <c r="AB375" s="163">
        <f ca="1">IMSS[[#This Row],[DIAS LAB]]*IMSS[[#This Row],[SDI]]*$R$117</f>
        <v>0</v>
      </c>
      <c r="AC375" s="247">
        <f ca="1">SUM(IMSS[[#This Row],[O RSG TRB]:[O INFONAVIT]])</f>
        <v>176.43119178082193</v>
      </c>
      <c r="AD375" s="163"/>
      <c r="AE375" s="165">
        <f ca="1">IMSS[[#This Row],[P TOTAL]]+IMSS[[#This Row],[O TOTAL]]</f>
        <v>2427.1119976027403</v>
      </c>
      <c r="AF375" s="163"/>
      <c r="AG375" s="163">
        <f>VLOOKUP(IMSS[[#This Row],[SUE MENS]],$AG$110:$AJ$120,1,1)</f>
        <v>5470.93</v>
      </c>
      <c r="AH375" s="163">
        <f>IMSS[[#This Row],[SUE MENS]]-IMSS[[#This Row],[LIM INF]]</f>
        <v>2479.0699999999997</v>
      </c>
      <c r="AI375" s="163">
        <f>IMSS[[#This Row],[EXC LIM INF]]*(VLOOKUP(IMSS[[#This Row],[LIM INF]],$AG$110:$AJ$120,4,0))</f>
        <v>269.72281599999997</v>
      </c>
      <c r="AJ375" s="163">
        <f>VLOOKUP(IMSS[[#This Row],[LIM INF]],$AG$110:$AJ$120,3)</f>
        <v>321.26</v>
      </c>
      <c r="AK375" s="163">
        <f>SUM(IMSS[[#This Row],[TASA EXC]]+IMSS[[#This Row],[CUOTA FIJA]])</f>
        <v>590.98281599999996</v>
      </c>
      <c r="AL375" s="163">
        <f>VLOOKUP(IMSS[[#This Row],[SUE MENS]],$AL$110:$AN$120,3,1)</f>
        <v>0</v>
      </c>
      <c r="AM375" s="248">
        <f>IF(IMSS[[#This Row],[ISR CARGO]]-IMSS[[#This Row],[SUBS ISR]]&gt;0,IMSS[[#This Row],[ISR CARGO]]-IMSS[[#This Row],[SUBS ISR]],0)</f>
        <v>590.98281599999996</v>
      </c>
      <c r="AN375" s="248">
        <f>IF(IMSS[[#This Row],[SUBS ISR]]-IMSS[[#This Row],[ISR CARGO]]&gt;0,IMSS[[#This Row],[SUBS ISR]]-IMSS[[#This Row],[ISR CARGO]],0)</f>
        <v>0</v>
      </c>
    </row>
    <row r="376" spans="3:40" ht="15" hidden="1" customHeight="1" x14ac:dyDescent="0.25">
      <c r="C376" s="243">
        <v>408</v>
      </c>
      <c r="D376" s="167" t="str">
        <f>VLOOKUP(IMSS[[#This Row],[NEM]],BDD[],2,0)</f>
        <v>Anadela Deyanira Rivera Betancourt</v>
      </c>
      <c r="E376" s="167" t="str">
        <f>VLOOKUP(IMSS[[#This Row],[NEM]],BDD[],9,0)</f>
        <v>CONTROL</v>
      </c>
      <c r="F376" s="168">
        <v>30</v>
      </c>
      <c r="G376" s="139">
        <f>VLOOKUP(IMSS[[#This Row],[NEM]],BDD[],3,0)</f>
        <v>6778</v>
      </c>
      <c r="H376" s="139">
        <f ca="1">VLOOKUP(IMSS[[#This Row],[NEM]],BDD[],25,0)</f>
        <v>237.69424657534245</v>
      </c>
      <c r="I376" s="143">
        <f>VLOOKUP(IMSS[[#This Row],[DEPT]],$B$3:$G$49,6,0)</f>
        <v>5.4355000000000002E-3</v>
      </c>
      <c r="J376" s="163">
        <f ca="1">IMSS[[#This Row],[DIAS LAB]]*IMSS[[#This Row],[SDI]]*IMSS[[#This Row],[% RSG]]*$Q$108</f>
        <v>38.759612317808219</v>
      </c>
      <c r="K376" s="163">
        <f>IMSS[[#This Row],[DIAS LAB]]*$J$110*$Q$109</f>
        <v>548.47440000000006</v>
      </c>
      <c r="L376" s="166">
        <f ca="1">IMSS[[#This Row],[DIAS LAB]]*IF(IMSS[[#This Row],[SDI]]-$J$113&gt;0,IMSS[[#This Row],[SDI]]-$J$113,0)*$Q$110</f>
        <v>0</v>
      </c>
      <c r="M376" s="166">
        <f ca="1">IMSS[[#This Row],[DIAS LAB]]*IMSS[[#This Row],[SDI]]*$Q$111</f>
        <v>74.873687671232872</v>
      </c>
      <c r="N376" s="163">
        <f ca="1">IMSS[[#This Row],[DIAS LAB]]*IMSS[[#This Row],[SDI]]*$Q$112</f>
        <v>49.91579178082192</v>
      </c>
      <c r="O376" s="166">
        <f ca="1">IMSS[[#This Row],[DIAS LAB]]*IMSS[[#This Row],[SDI]]*$Q$113</f>
        <v>124.78947945205481</v>
      </c>
      <c r="P376" s="163">
        <f ca="1">IMSS[[#This Row],[DIAS LAB]]*IMSS[[#This Row],[SDI]]*$Q$114</f>
        <v>71.308273972602734</v>
      </c>
      <c r="Q376" s="166">
        <f ca="1">IMSS[[#This Row],[DIAS LAB]]*IMSS[[#This Row],[SDI]]*$Q$115</f>
        <v>142.61654794520547</v>
      </c>
      <c r="R376" s="163">
        <f ca="1">IMSS[[#This Row],[DIAS LAB]]*IMSS[[#This Row],[SDI]]*$Q$116</f>
        <v>224.62106301369863</v>
      </c>
      <c r="S376" s="163">
        <f ca="1">IMSS[[#This Row],[DIAS LAB]]*IMSS[[#This Row],[SDI]]*$Q$117</f>
        <v>356.5413698630137</v>
      </c>
      <c r="T376" s="164">
        <f ca="1">SUM(IMSS[[#This Row],[P RSG TRB]:[P INFONAVIT]])</f>
        <v>1631.9002260164384</v>
      </c>
      <c r="U376" s="163">
        <f ca="1">IMSS[[#This Row],[DIAS LAB]]*IMSS[[#This Row],[SDI]]*IMSS[[#This Row],[% RSG]]*$R$108</f>
        <v>0</v>
      </c>
      <c r="V376" s="163">
        <f ca="1">IMSS[[#This Row],[DIAS LAB]]*IMSS[[#This Row],[SDI]]*$R$112</f>
        <v>17.827068493150684</v>
      </c>
      <c r="W376" s="163"/>
      <c r="X376" s="163">
        <f ca="1">IMSS[[#This Row],[DIAS LAB]]*IMSS[[#This Row],[SDI]]*$R$113</f>
        <v>44.924212602739722</v>
      </c>
      <c r="Y376" s="163">
        <f ca="1">IMSS[[#This Row],[DIAS LAB]]*IMSS[[#This Row],[SDI]]*$R$114</f>
        <v>0</v>
      </c>
      <c r="Z376" s="163">
        <f ca="1">IMSS[[#This Row],[DIAS LAB]]*IMSS[[#This Row],[SDI]]*$R$115</f>
        <v>0</v>
      </c>
      <c r="AA376" s="163">
        <f ca="1">IMSS[[#This Row],[DIAS LAB]]*IMSS[[#This Row],[SDI]]*$R$116</f>
        <v>80.578349589041082</v>
      </c>
      <c r="AB376" s="163">
        <f ca="1">IMSS[[#This Row],[DIAS LAB]]*IMSS[[#This Row],[SDI]]*$R$117</f>
        <v>0</v>
      </c>
      <c r="AC376" s="247">
        <f ca="1">SUM(IMSS[[#This Row],[O RSG TRB]:[O INFONAVIT]])</f>
        <v>143.32963068493149</v>
      </c>
      <c r="AD376" s="163"/>
      <c r="AE376" s="165">
        <f ca="1">IMSS[[#This Row],[P TOTAL]]+IMSS[[#This Row],[O TOTAL]]</f>
        <v>1775.22985670137</v>
      </c>
      <c r="AF376" s="163"/>
      <c r="AG376" s="163">
        <f>VLOOKUP(IMSS[[#This Row],[SUE MENS]],$AG$110:$AJ$120,1,1)</f>
        <v>5470.93</v>
      </c>
      <c r="AH376" s="163">
        <f>IMSS[[#This Row],[SUE MENS]]-IMSS[[#This Row],[LIM INF]]</f>
        <v>1307.0699999999997</v>
      </c>
      <c r="AI376" s="163">
        <f>IMSS[[#This Row],[EXC LIM INF]]*(VLOOKUP(IMSS[[#This Row],[LIM INF]],$AG$110:$AJ$120,4,0))</f>
        <v>142.20921599999997</v>
      </c>
      <c r="AJ376" s="163">
        <f>VLOOKUP(IMSS[[#This Row],[LIM INF]],$AG$110:$AJ$120,3)</f>
        <v>321.26</v>
      </c>
      <c r="AK376" s="163">
        <f>SUM(IMSS[[#This Row],[TASA EXC]]+IMSS[[#This Row],[CUOTA FIJA]])</f>
        <v>463.46921599999996</v>
      </c>
      <c r="AL376" s="163">
        <f>VLOOKUP(IMSS[[#This Row],[SUE MENS]],$AL$110:$AN$120,3,1)</f>
        <v>253.54</v>
      </c>
      <c r="AM376" s="248">
        <f>IF(IMSS[[#This Row],[ISR CARGO]]-IMSS[[#This Row],[SUBS ISR]]&gt;0,IMSS[[#This Row],[ISR CARGO]]-IMSS[[#This Row],[SUBS ISR]],0)</f>
        <v>209.92921599999997</v>
      </c>
      <c r="AN376" s="248">
        <f>IF(IMSS[[#This Row],[SUBS ISR]]-IMSS[[#This Row],[ISR CARGO]]&gt;0,IMSS[[#This Row],[SUBS ISR]]-IMSS[[#This Row],[ISR CARGO]],0)</f>
        <v>0</v>
      </c>
    </row>
    <row r="377" spans="3:40" ht="15" hidden="1" customHeight="1" x14ac:dyDescent="0.25">
      <c r="C377" s="243">
        <v>410</v>
      </c>
      <c r="D377" s="167" t="str">
        <f>VLOOKUP(IMSS[[#This Row],[NEM]],BDD[],2,0)</f>
        <v>Paulina Guadalupe Lozano Morales</v>
      </c>
      <c r="E377" s="167" t="str">
        <f>VLOOKUP(IMSS[[#This Row],[NEM]],BDD[],9,0)</f>
        <v>INST CAMPO</v>
      </c>
      <c r="F377" s="168">
        <v>30</v>
      </c>
      <c r="G377" s="139">
        <f>VLOOKUP(IMSS[[#This Row],[NEM]],BDD[],3,0)</f>
        <v>9541</v>
      </c>
      <c r="H377" s="139">
        <f ca="1">VLOOKUP(IMSS[[#This Row],[NEM]],BDD[],25,0)</f>
        <v>351.14365296803658</v>
      </c>
      <c r="I377" s="143">
        <f>VLOOKUP(IMSS[[#This Row],[DEPT]],$B$3:$G$49,6,0)</f>
        <v>4.6532499999999997E-2</v>
      </c>
      <c r="J377" s="163">
        <f ca="1">IMSS[[#This Row],[DIAS LAB]]*IMSS[[#This Row],[SDI]]*IMSS[[#This Row],[% RSG]]*$Q$108</f>
        <v>490.18776095205482</v>
      </c>
      <c r="K377" s="163">
        <f>IMSS[[#This Row],[DIAS LAB]]*$J$110*$Q$109</f>
        <v>548.47440000000006</v>
      </c>
      <c r="L377" s="166">
        <f ca="1">IMSS[[#This Row],[DIAS LAB]]*IF(IMSS[[#This Row],[SDI]]-$J$113&gt;0,IMSS[[#This Row],[SDI]]-$J$113,0)*$Q$110</f>
        <v>27.153605479452061</v>
      </c>
      <c r="M377" s="166">
        <f ca="1">IMSS[[#This Row],[DIAS LAB]]*IMSS[[#This Row],[SDI]]*$Q$111</f>
        <v>110.61025068493153</v>
      </c>
      <c r="N377" s="163">
        <f ca="1">IMSS[[#This Row],[DIAS LAB]]*IMSS[[#This Row],[SDI]]*$Q$112</f>
        <v>73.740167123287677</v>
      </c>
      <c r="O377" s="166">
        <f ca="1">IMSS[[#This Row],[DIAS LAB]]*IMSS[[#This Row],[SDI]]*$Q$113</f>
        <v>184.35041780821922</v>
      </c>
      <c r="P377" s="163">
        <f ca="1">IMSS[[#This Row],[DIAS LAB]]*IMSS[[#This Row],[SDI]]*$Q$114</f>
        <v>105.34309589041096</v>
      </c>
      <c r="Q377" s="166">
        <f ca="1">IMSS[[#This Row],[DIAS LAB]]*IMSS[[#This Row],[SDI]]*$Q$115</f>
        <v>210.68619178082193</v>
      </c>
      <c r="R377" s="163">
        <f ca="1">IMSS[[#This Row],[DIAS LAB]]*IMSS[[#This Row],[SDI]]*$Q$116</f>
        <v>331.83075205479457</v>
      </c>
      <c r="S377" s="163">
        <f ca="1">IMSS[[#This Row],[DIAS LAB]]*IMSS[[#This Row],[SDI]]*$Q$117</f>
        <v>526.71547945205486</v>
      </c>
      <c r="T377" s="164">
        <f ca="1">SUM(IMSS[[#This Row],[P RSG TRB]:[P INFONAVIT]])</f>
        <v>2609.0921212260273</v>
      </c>
      <c r="U377" s="163">
        <f ca="1">IMSS[[#This Row],[DIAS LAB]]*IMSS[[#This Row],[SDI]]*IMSS[[#This Row],[% RSG]]*$R$108</f>
        <v>0</v>
      </c>
      <c r="V377" s="163">
        <f ca="1">IMSS[[#This Row],[DIAS LAB]]*IMSS[[#This Row],[SDI]]*$R$112</f>
        <v>26.335773972602741</v>
      </c>
      <c r="W377" s="163"/>
      <c r="X377" s="163">
        <f ca="1">IMSS[[#This Row],[DIAS LAB]]*IMSS[[#This Row],[SDI]]*$R$113</f>
        <v>66.366150410958909</v>
      </c>
      <c r="Y377" s="163">
        <f ca="1">IMSS[[#This Row],[DIAS LAB]]*IMSS[[#This Row],[SDI]]*$R$114</f>
        <v>0</v>
      </c>
      <c r="Z377" s="163">
        <f ca="1">IMSS[[#This Row],[DIAS LAB]]*IMSS[[#This Row],[SDI]]*$R$115</f>
        <v>0</v>
      </c>
      <c r="AA377" s="163">
        <f ca="1">IMSS[[#This Row],[DIAS LAB]]*IMSS[[#This Row],[SDI]]*$R$116</f>
        <v>119.03769835616438</v>
      </c>
      <c r="AB377" s="163">
        <f ca="1">IMSS[[#This Row],[DIAS LAB]]*IMSS[[#This Row],[SDI]]*$R$117</f>
        <v>0</v>
      </c>
      <c r="AC377" s="247">
        <f ca="1">SUM(IMSS[[#This Row],[O RSG TRB]:[O INFONAVIT]])</f>
        <v>211.73962273972603</v>
      </c>
      <c r="AD377" s="163"/>
      <c r="AE377" s="165">
        <f ca="1">IMSS[[#This Row],[P TOTAL]]+IMSS[[#This Row],[O TOTAL]]</f>
        <v>2820.8317439657535</v>
      </c>
      <c r="AF377" s="163"/>
      <c r="AG377" s="163">
        <f>VLOOKUP(IMSS[[#This Row],[SUE MENS]],$AG$110:$AJ$120,1,1)</f>
        <v>5470.93</v>
      </c>
      <c r="AH377" s="163">
        <f>IMSS[[#This Row],[SUE MENS]]-IMSS[[#This Row],[LIM INF]]</f>
        <v>4070.0699999999997</v>
      </c>
      <c r="AI377" s="163">
        <f>IMSS[[#This Row],[EXC LIM INF]]*(VLOOKUP(IMSS[[#This Row],[LIM INF]],$AG$110:$AJ$120,4,0))</f>
        <v>442.82361600000002</v>
      </c>
      <c r="AJ377" s="163">
        <f>VLOOKUP(IMSS[[#This Row],[LIM INF]],$AG$110:$AJ$120,3)</f>
        <v>321.26</v>
      </c>
      <c r="AK377" s="163">
        <f>SUM(IMSS[[#This Row],[TASA EXC]]+IMSS[[#This Row],[CUOTA FIJA]])</f>
        <v>764.08361600000001</v>
      </c>
      <c r="AL377" s="163">
        <f>VLOOKUP(IMSS[[#This Row],[SUE MENS]],$AL$110:$AN$120,3,1)</f>
        <v>0</v>
      </c>
      <c r="AM377" s="248">
        <f>IF(IMSS[[#This Row],[ISR CARGO]]-IMSS[[#This Row],[SUBS ISR]]&gt;0,IMSS[[#This Row],[ISR CARGO]]-IMSS[[#This Row],[SUBS ISR]],0)</f>
        <v>764.08361600000001</v>
      </c>
      <c r="AN377" s="248">
        <f>IF(IMSS[[#This Row],[SUBS ISR]]-IMSS[[#This Row],[ISR CARGO]]&gt;0,IMSS[[#This Row],[SUBS ISR]]-IMSS[[#This Row],[ISR CARGO]],0)</f>
        <v>0</v>
      </c>
    </row>
    <row r="378" spans="3:40" ht="15" hidden="1" customHeight="1" x14ac:dyDescent="0.25">
      <c r="C378" s="243">
        <v>411</v>
      </c>
      <c r="D378" s="167" t="str">
        <f>VLOOKUP(IMSS[[#This Row],[NEM]],BDD[],2,0)</f>
        <v>Debanhi Patricia Escobar Gonzalez</v>
      </c>
      <c r="E378" s="167" t="str">
        <f>VLOOKUP(IMSS[[#This Row],[NEM]],BDD[],9,0)</f>
        <v>FACTURAS</v>
      </c>
      <c r="F378" s="168">
        <v>30</v>
      </c>
      <c r="G378" s="139">
        <f>VLOOKUP(IMSS[[#This Row],[NEM]],BDD[],3,0)</f>
        <v>7445</v>
      </c>
      <c r="H378" s="139">
        <f ca="1">VLOOKUP(IMSS[[#This Row],[NEM]],BDD[],25,0)</f>
        <v>274.00319634703197</v>
      </c>
      <c r="I378" s="143">
        <f>VLOOKUP(IMSS[[#This Row],[DEPT]],$B$3:$G$49,6,0)</f>
        <v>5.4355000000000002E-3</v>
      </c>
      <c r="J378" s="163">
        <f ca="1">IMSS[[#This Row],[DIAS LAB]]*IMSS[[#This Row],[SDI]]*IMSS[[#This Row],[% RSG]]*$Q$108</f>
        <v>44.680331212328774</v>
      </c>
      <c r="K378" s="163">
        <f>IMSS[[#This Row],[DIAS LAB]]*$J$110*$Q$109</f>
        <v>548.47440000000006</v>
      </c>
      <c r="L378" s="166">
        <f ca="1">IMSS[[#This Row],[DIAS LAB]]*IF(IMSS[[#This Row],[SDI]]-$J$113&gt;0,IMSS[[#This Row],[SDI]]-$J$113,0)*$Q$110</f>
        <v>1.6972547945205467</v>
      </c>
      <c r="M378" s="166">
        <f ca="1">IMSS[[#This Row],[DIAS LAB]]*IMSS[[#This Row],[SDI]]*$Q$111</f>
        <v>86.311006849315078</v>
      </c>
      <c r="N378" s="163">
        <f ca="1">IMSS[[#This Row],[DIAS LAB]]*IMSS[[#This Row],[SDI]]*$Q$112</f>
        <v>57.540671232876718</v>
      </c>
      <c r="O378" s="166">
        <f ca="1">IMSS[[#This Row],[DIAS LAB]]*IMSS[[#This Row],[SDI]]*$Q$113</f>
        <v>143.8516780821918</v>
      </c>
      <c r="P378" s="163">
        <f ca="1">IMSS[[#This Row],[DIAS LAB]]*IMSS[[#This Row],[SDI]]*$Q$114</f>
        <v>82.200958904109598</v>
      </c>
      <c r="Q378" s="166">
        <f ca="1">IMSS[[#This Row],[DIAS LAB]]*IMSS[[#This Row],[SDI]]*$Q$115</f>
        <v>164.4019178082192</v>
      </c>
      <c r="R378" s="163">
        <f ca="1">IMSS[[#This Row],[DIAS LAB]]*IMSS[[#This Row],[SDI]]*$Q$116</f>
        <v>258.9330205479452</v>
      </c>
      <c r="S378" s="163">
        <f ca="1">IMSS[[#This Row],[DIAS LAB]]*IMSS[[#This Row],[SDI]]*$Q$117</f>
        <v>411.00479452054799</v>
      </c>
      <c r="T378" s="164">
        <f ca="1">SUM(IMSS[[#This Row],[P RSG TRB]:[P INFONAVIT]])</f>
        <v>1799.0960339520548</v>
      </c>
      <c r="U378" s="163">
        <f ca="1">IMSS[[#This Row],[DIAS LAB]]*IMSS[[#This Row],[SDI]]*IMSS[[#This Row],[% RSG]]*$R$108</f>
        <v>0</v>
      </c>
      <c r="V378" s="163">
        <f ca="1">IMSS[[#This Row],[DIAS LAB]]*IMSS[[#This Row],[SDI]]*$R$112</f>
        <v>20.550239726027399</v>
      </c>
      <c r="W378" s="163"/>
      <c r="X378" s="163">
        <f ca="1">IMSS[[#This Row],[DIAS LAB]]*IMSS[[#This Row],[SDI]]*$R$113</f>
        <v>51.786604109589042</v>
      </c>
      <c r="Y378" s="163">
        <f ca="1">IMSS[[#This Row],[DIAS LAB]]*IMSS[[#This Row],[SDI]]*$R$114</f>
        <v>0</v>
      </c>
      <c r="Z378" s="163">
        <f ca="1">IMSS[[#This Row],[DIAS LAB]]*IMSS[[#This Row],[SDI]]*$R$115</f>
        <v>0</v>
      </c>
      <c r="AA378" s="163">
        <f ca="1">IMSS[[#This Row],[DIAS LAB]]*IMSS[[#This Row],[SDI]]*$R$116</f>
        <v>92.887083561643834</v>
      </c>
      <c r="AB378" s="163">
        <f ca="1">IMSS[[#This Row],[DIAS LAB]]*IMSS[[#This Row],[SDI]]*$R$117</f>
        <v>0</v>
      </c>
      <c r="AC378" s="247">
        <f ca="1">SUM(IMSS[[#This Row],[O RSG TRB]:[O INFONAVIT]])</f>
        <v>165.22392739726027</v>
      </c>
      <c r="AD378" s="163"/>
      <c r="AE378" s="165">
        <f ca="1">IMSS[[#This Row],[P TOTAL]]+IMSS[[#This Row],[O TOTAL]]</f>
        <v>1964.319961349315</v>
      </c>
      <c r="AF378" s="163"/>
      <c r="AG378" s="163">
        <f>VLOOKUP(IMSS[[#This Row],[SUE MENS]],$AG$110:$AJ$120,1,1)</f>
        <v>5470.93</v>
      </c>
      <c r="AH378" s="163">
        <f>IMSS[[#This Row],[SUE MENS]]-IMSS[[#This Row],[LIM INF]]</f>
        <v>1974.0699999999997</v>
      </c>
      <c r="AI378" s="163">
        <f>IMSS[[#This Row],[EXC LIM INF]]*(VLOOKUP(IMSS[[#This Row],[LIM INF]],$AG$110:$AJ$120,4,0))</f>
        <v>214.77881599999998</v>
      </c>
      <c r="AJ378" s="163">
        <f>VLOOKUP(IMSS[[#This Row],[LIM INF]],$AG$110:$AJ$120,3)</f>
        <v>321.26</v>
      </c>
      <c r="AK378" s="163">
        <f>SUM(IMSS[[#This Row],[TASA EXC]]+IMSS[[#This Row],[CUOTA FIJA]])</f>
        <v>536.038816</v>
      </c>
      <c r="AL378" s="163">
        <f>VLOOKUP(IMSS[[#This Row],[SUE MENS]],$AL$110:$AN$120,3,1)</f>
        <v>0</v>
      </c>
      <c r="AM378" s="248">
        <f>IF(IMSS[[#This Row],[ISR CARGO]]-IMSS[[#This Row],[SUBS ISR]]&gt;0,IMSS[[#This Row],[ISR CARGO]]-IMSS[[#This Row],[SUBS ISR]],0)</f>
        <v>536.038816</v>
      </c>
      <c r="AN378" s="248">
        <f>IF(IMSS[[#This Row],[SUBS ISR]]-IMSS[[#This Row],[ISR CARGO]]&gt;0,IMSS[[#This Row],[SUBS ISR]]-IMSS[[#This Row],[ISR CARGO]],0)</f>
        <v>0</v>
      </c>
    </row>
    <row r="379" spans="3:40" ht="15" hidden="1" customHeight="1" x14ac:dyDescent="0.25">
      <c r="C379" s="243">
        <v>413</v>
      </c>
      <c r="D379" s="167" t="str">
        <f>VLOOKUP(IMSS[[#This Row],[NEM]],BDD[],2,0)</f>
        <v>Silvia Olivia Mondragon Martinez</v>
      </c>
      <c r="E379" s="167" t="str">
        <f>VLOOKUP(IMSS[[#This Row],[NEM]],BDD[],9,0)</f>
        <v>ESTRUCTURA</v>
      </c>
      <c r="F379" s="168">
        <v>30</v>
      </c>
      <c r="G379" s="139">
        <f>VLOOKUP(IMSS[[#This Row],[NEM]],BDD[],3,0)</f>
        <v>7445</v>
      </c>
      <c r="H379" s="139">
        <f ca="1">VLOOKUP(IMSS[[#This Row],[NEM]],BDD[],25,0)</f>
        <v>274.00319634703197</v>
      </c>
      <c r="I379" s="143">
        <f>VLOOKUP(IMSS[[#This Row],[DEPT]],$B$3:$G$49,6,0)</f>
        <v>2.5984400000000001E-2</v>
      </c>
      <c r="J379" s="163">
        <f ca="1">IMSS[[#This Row],[DIAS LAB]]*IMSS[[#This Row],[SDI]]*IMSS[[#This Row],[% RSG]]*$Q$108</f>
        <v>213.59425965479454</v>
      </c>
      <c r="K379" s="163">
        <f>IMSS[[#This Row],[DIAS LAB]]*$J$110*$Q$109</f>
        <v>548.47440000000006</v>
      </c>
      <c r="L379" s="166">
        <f ca="1">IMSS[[#This Row],[DIAS LAB]]*IF(IMSS[[#This Row],[SDI]]-$J$113&gt;0,IMSS[[#This Row],[SDI]]-$J$113,0)*$Q$110</f>
        <v>1.6972547945205467</v>
      </c>
      <c r="M379" s="166">
        <f ca="1">IMSS[[#This Row],[DIAS LAB]]*IMSS[[#This Row],[SDI]]*$Q$111</f>
        <v>86.311006849315078</v>
      </c>
      <c r="N379" s="163">
        <f ca="1">IMSS[[#This Row],[DIAS LAB]]*IMSS[[#This Row],[SDI]]*$Q$112</f>
        <v>57.540671232876718</v>
      </c>
      <c r="O379" s="166">
        <f ca="1">IMSS[[#This Row],[DIAS LAB]]*IMSS[[#This Row],[SDI]]*$Q$113</f>
        <v>143.8516780821918</v>
      </c>
      <c r="P379" s="163">
        <f ca="1">IMSS[[#This Row],[DIAS LAB]]*IMSS[[#This Row],[SDI]]*$Q$114</f>
        <v>82.200958904109598</v>
      </c>
      <c r="Q379" s="166">
        <f ca="1">IMSS[[#This Row],[DIAS LAB]]*IMSS[[#This Row],[SDI]]*$Q$115</f>
        <v>164.4019178082192</v>
      </c>
      <c r="R379" s="163">
        <f ca="1">IMSS[[#This Row],[DIAS LAB]]*IMSS[[#This Row],[SDI]]*$Q$116</f>
        <v>258.9330205479452</v>
      </c>
      <c r="S379" s="163">
        <f ca="1">IMSS[[#This Row],[DIAS LAB]]*IMSS[[#This Row],[SDI]]*$Q$117</f>
        <v>411.00479452054799</v>
      </c>
      <c r="T379" s="164">
        <f ca="1">SUM(IMSS[[#This Row],[P RSG TRB]:[P INFONAVIT]])</f>
        <v>1968.0099623945207</v>
      </c>
      <c r="U379" s="163">
        <f ca="1">IMSS[[#This Row],[DIAS LAB]]*IMSS[[#This Row],[SDI]]*IMSS[[#This Row],[% RSG]]*$R$108</f>
        <v>0</v>
      </c>
      <c r="V379" s="163">
        <f ca="1">IMSS[[#This Row],[DIAS LAB]]*IMSS[[#This Row],[SDI]]*$R$112</f>
        <v>20.550239726027399</v>
      </c>
      <c r="W379" s="163"/>
      <c r="X379" s="163">
        <f ca="1">IMSS[[#This Row],[DIAS LAB]]*IMSS[[#This Row],[SDI]]*$R$113</f>
        <v>51.786604109589042</v>
      </c>
      <c r="Y379" s="163">
        <f ca="1">IMSS[[#This Row],[DIAS LAB]]*IMSS[[#This Row],[SDI]]*$R$114</f>
        <v>0</v>
      </c>
      <c r="Z379" s="163">
        <f ca="1">IMSS[[#This Row],[DIAS LAB]]*IMSS[[#This Row],[SDI]]*$R$115</f>
        <v>0</v>
      </c>
      <c r="AA379" s="163">
        <f ca="1">IMSS[[#This Row],[DIAS LAB]]*IMSS[[#This Row],[SDI]]*$R$116</f>
        <v>92.887083561643834</v>
      </c>
      <c r="AB379" s="163">
        <f ca="1">IMSS[[#This Row],[DIAS LAB]]*IMSS[[#This Row],[SDI]]*$R$117</f>
        <v>0</v>
      </c>
      <c r="AC379" s="247">
        <f ca="1">SUM(IMSS[[#This Row],[O RSG TRB]:[O INFONAVIT]])</f>
        <v>165.22392739726027</v>
      </c>
      <c r="AD379" s="163"/>
      <c r="AE379" s="165">
        <f ca="1">IMSS[[#This Row],[P TOTAL]]+IMSS[[#This Row],[O TOTAL]]</f>
        <v>2133.2338897917812</v>
      </c>
      <c r="AF379" s="163"/>
      <c r="AG379" s="163">
        <f>VLOOKUP(IMSS[[#This Row],[SUE MENS]],$AG$110:$AJ$120,1,1)</f>
        <v>5470.93</v>
      </c>
      <c r="AH379" s="163">
        <f>IMSS[[#This Row],[SUE MENS]]-IMSS[[#This Row],[LIM INF]]</f>
        <v>1974.0699999999997</v>
      </c>
      <c r="AI379" s="163">
        <f>IMSS[[#This Row],[EXC LIM INF]]*(VLOOKUP(IMSS[[#This Row],[LIM INF]],$AG$110:$AJ$120,4,0))</f>
        <v>214.77881599999998</v>
      </c>
      <c r="AJ379" s="163">
        <f>VLOOKUP(IMSS[[#This Row],[LIM INF]],$AG$110:$AJ$120,3)</f>
        <v>321.26</v>
      </c>
      <c r="AK379" s="163">
        <f>SUM(IMSS[[#This Row],[TASA EXC]]+IMSS[[#This Row],[CUOTA FIJA]])</f>
        <v>536.038816</v>
      </c>
      <c r="AL379" s="163">
        <f>VLOOKUP(IMSS[[#This Row],[SUE MENS]],$AL$110:$AN$120,3,1)</f>
        <v>0</v>
      </c>
      <c r="AM379" s="248">
        <f>IF(IMSS[[#This Row],[ISR CARGO]]-IMSS[[#This Row],[SUBS ISR]]&gt;0,IMSS[[#This Row],[ISR CARGO]]-IMSS[[#This Row],[SUBS ISR]],0)</f>
        <v>536.038816</v>
      </c>
      <c r="AN379" s="248">
        <f>IF(IMSS[[#This Row],[SUBS ISR]]-IMSS[[#This Row],[ISR CARGO]]&gt;0,IMSS[[#This Row],[SUBS ISR]]-IMSS[[#This Row],[ISR CARGO]],0)</f>
        <v>0</v>
      </c>
    </row>
    <row r="380" spans="3:40" ht="15" hidden="1" customHeight="1" x14ac:dyDescent="0.25">
      <c r="C380" s="243">
        <v>414</v>
      </c>
      <c r="D380" s="167" t="str">
        <f>VLOOKUP(IMSS[[#This Row],[NEM]],BDD[],2,0)</f>
        <v>Araceli Martinez Lopez</v>
      </c>
      <c r="E380" s="167" t="str">
        <f>VLOOKUP(IMSS[[#This Row],[NEM]],BDD[],9,0)</f>
        <v>ESTRUCTURA</v>
      </c>
      <c r="F380" s="168">
        <v>30</v>
      </c>
      <c r="G380" s="139">
        <f>VLOOKUP(IMSS[[#This Row],[NEM]],BDD[],3,0)</f>
        <v>6778</v>
      </c>
      <c r="H380" s="139">
        <f ca="1">VLOOKUP(IMSS[[#This Row],[NEM]],BDD[],25,0)</f>
        <v>237.69424657534245</v>
      </c>
      <c r="I380" s="143">
        <f>VLOOKUP(IMSS[[#This Row],[DEPT]],$B$3:$G$49,6,0)</f>
        <v>2.5984400000000001E-2</v>
      </c>
      <c r="J380" s="163">
        <f ca="1">IMSS[[#This Row],[DIAS LAB]]*IMSS[[#This Row],[SDI]]*IMSS[[#This Row],[% RSG]]*$Q$108</f>
        <v>185.29027142136988</v>
      </c>
      <c r="K380" s="163">
        <f>IMSS[[#This Row],[DIAS LAB]]*$J$110*$Q$109</f>
        <v>548.47440000000006</v>
      </c>
      <c r="L380" s="166">
        <f ca="1">IMSS[[#This Row],[DIAS LAB]]*IF(IMSS[[#This Row],[SDI]]-$J$113&gt;0,IMSS[[#This Row],[SDI]]-$J$113,0)*$Q$110</f>
        <v>0</v>
      </c>
      <c r="M380" s="166">
        <f ca="1">IMSS[[#This Row],[DIAS LAB]]*IMSS[[#This Row],[SDI]]*$Q$111</f>
        <v>74.873687671232872</v>
      </c>
      <c r="N380" s="163">
        <f ca="1">IMSS[[#This Row],[DIAS LAB]]*IMSS[[#This Row],[SDI]]*$Q$112</f>
        <v>49.91579178082192</v>
      </c>
      <c r="O380" s="166">
        <f ca="1">IMSS[[#This Row],[DIAS LAB]]*IMSS[[#This Row],[SDI]]*$Q$113</f>
        <v>124.78947945205481</v>
      </c>
      <c r="P380" s="163">
        <f ca="1">IMSS[[#This Row],[DIAS LAB]]*IMSS[[#This Row],[SDI]]*$Q$114</f>
        <v>71.308273972602734</v>
      </c>
      <c r="Q380" s="166">
        <f ca="1">IMSS[[#This Row],[DIAS LAB]]*IMSS[[#This Row],[SDI]]*$Q$115</f>
        <v>142.61654794520547</v>
      </c>
      <c r="R380" s="163">
        <f ca="1">IMSS[[#This Row],[DIAS LAB]]*IMSS[[#This Row],[SDI]]*$Q$116</f>
        <v>224.62106301369863</v>
      </c>
      <c r="S380" s="163">
        <f ca="1">IMSS[[#This Row],[DIAS LAB]]*IMSS[[#This Row],[SDI]]*$Q$117</f>
        <v>356.5413698630137</v>
      </c>
      <c r="T380" s="164">
        <f ca="1">SUM(IMSS[[#This Row],[P RSG TRB]:[P INFONAVIT]])</f>
        <v>1778.4308851200001</v>
      </c>
      <c r="U380" s="163">
        <f ca="1">IMSS[[#This Row],[DIAS LAB]]*IMSS[[#This Row],[SDI]]*IMSS[[#This Row],[% RSG]]*$R$108</f>
        <v>0</v>
      </c>
      <c r="V380" s="163">
        <f ca="1">IMSS[[#This Row],[DIAS LAB]]*IMSS[[#This Row],[SDI]]*$R$112</f>
        <v>17.827068493150684</v>
      </c>
      <c r="W380" s="163"/>
      <c r="X380" s="163">
        <f ca="1">IMSS[[#This Row],[DIAS LAB]]*IMSS[[#This Row],[SDI]]*$R$113</f>
        <v>44.924212602739722</v>
      </c>
      <c r="Y380" s="163">
        <f ca="1">IMSS[[#This Row],[DIAS LAB]]*IMSS[[#This Row],[SDI]]*$R$114</f>
        <v>0</v>
      </c>
      <c r="Z380" s="163">
        <f ca="1">IMSS[[#This Row],[DIAS LAB]]*IMSS[[#This Row],[SDI]]*$R$115</f>
        <v>0</v>
      </c>
      <c r="AA380" s="163">
        <f ca="1">IMSS[[#This Row],[DIAS LAB]]*IMSS[[#This Row],[SDI]]*$R$116</f>
        <v>80.578349589041082</v>
      </c>
      <c r="AB380" s="163">
        <f ca="1">IMSS[[#This Row],[DIAS LAB]]*IMSS[[#This Row],[SDI]]*$R$117</f>
        <v>0</v>
      </c>
      <c r="AC380" s="247">
        <f ca="1">SUM(IMSS[[#This Row],[O RSG TRB]:[O INFONAVIT]])</f>
        <v>143.32963068493149</v>
      </c>
      <c r="AD380" s="163"/>
      <c r="AE380" s="165">
        <f ca="1">IMSS[[#This Row],[P TOTAL]]+IMSS[[#This Row],[O TOTAL]]</f>
        <v>1921.7605158049316</v>
      </c>
      <c r="AF380" s="163"/>
      <c r="AG380" s="163">
        <f>VLOOKUP(IMSS[[#This Row],[SUE MENS]],$AG$110:$AJ$120,1,1)</f>
        <v>5470.93</v>
      </c>
      <c r="AH380" s="163">
        <f>IMSS[[#This Row],[SUE MENS]]-IMSS[[#This Row],[LIM INF]]</f>
        <v>1307.0699999999997</v>
      </c>
      <c r="AI380" s="163">
        <f>IMSS[[#This Row],[EXC LIM INF]]*(VLOOKUP(IMSS[[#This Row],[LIM INF]],$AG$110:$AJ$120,4,0))</f>
        <v>142.20921599999997</v>
      </c>
      <c r="AJ380" s="163">
        <f>VLOOKUP(IMSS[[#This Row],[LIM INF]],$AG$110:$AJ$120,3)</f>
        <v>321.26</v>
      </c>
      <c r="AK380" s="163">
        <f>SUM(IMSS[[#This Row],[TASA EXC]]+IMSS[[#This Row],[CUOTA FIJA]])</f>
        <v>463.46921599999996</v>
      </c>
      <c r="AL380" s="163">
        <f>VLOOKUP(IMSS[[#This Row],[SUE MENS]],$AL$110:$AN$120,3,1)</f>
        <v>253.54</v>
      </c>
      <c r="AM380" s="248">
        <f>IF(IMSS[[#This Row],[ISR CARGO]]-IMSS[[#This Row],[SUBS ISR]]&gt;0,IMSS[[#This Row],[ISR CARGO]]-IMSS[[#This Row],[SUBS ISR]],0)</f>
        <v>209.92921599999997</v>
      </c>
      <c r="AN380" s="248">
        <f>IF(IMSS[[#This Row],[SUBS ISR]]-IMSS[[#This Row],[ISR CARGO]]&gt;0,IMSS[[#This Row],[SUBS ISR]]-IMSS[[#This Row],[ISR CARGO]],0)</f>
        <v>0</v>
      </c>
    </row>
    <row r="381" spans="3:40" ht="15" hidden="1" customHeight="1" x14ac:dyDescent="0.25">
      <c r="C381" s="243">
        <v>415</v>
      </c>
      <c r="D381" s="167" t="str">
        <f>VLOOKUP(IMSS[[#This Row],[NEM]],BDD[],2,0)</f>
        <v>Debany Maríana Galván Galván</v>
      </c>
      <c r="E381" s="167" t="str">
        <f>VLOOKUP(IMSS[[#This Row],[NEM]],BDD[],9,0)</f>
        <v>AUDIT ADMN</v>
      </c>
      <c r="F381" s="168">
        <v>30</v>
      </c>
      <c r="G381" s="139">
        <f>VLOOKUP(IMSS[[#This Row],[NEM]],BDD[],3,0)</f>
        <v>9450</v>
      </c>
      <c r="H381" s="139">
        <f ca="1">VLOOKUP(IMSS[[#This Row],[NEM]],BDD[],25,0)</f>
        <v>347.79452054794518</v>
      </c>
      <c r="I381" s="143">
        <f>VLOOKUP(IMSS[[#This Row],[DEPT]],$B$3:$G$49,6,0)</f>
        <v>5.4355000000000002E-3</v>
      </c>
      <c r="J381" s="163">
        <f ca="1">IMSS[[#This Row],[DIAS LAB]]*IMSS[[#This Row],[SDI]]*IMSS[[#This Row],[% RSG]]*$Q$108</f>
        <v>56.713113493150679</v>
      </c>
      <c r="K381" s="163">
        <f>IMSS[[#This Row],[DIAS LAB]]*$J$110*$Q$109</f>
        <v>548.47440000000006</v>
      </c>
      <c r="L381" s="166">
        <f ca="1">IMSS[[#This Row],[DIAS LAB]]*IF(IMSS[[#This Row],[SDI]]-$J$113&gt;0,IMSS[[#This Row],[SDI]]-$J$113,0)*$Q$110</f>
        <v>26.048391780821905</v>
      </c>
      <c r="M381" s="166">
        <f ca="1">IMSS[[#This Row],[DIAS LAB]]*IMSS[[#This Row],[SDI]]*$Q$111</f>
        <v>109.55527397260273</v>
      </c>
      <c r="N381" s="163">
        <f ca="1">IMSS[[#This Row],[DIAS LAB]]*IMSS[[#This Row],[SDI]]*$Q$112</f>
        <v>73.03684931506848</v>
      </c>
      <c r="O381" s="166">
        <f ca="1">IMSS[[#This Row],[DIAS LAB]]*IMSS[[#This Row],[SDI]]*$Q$113</f>
        <v>182.59212328767123</v>
      </c>
      <c r="P381" s="163">
        <f ca="1">IMSS[[#This Row],[DIAS LAB]]*IMSS[[#This Row],[SDI]]*$Q$114</f>
        <v>104.33835616438355</v>
      </c>
      <c r="Q381" s="166">
        <f ca="1">IMSS[[#This Row],[DIAS LAB]]*IMSS[[#This Row],[SDI]]*$Q$115</f>
        <v>208.67671232876711</v>
      </c>
      <c r="R381" s="163">
        <f ca="1">IMSS[[#This Row],[DIAS LAB]]*IMSS[[#This Row],[SDI]]*$Q$116</f>
        <v>328.66582191780816</v>
      </c>
      <c r="S381" s="163">
        <f ca="1">IMSS[[#This Row],[DIAS LAB]]*IMSS[[#This Row],[SDI]]*$Q$117</f>
        <v>521.69178082191775</v>
      </c>
      <c r="T381" s="164">
        <f ca="1">SUM(IMSS[[#This Row],[P RSG TRB]:[P INFONAVIT]])</f>
        <v>2159.7928230821917</v>
      </c>
      <c r="U381" s="163">
        <f ca="1">IMSS[[#This Row],[DIAS LAB]]*IMSS[[#This Row],[SDI]]*IMSS[[#This Row],[% RSG]]*$R$108</f>
        <v>0</v>
      </c>
      <c r="V381" s="163">
        <f ca="1">IMSS[[#This Row],[DIAS LAB]]*IMSS[[#This Row],[SDI]]*$R$112</f>
        <v>26.084589041095889</v>
      </c>
      <c r="W381" s="163"/>
      <c r="X381" s="163">
        <f ca="1">IMSS[[#This Row],[DIAS LAB]]*IMSS[[#This Row],[SDI]]*$R$113</f>
        <v>65.733164383561643</v>
      </c>
      <c r="Y381" s="163">
        <f ca="1">IMSS[[#This Row],[DIAS LAB]]*IMSS[[#This Row],[SDI]]*$R$114</f>
        <v>0</v>
      </c>
      <c r="Z381" s="163">
        <f ca="1">IMSS[[#This Row],[DIAS LAB]]*IMSS[[#This Row],[SDI]]*$R$115</f>
        <v>0</v>
      </c>
      <c r="AA381" s="163">
        <f ca="1">IMSS[[#This Row],[DIAS LAB]]*IMSS[[#This Row],[SDI]]*$R$116</f>
        <v>117.90234246575341</v>
      </c>
      <c r="AB381" s="163">
        <f ca="1">IMSS[[#This Row],[DIAS LAB]]*IMSS[[#This Row],[SDI]]*$R$117</f>
        <v>0</v>
      </c>
      <c r="AC381" s="247">
        <f ca="1">SUM(IMSS[[#This Row],[O RSG TRB]:[O INFONAVIT]])</f>
        <v>209.72009589041093</v>
      </c>
      <c r="AD381" s="163"/>
      <c r="AE381" s="165">
        <f ca="1">IMSS[[#This Row],[P TOTAL]]+IMSS[[#This Row],[O TOTAL]]</f>
        <v>2369.5129189726026</v>
      </c>
      <c r="AF381" s="163"/>
      <c r="AG381" s="163">
        <f>VLOOKUP(IMSS[[#This Row],[SUE MENS]],$AG$110:$AJ$120,1,1)</f>
        <v>5470.93</v>
      </c>
      <c r="AH381" s="163">
        <f>IMSS[[#This Row],[SUE MENS]]-IMSS[[#This Row],[LIM INF]]</f>
        <v>3979.0699999999997</v>
      </c>
      <c r="AI381" s="163">
        <f>IMSS[[#This Row],[EXC LIM INF]]*(VLOOKUP(IMSS[[#This Row],[LIM INF]],$AG$110:$AJ$120,4,0))</f>
        <v>432.92281600000001</v>
      </c>
      <c r="AJ381" s="163">
        <f>VLOOKUP(IMSS[[#This Row],[LIM INF]],$AG$110:$AJ$120,3)</f>
        <v>321.26</v>
      </c>
      <c r="AK381" s="163">
        <f>SUM(IMSS[[#This Row],[TASA EXC]]+IMSS[[#This Row],[CUOTA FIJA]])</f>
        <v>754.182816</v>
      </c>
      <c r="AL381" s="163">
        <f>VLOOKUP(IMSS[[#This Row],[SUE MENS]],$AL$110:$AN$120,3,1)</f>
        <v>0</v>
      </c>
      <c r="AM381" s="248">
        <f>IF(IMSS[[#This Row],[ISR CARGO]]-IMSS[[#This Row],[SUBS ISR]]&gt;0,IMSS[[#This Row],[ISR CARGO]]-IMSS[[#This Row],[SUBS ISR]],0)</f>
        <v>754.182816</v>
      </c>
      <c r="AN381" s="248">
        <f>IF(IMSS[[#This Row],[SUBS ISR]]-IMSS[[#This Row],[ISR CARGO]]&gt;0,IMSS[[#This Row],[SUBS ISR]]-IMSS[[#This Row],[ISR CARGO]],0)</f>
        <v>0</v>
      </c>
    </row>
    <row r="382" spans="3:40" ht="15" hidden="1" customHeight="1" x14ac:dyDescent="0.25">
      <c r="C382" s="243">
        <v>418</v>
      </c>
      <c r="D382" s="167" t="str">
        <f>VLOOKUP(IMSS[[#This Row],[NEM]],BDD[],2,0)</f>
        <v>Norbella Evangelista Hernandez</v>
      </c>
      <c r="E382" s="167" t="str">
        <f>VLOOKUP(IMSS[[#This Row],[NEM]],BDD[],9,0)</f>
        <v>CONTROL</v>
      </c>
      <c r="F382" s="168">
        <v>30</v>
      </c>
      <c r="G382" s="139">
        <f>VLOOKUP(IMSS[[#This Row],[NEM]],BDD[],3,0)</f>
        <v>7950</v>
      </c>
      <c r="H382" s="139">
        <f ca="1">VLOOKUP(IMSS[[#This Row],[NEM]],BDD[],25,0)</f>
        <v>292.58904109589042</v>
      </c>
      <c r="I382" s="143">
        <f>VLOOKUP(IMSS[[#This Row],[DEPT]],$B$3:$G$49,6,0)</f>
        <v>5.4355000000000002E-3</v>
      </c>
      <c r="J382" s="163">
        <f ca="1">IMSS[[#This Row],[DIAS LAB]]*IMSS[[#This Row],[SDI]]*IMSS[[#This Row],[% RSG]]*$Q$108</f>
        <v>47.711031986301379</v>
      </c>
      <c r="K382" s="163">
        <f>IMSS[[#This Row],[DIAS LAB]]*$J$110*$Q$109</f>
        <v>548.47440000000006</v>
      </c>
      <c r="L382" s="166">
        <f ca="1">IMSS[[#This Row],[DIAS LAB]]*IF(IMSS[[#This Row],[SDI]]-$J$113&gt;0,IMSS[[#This Row],[SDI]]-$J$113,0)*$Q$110</f>
        <v>7.8305835616438344</v>
      </c>
      <c r="M382" s="166">
        <f ca="1">IMSS[[#This Row],[DIAS LAB]]*IMSS[[#This Row],[SDI]]*$Q$111</f>
        <v>92.165547945205503</v>
      </c>
      <c r="N382" s="163">
        <f ca="1">IMSS[[#This Row],[DIAS LAB]]*IMSS[[#This Row],[SDI]]*$Q$112</f>
        <v>61.443698630136993</v>
      </c>
      <c r="O382" s="166">
        <f ca="1">IMSS[[#This Row],[DIAS LAB]]*IMSS[[#This Row],[SDI]]*$Q$113</f>
        <v>153.6092465753425</v>
      </c>
      <c r="P382" s="163">
        <f ca="1">IMSS[[#This Row],[DIAS LAB]]*IMSS[[#This Row],[SDI]]*$Q$114</f>
        <v>87.776712328767132</v>
      </c>
      <c r="Q382" s="166">
        <f ca="1">IMSS[[#This Row],[DIAS LAB]]*IMSS[[#This Row],[SDI]]*$Q$115</f>
        <v>175.55342465753426</v>
      </c>
      <c r="R382" s="163">
        <f ca="1">IMSS[[#This Row],[DIAS LAB]]*IMSS[[#This Row],[SDI]]*$Q$116</f>
        <v>276.49664383561645</v>
      </c>
      <c r="S382" s="163">
        <f ca="1">IMSS[[#This Row],[DIAS LAB]]*IMSS[[#This Row],[SDI]]*$Q$117</f>
        <v>438.88356164383572</v>
      </c>
      <c r="T382" s="164">
        <f ca="1">SUM(IMSS[[#This Row],[P RSG TRB]:[P INFONAVIT]])</f>
        <v>1889.9448511643839</v>
      </c>
      <c r="U382" s="163">
        <f ca="1">IMSS[[#This Row],[DIAS LAB]]*IMSS[[#This Row],[SDI]]*IMSS[[#This Row],[% RSG]]*$R$108</f>
        <v>0</v>
      </c>
      <c r="V382" s="163">
        <f ca="1">IMSS[[#This Row],[DIAS LAB]]*IMSS[[#This Row],[SDI]]*$R$112</f>
        <v>21.944178082191783</v>
      </c>
      <c r="W382" s="163"/>
      <c r="X382" s="163">
        <f ca="1">IMSS[[#This Row],[DIAS LAB]]*IMSS[[#This Row],[SDI]]*$R$113</f>
        <v>55.299328767123292</v>
      </c>
      <c r="Y382" s="163">
        <f ca="1">IMSS[[#This Row],[DIAS LAB]]*IMSS[[#This Row],[SDI]]*$R$114</f>
        <v>0</v>
      </c>
      <c r="Z382" s="163">
        <f ca="1">IMSS[[#This Row],[DIAS LAB]]*IMSS[[#This Row],[SDI]]*$R$115</f>
        <v>0</v>
      </c>
      <c r="AA382" s="163">
        <f ca="1">IMSS[[#This Row],[DIAS LAB]]*IMSS[[#This Row],[SDI]]*$R$116</f>
        <v>99.187684931506851</v>
      </c>
      <c r="AB382" s="163">
        <f ca="1">IMSS[[#This Row],[DIAS LAB]]*IMSS[[#This Row],[SDI]]*$R$117</f>
        <v>0</v>
      </c>
      <c r="AC382" s="247">
        <f ca="1">SUM(IMSS[[#This Row],[O RSG TRB]:[O INFONAVIT]])</f>
        <v>176.43119178082193</v>
      </c>
      <c r="AD382" s="163"/>
      <c r="AE382" s="165">
        <f ca="1">IMSS[[#This Row],[P TOTAL]]+IMSS[[#This Row],[O TOTAL]]</f>
        <v>2066.3760429452059</v>
      </c>
      <c r="AF382" s="163"/>
      <c r="AG382" s="163">
        <f>VLOOKUP(IMSS[[#This Row],[SUE MENS]],$AG$110:$AJ$120,1,1)</f>
        <v>5470.93</v>
      </c>
      <c r="AH382" s="163">
        <f>IMSS[[#This Row],[SUE MENS]]-IMSS[[#This Row],[LIM INF]]</f>
        <v>2479.0699999999997</v>
      </c>
      <c r="AI382" s="163">
        <f>IMSS[[#This Row],[EXC LIM INF]]*(VLOOKUP(IMSS[[#This Row],[LIM INF]],$AG$110:$AJ$120,4,0))</f>
        <v>269.72281599999997</v>
      </c>
      <c r="AJ382" s="163">
        <f>VLOOKUP(IMSS[[#This Row],[LIM INF]],$AG$110:$AJ$120,3)</f>
        <v>321.26</v>
      </c>
      <c r="AK382" s="163">
        <f>SUM(IMSS[[#This Row],[TASA EXC]]+IMSS[[#This Row],[CUOTA FIJA]])</f>
        <v>590.98281599999996</v>
      </c>
      <c r="AL382" s="163">
        <f>VLOOKUP(IMSS[[#This Row],[SUE MENS]],$AL$110:$AN$120,3,1)</f>
        <v>0</v>
      </c>
      <c r="AM382" s="248">
        <f>IF(IMSS[[#This Row],[ISR CARGO]]-IMSS[[#This Row],[SUBS ISR]]&gt;0,IMSS[[#This Row],[ISR CARGO]]-IMSS[[#This Row],[SUBS ISR]],0)</f>
        <v>590.98281599999996</v>
      </c>
      <c r="AN382" s="248">
        <f>IF(IMSS[[#This Row],[SUBS ISR]]-IMSS[[#This Row],[ISR CARGO]]&gt;0,IMSS[[#This Row],[SUBS ISR]]-IMSS[[#This Row],[ISR CARGO]],0)</f>
        <v>0</v>
      </c>
    </row>
    <row r="383" spans="3:40" ht="15" hidden="1" customHeight="1" x14ac:dyDescent="0.25">
      <c r="C383" s="243">
        <v>420</v>
      </c>
      <c r="D383" s="167" t="str">
        <f>VLOOKUP(IMSS[[#This Row],[NEM]],BDD[],2,0)</f>
        <v>Ana María Amelia Solis Saravia</v>
      </c>
      <c r="E383" s="167" t="str">
        <f>VLOOKUP(IMSS[[#This Row],[NEM]],BDD[],9,0)</f>
        <v>CRÉDITOS</v>
      </c>
      <c r="F383" s="168">
        <v>30</v>
      </c>
      <c r="G383" s="139">
        <f>VLOOKUP(IMSS[[#This Row],[NEM]],BDD[],3,0)</f>
        <v>7445</v>
      </c>
      <c r="H383" s="139">
        <f ca="1">VLOOKUP(IMSS[[#This Row],[NEM]],BDD[],25,0)</f>
        <v>274.00319634703197</v>
      </c>
      <c r="I383" s="143">
        <f>VLOOKUP(IMSS[[#This Row],[DEPT]],$B$3:$G$49,6,0)</f>
        <v>5.4355000000000002E-3</v>
      </c>
      <c r="J383" s="163">
        <f ca="1">IMSS[[#This Row],[DIAS LAB]]*IMSS[[#This Row],[SDI]]*IMSS[[#This Row],[% RSG]]*$Q$108</f>
        <v>44.680331212328774</v>
      </c>
      <c r="K383" s="163">
        <f>IMSS[[#This Row],[DIAS LAB]]*$J$110*$Q$109</f>
        <v>548.47440000000006</v>
      </c>
      <c r="L383" s="166">
        <f ca="1">IMSS[[#This Row],[DIAS LAB]]*IF(IMSS[[#This Row],[SDI]]-$J$113&gt;0,IMSS[[#This Row],[SDI]]-$J$113,0)*$Q$110</f>
        <v>1.6972547945205467</v>
      </c>
      <c r="M383" s="166">
        <f ca="1">IMSS[[#This Row],[DIAS LAB]]*IMSS[[#This Row],[SDI]]*$Q$111</f>
        <v>86.311006849315078</v>
      </c>
      <c r="N383" s="163">
        <f ca="1">IMSS[[#This Row],[DIAS LAB]]*IMSS[[#This Row],[SDI]]*$Q$112</f>
        <v>57.540671232876718</v>
      </c>
      <c r="O383" s="166">
        <f ca="1">IMSS[[#This Row],[DIAS LAB]]*IMSS[[#This Row],[SDI]]*$Q$113</f>
        <v>143.8516780821918</v>
      </c>
      <c r="P383" s="163">
        <f ca="1">IMSS[[#This Row],[DIAS LAB]]*IMSS[[#This Row],[SDI]]*$Q$114</f>
        <v>82.200958904109598</v>
      </c>
      <c r="Q383" s="166">
        <f ca="1">IMSS[[#This Row],[DIAS LAB]]*IMSS[[#This Row],[SDI]]*$Q$115</f>
        <v>164.4019178082192</v>
      </c>
      <c r="R383" s="163">
        <f ca="1">IMSS[[#This Row],[DIAS LAB]]*IMSS[[#This Row],[SDI]]*$Q$116</f>
        <v>258.9330205479452</v>
      </c>
      <c r="S383" s="163">
        <f ca="1">IMSS[[#This Row],[DIAS LAB]]*IMSS[[#This Row],[SDI]]*$Q$117</f>
        <v>411.00479452054799</v>
      </c>
      <c r="T383" s="164">
        <f ca="1">SUM(IMSS[[#This Row],[P RSG TRB]:[P INFONAVIT]])</f>
        <v>1799.0960339520548</v>
      </c>
      <c r="U383" s="163">
        <f ca="1">IMSS[[#This Row],[DIAS LAB]]*IMSS[[#This Row],[SDI]]*IMSS[[#This Row],[% RSG]]*$R$108</f>
        <v>0</v>
      </c>
      <c r="V383" s="163">
        <f ca="1">IMSS[[#This Row],[DIAS LAB]]*IMSS[[#This Row],[SDI]]*$R$112</f>
        <v>20.550239726027399</v>
      </c>
      <c r="W383" s="163"/>
      <c r="X383" s="163">
        <f ca="1">IMSS[[#This Row],[DIAS LAB]]*IMSS[[#This Row],[SDI]]*$R$113</f>
        <v>51.786604109589042</v>
      </c>
      <c r="Y383" s="163">
        <f ca="1">IMSS[[#This Row],[DIAS LAB]]*IMSS[[#This Row],[SDI]]*$R$114</f>
        <v>0</v>
      </c>
      <c r="Z383" s="163">
        <f ca="1">IMSS[[#This Row],[DIAS LAB]]*IMSS[[#This Row],[SDI]]*$R$115</f>
        <v>0</v>
      </c>
      <c r="AA383" s="163">
        <f ca="1">IMSS[[#This Row],[DIAS LAB]]*IMSS[[#This Row],[SDI]]*$R$116</f>
        <v>92.887083561643834</v>
      </c>
      <c r="AB383" s="163">
        <f ca="1">IMSS[[#This Row],[DIAS LAB]]*IMSS[[#This Row],[SDI]]*$R$117</f>
        <v>0</v>
      </c>
      <c r="AC383" s="247">
        <f ca="1">SUM(IMSS[[#This Row],[O RSG TRB]:[O INFONAVIT]])</f>
        <v>165.22392739726027</v>
      </c>
      <c r="AD383" s="163"/>
      <c r="AE383" s="165">
        <f ca="1">IMSS[[#This Row],[P TOTAL]]+IMSS[[#This Row],[O TOTAL]]</f>
        <v>1964.319961349315</v>
      </c>
      <c r="AF383" s="163"/>
      <c r="AG383" s="163">
        <f>VLOOKUP(IMSS[[#This Row],[SUE MENS]],$AG$110:$AJ$120,1,1)</f>
        <v>5470.93</v>
      </c>
      <c r="AH383" s="163">
        <f>IMSS[[#This Row],[SUE MENS]]-IMSS[[#This Row],[LIM INF]]</f>
        <v>1974.0699999999997</v>
      </c>
      <c r="AI383" s="163">
        <f>IMSS[[#This Row],[EXC LIM INF]]*(VLOOKUP(IMSS[[#This Row],[LIM INF]],$AG$110:$AJ$120,4,0))</f>
        <v>214.77881599999998</v>
      </c>
      <c r="AJ383" s="163">
        <f>VLOOKUP(IMSS[[#This Row],[LIM INF]],$AG$110:$AJ$120,3)</f>
        <v>321.26</v>
      </c>
      <c r="AK383" s="163">
        <f>SUM(IMSS[[#This Row],[TASA EXC]]+IMSS[[#This Row],[CUOTA FIJA]])</f>
        <v>536.038816</v>
      </c>
      <c r="AL383" s="163">
        <f>VLOOKUP(IMSS[[#This Row],[SUE MENS]],$AL$110:$AN$120,3,1)</f>
        <v>0</v>
      </c>
      <c r="AM383" s="248">
        <f>IF(IMSS[[#This Row],[ISR CARGO]]-IMSS[[#This Row],[SUBS ISR]]&gt;0,IMSS[[#This Row],[ISR CARGO]]-IMSS[[#This Row],[SUBS ISR]],0)</f>
        <v>536.038816</v>
      </c>
      <c r="AN383" s="248">
        <f>IF(IMSS[[#This Row],[SUBS ISR]]-IMSS[[#This Row],[ISR CARGO]]&gt;0,IMSS[[#This Row],[SUBS ISR]]-IMSS[[#This Row],[ISR CARGO]],0)</f>
        <v>0</v>
      </c>
    </row>
    <row r="384" spans="3:40" ht="15" hidden="1" customHeight="1" x14ac:dyDescent="0.25">
      <c r="C384" s="243">
        <v>421</v>
      </c>
      <c r="D384" s="167" t="str">
        <f>VLOOKUP(IMSS[[#This Row],[NEM]],BDD[],2,0)</f>
        <v>Norma Edith Santiago Ramos</v>
      </c>
      <c r="E384" s="167" t="str">
        <f>VLOOKUP(IMSS[[#This Row],[NEM]],BDD[],9,0)</f>
        <v>AUDIT PROY</v>
      </c>
      <c r="F384" s="168">
        <v>30</v>
      </c>
      <c r="G384" s="139">
        <f>VLOOKUP(IMSS[[#This Row],[NEM]],BDD[],3,0)</f>
        <v>6778</v>
      </c>
      <c r="H384" s="139">
        <f ca="1">VLOOKUP(IMSS[[#This Row],[NEM]],BDD[],25,0)</f>
        <v>237.69424657534245</v>
      </c>
      <c r="I384" s="143">
        <f>VLOOKUP(IMSS[[#This Row],[DEPT]],$B$3:$G$49,6,0)</f>
        <v>1.130658E-2</v>
      </c>
      <c r="J384" s="163">
        <f ca="1">IMSS[[#This Row],[DIAS LAB]]*IMSS[[#This Row],[SDI]]*IMSS[[#This Row],[% RSG]]*$Q$108</f>
        <v>80.625270433315066</v>
      </c>
      <c r="K384" s="163">
        <f>IMSS[[#This Row],[DIAS LAB]]*$J$110*$Q$109</f>
        <v>548.47440000000006</v>
      </c>
      <c r="L384" s="166">
        <f ca="1">IMSS[[#This Row],[DIAS LAB]]*IF(IMSS[[#This Row],[SDI]]-$J$113&gt;0,IMSS[[#This Row],[SDI]]-$J$113,0)*$Q$110</f>
        <v>0</v>
      </c>
      <c r="M384" s="166">
        <f ca="1">IMSS[[#This Row],[DIAS LAB]]*IMSS[[#This Row],[SDI]]*$Q$111</f>
        <v>74.873687671232872</v>
      </c>
      <c r="N384" s="163">
        <f ca="1">IMSS[[#This Row],[DIAS LAB]]*IMSS[[#This Row],[SDI]]*$Q$112</f>
        <v>49.91579178082192</v>
      </c>
      <c r="O384" s="166">
        <f ca="1">IMSS[[#This Row],[DIAS LAB]]*IMSS[[#This Row],[SDI]]*$Q$113</f>
        <v>124.78947945205481</v>
      </c>
      <c r="P384" s="163">
        <f ca="1">IMSS[[#This Row],[DIAS LAB]]*IMSS[[#This Row],[SDI]]*$Q$114</f>
        <v>71.308273972602734</v>
      </c>
      <c r="Q384" s="166">
        <f ca="1">IMSS[[#This Row],[DIAS LAB]]*IMSS[[#This Row],[SDI]]*$Q$115</f>
        <v>142.61654794520547</v>
      </c>
      <c r="R384" s="163">
        <f ca="1">IMSS[[#This Row],[DIAS LAB]]*IMSS[[#This Row],[SDI]]*$Q$116</f>
        <v>224.62106301369863</v>
      </c>
      <c r="S384" s="163">
        <f ca="1">IMSS[[#This Row],[DIAS LAB]]*IMSS[[#This Row],[SDI]]*$Q$117</f>
        <v>356.5413698630137</v>
      </c>
      <c r="T384" s="164">
        <f ca="1">SUM(IMSS[[#This Row],[P RSG TRB]:[P INFONAVIT]])</f>
        <v>1673.7658841319453</v>
      </c>
      <c r="U384" s="163">
        <f ca="1">IMSS[[#This Row],[DIAS LAB]]*IMSS[[#This Row],[SDI]]*IMSS[[#This Row],[% RSG]]*$R$108</f>
        <v>0</v>
      </c>
      <c r="V384" s="163">
        <f ca="1">IMSS[[#This Row],[DIAS LAB]]*IMSS[[#This Row],[SDI]]*$R$112</f>
        <v>17.827068493150684</v>
      </c>
      <c r="W384" s="163"/>
      <c r="X384" s="163">
        <f ca="1">IMSS[[#This Row],[DIAS LAB]]*IMSS[[#This Row],[SDI]]*$R$113</f>
        <v>44.924212602739722</v>
      </c>
      <c r="Y384" s="163">
        <f ca="1">IMSS[[#This Row],[DIAS LAB]]*IMSS[[#This Row],[SDI]]*$R$114</f>
        <v>0</v>
      </c>
      <c r="Z384" s="163">
        <f ca="1">IMSS[[#This Row],[DIAS LAB]]*IMSS[[#This Row],[SDI]]*$R$115</f>
        <v>0</v>
      </c>
      <c r="AA384" s="163">
        <f ca="1">IMSS[[#This Row],[DIAS LAB]]*IMSS[[#This Row],[SDI]]*$R$116</f>
        <v>80.578349589041082</v>
      </c>
      <c r="AB384" s="163">
        <f ca="1">IMSS[[#This Row],[DIAS LAB]]*IMSS[[#This Row],[SDI]]*$R$117</f>
        <v>0</v>
      </c>
      <c r="AC384" s="247">
        <f ca="1">SUM(IMSS[[#This Row],[O RSG TRB]:[O INFONAVIT]])</f>
        <v>143.32963068493149</v>
      </c>
      <c r="AD384" s="163"/>
      <c r="AE384" s="165">
        <f ca="1">IMSS[[#This Row],[P TOTAL]]+IMSS[[#This Row],[O TOTAL]]</f>
        <v>1817.0955148168769</v>
      </c>
      <c r="AF384" s="163"/>
      <c r="AG384" s="163">
        <f>VLOOKUP(IMSS[[#This Row],[SUE MENS]],$AG$110:$AJ$120,1,1)</f>
        <v>5470.93</v>
      </c>
      <c r="AH384" s="163">
        <f>IMSS[[#This Row],[SUE MENS]]-IMSS[[#This Row],[LIM INF]]</f>
        <v>1307.0699999999997</v>
      </c>
      <c r="AI384" s="163">
        <f>IMSS[[#This Row],[EXC LIM INF]]*(VLOOKUP(IMSS[[#This Row],[LIM INF]],$AG$110:$AJ$120,4,0))</f>
        <v>142.20921599999997</v>
      </c>
      <c r="AJ384" s="163">
        <f>VLOOKUP(IMSS[[#This Row],[LIM INF]],$AG$110:$AJ$120,3)</f>
        <v>321.26</v>
      </c>
      <c r="AK384" s="163">
        <f>SUM(IMSS[[#This Row],[TASA EXC]]+IMSS[[#This Row],[CUOTA FIJA]])</f>
        <v>463.46921599999996</v>
      </c>
      <c r="AL384" s="163">
        <f>VLOOKUP(IMSS[[#This Row],[SUE MENS]],$AL$110:$AN$120,3,1)</f>
        <v>253.54</v>
      </c>
      <c r="AM384" s="248">
        <f>IF(IMSS[[#This Row],[ISR CARGO]]-IMSS[[#This Row],[SUBS ISR]]&gt;0,IMSS[[#This Row],[ISR CARGO]]-IMSS[[#This Row],[SUBS ISR]],0)</f>
        <v>209.92921599999997</v>
      </c>
      <c r="AN384" s="248">
        <f>IF(IMSS[[#This Row],[SUBS ISR]]-IMSS[[#This Row],[ISR CARGO]]&gt;0,IMSS[[#This Row],[SUBS ISR]]-IMSS[[#This Row],[ISR CARGO]],0)</f>
        <v>0</v>
      </c>
    </row>
    <row r="385" spans="3:40" ht="15" hidden="1" customHeight="1" x14ac:dyDescent="0.25">
      <c r="C385" s="243">
        <v>424</v>
      </c>
      <c r="D385" s="167" t="str">
        <f>VLOOKUP(IMSS[[#This Row],[NEM]],BDD[],2,0)</f>
        <v>Marcelo García Hernandez</v>
      </c>
      <c r="E385" s="167" t="str">
        <f>VLOOKUP(IMSS[[#This Row],[NEM]],BDD[],9,0)</f>
        <v>SOLUCIONES</v>
      </c>
      <c r="F385" s="168">
        <v>30</v>
      </c>
      <c r="G385" s="139">
        <f>VLOOKUP(IMSS[[#This Row],[NEM]],BDD[],3,0)</f>
        <v>9541</v>
      </c>
      <c r="H385" s="139">
        <f ca="1">VLOOKUP(IMSS[[#This Row],[NEM]],BDD[],25,0)</f>
        <v>351.14365296803658</v>
      </c>
      <c r="I385" s="143">
        <f>VLOOKUP(IMSS[[#This Row],[DEPT]],$B$3:$G$49,6,0)</f>
        <v>5.4355000000000002E-3</v>
      </c>
      <c r="J385" s="163">
        <f ca="1">IMSS[[#This Row],[DIAS LAB]]*IMSS[[#This Row],[SDI]]*IMSS[[#This Row],[% RSG]]*$Q$108</f>
        <v>57.259239771232885</v>
      </c>
      <c r="K385" s="163">
        <f>IMSS[[#This Row],[DIAS LAB]]*$J$110*$Q$109</f>
        <v>548.47440000000006</v>
      </c>
      <c r="L385" s="166">
        <f ca="1">IMSS[[#This Row],[DIAS LAB]]*IF(IMSS[[#This Row],[SDI]]-$J$113&gt;0,IMSS[[#This Row],[SDI]]-$J$113,0)*$Q$110</f>
        <v>27.153605479452061</v>
      </c>
      <c r="M385" s="166">
        <f ca="1">IMSS[[#This Row],[DIAS LAB]]*IMSS[[#This Row],[SDI]]*$Q$111</f>
        <v>110.61025068493153</v>
      </c>
      <c r="N385" s="163">
        <f ca="1">IMSS[[#This Row],[DIAS LAB]]*IMSS[[#This Row],[SDI]]*$Q$112</f>
        <v>73.740167123287677</v>
      </c>
      <c r="O385" s="166">
        <f ca="1">IMSS[[#This Row],[DIAS LAB]]*IMSS[[#This Row],[SDI]]*$Q$113</f>
        <v>184.35041780821922</v>
      </c>
      <c r="P385" s="163">
        <f ca="1">IMSS[[#This Row],[DIAS LAB]]*IMSS[[#This Row],[SDI]]*$Q$114</f>
        <v>105.34309589041096</v>
      </c>
      <c r="Q385" s="166">
        <f ca="1">IMSS[[#This Row],[DIAS LAB]]*IMSS[[#This Row],[SDI]]*$Q$115</f>
        <v>210.68619178082193</v>
      </c>
      <c r="R385" s="163">
        <f ca="1">IMSS[[#This Row],[DIAS LAB]]*IMSS[[#This Row],[SDI]]*$Q$116</f>
        <v>331.83075205479457</v>
      </c>
      <c r="S385" s="163">
        <f ca="1">IMSS[[#This Row],[DIAS LAB]]*IMSS[[#This Row],[SDI]]*$Q$117</f>
        <v>526.71547945205486</v>
      </c>
      <c r="T385" s="164">
        <f ca="1">SUM(IMSS[[#This Row],[P RSG TRB]:[P INFONAVIT]])</f>
        <v>2176.1636000452058</v>
      </c>
      <c r="U385" s="163">
        <f ca="1">IMSS[[#This Row],[DIAS LAB]]*IMSS[[#This Row],[SDI]]*IMSS[[#This Row],[% RSG]]*$R$108</f>
        <v>0</v>
      </c>
      <c r="V385" s="163">
        <f ca="1">IMSS[[#This Row],[DIAS LAB]]*IMSS[[#This Row],[SDI]]*$R$112</f>
        <v>26.335773972602741</v>
      </c>
      <c r="W385" s="163"/>
      <c r="X385" s="163">
        <f ca="1">IMSS[[#This Row],[DIAS LAB]]*IMSS[[#This Row],[SDI]]*$R$113</f>
        <v>66.366150410958909</v>
      </c>
      <c r="Y385" s="163">
        <f ca="1">IMSS[[#This Row],[DIAS LAB]]*IMSS[[#This Row],[SDI]]*$R$114</f>
        <v>0</v>
      </c>
      <c r="Z385" s="163">
        <f ca="1">IMSS[[#This Row],[DIAS LAB]]*IMSS[[#This Row],[SDI]]*$R$115</f>
        <v>0</v>
      </c>
      <c r="AA385" s="163">
        <f ca="1">IMSS[[#This Row],[DIAS LAB]]*IMSS[[#This Row],[SDI]]*$R$116</f>
        <v>119.03769835616438</v>
      </c>
      <c r="AB385" s="163">
        <f ca="1">IMSS[[#This Row],[DIAS LAB]]*IMSS[[#This Row],[SDI]]*$R$117</f>
        <v>0</v>
      </c>
      <c r="AC385" s="247">
        <f ca="1">SUM(IMSS[[#This Row],[O RSG TRB]:[O INFONAVIT]])</f>
        <v>211.73962273972603</v>
      </c>
      <c r="AD385" s="163"/>
      <c r="AE385" s="165">
        <f ca="1">IMSS[[#This Row],[P TOTAL]]+IMSS[[#This Row],[O TOTAL]]</f>
        <v>2387.903222784932</v>
      </c>
      <c r="AF385" s="163"/>
      <c r="AG385" s="163">
        <f>VLOOKUP(IMSS[[#This Row],[SUE MENS]],$AG$110:$AJ$120,1,1)</f>
        <v>5470.93</v>
      </c>
      <c r="AH385" s="163">
        <f>IMSS[[#This Row],[SUE MENS]]-IMSS[[#This Row],[LIM INF]]</f>
        <v>4070.0699999999997</v>
      </c>
      <c r="AI385" s="163">
        <f>IMSS[[#This Row],[EXC LIM INF]]*(VLOOKUP(IMSS[[#This Row],[LIM INF]],$AG$110:$AJ$120,4,0))</f>
        <v>442.82361600000002</v>
      </c>
      <c r="AJ385" s="163">
        <f>VLOOKUP(IMSS[[#This Row],[LIM INF]],$AG$110:$AJ$120,3)</f>
        <v>321.26</v>
      </c>
      <c r="AK385" s="163">
        <f>SUM(IMSS[[#This Row],[TASA EXC]]+IMSS[[#This Row],[CUOTA FIJA]])</f>
        <v>764.08361600000001</v>
      </c>
      <c r="AL385" s="163">
        <f>VLOOKUP(IMSS[[#This Row],[SUE MENS]],$AL$110:$AN$120,3,1)</f>
        <v>0</v>
      </c>
      <c r="AM385" s="248">
        <f>IF(IMSS[[#This Row],[ISR CARGO]]-IMSS[[#This Row],[SUBS ISR]]&gt;0,IMSS[[#This Row],[ISR CARGO]]-IMSS[[#This Row],[SUBS ISR]],0)</f>
        <v>764.08361600000001</v>
      </c>
      <c r="AN385" s="248">
        <f>IF(IMSS[[#This Row],[SUBS ISR]]-IMSS[[#This Row],[ISR CARGO]]&gt;0,IMSS[[#This Row],[SUBS ISR]]-IMSS[[#This Row],[ISR CARGO]],0)</f>
        <v>0</v>
      </c>
    </row>
    <row r="386" spans="3:40" ht="15" hidden="1" customHeight="1" x14ac:dyDescent="0.25">
      <c r="C386" s="243">
        <v>425</v>
      </c>
      <c r="D386" s="167" t="str">
        <f>VLOOKUP(IMSS[[#This Row],[NEM]],BDD[],2,0)</f>
        <v>José Ivan Zacarias Moreno</v>
      </c>
      <c r="E386" s="167" t="str">
        <f>VLOOKUP(IMSS[[#This Row],[NEM]],BDD[],9,0)</f>
        <v>INST CAMPO</v>
      </c>
      <c r="F386" s="168">
        <v>30</v>
      </c>
      <c r="G386" s="139">
        <f>VLOOKUP(IMSS[[#This Row],[NEM]],BDD[],3,0)</f>
        <v>10860</v>
      </c>
      <c r="H386" s="139">
        <f ca="1">VLOOKUP(IMSS[[#This Row],[NEM]],BDD[],25,0)</f>
        <v>399.68767123287671</v>
      </c>
      <c r="I386" s="143">
        <f>VLOOKUP(IMSS[[#This Row],[DEPT]],$B$3:$G$49,6,0)</f>
        <v>4.6532499999999997E-2</v>
      </c>
      <c r="J386" s="163">
        <f ca="1">IMSS[[#This Row],[DIAS LAB]]*IMSS[[#This Row],[SDI]]*IMSS[[#This Row],[% RSG]]*$Q$108</f>
        <v>557.95399684931499</v>
      </c>
      <c r="K386" s="163">
        <f>IMSS[[#This Row],[DIAS LAB]]*$J$110*$Q$109</f>
        <v>548.47440000000006</v>
      </c>
      <c r="L386" s="166">
        <f ca="1">IMSS[[#This Row],[DIAS LAB]]*IF(IMSS[[#This Row],[SDI]]-$J$113&gt;0,IMSS[[#This Row],[SDI]]-$J$113,0)*$Q$110</f>
        <v>43.173131506849309</v>
      </c>
      <c r="M386" s="166">
        <f ca="1">IMSS[[#This Row],[DIAS LAB]]*IMSS[[#This Row],[SDI]]*$Q$111</f>
        <v>125.90161643835617</v>
      </c>
      <c r="N386" s="163">
        <f ca="1">IMSS[[#This Row],[DIAS LAB]]*IMSS[[#This Row],[SDI]]*$Q$112</f>
        <v>83.93441095890411</v>
      </c>
      <c r="O386" s="166">
        <f ca="1">IMSS[[#This Row],[DIAS LAB]]*IMSS[[#This Row],[SDI]]*$Q$113</f>
        <v>209.8360273972603</v>
      </c>
      <c r="P386" s="163">
        <f ca="1">IMSS[[#This Row],[DIAS LAB]]*IMSS[[#This Row],[SDI]]*$Q$114</f>
        <v>119.90630136986302</v>
      </c>
      <c r="Q386" s="166">
        <f ca="1">IMSS[[#This Row],[DIAS LAB]]*IMSS[[#This Row],[SDI]]*$Q$115</f>
        <v>239.81260273972603</v>
      </c>
      <c r="R386" s="163">
        <f ca="1">IMSS[[#This Row],[DIAS LAB]]*IMSS[[#This Row],[SDI]]*$Q$116</f>
        <v>377.70484931506849</v>
      </c>
      <c r="S386" s="163">
        <f ca="1">IMSS[[#This Row],[DIAS LAB]]*IMSS[[#This Row],[SDI]]*$Q$117</f>
        <v>599.53150684931506</v>
      </c>
      <c r="T386" s="164">
        <f ca="1">SUM(IMSS[[#This Row],[P RSG TRB]:[P INFONAVIT]])</f>
        <v>2906.228843424658</v>
      </c>
      <c r="U386" s="163">
        <f ca="1">IMSS[[#This Row],[DIAS LAB]]*IMSS[[#This Row],[SDI]]*IMSS[[#This Row],[% RSG]]*$R$108</f>
        <v>0</v>
      </c>
      <c r="V386" s="163">
        <f ca="1">IMSS[[#This Row],[DIAS LAB]]*IMSS[[#This Row],[SDI]]*$R$112</f>
        <v>29.976575342465754</v>
      </c>
      <c r="W386" s="163"/>
      <c r="X386" s="163">
        <f ca="1">IMSS[[#This Row],[DIAS LAB]]*IMSS[[#This Row],[SDI]]*$R$113</f>
        <v>75.5409698630137</v>
      </c>
      <c r="Y386" s="163">
        <f ca="1">IMSS[[#This Row],[DIAS LAB]]*IMSS[[#This Row],[SDI]]*$R$114</f>
        <v>0</v>
      </c>
      <c r="Z386" s="163">
        <f ca="1">IMSS[[#This Row],[DIAS LAB]]*IMSS[[#This Row],[SDI]]*$R$115</f>
        <v>0</v>
      </c>
      <c r="AA386" s="163">
        <f ca="1">IMSS[[#This Row],[DIAS LAB]]*IMSS[[#This Row],[SDI]]*$R$116</f>
        <v>135.49412054794519</v>
      </c>
      <c r="AB386" s="163">
        <f ca="1">IMSS[[#This Row],[DIAS LAB]]*IMSS[[#This Row],[SDI]]*$R$117</f>
        <v>0</v>
      </c>
      <c r="AC386" s="247">
        <f ca="1">SUM(IMSS[[#This Row],[O RSG TRB]:[O INFONAVIT]])</f>
        <v>241.01166575342464</v>
      </c>
      <c r="AD386" s="163"/>
      <c r="AE386" s="165">
        <f ca="1">IMSS[[#This Row],[P TOTAL]]+IMSS[[#This Row],[O TOTAL]]</f>
        <v>3147.2405091780824</v>
      </c>
      <c r="AF386" s="163"/>
      <c r="AG386" s="163">
        <f>VLOOKUP(IMSS[[#This Row],[SUE MENS]],$AG$110:$AJ$120,1,1)</f>
        <v>9614.67</v>
      </c>
      <c r="AH386" s="163">
        <f>IMSS[[#This Row],[SUE MENS]]-IMSS[[#This Row],[LIM INF]]</f>
        <v>1245.33</v>
      </c>
      <c r="AI386" s="163">
        <f>IMSS[[#This Row],[EXC LIM INF]]*(VLOOKUP(IMSS[[#This Row],[LIM INF]],$AG$110:$AJ$120,4,0))</f>
        <v>199.25279999999998</v>
      </c>
      <c r="AJ386" s="163">
        <f>VLOOKUP(IMSS[[#This Row],[LIM INF]],$AG$110:$AJ$120,3)</f>
        <v>772.1</v>
      </c>
      <c r="AK386" s="163">
        <f>SUM(IMSS[[#This Row],[TASA EXC]]+IMSS[[#This Row],[CUOTA FIJA]])</f>
        <v>971.3528</v>
      </c>
      <c r="AL386" s="163">
        <f>VLOOKUP(IMSS[[#This Row],[SUE MENS]],$AL$110:$AN$120,3,1)</f>
        <v>0</v>
      </c>
      <c r="AM386" s="248">
        <f>IF(IMSS[[#This Row],[ISR CARGO]]-IMSS[[#This Row],[SUBS ISR]]&gt;0,IMSS[[#This Row],[ISR CARGO]]-IMSS[[#This Row],[SUBS ISR]],0)</f>
        <v>971.3528</v>
      </c>
      <c r="AN386" s="248">
        <f>IF(IMSS[[#This Row],[SUBS ISR]]-IMSS[[#This Row],[ISR CARGO]]&gt;0,IMSS[[#This Row],[SUBS ISR]]-IMSS[[#This Row],[ISR CARGO]],0)</f>
        <v>0</v>
      </c>
    </row>
    <row r="387" spans="3:40" ht="15" hidden="1" customHeight="1" x14ac:dyDescent="0.25">
      <c r="C387" s="243">
        <v>426</v>
      </c>
      <c r="D387" s="167" t="str">
        <f>VLOOKUP(IMSS[[#This Row],[NEM]],BDD[],2,0)</f>
        <v>Margarita Salgado Noguez</v>
      </c>
      <c r="E387" s="167" t="str">
        <f>VLOOKUP(IMSS[[#This Row],[NEM]],BDD[],9,0)</f>
        <v>ARQUITECT</v>
      </c>
      <c r="F387" s="168">
        <v>30</v>
      </c>
      <c r="G387" s="139">
        <f>VLOOKUP(IMSS[[#This Row],[NEM]],BDD[],3,0)</f>
        <v>9450</v>
      </c>
      <c r="H387" s="139">
        <f ca="1">VLOOKUP(IMSS[[#This Row],[NEM]],BDD[],25,0)</f>
        <v>347.79452054794518</v>
      </c>
      <c r="I387" s="143">
        <f>VLOOKUP(IMSS[[#This Row],[DEPT]],$B$3:$G$49,6,0)</f>
        <v>2.5984400000000001E-2</v>
      </c>
      <c r="J387" s="163">
        <f ca="1">IMSS[[#This Row],[DIAS LAB]]*IMSS[[#This Row],[SDI]]*IMSS[[#This Row],[% RSG]]*$Q$108</f>
        <v>271.11695819178078</v>
      </c>
      <c r="K387" s="163">
        <f>IMSS[[#This Row],[DIAS LAB]]*$J$110*$Q$109</f>
        <v>548.47440000000006</v>
      </c>
      <c r="L387" s="166">
        <f ca="1">IMSS[[#This Row],[DIAS LAB]]*IF(IMSS[[#This Row],[SDI]]-$J$113&gt;0,IMSS[[#This Row],[SDI]]-$J$113,0)*$Q$110</f>
        <v>26.048391780821905</v>
      </c>
      <c r="M387" s="166">
        <f ca="1">IMSS[[#This Row],[DIAS LAB]]*IMSS[[#This Row],[SDI]]*$Q$111</f>
        <v>109.55527397260273</v>
      </c>
      <c r="N387" s="163">
        <f ca="1">IMSS[[#This Row],[DIAS LAB]]*IMSS[[#This Row],[SDI]]*$Q$112</f>
        <v>73.03684931506848</v>
      </c>
      <c r="O387" s="166">
        <f ca="1">IMSS[[#This Row],[DIAS LAB]]*IMSS[[#This Row],[SDI]]*$Q$113</f>
        <v>182.59212328767123</v>
      </c>
      <c r="P387" s="163">
        <f ca="1">IMSS[[#This Row],[DIAS LAB]]*IMSS[[#This Row],[SDI]]*$Q$114</f>
        <v>104.33835616438355</v>
      </c>
      <c r="Q387" s="166">
        <f ca="1">IMSS[[#This Row],[DIAS LAB]]*IMSS[[#This Row],[SDI]]*$Q$115</f>
        <v>208.67671232876711</v>
      </c>
      <c r="R387" s="163">
        <f ca="1">IMSS[[#This Row],[DIAS LAB]]*IMSS[[#This Row],[SDI]]*$Q$116</f>
        <v>328.66582191780816</v>
      </c>
      <c r="S387" s="163">
        <f ca="1">IMSS[[#This Row],[DIAS LAB]]*IMSS[[#This Row],[SDI]]*$Q$117</f>
        <v>521.69178082191775</v>
      </c>
      <c r="T387" s="164">
        <f ca="1">SUM(IMSS[[#This Row],[P RSG TRB]:[P INFONAVIT]])</f>
        <v>2374.1966677808218</v>
      </c>
      <c r="U387" s="163">
        <f ca="1">IMSS[[#This Row],[DIAS LAB]]*IMSS[[#This Row],[SDI]]*IMSS[[#This Row],[% RSG]]*$R$108</f>
        <v>0</v>
      </c>
      <c r="V387" s="163">
        <f ca="1">IMSS[[#This Row],[DIAS LAB]]*IMSS[[#This Row],[SDI]]*$R$112</f>
        <v>26.084589041095889</v>
      </c>
      <c r="W387" s="163"/>
      <c r="X387" s="163">
        <f ca="1">IMSS[[#This Row],[DIAS LAB]]*IMSS[[#This Row],[SDI]]*$R$113</f>
        <v>65.733164383561643</v>
      </c>
      <c r="Y387" s="163">
        <f ca="1">IMSS[[#This Row],[DIAS LAB]]*IMSS[[#This Row],[SDI]]*$R$114</f>
        <v>0</v>
      </c>
      <c r="Z387" s="163">
        <f ca="1">IMSS[[#This Row],[DIAS LAB]]*IMSS[[#This Row],[SDI]]*$R$115</f>
        <v>0</v>
      </c>
      <c r="AA387" s="163">
        <f ca="1">IMSS[[#This Row],[DIAS LAB]]*IMSS[[#This Row],[SDI]]*$R$116</f>
        <v>117.90234246575341</v>
      </c>
      <c r="AB387" s="163">
        <f ca="1">IMSS[[#This Row],[DIAS LAB]]*IMSS[[#This Row],[SDI]]*$R$117</f>
        <v>0</v>
      </c>
      <c r="AC387" s="247">
        <f ca="1">SUM(IMSS[[#This Row],[O RSG TRB]:[O INFONAVIT]])</f>
        <v>209.72009589041093</v>
      </c>
      <c r="AD387" s="163"/>
      <c r="AE387" s="165">
        <f ca="1">IMSS[[#This Row],[P TOTAL]]+IMSS[[#This Row],[O TOTAL]]</f>
        <v>2583.9167636712327</v>
      </c>
      <c r="AF387" s="163"/>
      <c r="AG387" s="163">
        <f>VLOOKUP(IMSS[[#This Row],[SUE MENS]],$AG$110:$AJ$120,1,1)</f>
        <v>5470.93</v>
      </c>
      <c r="AH387" s="163">
        <f>IMSS[[#This Row],[SUE MENS]]-IMSS[[#This Row],[LIM INF]]</f>
        <v>3979.0699999999997</v>
      </c>
      <c r="AI387" s="163">
        <f>IMSS[[#This Row],[EXC LIM INF]]*(VLOOKUP(IMSS[[#This Row],[LIM INF]],$AG$110:$AJ$120,4,0))</f>
        <v>432.92281600000001</v>
      </c>
      <c r="AJ387" s="163">
        <f>VLOOKUP(IMSS[[#This Row],[LIM INF]],$AG$110:$AJ$120,3)</f>
        <v>321.26</v>
      </c>
      <c r="AK387" s="163">
        <f>SUM(IMSS[[#This Row],[TASA EXC]]+IMSS[[#This Row],[CUOTA FIJA]])</f>
        <v>754.182816</v>
      </c>
      <c r="AL387" s="163">
        <f>VLOOKUP(IMSS[[#This Row],[SUE MENS]],$AL$110:$AN$120,3,1)</f>
        <v>0</v>
      </c>
      <c r="AM387" s="248">
        <f>IF(IMSS[[#This Row],[ISR CARGO]]-IMSS[[#This Row],[SUBS ISR]]&gt;0,IMSS[[#This Row],[ISR CARGO]]-IMSS[[#This Row],[SUBS ISR]],0)</f>
        <v>754.182816</v>
      </c>
      <c r="AN387" s="248">
        <f>IF(IMSS[[#This Row],[SUBS ISR]]-IMSS[[#This Row],[ISR CARGO]]&gt;0,IMSS[[#This Row],[SUBS ISR]]-IMSS[[#This Row],[ISR CARGO]],0)</f>
        <v>0</v>
      </c>
    </row>
    <row r="388" spans="3:40" ht="15" hidden="1" customHeight="1" x14ac:dyDescent="0.25">
      <c r="C388" s="243">
        <v>427</v>
      </c>
      <c r="D388" s="167" t="str">
        <f>VLOOKUP(IMSS[[#This Row],[NEM]],BDD[],2,0)</f>
        <v>Jorge Enrique Arellano Villalobos</v>
      </c>
      <c r="E388" s="167" t="str">
        <f>VLOOKUP(IMSS[[#This Row],[NEM]],BDD[],9,0)</f>
        <v>CRÉDITOS</v>
      </c>
      <c r="F388" s="168">
        <v>30</v>
      </c>
      <c r="G388" s="139">
        <f>VLOOKUP(IMSS[[#This Row],[NEM]],BDD[],3,0)</f>
        <v>6778</v>
      </c>
      <c r="H388" s="139">
        <f ca="1">VLOOKUP(IMSS[[#This Row],[NEM]],BDD[],25,0)</f>
        <v>237.69424657534245</v>
      </c>
      <c r="I388" s="143">
        <f>VLOOKUP(IMSS[[#This Row],[DEPT]],$B$3:$G$49,6,0)</f>
        <v>5.4355000000000002E-3</v>
      </c>
      <c r="J388" s="163">
        <f ca="1">IMSS[[#This Row],[DIAS LAB]]*IMSS[[#This Row],[SDI]]*IMSS[[#This Row],[% RSG]]*$Q$108</f>
        <v>38.759612317808219</v>
      </c>
      <c r="K388" s="163">
        <f>IMSS[[#This Row],[DIAS LAB]]*$J$110*$Q$109</f>
        <v>548.47440000000006</v>
      </c>
      <c r="L388" s="166">
        <f ca="1">IMSS[[#This Row],[DIAS LAB]]*IF(IMSS[[#This Row],[SDI]]-$J$113&gt;0,IMSS[[#This Row],[SDI]]-$J$113,0)*$Q$110</f>
        <v>0</v>
      </c>
      <c r="M388" s="166">
        <f ca="1">IMSS[[#This Row],[DIAS LAB]]*IMSS[[#This Row],[SDI]]*$Q$111</f>
        <v>74.873687671232872</v>
      </c>
      <c r="N388" s="163">
        <f ca="1">IMSS[[#This Row],[DIAS LAB]]*IMSS[[#This Row],[SDI]]*$Q$112</f>
        <v>49.91579178082192</v>
      </c>
      <c r="O388" s="166">
        <f ca="1">IMSS[[#This Row],[DIAS LAB]]*IMSS[[#This Row],[SDI]]*$Q$113</f>
        <v>124.78947945205481</v>
      </c>
      <c r="P388" s="163">
        <f ca="1">IMSS[[#This Row],[DIAS LAB]]*IMSS[[#This Row],[SDI]]*$Q$114</f>
        <v>71.308273972602734</v>
      </c>
      <c r="Q388" s="166">
        <f ca="1">IMSS[[#This Row],[DIAS LAB]]*IMSS[[#This Row],[SDI]]*$Q$115</f>
        <v>142.61654794520547</v>
      </c>
      <c r="R388" s="163">
        <f ca="1">IMSS[[#This Row],[DIAS LAB]]*IMSS[[#This Row],[SDI]]*$Q$116</f>
        <v>224.62106301369863</v>
      </c>
      <c r="S388" s="163">
        <f ca="1">IMSS[[#This Row],[DIAS LAB]]*IMSS[[#This Row],[SDI]]*$Q$117</f>
        <v>356.5413698630137</v>
      </c>
      <c r="T388" s="164">
        <f ca="1">SUM(IMSS[[#This Row],[P RSG TRB]:[P INFONAVIT]])</f>
        <v>1631.9002260164384</v>
      </c>
      <c r="U388" s="163">
        <f ca="1">IMSS[[#This Row],[DIAS LAB]]*IMSS[[#This Row],[SDI]]*IMSS[[#This Row],[% RSG]]*$R$108</f>
        <v>0</v>
      </c>
      <c r="V388" s="163">
        <f ca="1">IMSS[[#This Row],[DIAS LAB]]*IMSS[[#This Row],[SDI]]*$R$112</f>
        <v>17.827068493150684</v>
      </c>
      <c r="W388" s="163"/>
      <c r="X388" s="163">
        <f ca="1">IMSS[[#This Row],[DIAS LAB]]*IMSS[[#This Row],[SDI]]*$R$113</f>
        <v>44.924212602739722</v>
      </c>
      <c r="Y388" s="163">
        <f ca="1">IMSS[[#This Row],[DIAS LAB]]*IMSS[[#This Row],[SDI]]*$R$114</f>
        <v>0</v>
      </c>
      <c r="Z388" s="163">
        <f ca="1">IMSS[[#This Row],[DIAS LAB]]*IMSS[[#This Row],[SDI]]*$R$115</f>
        <v>0</v>
      </c>
      <c r="AA388" s="163">
        <f ca="1">IMSS[[#This Row],[DIAS LAB]]*IMSS[[#This Row],[SDI]]*$R$116</f>
        <v>80.578349589041082</v>
      </c>
      <c r="AB388" s="163">
        <f ca="1">IMSS[[#This Row],[DIAS LAB]]*IMSS[[#This Row],[SDI]]*$R$117</f>
        <v>0</v>
      </c>
      <c r="AC388" s="247">
        <f ca="1">SUM(IMSS[[#This Row],[O RSG TRB]:[O INFONAVIT]])</f>
        <v>143.32963068493149</v>
      </c>
      <c r="AD388" s="163"/>
      <c r="AE388" s="165">
        <f ca="1">IMSS[[#This Row],[P TOTAL]]+IMSS[[#This Row],[O TOTAL]]</f>
        <v>1775.22985670137</v>
      </c>
      <c r="AF388" s="163"/>
      <c r="AG388" s="163">
        <f>VLOOKUP(IMSS[[#This Row],[SUE MENS]],$AG$110:$AJ$120,1,1)</f>
        <v>5470.93</v>
      </c>
      <c r="AH388" s="163">
        <f>IMSS[[#This Row],[SUE MENS]]-IMSS[[#This Row],[LIM INF]]</f>
        <v>1307.0699999999997</v>
      </c>
      <c r="AI388" s="163">
        <f>IMSS[[#This Row],[EXC LIM INF]]*(VLOOKUP(IMSS[[#This Row],[LIM INF]],$AG$110:$AJ$120,4,0))</f>
        <v>142.20921599999997</v>
      </c>
      <c r="AJ388" s="163">
        <f>VLOOKUP(IMSS[[#This Row],[LIM INF]],$AG$110:$AJ$120,3)</f>
        <v>321.26</v>
      </c>
      <c r="AK388" s="163">
        <f>SUM(IMSS[[#This Row],[TASA EXC]]+IMSS[[#This Row],[CUOTA FIJA]])</f>
        <v>463.46921599999996</v>
      </c>
      <c r="AL388" s="163">
        <f>VLOOKUP(IMSS[[#This Row],[SUE MENS]],$AL$110:$AN$120,3,1)</f>
        <v>253.54</v>
      </c>
      <c r="AM388" s="248">
        <f>IF(IMSS[[#This Row],[ISR CARGO]]-IMSS[[#This Row],[SUBS ISR]]&gt;0,IMSS[[#This Row],[ISR CARGO]]-IMSS[[#This Row],[SUBS ISR]],0)</f>
        <v>209.92921599999997</v>
      </c>
      <c r="AN388" s="248">
        <f>IF(IMSS[[#This Row],[SUBS ISR]]-IMSS[[#This Row],[ISR CARGO]]&gt;0,IMSS[[#This Row],[SUBS ISR]]-IMSS[[#This Row],[ISR CARGO]],0)</f>
        <v>0</v>
      </c>
    </row>
    <row r="389" spans="3:40" ht="15" hidden="1" customHeight="1" x14ac:dyDescent="0.25">
      <c r="C389" s="243">
        <v>428</v>
      </c>
      <c r="D389" s="167" t="str">
        <f>VLOOKUP(IMSS[[#This Row],[NEM]],BDD[],2,0)</f>
        <v>Georgina Mayoral Nabor</v>
      </c>
      <c r="E389" s="167" t="str">
        <f>VLOOKUP(IMSS[[#This Row],[NEM]],BDD[],9,0)</f>
        <v>ARQUITECT</v>
      </c>
      <c r="F389" s="168">
        <v>30</v>
      </c>
      <c r="G389" s="139">
        <f>VLOOKUP(IMSS[[#This Row],[NEM]],BDD[],3,0)</f>
        <v>10350</v>
      </c>
      <c r="H389" s="139">
        <f ca="1">VLOOKUP(IMSS[[#This Row],[NEM]],BDD[],25,0)</f>
        <v>380.91780821917808</v>
      </c>
      <c r="I389" s="143">
        <f>VLOOKUP(IMSS[[#This Row],[DEPT]],$B$3:$G$49,6,0)</f>
        <v>2.5984400000000001E-2</v>
      </c>
      <c r="J389" s="163">
        <f ca="1">IMSS[[#This Row],[DIAS LAB]]*IMSS[[#This Row],[SDI]]*IMSS[[#This Row],[% RSG]]*$Q$108</f>
        <v>296.93762087671234</v>
      </c>
      <c r="K389" s="163">
        <f>IMSS[[#This Row],[DIAS LAB]]*$J$110*$Q$109</f>
        <v>548.47440000000006</v>
      </c>
      <c r="L389" s="166">
        <f ca="1">IMSS[[#This Row],[DIAS LAB]]*IF(IMSS[[#This Row],[SDI]]-$J$113&gt;0,IMSS[[#This Row],[SDI]]-$J$113,0)*$Q$110</f>
        <v>36.979076712328762</v>
      </c>
      <c r="M389" s="166">
        <f ca="1">IMSS[[#This Row],[DIAS LAB]]*IMSS[[#This Row],[SDI]]*$Q$111</f>
        <v>119.98910958904109</v>
      </c>
      <c r="N389" s="163">
        <f ca="1">IMSS[[#This Row],[DIAS LAB]]*IMSS[[#This Row],[SDI]]*$Q$112</f>
        <v>79.992739726027395</v>
      </c>
      <c r="O389" s="166">
        <f ca="1">IMSS[[#This Row],[DIAS LAB]]*IMSS[[#This Row],[SDI]]*$Q$113</f>
        <v>199.9818493150685</v>
      </c>
      <c r="P389" s="163">
        <f ca="1">IMSS[[#This Row],[DIAS LAB]]*IMSS[[#This Row],[SDI]]*$Q$114</f>
        <v>114.27534246575343</v>
      </c>
      <c r="Q389" s="166">
        <f ca="1">IMSS[[#This Row],[DIAS LAB]]*IMSS[[#This Row],[SDI]]*$Q$115</f>
        <v>228.55068493150685</v>
      </c>
      <c r="R389" s="163">
        <f ca="1">IMSS[[#This Row],[DIAS LAB]]*IMSS[[#This Row],[SDI]]*$Q$116</f>
        <v>359.96732876712326</v>
      </c>
      <c r="S389" s="163">
        <f ca="1">IMSS[[#This Row],[DIAS LAB]]*IMSS[[#This Row],[SDI]]*$Q$117</f>
        <v>571.3767123287671</v>
      </c>
      <c r="T389" s="164">
        <f ca="1">SUM(IMSS[[#This Row],[P RSG TRB]:[P INFONAVIT]])</f>
        <v>2556.524864712329</v>
      </c>
      <c r="U389" s="163">
        <f ca="1">IMSS[[#This Row],[DIAS LAB]]*IMSS[[#This Row],[SDI]]*IMSS[[#This Row],[% RSG]]*$R$108</f>
        <v>0</v>
      </c>
      <c r="V389" s="163">
        <f ca="1">IMSS[[#This Row],[DIAS LAB]]*IMSS[[#This Row],[SDI]]*$R$112</f>
        <v>28.568835616438356</v>
      </c>
      <c r="W389" s="163"/>
      <c r="X389" s="163">
        <f ca="1">IMSS[[#This Row],[DIAS LAB]]*IMSS[[#This Row],[SDI]]*$R$113</f>
        <v>71.993465753424658</v>
      </c>
      <c r="Y389" s="163">
        <f ca="1">IMSS[[#This Row],[DIAS LAB]]*IMSS[[#This Row],[SDI]]*$R$114</f>
        <v>0</v>
      </c>
      <c r="Z389" s="163">
        <f ca="1">IMSS[[#This Row],[DIAS LAB]]*IMSS[[#This Row],[SDI]]*$R$115</f>
        <v>0</v>
      </c>
      <c r="AA389" s="163">
        <f ca="1">IMSS[[#This Row],[DIAS LAB]]*IMSS[[#This Row],[SDI]]*$R$116</f>
        <v>129.13113698630136</v>
      </c>
      <c r="AB389" s="163">
        <f ca="1">IMSS[[#This Row],[DIAS LAB]]*IMSS[[#This Row],[SDI]]*$R$117</f>
        <v>0</v>
      </c>
      <c r="AC389" s="247">
        <f ca="1">SUM(IMSS[[#This Row],[O RSG TRB]:[O INFONAVIT]])</f>
        <v>229.69343835616436</v>
      </c>
      <c r="AD389" s="163"/>
      <c r="AE389" s="165">
        <f ca="1">IMSS[[#This Row],[P TOTAL]]+IMSS[[#This Row],[O TOTAL]]</f>
        <v>2786.2183030684932</v>
      </c>
      <c r="AF389" s="163"/>
      <c r="AG389" s="163">
        <f>VLOOKUP(IMSS[[#This Row],[SUE MENS]],$AG$110:$AJ$120,1,1)</f>
        <v>9614.67</v>
      </c>
      <c r="AH389" s="163">
        <f>IMSS[[#This Row],[SUE MENS]]-IMSS[[#This Row],[LIM INF]]</f>
        <v>735.32999999999993</v>
      </c>
      <c r="AI389" s="163">
        <f>IMSS[[#This Row],[EXC LIM INF]]*(VLOOKUP(IMSS[[#This Row],[LIM INF]],$AG$110:$AJ$120,4,0))</f>
        <v>117.65279999999998</v>
      </c>
      <c r="AJ389" s="163">
        <f>VLOOKUP(IMSS[[#This Row],[LIM INF]],$AG$110:$AJ$120,3)</f>
        <v>772.1</v>
      </c>
      <c r="AK389" s="163">
        <f>SUM(IMSS[[#This Row],[TASA EXC]]+IMSS[[#This Row],[CUOTA FIJA]])</f>
        <v>889.75279999999998</v>
      </c>
      <c r="AL389" s="163">
        <f>VLOOKUP(IMSS[[#This Row],[SUE MENS]],$AL$110:$AN$120,3,1)</f>
        <v>0</v>
      </c>
      <c r="AM389" s="248">
        <f>IF(IMSS[[#This Row],[ISR CARGO]]-IMSS[[#This Row],[SUBS ISR]]&gt;0,IMSS[[#This Row],[ISR CARGO]]-IMSS[[#This Row],[SUBS ISR]],0)</f>
        <v>889.75279999999998</v>
      </c>
      <c r="AN389" s="248">
        <f>IF(IMSS[[#This Row],[SUBS ISR]]-IMSS[[#This Row],[ISR CARGO]]&gt;0,IMSS[[#This Row],[SUBS ISR]]-IMSS[[#This Row],[ISR CARGO]],0)</f>
        <v>0</v>
      </c>
    </row>
    <row r="390" spans="3:40" ht="15" hidden="1" customHeight="1" x14ac:dyDescent="0.25">
      <c r="C390" s="243">
        <v>430</v>
      </c>
      <c r="D390" s="167" t="str">
        <f>VLOOKUP(IMSS[[#This Row],[NEM]],BDD[],2,0)</f>
        <v>Miguel Angel Anguiano Blanco</v>
      </c>
      <c r="E390" s="167" t="str">
        <f>VLOOKUP(IMSS[[#This Row],[NEM]],BDD[],9,0)</f>
        <v>INST CAMPO</v>
      </c>
      <c r="F390" s="168">
        <v>30</v>
      </c>
      <c r="G390" s="139">
        <f>VLOOKUP(IMSS[[#This Row],[NEM]],BDD[],3,0)</f>
        <v>9541</v>
      </c>
      <c r="H390" s="139">
        <f ca="1">VLOOKUP(IMSS[[#This Row],[NEM]],BDD[],25,0)</f>
        <v>351.14365296803658</v>
      </c>
      <c r="I390" s="143">
        <f>VLOOKUP(IMSS[[#This Row],[DEPT]],$B$3:$G$49,6,0)</f>
        <v>4.6532499999999997E-2</v>
      </c>
      <c r="J390" s="163">
        <f ca="1">IMSS[[#This Row],[DIAS LAB]]*IMSS[[#This Row],[SDI]]*IMSS[[#This Row],[% RSG]]*$Q$108</f>
        <v>490.18776095205482</v>
      </c>
      <c r="K390" s="163">
        <f>IMSS[[#This Row],[DIAS LAB]]*$J$110*$Q$109</f>
        <v>548.47440000000006</v>
      </c>
      <c r="L390" s="166">
        <f ca="1">IMSS[[#This Row],[DIAS LAB]]*IF(IMSS[[#This Row],[SDI]]-$J$113&gt;0,IMSS[[#This Row],[SDI]]-$J$113,0)*$Q$110</f>
        <v>27.153605479452061</v>
      </c>
      <c r="M390" s="166">
        <f ca="1">IMSS[[#This Row],[DIAS LAB]]*IMSS[[#This Row],[SDI]]*$Q$111</f>
        <v>110.61025068493153</v>
      </c>
      <c r="N390" s="163">
        <f ca="1">IMSS[[#This Row],[DIAS LAB]]*IMSS[[#This Row],[SDI]]*$Q$112</f>
        <v>73.740167123287677</v>
      </c>
      <c r="O390" s="166">
        <f ca="1">IMSS[[#This Row],[DIAS LAB]]*IMSS[[#This Row],[SDI]]*$Q$113</f>
        <v>184.35041780821922</v>
      </c>
      <c r="P390" s="163">
        <f ca="1">IMSS[[#This Row],[DIAS LAB]]*IMSS[[#This Row],[SDI]]*$Q$114</f>
        <v>105.34309589041096</v>
      </c>
      <c r="Q390" s="166">
        <f ca="1">IMSS[[#This Row],[DIAS LAB]]*IMSS[[#This Row],[SDI]]*$Q$115</f>
        <v>210.68619178082193</v>
      </c>
      <c r="R390" s="163">
        <f ca="1">IMSS[[#This Row],[DIAS LAB]]*IMSS[[#This Row],[SDI]]*$Q$116</f>
        <v>331.83075205479457</v>
      </c>
      <c r="S390" s="163">
        <f ca="1">IMSS[[#This Row],[DIAS LAB]]*IMSS[[#This Row],[SDI]]*$Q$117</f>
        <v>526.71547945205486</v>
      </c>
      <c r="T390" s="164">
        <f ca="1">SUM(IMSS[[#This Row],[P RSG TRB]:[P INFONAVIT]])</f>
        <v>2609.0921212260273</v>
      </c>
      <c r="U390" s="163">
        <f ca="1">IMSS[[#This Row],[DIAS LAB]]*IMSS[[#This Row],[SDI]]*IMSS[[#This Row],[% RSG]]*$R$108</f>
        <v>0</v>
      </c>
      <c r="V390" s="163">
        <f ca="1">IMSS[[#This Row],[DIAS LAB]]*IMSS[[#This Row],[SDI]]*$R$112</f>
        <v>26.335773972602741</v>
      </c>
      <c r="W390" s="163"/>
      <c r="X390" s="163">
        <f ca="1">IMSS[[#This Row],[DIAS LAB]]*IMSS[[#This Row],[SDI]]*$R$113</f>
        <v>66.366150410958909</v>
      </c>
      <c r="Y390" s="163">
        <f ca="1">IMSS[[#This Row],[DIAS LAB]]*IMSS[[#This Row],[SDI]]*$R$114</f>
        <v>0</v>
      </c>
      <c r="Z390" s="163">
        <f ca="1">IMSS[[#This Row],[DIAS LAB]]*IMSS[[#This Row],[SDI]]*$R$115</f>
        <v>0</v>
      </c>
      <c r="AA390" s="163">
        <f ca="1">IMSS[[#This Row],[DIAS LAB]]*IMSS[[#This Row],[SDI]]*$R$116</f>
        <v>119.03769835616438</v>
      </c>
      <c r="AB390" s="163">
        <f ca="1">IMSS[[#This Row],[DIAS LAB]]*IMSS[[#This Row],[SDI]]*$R$117</f>
        <v>0</v>
      </c>
      <c r="AC390" s="247">
        <f ca="1">SUM(IMSS[[#This Row],[O RSG TRB]:[O INFONAVIT]])</f>
        <v>211.73962273972603</v>
      </c>
      <c r="AD390" s="163"/>
      <c r="AE390" s="165">
        <f ca="1">IMSS[[#This Row],[P TOTAL]]+IMSS[[#This Row],[O TOTAL]]</f>
        <v>2820.8317439657535</v>
      </c>
      <c r="AF390" s="163"/>
      <c r="AG390" s="163">
        <f>VLOOKUP(IMSS[[#This Row],[SUE MENS]],$AG$110:$AJ$120,1,1)</f>
        <v>5470.93</v>
      </c>
      <c r="AH390" s="163">
        <f>IMSS[[#This Row],[SUE MENS]]-IMSS[[#This Row],[LIM INF]]</f>
        <v>4070.0699999999997</v>
      </c>
      <c r="AI390" s="163">
        <f>IMSS[[#This Row],[EXC LIM INF]]*(VLOOKUP(IMSS[[#This Row],[LIM INF]],$AG$110:$AJ$120,4,0))</f>
        <v>442.82361600000002</v>
      </c>
      <c r="AJ390" s="163">
        <f>VLOOKUP(IMSS[[#This Row],[LIM INF]],$AG$110:$AJ$120,3)</f>
        <v>321.26</v>
      </c>
      <c r="AK390" s="163">
        <f>SUM(IMSS[[#This Row],[TASA EXC]]+IMSS[[#This Row],[CUOTA FIJA]])</f>
        <v>764.08361600000001</v>
      </c>
      <c r="AL390" s="163">
        <f>VLOOKUP(IMSS[[#This Row],[SUE MENS]],$AL$110:$AN$120,3,1)</f>
        <v>0</v>
      </c>
      <c r="AM390" s="248">
        <f>IF(IMSS[[#This Row],[ISR CARGO]]-IMSS[[#This Row],[SUBS ISR]]&gt;0,IMSS[[#This Row],[ISR CARGO]]-IMSS[[#This Row],[SUBS ISR]],0)</f>
        <v>764.08361600000001</v>
      </c>
      <c r="AN390" s="248">
        <f>IF(IMSS[[#This Row],[SUBS ISR]]-IMSS[[#This Row],[ISR CARGO]]&gt;0,IMSS[[#This Row],[SUBS ISR]]-IMSS[[#This Row],[ISR CARGO]],0)</f>
        <v>0</v>
      </c>
    </row>
    <row r="391" spans="3:40" ht="15" hidden="1" customHeight="1" x14ac:dyDescent="0.25">
      <c r="C391" s="243">
        <v>431</v>
      </c>
      <c r="D391" s="167" t="str">
        <f>VLOOKUP(IMSS[[#This Row],[NEM]],BDD[],2,0)</f>
        <v>Silvia Lizeth López Gómez</v>
      </c>
      <c r="E391" s="167" t="str">
        <f>VLOOKUP(IMSS[[#This Row],[NEM]],BDD[],9,0)</f>
        <v>ANLIS COST</v>
      </c>
      <c r="F391" s="168">
        <v>30</v>
      </c>
      <c r="G391" s="139">
        <f>VLOOKUP(IMSS[[#This Row],[NEM]],BDD[],3,0)</f>
        <v>7445</v>
      </c>
      <c r="H391" s="139">
        <f ca="1">VLOOKUP(IMSS[[#This Row],[NEM]],BDD[],25,0)</f>
        <v>274.00319634703197</v>
      </c>
      <c r="I391" s="143">
        <f>VLOOKUP(IMSS[[#This Row],[DEPT]],$B$3:$G$49,6,0)</f>
        <v>1.130658E-2</v>
      </c>
      <c r="J391" s="163">
        <f ca="1">IMSS[[#This Row],[DIAS LAB]]*IMSS[[#This Row],[SDI]]*IMSS[[#This Row],[% RSG]]*$Q$108</f>
        <v>92.941171792602745</v>
      </c>
      <c r="K391" s="163">
        <f>IMSS[[#This Row],[DIAS LAB]]*$J$110*$Q$109</f>
        <v>548.47440000000006</v>
      </c>
      <c r="L391" s="166">
        <f ca="1">IMSS[[#This Row],[DIAS LAB]]*IF(IMSS[[#This Row],[SDI]]-$J$113&gt;0,IMSS[[#This Row],[SDI]]-$J$113,0)*$Q$110</f>
        <v>1.6972547945205467</v>
      </c>
      <c r="M391" s="166">
        <f ca="1">IMSS[[#This Row],[DIAS LAB]]*IMSS[[#This Row],[SDI]]*$Q$111</f>
        <v>86.311006849315078</v>
      </c>
      <c r="N391" s="163">
        <f ca="1">IMSS[[#This Row],[DIAS LAB]]*IMSS[[#This Row],[SDI]]*$Q$112</f>
        <v>57.540671232876718</v>
      </c>
      <c r="O391" s="166">
        <f ca="1">IMSS[[#This Row],[DIAS LAB]]*IMSS[[#This Row],[SDI]]*$Q$113</f>
        <v>143.8516780821918</v>
      </c>
      <c r="P391" s="163">
        <f ca="1">IMSS[[#This Row],[DIAS LAB]]*IMSS[[#This Row],[SDI]]*$Q$114</f>
        <v>82.200958904109598</v>
      </c>
      <c r="Q391" s="166">
        <f ca="1">IMSS[[#This Row],[DIAS LAB]]*IMSS[[#This Row],[SDI]]*$Q$115</f>
        <v>164.4019178082192</v>
      </c>
      <c r="R391" s="163">
        <f ca="1">IMSS[[#This Row],[DIAS LAB]]*IMSS[[#This Row],[SDI]]*$Q$116</f>
        <v>258.9330205479452</v>
      </c>
      <c r="S391" s="163">
        <f ca="1">IMSS[[#This Row],[DIAS LAB]]*IMSS[[#This Row],[SDI]]*$Q$117</f>
        <v>411.00479452054799</v>
      </c>
      <c r="T391" s="164">
        <f ca="1">SUM(IMSS[[#This Row],[P RSG TRB]:[P INFONAVIT]])</f>
        <v>1847.3568745323291</v>
      </c>
      <c r="U391" s="163">
        <f ca="1">IMSS[[#This Row],[DIAS LAB]]*IMSS[[#This Row],[SDI]]*IMSS[[#This Row],[% RSG]]*$R$108</f>
        <v>0</v>
      </c>
      <c r="V391" s="163">
        <f ca="1">IMSS[[#This Row],[DIAS LAB]]*IMSS[[#This Row],[SDI]]*$R$112</f>
        <v>20.550239726027399</v>
      </c>
      <c r="W391" s="163"/>
      <c r="X391" s="163">
        <f ca="1">IMSS[[#This Row],[DIAS LAB]]*IMSS[[#This Row],[SDI]]*$R$113</f>
        <v>51.786604109589042</v>
      </c>
      <c r="Y391" s="163">
        <f ca="1">IMSS[[#This Row],[DIAS LAB]]*IMSS[[#This Row],[SDI]]*$R$114</f>
        <v>0</v>
      </c>
      <c r="Z391" s="163">
        <f ca="1">IMSS[[#This Row],[DIAS LAB]]*IMSS[[#This Row],[SDI]]*$R$115</f>
        <v>0</v>
      </c>
      <c r="AA391" s="163">
        <f ca="1">IMSS[[#This Row],[DIAS LAB]]*IMSS[[#This Row],[SDI]]*$R$116</f>
        <v>92.887083561643834</v>
      </c>
      <c r="AB391" s="163">
        <f ca="1">IMSS[[#This Row],[DIAS LAB]]*IMSS[[#This Row],[SDI]]*$R$117</f>
        <v>0</v>
      </c>
      <c r="AC391" s="247">
        <f ca="1">SUM(IMSS[[#This Row],[O RSG TRB]:[O INFONAVIT]])</f>
        <v>165.22392739726027</v>
      </c>
      <c r="AD391" s="163"/>
      <c r="AE391" s="165">
        <f ca="1">IMSS[[#This Row],[P TOTAL]]+IMSS[[#This Row],[O TOTAL]]</f>
        <v>2012.5808019295894</v>
      </c>
      <c r="AF391" s="163"/>
      <c r="AG391" s="163">
        <f>VLOOKUP(IMSS[[#This Row],[SUE MENS]],$AG$110:$AJ$120,1,1)</f>
        <v>5470.93</v>
      </c>
      <c r="AH391" s="163">
        <f>IMSS[[#This Row],[SUE MENS]]-IMSS[[#This Row],[LIM INF]]</f>
        <v>1974.0699999999997</v>
      </c>
      <c r="AI391" s="163">
        <f>IMSS[[#This Row],[EXC LIM INF]]*(VLOOKUP(IMSS[[#This Row],[LIM INF]],$AG$110:$AJ$120,4,0))</f>
        <v>214.77881599999998</v>
      </c>
      <c r="AJ391" s="163">
        <f>VLOOKUP(IMSS[[#This Row],[LIM INF]],$AG$110:$AJ$120,3)</f>
        <v>321.26</v>
      </c>
      <c r="AK391" s="163">
        <f>SUM(IMSS[[#This Row],[TASA EXC]]+IMSS[[#This Row],[CUOTA FIJA]])</f>
        <v>536.038816</v>
      </c>
      <c r="AL391" s="163">
        <f>VLOOKUP(IMSS[[#This Row],[SUE MENS]],$AL$110:$AN$120,3,1)</f>
        <v>0</v>
      </c>
      <c r="AM391" s="248">
        <f>IF(IMSS[[#This Row],[ISR CARGO]]-IMSS[[#This Row],[SUBS ISR]]&gt;0,IMSS[[#This Row],[ISR CARGO]]-IMSS[[#This Row],[SUBS ISR]],0)</f>
        <v>536.038816</v>
      </c>
      <c r="AN391" s="248">
        <f>IF(IMSS[[#This Row],[SUBS ISR]]-IMSS[[#This Row],[ISR CARGO]]&gt;0,IMSS[[#This Row],[SUBS ISR]]-IMSS[[#This Row],[ISR CARGO]],0)</f>
        <v>0</v>
      </c>
    </row>
    <row r="392" spans="3:40" ht="15" hidden="1" customHeight="1" x14ac:dyDescent="0.25">
      <c r="C392" s="243">
        <v>432</v>
      </c>
      <c r="D392" s="167" t="str">
        <f>VLOOKUP(IMSS[[#This Row],[NEM]],BDD[],2,0)</f>
        <v>Jesus Alejandro Luna Lucio</v>
      </c>
      <c r="E392" s="167" t="str">
        <f>VLOOKUP(IMSS[[#This Row],[NEM]],BDD[],9,0)</f>
        <v>COMPRAS</v>
      </c>
      <c r="F392" s="168">
        <v>30</v>
      </c>
      <c r="G392" s="139">
        <f>VLOOKUP(IMSS[[#This Row],[NEM]],BDD[],3,0)</f>
        <v>7445</v>
      </c>
      <c r="H392" s="139">
        <f ca="1">VLOOKUP(IMSS[[#This Row],[NEM]],BDD[],25,0)</f>
        <v>274.00319634703197</v>
      </c>
      <c r="I392" s="143">
        <f>VLOOKUP(IMSS[[#This Row],[DEPT]],$B$3:$G$49,6,0)</f>
        <v>5.4355000000000002E-3</v>
      </c>
      <c r="J392" s="163">
        <f ca="1">IMSS[[#This Row],[DIAS LAB]]*IMSS[[#This Row],[SDI]]*IMSS[[#This Row],[% RSG]]*$Q$108</f>
        <v>44.680331212328774</v>
      </c>
      <c r="K392" s="163">
        <f>IMSS[[#This Row],[DIAS LAB]]*$J$110*$Q$109</f>
        <v>548.47440000000006</v>
      </c>
      <c r="L392" s="166">
        <f ca="1">IMSS[[#This Row],[DIAS LAB]]*IF(IMSS[[#This Row],[SDI]]-$J$113&gt;0,IMSS[[#This Row],[SDI]]-$J$113,0)*$Q$110</f>
        <v>1.6972547945205467</v>
      </c>
      <c r="M392" s="166">
        <f ca="1">IMSS[[#This Row],[DIAS LAB]]*IMSS[[#This Row],[SDI]]*$Q$111</f>
        <v>86.311006849315078</v>
      </c>
      <c r="N392" s="163">
        <f ca="1">IMSS[[#This Row],[DIAS LAB]]*IMSS[[#This Row],[SDI]]*$Q$112</f>
        <v>57.540671232876718</v>
      </c>
      <c r="O392" s="166">
        <f ca="1">IMSS[[#This Row],[DIAS LAB]]*IMSS[[#This Row],[SDI]]*$Q$113</f>
        <v>143.8516780821918</v>
      </c>
      <c r="P392" s="163">
        <f ca="1">IMSS[[#This Row],[DIAS LAB]]*IMSS[[#This Row],[SDI]]*$Q$114</f>
        <v>82.200958904109598</v>
      </c>
      <c r="Q392" s="166">
        <f ca="1">IMSS[[#This Row],[DIAS LAB]]*IMSS[[#This Row],[SDI]]*$Q$115</f>
        <v>164.4019178082192</v>
      </c>
      <c r="R392" s="163">
        <f ca="1">IMSS[[#This Row],[DIAS LAB]]*IMSS[[#This Row],[SDI]]*$Q$116</f>
        <v>258.9330205479452</v>
      </c>
      <c r="S392" s="163">
        <f ca="1">IMSS[[#This Row],[DIAS LAB]]*IMSS[[#This Row],[SDI]]*$Q$117</f>
        <v>411.00479452054799</v>
      </c>
      <c r="T392" s="164">
        <f ca="1">SUM(IMSS[[#This Row],[P RSG TRB]:[P INFONAVIT]])</f>
        <v>1799.0960339520548</v>
      </c>
      <c r="U392" s="163">
        <f ca="1">IMSS[[#This Row],[DIAS LAB]]*IMSS[[#This Row],[SDI]]*IMSS[[#This Row],[% RSG]]*$R$108</f>
        <v>0</v>
      </c>
      <c r="V392" s="163">
        <f ca="1">IMSS[[#This Row],[DIAS LAB]]*IMSS[[#This Row],[SDI]]*$R$112</f>
        <v>20.550239726027399</v>
      </c>
      <c r="W392" s="163"/>
      <c r="X392" s="163">
        <f ca="1">IMSS[[#This Row],[DIAS LAB]]*IMSS[[#This Row],[SDI]]*$R$113</f>
        <v>51.786604109589042</v>
      </c>
      <c r="Y392" s="163">
        <f ca="1">IMSS[[#This Row],[DIAS LAB]]*IMSS[[#This Row],[SDI]]*$R$114</f>
        <v>0</v>
      </c>
      <c r="Z392" s="163">
        <f ca="1">IMSS[[#This Row],[DIAS LAB]]*IMSS[[#This Row],[SDI]]*$R$115</f>
        <v>0</v>
      </c>
      <c r="AA392" s="163">
        <f ca="1">IMSS[[#This Row],[DIAS LAB]]*IMSS[[#This Row],[SDI]]*$R$116</f>
        <v>92.887083561643834</v>
      </c>
      <c r="AB392" s="163">
        <f ca="1">IMSS[[#This Row],[DIAS LAB]]*IMSS[[#This Row],[SDI]]*$R$117</f>
        <v>0</v>
      </c>
      <c r="AC392" s="247">
        <f ca="1">SUM(IMSS[[#This Row],[O RSG TRB]:[O INFONAVIT]])</f>
        <v>165.22392739726027</v>
      </c>
      <c r="AD392" s="163"/>
      <c r="AE392" s="165">
        <f ca="1">IMSS[[#This Row],[P TOTAL]]+IMSS[[#This Row],[O TOTAL]]</f>
        <v>1964.319961349315</v>
      </c>
      <c r="AF392" s="163"/>
      <c r="AG392" s="163">
        <f>VLOOKUP(IMSS[[#This Row],[SUE MENS]],$AG$110:$AJ$120,1,1)</f>
        <v>5470.93</v>
      </c>
      <c r="AH392" s="163">
        <f>IMSS[[#This Row],[SUE MENS]]-IMSS[[#This Row],[LIM INF]]</f>
        <v>1974.0699999999997</v>
      </c>
      <c r="AI392" s="163">
        <f>IMSS[[#This Row],[EXC LIM INF]]*(VLOOKUP(IMSS[[#This Row],[LIM INF]],$AG$110:$AJ$120,4,0))</f>
        <v>214.77881599999998</v>
      </c>
      <c r="AJ392" s="163">
        <f>VLOOKUP(IMSS[[#This Row],[LIM INF]],$AG$110:$AJ$120,3)</f>
        <v>321.26</v>
      </c>
      <c r="AK392" s="163">
        <f>SUM(IMSS[[#This Row],[TASA EXC]]+IMSS[[#This Row],[CUOTA FIJA]])</f>
        <v>536.038816</v>
      </c>
      <c r="AL392" s="163">
        <f>VLOOKUP(IMSS[[#This Row],[SUE MENS]],$AL$110:$AN$120,3,1)</f>
        <v>0</v>
      </c>
      <c r="AM392" s="248">
        <f>IF(IMSS[[#This Row],[ISR CARGO]]-IMSS[[#This Row],[SUBS ISR]]&gt;0,IMSS[[#This Row],[ISR CARGO]]-IMSS[[#This Row],[SUBS ISR]],0)</f>
        <v>536.038816</v>
      </c>
      <c r="AN392" s="248">
        <f>IF(IMSS[[#This Row],[SUBS ISR]]-IMSS[[#This Row],[ISR CARGO]]&gt;0,IMSS[[#This Row],[SUBS ISR]]-IMSS[[#This Row],[ISR CARGO]],0)</f>
        <v>0</v>
      </c>
    </row>
    <row r="393" spans="3:40" ht="15" hidden="1" customHeight="1" x14ac:dyDescent="0.25">
      <c r="C393" s="243">
        <v>433</v>
      </c>
      <c r="D393" s="167" t="str">
        <f>VLOOKUP(IMSS[[#This Row],[NEM]],BDD[],2,0)</f>
        <v>Josélyn Galván Ruiz</v>
      </c>
      <c r="E393" s="167" t="str">
        <f>VLOOKUP(IMSS[[#This Row],[NEM]],BDD[],9,0)</f>
        <v>CONTA</v>
      </c>
      <c r="F393" s="168">
        <v>30</v>
      </c>
      <c r="G393" s="139">
        <f>VLOOKUP(IMSS[[#This Row],[NEM]],BDD[],3,0)</f>
        <v>8825</v>
      </c>
      <c r="H393" s="139">
        <f ca="1">VLOOKUP(IMSS[[#This Row],[NEM]],BDD[],25,0)</f>
        <v>324.79223744292239</v>
      </c>
      <c r="I393" s="143">
        <f>VLOOKUP(IMSS[[#This Row],[DEPT]],$B$3:$G$49,6,0)</f>
        <v>5.4355000000000002E-3</v>
      </c>
      <c r="J393" s="163">
        <f ca="1">IMSS[[#This Row],[DIAS LAB]]*IMSS[[#This Row],[SDI]]*IMSS[[#This Row],[% RSG]]*$Q$108</f>
        <v>52.96224619863014</v>
      </c>
      <c r="K393" s="163">
        <f>IMSS[[#This Row],[DIAS LAB]]*$J$110*$Q$109</f>
        <v>548.47440000000006</v>
      </c>
      <c r="L393" s="166">
        <f ca="1">IMSS[[#This Row],[DIAS LAB]]*IF(IMSS[[#This Row],[SDI]]-$J$113&gt;0,IMSS[[#This Row],[SDI]]-$J$113,0)*$Q$110</f>
        <v>18.457638356164384</v>
      </c>
      <c r="M393" s="166">
        <f ca="1">IMSS[[#This Row],[DIAS LAB]]*IMSS[[#This Row],[SDI]]*$Q$111</f>
        <v>102.30955479452055</v>
      </c>
      <c r="N393" s="163">
        <f ca="1">IMSS[[#This Row],[DIAS LAB]]*IMSS[[#This Row],[SDI]]*$Q$112</f>
        <v>68.206369863013691</v>
      </c>
      <c r="O393" s="166">
        <f ca="1">IMSS[[#This Row],[DIAS LAB]]*IMSS[[#This Row],[SDI]]*$Q$113</f>
        <v>170.51592465753427</v>
      </c>
      <c r="P393" s="163">
        <f ca="1">IMSS[[#This Row],[DIAS LAB]]*IMSS[[#This Row],[SDI]]*$Q$114</f>
        <v>97.43767123287671</v>
      </c>
      <c r="Q393" s="166">
        <f ca="1">IMSS[[#This Row],[DIAS LAB]]*IMSS[[#This Row],[SDI]]*$Q$115</f>
        <v>194.87534246575342</v>
      </c>
      <c r="R393" s="163">
        <f ca="1">IMSS[[#This Row],[DIAS LAB]]*IMSS[[#This Row],[SDI]]*$Q$116</f>
        <v>306.92866438356162</v>
      </c>
      <c r="S393" s="163">
        <f ca="1">IMSS[[#This Row],[DIAS LAB]]*IMSS[[#This Row],[SDI]]*$Q$117</f>
        <v>487.18835616438355</v>
      </c>
      <c r="T393" s="164">
        <f ca="1">SUM(IMSS[[#This Row],[P RSG TRB]:[P INFONAVIT]])</f>
        <v>2047.3561681164383</v>
      </c>
      <c r="U393" s="163">
        <f ca="1">IMSS[[#This Row],[DIAS LAB]]*IMSS[[#This Row],[SDI]]*IMSS[[#This Row],[% RSG]]*$R$108</f>
        <v>0</v>
      </c>
      <c r="V393" s="163">
        <f ca="1">IMSS[[#This Row],[DIAS LAB]]*IMSS[[#This Row],[SDI]]*$R$112</f>
        <v>24.359417808219177</v>
      </c>
      <c r="W393" s="163"/>
      <c r="X393" s="163">
        <f ca="1">IMSS[[#This Row],[DIAS LAB]]*IMSS[[#This Row],[SDI]]*$R$113</f>
        <v>61.385732876712325</v>
      </c>
      <c r="Y393" s="163">
        <f ca="1">IMSS[[#This Row],[DIAS LAB]]*IMSS[[#This Row],[SDI]]*$R$114</f>
        <v>0</v>
      </c>
      <c r="Z393" s="163">
        <f ca="1">IMSS[[#This Row],[DIAS LAB]]*IMSS[[#This Row],[SDI]]*$R$115</f>
        <v>0</v>
      </c>
      <c r="AA393" s="163">
        <f ca="1">IMSS[[#This Row],[DIAS LAB]]*IMSS[[#This Row],[SDI]]*$R$116</f>
        <v>110.10456849315068</v>
      </c>
      <c r="AB393" s="163">
        <f ca="1">IMSS[[#This Row],[DIAS LAB]]*IMSS[[#This Row],[SDI]]*$R$117</f>
        <v>0</v>
      </c>
      <c r="AC393" s="247">
        <f ca="1">SUM(IMSS[[#This Row],[O RSG TRB]:[O INFONAVIT]])</f>
        <v>195.84971917808218</v>
      </c>
      <c r="AD393" s="163"/>
      <c r="AE393" s="165">
        <f ca="1">IMSS[[#This Row],[P TOTAL]]+IMSS[[#This Row],[O TOTAL]]</f>
        <v>2243.2058872945204</v>
      </c>
      <c r="AF393" s="163"/>
      <c r="AG393" s="163">
        <f>VLOOKUP(IMSS[[#This Row],[SUE MENS]],$AG$110:$AJ$120,1,1)</f>
        <v>5470.93</v>
      </c>
      <c r="AH393" s="163">
        <f>IMSS[[#This Row],[SUE MENS]]-IMSS[[#This Row],[LIM INF]]</f>
        <v>3354.0699999999997</v>
      </c>
      <c r="AI393" s="163">
        <f>IMSS[[#This Row],[EXC LIM INF]]*(VLOOKUP(IMSS[[#This Row],[LIM INF]],$AG$110:$AJ$120,4,0))</f>
        <v>364.92281600000001</v>
      </c>
      <c r="AJ393" s="163">
        <f>VLOOKUP(IMSS[[#This Row],[LIM INF]],$AG$110:$AJ$120,3)</f>
        <v>321.26</v>
      </c>
      <c r="AK393" s="163">
        <f>SUM(IMSS[[#This Row],[TASA EXC]]+IMSS[[#This Row],[CUOTA FIJA]])</f>
        <v>686.182816</v>
      </c>
      <c r="AL393" s="163">
        <f>VLOOKUP(IMSS[[#This Row],[SUE MENS]],$AL$110:$AN$120,3,1)</f>
        <v>0</v>
      </c>
      <c r="AM393" s="248">
        <f>IF(IMSS[[#This Row],[ISR CARGO]]-IMSS[[#This Row],[SUBS ISR]]&gt;0,IMSS[[#This Row],[ISR CARGO]]-IMSS[[#This Row],[SUBS ISR]],0)</f>
        <v>686.182816</v>
      </c>
      <c r="AN393" s="248">
        <f>IF(IMSS[[#This Row],[SUBS ISR]]-IMSS[[#This Row],[ISR CARGO]]&gt;0,IMSS[[#This Row],[SUBS ISR]]-IMSS[[#This Row],[ISR CARGO]],0)</f>
        <v>0</v>
      </c>
    </row>
    <row r="394" spans="3:40" ht="15" hidden="1" customHeight="1" x14ac:dyDescent="0.25">
      <c r="C394" s="243">
        <v>434</v>
      </c>
      <c r="D394" s="167" t="str">
        <f>VLOOKUP(IMSS[[#This Row],[NEM]],BDD[],2,0)</f>
        <v>Francisca Aurea Avila Fuentes</v>
      </c>
      <c r="E394" s="167" t="str">
        <f>VLOOKUP(IMSS[[#This Row],[NEM]],BDD[],9,0)</f>
        <v>ADMINCIÓN</v>
      </c>
      <c r="F394" s="168">
        <v>30</v>
      </c>
      <c r="G394" s="139">
        <f>VLOOKUP(IMSS[[#This Row],[NEM]],BDD[],3,0)</f>
        <v>10860</v>
      </c>
      <c r="H394" s="139">
        <f ca="1">VLOOKUP(IMSS[[#This Row],[NEM]],BDD[],25,0)</f>
        <v>399.68767123287671</v>
      </c>
      <c r="I394" s="143">
        <f>VLOOKUP(IMSS[[#This Row],[DEPT]],$B$3:$G$49,6,0)</f>
        <v>5.4355000000000002E-3</v>
      </c>
      <c r="J394" s="163">
        <f ca="1">IMSS[[#This Row],[DIAS LAB]]*IMSS[[#This Row],[SDI]]*IMSS[[#This Row],[% RSG]]*$Q$108</f>
        <v>65.175070109589043</v>
      </c>
      <c r="K394" s="163">
        <f>IMSS[[#This Row],[DIAS LAB]]*$J$110*$Q$109</f>
        <v>548.47440000000006</v>
      </c>
      <c r="L394" s="166">
        <f ca="1">IMSS[[#This Row],[DIAS LAB]]*IF(IMSS[[#This Row],[SDI]]-$J$113&gt;0,IMSS[[#This Row],[SDI]]-$J$113,0)*$Q$110</f>
        <v>43.173131506849309</v>
      </c>
      <c r="M394" s="166">
        <f ca="1">IMSS[[#This Row],[DIAS LAB]]*IMSS[[#This Row],[SDI]]*$Q$111</f>
        <v>125.90161643835617</v>
      </c>
      <c r="N394" s="163">
        <f ca="1">IMSS[[#This Row],[DIAS LAB]]*IMSS[[#This Row],[SDI]]*$Q$112</f>
        <v>83.93441095890411</v>
      </c>
      <c r="O394" s="166">
        <f ca="1">IMSS[[#This Row],[DIAS LAB]]*IMSS[[#This Row],[SDI]]*$Q$113</f>
        <v>209.8360273972603</v>
      </c>
      <c r="P394" s="163">
        <f ca="1">IMSS[[#This Row],[DIAS LAB]]*IMSS[[#This Row],[SDI]]*$Q$114</f>
        <v>119.90630136986302</v>
      </c>
      <c r="Q394" s="166">
        <f ca="1">IMSS[[#This Row],[DIAS LAB]]*IMSS[[#This Row],[SDI]]*$Q$115</f>
        <v>239.81260273972603</v>
      </c>
      <c r="R394" s="163">
        <f ca="1">IMSS[[#This Row],[DIAS LAB]]*IMSS[[#This Row],[SDI]]*$Q$116</f>
        <v>377.70484931506849</v>
      </c>
      <c r="S394" s="163">
        <f ca="1">IMSS[[#This Row],[DIAS LAB]]*IMSS[[#This Row],[SDI]]*$Q$117</f>
        <v>599.53150684931506</v>
      </c>
      <c r="T394" s="164">
        <f ca="1">SUM(IMSS[[#This Row],[P RSG TRB]:[P INFONAVIT]])</f>
        <v>2413.4499166849318</v>
      </c>
      <c r="U394" s="163">
        <f ca="1">IMSS[[#This Row],[DIAS LAB]]*IMSS[[#This Row],[SDI]]*IMSS[[#This Row],[% RSG]]*$R$108</f>
        <v>0</v>
      </c>
      <c r="V394" s="163">
        <f ca="1">IMSS[[#This Row],[DIAS LAB]]*IMSS[[#This Row],[SDI]]*$R$112</f>
        <v>29.976575342465754</v>
      </c>
      <c r="W394" s="163"/>
      <c r="X394" s="163">
        <f ca="1">IMSS[[#This Row],[DIAS LAB]]*IMSS[[#This Row],[SDI]]*$R$113</f>
        <v>75.5409698630137</v>
      </c>
      <c r="Y394" s="163">
        <f ca="1">IMSS[[#This Row],[DIAS LAB]]*IMSS[[#This Row],[SDI]]*$R$114</f>
        <v>0</v>
      </c>
      <c r="Z394" s="163">
        <f ca="1">IMSS[[#This Row],[DIAS LAB]]*IMSS[[#This Row],[SDI]]*$R$115</f>
        <v>0</v>
      </c>
      <c r="AA394" s="163">
        <f ca="1">IMSS[[#This Row],[DIAS LAB]]*IMSS[[#This Row],[SDI]]*$R$116</f>
        <v>135.49412054794519</v>
      </c>
      <c r="AB394" s="163">
        <f ca="1">IMSS[[#This Row],[DIAS LAB]]*IMSS[[#This Row],[SDI]]*$R$117</f>
        <v>0</v>
      </c>
      <c r="AC394" s="247">
        <f ca="1">SUM(IMSS[[#This Row],[O RSG TRB]:[O INFONAVIT]])</f>
        <v>241.01166575342464</v>
      </c>
      <c r="AD394" s="163"/>
      <c r="AE394" s="165">
        <f ca="1">IMSS[[#This Row],[P TOTAL]]+IMSS[[#This Row],[O TOTAL]]</f>
        <v>2654.4615824383563</v>
      </c>
      <c r="AF394" s="163"/>
      <c r="AG394" s="163">
        <f>VLOOKUP(IMSS[[#This Row],[SUE MENS]],$AG$110:$AJ$120,1,1)</f>
        <v>9614.67</v>
      </c>
      <c r="AH394" s="163">
        <f>IMSS[[#This Row],[SUE MENS]]-IMSS[[#This Row],[LIM INF]]</f>
        <v>1245.33</v>
      </c>
      <c r="AI394" s="163">
        <f>IMSS[[#This Row],[EXC LIM INF]]*(VLOOKUP(IMSS[[#This Row],[LIM INF]],$AG$110:$AJ$120,4,0))</f>
        <v>199.25279999999998</v>
      </c>
      <c r="AJ394" s="163">
        <f>VLOOKUP(IMSS[[#This Row],[LIM INF]],$AG$110:$AJ$120,3)</f>
        <v>772.1</v>
      </c>
      <c r="AK394" s="163">
        <f>SUM(IMSS[[#This Row],[TASA EXC]]+IMSS[[#This Row],[CUOTA FIJA]])</f>
        <v>971.3528</v>
      </c>
      <c r="AL394" s="163">
        <f>VLOOKUP(IMSS[[#This Row],[SUE MENS]],$AL$110:$AN$120,3,1)</f>
        <v>0</v>
      </c>
      <c r="AM394" s="248">
        <f>IF(IMSS[[#This Row],[ISR CARGO]]-IMSS[[#This Row],[SUBS ISR]]&gt;0,IMSS[[#This Row],[ISR CARGO]]-IMSS[[#This Row],[SUBS ISR]],0)</f>
        <v>971.3528</v>
      </c>
      <c r="AN394" s="248">
        <f>IF(IMSS[[#This Row],[SUBS ISR]]-IMSS[[#This Row],[ISR CARGO]]&gt;0,IMSS[[#This Row],[SUBS ISR]]-IMSS[[#This Row],[ISR CARGO]],0)</f>
        <v>0</v>
      </c>
    </row>
    <row r="395" spans="3:40" ht="15" hidden="1" customHeight="1" x14ac:dyDescent="0.25">
      <c r="C395" s="243">
        <v>435</v>
      </c>
      <c r="D395" s="167" t="str">
        <f>VLOOKUP(IMSS[[#This Row],[NEM]],BDD[],2,0)</f>
        <v>Cinthia Lucero Coronado Segundo</v>
      </c>
      <c r="E395" s="167" t="str">
        <f>VLOOKUP(IMSS[[#This Row],[NEM]],BDD[],9,0)</f>
        <v>ANLIS COST</v>
      </c>
      <c r="F395" s="168">
        <v>30</v>
      </c>
      <c r="G395" s="139">
        <f>VLOOKUP(IMSS[[#This Row],[NEM]],BDD[],3,0)</f>
        <v>7445</v>
      </c>
      <c r="H395" s="139">
        <f ca="1">VLOOKUP(IMSS[[#This Row],[NEM]],BDD[],25,0)</f>
        <v>274.00319634703197</v>
      </c>
      <c r="I395" s="143">
        <f>VLOOKUP(IMSS[[#This Row],[DEPT]],$B$3:$G$49,6,0)</f>
        <v>1.130658E-2</v>
      </c>
      <c r="J395" s="163">
        <f ca="1">IMSS[[#This Row],[DIAS LAB]]*IMSS[[#This Row],[SDI]]*IMSS[[#This Row],[% RSG]]*$Q$108</f>
        <v>92.941171792602745</v>
      </c>
      <c r="K395" s="163">
        <f>IMSS[[#This Row],[DIAS LAB]]*$J$110*$Q$109</f>
        <v>548.47440000000006</v>
      </c>
      <c r="L395" s="166">
        <f ca="1">IMSS[[#This Row],[DIAS LAB]]*IF(IMSS[[#This Row],[SDI]]-$J$113&gt;0,IMSS[[#This Row],[SDI]]-$J$113,0)*$Q$110</f>
        <v>1.6972547945205467</v>
      </c>
      <c r="M395" s="166">
        <f ca="1">IMSS[[#This Row],[DIAS LAB]]*IMSS[[#This Row],[SDI]]*$Q$111</f>
        <v>86.311006849315078</v>
      </c>
      <c r="N395" s="163">
        <f ca="1">IMSS[[#This Row],[DIAS LAB]]*IMSS[[#This Row],[SDI]]*$Q$112</f>
        <v>57.540671232876718</v>
      </c>
      <c r="O395" s="166">
        <f ca="1">IMSS[[#This Row],[DIAS LAB]]*IMSS[[#This Row],[SDI]]*$Q$113</f>
        <v>143.8516780821918</v>
      </c>
      <c r="P395" s="163">
        <f ca="1">IMSS[[#This Row],[DIAS LAB]]*IMSS[[#This Row],[SDI]]*$Q$114</f>
        <v>82.200958904109598</v>
      </c>
      <c r="Q395" s="166">
        <f ca="1">IMSS[[#This Row],[DIAS LAB]]*IMSS[[#This Row],[SDI]]*$Q$115</f>
        <v>164.4019178082192</v>
      </c>
      <c r="R395" s="163">
        <f ca="1">IMSS[[#This Row],[DIAS LAB]]*IMSS[[#This Row],[SDI]]*$Q$116</f>
        <v>258.9330205479452</v>
      </c>
      <c r="S395" s="163">
        <f ca="1">IMSS[[#This Row],[DIAS LAB]]*IMSS[[#This Row],[SDI]]*$Q$117</f>
        <v>411.00479452054799</v>
      </c>
      <c r="T395" s="164">
        <f ca="1">SUM(IMSS[[#This Row],[P RSG TRB]:[P INFONAVIT]])</f>
        <v>1847.3568745323291</v>
      </c>
      <c r="U395" s="163">
        <f ca="1">IMSS[[#This Row],[DIAS LAB]]*IMSS[[#This Row],[SDI]]*IMSS[[#This Row],[% RSG]]*$R$108</f>
        <v>0</v>
      </c>
      <c r="V395" s="163">
        <f ca="1">IMSS[[#This Row],[DIAS LAB]]*IMSS[[#This Row],[SDI]]*$R$112</f>
        <v>20.550239726027399</v>
      </c>
      <c r="W395" s="163"/>
      <c r="X395" s="163">
        <f ca="1">IMSS[[#This Row],[DIAS LAB]]*IMSS[[#This Row],[SDI]]*$R$113</f>
        <v>51.786604109589042</v>
      </c>
      <c r="Y395" s="163">
        <f ca="1">IMSS[[#This Row],[DIAS LAB]]*IMSS[[#This Row],[SDI]]*$R$114</f>
        <v>0</v>
      </c>
      <c r="Z395" s="163">
        <f ca="1">IMSS[[#This Row],[DIAS LAB]]*IMSS[[#This Row],[SDI]]*$R$115</f>
        <v>0</v>
      </c>
      <c r="AA395" s="163">
        <f ca="1">IMSS[[#This Row],[DIAS LAB]]*IMSS[[#This Row],[SDI]]*$R$116</f>
        <v>92.887083561643834</v>
      </c>
      <c r="AB395" s="163">
        <f ca="1">IMSS[[#This Row],[DIAS LAB]]*IMSS[[#This Row],[SDI]]*$R$117</f>
        <v>0</v>
      </c>
      <c r="AC395" s="247">
        <f ca="1">SUM(IMSS[[#This Row],[O RSG TRB]:[O INFONAVIT]])</f>
        <v>165.22392739726027</v>
      </c>
      <c r="AD395" s="163"/>
      <c r="AE395" s="165">
        <f ca="1">IMSS[[#This Row],[P TOTAL]]+IMSS[[#This Row],[O TOTAL]]</f>
        <v>2012.5808019295894</v>
      </c>
      <c r="AF395" s="163"/>
      <c r="AG395" s="163">
        <f>VLOOKUP(IMSS[[#This Row],[SUE MENS]],$AG$110:$AJ$120,1,1)</f>
        <v>5470.93</v>
      </c>
      <c r="AH395" s="163">
        <f>IMSS[[#This Row],[SUE MENS]]-IMSS[[#This Row],[LIM INF]]</f>
        <v>1974.0699999999997</v>
      </c>
      <c r="AI395" s="163">
        <f>IMSS[[#This Row],[EXC LIM INF]]*(VLOOKUP(IMSS[[#This Row],[LIM INF]],$AG$110:$AJ$120,4,0))</f>
        <v>214.77881599999998</v>
      </c>
      <c r="AJ395" s="163">
        <f>VLOOKUP(IMSS[[#This Row],[LIM INF]],$AG$110:$AJ$120,3)</f>
        <v>321.26</v>
      </c>
      <c r="AK395" s="163">
        <f>SUM(IMSS[[#This Row],[TASA EXC]]+IMSS[[#This Row],[CUOTA FIJA]])</f>
        <v>536.038816</v>
      </c>
      <c r="AL395" s="163">
        <f>VLOOKUP(IMSS[[#This Row],[SUE MENS]],$AL$110:$AN$120,3,1)</f>
        <v>0</v>
      </c>
      <c r="AM395" s="248">
        <f>IF(IMSS[[#This Row],[ISR CARGO]]-IMSS[[#This Row],[SUBS ISR]]&gt;0,IMSS[[#This Row],[ISR CARGO]]-IMSS[[#This Row],[SUBS ISR]],0)</f>
        <v>536.038816</v>
      </c>
      <c r="AN395" s="248">
        <f>IF(IMSS[[#This Row],[SUBS ISR]]-IMSS[[#This Row],[ISR CARGO]]&gt;0,IMSS[[#This Row],[SUBS ISR]]-IMSS[[#This Row],[ISR CARGO]],0)</f>
        <v>0</v>
      </c>
    </row>
    <row r="396" spans="3:40" ht="15" hidden="1" customHeight="1" x14ac:dyDescent="0.25">
      <c r="C396" s="243">
        <v>436</v>
      </c>
      <c r="D396" s="167" t="str">
        <f>VLOOKUP(IMSS[[#This Row],[NEM]],BDD[],2,0)</f>
        <v>Rolando Hernandez Ortiz</v>
      </c>
      <c r="E396" s="167" t="str">
        <f>VLOOKUP(IMSS[[#This Row],[NEM]],BDD[],9,0)</f>
        <v>MATERIALES</v>
      </c>
      <c r="F396" s="168">
        <v>30</v>
      </c>
      <c r="G396" s="139">
        <f>VLOOKUP(IMSS[[#This Row],[NEM]],BDD[],3,0)</f>
        <v>10860</v>
      </c>
      <c r="H396" s="139">
        <f ca="1">VLOOKUP(IMSS[[#This Row],[NEM]],BDD[],25,0)</f>
        <v>399.68767123287671</v>
      </c>
      <c r="I396" s="143">
        <f>VLOOKUP(IMSS[[#This Row],[DEPT]],$B$3:$G$49,6,0)</f>
        <v>4.6532499999999997E-2</v>
      </c>
      <c r="J396" s="163">
        <f ca="1">IMSS[[#This Row],[DIAS LAB]]*IMSS[[#This Row],[SDI]]*IMSS[[#This Row],[% RSG]]*$Q$108</f>
        <v>557.95399684931499</v>
      </c>
      <c r="K396" s="163">
        <f>IMSS[[#This Row],[DIAS LAB]]*$J$110*$Q$109</f>
        <v>548.47440000000006</v>
      </c>
      <c r="L396" s="166">
        <f ca="1">IMSS[[#This Row],[DIAS LAB]]*IF(IMSS[[#This Row],[SDI]]-$J$113&gt;0,IMSS[[#This Row],[SDI]]-$J$113,0)*$Q$110</f>
        <v>43.173131506849309</v>
      </c>
      <c r="M396" s="166">
        <f ca="1">IMSS[[#This Row],[DIAS LAB]]*IMSS[[#This Row],[SDI]]*$Q$111</f>
        <v>125.90161643835617</v>
      </c>
      <c r="N396" s="163">
        <f ca="1">IMSS[[#This Row],[DIAS LAB]]*IMSS[[#This Row],[SDI]]*$Q$112</f>
        <v>83.93441095890411</v>
      </c>
      <c r="O396" s="166">
        <f ca="1">IMSS[[#This Row],[DIAS LAB]]*IMSS[[#This Row],[SDI]]*$Q$113</f>
        <v>209.8360273972603</v>
      </c>
      <c r="P396" s="163">
        <f ca="1">IMSS[[#This Row],[DIAS LAB]]*IMSS[[#This Row],[SDI]]*$Q$114</f>
        <v>119.90630136986302</v>
      </c>
      <c r="Q396" s="166">
        <f ca="1">IMSS[[#This Row],[DIAS LAB]]*IMSS[[#This Row],[SDI]]*$Q$115</f>
        <v>239.81260273972603</v>
      </c>
      <c r="R396" s="163">
        <f ca="1">IMSS[[#This Row],[DIAS LAB]]*IMSS[[#This Row],[SDI]]*$Q$116</f>
        <v>377.70484931506849</v>
      </c>
      <c r="S396" s="163">
        <f ca="1">IMSS[[#This Row],[DIAS LAB]]*IMSS[[#This Row],[SDI]]*$Q$117</f>
        <v>599.53150684931506</v>
      </c>
      <c r="T396" s="164">
        <f ca="1">SUM(IMSS[[#This Row],[P RSG TRB]:[P INFONAVIT]])</f>
        <v>2906.228843424658</v>
      </c>
      <c r="U396" s="163">
        <f ca="1">IMSS[[#This Row],[DIAS LAB]]*IMSS[[#This Row],[SDI]]*IMSS[[#This Row],[% RSG]]*$R$108</f>
        <v>0</v>
      </c>
      <c r="V396" s="163">
        <f ca="1">IMSS[[#This Row],[DIAS LAB]]*IMSS[[#This Row],[SDI]]*$R$112</f>
        <v>29.976575342465754</v>
      </c>
      <c r="W396" s="163"/>
      <c r="X396" s="163">
        <f ca="1">IMSS[[#This Row],[DIAS LAB]]*IMSS[[#This Row],[SDI]]*$R$113</f>
        <v>75.5409698630137</v>
      </c>
      <c r="Y396" s="163">
        <f ca="1">IMSS[[#This Row],[DIAS LAB]]*IMSS[[#This Row],[SDI]]*$R$114</f>
        <v>0</v>
      </c>
      <c r="Z396" s="163">
        <f ca="1">IMSS[[#This Row],[DIAS LAB]]*IMSS[[#This Row],[SDI]]*$R$115</f>
        <v>0</v>
      </c>
      <c r="AA396" s="163">
        <f ca="1">IMSS[[#This Row],[DIAS LAB]]*IMSS[[#This Row],[SDI]]*$R$116</f>
        <v>135.49412054794519</v>
      </c>
      <c r="AB396" s="163">
        <f ca="1">IMSS[[#This Row],[DIAS LAB]]*IMSS[[#This Row],[SDI]]*$R$117</f>
        <v>0</v>
      </c>
      <c r="AC396" s="247">
        <f ca="1">SUM(IMSS[[#This Row],[O RSG TRB]:[O INFONAVIT]])</f>
        <v>241.01166575342464</v>
      </c>
      <c r="AD396" s="163"/>
      <c r="AE396" s="165">
        <f ca="1">IMSS[[#This Row],[P TOTAL]]+IMSS[[#This Row],[O TOTAL]]</f>
        <v>3147.2405091780824</v>
      </c>
      <c r="AF396" s="163"/>
      <c r="AG396" s="163">
        <f>VLOOKUP(IMSS[[#This Row],[SUE MENS]],$AG$110:$AJ$120,1,1)</f>
        <v>9614.67</v>
      </c>
      <c r="AH396" s="163">
        <f>IMSS[[#This Row],[SUE MENS]]-IMSS[[#This Row],[LIM INF]]</f>
        <v>1245.33</v>
      </c>
      <c r="AI396" s="163">
        <f>IMSS[[#This Row],[EXC LIM INF]]*(VLOOKUP(IMSS[[#This Row],[LIM INF]],$AG$110:$AJ$120,4,0))</f>
        <v>199.25279999999998</v>
      </c>
      <c r="AJ396" s="163">
        <f>VLOOKUP(IMSS[[#This Row],[LIM INF]],$AG$110:$AJ$120,3)</f>
        <v>772.1</v>
      </c>
      <c r="AK396" s="163">
        <f>SUM(IMSS[[#This Row],[TASA EXC]]+IMSS[[#This Row],[CUOTA FIJA]])</f>
        <v>971.3528</v>
      </c>
      <c r="AL396" s="163">
        <f>VLOOKUP(IMSS[[#This Row],[SUE MENS]],$AL$110:$AN$120,3,1)</f>
        <v>0</v>
      </c>
      <c r="AM396" s="248">
        <f>IF(IMSS[[#This Row],[ISR CARGO]]-IMSS[[#This Row],[SUBS ISR]]&gt;0,IMSS[[#This Row],[ISR CARGO]]-IMSS[[#This Row],[SUBS ISR]],0)</f>
        <v>971.3528</v>
      </c>
      <c r="AN396" s="248">
        <f>IF(IMSS[[#This Row],[SUBS ISR]]-IMSS[[#This Row],[ISR CARGO]]&gt;0,IMSS[[#This Row],[SUBS ISR]]-IMSS[[#This Row],[ISR CARGO]],0)</f>
        <v>0</v>
      </c>
    </row>
    <row r="397" spans="3:40" ht="15" hidden="1" customHeight="1" x14ac:dyDescent="0.25">
      <c r="C397" s="243">
        <v>438</v>
      </c>
      <c r="D397" s="167" t="str">
        <f>VLOOKUP(IMSS[[#This Row],[NEM]],BDD[],2,0)</f>
        <v>Cynthia González Sánchez</v>
      </c>
      <c r="E397" s="167" t="str">
        <f>VLOOKUP(IMSS[[#This Row],[NEM]],BDD[],9,0)</f>
        <v>ARQUITECT</v>
      </c>
      <c r="F397" s="168">
        <v>30</v>
      </c>
      <c r="G397" s="139">
        <f>VLOOKUP(IMSS[[#This Row],[NEM]],BDD[],3,0)</f>
        <v>6778</v>
      </c>
      <c r="H397" s="139">
        <f ca="1">VLOOKUP(IMSS[[#This Row],[NEM]],BDD[],25,0)</f>
        <v>237.69424657534245</v>
      </c>
      <c r="I397" s="143">
        <f>VLOOKUP(IMSS[[#This Row],[DEPT]],$B$3:$G$49,6,0)</f>
        <v>2.5984400000000001E-2</v>
      </c>
      <c r="J397" s="163">
        <f ca="1">IMSS[[#This Row],[DIAS LAB]]*IMSS[[#This Row],[SDI]]*IMSS[[#This Row],[% RSG]]*$Q$108</f>
        <v>185.29027142136988</v>
      </c>
      <c r="K397" s="163">
        <f>IMSS[[#This Row],[DIAS LAB]]*$J$110*$Q$109</f>
        <v>548.47440000000006</v>
      </c>
      <c r="L397" s="166">
        <f ca="1">IMSS[[#This Row],[DIAS LAB]]*IF(IMSS[[#This Row],[SDI]]-$J$113&gt;0,IMSS[[#This Row],[SDI]]-$J$113,0)*$Q$110</f>
        <v>0</v>
      </c>
      <c r="M397" s="166">
        <f ca="1">IMSS[[#This Row],[DIAS LAB]]*IMSS[[#This Row],[SDI]]*$Q$111</f>
        <v>74.873687671232872</v>
      </c>
      <c r="N397" s="163">
        <f ca="1">IMSS[[#This Row],[DIAS LAB]]*IMSS[[#This Row],[SDI]]*$Q$112</f>
        <v>49.91579178082192</v>
      </c>
      <c r="O397" s="166">
        <f ca="1">IMSS[[#This Row],[DIAS LAB]]*IMSS[[#This Row],[SDI]]*$Q$113</f>
        <v>124.78947945205481</v>
      </c>
      <c r="P397" s="163">
        <f ca="1">IMSS[[#This Row],[DIAS LAB]]*IMSS[[#This Row],[SDI]]*$Q$114</f>
        <v>71.308273972602734</v>
      </c>
      <c r="Q397" s="166">
        <f ca="1">IMSS[[#This Row],[DIAS LAB]]*IMSS[[#This Row],[SDI]]*$Q$115</f>
        <v>142.61654794520547</v>
      </c>
      <c r="R397" s="163">
        <f ca="1">IMSS[[#This Row],[DIAS LAB]]*IMSS[[#This Row],[SDI]]*$Q$116</f>
        <v>224.62106301369863</v>
      </c>
      <c r="S397" s="163">
        <f ca="1">IMSS[[#This Row],[DIAS LAB]]*IMSS[[#This Row],[SDI]]*$Q$117</f>
        <v>356.5413698630137</v>
      </c>
      <c r="T397" s="164">
        <f ca="1">SUM(IMSS[[#This Row],[P RSG TRB]:[P INFONAVIT]])</f>
        <v>1778.4308851200001</v>
      </c>
      <c r="U397" s="163">
        <f ca="1">IMSS[[#This Row],[DIAS LAB]]*IMSS[[#This Row],[SDI]]*IMSS[[#This Row],[% RSG]]*$R$108</f>
        <v>0</v>
      </c>
      <c r="V397" s="163">
        <f ca="1">IMSS[[#This Row],[DIAS LAB]]*IMSS[[#This Row],[SDI]]*$R$112</f>
        <v>17.827068493150684</v>
      </c>
      <c r="W397" s="163"/>
      <c r="X397" s="163">
        <f ca="1">IMSS[[#This Row],[DIAS LAB]]*IMSS[[#This Row],[SDI]]*$R$113</f>
        <v>44.924212602739722</v>
      </c>
      <c r="Y397" s="163">
        <f ca="1">IMSS[[#This Row],[DIAS LAB]]*IMSS[[#This Row],[SDI]]*$R$114</f>
        <v>0</v>
      </c>
      <c r="Z397" s="163">
        <f ca="1">IMSS[[#This Row],[DIAS LAB]]*IMSS[[#This Row],[SDI]]*$R$115</f>
        <v>0</v>
      </c>
      <c r="AA397" s="163">
        <f ca="1">IMSS[[#This Row],[DIAS LAB]]*IMSS[[#This Row],[SDI]]*$R$116</f>
        <v>80.578349589041082</v>
      </c>
      <c r="AB397" s="163">
        <f ca="1">IMSS[[#This Row],[DIAS LAB]]*IMSS[[#This Row],[SDI]]*$R$117</f>
        <v>0</v>
      </c>
      <c r="AC397" s="247">
        <f ca="1">SUM(IMSS[[#This Row],[O RSG TRB]:[O INFONAVIT]])</f>
        <v>143.32963068493149</v>
      </c>
      <c r="AD397" s="163"/>
      <c r="AE397" s="165">
        <f ca="1">IMSS[[#This Row],[P TOTAL]]+IMSS[[#This Row],[O TOTAL]]</f>
        <v>1921.7605158049316</v>
      </c>
      <c r="AF397" s="163"/>
      <c r="AG397" s="163">
        <f>VLOOKUP(IMSS[[#This Row],[SUE MENS]],$AG$110:$AJ$120,1,1)</f>
        <v>5470.93</v>
      </c>
      <c r="AH397" s="163">
        <f>IMSS[[#This Row],[SUE MENS]]-IMSS[[#This Row],[LIM INF]]</f>
        <v>1307.0699999999997</v>
      </c>
      <c r="AI397" s="163">
        <f>IMSS[[#This Row],[EXC LIM INF]]*(VLOOKUP(IMSS[[#This Row],[LIM INF]],$AG$110:$AJ$120,4,0))</f>
        <v>142.20921599999997</v>
      </c>
      <c r="AJ397" s="163">
        <f>VLOOKUP(IMSS[[#This Row],[LIM INF]],$AG$110:$AJ$120,3)</f>
        <v>321.26</v>
      </c>
      <c r="AK397" s="163">
        <f>SUM(IMSS[[#This Row],[TASA EXC]]+IMSS[[#This Row],[CUOTA FIJA]])</f>
        <v>463.46921599999996</v>
      </c>
      <c r="AL397" s="163">
        <f>VLOOKUP(IMSS[[#This Row],[SUE MENS]],$AL$110:$AN$120,3,1)</f>
        <v>253.54</v>
      </c>
      <c r="AM397" s="248">
        <f>IF(IMSS[[#This Row],[ISR CARGO]]-IMSS[[#This Row],[SUBS ISR]]&gt;0,IMSS[[#This Row],[ISR CARGO]]-IMSS[[#This Row],[SUBS ISR]],0)</f>
        <v>209.92921599999997</v>
      </c>
      <c r="AN397" s="248">
        <f>IF(IMSS[[#This Row],[SUBS ISR]]-IMSS[[#This Row],[ISR CARGO]]&gt;0,IMSS[[#This Row],[SUBS ISR]]-IMSS[[#This Row],[ISR CARGO]],0)</f>
        <v>0</v>
      </c>
    </row>
    <row r="398" spans="3:40" ht="15" hidden="1" customHeight="1" x14ac:dyDescent="0.25">
      <c r="C398" s="246">
        <v>439</v>
      </c>
      <c r="D398" s="167" t="str">
        <f>VLOOKUP(IMSS[[#This Row],[NEM]],BDD[],2,0)</f>
        <v>Adriana Ríos Powers</v>
      </c>
      <c r="E398" s="167" t="str">
        <f>VLOOKUP(IMSS[[#This Row],[NEM]],BDD[],9,0)</f>
        <v>CONTA</v>
      </c>
      <c r="F398" s="168">
        <v>30</v>
      </c>
      <c r="G398" s="139">
        <f>VLOOKUP(IMSS[[#This Row],[NEM]],BDD[],3,0)</f>
        <v>6778</v>
      </c>
      <c r="H398" s="139">
        <f ca="1">VLOOKUP(IMSS[[#This Row],[NEM]],BDD[],25,0)</f>
        <v>237.69424657534245</v>
      </c>
      <c r="I398" s="143">
        <f>VLOOKUP(IMSS[[#This Row],[DEPT]],$B$3:$G$49,6,0)</f>
        <v>5.4355000000000002E-3</v>
      </c>
      <c r="J398" s="163">
        <f ca="1">IMSS[[#This Row],[DIAS LAB]]*IMSS[[#This Row],[SDI]]*IMSS[[#This Row],[% RSG]]*$Q$108</f>
        <v>38.759612317808219</v>
      </c>
      <c r="K398" s="163">
        <f>IMSS[[#This Row],[DIAS LAB]]*$J$110*$Q$109</f>
        <v>548.47440000000006</v>
      </c>
      <c r="L398" s="166">
        <f ca="1">IMSS[[#This Row],[DIAS LAB]]*IF(IMSS[[#This Row],[SDI]]-$J$113&gt;0,IMSS[[#This Row],[SDI]]-$J$113,0)*$Q$110</f>
        <v>0</v>
      </c>
      <c r="M398" s="166">
        <f ca="1">IMSS[[#This Row],[DIAS LAB]]*IMSS[[#This Row],[SDI]]*$Q$111</f>
        <v>74.873687671232872</v>
      </c>
      <c r="N398" s="163">
        <f ca="1">IMSS[[#This Row],[DIAS LAB]]*IMSS[[#This Row],[SDI]]*$Q$112</f>
        <v>49.91579178082192</v>
      </c>
      <c r="O398" s="166">
        <f ca="1">IMSS[[#This Row],[DIAS LAB]]*IMSS[[#This Row],[SDI]]*$Q$113</f>
        <v>124.78947945205481</v>
      </c>
      <c r="P398" s="163">
        <f ca="1">IMSS[[#This Row],[DIAS LAB]]*IMSS[[#This Row],[SDI]]*$Q$114</f>
        <v>71.308273972602734</v>
      </c>
      <c r="Q398" s="166">
        <f ca="1">IMSS[[#This Row],[DIAS LAB]]*IMSS[[#This Row],[SDI]]*$Q$115</f>
        <v>142.61654794520547</v>
      </c>
      <c r="R398" s="163">
        <f ca="1">IMSS[[#This Row],[DIAS LAB]]*IMSS[[#This Row],[SDI]]*$Q$116</f>
        <v>224.62106301369863</v>
      </c>
      <c r="S398" s="163">
        <f ca="1">IMSS[[#This Row],[DIAS LAB]]*IMSS[[#This Row],[SDI]]*$Q$117</f>
        <v>356.5413698630137</v>
      </c>
      <c r="T398" s="164">
        <f ca="1">SUM(IMSS[[#This Row],[P RSG TRB]:[P INFONAVIT]])</f>
        <v>1631.9002260164384</v>
      </c>
      <c r="U398" s="163">
        <f ca="1">IMSS[[#This Row],[DIAS LAB]]*IMSS[[#This Row],[SDI]]*IMSS[[#This Row],[% RSG]]*$R$108</f>
        <v>0</v>
      </c>
      <c r="V398" s="163">
        <f ca="1">IMSS[[#This Row],[DIAS LAB]]*IMSS[[#This Row],[SDI]]*$R$112</f>
        <v>17.827068493150684</v>
      </c>
      <c r="W398" s="163"/>
      <c r="X398" s="163">
        <f ca="1">IMSS[[#This Row],[DIAS LAB]]*IMSS[[#This Row],[SDI]]*$R$113</f>
        <v>44.924212602739722</v>
      </c>
      <c r="Y398" s="163">
        <f ca="1">IMSS[[#This Row],[DIAS LAB]]*IMSS[[#This Row],[SDI]]*$R$114</f>
        <v>0</v>
      </c>
      <c r="Z398" s="163">
        <f ca="1">IMSS[[#This Row],[DIAS LAB]]*IMSS[[#This Row],[SDI]]*$R$115</f>
        <v>0</v>
      </c>
      <c r="AA398" s="163">
        <f ca="1">IMSS[[#This Row],[DIAS LAB]]*IMSS[[#This Row],[SDI]]*$R$116</f>
        <v>80.578349589041082</v>
      </c>
      <c r="AB398" s="163">
        <f ca="1">IMSS[[#This Row],[DIAS LAB]]*IMSS[[#This Row],[SDI]]*$R$117</f>
        <v>0</v>
      </c>
      <c r="AC398" s="247">
        <f ca="1">SUM(IMSS[[#This Row],[O RSG TRB]:[O INFONAVIT]])</f>
        <v>143.32963068493149</v>
      </c>
      <c r="AD398" s="163"/>
      <c r="AE398" s="165">
        <f ca="1">IMSS[[#This Row],[P TOTAL]]+IMSS[[#This Row],[O TOTAL]]</f>
        <v>1775.22985670137</v>
      </c>
      <c r="AF398" s="163"/>
      <c r="AG398" s="163">
        <f>VLOOKUP(IMSS[[#This Row],[SUE MENS]],$AG$110:$AJ$120,1,1)</f>
        <v>5470.93</v>
      </c>
      <c r="AH398" s="163">
        <f>IMSS[[#This Row],[SUE MENS]]-IMSS[[#This Row],[LIM INF]]</f>
        <v>1307.0699999999997</v>
      </c>
      <c r="AI398" s="163">
        <f>IMSS[[#This Row],[EXC LIM INF]]*(VLOOKUP(IMSS[[#This Row],[LIM INF]],$AG$110:$AJ$120,4,0))</f>
        <v>142.20921599999997</v>
      </c>
      <c r="AJ398" s="163">
        <f>VLOOKUP(IMSS[[#This Row],[LIM INF]],$AG$110:$AJ$120,3)</f>
        <v>321.26</v>
      </c>
      <c r="AK398" s="163">
        <f>SUM(IMSS[[#This Row],[TASA EXC]]+IMSS[[#This Row],[CUOTA FIJA]])</f>
        <v>463.46921599999996</v>
      </c>
      <c r="AL398" s="163">
        <f>VLOOKUP(IMSS[[#This Row],[SUE MENS]],$AL$110:$AN$120,3,1)</f>
        <v>253.54</v>
      </c>
      <c r="AM398" s="248">
        <f>IF(IMSS[[#This Row],[ISR CARGO]]-IMSS[[#This Row],[SUBS ISR]]&gt;0,IMSS[[#This Row],[ISR CARGO]]-IMSS[[#This Row],[SUBS ISR]],0)</f>
        <v>209.92921599999997</v>
      </c>
      <c r="AN398" s="248">
        <f>IF(IMSS[[#This Row],[SUBS ISR]]-IMSS[[#This Row],[ISR CARGO]]&gt;0,IMSS[[#This Row],[SUBS ISR]]-IMSS[[#This Row],[ISR CARGO]],0)</f>
        <v>0</v>
      </c>
    </row>
    <row r="399" spans="3:40" ht="15" hidden="1" customHeight="1" x14ac:dyDescent="0.25">
      <c r="C399" s="243">
        <v>442</v>
      </c>
      <c r="D399" s="167" t="str">
        <f>VLOOKUP(IMSS[[#This Row],[NEM]],BDD[],2,0)</f>
        <v>Jesus Ignacio Villa Corrales</v>
      </c>
      <c r="E399" s="167" t="str">
        <f>VLOOKUP(IMSS[[#This Row],[NEM]],BDD[],9,0)</f>
        <v>SOLUCIONES</v>
      </c>
      <c r="F399" s="168">
        <v>30</v>
      </c>
      <c r="G399" s="139">
        <f>VLOOKUP(IMSS[[#This Row],[NEM]],BDD[],3,0)</f>
        <v>8825</v>
      </c>
      <c r="H399" s="139">
        <f ca="1">VLOOKUP(IMSS[[#This Row],[NEM]],BDD[],25,0)</f>
        <v>324.79223744292239</v>
      </c>
      <c r="I399" s="143">
        <f>VLOOKUP(IMSS[[#This Row],[DEPT]],$B$3:$G$49,6,0)</f>
        <v>5.4355000000000002E-3</v>
      </c>
      <c r="J399" s="163">
        <f ca="1">IMSS[[#This Row],[DIAS LAB]]*IMSS[[#This Row],[SDI]]*IMSS[[#This Row],[% RSG]]*$Q$108</f>
        <v>52.96224619863014</v>
      </c>
      <c r="K399" s="163">
        <f>IMSS[[#This Row],[DIAS LAB]]*$J$110*$Q$109</f>
        <v>548.47440000000006</v>
      </c>
      <c r="L399" s="166">
        <f ca="1">IMSS[[#This Row],[DIAS LAB]]*IF(IMSS[[#This Row],[SDI]]-$J$113&gt;0,IMSS[[#This Row],[SDI]]-$J$113,0)*$Q$110</f>
        <v>18.457638356164384</v>
      </c>
      <c r="M399" s="166">
        <f ca="1">IMSS[[#This Row],[DIAS LAB]]*IMSS[[#This Row],[SDI]]*$Q$111</f>
        <v>102.30955479452055</v>
      </c>
      <c r="N399" s="163">
        <f ca="1">IMSS[[#This Row],[DIAS LAB]]*IMSS[[#This Row],[SDI]]*$Q$112</f>
        <v>68.206369863013691</v>
      </c>
      <c r="O399" s="166">
        <f ca="1">IMSS[[#This Row],[DIAS LAB]]*IMSS[[#This Row],[SDI]]*$Q$113</f>
        <v>170.51592465753427</v>
      </c>
      <c r="P399" s="163">
        <f ca="1">IMSS[[#This Row],[DIAS LAB]]*IMSS[[#This Row],[SDI]]*$Q$114</f>
        <v>97.43767123287671</v>
      </c>
      <c r="Q399" s="166">
        <f ca="1">IMSS[[#This Row],[DIAS LAB]]*IMSS[[#This Row],[SDI]]*$Q$115</f>
        <v>194.87534246575342</v>
      </c>
      <c r="R399" s="163">
        <f ca="1">IMSS[[#This Row],[DIAS LAB]]*IMSS[[#This Row],[SDI]]*$Q$116</f>
        <v>306.92866438356162</v>
      </c>
      <c r="S399" s="163">
        <f ca="1">IMSS[[#This Row],[DIAS LAB]]*IMSS[[#This Row],[SDI]]*$Q$117</f>
        <v>487.18835616438355</v>
      </c>
      <c r="T399" s="164">
        <f ca="1">SUM(IMSS[[#This Row],[P RSG TRB]:[P INFONAVIT]])</f>
        <v>2047.3561681164383</v>
      </c>
      <c r="U399" s="163">
        <f ca="1">IMSS[[#This Row],[DIAS LAB]]*IMSS[[#This Row],[SDI]]*IMSS[[#This Row],[% RSG]]*$R$108</f>
        <v>0</v>
      </c>
      <c r="V399" s="163">
        <f ca="1">IMSS[[#This Row],[DIAS LAB]]*IMSS[[#This Row],[SDI]]*$R$112</f>
        <v>24.359417808219177</v>
      </c>
      <c r="W399" s="163"/>
      <c r="X399" s="163">
        <f ca="1">IMSS[[#This Row],[DIAS LAB]]*IMSS[[#This Row],[SDI]]*$R$113</f>
        <v>61.385732876712325</v>
      </c>
      <c r="Y399" s="163">
        <f ca="1">IMSS[[#This Row],[DIAS LAB]]*IMSS[[#This Row],[SDI]]*$R$114</f>
        <v>0</v>
      </c>
      <c r="Z399" s="163">
        <f ca="1">IMSS[[#This Row],[DIAS LAB]]*IMSS[[#This Row],[SDI]]*$R$115</f>
        <v>0</v>
      </c>
      <c r="AA399" s="163">
        <f ca="1">IMSS[[#This Row],[DIAS LAB]]*IMSS[[#This Row],[SDI]]*$R$116</f>
        <v>110.10456849315068</v>
      </c>
      <c r="AB399" s="163">
        <f ca="1">IMSS[[#This Row],[DIAS LAB]]*IMSS[[#This Row],[SDI]]*$R$117</f>
        <v>0</v>
      </c>
      <c r="AC399" s="247">
        <f ca="1">SUM(IMSS[[#This Row],[O RSG TRB]:[O INFONAVIT]])</f>
        <v>195.84971917808218</v>
      </c>
      <c r="AD399" s="163"/>
      <c r="AE399" s="165">
        <f ca="1">IMSS[[#This Row],[P TOTAL]]+IMSS[[#This Row],[O TOTAL]]</f>
        <v>2243.2058872945204</v>
      </c>
      <c r="AF399" s="163"/>
      <c r="AG399" s="163">
        <f>VLOOKUP(IMSS[[#This Row],[SUE MENS]],$AG$110:$AJ$120,1,1)</f>
        <v>5470.93</v>
      </c>
      <c r="AH399" s="163">
        <f>IMSS[[#This Row],[SUE MENS]]-IMSS[[#This Row],[LIM INF]]</f>
        <v>3354.0699999999997</v>
      </c>
      <c r="AI399" s="163">
        <f>IMSS[[#This Row],[EXC LIM INF]]*(VLOOKUP(IMSS[[#This Row],[LIM INF]],$AG$110:$AJ$120,4,0))</f>
        <v>364.92281600000001</v>
      </c>
      <c r="AJ399" s="163">
        <f>VLOOKUP(IMSS[[#This Row],[LIM INF]],$AG$110:$AJ$120,3)</f>
        <v>321.26</v>
      </c>
      <c r="AK399" s="163">
        <f>SUM(IMSS[[#This Row],[TASA EXC]]+IMSS[[#This Row],[CUOTA FIJA]])</f>
        <v>686.182816</v>
      </c>
      <c r="AL399" s="163">
        <f>VLOOKUP(IMSS[[#This Row],[SUE MENS]],$AL$110:$AN$120,3,1)</f>
        <v>0</v>
      </c>
      <c r="AM399" s="248">
        <f>IF(IMSS[[#This Row],[ISR CARGO]]-IMSS[[#This Row],[SUBS ISR]]&gt;0,IMSS[[#This Row],[ISR CARGO]]-IMSS[[#This Row],[SUBS ISR]],0)</f>
        <v>686.182816</v>
      </c>
      <c r="AN399" s="248">
        <f>IF(IMSS[[#This Row],[SUBS ISR]]-IMSS[[#This Row],[ISR CARGO]]&gt;0,IMSS[[#This Row],[SUBS ISR]]-IMSS[[#This Row],[ISR CARGO]],0)</f>
        <v>0</v>
      </c>
    </row>
    <row r="400" spans="3:40" ht="15" hidden="1" customHeight="1" x14ac:dyDescent="0.25">
      <c r="C400" s="243">
        <v>443</v>
      </c>
      <c r="D400" s="167" t="str">
        <f>VLOOKUP(IMSS[[#This Row],[NEM]],BDD[],2,0)</f>
        <v>Javier Nicacio Martinez</v>
      </c>
      <c r="E400" s="167" t="str">
        <f>VLOOKUP(IMSS[[#This Row],[NEM]],BDD[],9,0)</f>
        <v>INST CAMPO</v>
      </c>
      <c r="F400" s="168">
        <v>30</v>
      </c>
      <c r="G400" s="139">
        <f>VLOOKUP(IMSS[[#This Row],[NEM]],BDD[],3,0)</f>
        <v>6778</v>
      </c>
      <c r="H400" s="139">
        <f ca="1">VLOOKUP(IMSS[[#This Row],[NEM]],BDD[],25,0)</f>
        <v>237.69424657534245</v>
      </c>
      <c r="I400" s="143">
        <f>VLOOKUP(IMSS[[#This Row],[DEPT]],$B$3:$G$49,6,0)</f>
        <v>4.6532499999999997E-2</v>
      </c>
      <c r="J400" s="163">
        <f ca="1">IMSS[[#This Row],[DIAS LAB]]*IMSS[[#This Row],[SDI]]*IMSS[[#This Row],[% RSG]]*$Q$108</f>
        <v>331.81522586301367</v>
      </c>
      <c r="K400" s="163">
        <f>IMSS[[#This Row],[DIAS LAB]]*$J$110*$Q$109</f>
        <v>548.47440000000006</v>
      </c>
      <c r="L400" s="166">
        <f ca="1">IMSS[[#This Row],[DIAS LAB]]*IF(IMSS[[#This Row],[SDI]]-$J$113&gt;0,IMSS[[#This Row],[SDI]]-$J$113,0)*$Q$110</f>
        <v>0</v>
      </c>
      <c r="M400" s="166">
        <f ca="1">IMSS[[#This Row],[DIAS LAB]]*IMSS[[#This Row],[SDI]]*$Q$111</f>
        <v>74.873687671232872</v>
      </c>
      <c r="N400" s="163">
        <f ca="1">IMSS[[#This Row],[DIAS LAB]]*IMSS[[#This Row],[SDI]]*$Q$112</f>
        <v>49.91579178082192</v>
      </c>
      <c r="O400" s="166">
        <f ca="1">IMSS[[#This Row],[DIAS LAB]]*IMSS[[#This Row],[SDI]]*$Q$113</f>
        <v>124.78947945205481</v>
      </c>
      <c r="P400" s="163">
        <f ca="1">IMSS[[#This Row],[DIAS LAB]]*IMSS[[#This Row],[SDI]]*$Q$114</f>
        <v>71.308273972602734</v>
      </c>
      <c r="Q400" s="166">
        <f ca="1">IMSS[[#This Row],[DIAS LAB]]*IMSS[[#This Row],[SDI]]*$Q$115</f>
        <v>142.61654794520547</v>
      </c>
      <c r="R400" s="163">
        <f ca="1">IMSS[[#This Row],[DIAS LAB]]*IMSS[[#This Row],[SDI]]*$Q$116</f>
        <v>224.62106301369863</v>
      </c>
      <c r="S400" s="163">
        <f ca="1">IMSS[[#This Row],[DIAS LAB]]*IMSS[[#This Row],[SDI]]*$Q$117</f>
        <v>356.5413698630137</v>
      </c>
      <c r="T400" s="164">
        <f ca="1">SUM(IMSS[[#This Row],[P RSG TRB]:[P INFONAVIT]])</f>
        <v>1924.9558395616439</v>
      </c>
      <c r="U400" s="163">
        <f ca="1">IMSS[[#This Row],[DIAS LAB]]*IMSS[[#This Row],[SDI]]*IMSS[[#This Row],[% RSG]]*$R$108</f>
        <v>0</v>
      </c>
      <c r="V400" s="163">
        <f ca="1">IMSS[[#This Row],[DIAS LAB]]*IMSS[[#This Row],[SDI]]*$R$112</f>
        <v>17.827068493150684</v>
      </c>
      <c r="W400" s="163"/>
      <c r="X400" s="163">
        <f ca="1">IMSS[[#This Row],[DIAS LAB]]*IMSS[[#This Row],[SDI]]*$R$113</f>
        <v>44.924212602739722</v>
      </c>
      <c r="Y400" s="163">
        <f ca="1">IMSS[[#This Row],[DIAS LAB]]*IMSS[[#This Row],[SDI]]*$R$114</f>
        <v>0</v>
      </c>
      <c r="Z400" s="163">
        <f ca="1">IMSS[[#This Row],[DIAS LAB]]*IMSS[[#This Row],[SDI]]*$R$115</f>
        <v>0</v>
      </c>
      <c r="AA400" s="163">
        <f ca="1">IMSS[[#This Row],[DIAS LAB]]*IMSS[[#This Row],[SDI]]*$R$116</f>
        <v>80.578349589041082</v>
      </c>
      <c r="AB400" s="163">
        <f ca="1">IMSS[[#This Row],[DIAS LAB]]*IMSS[[#This Row],[SDI]]*$R$117</f>
        <v>0</v>
      </c>
      <c r="AC400" s="247">
        <f ca="1">SUM(IMSS[[#This Row],[O RSG TRB]:[O INFONAVIT]])</f>
        <v>143.32963068493149</v>
      </c>
      <c r="AD400" s="163"/>
      <c r="AE400" s="165">
        <f ca="1">IMSS[[#This Row],[P TOTAL]]+IMSS[[#This Row],[O TOTAL]]</f>
        <v>2068.2854702465752</v>
      </c>
      <c r="AF400" s="163"/>
      <c r="AG400" s="163">
        <f>VLOOKUP(IMSS[[#This Row],[SUE MENS]],$AG$110:$AJ$120,1,1)</f>
        <v>5470.93</v>
      </c>
      <c r="AH400" s="163">
        <f>IMSS[[#This Row],[SUE MENS]]-IMSS[[#This Row],[LIM INF]]</f>
        <v>1307.0699999999997</v>
      </c>
      <c r="AI400" s="163">
        <f>IMSS[[#This Row],[EXC LIM INF]]*(VLOOKUP(IMSS[[#This Row],[LIM INF]],$AG$110:$AJ$120,4,0))</f>
        <v>142.20921599999997</v>
      </c>
      <c r="AJ400" s="163">
        <f>VLOOKUP(IMSS[[#This Row],[LIM INF]],$AG$110:$AJ$120,3)</f>
        <v>321.26</v>
      </c>
      <c r="AK400" s="163">
        <f>SUM(IMSS[[#This Row],[TASA EXC]]+IMSS[[#This Row],[CUOTA FIJA]])</f>
        <v>463.46921599999996</v>
      </c>
      <c r="AL400" s="163">
        <f>VLOOKUP(IMSS[[#This Row],[SUE MENS]],$AL$110:$AN$120,3,1)</f>
        <v>253.54</v>
      </c>
      <c r="AM400" s="248">
        <f>IF(IMSS[[#This Row],[ISR CARGO]]-IMSS[[#This Row],[SUBS ISR]]&gt;0,IMSS[[#This Row],[ISR CARGO]]-IMSS[[#This Row],[SUBS ISR]],0)</f>
        <v>209.92921599999997</v>
      </c>
      <c r="AN400" s="248">
        <f>IF(IMSS[[#This Row],[SUBS ISR]]-IMSS[[#This Row],[ISR CARGO]]&gt;0,IMSS[[#This Row],[SUBS ISR]]-IMSS[[#This Row],[ISR CARGO]],0)</f>
        <v>0</v>
      </c>
    </row>
    <row r="401" spans="3:40" ht="15" hidden="1" customHeight="1" x14ac:dyDescent="0.25">
      <c r="C401" s="243">
        <v>444</v>
      </c>
      <c r="D401" s="167" t="str">
        <f>VLOOKUP(IMSS[[#This Row],[NEM]],BDD[],2,0)</f>
        <v>Marco Raúl Hernández Salazar</v>
      </c>
      <c r="E401" s="167" t="str">
        <f>VLOOKUP(IMSS[[#This Row],[NEM]],BDD[],9,0)</f>
        <v>AUDIT ADMN</v>
      </c>
      <c r="F401" s="168">
        <v>30</v>
      </c>
      <c r="G401" s="139">
        <f>VLOOKUP(IMSS[[#This Row],[NEM]],BDD[],3,0)</f>
        <v>7445</v>
      </c>
      <c r="H401" s="139">
        <f ca="1">VLOOKUP(IMSS[[#This Row],[NEM]],BDD[],25,0)</f>
        <v>274.00319634703197</v>
      </c>
      <c r="I401" s="143">
        <f>VLOOKUP(IMSS[[#This Row],[DEPT]],$B$3:$G$49,6,0)</f>
        <v>5.4355000000000002E-3</v>
      </c>
      <c r="J401" s="163">
        <f ca="1">IMSS[[#This Row],[DIAS LAB]]*IMSS[[#This Row],[SDI]]*IMSS[[#This Row],[% RSG]]*$Q$108</f>
        <v>44.680331212328774</v>
      </c>
      <c r="K401" s="163">
        <f>IMSS[[#This Row],[DIAS LAB]]*$J$110*$Q$109</f>
        <v>548.47440000000006</v>
      </c>
      <c r="L401" s="166">
        <f ca="1">IMSS[[#This Row],[DIAS LAB]]*IF(IMSS[[#This Row],[SDI]]-$J$113&gt;0,IMSS[[#This Row],[SDI]]-$J$113,0)*$Q$110</f>
        <v>1.6972547945205467</v>
      </c>
      <c r="M401" s="166">
        <f ca="1">IMSS[[#This Row],[DIAS LAB]]*IMSS[[#This Row],[SDI]]*$Q$111</f>
        <v>86.311006849315078</v>
      </c>
      <c r="N401" s="163">
        <f ca="1">IMSS[[#This Row],[DIAS LAB]]*IMSS[[#This Row],[SDI]]*$Q$112</f>
        <v>57.540671232876718</v>
      </c>
      <c r="O401" s="166">
        <f ca="1">IMSS[[#This Row],[DIAS LAB]]*IMSS[[#This Row],[SDI]]*$Q$113</f>
        <v>143.8516780821918</v>
      </c>
      <c r="P401" s="163">
        <f ca="1">IMSS[[#This Row],[DIAS LAB]]*IMSS[[#This Row],[SDI]]*$Q$114</f>
        <v>82.200958904109598</v>
      </c>
      <c r="Q401" s="166">
        <f ca="1">IMSS[[#This Row],[DIAS LAB]]*IMSS[[#This Row],[SDI]]*$Q$115</f>
        <v>164.4019178082192</v>
      </c>
      <c r="R401" s="163">
        <f ca="1">IMSS[[#This Row],[DIAS LAB]]*IMSS[[#This Row],[SDI]]*$Q$116</f>
        <v>258.9330205479452</v>
      </c>
      <c r="S401" s="163">
        <f ca="1">IMSS[[#This Row],[DIAS LAB]]*IMSS[[#This Row],[SDI]]*$Q$117</f>
        <v>411.00479452054799</v>
      </c>
      <c r="T401" s="164">
        <f ca="1">SUM(IMSS[[#This Row],[P RSG TRB]:[P INFONAVIT]])</f>
        <v>1799.0960339520548</v>
      </c>
      <c r="U401" s="163">
        <f ca="1">IMSS[[#This Row],[DIAS LAB]]*IMSS[[#This Row],[SDI]]*IMSS[[#This Row],[% RSG]]*$R$108</f>
        <v>0</v>
      </c>
      <c r="V401" s="163">
        <f ca="1">IMSS[[#This Row],[DIAS LAB]]*IMSS[[#This Row],[SDI]]*$R$112</f>
        <v>20.550239726027399</v>
      </c>
      <c r="W401" s="163"/>
      <c r="X401" s="163">
        <f ca="1">IMSS[[#This Row],[DIAS LAB]]*IMSS[[#This Row],[SDI]]*$R$113</f>
        <v>51.786604109589042</v>
      </c>
      <c r="Y401" s="163">
        <f ca="1">IMSS[[#This Row],[DIAS LAB]]*IMSS[[#This Row],[SDI]]*$R$114</f>
        <v>0</v>
      </c>
      <c r="Z401" s="163">
        <f ca="1">IMSS[[#This Row],[DIAS LAB]]*IMSS[[#This Row],[SDI]]*$R$115</f>
        <v>0</v>
      </c>
      <c r="AA401" s="163">
        <f ca="1">IMSS[[#This Row],[DIAS LAB]]*IMSS[[#This Row],[SDI]]*$R$116</f>
        <v>92.887083561643834</v>
      </c>
      <c r="AB401" s="163">
        <f ca="1">IMSS[[#This Row],[DIAS LAB]]*IMSS[[#This Row],[SDI]]*$R$117</f>
        <v>0</v>
      </c>
      <c r="AC401" s="247">
        <f ca="1">SUM(IMSS[[#This Row],[O RSG TRB]:[O INFONAVIT]])</f>
        <v>165.22392739726027</v>
      </c>
      <c r="AD401" s="163"/>
      <c r="AE401" s="165">
        <f ca="1">IMSS[[#This Row],[P TOTAL]]+IMSS[[#This Row],[O TOTAL]]</f>
        <v>1964.319961349315</v>
      </c>
      <c r="AF401" s="163"/>
      <c r="AG401" s="163">
        <f>VLOOKUP(IMSS[[#This Row],[SUE MENS]],$AG$110:$AJ$120,1,1)</f>
        <v>5470.93</v>
      </c>
      <c r="AH401" s="163">
        <f>IMSS[[#This Row],[SUE MENS]]-IMSS[[#This Row],[LIM INF]]</f>
        <v>1974.0699999999997</v>
      </c>
      <c r="AI401" s="163">
        <f>IMSS[[#This Row],[EXC LIM INF]]*(VLOOKUP(IMSS[[#This Row],[LIM INF]],$AG$110:$AJ$120,4,0))</f>
        <v>214.77881599999998</v>
      </c>
      <c r="AJ401" s="163">
        <f>VLOOKUP(IMSS[[#This Row],[LIM INF]],$AG$110:$AJ$120,3)</f>
        <v>321.26</v>
      </c>
      <c r="AK401" s="163">
        <f>SUM(IMSS[[#This Row],[TASA EXC]]+IMSS[[#This Row],[CUOTA FIJA]])</f>
        <v>536.038816</v>
      </c>
      <c r="AL401" s="163">
        <f>VLOOKUP(IMSS[[#This Row],[SUE MENS]],$AL$110:$AN$120,3,1)</f>
        <v>0</v>
      </c>
      <c r="AM401" s="248">
        <f>IF(IMSS[[#This Row],[ISR CARGO]]-IMSS[[#This Row],[SUBS ISR]]&gt;0,IMSS[[#This Row],[ISR CARGO]]-IMSS[[#This Row],[SUBS ISR]],0)</f>
        <v>536.038816</v>
      </c>
      <c r="AN401" s="248">
        <f>IF(IMSS[[#This Row],[SUBS ISR]]-IMSS[[#This Row],[ISR CARGO]]&gt;0,IMSS[[#This Row],[SUBS ISR]]-IMSS[[#This Row],[ISR CARGO]],0)</f>
        <v>0</v>
      </c>
    </row>
    <row r="402" spans="3:40" ht="15" hidden="1" customHeight="1" x14ac:dyDescent="0.25">
      <c r="C402" s="243">
        <v>445</v>
      </c>
      <c r="D402" s="167" t="str">
        <f>VLOOKUP(IMSS[[#This Row],[NEM]],BDD[],2,0)</f>
        <v>Enrique Bolaños Torres</v>
      </c>
      <c r="E402" s="167" t="str">
        <f>VLOOKUP(IMSS[[#This Row],[NEM]],BDD[],9,0)</f>
        <v>ARQUITECT</v>
      </c>
      <c r="F402" s="168">
        <v>30</v>
      </c>
      <c r="G402" s="139">
        <f>VLOOKUP(IMSS[[#This Row],[NEM]],BDD[],3,0)</f>
        <v>9541</v>
      </c>
      <c r="H402" s="139">
        <f ca="1">VLOOKUP(IMSS[[#This Row],[NEM]],BDD[],25,0)</f>
        <v>350.27232876712327</v>
      </c>
      <c r="I402" s="143">
        <f>VLOOKUP(IMSS[[#This Row],[DEPT]],$B$3:$G$49,6,0)</f>
        <v>2.5984400000000001E-2</v>
      </c>
      <c r="J402" s="163">
        <f ca="1">IMSS[[#This Row],[DIAS LAB]]*IMSS[[#This Row],[SDI]]*IMSS[[#This Row],[% RSG]]*$Q$108</f>
        <v>273.04848898849315</v>
      </c>
      <c r="K402" s="163">
        <f>IMSS[[#This Row],[DIAS LAB]]*$J$110*$Q$109</f>
        <v>548.47440000000006</v>
      </c>
      <c r="L402" s="166">
        <f ca="1">IMSS[[#This Row],[DIAS LAB]]*IF(IMSS[[#This Row],[SDI]]-$J$113&gt;0,IMSS[[#This Row],[SDI]]-$J$113,0)*$Q$110</f>
        <v>26.866068493150674</v>
      </c>
      <c r="M402" s="166">
        <f ca="1">IMSS[[#This Row],[DIAS LAB]]*IMSS[[#This Row],[SDI]]*$Q$111</f>
        <v>110.33578356164384</v>
      </c>
      <c r="N402" s="163">
        <f ca="1">IMSS[[#This Row],[DIAS LAB]]*IMSS[[#This Row],[SDI]]*$Q$112</f>
        <v>73.557189041095882</v>
      </c>
      <c r="O402" s="166">
        <f ca="1">IMSS[[#This Row],[DIAS LAB]]*IMSS[[#This Row],[SDI]]*$Q$113</f>
        <v>183.89297260273972</v>
      </c>
      <c r="P402" s="163">
        <f ca="1">IMSS[[#This Row],[DIAS LAB]]*IMSS[[#This Row],[SDI]]*$Q$114</f>
        <v>105.08169863013698</v>
      </c>
      <c r="Q402" s="166">
        <f ca="1">IMSS[[#This Row],[DIAS LAB]]*IMSS[[#This Row],[SDI]]*$Q$115</f>
        <v>210.16339726027397</v>
      </c>
      <c r="R402" s="163">
        <f ca="1">IMSS[[#This Row],[DIAS LAB]]*IMSS[[#This Row],[SDI]]*$Q$116</f>
        <v>331.00735068493151</v>
      </c>
      <c r="S402" s="163">
        <f ca="1">IMSS[[#This Row],[DIAS LAB]]*IMSS[[#This Row],[SDI]]*$Q$117</f>
        <v>525.40849315068488</v>
      </c>
      <c r="T402" s="164">
        <f ca="1">SUM(IMSS[[#This Row],[P RSG TRB]:[P INFONAVIT]])</f>
        <v>2387.8358424131507</v>
      </c>
      <c r="U402" s="163">
        <f ca="1">IMSS[[#This Row],[DIAS LAB]]*IMSS[[#This Row],[SDI]]*IMSS[[#This Row],[% RSG]]*$R$108</f>
        <v>0</v>
      </c>
      <c r="V402" s="163">
        <f ca="1">IMSS[[#This Row],[DIAS LAB]]*IMSS[[#This Row],[SDI]]*$R$112</f>
        <v>26.270424657534246</v>
      </c>
      <c r="W402" s="163"/>
      <c r="X402" s="163">
        <f ca="1">IMSS[[#This Row],[DIAS LAB]]*IMSS[[#This Row],[SDI]]*$R$113</f>
        <v>66.201470136986302</v>
      </c>
      <c r="Y402" s="163">
        <f ca="1">IMSS[[#This Row],[DIAS LAB]]*IMSS[[#This Row],[SDI]]*$R$114</f>
        <v>0</v>
      </c>
      <c r="Z402" s="163">
        <f ca="1">IMSS[[#This Row],[DIAS LAB]]*IMSS[[#This Row],[SDI]]*$R$115</f>
        <v>0</v>
      </c>
      <c r="AA402" s="163">
        <f ca="1">IMSS[[#This Row],[DIAS LAB]]*IMSS[[#This Row],[SDI]]*$R$116</f>
        <v>118.74231945205479</v>
      </c>
      <c r="AB402" s="163">
        <f ca="1">IMSS[[#This Row],[DIAS LAB]]*IMSS[[#This Row],[SDI]]*$R$117</f>
        <v>0</v>
      </c>
      <c r="AC402" s="247">
        <f ca="1">SUM(IMSS[[#This Row],[O RSG TRB]:[O INFONAVIT]])</f>
        <v>211.21421424657535</v>
      </c>
      <c r="AD402" s="163"/>
      <c r="AE402" s="165">
        <f ca="1">IMSS[[#This Row],[P TOTAL]]+IMSS[[#This Row],[O TOTAL]]</f>
        <v>2599.0500566597261</v>
      </c>
      <c r="AF402" s="163"/>
      <c r="AG402" s="163">
        <f>VLOOKUP(IMSS[[#This Row],[SUE MENS]],$AG$110:$AJ$120,1,1)</f>
        <v>5470.93</v>
      </c>
      <c r="AH402" s="163">
        <f>IMSS[[#This Row],[SUE MENS]]-IMSS[[#This Row],[LIM INF]]</f>
        <v>4070.0699999999997</v>
      </c>
      <c r="AI402" s="163">
        <f>IMSS[[#This Row],[EXC LIM INF]]*(VLOOKUP(IMSS[[#This Row],[LIM INF]],$AG$110:$AJ$120,4,0))</f>
        <v>442.82361600000002</v>
      </c>
      <c r="AJ402" s="163">
        <f>VLOOKUP(IMSS[[#This Row],[LIM INF]],$AG$110:$AJ$120,3)</f>
        <v>321.26</v>
      </c>
      <c r="AK402" s="163">
        <f>SUM(IMSS[[#This Row],[TASA EXC]]+IMSS[[#This Row],[CUOTA FIJA]])</f>
        <v>764.08361600000001</v>
      </c>
      <c r="AL402" s="163">
        <f>VLOOKUP(IMSS[[#This Row],[SUE MENS]],$AL$110:$AN$120,3,1)</f>
        <v>0</v>
      </c>
      <c r="AM402" s="248">
        <f>IF(IMSS[[#This Row],[ISR CARGO]]-IMSS[[#This Row],[SUBS ISR]]&gt;0,IMSS[[#This Row],[ISR CARGO]]-IMSS[[#This Row],[SUBS ISR]],0)</f>
        <v>764.08361600000001</v>
      </c>
      <c r="AN402" s="248">
        <f>IF(IMSS[[#This Row],[SUBS ISR]]-IMSS[[#This Row],[ISR CARGO]]&gt;0,IMSS[[#This Row],[SUBS ISR]]-IMSS[[#This Row],[ISR CARGO]],0)</f>
        <v>0</v>
      </c>
    </row>
    <row r="403" spans="3:40" ht="15" hidden="1" customHeight="1" x14ac:dyDescent="0.25">
      <c r="C403" s="243">
        <v>446</v>
      </c>
      <c r="D403" s="167" t="str">
        <f>VLOOKUP(IMSS[[#This Row],[NEM]],BDD[],2,0)</f>
        <v>Brayan Alexis Reyes Cuellar</v>
      </c>
      <c r="E403" s="167" t="str">
        <f>VLOOKUP(IMSS[[#This Row],[NEM]],BDD[],9,0)</f>
        <v>ESTRUCTURA</v>
      </c>
      <c r="F403" s="168">
        <v>30</v>
      </c>
      <c r="G403" s="139">
        <f>VLOOKUP(IMSS[[#This Row],[NEM]],BDD[],3,0)</f>
        <v>6778</v>
      </c>
      <c r="H403" s="139">
        <f ca="1">VLOOKUP(IMSS[[#This Row],[NEM]],BDD[],25,0)</f>
        <v>237.38474885844749</v>
      </c>
      <c r="I403" s="143">
        <f>VLOOKUP(IMSS[[#This Row],[DEPT]],$B$3:$G$49,6,0)</f>
        <v>2.5984400000000001E-2</v>
      </c>
      <c r="J403" s="163">
        <f ca="1">IMSS[[#This Row],[DIAS LAB]]*IMSS[[#This Row],[SDI]]*IMSS[[#This Row],[% RSG]]*$Q$108</f>
        <v>185.04900804712329</v>
      </c>
      <c r="K403" s="163">
        <f>IMSS[[#This Row],[DIAS LAB]]*$J$110*$Q$109</f>
        <v>548.47440000000006</v>
      </c>
      <c r="L403" s="166">
        <f ca="1">IMSS[[#This Row],[DIAS LAB]]*IF(IMSS[[#This Row],[SDI]]-$J$113&gt;0,IMSS[[#This Row],[SDI]]-$J$113,0)*$Q$110</f>
        <v>0</v>
      </c>
      <c r="M403" s="166">
        <f ca="1">IMSS[[#This Row],[DIAS LAB]]*IMSS[[#This Row],[SDI]]*$Q$111</f>
        <v>74.77619589041096</v>
      </c>
      <c r="N403" s="163">
        <f ca="1">IMSS[[#This Row],[DIAS LAB]]*IMSS[[#This Row],[SDI]]*$Q$112</f>
        <v>49.850797260273978</v>
      </c>
      <c r="O403" s="166">
        <f ca="1">IMSS[[#This Row],[DIAS LAB]]*IMSS[[#This Row],[SDI]]*$Q$113</f>
        <v>124.62699315068495</v>
      </c>
      <c r="P403" s="163">
        <f ca="1">IMSS[[#This Row],[DIAS LAB]]*IMSS[[#This Row],[SDI]]*$Q$114</f>
        <v>71.215424657534257</v>
      </c>
      <c r="Q403" s="166">
        <f ca="1">IMSS[[#This Row],[DIAS LAB]]*IMSS[[#This Row],[SDI]]*$Q$115</f>
        <v>142.43084931506851</v>
      </c>
      <c r="R403" s="163">
        <f ca="1">IMSS[[#This Row],[DIAS LAB]]*IMSS[[#This Row],[SDI]]*$Q$116</f>
        <v>224.3285876712329</v>
      </c>
      <c r="S403" s="163">
        <f ca="1">IMSS[[#This Row],[DIAS LAB]]*IMSS[[#This Row],[SDI]]*$Q$117</f>
        <v>356.07712328767127</v>
      </c>
      <c r="T403" s="164">
        <f ca="1">SUM(IMSS[[#This Row],[P RSG TRB]:[P INFONAVIT]])</f>
        <v>1776.8293792800005</v>
      </c>
      <c r="U403" s="163">
        <f ca="1">IMSS[[#This Row],[DIAS LAB]]*IMSS[[#This Row],[SDI]]*IMSS[[#This Row],[% RSG]]*$R$108</f>
        <v>0</v>
      </c>
      <c r="V403" s="163">
        <f ca="1">IMSS[[#This Row],[DIAS LAB]]*IMSS[[#This Row],[SDI]]*$R$112</f>
        <v>17.803856164383564</v>
      </c>
      <c r="W403" s="163"/>
      <c r="X403" s="163">
        <f ca="1">IMSS[[#This Row],[DIAS LAB]]*IMSS[[#This Row],[SDI]]*$R$113</f>
        <v>44.865717534246578</v>
      </c>
      <c r="Y403" s="163">
        <f ca="1">IMSS[[#This Row],[DIAS LAB]]*IMSS[[#This Row],[SDI]]*$R$114</f>
        <v>0</v>
      </c>
      <c r="Z403" s="163">
        <f ca="1">IMSS[[#This Row],[DIAS LAB]]*IMSS[[#This Row],[SDI]]*$R$115</f>
        <v>0</v>
      </c>
      <c r="AA403" s="163">
        <f ca="1">IMSS[[#This Row],[DIAS LAB]]*IMSS[[#This Row],[SDI]]*$R$116</f>
        <v>80.473429863013692</v>
      </c>
      <c r="AB403" s="163">
        <f ca="1">IMSS[[#This Row],[DIAS LAB]]*IMSS[[#This Row],[SDI]]*$R$117</f>
        <v>0</v>
      </c>
      <c r="AC403" s="247">
        <f ca="1">SUM(IMSS[[#This Row],[O RSG TRB]:[O INFONAVIT]])</f>
        <v>143.14300356164384</v>
      </c>
      <c r="AD403" s="163"/>
      <c r="AE403" s="165">
        <f ca="1">IMSS[[#This Row],[P TOTAL]]+IMSS[[#This Row],[O TOTAL]]</f>
        <v>1919.9723828416443</v>
      </c>
      <c r="AF403" s="163"/>
      <c r="AG403" s="163">
        <f>VLOOKUP(IMSS[[#This Row],[SUE MENS]],$AG$110:$AJ$120,1,1)</f>
        <v>5470.93</v>
      </c>
      <c r="AH403" s="163">
        <f>IMSS[[#This Row],[SUE MENS]]-IMSS[[#This Row],[LIM INF]]</f>
        <v>1307.0699999999997</v>
      </c>
      <c r="AI403" s="163">
        <f>IMSS[[#This Row],[EXC LIM INF]]*(VLOOKUP(IMSS[[#This Row],[LIM INF]],$AG$110:$AJ$120,4,0))</f>
        <v>142.20921599999997</v>
      </c>
      <c r="AJ403" s="163">
        <f>VLOOKUP(IMSS[[#This Row],[LIM INF]],$AG$110:$AJ$120,3)</f>
        <v>321.26</v>
      </c>
      <c r="AK403" s="163">
        <f>SUM(IMSS[[#This Row],[TASA EXC]]+IMSS[[#This Row],[CUOTA FIJA]])</f>
        <v>463.46921599999996</v>
      </c>
      <c r="AL403" s="163">
        <f>VLOOKUP(IMSS[[#This Row],[SUE MENS]],$AL$110:$AN$120,3,1)</f>
        <v>253.54</v>
      </c>
      <c r="AM403" s="248">
        <f>IF(IMSS[[#This Row],[ISR CARGO]]-IMSS[[#This Row],[SUBS ISR]]&gt;0,IMSS[[#This Row],[ISR CARGO]]-IMSS[[#This Row],[SUBS ISR]],0)</f>
        <v>209.92921599999997</v>
      </c>
      <c r="AN403" s="248">
        <f>IF(IMSS[[#This Row],[SUBS ISR]]-IMSS[[#This Row],[ISR CARGO]]&gt;0,IMSS[[#This Row],[SUBS ISR]]-IMSS[[#This Row],[ISR CARGO]],0)</f>
        <v>0</v>
      </c>
    </row>
    <row r="404" spans="3:40" ht="15" hidden="1" customHeight="1" x14ac:dyDescent="0.25">
      <c r="C404" s="243">
        <v>448</v>
      </c>
      <c r="D404" s="167" t="str">
        <f>VLOOKUP(IMSS[[#This Row],[NEM]],BDD[],2,0)</f>
        <v>Arturo Nava Atilano</v>
      </c>
      <c r="E404" s="167" t="str">
        <f>VLOOKUP(IMSS[[#This Row],[NEM]],BDD[],9,0)</f>
        <v>ARQUITECT</v>
      </c>
      <c r="F404" s="168">
        <v>30</v>
      </c>
      <c r="G404" s="139">
        <f>VLOOKUP(IMSS[[#This Row],[NEM]],BDD[],3,0)</f>
        <v>9541</v>
      </c>
      <c r="H404" s="139">
        <f ca="1">VLOOKUP(IMSS[[#This Row],[NEM]],BDD[],25,0)</f>
        <v>350.27232876712327</v>
      </c>
      <c r="I404" s="143">
        <f>VLOOKUP(IMSS[[#This Row],[DEPT]],$B$3:$G$49,6,0)</f>
        <v>2.5984400000000001E-2</v>
      </c>
      <c r="J404" s="163">
        <f ca="1">IMSS[[#This Row],[DIAS LAB]]*IMSS[[#This Row],[SDI]]*IMSS[[#This Row],[% RSG]]*$Q$108</f>
        <v>273.04848898849315</v>
      </c>
      <c r="K404" s="163">
        <f>IMSS[[#This Row],[DIAS LAB]]*$J$110*$Q$109</f>
        <v>548.47440000000006</v>
      </c>
      <c r="L404" s="166">
        <f ca="1">IMSS[[#This Row],[DIAS LAB]]*IF(IMSS[[#This Row],[SDI]]-$J$113&gt;0,IMSS[[#This Row],[SDI]]-$J$113,0)*$Q$110</f>
        <v>26.866068493150674</v>
      </c>
      <c r="M404" s="166">
        <f ca="1">IMSS[[#This Row],[DIAS LAB]]*IMSS[[#This Row],[SDI]]*$Q$111</f>
        <v>110.33578356164384</v>
      </c>
      <c r="N404" s="163">
        <f ca="1">IMSS[[#This Row],[DIAS LAB]]*IMSS[[#This Row],[SDI]]*$Q$112</f>
        <v>73.557189041095882</v>
      </c>
      <c r="O404" s="166">
        <f ca="1">IMSS[[#This Row],[DIAS LAB]]*IMSS[[#This Row],[SDI]]*$Q$113</f>
        <v>183.89297260273972</v>
      </c>
      <c r="P404" s="163">
        <f ca="1">IMSS[[#This Row],[DIAS LAB]]*IMSS[[#This Row],[SDI]]*$Q$114</f>
        <v>105.08169863013698</v>
      </c>
      <c r="Q404" s="166">
        <f ca="1">IMSS[[#This Row],[DIAS LAB]]*IMSS[[#This Row],[SDI]]*$Q$115</f>
        <v>210.16339726027397</v>
      </c>
      <c r="R404" s="163">
        <f ca="1">IMSS[[#This Row],[DIAS LAB]]*IMSS[[#This Row],[SDI]]*$Q$116</f>
        <v>331.00735068493151</v>
      </c>
      <c r="S404" s="163">
        <f ca="1">IMSS[[#This Row],[DIAS LAB]]*IMSS[[#This Row],[SDI]]*$Q$117</f>
        <v>525.40849315068488</v>
      </c>
      <c r="T404" s="164">
        <f ca="1">SUM(IMSS[[#This Row],[P RSG TRB]:[P INFONAVIT]])</f>
        <v>2387.8358424131507</v>
      </c>
      <c r="U404" s="163">
        <f ca="1">IMSS[[#This Row],[DIAS LAB]]*IMSS[[#This Row],[SDI]]*IMSS[[#This Row],[% RSG]]*$R$108</f>
        <v>0</v>
      </c>
      <c r="V404" s="163">
        <f ca="1">IMSS[[#This Row],[DIAS LAB]]*IMSS[[#This Row],[SDI]]*$R$112</f>
        <v>26.270424657534246</v>
      </c>
      <c r="W404" s="163"/>
      <c r="X404" s="163">
        <f ca="1">IMSS[[#This Row],[DIAS LAB]]*IMSS[[#This Row],[SDI]]*$R$113</f>
        <v>66.201470136986302</v>
      </c>
      <c r="Y404" s="163">
        <f ca="1">IMSS[[#This Row],[DIAS LAB]]*IMSS[[#This Row],[SDI]]*$R$114</f>
        <v>0</v>
      </c>
      <c r="Z404" s="163">
        <f ca="1">IMSS[[#This Row],[DIAS LAB]]*IMSS[[#This Row],[SDI]]*$R$115</f>
        <v>0</v>
      </c>
      <c r="AA404" s="163">
        <f ca="1">IMSS[[#This Row],[DIAS LAB]]*IMSS[[#This Row],[SDI]]*$R$116</f>
        <v>118.74231945205479</v>
      </c>
      <c r="AB404" s="163">
        <f ca="1">IMSS[[#This Row],[DIAS LAB]]*IMSS[[#This Row],[SDI]]*$R$117</f>
        <v>0</v>
      </c>
      <c r="AC404" s="247">
        <f ca="1">SUM(IMSS[[#This Row],[O RSG TRB]:[O INFONAVIT]])</f>
        <v>211.21421424657535</v>
      </c>
      <c r="AD404" s="163"/>
      <c r="AE404" s="165">
        <f ca="1">IMSS[[#This Row],[P TOTAL]]+IMSS[[#This Row],[O TOTAL]]</f>
        <v>2599.0500566597261</v>
      </c>
      <c r="AF404" s="163"/>
      <c r="AG404" s="163">
        <f>VLOOKUP(IMSS[[#This Row],[SUE MENS]],$AG$110:$AJ$120,1,1)</f>
        <v>5470.93</v>
      </c>
      <c r="AH404" s="163">
        <f>IMSS[[#This Row],[SUE MENS]]-IMSS[[#This Row],[LIM INF]]</f>
        <v>4070.0699999999997</v>
      </c>
      <c r="AI404" s="163">
        <f>IMSS[[#This Row],[EXC LIM INF]]*(VLOOKUP(IMSS[[#This Row],[LIM INF]],$AG$110:$AJ$120,4,0))</f>
        <v>442.82361600000002</v>
      </c>
      <c r="AJ404" s="163">
        <f>VLOOKUP(IMSS[[#This Row],[LIM INF]],$AG$110:$AJ$120,3)</f>
        <v>321.26</v>
      </c>
      <c r="AK404" s="163">
        <f>SUM(IMSS[[#This Row],[TASA EXC]]+IMSS[[#This Row],[CUOTA FIJA]])</f>
        <v>764.08361600000001</v>
      </c>
      <c r="AL404" s="163">
        <f>VLOOKUP(IMSS[[#This Row],[SUE MENS]],$AL$110:$AN$120,3,1)</f>
        <v>0</v>
      </c>
      <c r="AM404" s="248">
        <f>IF(IMSS[[#This Row],[ISR CARGO]]-IMSS[[#This Row],[SUBS ISR]]&gt;0,IMSS[[#This Row],[ISR CARGO]]-IMSS[[#This Row],[SUBS ISR]],0)</f>
        <v>764.08361600000001</v>
      </c>
      <c r="AN404" s="248">
        <f>IF(IMSS[[#This Row],[SUBS ISR]]-IMSS[[#This Row],[ISR CARGO]]&gt;0,IMSS[[#This Row],[SUBS ISR]]-IMSS[[#This Row],[ISR CARGO]],0)</f>
        <v>0</v>
      </c>
    </row>
    <row r="405" spans="3:40" ht="15" hidden="1" customHeight="1" x14ac:dyDescent="0.25">
      <c r="C405" s="243">
        <v>449</v>
      </c>
      <c r="D405" s="167" t="str">
        <f>VLOOKUP(IMSS[[#This Row],[NEM]],BDD[],2,0)</f>
        <v>Eduardo Jesus Soto Solis</v>
      </c>
      <c r="E405" s="167" t="str">
        <f>VLOOKUP(IMSS[[#This Row],[NEM]],BDD[],9,0)</f>
        <v>ARQUITECT</v>
      </c>
      <c r="F405" s="168">
        <v>30</v>
      </c>
      <c r="G405" s="139">
        <f>VLOOKUP(IMSS[[#This Row],[NEM]],BDD[],3,0)</f>
        <v>9450</v>
      </c>
      <c r="H405" s="139">
        <f ca="1">VLOOKUP(IMSS[[#This Row],[NEM]],BDD[],25,0)</f>
        <v>346.93150684931504</v>
      </c>
      <c r="I405" s="143">
        <f>VLOOKUP(IMSS[[#This Row],[DEPT]],$B$3:$G$49,6,0)</f>
        <v>2.5984400000000001E-2</v>
      </c>
      <c r="J405" s="163">
        <f ca="1">IMSS[[#This Row],[DIAS LAB]]*IMSS[[#This Row],[SDI]]*IMSS[[#This Row],[% RSG]]*$Q$108</f>
        <v>270.44421139726023</v>
      </c>
      <c r="K405" s="163">
        <f>IMSS[[#This Row],[DIAS LAB]]*$J$110*$Q$109</f>
        <v>548.47440000000006</v>
      </c>
      <c r="L405" s="166">
        <f ca="1">IMSS[[#This Row],[DIAS LAB]]*IF(IMSS[[#This Row],[SDI]]-$J$113&gt;0,IMSS[[#This Row],[SDI]]-$J$113,0)*$Q$110</f>
        <v>25.763597260273958</v>
      </c>
      <c r="M405" s="166">
        <f ca="1">IMSS[[#This Row],[DIAS LAB]]*IMSS[[#This Row],[SDI]]*$Q$111</f>
        <v>109.28342465753424</v>
      </c>
      <c r="N405" s="163">
        <f ca="1">IMSS[[#This Row],[DIAS LAB]]*IMSS[[#This Row],[SDI]]*$Q$112</f>
        <v>72.855616438356165</v>
      </c>
      <c r="O405" s="166">
        <f ca="1">IMSS[[#This Row],[DIAS LAB]]*IMSS[[#This Row],[SDI]]*$Q$113</f>
        <v>182.13904109589041</v>
      </c>
      <c r="P405" s="163">
        <f ca="1">IMSS[[#This Row],[DIAS LAB]]*IMSS[[#This Row],[SDI]]*$Q$114</f>
        <v>104.07945205479452</v>
      </c>
      <c r="Q405" s="166">
        <f ca="1">IMSS[[#This Row],[DIAS LAB]]*IMSS[[#This Row],[SDI]]*$Q$115</f>
        <v>208.15890410958903</v>
      </c>
      <c r="R405" s="163">
        <f ca="1">IMSS[[#This Row],[DIAS LAB]]*IMSS[[#This Row],[SDI]]*$Q$116</f>
        <v>327.85027397260274</v>
      </c>
      <c r="S405" s="163">
        <f ca="1">IMSS[[#This Row],[DIAS LAB]]*IMSS[[#This Row],[SDI]]*$Q$117</f>
        <v>520.39726027397262</v>
      </c>
      <c r="T405" s="164">
        <f ca="1">SUM(IMSS[[#This Row],[P RSG TRB]:[P INFONAVIT]])</f>
        <v>2369.446181260274</v>
      </c>
      <c r="U405" s="163">
        <f ca="1">IMSS[[#This Row],[DIAS LAB]]*IMSS[[#This Row],[SDI]]*IMSS[[#This Row],[% RSG]]*$R$108</f>
        <v>0</v>
      </c>
      <c r="V405" s="163">
        <f ca="1">IMSS[[#This Row],[DIAS LAB]]*IMSS[[#This Row],[SDI]]*$R$112</f>
        <v>26.019863013698629</v>
      </c>
      <c r="W405" s="163"/>
      <c r="X405" s="163">
        <f ca="1">IMSS[[#This Row],[DIAS LAB]]*IMSS[[#This Row],[SDI]]*$R$113</f>
        <v>65.570054794520544</v>
      </c>
      <c r="Y405" s="163">
        <f ca="1">IMSS[[#This Row],[DIAS LAB]]*IMSS[[#This Row],[SDI]]*$R$114</f>
        <v>0</v>
      </c>
      <c r="Z405" s="163">
        <f ca="1">IMSS[[#This Row],[DIAS LAB]]*IMSS[[#This Row],[SDI]]*$R$115</f>
        <v>0</v>
      </c>
      <c r="AA405" s="163">
        <f ca="1">IMSS[[#This Row],[DIAS LAB]]*IMSS[[#This Row],[SDI]]*$R$116</f>
        <v>117.60978082191779</v>
      </c>
      <c r="AB405" s="163">
        <f ca="1">IMSS[[#This Row],[DIAS LAB]]*IMSS[[#This Row],[SDI]]*$R$117</f>
        <v>0</v>
      </c>
      <c r="AC405" s="247">
        <f ca="1">SUM(IMSS[[#This Row],[O RSG TRB]:[O INFONAVIT]])</f>
        <v>209.19969863013696</v>
      </c>
      <c r="AD405" s="163"/>
      <c r="AE405" s="165">
        <f ca="1">IMSS[[#This Row],[P TOTAL]]+IMSS[[#This Row],[O TOTAL]]</f>
        <v>2578.6458798904109</v>
      </c>
      <c r="AF405" s="163"/>
      <c r="AG405" s="163">
        <f>VLOOKUP(IMSS[[#This Row],[SUE MENS]],$AG$110:$AJ$120,1,1)</f>
        <v>5470.93</v>
      </c>
      <c r="AH405" s="163">
        <f>IMSS[[#This Row],[SUE MENS]]-IMSS[[#This Row],[LIM INF]]</f>
        <v>3979.0699999999997</v>
      </c>
      <c r="AI405" s="163">
        <f>IMSS[[#This Row],[EXC LIM INF]]*(VLOOKUP(IMSS[[#This Row],[LIM INF]],$AG$110:$AJ$120,4,0))</f>
        <v>432.92281600000001</v>
      </c>
      <c r="AJ405" s="163">
        <f>VLOOKUP(IMSS[[#This Row],[LIM INF]],$AG$110:$AJ$120,3)</f>
        <v>321.26</v>
      </c>
      <c r="AK405" s="163">
        <f>SUM(IMSS[[#This Row],[TASA EXC]]+IMSS[[#This Row],[CUOTA FIJA]])</f>
        <v>754.182816</v>
      </c>
      <c r="AL405" s="163">
        <f>VLOOKUP(IMSS[[#This Row],[SUE MENS]],$AL$110:$AN$120,3,1)</f>
        <v>0</v>
      </c>
      <c r="AM405" s="248">
        <f>IF(IMSS[[#This Row],[ISR CARGO]]-IMSS[[#This Row],[SUBS ISR]]&gt;0,IMSS[[#This Row],[ISR CARGO]]-IMSS[[#This Row],[SUBS ISR]],0)</f>
        <v>754.182816</v>
      </c>
      <c r="AN405" s="248">
        <f>IF(IMSS[[#This Row],[SUBS ISR]]-IMSS[[#This Row],[ISR CARGO]]&gt;0,IMSS[[#This Row],[SUBS ISR]]-IMSS[[#This Row],[ISR CARGO]],0)</f>
        <v>0</v>
      </c>
    </row>
    <row r="406" spans="3:40" ht="15" hidden="1" customHeight="1" x14ac:dyDescent="0.25">
      <c r="C406" s="243">
        <v>450</v>
      </c>
      <c r="D406" s="167" t="str">
        <f>VLOOKUP(IMSS[[#This Row],[NEM]],BDD[],2,0)</f>
        <v>Alexa Sofia Rivas Sauceda</v>
      </c>
      <c r="E406" s="167" t="str">
        <f>VLOOKUP(IMSS[[#This Row],[NEM]],BDD[],9,0)</f>
        <v>INST CAMPO</v>
      </c>
      <c r="F406" s="168">
        <v>30</v>
      </c>
      <c r="G406" s="139">
        <f>VLOOKUP(IMSS[[#This Row],[NEM]],BDD[],3,0)</f>
        <v>7445</v>
      </c>
      <c r="H406" s="139">
        <f ca="1">VLOOKUP(IMSS[[#This Row],[NEM]],BDD[],25,0)</f>
        <v>273.32328767123283</v>
      </c>
      <c r="I406" s="143">
        <f>VLOOKUP(IMSS[[#This Row],[DEPT]],$B$3:$G$49,6,0)</f>
        <v>4.6532499999999997E-2</v>
      </c>
      <c r="J406" s="163">
        <f ca="1">IMSS[[#This Row],[DIAS LAB]]*IMSS[[#This Row],[SDI]]*IMSS[[#This Row],[% RSG]]*$Q$108</f>
        <v>381.55247650684925</v>
      </c>
      <c r="K406" s="163">
        <f>IMSS[[#This Row],[DIAS LAB]]*$J$110*$Q$109</f>
        <v>548.47440000000006</v>
      </c>
      <c r="L406" s="166">
        <f ca="1">IMSS[[#This Row],[DIAS LAB]]*IF(IMSS[[#This Row],[SDI]]-$J$113&gt;0,IMSS[[#This Row],[SDI]]-$J$113,0)*$Q$110</f>
        <v>1.4728849315068304</v>
      </c>
      <c r="M406" s="166">
        <f ca="1">IMSS[[#This Row],[DIAS LAB]]*IMSS[[#This Row],[SDI]]*$Q$111</f>
        <v>86.096835616438355</v>
      </c>
      <c r="N406" s="163">
        <f ca="1">IMSS[[#This Row],[DIAS LAB]]*IMSS[[#This Row],[SDI]]*$Q$112</f>
        <v>57.397890410958901</v>
      </c>
      <c r="O406" s="166">
        <f ca="1">IMSS[[#This Row],[DIAS LAB]]*IMSS[[#This Row],[SDI]]*$Q$113</f>
        <v>143.49472602739726</v>
      </c>
      <c r="P406" s="163">
        <f ca="1">IMSS[[#This Row],[DIAS LAB]]*IMSS[[#This Row],[SDI]]*$Q$114</f>
        <v>81.996986301369859</v>
      </c>
      <c r="Q406" s="166">
        <f ca="1">IMSS[[#This Row],[DIAS LAB]]*IMSS[[#This Row],[SDI]]*$Q$115</f>
        <v>163.99397260273972</v>
      </c>
      <c r="R406" s="163">
        <f ca="1">IMSS[[#This Row],[DIAS LAB]]*IMSS[[#This Row],[SDI]]*$Q$116</f>
        <v>258.29050684931502</v>
      </c>
      <c r="S406" s="163">
        <f ca="1">IMSS[[#This Row],[DIAS LAB]]*IMSS[[#This Row],[SDI]]*$Q$117</f>
        <v>409.98493150684931</v>
      </c>
      <c r="T406" s="164">
        <f ca="1">SUM(IMSS[[#This Row],[P RSG TRB]:[P INFONAVIT]])</f>
        <v>2132.7556107534247</v>
      </c>
      <c r="U406" s="163">
        <f ca="1">IMSS[[#This Row],[DIAS LAB]]*IMSS[[#This Row],[SDI]]*IMSS[[#This Row],[% RSG]]*$R$108</f>
        <v>0</v>
      </c>
      <c r="V406" s="163">
        <f ca="1">IMSS[[#This Row],[DIAS LAB]]*IMSS[[#This Row],[SDI]]*$R$112</f>
        <v>20.499246575342465</v>
      </c>
      <c r="W406" s="163"/>
      <c r="X406" s="163">
        <f ca="1">IMSS[[#This Row],[DIAS LAB]]*IMSS[[#This Row],[SDI]]*$R$113</f>
        <v>51.658101369863004</v>
      </c>
      <c r="Y406" s="163">
        <f ca="1">IMSS[[#This Row],[DIAS LAB]]*IMSS[[#This Row],[SDI]]*$R$114</f>
        <v>0</v>
      </c>
      <c r="Z406" s="163">
        <f ca="1">IMSS[[#This Row],[DIAS LAB]]*IMSS[[#This Row],[SDI]]*$R$115</f>
        <v>0</v>
      </c>
      <c r="AA406" s="163">
        <f ca="1">IMSS[[#This Row],[DIAS LAB]]*IMSS[[#This Row],[SDI]]*$R$116</f>
        <v>92.656594520547927</v>
      </c>
      <c r="AB406" s="163">
        <f ca="1">IMSS[[#This Row],[DIAS LAB]]*IMSS[[#This Row],[SDI]]*$R$117</f>
        <v>0</v>
      </c>
      <c r="AC406" s="247">
        <f ca="1">SUM(IMSS[[#This Row],[O RSG TRB]:[O INFONAVIT]])</f>
        <v>164.8139424657534</v>
      </c>
      <c r="AD406" s="163"/>
      <c r="AE406" s="165">
        <f ca="1">IMSS[[#This Row],[P TOTAL]]+IMSS[[#This Row],[O TOTAL]]</f>
        <v>2297.569553219178</v>
      </c>
      <c r="AF406" s="163"/>
      <c r="AG406" s="163">
        <f>VLOOKUP(IMSS[[#This Row],[SUE MENS]],$AG$110:$AJ$120,1,1)</f>
        <v>5470.93</v>
      </c>
      <c r="AH406" s="163">
        <f>IMSS[[#This Row],[SUE MENS]]-IMSS[[#This Row],[LIM INF]]</f>
        <v>1974.0699999999997</v>
      </c>
      <c r="AI406" s="163">
        <f>IMSS[[#This Row],[EXC LIM INF]]*(VLOOKUP(IMSS[[#This Row],[LIM INF]],$AG$110:$AJ$120,4,0))</f>
        <v>214.77881599999998</v>
      </c>
      <c r="AJ406" s="163">
        <f>VLOOKUP(IMSS[[#This Row],[LIM INF]],$AG$110:$AJ$120,3)</f>
        <v>321.26</v>
      </c>
      <c r="AK406" s="163">
        <f>SUM(IMSS[[#This Row],[TASA EXC]]+IMSS[[#This Row],[CUOTA FIJA]])</f>
        <v>536.038816</v>
      </c>
      <c r="AL406" s="163">
        <f>VLOOKUP(IMSS[[#This Row],[SUE MENS]],$AL$110:$AN$120,3,1)</f>
        <v>0</v>
      </c>
      <c r="AM406" s="248">
        <f>IF(IMSS[[#This Row],[ISR CARGO]]-IMSS[[#This Row],[SUBS ISR]]&gt;0,IMSS[[#This Row],[ISR CARGO]]-IMSS[[#This Row],[SUBS ISR]],0)</f>
        <v>536.038816</v>
      </c>
      <c r="AN406" s="248">
        <f>IF(IMSS[[#This Row],[SUBS ISR]]-IMSS[[#This Row],[ISR CARGO]]&gt;0,IMSS[[#This Row],[SUBS ISR]]-IMSS[[#This Row],[ISR CARGO]],0)</f>
        <v>0</v>
      </c>
    </row>
    <row r="407" spans="3:40" ht="15" hidden="1" customHeight="1" x14ac:dyDescent="0.25">
      <c r="C407" s="243">
        <v>451</v>
      </c>
      <c r="D407" s="167" t="str">
        <f>VLOOKUP(IMSS[[#This Row],[NEM]],BDD[],2,0)</f>
        <v>Melanie Priscila Ibarra García</v>
      </c>
      <c r="E407" s="167" t="str">
        <f>VLOOKUP(IMSS[[#This Row],[NEM]],BDD[],9,0)</f>
        <v>NÓMINAS</v>
      </c>
      <c r="F407" s="168">
        <v>30</v>
      </c>
      <c r="G407" s="139">
        <f>VLOOKUP(IMSS[[#This Row],[NEM]],BDD[],3,0)</f>
        <v>7445</v>
      </c>
      <c r="H407" s="139">
        <f ca="1">VLOOKUP(IMSS[[#This Row],[NEM]],BDD[],25,0)</f>
        <v>273.32328767123283</v>
      </c>
      <c r="I407" s="143">
        <f>VLOOKUP(IMSS[[#This Row],[DEPT]],$B$3:$G$49,6,0)</f>
        <v>5.4355000000000002E-3</v>
      </c>
      <c r="J407" s="163">
        <f ca="1">IMSS[[#This Row],[DIAS LAB]]*IMSS[[#This Row],[SDI]]*IMSS[[#This Row],[% RSG]]*$Q$108</f>
        <v>44.569461904109588</v>
      </c>
      <c r="K407" s="163">
        <f>IMSS[[#This Row],[DIAS LAB]]*$J$110*$Q$109</f>
        <v>548.47440000000006</v>
      </c>
      <c r="L407" s="166">
        <f ca="1">IMSS[[#This Row],[DIAS LAB]]*IF(IMSS[[#This Row],[SDI]]-$J$113&gt;0,IMSS[[#This Row],[SDI]]-$J$113,0)*$Q$110</f>
        <v>1.4728849315068304</v>
      </c>
      <c r="M407" s="166">
        <f ca="1">IMSS[[#This Row],[DIAS LAB]]*IMSS[[#This Row],[SDI]]*$Q$111</f>
        <v>86.096835616438355</v>
      </c>
      <c r="N407" s="163">
        <f ca="1">IMSS[[#This Row],[DIAS LAB]]*IMSS[[#This Row],[SDI]]*$Q$112</f>
        <v>57.397890410958901</v>
      </c>
      <c r="O407" s="166">
        <f ca="1">IMSS[[#This Row],[DIAS LAB]]*IMSS[[#This Row],[SDI]]*$Q$113</f>
        <v>143.49472602739726</v>
      </c>
      <c r="P407" s="163">
        <f ca="1">IMSS[[#This Row],[DIAS LAB]]*IMSS[[#This Row],[SDI]]*$Q$114</f>
        <v>81.996986301369859</v>
      </c>
      <c r="Q407" s="166">
        <f ca="1">IMSS[[#This Row],[DIAS LAB]]*IMSS[[#This Row],[SDI]]*$Q$115</f>
        <v>163.99397260273972</v>
      </c>
      <c r="R407" s="163">
        <f ca="1">IMSS[[#This Row],[DIAS LAB]]*IMSS[[#This Row],[SDI]]*$Q$116</f>
        <v>258.29050684931502</v>
      </c>
      <c r="S407" s="163">
        <f ca="1">IMSS[[#This Row],[DIAS LAB]]*IMSS[[#This Row],[SDI]]*$Q$117</f>
        <v>409.98493150684931</v>
      </c>
      <c r="T407" s="164">
        <f ca="1">SUM(IMSS[[#This Row],[P RSG TRB]:[P INFONAVIT]])</f>
        <v>1795.7725961506851</v>
      </c>
      <c r="U407" s="163">
        <f ca="1">IMSS[[#This Row],[DIAS LAB]]*IMSS[[#This Row],[SDI]]*IMSS[[#This Row],[% RSG]]*$R$108</f>
        <v>0</v>
      </c>
      <c r="V407" s="163">
        <f ca="1">IMSS[[#This Row],[DIAS LAB]]*IMSS[[#This Row],[SDI]]*$R$112</f>
        <v>20.499246575342465</v>
      </c>
      <c r="W407" s="163"/>
      <c r="X407" s="163">
        <f ca="1">IMSS[[#This Row],[DIAS LAB]]*IMSS[[#This Row],[SDI]]*$R$113</f>
        <v>51.658101369863004</v>
      </c>
      <c r="Y407" s="163">
        <f ca="1">IMSS[[#This Row],[DIAS LAB]]*IMSS[[#This Row],[SDI]]*$R$114</f>
        <v>0</v>
      </c>
      <c r="Z407" s="163">
        <f ca="1">IMSS[[#This Row],[DIAS LAB]]*IMSS[[#This Row],[SDI]]*$R$115</f>
        <v>0</v>
      </c>
      <c r="AA407" s="163">
        <f ca="1">IMSS[[#This Row],[DIAS LAB]]*IMSS[[#This Row],[SDI]]*$R$116</f>
        <v>92.656594520547927</v>
      </c>
      <c r="AB407" s="163">
        <f ca="1">IMSS[[#This Row],[DIAS LAB]]*IMSS[[#This Row],[SDI]]*$R$117</f>
        <v>0</v>
      </c>
      <c r="AC407" s="247">
        <f ca="1">SUM(IMSS[[#This Row],[O RSG TRB]:[O INFONAVIT]])</f>
        <v>164.8139424657534</v>
      </c>
      <c r="AD407" s="163"/>
      <c r="AE407" s="165">
        <f ca="1">IMSS[[#This Row],[P TOTAL]]+IMSS[[#This Row],[O TOTAL]]</f>
        <v>1960.5865386164385</v>
      </c>
      <c r="AF407" s="163"/>
      <c r="AG407" s="163">
        <f>VLOOKUP(IMSS[[#This Row],[SUE MENS]],$AG$110:$AJ$120,1,1)</f>
        <v>5470.93</v>
      </c>
      <c r="AH407" s="163">
        <f>IMSS[[#This Row],[SUE MENS]]-IMSS[[#This Row],[LIM INF]]</f>
        <v>1974.0699999999997</v>
      </c>
      <c r="AI407" s="163">
        <f>IMSS[[#This Row],[EXC LIM INF]]*(VLOOKUP(IMSS[[#This Row],[LIM INF]],$AG$110:$AJ$120,4,0))</f>
        <v>214.77881599999998</v>
      </c>
      <c r="AJ407" s="163">
        <f>VLOOKUP(IMSS[[#This Row],[LIM INF]],$AG$110:$AJ$120,3)</f>
        <v>321.26</v>
      </c>
      <c r="AK407" s="163">
        <f>SUM(IMSS[[#This Row],[TASA EXC]]+IMSS[[#This Row],[CUOTA FIJA]])</f>
        <v>536.038816</v>
      </c>
      <c r="AL407" s="163">
        <f>VLOOKUP(IMSS[[#This Row],[SUE MENS]],$AL$110:$AN$120,3,1)</f>
        <v>0</v>
      </c>
      <c r="AM407" s="248">
        <f>IF(IMSS[[#This Row],[ISR CARGO]]-IMSS[[#This Row],[SUBS ISR]]&gt;0,IMSS[[#This Row],[ISR CARGO]]-IMSS[[#This Row],[SUBS ISR]],0)</f>
        <v>536.038816</v>
      </c>
      <c r="AN407" s="248">
        <f>IF(IMSS[[#This Row],[SUBS ISR]]-IMSS[[#This Row],[ISR CARGO]]&gt;0,IMSS[[#This Row],[SUBS ISR]]-IMSS[[#This Row],[ISR CARGO]],0)</f>
        <v>0</v>
      </c>
    </row>
    <row r="408" spans="3:40" ht="15" hidden="1" customHeight="1" x14ac:dyDescent="0.25">
      <c r="C408" s="243">
        <v>452</v>
      </c>
      <c r="D408" s="167" t="str">
        <f>VLOOKUP(IMSS[[#This Row],[NEM]],BDD[],2,0)</f>
        <v>Lucia Granados Cortez</v>
      </c>
      <c r="E408" s="167" t="str">
        <f>VLOOKUP(IMSS[[#This Row],[NEM]],BDD[],9,0)</f>
        <v>INVERS</v>
      </c>
      <c r="F408" s="168">
        <v>30</v>
      </c>
      <c r="G408" s="139">
        <f>VLOOKUP(IMSS[[#This Row],[NEM]],BDD[],3,0)</f>
        <v>9541</v>
      </c>
      <c r="H408" s="139">
        <f ca="1">VLOOKUP(IMSS[[#This Row],[NEM]],BDD[],25,0)</f>
        <v>350.27232876712327</v>
      </c>
      <c r="I408" s="143">
        <f>VLOOKUP(IMSS[[#This Row],[DEPT]],$B$3:$G$49,6,0)</f>
        <v>5.4355000000000002E-3</v>
      </c>
      <c r="J408" s="163">
        <f ca="1">IMSS[[#This Row],[DIAS LAB]]*IMSS[[#This Row],[SDI]]*IMSS[[#This Row],[% RSG]]*$Q$108</f>
        <v>57.117157290410958</v>
      </c>
      <c r="K408" s="163">
        <f>IMSS[[#This Row],[DIAS LAB]]*$J$110*$Q$109</f>
        <v>548.47440000000006</v>
      </c>
      <c r="L408" s="166">
        <f ca="1">IMSS[[#This Row],[DIAS LAB]]*IF(IMSS[[#This Row],[SDI]]-$J$113&gt;0,IMSS[[#This Row],[SDI]]-$J$113,0)*$Q$110</f>
        <v>26.866068493150674</v>
      </c>
      <c r="M408" s="166">
        <f ca="1">IMSS[[#This Row],[DIAS LAB]]*IMSS[[#This Row],[SDI]]*$Q$111</f>
        <v>110.33578356164384</v>
      </c>
      <c r="N408" s="163">
        <f ca="1">IMSS[[#This Row],[DIAS LAB]]*IMSS[[#This Row],[SDI]]*$Q$112</f>
        <v>73.557189041095882</v>
      </c>
      <c r="O408" s="166">
        <f ca="1">IMSS[[#This Row],[DIAS LAB]]*IMSS[[#This Row],[SDI]]*$Q$113</f>
        <v>183.89297260273972</v>
      </c>
      <c r="P408" s="163">
        <f ca="1">IMSS[[#This Row],[DIAS LAB]]*IMSS[[#This Row],[SDI]]*$Q$114</f>
        <v>105.08169863013698</v>
      </c>
      <c r="Q408" s="166">
        <f ca="1">IMSS[[#This Row],[DIAS LAB]]*IMSS[[#This Row],[SDI]]*$Q$115</f>
        <v>210.16339726027397</v>
      </c>
      <c r="R408" s="163">
        <f ca="1">IMSS[[#This Row],[DIAS LAB]]*IMSS[[#This Row],[SDI]]*$Q$116</f>
        <v>331.00735068493151</v>
      </c>
      <c r="S408" s="163">
        <f ca="1">IMSS[[#This Row],[DIAS LAB]]*IMSS[[#This Row],[SDI]]*$Q$117</f>
        <v>525.40849315068488</v>
      </c>
      <c r="T408" s="164">
        <f ca="1">SUM(IMSS[[#This Row],[P RSG TRB]:[P INFONAVIT]])</f>
        <v>2171.9045107150687</v>
      </c>
      <c r="U408" s="163">
        <f ca="1">IMSS[[#This Row],[DIAS LAB]]*IMSS[[#This Row],[SDI]]*IMSS[[#This Row],[% RSG]]*$R$108</f>
        <v>0</v>
      </c>
      <c r="V408" s="163">
        <f ca="1">IMSS[[#This Row],[DIAS LAB]]*IMSS[[#This Row],[SDI]]*$R$112</f>
        <v>26.270424657534246</v>
      </c>
      <c r="W408" s="163"/>
      <c r="X408" s="163">
        <f ca="1">IMSS[[#This Row],[DIAS LAB]]*IMSS[[#This Row],[SDI]]*$R$113</f>
        <v>66.201470136986302</v>
      </c>
      <c r="Y408" s="163">
        <f ca="1">IMSS[[#This Row],[DIAS LAB]]*IMSS[[#This Row],[SDI]]*$R$114</f>
        <v>0</v>
      </c>
      <c r="Z408" s="163">
        <f ca="1">IMSS[[#This Row],[DIAS LAB]]*IMSS[[#This Row],[SDI]]*$R$115</f>
        <v>0</v>
      </c>
      <c r="AA408" s="163">
        <f ca="1">IMSS[[#This Row],[DIAS LAB]]*IMSS[[#This Row],[SDI]]*$R$116</f>
        <v>118.74231945205479</v>
      </c>
      <c r="AB408" s="163">
        <f ca="1">IMSS[[#This Row],[DIAS LAB]]*IMSS[[#This Row],[SDI]]*$R$117</f>
        <v>0</v>
      </c>
      <c r="AC408" s="247">
        <f ca="1">SUM(IMSS[[#This Row],[O RSG TRB]:[O INFONAVIT]])</f>
        <v>211.21421424657535</v>
      </c>
      <c r="AD408" s="163"/>
      <c r="AE408" s="165">
        <f ca="1">IMSS[[#This Row],[P TOTAL]]+IMSS[[#This Row],[O TOTAL]]</f>
        <v>2383.1187249616441</v>
      </c>
      <c r="AF408" s="163"/>
      <c r="AG408" s="163">
        <f>VLOOKUP(IMSS[[#This Row],[SUE MENS]],$AG$110:$AJ$120,1,1)</f>
        <v>5470.93</v>
      </c>
      <c r="AH408" s="163">
        <f>IMSS[[#This Row],[SUE MENS]]-IMSS[[#This Row],[LIM INF]]</f>
        <v>4070.0699999999997</v>
      </c>
      <c r="AI408" s="163">
        <f>IMSS[[#This Row],[EXC LIM INF]]*(VLOOKUP(IMSS[[#This Row],[LIM INF]],$AG$110:$AJ$120,4,0))</f>
        <v>442.82361600000002</v>
      </c>
      <c r="AJ408" s="163">
        <f>VLOOKUP(IMSS[[#This Row],[LIM INF]],$AG$110:$AJ$120,3)</f>
        <v>321.26</v>
      </c>
      <c r="AK408" s="163">
        <f>SUM(IMSS[[#This Row],[TASA EXC]]+IMSS[[#This Row],[CUOTA FIJA]])</f>
        <v>764.08361600000001</v>
      </c>
      <c r="AL408" s="163">
        <f>VLOOKUP(IMSS[[#This Row],[SUE MENS]],$AL$110:$AN$120,3,1)</f>
        <v>0</v>
      </c>
      <c r="AM408" s="248">
        <f>IF(IMSS[[#This Row],[ISR CARGO]]-IMSS[[#This Row],[SUBS ISR]]&gt;0,IMSS[[#This Row],[ISR CARGO]]-IMSS[[#This Row],[SUBS ISR]],0)</f>
        <v>764.08361600000001</v>
      </c>
      <c r="AN408" s="248">
        <f>IF(IMSS[[#This Row],[SUBS ISR]]-IMSS[[#This Row],[ISR CARGO]]&gt;0,IMSS[[#This Row],[SUBS ISR]]-IMSS[[#This Row],[ISR CARGO]],0)</f>
        <v>0</v>
      </c>
    </row>
    <row r="409" spans="3:40" ht="15" hidden="1" customHeight="1" x14ac:dyDescent="0.25">
      <c r="C409" s="243">
        <v>455</v>
      </c>
      <c r="D409" s="167" t="str">
        <f>VLOOKUP(IMSS[[#This Row],[NEM]],BDD[],2,0)</f>
        <v>Marbella Reyes Santiago</v>
      </c>
      <c r="E409" s="167" t="str">
        <f>VLOOKUP(IMSS[[#This Row],[NEM]],BDD[],9,0)</f>
        <v>INST CAMPO</v>
      </c>
      <c r="F409" s="168">
        <v>30</v>
      </c>
      <c r="G409" s="139">
        <f>VLOOKUP(IMSS[[#This Row],[NEM]],BDD[],3,0)</f>
        <v>7445</v>
      </c>
      <c r="H409" s="139">
        <f ca="1">VLOOKUP(IMSS[[#This Row],[NEM]],BDD[],25,0)</f>
        <v>273.32328767123283</v>
      </c>
      <c r="I409" s="143">
        <f>VLOOKUP(IMSS[[#This Row],[DEPT]],$B$3:$G$49,6,0)</f>
        <v>4.6532499999999997E-2</v>
      </c>
      <c r="J409" s="163">
        <f ca="1">IMSS[[#This Row],[DIAS LAB]]*IMSS[[#This Row],[SDI]]*IMSS[[#This Row],[% RSG]]*$Q$108</f>
        <v>381.55247650684925</v>
      </c>
      <c r="K409" s="163">
        <f>IMSS[[#This Row],[DIAS LAB]]*$J$110*$Q$109</f>
        <v>548.47440000000006</v>
      </c>
      <c r="L409" s="166">
        <f ca="1">IMSS[[#This Row],[DIAS LAB]]*IF(IMSS[[#This Row],[SDI]]-$J$113&gt;0,IMSS[[#This Row],[SDI]]-$J$113,0)*$Q$110</f>
        <v>1.4728849315068304</v>
      </c>
      <c r="M409" s="166">
        <f ca="1">IMSS[[#This Row],[DIAS LAB]]*IMSS[[#This Row],[SDI]]*$Q$111</f>
        <v>86.096835616438355</v>
      </c>
      <c r="N409" s="163">
        <f ca="1">IMSS[[#This Row],[DIAS LAB]]*IMSS[[#This Row],[SDI]]*$Q$112</f>
        <v>57.397890410958901</v>
      </c>
      <c r="O409" s="166">
        <f ca="1">IMSS[[#This Row],[DIAS LAB]]*IMSS[[#This Row],[SDI]]*$Q$113</f>
        <v>143.49472602739726</v>
      </c>
      <c r="P409" s="163">
        <f ca="1">IMSS[[#This Row],[DIAS LAB]]*IMSS[[#This Row],[SDI]]*$Q$114</f>
        <v>81.996986301369859</v>
      </c>
      <c r="Q409" s="166">
        <f ca="1">IMSS[[#This Row],[DIAS LAB]]*IMSS[[#This Row],[SDI]]*$Q$115</f>
        <v>163.99397260273972</v>
      </c>
      <c r="R409" s="163">
        <f ca="1">IMSS[[#This Row],[DIAS LAB]]*IMSS[[#This Row],[SDI]]*$Q$116</f>
        <v>258.29050684931502</v>
      </c>
      <c r="S409" s="163">
        <f ca="1">IMSS[[#This Row],[DIAS LAB]]*IMSS[[#This Row],[SDI]]*$Q$117</f>
        <v>409.98493150684931</v>
      </c>
      <c r="T409" s="164">
        <f ca="1">SUM(IMSS[[#This Row],[P RSG TRB]:[P INFONAVIT]])</f>
        <v>2132.7556107534247</v>
      </c>
      <c r="U409" s="163">
        <f ca="1">IMSS[[#This Row],[DIAS LAB]]*IMSS[[#This Row],[SDI]]*IMSS[[#This Row],[% RSG]]*$R$108</f>
        <v>0</v>
      </c>
      <c r="V409" s="163">
        <f ca="1">IMSS[[#This Row],[DIAS LAB]]*IMSS[[#This Row],[SDI]]*$R$112</f>
        <v>20.499246575342465</v>
      </c>
      <c r="W409" s="163"/>
      <c r="X409" s="163">
        <f ca="1">IMSS[[#This Row],[DIAS LAB]]*IMSS[[#This Row],[SDI]]*$R$113</f>
        <v>51.658101369863004</v>
      </c>
      <c r="Y409" s="163">
        <f ca="1">IMSS[[#This Row],[DIAS LAB]]*IMSS[[#This Row],[SDI]]*$R$114</f>
        <v>0</v>
      </c>
      <c r="Z409" s="163">
        <f ca="1">IMSS[[#This Row],[DIAS LAB]]*IMSS[[#This Row],[SDI]]*$R$115</f>
        <v>0</v>
      </c>
      <c r="AA409" s="163">
        <f ca="1">IMSS[[#This Row],[DIAS LAB]]*IMSS[[#This Row],[SDI]]*$R$116</f>
        <v>92.656594520547927</v>
      </c>
      <c r="AB409" s="163">
        <f ca="1">IMSS[[#This Row],[DIAS LAB]]*IMSS[[#This Row],[SDI]]*$R$117</f>
        <v>0</v>
      </c>
      <c r="AC409" s="247">
        <f ca="1">SUM(IMSS[[#This Row],[O RSG TRB]:[O INFONAVIT]])</f>
        <v>164.8139424657534</v>
      </c>
      <c r="AD409" s="163"/>
      <c r="AE409" s="165">
        <f ca="1">IMSS[[#This Row],[P TOTAL]]+IMSS[[#This Row],[O TOTAL]]</f>
        <v>2297.569553219178</v>
      </c>
      <c r="AF409" s="163"/>
      <c r="AG409" s="163">
        <f>VLOOKUP(IMSS[[#This Row],[SUE MENS]],$AG$110:$AJ$120,1,1)</f>
        <v>5470.93</v>
      </c>
      <c r="AH409" s="163">
        <f>IMSS[[#This Row],[SUE MENS]]-IMSS[[#This Row],[LIM INF]]</f>
        <v>1974.0699999999997</v>
      </c>
      <c r="AI409" s="163">
        <f>IMSS[[#This Row],[EXC LIM INF]]*(VLOOKUP(IMSS[[#This Row],[LIM INF]],$AG$110:$AJ$120,4,0))</f>
        <v>214.77881599999998</v>
      </c>
      <c r="AJ409" s="163">
        <f>VLOOKUP(IMSS[[#This Row],[LIM INF]],$AG$110:$AJ$120,3)</f>
        <v>321.26</v>
      </c>
      <c r="AK409" s="163">
        <f>SUM(IMSS[[#This Row],[TASA EXC]]+IMSS[[#This Row],[CUOTA FIJA]])</f>
        <v>536.038816</v>
      </c>
      <c r="AL409" s="163">
        <f>VLOOKUP(IMSS[[#This Row],[SUE MENS]],$AL$110:$AN$120,3,1)</f>
        <v>0</v>
      </c>
      <c r="AM409" s="248">
        <f>IF(IMSS[[#This Row],[ISR CARGO]]-IMSS[[#This Row],[SUBS ISR]]&gt;0,IMSS[[#This Row],[ISR CARGO]]-IMSS[[#This Row],[SUBS ISR]],0)</f>
        <v>536.038816</v>
      </c>
      <c r="AN409" s="248">
        <f>IF(IMSS[[#This Row],[SUBS ISR]]-IMSS[[#This Row],[ISR CARGO]]&gt;0,IMSS[[#This Row],[SUBS ISR]]-IMSS[[#This Row],[ISR CARGO]],0)</f>
        <v>0</v>
      </c>
    </row>
    <row r="410" spans="3:40" ht="15" hidden="1" customHeight="1" x14ac:dyDescent="0.25">
      <c r="C410" s="243">
        <v>456</v>
      </c>
      <c r="D410" s="167" t="str">
        <f>VLOOKUP(IMSS[[#This Row],[NEM]],BDD[],2,0)</f>
        <v>Ana Laura Orbe García</v>
      </c>
      <c r="E410" s="167" t="str">
        <f>VLOOKUP(IMSS[[#This Row],[NEM]],BDD[],9,0)</f>
        <v>EXTERNOS</v>
      </c>
      <c r="F410" s="168">
        <v>30</v>
      </c>
      <c r="G410" s="139">
        <f>VLOOKUP(IMSS[[#This Row],[NEM]],BDD[],3,0)</f>
        <v>9541</v>
      </c>
      <c r="H410" s="139">
        <f ca="1">VLOOKUP(IMSS[[#This Row],[NEM]],BDD[],25,0)</f>
        <v>350.27232876712327</v>
      </c>
      <c r="I410" s="143">
        <f>VLOOKUP(IMSS[[#This Row],[DEPT]],$B$3:$G$49,6,0)</f>
        <v>5.4355000000000002E-3</v>
      </c>
      <c r="J410" s="163">
        <f ca="1">IMSS[[#This Row],[DIAS LAB]]*IMSS[[#This Row],[SDI]]*IMSS[[#This Row],[% RSG]]*$Q$108</f>
        <v>57.117157290410958</v>
      </c>
      <c r="K410" s="163">
        <f>IMSS[[#This Row],[DIAS LAB]]*$J$110*$Q$109</f>
        <v>548.47440000000006</v>
      </c>
      <c r="L410" s="166">
        <f ca="1">IMSS[[#This Row],[DIAS LAB]]*IF(IMSS[[#This Row],[SDI]]-$J$113&gt;0,IMSS[[#This Row],[SDI]]-$J$113,0)*$Q$110</f>
        <v>26.866068493150674</v>
      </c>
      <c r="M410" s="166">
        <f ca="1">IMSS[[#This Row],[DIAS LAB]]*IMSS[[#This Row],[SDI]]*$Q$111</f>
        <v>110.33578356164384</v>
      </c>
      <c r="N410" s="163">
        <f ca="1">IMSS[[#This Row],[DIAS LAB]]*IMSS[[#This Row],[SDI]]*$Q$112</f>
        <v>73.557189041095882</v>
      </c>
      <c r="O410" s="166">
        <f ca="1">IMSS[[#This Row],[DIAS LAB]]*IMSS[[#This Row],[SDI]]*$Q$113</f>
        <v>183.89297260273972</v>
      </c>
      <c r="P410" s="163">
        <f ca="1">IMSS[[#This Row],[DIAS LAB]]*IMSS[[#This Row],[SDI]]*$Q$114</f>
        <v>105.08169863013698</v>
      </c>
      <c r="Q410" s="166">
        <f ca="1">IMSS[[#This Row],[DIAS LAB]]*IMSS[[#This Row],[SDI]]*$Q$115</f>
        <v>210.16339726027397</v>
      </c>
      <c r="R410" s="163">
        <f ca="1">IMSS[[#This Row],[DIAS LAB]]*IMSS[[#This Row],[SDI]]*$Q$116</f>
        <v>331.00735068493151</v>
      </c>
      <c r="S410" s="163">
        <f ca="1">IMSS[[#This Row],[DIAS LAB]]*IMSS[[#This Row],[SDI]]*$Q$117</f>
        <v>525.40849315068488</v>
      </c>
      <c r="T410" s="164">
        <f ca="1">SUM(IMSS[[#This Row],[P RSG TRB]:[P INFONAVIT]])</f>
        <v>2171.9045107150687</v>
      </c>
      <c r="U410" s="163">
        <f ca="1">IMSS[[#This Row],[DIAS LAB]]*IMSS[[#This Row],[SDI]]*IMSS[[#This Row],[% RSG]]*$R$108</f>
        <v>0</v>
      </c>
      <c r="V410" s="163">
        <f ca="1">IMSS[[#This Row],[DIAS LAB]]*IMSS[[#This Row],[SDI]]*$R$112</f>
        <v>26.270424657534246</v>
      </c>
      <c r="W410" s="163"/>
      <c r="X410" s="163">
        <f ca="1">IMSS[[#This Row],[DIAS LAB]]*IMSS[[#This Row],[SDI]]*$R$113</f>
        <v>66.201470136986302</v>
      </c>
      <c r="Y410" s="163">
        <f ca="1">IMSS[[#This Row],[DIAS LAB]]*IMSS[[#This Row],[SDI]]*$R$114</f>
        <v>0</v>
      </c>
      <c r="Z410" s="163">
        <f ca="1">IMSS[[#This Row],[DIAS LAB]]*IMSS[[#This Row],[SDI]]*$R$115</f>
        <v>0</v>
      </c>
      <c r="AA410" s="163">
        <f ca="1">IMSS[[#This Row],[DIAS LAB]]*IMSS[[#This Row],[SDI]]*$R$116</f>
        <v>118.74231945205479</v>
      </c>
      <c r="AB410" s="163">
        <f ca="1">IMSS[[#This Row],[DIAS LAB]]*IMSS[[#This Row],[SDI]]*$R$117</f>
        <v>0</v>
      </c>
      <c r="AC410" s="247">
        <f ca="1">SUM(IMSS[[#This Row],[O RSG TRB]:[O INFONAVIT]])</f>
        <v>211.21421424657535</v>
      </c>
      <c r="AD410" s="163"/>
      <c r="AE410" s="165">
        <f ca="1">IMSS[[#This Row],[P TOTAL]]+IMSS[[#This Row],[O TOTAL]]</f>
        <v>2383.1187249616441</v>
      </c>
      <c r="AF410" s="163"/>
      <c r="AG410" s="163">
        <f>VLOOKUP(IMSS[[#This Row],[SUE MENS]],$AG$110:$AJ$120,1,1)</f>
        <v>5470.93</v>
      </c>
      <c r="AH410" s="163">
        <f>IMSS[[#This Row],[SUE MENS]]-IMSS[[#This Row],[LIM INF]]</f>
        <v>4070.0699999999997</v>
      </c>
      <c r="AI410" s="163">
        <f>IMSS[[#This Row],[EXC LIM INF]]*(VLOOKUP(IMSS[[#This Row],[LIM INF]],$AG$110:$AJ$120,4,0))</f>
        <v>442.82361600000002</v>
      </c>
      <c r="AJ410" s="163">
        <f>VLOOKUP(IMSS[[#This Row],[LIM INF]],$AG$110:$AJ$120,3)</f>
        <v>321.26</v>
      </c>
      <c r="AK410" s="163">
        <f>SUM(IMSS[[#This Row],[TASA EXC]]+IMSS[[#This Row],[CUOTA FIJA]])</f>
        <v>764.08361600000001</v>
      </c>
      <c r="AL410" s="163">
        <f>VLOOKUP(IMSS[[#This Row],[SUE MENS]],$AL$110:$AN$120,3,1)</f>
        <v>0</v>
      </c>
      <c r="AM410" s="248">
        <f>IF(IMSS[[#This Row],[ISR CARGO]]-IMSS[[#This Row],[SUBS ISR]]&gt;0,IMSS[[#This Row],[ISR CARGO]]-IMSS[[#This Row],[SUBS ISR]],0)</f>
        <v>764.08361600000001</v>
      </c>
      <c r="AN410" s="248">
        <f>IF(IMSS[[#This Row],[SUBS ISR]]-IMSS[[#This Row],[ISR CARGO]]&gt;0,IMSS[[#This Row],[SUBS ISR]]-IMSS[[#This Row],[ISR CARGO]],0)</f>
        <v>0</v>
      </c>
    </row>
    <row r="411" spans="3:40" ht="15" hidden="1" customHeight="1" x14ac:dyDescent="0.25">
      <c r="C411" s="243">
        <v>458</v>
      </c>
      <c r="D411" s="167" t="str">
        <f>VLOOKUP(IMSS[[#This Row],[NEM]],BDD[],2,0)</f>
        <v>Ma Esperanza García Gutierrez</v>
      </c>
      <c r="E411" s="167" t="str">
        <f>VLOOKUP(IMSS[[#This Row],[NEM]],BDD[],9,0)</f>
        <v>ESTRUCTURA</v>
      </c>
      <c r="F411" s="168">
        <v>30</v>
      </c>
      <c r="G411" s="139">
        <f>VLOOKUP(IMSS[[#This Row],[NEM]],BDD[],3,0)</f>
        <v>9541</v>
      </c>
      <c r="H411" s="139">
        <f ca="1">VLOOKUP(IMSS[[#This Row],[NEM]],BDD[],25,0)</f>
        <v>350.27232876712327</v>
      </c>
      <c r="I411" s="143">
        <f>VLOOKUP(IMSS[[#This Row],[DEPT]],$B$3:$G$49,6,0)</f>
        <v>2.5984400000000001E-2</v>
      </c>
      <c r="J411" s="163">
        <f ca="1">IMSS[[#This Row],[DIAS LAB]]*IMSS[[#This Row],[SDI]]*IMSS[[#This Row],[% RSG]]*$Q$108</f>
        <v>273.04848898849315</v>
      </c>
      <c r="K411" s="163">
        <f>IMSS[[#This Row],[DIAS LAB]]*$J$110*$Q$109</f>
        <v>548.47440000000006</v>
      </c>
      <c r="L411" s="166">
        <f ca="1">IMSS[[#This Row],[DIAS LAB]]*IF(IMSS[[#This Row],[SDI]]-$J$113&gt;0,IMSS[[#This Row],[SDI]]-$J$113,0)*$Q$110</f>
        <v>26.866068493150674</v>
      </c>
      <c r="M411" s="166">
        <f ca="1">IMSS[[#This Row],[DIAS LAB]]*IMSS[[#This Row],[SDI]]*$Q$111</f>
        <v>110.33578356164384</v>
      </c>
      <c r="N411" s="163">
        <f ca="1">IMSS[[#This Row],[DIAS LAB]]*IMSS[[#This Row],[SDI]]*$Q$112</f>
        <v>73.557189041095882</v>
      </c>
      <c r="O411" s="166">
        <f ca="1">IMSS[[#This Row],[DIAS LAB]]*IMSS[[#This Row],[SDI]]*$Q$113</f>
        <v>183.89297260273972</v>
      </c>
      <c r="P411" s="163">
        <f ca="1">IMSS[[#This Row],[DIAS LAB]]*IMSS[[#This Row],[SDI]]*$Q$114</f>
        <v>105.08169863013698</v>
      </c>
      <c r="Q411" s="166">
        <f ca="1">IMSS[[#This Row],[DIAS LAB]]*IMSS[[#This Row],[SDI]]*$Q$115</f>
        <v>210.16339726027397</v>
      </c>
      <c r="R411" s="163">
        <f ca="1">IMSS[[#This Row],[DIAS LAB]]*IMSS[[#This Row],[SDI]]*$Q$116</f>
        <v>331.00735068493151</v>
      </c>
      <c r="S411" s="163">
        <f ca="1">IMSS[[#This Row],[DIAS LAB]]*IMSS[[#This Row],[SDI]]*$Q$117</f>
        <v>525.40849315068488</v>
      </c>
      <c r="T411" s="164">
        <f ca="1">SUM(IMSS[[#This Row],[P RSG TRB]:[P INFONAVIT]])</f>
        <v>2387.8358424131507</v>
      </c>
      <c r="U411" s="163">
        <f ca="1">IMSS[[#This Row],[DIAS LAB]]*IMSS[[#This Row],[SDI]]*IMSS[[#This Row],[% RSG]]*$R$108</f>
        <v>0</v>
      </c>
      <c r="V411" s="163">
        <f ca="1">IMSS[[#This Row],[DIAS LAB]]*IMSS[[#This Row],[SDI]]*$R$112</f>
        <v>26.270424657534246</v>
      </c>
      <c r="W411" s="163"/>
      <c r="X411" s="163">
        <f ca="1">IMSS[[#This Row],[DIAS LAB]]*IMSS[[#This Row],[SDI]]*$R$113</f>
        <v>66.201470136986302</v>
      </c>
      <c r="Y411" s="163">
        <f ca="1">IMSS[[#This Row],[DIAS LAB]]*IMSS[[#This Row],[SDI]]*$R$114</f>
        <v>0</v>
      </c>
      <c r="Z411" s="163">
        <f ca="1">IMSS[[#This Row],[DIAS LAB]]*IMSS[[#This Row],[SDI]]*$R$115</f>
        <v>0</v>
      </c>
      <c r="AA411" s="163">
        <f ca="1">IMSS[[#This Row],[DIAS LAB]]*IMSS[[#This Row],[SDI]]*$R$116</f>
        <v>118.74231945205479</v>
      </c>
      <c r="AB411" s="163">
        <f ca="1">IMSS[[#This Row],[DIAS LAB]]*IMSS[[#This Row],[SDI]]*$R$117</f>
        <v>0</v>
      </c>
      <c r="AC411" s="247">
        <f ca="1">SUM(IMSS[[#This Row],[O RSG TRB]:[O INFONAVIT]])</f>
        <v>211.21421424657535</v>
      </c>
      <c r="AD411" s="163"/>
      <c r="AE411" s="165">
        <f ca="1">IMSS[[#This Row],[P TOTAL]]+IMSS[[#This Row],[O TOTAL]]</f>
        <v>2599.0500566597261</v>
      </c>
      <c r="AF411" s="163"/>
      <c r="AG411" s="163">
        <f>VLOOKUP(IMSS[[#This Row],[SUE MENS]],$AG$110:$AJ$120,1,1)</f>
        <v>5470.93</v>
      </c>
      <c r="AH411" s="163">
        <f>IMSS[[#This Row],[SUE MENS]]-IMSS[[#This Row],[LIM INF]]</f>
        <v>4070.0699999999997</v>
      </c>
      <c r="AI411" s="163">
        <f>IMSS[[#This Row],[EXC LIM INF]]*(VLOOKUP(IMSS[[#This Row],[LIM INF]],$AG$110:$AJ$120,4,0))</f>
        <v>442.82361600000002</v>
      </c>
      <c r="AJ411" s="163">
        <f>VLOOKUP(IMSS[[#This Row],[LIM INF]],$AG$110:$AJ$120,3)</f>
        <v>321.26</v>
      </c>
      <c r="AK411" s="163">
        <f>SUM(IMSS[[#This Row],[TASA EXC]]+IMSS[[#This Row],[CUOTA FIJA]])</f>
        <v>764.08361600000001</v>
      </c>
      <c r="AL411" s="163">
        <f>VLOOKUP(IMSS[[#This Row],[SUE MENS]],$AL$110:$AN$120,3,1)</f>
        <v>0</v>
      </c>
      <c r="AM411" s="248">
        <f>IF(IMSS[[#This Row],[ISR CARGO]]-IMSS[[#This Row],[SUBS ISR]]&gt;0,IMSS[[#This Row],[ISR CARGO]]-IMSS[[#This Row],[SUBS ISR]],0)</f>
        <v>764.08361600000001</v>
      </c>
      <c r="AN411" s="248">
        <f>IF(IMSS[[#This Row],[SUBS ISR]]-IMSS[[#This Row],[ISR CARGO]]&gt;0,IMSS[[#This Row],[SUBS ISR]]-IMSS[[#This Row],[ISR CARGO]],0)</f>
        <v>0</v>
      </c>
    </row>
    <row r="412" spans="3:40" ht="15" hidden="1" customHeight="1" x14ac:dyDescent="0.25">
      <c r="C412" s="243">
        <v>460</v>
      </c>
      <c r="D412" s="167" t="str">
        <f>VLOOKUP(IMSS[[#This Row],[NEM]],BDD[],2,0)</f>
        <v>Marían Aurora Martínez López</v>
      </c>
      <c r="E412" s="167" t="str">
        <f>VLOOKUP(IMSS[[#This Row],[NEM]],BDD[],9,0)</f>
        <v>ARQUITECT</v>
      </c>
      <c r="F412" s="168">
        <v>30</v>
      </c>
      <c r="G412" s="139">
        <f>VLOOKUP(IMSS[[#This Row],[NEM]],BDD[],3,0)</f>
        <v>9450</v>
      </c>
      <c r="H412" s="139">
        <f ca="1">VLOOKUP(IMSS[[#This Row],[NEM]],BDD[],25,0)</f>
        <v>346.93150684931504</v>
      </c>
      <c r="I412" s="143">
        <f>VLOOKUP(IMSS[[#This Row],[DEPT]],$B$3:$G$49,6,0)</f>
        <v>2.5984400000000001E-2</v>
      </c>
      <c r="J412" s="163">
        <f ca="1">IMSS[[#This Row],[DIAS LAB]]*IMSS[[#This Row],[SDI]]*IMSS[[#This Row],[% RSG]]*$Q$108</f>
        <v>270.44421139726023</v>
      </c>
      <c r="K412" s="163">
        <f>IMSS[[#This Row],[DIAS LAB]]*$J$110*$Q$109</f>
        <v>548.47440000000006</v>
      </c>
      <c r="L412" s="166">
        <f ca="1">IMSS[[#This Row],[DIAS LAB]]*IF(IMSS[[#This Row],[SDI]]-$J$113&gt;0,IMSS[[#This Row],[SDI]]-$J$113,0)*$Q$110</f>
        <v>25.763597260273958</v>
      </c>
      <c r="M412" s="166">
        <f ca="1">IMSS[[#This Row],[DIAS LAB]]*IMSS[[#This Row],[SDI]]*$Q$111</f>
        <v>109.28342465753424</v>
      </c>
      <c r="N412" s="163">
        <f ca="1">IMSS[[#This Row],[DIAS LAB]]*IMSS[[#This Row],[SDI]]*$Q$112</f>
        <v>72.855616438356165</v>
      </c>
      <c r="O412" s="166">
        <f ca="1">IMSS[[#This Row],[DIAS LAB]]*IMSS[[#This Row],[SDI]]*$Q$113</f>
        <v>182.13904109589041</v>
      </c>
      <c r="P412" s="163">
        <f ca="1">IMSS[[#This Row],[DIAS LAB]]*IMSS[[#This Row],[SDI]]*$Q$114</f>
        <v>104.07945205479452</v>
      </c>
      <c r="Q412" s="166">
        <f ca="1">IMSS[[#This Row],[DIAS LAB]]*IMSS[[#This Row],[SDI]]*$Q$115</f>
        <v>208.15890410958903</v>
      </c>
      <c r="R412" s="163">
        <f ca="1">IMSS[[#This Row],[DIAS LAB]]*IMSS[[#This Row],[SDI]]*$Q$116</f>
        <v>327.85027397260274</v>
      </c>
      <c r="S412" s="163">
        <f ca="1">IMSS[[#This Row],[DIAS LAB]]*IMSS[[#This Row],[SDI]]*$Q$117</f>
        <v>520.39726027397262</v>
      </c>
      <c r="T412" s="164">
        <f ca="1">SUM(IMSS[[#This Row],[P RSG TRB]:[P INFONAVIT]])</f>
        <v>2369.446181260274</v>
      </c>
      <c r="U412" s="163">
        <f ca="1">IMSS[[#This Row],[DIAS LAB]]*IMSS[[#This Row],[SDI]]*IMSS[[#This Row],[% RSG]]*$R$108</f>
        <v>0</v>
      </c>
      <c r="V412" s="163">
        <f ca="1">IMSS[[#This Row],[DIAS LAB]]*IMSS[[#This Row],[SDI]]*$R$112</f>
        <v>26.019863013698629</v>
      </c>
      <c r="W412" s="163"/>
      <c r="X412" s="163">
        <f ca="1">IMSS[[#This Row],[DIAS LAB]]*IMSS[[#This Row],[SDI]]*$R$113</f>
        <v>65.570054794520544</v>
      </c>
      <c r="Y412" s="163">
        <f ca="1">IMSS[[#This Row],[DIAS LAB]]*IMSS[[#This Row],[SDI]]*$R$114</f>
        <v>0</v>
      </c>
      <c r="Z412" s="163">
        <f ca="1">IMSS[[#This Row],[DIAS LAB]]*IMSS[[#This Row],[SDI]]*$R$115</f>
        <v>0</v>
      </c>
      <c r="AA412" s="163">
        <f ca="1">IMSS[[#This Row],[DIAS LAB]]*IMSS[[#This Row],[SDI]]*$R$116</f>
        <v>117.60978082191779</v>
      </c>
      <c r="AB412" s="163">
        <f ca="1">IMSS[[#This Row],[DIAS LAB]]*IMSS[[#This Row],[SDI]]*$R$117</f>
        <v>0</v>
      </c>
      <c r="AC412" s="247">
        <f ca="1">SUM(IMSS[[#This Row],[O RSG TRB]:[O INFONAVIT]])</f>
        <v>209.19969863013696</v>
      </c>
      <c r="AD412" s="163"/>
      <c r="AE412" s="165">
        <f ca="1">IMSS[[#This Row],[P TOTAL]]+IMSS[[#This Row],[O TOTAL]]</f>
        <v>2578.6458798904109</v>
      </c>
      <c r="AF412" s="163"/>
      <c r="AG412" s="163">
        <f>VLOOKUP(IMSS[[#This Row],[SUE MENS]],$AG$110:$AJ$120,1,1)</f>
        <v>5470.93</v>
      </c>
      <c r="AH412" s="163">
        <f>IMSS[[#This Row],[SUE MENS]]-IMSS[[#This Row],[LIM INF]]</f>
        <v>3979.0699999999997</v>
      </c>
      <c r="AI412" s="163">
        <f>IMSS[[#This Row],[EXC LIM INF]]*(VLOOKUP(IMSS[[#This Row],[LIM INF]],$AG$110:$AJ$120,4,0))</f>
        <v>432.92281600000001</v>
      </c>
      <c r="AJ412" s="163">
        <f>VLOOKUP(IMSS[[#This Row],[LIM INF]],$AG$110:$AJ$120,3)</f>
        <v>321.26</v>
      </c>
      <c r="AK412" s="163">
        <f>SUM(IMSS[[#This Row],[TASA EXC]]+IMSS[[#This Row],[CUOTA FIJA]])</f>
        <v>754.182816</v>
      </c>
      <c r="AL412" s="163">
        <f>VLOOKUP(IMSS[[#This Row],[SUE MENS]],$AL$110:$AN$120,3,1)</f>
        <v>0</v>
      </c>
      <c r="AM412" s="248">
        <f>IF(IMSS[[#This Row],[ISR CARGO]]-IMSS[[#This Row],[SUBS ISR]]&gt;0,IMSS[[#This Row],[ISR CARGO]]-IMSS[[#This Row],[SUBS ISR]],0)</f>
        <v>754.182816</v>
      </c>
      <c r="AN412" s="248">
        <f>IF(IMSS[[#This Row],[SUBS ISR]]-IMSS[[#This Row],[ISR CARGO]]&gt;0,IMSS[[#This Row],[SUBS ISR]]-IMSS[[#This Row],[ISR CARGO]],0)</f>
        <v>0</v>
      </c>
    </row>
    <row r="413" spans="3:40" ht="15" hidden="1" customHeight="1" x14ac:dyDescent="0.25">
      <c r="C413" s="243">
        <v>461</v>
      </c>
      <c r="D413" s="167" t="str">
        <f>VLOOKUP(IMSS[[#This Row],[NEM]],BDD[],2,0)</f>
        <v>Marina Mijarez Medina</v>
      </c>
      <c r="E413" s="167" t="str">
        <f>VLOOKUP(IMSS[[#This Row],[NEM]],BDD[],9,0)</f>
        <v>RENDER</v>
      </c>
      <c r="F413" s="168">
        <v>30</v>
      </c>
      <c r="G413" s="139">
        <f>VLOOKUP(IMSS[[#This Row],[NEM]],BDD[],3,0)</f>
        <v>9541</v>
      </c>
      <c r="H413" s="139">
        <f ca="1">VLOOKUP(IMSS[[#This Row],[NEM]],BDD[],25,0)</f>
        <v>350.27232876712327</v>
      </c>
      <c r="I413" s="143">
        <f>VLOOKUP(IMSS[[#This Row],[DEPT]],$B$3:$G$49,6,0)</f>
        <v>2.5984400000000001E-2</v>
      </c>
      <c r="J413" s="163">
        <f ca="1">IMSS[[#This Row],[DIAS LAB]]*IMSS[[#This Row],[SDI]]*IMSS[[#This Row],[% RSG]]*$Q$108</f>
        <v>273.04848898849315</v>
      </c>
      <c r="K413" s="163">
        <f>IMSS[[#This Row],[DIAS LAB]]*$J$110*$Q$109</f>
        <v>548.47440000000006</v>
      </c>
      <c r="L413" s="166">
        <f ca="1">IMSS[[#This Row],[DIAS LAB]]*IF(IMSS[[#This Row],[SDI]]-$J$113&gt;0,IMSS[[#This Row],[SDI]]-$J$113,0)*$Q$110</f>
        <v>26.866068493150674</v>
      </c>
      <c r="M413" s="166">
        <f ca="1">IMSS[[#This Row],[DIAS LAB]]*IMSS[[#This Row],[SDI]]*$Q$111</f>
        <v>110.33578356164384</v>
      </c>
      <c r="N413" s="163">
        <f ca="1">IMSS[[#This Row],[DIAS LAB]]*IMSS[[#This Row],[SDI]]*$Q$112</f>
        <v>73.557189041095882</v>
      </c>
      <c r="O413" s="166">
        <f ca="1">IMSS[[#This Row],[DIAS LAB]]*IMSS[[#This Row],[SDI]]*$Q$113</f>
        <v>183.89297260273972</v>
      </c>
      <c r="P413" s="163">
        <f ca="1">IMSS[[#This Row],[DIAS LAB]]*IMSS[[#This Row],[SDI]]*$Q$114</f>
        <v>105.08169863013698</v>
      </c>
      <c r="Q413" s="166">
        <f ca="1">IMSS[[#This Row],[DIAS LAB]]*IMSS[[#This Row],[SDI]]*$Q$115</f>
        <v>210.16339726027397</v>
      </c>
      <c r="R413" s="163">
        <f ca="1">IMSS[[#This Row],[DIAS LAB]]*IMSS[[#This Row],[SDI]]*$Q$116</f>
        <v>331.00735068493151</v>
      </c>
      <c r="S413" s="163">
        <f ca="1">IMSS[[#This Row],[DIAS LAB]]*IMSS[[#This Row],[SDI]]*$Q$117</f>
        <v>525.40849315068488</v>
      </c>
      <c r="T413" s="164">
        <f ca="1">SUM(IMSS[[#This Row],[P RSG TRB]:[P INFONAVIT]])</f>
        <v>2387.8358424131507</v>
      </c>
      <c r="U413" s="163">
        <f ca="1">IMSS[[#This Row],[DIAS LAB]]*IMSS[[#This Row],[SDI]]*IMSS[[#This Row],[% RSG]]*$R$108</f>
        <v>0</v>
      </c>
      <c r="V413" s="163">
        <f ca="1">IMSS[[#This Row],[DIAS LAB]]*IMSS[[#This Row],[SDI]]*$R$112</f>
        <v>26.270424657534246</v>
      </c>
      <c r="W413" s="163"/>
      <c r="X413" s="163">
        <f ca="1">IMSS[[#This Row],[DIAS LAB]]*IMSS[[#This Row],[SDI]]*$R$113</f>
        <v>66.201470136986302</v>
      </c>
      <c r="Y413" s="163">
        <f ca="1">IMSS[[#This Row],[DIAS LAB]]*IMSS[[#This Row],[SDI]]*$R$114</f>
        <v>0</v>
      </c>
      <c r="Z413" s="163">
        <f ca="1">IMSS[[#This Row],[DIAS LAB]]*IMSS[[#This Row],[SDI]]*$R$115</f>
        <v>0</v>
      </c>
      <c r="AA413" s="163">
        <f ca="1">IMSS[[#This Row],[DIAS LAB]]*IMSS[[#This Row],[SDI]]*$R$116</f>
        <v>118.74231945205479</v>
      </c>
      <c r="AB413" s="163">
        <f ca="1">IMSS[[#This Row],[DIAS LAB]]*IMSS[[#This Row],[SDI]]*$R$117</f>
        <v>0</v>
      </c>
      <c r="AC413" s="247">
        <f ca="1">SUM(IMSS[[#This Row],[O RSG TRB]:[O INFONAVIT]])</f>
        <v>211.21421424657535</v>
      </c>
      <c r="AD413" s="163"/>
      <c r="AE413" s="165">
        <f ca="1">IMSS[[#This Row],[P TOTAL]]+IMSS[[#This Row],[O TOTAL]]</f>
        <v>2599.0500566597261</v>
      </c>
      <c r="AF413" s="163"/>
      <c r="AG413" s="163">
        <f>VLOOKUP(IMSS[[#This Row],[SUE MENS]],$AG$110:$AJ$120,1,1)</f>
        <v>5470.93</v>
      </c>
      <c r="AH413" s="163">
        <f>IMSS[[#This Row],[SUE MENS]]-IMSS[[#This Row],[LIM INF]]</f>
        <v>4070.0699999999997</v>
      </c>
      <c r="AI413" s="163">
        <f>IMSS[[#This Row],[EXC LIM INF]]*(VLOOKUP(IMSS[[#This Row],[LIM INF]],$AG$110:$AJ$120,4,0))</f>
        <v>442.82361600000002</v>
      </c>
      <c r="AJ413" s="163">
        <f>VLOOKUP(IMSS[[#This Row],[LIM INF]],$AG$110:$AJ$120,3)</f>
        <v>321.26</v>
      </c>
      <c r="AK413" s="163">
        <f>SUM(IMSS[[#This Row],[TASA EXC]]+IMSS[[#This Row],[CUOTA FIJA]])</f>
        <v>764.08361600000001</v>
      </c>
      <c r="AL413" s="163">
        <f>VLOOKUP(IMSS[[#This Row],[SUE MENS]],$AL$110:$AN$120,3,1)</f>
        <v>0</v>
      </c>
      <c r="AM413" s="248">
        <f>IF(IMSS[[#This Row],[ISR CARGO]]-IMSS[[#This Row],[SUBS ISR]]&gt;0,IMSS[[#This Row],[ISR CARGO]]-IMSS[[#This Row],[SUBS ISR]],0)</f>
        <v>764.08361600000001</v>
      </c>
      <c r="AN413" s="248">
        <f>IF(IMSS[[#This Row],[SUBS ISR]]-IMSS[[#This Row],[ISR CARGO]]&gt;0,IMSS[[#This Row],[SUBS ISR]]-IMSS[[#This Row],[ISR CARGO]],0)</f>
        <v>0</v>
      </c>
    </row>
    <row r="414" spans="3:40" ht="15" hidden="1" customHeight="1" x14ac:dyDescent="0.25">
      <c r="C414" s="243">
        <v>462</v>
      </c>
      <c r="D414" s="167" t="str">
        <f>VLOOKUP(IMSS[[#This Row],[NEM]],BDD[],2,0)</f>
        <v>Yolani Cruz Jacinto</v>
      </c>
      <c r="E414" s="167" t="str">
        <f>VLOOKUP(IMSS[[#This Row],[NEM]],BDD[],9,0)</f>
        <v>ESTRUCTURA</v>
      </c>
      <c r="F414" s="168">
        <v>30</v>
      </c>
      <c r="G414" s="139">
        <f>VLOOKUP(IMSS[[#This Row],[NEM]],BDD[],3,0)</f>
        <v>9450</v>
      </c>
      <c r="H414" s="139">
        <f ca="1">VLOOKUP(IMSS[[#This Row],[NEM]],BDD[],25,0)</f>
        <v>346.93150684931504</v>
      </c>
      <c r="I414" s="143">
        <f>VLOOKUP(IMSS[[#This Row],[DEPT]],$B$3:$G$49,6,0)</f>
        <v>2.5984400000000001E-2</v>
      </c>
      <c r="J414" s="163">
        <f ca="1">IMSS[[#This Row],[DIAS LAB]]*IMSS[[#This Row],[SDI]]*IMSS[[#This Row],[% RSG]]*$Q$108</f>
        <v>270.44421139726023</v>
      </c>
      <c r="K414" s="163">
        <f>IMSS[[#This Row],[DIAS LAB]]*$J$110*$Q$109</f>
        <v>548.47440000000006</v>
      </c>
      <c r="L414" s="166">
        <f ca="1">IMSS[[#This Row],[DIAS LAB]]*IF(IMSS[[#This Row],[SDI]]-$J$113&gt;0,IMSS[[#This Row],[SDI]]-$J$113,0)*$Q$110</f>
        <v>25.763597260273958</v>
      </c>
      <c r="M414" s="166">
        <f ca="1">IMSS[[#This Row],[DIAS LAB]]*IMSS[[#This Row],[SDI]]*$Q$111</f>
        <v>109.28342465753424</v>
      </c>
      <c r="N414" s="163">
        <f ca="1">IMSS[[#This Row],[DIAS LAB]]*IMSS[[#This Row],[SDI]]*$Q$112</f>
        <v>72.855616438356165</v>
      </c>
      <c r="O414" s="166">
        <f ca="1">IMSS[[#This Row],[DIAS LAB]]*IMSS[[#This Row],[SDI]]*$Q$113</f>
        <v>182.13904109589041</v>
      </c>
      <c r="P414" s="163">
        <f ca="1">IMSS[[#This Row],[DIAS LAB]]*IMSS[[#This Row],[SDI]]*$Q$114</f>
        <v>104.07945205479452</v>
      </c>
      <c r="Q414" s="166">
        <f ca="1">IMSS[[#This Row],[DIAS LAB]]*IMSS[[#This Row],[SDI]]*$Q$115</f>
        <v>208.15890410958903</v>
      </c>
      <c r="R414" s="163">
        <f ca="1">IMSS[[#This Row],[DIAS LAB]]*IMSS[[#This Row],[SDI]]*$Q$116</f>
        <v>327.85027397260274</v>
      </c>
      <c r="S414" s="163">
        <f ca="1">IMSS[[#This Row],[DIAS LAB]]*IMSS[[#This Row],[SDI]]*$Q$117</f>
        <v>520.39726027397262</v>
      </c>
      <c r="T414" s="164">
        <f ca="1">SUM(IMSS[[#This Row],[P RSG TRB]:[P INFONAVIT]])</f>
        <v>2369.446181260274</v>
      </c>
      <c r="U414" s="163">
        <f ca="1">IMSS[[#This Row],[DIAS LAB]]*IMSS[[#This Row],[SDI]]*IMSS[[#This Row],[% RSG]]*$R$108</f>
        <v>0</v>
      </c>
      <c r="V414" s="163">
        <f ca="1">IMSS[[#This Row],[DIAS LAB]]*IMSS[[#This Row],[SDI]]*$R$112</f>
        <v>26.019863013698629</v>
      </c>
      <c r="W414" s="163"/>
      <c r="X414" s="163">
        <f ca="1">IMSS[[#This Row],[DIAS LAB]]*IMSS[[#This Row],[SDI]]*$R$113</f>
        <v>65.570054794520544</v>
      </c>
      <c r="Y414" s="163">
        <f ca="1">IMSS[[#This Row],[DIAS LAB]]*IMSS[[#This Row],[SDI]]*$R$114</f>
        <v>0</v>
      </c>
      <c r="Z414" s="163">
        <f ca="1">IMSS[[#This Row],[DIAS LAB]]*IMSS[[#This Row],[SDI]]*$R$115</f>
        <v>0</v>
      </c>
      <c r="AA414" s="163">
        <f ca="1">IMSS[[#This Row],[DIAS LAB]]*IMSS[[#This Row],[SDI]]*$R$116</f>
        <v>117.60978082191779</v>
      </c>
      <c r="AB414" s="163">
        <f ca="1">IMSS[[#This Row],[DIAS LAB]]*IMSS[[#This Row],[SDI]]*$R$117</f>
        <v>0</v>
      </c>
      <c r="AC414" s="247">
        <f ca="1">SUM(IMSS[[#This Row],[O RSG TRB]:[O INFONAVIT]])</f>
        <v>209.19969863013696</v>
      </c>
      <c r="AD414" s="163"/>
      <c r="AE414" s="165">
        <f ca="1">IMSS[[#This Row],[P TOTAL]]+IMSS[[#This Row],[O TOTAL]]</f>
        <v>2578.6458798904109</v>
      </c>
      <c r="AF414" s="163"/>
      <c r="AG414" s="163">
        <f>VLOOKUP(IMSS[[#This Row],[SUE MENS]],$AG$110:$AJ$120,1,1)</f>
        <v>5470.93</v>
      </c>
      <c r="AH414" s="163">
        <f>IMSS[[#This Row],[SUE MENS]]-IMSS[[#This Row],[LIM INF]]</f>
        <v>3979.0699999999997</v>
      </c>
      <c r="AI414" s="163">
        <f>IMSS[[#This Row],[EXC LIM INF]]*(VLOOKUP(IMSS[[#This Row],[LIM INF]],$AG$110:$AJ$120,4,0))</f>
        <v>432.92281600000001</v>
      </c>
      <c r="AJ414" s="163">
        <f>VLOOKUP(IMSS[[#This Row],[LIM INF]],$AG$110:$AJ$120,3)</f>
        <v>321.26</v>
      </c>
      <c r="AK414" s="163">
        <f>SUM(IMSS[[#This Row],[TASA EXC]]+IMSS[[#This Row],[CUOTA FIJA]])</f>
        <v>754.182816</v>
      </c>
      <c r="AL414" s="163">
        <f>VLOOKUP(IMSS[[#This Row],[SUE MENS]],$AL$110:$AN$120,3,1)</f>
        <v>0</v>
      </c>
      <c r="AM414" s="248">
        <f>IF(IMSS[[#This Row],[ISR CARGO]]-IMSS[[#This Row],[SUBS ISR]]&gt;0,IMSS[[#This Row],[ISR CARGO]]-IMSS[[#This Row],[SUBS ISR]],0)</f>
        <v>754.182816</v>
      </c>
      <c r="AN414" s="248">
        <f>IF(IMSS[[#This Row],[SUBS ISR]]-IMSS[[#This Row],[ISR CARGO]]&gt;0,IMSS[[#This Row],[SUBS ISR]]-IMSS[[#This Row],[ISR CARGO]],0)</f>
        <v>0</v>
      </c>
    </row>
    <row r="415" spans="3:40" ht="15" hidden="1" customHeight="1" x14ac:dyDescent="0.25">
      <c r="C415" s="243">
        <v>463</v>
      </c>
      <c r="D415" s="167" t="str">
        <f>VLOOKUP(IMSS[[#This Row],[NEM]],BDD[],2,0)</f>
        <v>Blanca Zuady Chavez Mendoza</v>
      </c>
      <c r="E415" s="167" t="str">
        <f>VLOOKUP(IMSS[[#This Row],[NEM]],BDD[],9,0)</f>
        <v>INVERS</v>
      </c>
      <c r="F415" s="168">
        <v>30</v>
      </c>
      <c r="G415" s="139">
        <f>VLOOKUP(IMSS[[#This Row],[NEM]],BDD[],3,0)</f>
        <v>9541</v>
      </c>
      <c r="H415" s="139">
        <f ca="1">VLOOKUP(IMSS[[#This Row],[NEM]],BDD[],25,0)</f>
        <v>350.27232876712327</v>
      </c>
      <c r="I415" s="143">
        <f>VLOOKUP(IMSS[[#This Row],[DEPT]],$B$3:$G$49,6,0)</f>
        <v>5.4355000000000002E-3</v>
      </c>
      <c r="J415" s="163">
        <f ca="1">IMSS[[#This Row],[DIAS LAB]]*IMSS[[#This Row],[SDI]]*IMSS[[#This Row],[% RSG]]*$Q$108</f>
        <v>57.117157290410958</v>
      </c>
      <c r="K415" s="163">
        <f>IMSS[[#This Row],[DIAS LAB]]*$J$110*$Q$109</f>
        <v>548.47440000000006</v>
      </c>
      <c r="L415" s="166">
        <f ca="1">IMSS[[#This Row],[DIAS LAB]]*IF(IMSS[[#This Row],[SDI]]-$J$113&gt;0,IMSS[[#This Row],[SDI]]-$J$113,0)*$Q$110</f>
        <v>26.866068493150674</v>
      </c>
      <c r="M415" s="166">
        <f ca="1">IMSS[[#This Row],[DIAS LAB]]*IMSS[[#This Row],[SDI]]*$Q$111</f>
        <v>110.33578356164384</v>
      </c>
      <c r="N415" s="163">
        <f ca="1">IMSS[[#This Row],[DIAS LAB]]*IMSS[[#This Row],[SDI]]*$Q$112</f>
        <v>73.557189041095882</v>
      </c>
      <c r="O415" s="166">
        <f ca="1">IMSS[[#This Row],[DIAS LAB]]*IMSS[[#This Row],[SDI]]*$Q$113</f>
        <v>183.89297260273972</v>
      </c>
      <c r="P415" s="163">
        <f ca="1">IMSS[[#This Row],[DIAS LAB]]*IMSS[[#This Row],[SDI]]*$Q$114</f>
        <v>105.08169863013698</v>
      </c>
      <c r="Q415" s="166">
        <f ca="1">IMSS[[#This Row],[DIAS LAB]]*IMSS[[#This Row],[SDI]]*$Q$115</f>
        <v>210.16339726027397</v>
      </c>
      <c r="R415" s="163">
        <f ca="1">IMSS[[#This Row],[DIAS LAB]]*IMSS[[#This Row],[SDI]]*$Q$116</f>
        <v>331.00735068493151</v>
      </c>
      <c r="S415" s="163">
        <f ca="1">IMSS[[#This Row],[DIAS LAB]]*IMSS[[#This Row],[SDI]]*$Q$117</f>
        <v>525.40849315068488</v>
      </c>
      <c r="T415" s="164">
        <f ca="1">SUM(IMSS[[#This Row],[P RSG TRB]:[P INFONAVIT]])</f>
        <v>2171.9045107150687</v>
      </c>
      <c r="U415" s="163">
        <f ca="1">IMSS[[#This Row],[DIAS LAB]]*IMSS[[#This Row],[SDI]]*IMSS[[#This Row],[% RSG]]*$R$108</f>
        <v>0</v>
      </c>
      <c r="V415" s="163">
        <f ca="1">IMSS[[#This Row],[DIAS LAB]]*IMSS[[#This Row],[SDI]]*$R$112</f>
        <v>26.270424657534246</v>
      </c>
      <c r="W415" s="163"/>
      <c r="X415" s="163">
        <f ca="1">IMSS[[#This Row],[DIAS LAB]]*IMSS[[#This Row],[SDI]]*$R$113</f>
        <v>66.201470136986302</v>
      </c>
      <c r="Y415" s="163">
        <f ca="1">IMSS[[#This Row],[DIAS LAB]]*IMSS[[#This Row],[SDI]]*$R$114</f>
        <v>0</v>
      </c>
      <c r="Z415" s="163">
        <f ca="1">IMSS[[#This Row],[DIAS LAB]]*IMSS[[#This Row],[SDI]]*$R$115</f>
        <v>0</v>
      </c>
      <c r="AA415" s="163">
        <f ca="1">IMSS[[#This Row],[DIAS LAB]]*IMSS[[#This Row],[SDI]]*$R$116</f>
        <v>118.74231945205479</v>
      </c>
      <c r="AB415" s="163">
        <f ca="1">IMSS[[#This Row],[DIAS LAB]]*IMSS[[#This Row],[SDI]]*$R$117</f>
        <v>0</v>
      </c>
      <c r="AC415" s="247">
        <f ca="1">SUM(IMSS[[#This Row],[O RSG TRB]:[O INFONAVIT]])</f>
        <v>211.21421424657535</v>
      </c>
      <c r="AD415" s="163"/>
      <c r="AE415" s="165">
        <f ca="1">IMSS[[#This Row],[P TOTAL]]+IMSS[[#This Row],[O TOTAL]]</f>
        <v>2383.1187249616441</v>
      </c>
      <c r="AF415" s="163"/>
      <c r="AG415" s="163">
        <f>VLOOKUP(IMSS[[#This Row],[SUE MENS]],$AG$110:$AJ$120,1,1)</f>
        <v>5470.93</v>
      </c>
      <c r="AH415" s="163">
        <f>IMSS[[#This Row],[SUE MENS]]-IMSS[[#This Row],[LIM INF]]</f>
        <v>4070.0699999999997</v>
      </c>
      <c r="AI415" s="163">
        <f>IMSS[[#This Row],[EXC LIM INF]]*(VLOOKUP(IMSS[[#This Row],[LIM INF]],$AG$110:$AJ$120,4,0))</f>
        <v>442.82361600000002</v>
      </c>
      <c r="AJ415" s="163">
        <f>VLOOKUP(IMSS[[#This Row],[LIM INF]],$AG$110:$AJ$120,3)</f>
        <v>321.26</v>
      </c>
      <c r="AK415" s="163">
        <f>SUM(IMSS[[#This Row],[TASA EXC]]+IMSS[[#This Row],[CUOTA FIJA]])</f>
        <v>764.08361600000001</v>
      </c>
      <c r="AL415" s="163">
        <f>VLOOKUP(IMSS[[#This Row],[SUE MENS]],$AL$110:$AN$120,3,1)</f>
        <v>0</v>
      </c>
      <c r="AM415" s="248">
        <f>IF(IMSS[[#This Row],[ISR CARGO]]-IMSS[[#This Row],[SUBS ISR]]&gt;0,IMSS[[#This Row],[ISR CARGO]]-IMSS[[#This Row],[SUBS ISR]],0)</f>
        <v>764.08361600000001</v>
      </c>
      <c r="AN415" s="248">
        <f>IF(IMSS[[#This Row],[SUBS ISR]]-IMSS[[#This Row],[ISR CARGO]]&gt;0,IMSS[[#This Row],[SUBS ISR]]-IMSS[[#This Row],[ISR CARGO]],0)</f>
        <v>0</v>
      </c>
    </row>
    <row r="416" spans="3:40" ht="15" hidden="1" customHeight="1" x14ac:dyDescent="0.25">
      <c r="C416" s="243">
        <v>464</v>
      </c>
      <c r="D416" s="167" t="str">
        <f>VLOOKUP(IMSS[[#This Row],[NEM]],BDD[],2,0)</f>
        <v>Grecia Alejandra Oyervides Garza</v>
      </c>
      <c r="E416" s="167" t="str">
        <f>VLOOKUP(IMSS[[#This Row],[NEM]],BDD[],9,0)</f>
        <v>SOLUCIONES</v>
      </c>
      <c r="F416" s="168">
        <v>30</v>
      </c>
      <c r="G416" s="139">
        <f>VLOOKUP(IMSS[[#This Row],[NEM]],BDD[],3,0)</f>
        <v>7445</v>
      </c>
      <c r="H416" s="139">
        <f ca="1">VLOOKUP(IMSS[[#This Row],[NEM]],BDD[],25,0)</f>
        <v>273.32328767123283</v>
      </c>
      <c r="I416" s="143">
        <f>VLOOKUP(IMSS[[#This Row],[DEPT]],$B$3:$G$49,6,0)</f>
        <v>5.4355000000000002E-3</v>
      </c>
      <c r="J416" s="163">
        <f ca="1">IMSS[[#This Row],[DIAS LAB]]*IMSS[[#This Row],[SDI]]*IMSS[[#This Row],[% RSG]]*$Q$108</f>
        <v>44.569461904109588</v>
      </c>
      <c r="K416" s="163">
        <f>IMSS[[#This Row],[DIAS LAB]]*$J$110*$Q$109</f>
        <v>548.47440000000006</v>
      </c>
      <c r="L416" s="166">
        <f ca="1">IMSS[[#This Row],[DIAS LAB]]*IF(IMSS[[#This Row],[SDI]]-$J$113&gt;0,IMSS[[#This Row],[SDI]]-$J$113,0)*$Q$110</f>
        <v>1.4728849315068304</v>
      </c>
      <c r="M416" s="166">
        <f ca="1">IMSS[[#This Row],[DIAS LAB]]*IMSS[[#This Row],[SDI]]*$Q$111</f>
        <v>86.096835616438355</v>
      </c>
      <c r="N416" s="163">
        <f ca="1">IMSS[[#This Row],[DIAS LAB]]*IMSS[[#This Row],[SDI]]*$Q$112</f>
        <v>57.397890410958901</v>
      </c>
      <c r="O416" s="166">
        <f ca="1">IMSS[[#This Row],[DIAS LAB]]*IMSS[[#This Row],[SDI]]*$Q$113</f>
        <v>143.49472602739726</v>
      </c>
      <c r="P416" s="163">
        <f ca="1">IMSS[[#This Row],[DIAS LAB]]*IMSS[[#This Row],[SDI]]*$Q$114</f>
        <v>81.996986301369859</v>
      </c>
      <c r="Q416" s="166">
        <f ca="1">IMSS[[#This Row],[DIAS LAB]]*IMSS[[#This Row],[SDI]]*$Q$115</f>
        <v>163.99397260273972</v>
      </c>
      <c r="R416" s="163">
        <f ca="1">IMSS[[#This Row],[DIAS LAB]]*IMSS[[#This Row],[SDI]]*$Q$116</f>
        <v>258.29050684931502</v>
      </c>
      <c r="S416" s="163">
        <f ca="1">IMSS[[#This Row],[DIAS LAB]]*IMSS[[#This Row],[SDI]]*$Q$117</f>
        <v>409.98493150684931</v>
      </c>
      <c r="T416" s="164">
        <f ca="1">SUM(IMSS[[#This Row],[P RSG TRB]:[P INFONAVIT]])</f>
        <v>1795.7725961506851</v>
      </c>
      <c r="U416" s="163">
        <f ca="1">IMSS[[#This Row],[DIAS LAB]]*IMSS[[#This Row],[SDI]]*IMSS[[#This Row],[% RSG]]*$R$108</f>
        <v>0</v>
      </c>
      <c r="V416" s="163">
        <f ca="1">IMSS[[#This Row],[DIAS LAB]]*IMSS[[#This Row],[SDI]]*$R$112</f>
        <v>20.499246575342465</v>
      </c>
      <c r="W416" s="163"/>
      <c r="X416" s="163">
        <f ca="1">IMSS[[#This Row],[DIAS LAB]]*IMSS[[#This Row],[SDI]]*$R$113</f>
        <v>51.658101369863004</v>
      </c>
      <c r="Y416" s="163">
        <f ca="1">IMSS[[#This Row],[DIAS LAB]]*IMSS[[#This Row],[SDI]]*$R$114</f>
        <v>0</v>
      </c>
      <c r="Z416" s="163">
        <f ca="1">IMSS[[#This Row],[DIAS LAB]]*IMSS[[#This Row],[SDI]]*$R$115</f>
        <v>0</v>
      </c>
      <c r="AA416" s="163">
        <f ca="1">IMSS[[#This Row],[DIAS LAB]]*IMSS[[#This Row],[SDI]]*$R$116</f>
        <v>92.656594520547927</v>
      </c>
      <c r="AB416" s="163">
        <f ca="1">IMSS[[#This Row],[DIAS LAB]]*IMSS[[#This Row],[SDI]]*$R$117</f>
        <v>0</v>
      </c>
      <c r="AC416" s="247">
        <f ca="1">SUM(IMSS[[#This Row],[O RSG TRB]:[O INFONAVIT]])</f>
        <v>164.8139424657534</v>
      </c>
      <c r="AD416" s="163"/>
      <c r="AE416" s="165">
        <f ca="1">IMSS[[#This Row],[P TOTAL]]+IMSS[[#This Row],[O TOTAL]]</f>
        <v>1960.5865386164385</v>
      </c>
      <c r="AF416" s="163"/>
      <c r="AG416" s="163">
        <f>VLOOKUP(IMSS[[#This Row],[SUE MENS]],$AG$110:$AJ$120,1,1)</f>
        <v>5470.93</v>
      </c>
      <c r="AH416" s="163">
        <f>IMSS[[#This Row],[SUE MENS]]-IMSS[[#This Row],[LIM INF]]</f>
        <v>1974.0699999999997</v>
      </c>
      <c r="AI416" s="163">
        <f>IMSS[[#This Row],[EXC LIM INF]]*(VLOOKUP(IMSS[[#This Row],[LIM INF]],$AG$110:$AJ$120,4,0))</f>
        <v>214.77881599999998</v>
      </c>
      <c r="AJ416" s="163">
        <f>VLOOKUP(IMSS[[#This Row],[LIM INF]],$AG$110:$AJ$120,3)</f>
        <v>321.26</v>
      </c>
      <c r="AK416" s="163">
        <f>SUM(IMSS[[#This Row],[TASA EXC]]+IMSS[[#This Row],[CUOTA FIJA]])</f>
        <v>536.038816</v>
      </c>
      <c r="AL416" s="163">
        <f>VLOOKUP(IMSS[[#This Row],[SUE MENS]],$AL$110:$AN$120,3,1)</f>
        <v>0</v>
      </c>
      <c r="AM416" s="248">
        <f>IF(IMSS[[#This Row],[ISR CARGO]]-IMSS[[#This Row],[SUBS ISR]]&gt;0,IMSS[[#This Row],[ISR CARGO]]-IMSS[[#This Row],[SUBS ISR]],0)</f>
        <v>536.038816</v>
      </c>
      <c r="AN416" s="248">
        <f>IF(IMSS[[#This Row],[SUBS ISR]]-IMSS[[#This Row],[ISR CARGO]]&gt;0,IMSS[[#This Row],[SUBS ISR]]-IMSS[[#This Row],[ISR CARGO]],0)</f>
        <v>0</v>
      </c>
    </row>
    <row r="417" spans="3:40" ht="15" hidden="1" customHeight="1" x14ac:dyDescent="0.25">
      <c r="C417" s="243">
        <v>466</v>
      </c>
      <c r="D417" s="167" t="str">
        <f>VLOOKUP(IMSS[[#This Row],[NEM]],BDD[],2,0)</f>
        <v>Rocio Janett Sauceda Delgado</v>
      </c>
      <c r="E417" s="167" t="str">
        <f>VLOOKUP(IMSS[[#This Row],[NEM]],BDD[],9,0)</f>
        <v>ANLIS COST</v>
      </c>
      <c r="F417" s="168">
        <v>30</v>
      </c>
      <c r="G417" s="139">
        <f>VLOOKUP(IMSS[[#This Row],[NEM]],BDD[],3,0)</f>
        <v>9541</v>
      </c>
      <c r="H417" s="139">
        <f ca="1">VLOOKUP(IMSS[[#This Row],[NEM]],BDD[],25,0)</f>
        <v>350.27232876712327</v>
      </c>
      <c r="I417" s="143">
        <f>VLOOKUP(IMSS[[#This Row],[DEPT]],$B$3:$G$49,6,0)</f>
        <v>1.130658E-2</v>
      </c>
      <c r="J417" s="163">
        <f ca="1">IMSS[[#This Row],[DIAS LAB]]*IMSS[[#This Row],[SDI]]*IMSS[[#This Row],[% RSG]]*$Q$108</f>
        <v>118.81146320975341</v>
      </c>
      <c r="K417" s="163">
        <f>IMSS[[#This Row],[DIAS LAB]]*$J$110*$Q$109</f>
        <v>548.47440000000006</v>
      </c>
      <c r="L417" s="166">
        <f ca="1">IMSS[[#This Row],[DIAS LAB]]*IF(IMSS[[#This Row],[SDI]]-$J$113&gt;0,IMSS[[#This Row],[SDI]]-$J$113,0)*$Q$110</f>
        <v>26.866068493150674</v>
      </c>
      <c r="M417" s="166">
        <f ca="1">IMSS[[#This Row],[DIAS LAB]]*IMSS[[#This Row],[SDI]]*$Q$111</f>
        <v>110.33578356164384</v>
      </c>
      <c r="N417" s="163">
        <f ca="1">IMSS[[#This Row],[DIAS LAB]]*IMSS[[#This Row],[SDI]]*$Q$112</f>
        <v>73.557189041095882</v>
      </c>
      <c r="O417" s="166">
        <f ca="1">IMSS[[#This Row],[DIAS LAB]]*IMSS[[#This Row],[SDI]]*$Q$113</f>
        <v>183.89297260273972</v>
      </c>
      <c r="P417" s="163">
        <f ca="1">IMSS[[#This Row],[DIAS LAB]]*IMSS[[#This Row],[SDI]]*$Q$114</f>
        <v>105.08169863013698</v>
      </c>
      <c r="Q417" s="166">
        <f ca="1">IMSS[[#This Row],[DIAS LAB]]*IMSS[[#This Row],[SDI]]*$Q$115</f>
        <v>210.16339726027397</v>
      </c>
      <c r="R417" s="163">
        <f ca="1">IMSS[[#This Row],[DIAS LAB]]*IMSS[[#This Row],[SDI]]*$Q$116</f>
        <v>331.00735068493151</v>
      </c>
      <c r="S417" s="163">
        <f ca="1">IMSS[[#This Row],[DIAS LAB]]*IMSS[[#This Row],[SDI]]*$Q$117</f>
        <v>525.40849315068488</v>
      </c>
      <c r="T417" s="164">
        <f ca="1">SUM(IMSS[[#This Row],[P RSG TRB]:[P INFONAVIT]])</f>
        <v>2233.5988166344109</v>
      </c>
      <c r="U417" s="163">
        <f ca="1">IMSS[[#This Row],[DIAS LAB]]*IMSS[[#This Row],[SDI]]*IMSS[[#This Row],[% RSG]]*$R$108</f>
        <v>0</v>
      </c>
      <c r="V417" s="163">
        <f ca="1">IMSS[[#This Row],[DIAS LAB]]*IMSS[[#This Row],[SDI]]*$R$112</f>
        <v>26.270424657534246</v>
      </c>
      <c r="W417" s="163"/>
      <c r="X417" s="163">
        <f ca="1">IMSS[[#This Row],[DIAS LAB]]*IMSS[[#This Row],[SDI]]*$R$113</f>
        <v>66.201470136986302</v>
      </c>
      <c r="Y417" s="163">
        <f ca="1">IMSS[[#This Row],[DIAS LAB]]*IMSS[[#This Row],[SDI]]*$R$114</f>
        <v>0</v>
      </c>
      <c r="Z417" s="163">
        <f ca="1">IMSS[[#This Row],[DIAS LAB]]*IMSS[[#This Row],[SDI]]*$R$115</f>
        <v>0</v>
      </c>
      <c r="AA417" s="163">
        <f ca="1">IMSS[[#This Row],[DIAS LAB]]*IMSS[[#This Row],[SDI]]*$R$116</f>
        <v>118.74231945205479</v>
      </c>
      <c r="AB417" s="163">
        <f ca="1">IMSS[[#This Row],[DIAS LAB]]*IMSS[[#This Row],[SDI]]*$R$117</f>
        <v>0</v>
      </c>
      <c r="AC417" s="247">
        <f ca="1">SUM(IMSS[[#This Row],[O RSG TRB]:[O INFONAVIT]])</f>
        <v>211.21421424657535</v>
      </c>
      <c r="AD417" s="163"/>
      <c r="AE417" s="165">
        <f ca="1">IMSS[[#This Row],[P TOTAL]]+IMSS[[#This Row],[O TOTAL]]</f>
        <v>2444.8130308809864</v>
      </c>
      <c r="AF417" s="163"/>
      <c r="AG417" s="163">
        <f>VLOOKUP(IMSS[[#This Row],[SUE MENS]],$AG$110:$AJ$120,1,1)</f>
        <v>5470.93</v>
      </c>
      <c r="AH417" s="163">
        <f>IMSS[[#This Row],[SUE MENS]]-IMSS[[#This Row],[LIM INF]]</f>
        <v>4070.0699999999997</v>
      </c>
      <c r="AI417" s="163">
        <f>IMSS[[#This Row],[EXC LIM INF]]*(VLOOKUP(IMSS[[#This Row],[LIM INF]],$AG$110:$AJ$120,4,0))</f>
        <v>442.82361600000002</v>
      </c>
      <c r="AJ417" s="163">
        <f>VLOOKUP(IMSS[[#This Row],[LIM INF]],$AG$110:$AJ$120,3)</f>
        <v>321.26</v>
      </c>
      <c r="AK417" s="163">
        <f>SUM(IMSS[[#This Row],[TASA EXC]]+IMSS[[#This Row],[CUOTA FIJA]])</f>
        <v>764.08361600000001</v>
      </c>
      <c r="AL417" s="163">
        <f>VLOOKUP(IMSS[[#This Row],[SUE MENS]],$AL$110:$AN$120,3,1)</f>
        <v>0</v>
      </c>
      <c r="AM417" s="248">
        <f>IF(IMSS[[#This Row],[ISR CARGO]]-IMSS[[#This Row],[SUBS ISR]]&gt;0,IMSS[[#This Row],[ISR CARGO]]-IMSS[[#This Row],[SUBS ISR]],0)</f>
        <v>764.08361600000001</v>
      </c>
      <c r="AN417" s="248">
        <f>IF(IMSS[[#This Row],[SUBS ISR]]-IMSS[[#This Row],[ISR CARGO]]&gt;0,IMSS[[#This Row],[SUBS ISR]]-IMSS[[#This Row],[ISR CARGO]],0)</f>
        <v>0</v>
      </c>
    </row>
    <row r="418" spans="3:40" ht="15" hidden="1" customHeight="1" x14ac:dyDescent="0.25">
      <c r="C418" s="243">
        <v>467</v>
      </c>
      <c r="D418" s="167" t="str">
        <f>VLOOKUP(IMSS[[#This Row],[NEM]],BDD[],2,0)</f>
        <v>Carmela Flores Carrillo</v>
      </c>
      <c r="E418" s="167" t="str">
        <f>VLOOKUP(IMSS[[#This Row],[NEM]],BDD[],9,0)</f>
        <v>MATERIALES</v>
      </c>
      <c r="F418" s="168">
        <v>30</v>
      </c>
      <c r="G418" s="139">
        <f>VLOOKUP(IMSS[[#This Row],[NEM]],BDD[],3,0)</f>
        <v>9541</v>
      </c>
      <c r="H418" s="139">
        <f ca="1">VLOOKUP(IMSS[[#This Row],[NEM]],BDD[],25,0)</f>
        <v>350.27232876712327</v>
      </c>
      <c r="I418" s="143">
        <f>VLOOKUP(IMSS[[#This Row],[DEPT]],$B$3:$G$49,6,0)</f>
        <v>4.6532499999999997E-2</v>
      </c>
      <c r="J418" s="163">
        <f ca="1">IMSS[[#This Row],[DIAS LAB]]*IMSS[[#This Row],[SDI]]*IMSS[[#This Row],[% RSG]]*$Q$108</f>
        <v>488.97141415068489</v>
      </c>
      <c r="K418" s="163">
        <f>IMSS[[#This Row],[DIAS LAB]]*$J$110*$Q$109</f>
        <v>548.47440000000006</v>
      </c>
      <c r="L418" s="166">
        <f ca="1">IMSS[[#This Row],[DIAS LAB]]*IF(IMSS[[#This Row],[SDI]]-$J$113&gt;0,IMSS[[#This Row],[SDI]]-$J$113,0)*$Q$110</f>
        <v>26.866068493150674</v>
      </c>
      <c r="M418" s="166">
        <f ca="1">IMSS[[#This Row],[DIAS LAB]]*IMSS[[#This Row],[SDI]]*$Q$111</f>
        <v>110.33578356164384</v>
      </c>
      <c r="N418" s="163">
        <f ca="1">IMSS[[#This Row],[DIAS LAB]]*IMSS[[#This Row],[SDI]]*$Q$112</f>
        <v>73.557189041095882</v>
      </c>
      <c r="O418" s="166">
        <f ca="1">IMSS[[#This Row],[DIAS LAB]]*IMSS[[#This Row],[SDI]]*$Q$113</f>
        <v>183.89297260273972</v>
      </c>
      <c r="P418" s="163">
        <f ca="1">IMSS[[#This Row],[DIAS LAB]]*IMSS[[#This Row],[SDI]]*$Q$114</f>
        <v>105.08169863013698</v>
      </c>
      <c r="Q418" s="166">
        <f ca="1">IMSS[[#This Row],[DIAS LAB]]*IMSS[[#This Row],[SDI]]*$Q$115</f>
        <v>210.16339726027397</v>
      </c>
      <c r="R418" s="163">
        <f ca="1">IMSS[[#This Row],[DIAS LAB]]*IMSS[[#This Row],[SDI]]*$Q$116</f>
        <v>331.00735068493151</v>
      </c>
      <c r="S418" s="163">
        <f ca="1">IMSS[[#This Row],[DIAS LAB]]*IMSS[[#This Row],[SDI]]*$Q$117</f>
        <v>525.40849315068488</v>
      </c>
      <c r="T418" s="164">
        <f ca="1">SUM(IMSS[[#This Row],[P RSG TRB]:[P INFONAVIT]])</f>
        <v>2603.7587675753425</v>
      </c>
      <c r="U418" s="163">
        <f ca="1">IMSS[[#This Row],[DIAS LAB]]*IMSS[[#This Row],[SDI]]*IMSS[[#This Row],[% RSG]]*$R$108</f>
        <v>0</v>
      </c>
      <c r="V418" s="163">
        <f ca="1">IMSS[[#This Row],[DIAS LAB]]*IMSS[[#This Row],[SDI]]*$R$112</f>
        <v>26.270424657534246</v>
      </c>
      <c r="W418" s="163"/>
      <c r="X418" s="163">
        <f ca="1">IMSS[[#This Row],[DIAS LAB]]*IMSS[[#This Row],[SDI]]*$R$113</f>
        <v>66.201470136986302</v>
      </c>
      <c r="Y418" s="163">
        <f ca="1">IMSS[[#This Row],[DIAS LAB]]*IMSS[[#This Row],[SDI]]*$R$114</f>
        <v>0</v>
      </c>
      <c r="Z418" s="163">
        <f ca="1">IMSS[[#This Row],[DIAS LAB]]*IMSS[[#This Row],[SDI]]*$R$115</f>
        <v>0</v>
      </c>
      <c r="AA418" s="163">
        <f ca="1">IMSS[[#This Row],[DIAS LAB]]*IMSS[[#This Row],[SDI]]*$R$116</f>
        <v>118.74231945205479</v>
      </c>
      <c r="AB418" s="163">
        <f ca="1">IMSS[[#This Row],[DIAS LAB]]*IMSS[[#This Row],[SDI]]*$R$117</f>
        <v>0</v>
      </c>
      <c r="AC418" s="247">
        <f ca="1">SUM(IMSS[[#This Row],[O RSG TRB]:[O INFONAVIT]])</f>
        <v>211.21421424657535</v>
      </c>
      <c r="AD418" s="163"/>
      <c r="AE418" s="165">
        <f ca="1">IMSS[[#This Row],[P TOTAL]]+IMSS[[#This Row],[O TOTAL]]</f>
        <v>2814.972981821918</v>
      </c>
      <c r="AF418" s="163"/>
      <c r="AG418" s="163">
        <f>VLOOKUP(IMSS[[#This Row],[SUE MENS]],$AG$110:$AJ$120,1,1)</f>
        <v>5470.93</v>
      </c>
      <c r="AH418" s="163">
        <f>IMSS[[#This Row],[SUE MENS]]-IMSS[[#This Row],[LIM INF]]</f>
        <v>4070.0699999999997</v>
      </c>
      <c r="AI418" s="163">
        <f>IMSS[[#This Row],[EXC LIM INF]]*(VLOOKUP(IMSS[[#This Row],[LIM INF]],$AG$110:$AJ$120,4,0))</f>
        <v>442.82361600000002</v>
      </c>
      <c r="AJ418" s="163">
        <f>VLOOKUP(IMSS[[#This Row],[LIM INF]],$AG$110:$AJ$120,3)</f>
        <v>321.26</v>
      </c>
      <c r="AK418" s="163">
        <f>SUM(IMSS[[#This Row],[TASA EXC]]+IMSS[[#This Row],[CUOTA FIJA]])</f>
        <v>764.08361600000001</v>
      </c>
      <c r="AL418" s="163">
        <f>VLOOKUP(IMSS[[#This Row],[SUE MENS]],$AL$110:$AN$120,3,1)</f>
        <v>0</v>
      </c>
      <c r="AM418" s="248">
        <f>IF(IMSS[[#This Row],[ISR CARGO]]-IMSS[[#This Row],[SUBS ISR]]&gt;0,IMSS[[#This Row],[ISR CARGO]]-IMSS[[#This Row],[SUBS ISR]],0)</f>
        <v>764.08361600000001</v>
      </c>
      <c r="AN418" s="248">
        <f>IF(IMSS[[#This Row],[SUBS ISR]]-IMSS[[#This Row],[ISR CARGO]]&gt;0,IMSS[[#This Row],[SUBS ISR]]-IMSS[[#This Row],[ISR CARGO]],0)</f>
        <v>0</v>
      </c>
    </row>
    <row r="419" spans="3:40" ht="15" hidden="1" customHeight="1" x14ac:dyDescent="0.25">
      <c r="C419" s="243">
        <v>468</v>
      </c>
      <c r="D419" s="167" t="str">
        <f>VLOOKUP(IMSS[[#This Row],[NEM]],BDD[],2,0)</f>
        <v>Diana María Melo Jimenez</v>
      </c>
      <c r="E419" s="167" t="str">
        <f>VLOOKUP(IMSS[[#This Row],[NEM]],BDD[],9,0)</f>
        <v>ADMINCIÓN</v>
      </c>
      <c r="F419" s="168">
        <v>30</v>
      </c>
      <c r="G419" s="139">
        <f>VLOOKUP(IMSS[[#This Row],[NEM]],BDD[],3,0)</f>
        <v>9541</v>
      </c>
      <c r="H419" s="139">
        <f ca="1">VLOOKUP(IMSS[[#This Row],[NEM]],BDD[],25,0)</f>
        <v>350.27232876712327</v>
      </c>
      <c r="I419" s="143">
        <f>VLOOKUP(IMSS[[#This Row],[DEPT]],$B$3:$G$49,6,0)</f>
        <v>5.4355000000000002E-3</v>
      </c>
      <c r="J419" s="163">
        <f ca="1">IMSS[[#This Row],[DIAS LAB]]*IMSS[[#This Row],[SDI]]*IMSS[[#This Row],[% RSG]]*$Q$108</f>
        <v>57.117157290410958</v>
      </c>
      <c r="K419" s="163">
        <f>IMSS[[#This Row],[DIAS LAB]]*$J$110*$Q$109</f>
        <v>548.47440000000006</v>
      </c>
      <c r="L419" s="166">
        <f ca="1">IMSS[[#This Row],[DIAS LAB]]*IF(IMSS[[#This Row],[SDI]]-$J$113&gt;0,IMSS[[#This Row],[SDI]]-$J$113,0)*$Q$110</f>
        <v>26.866068493150674</v>
      </c>
      <c r="M419" s="166">
        <f ca="1">IMSS[[#This Row],[DIAS LAB]]*IMSS[[#This Row],[SDI]]*$Q$111</f>
        <v>110.33578356164384</v>
      </c>
      <c r="N419" s="163">
        <f ca="1">IMSS[[#This Row],[DIAS LAB]]*IMSS[[#This Row],[SDI]]*$Q$112</f>
        <v>73.557189041095882</v>
      </c>
      <c r="O419" s="166">
        <f ca="1">IMSS[[#This Row],[DIAS LAB]]*IMSS[[#This Row],[SDI]]*$Q$113</f>
        <v>183.89297260273972</v>
      </c>
      <c r="P419" s="163">
        <f ca="1">IMSS[[#This Row],[DIAS LAB]]*IMSS[[#This Row],[SDI]]*$Q$114</f>
        <v>105.08169863013698</v>
      </c>
      <c r="Q419" s="166">
        <f ca="1">IMSS[[#This Row],[DIAS LAB]]*IMSS[[#This Row],[SDI]]*$Q$115</f>
        <v>210.16339726027397</v>
      </c>
      <c r="R419" s="163">
        <f ca="1">IMSS[[#This Row],[DIAS LAB]]*IMSS[[#This Row],[SDI]]*$Q$116</f>
        <v>331.00735068493151</v>
      </c>
      <c r="S419" s="163">
        <f ca="1">IMSS[[#This Row],[DIAS LAB]]*IMSS[[#This Row],[SDI]]*$Q$117</f>
        <v>525.40849315068488</v>
      </c>
      <c r="T419" s="164">
        <f ca="1">SUM(IMSS[[#This Row],[P RSG TRB]:[P INFONAVIT]])</f>
        <v>2171.9045107150687</v>
      </c>
      <c r="U419" s="163">
        <f ca="1">IMSS[[#This Row],[DIAS LAB]]*IMSS[[#This Row],[SDI]]*IMSS[[#This Row],[% RSG]]*$R$108</f>
        <v>0</v>
      </c>
      <c r="V419" s="163">
        <f ca="1">IMSS[[#This Row],[DIAS LAB]]*IMSS[[#This Row],[SDI]]*$R$112</f>
        <v>26.270424657534246</v>
      </c>
      <c r="W419" s="163"/>
      <c r="X419" s="163">
        <f ca="1">IMSS[[#This Row],[DIAS LAB]]*IMSS[[#This Row],[SDI]]*$R$113</f>
        <v>66.201470136986302</v>
      </c>
      <c r="Y419" s="163">
        <f ca="1">IMSS[[#This Row],[DIAS LAB]]*IMSS[[#This Row],[SDI]]*$R$114</f>
        <v>0</v>
      </c>
      <c r="Z419" s="163">
        <f ca="1">IMSS[[#This Row],[DIAS LAB]]*IMSS[[#This Row],[SDI]]*$R$115</f>
        <v>0</v>
      </c>
      <c r="AA419" s="163">
        <f ca="1">IMSS[[#This Row],[DIAS LAB]]*IMSS[[#This Row],[SDI]]*$R$116</f>
        <v>118.74231945205479</v>
      </c>
      <c r="AB419" s="163">
        <f ca="1">IMSS[[#This Row],[DIAS LAB]]*IMSS[[#This Row],[SDI]]*$R$117</f>
        <v>0</v>
      </c>
      <c r="AC419" s="247">
        <f ca="1">SUM(IMSS[[#This Row],[O RSG TRB]:[O INFONAVIT]])</f>
        <v>211.21421424657535</v>
      </c>
      <c r="AD419" s="163"/>
      <c r="AE419" s="165">
        <f ca="1">IMSS[[#This Row],[P TOTAL]]+IMSS[[#This Row],[O TOTAL]]</f>
        <v>2383.1187249616441</v>
      </c>
      <c r="AF419" s="163"/>
      <c r="AG419" s="163">
        <f>VLOOKUP(IMSS[[#This Row],[SUE MENS]],$AG$110:$AJ$120,1,1)</f>
        <v>5470.93</v>
      </c>
      <c r="AH419" s="163">
        <f>IMSS[[#This Row],[SUE MENS]]-IMSS[[#This Row],[LIM INF]]</f>
        <v>4070.0699999999997</v>
      </c>
      <c r="AI419" s="163">
        <f>IMSS[[#This Row],[EXC LIM INF]]*(VLOOKUP(IMSS[[#This Row],[LIM INF]],$AG$110:$AJ$120,4,0))</f>
        <v>442.82361600000002</v>
      </c>
      <c r="AJ419" s="163">
        <f>VLOOKUP(IMSS[[#This Row],[LIM INF]],$AG$110:$AJ$120,3)</f>
        <v>321.26</v>
      </c>
      <c r="AK419" s="163">
        <f>SUM(IMSS[[#This Row],[TASA EXC]]+IMSS[[#This Row],[CUOTA FIJA]])</f>
        <v>764.08361600000001</v>
      </c>
      <c r="AL419" s="163">
        <f>VLOOKUP(IMSS[[#This Row],[SUE MENS]],$AL$110:$AN$120,3,1)</f>
        <v>0</v>
      </c>
      <c r="AM419" s="248">
        <f>IF(IMSS[[#This Row],[ISR CARGO]]-IMSS[[#This Row],[SUBS ISR]]&gt;0,IMSS[[#This Row],[ISR CARGO]]-IMSS[[#This Row],[SUBS ISR]],0)</f>
        <v>764.08361600000001</v>
      </c>
      <c r="AN419" s="248">
        <f>IF(IMSS[[#This Row],[SUBS ISR]]-IMSS[[#This Row],[ISR CARGO]]&gt;0,IMSS[[#This Row],[SUBS ISR]]-IMSS[[#This Row],[ISR CARGO]],0)</f>
        <v>0</v>
      </c>
    </row>
    <row r="420" spans="3:40" ht="15" hidden="1" customHeight="1" x14ac:dyDescent="0.25">
      <c r="C420" s="243">
        <v>469</v>
      </c>
      <c r="D420" s="167" t="str">
        <f>VLOOKUP(IMSS[[#This Row],[NEM]],BDD[],2,0)</f>
        <v>Sandra Lisia Santiago Cruz</v>
      </c>
      <c r="E420" s="167" t="str">
        <f>VLOOKUP(IMSS[[#This Row],[NEM]],BDD[],9,0)</f>
        <v>INST CAMPO</v>
      </c>
      <c r="F420" s="168">
        <v>30</v>
      </c>
      <c r="G420" s="139">
        <f>VLOOKUP(IMSS[[#This Row],[NEM]],BDD[],3,0)</f>
        <v>10350</v>
      </c>
      <c r="H420" s="139">
        <f ca="1">VLOOKUP(IMSS[[#This Row],[NEM]],BDD[],25,0)</f>
        <v>379.97260273972597</v>
      </c>
      <c r="I420" s="143">
        <f>VLOOKUP(IMSS[[#This Row],[DEPT]],$B$3:$G$49,6,0)</f>
        <v>4.6532499999999997E-2</v>
      </c>
      <c r="J420" s="163">
        <f ca="1">IMSS[[#This Row],[DIAS LAB]]*IMSS[[#This Row],[SDI]]*IMSS[[#This Row],[% RSG]]*$Q$108</f>
        <v>530.43225410958894</v>
      </c>
      <c r="K420" s="163">
        <f>IMSS[[#This Row],[DIAS LAB]]*$J$110*$Q$109</f>
        <v>548.47440000000006</v>
      </c>
      <c r="L420" s="166">
        <f ca="1">IMSS[[#This Row],[DIAS LAB]]*IF(IMSS[[#This Row],[SDI]]-$J$113&gt;0,IMSS[[#This Row],[SDI]]-$J$113,0)*$Q$110</f>
        <v>36.667158904109563</v>
      </c>
      <c r="M420" s="166">
        <f ca="1">IMSS[[#This Row],[DIAS LAB]]*IMSS[[#This Row],[SDI]]*$Q$111</f>
        <v>119.69136986301368</v>
      </c>
      <c r="N420" s="163">
        <f ca="1">IMSS[[#This Row],[DIAS LAB]]*IMSS[[#This Row],[SDI]]*$Q$112</f>
        <v>79.794246575342456</v>
      </c>
      <c r="O420" s="166">
        <f ca="1">IMSS[[#This Row],[DIAS LAB]]*IMSS[[#This Row],[SDI]]*$Q$113</f>
        <v>199.48561643835615</v>
      </c>
      <c r="P420" s="163">
        <f ca="1">IMSS[[#This Row],[DIAS LAB]]*IMSS[[#This Row],[SDI]]*$Q$114</f>
        <v>113.99178082191779</v>
      </c>
      <c r="Q420" s="166">
        <f ca="1">IMSS[[#This Row],[DIAS LAB]]*IMSS[[#This Row],[SDI]]*$Q$115</f>
        <v>227.98356164383557</v>
      </c>
      <c r="R420" s="163">
        <f ca="1">IMSS[[#This Row],[DIAS LAB]]*IMSS[[#This Row],[SDI]]*$Q$116</f>
        <v>359.07410958904103</v>
      </c>
      <c r="S420" s="163">
        <f ca="1">IMSS[[#This Row],[DIAS LAB]]*IMSS[[#This Row],[SDI]]*$Q$117</f>
        <v>569.95890410958896</v>
      </c>
      <c r="T420" s="164">
        <f ca="1">SUM(IMSS[[#This Row],[P RSG TRB]:[P INFONAVIT]])</f>
        <v>2785.5534020547939</v>
      </c>
      <c r="U420" s="163">
        <f ca="1">IMSS[[#This Row],[DIAS LAB]]*IMSS[[#This Row],[SDI]]*IMSS[[#This Row],[% RSG]]*$R$108</f>
        <v>0</v>
      </c>
      <c r="V420" s="163">
        <f ca="1">IMSS[[#This Row],[DIAS LAB]]*IMSS[[#This Row],[SDI]]*$R$112</f>
        <v>28.497945205479446</v>
      </c>
      <c r="W420" s="163"/>
      <c r="X420" s="163">
        <f ca="1">IMSS[[#This Row],[DIAS LAB]]*IMSS[[#This Row],[SDI]]*$R$113</f>
        <v>71.814821917808203</v>
      </c>
      <c r="Y420" s="163">
        <f ca="1">IMSS[[#This Row],[DIAS LAB]]*IMSS[[#This Row],[SDI]]*$R$114</f>
        <v>0</v>
      </c>
      <c r="Z420" s="163">
        <f ca="1">IMSS[[#This Row],[DIAS LAB]]*IMSS[[#This Row],[SDI]]*$R$115</f>
        <v>0</v>
      </c>
      <c r="AA420" s="163">
        <f ca="1">IMSS[[#This Row],[DIAS LAB]]*IMSS[[#This Row],[SDI]]*$R$116</f>
        <v>128.8107123287671</v>
      </c>
      <c r="AB420" s="163">
        <f ca="1">IMSS[[#This Row],[DIAS LAB]]*IMSS[[#This Row],[SDI]]*$R$117</f>
        <v>0</v>
      </c>
      <c r="AC420" s="247">
        <f ca="1">SUM(IMSS[[#This Row],[O RSG TRB]:[O INFONAVIT]])</f>
        <v>229.12347945205474</v>
      </c>
      <c r="AD420" s="163"/>
      <c r="AE420" s="165">
        <f ca="1">IMSS[[#This Row],[P TOTAL]]+IMSS[[#This Row],[O TOTAL]]</f>
        <v>3014.6768815068485</v>
      </c>
      <c r="AF420" s="163"/>
      <c r="AG420" s="163">
        <f>VLOOKUP(IMSS[[#This Row],[SUE MENS]],$AG$110:$AJ$120,1,1)</f>
        <v>9614.67</v>
      </c>
      <c r="AH420" s="163">
        <f>IMSS[[#This Row],[SUE MENS]]-IMSS[[#This Row],[LIM INF]]</f>
        <v>735.32999999999993</v>
      </c>
      <c r="AI420" s="163">
        <f>IMSS[[#This Row],[EXC LIM INF]]*(VLOOKUP(IMSS[[#This Row],[LIM INF]],$AG$110:$AJ$120,4,0))</f>
        <v>117.65279999999998</v>
      </c>
      <c r="AJ420" s="163">
        <f>VLOOKUP(IMSS[[#This Row],[LIM INF]],$AG$110:$AJ$120,3)</f>
        <v>772.1</v>
      </c>
      <c r="AK420" s="163">
        <f>SUM(IMSS[[#This Row],[TASA EXC]]+IMSS[[#This Row],[CUOTA FIJA]])</f>
        <v>889.75279999999998</v>
      </c>
      <c r="AL420" s="163">
        <f>VLOOKUP(IMSS[[#This Row],[SUE MENS]],$AL$110:$AN$120,3,1)</f>
        <v>0</v>
      </c>
      <c r="AM420" s="248">
        <f>IF(IMSS[[#This Row],[ISR CARGO]]-IMSS[[#This Row],[SUBS ISR]]&gt;0,IMSS[[#This Row],[ISR CARGO]]-IMSS[[#This Row],[SUBS ISR]],0)</f>
        <v>889.75279999999998</v>
      </c>
      <c r="AN420" s="248">
        <f>IF(IMSS[[#This Row],[SUBS ISR]]-IMSS[[#This Row],[ISR CARGO]]&gt;0,IMSS[[#This Row],[SUBS ISR]]-IMSS[[#This Row],[ISR CARGO]],0)</f>
        <v>0</v>
      </c>
    </row>
    <row r="421" spans="3:40" ht="15" hidden="1" customHeight="1" x14ac:dyDescent="0.25">
      <c r="C421" s="243">
        <v>470</v>
      </c>
      <c r="D421" s="167" t="str">
        <f>VLOOKUP(IMSS[[#This Row],[NEM]],BDD[],2,0)</f>
        <v>Cecilia Guadalupe Ochoa Rivera</v>
      </c>
      <c r="E421" s="167" t="str">
        <f>VLOOKUP(IMSS[[#This Row],[NEM]],BDD[],9,0)</f>
        <v>ADMINCIÓN</v>
      </c>
      <c r="F421" s="168">
        <v>30</v>
      </c>
      <c r="G421" s="139">
        <f>VLOOKUP(IMSS[[#This Row],[NEM]],BDD[],3,0)</f>
        <v>9450</v>
      </c>
      <c r="H421" s="139">
        <f ca="1">VLOOKUP(IMSS[[#This Row],[NEM]],BDD[],25,0)</f>
        <v>346.93150684931504</v>
      </c>
      <c r="I421" s="143">
        <f>VLOOKUP(IMSS[[#This Row],[DEPT]],$B$3:$G$49,6,0)</f>
        <v>5.4355000000000002E-3</v>
      </c>
      <c r="J421" s="163">
        <f ca="1">IMSS[[#This Row],[DIAS LAB]]*IMSS[[#This Row],[SDI]]*IMSS[[#This Row],[% RSG]]*$Q$108</f>
        <v>56.572386164383559</v>
      </c>
      <c r="K421" s="163">
        <f>IMSS[[#This Row],[DIAS LAB]]*$J$110*$Q$109</f>
        <v>548.47440000000006</v>
      </c>
      <c r="L421" s="166">
        <f ca="1">IMSS[[#This Row],[DIAS LAB]]*IF(IMSS[[#This Row],[SDI]]-$J$113&gt;0,IMSS[[#This Row],[SDI]]-$J$113,0)*$Q$110</f>
        <v>25.763597260273958</v>
      </c>
      <c r="M421" s="166">
        <f ca="1">IMSS[[#This Row],[DIAS LAB]]*IMSS[[#This Row],[SDI]]*$Q$111</f>
        <v>109.28342465753424</v>
      </c>
      <c r="N421" s="163">
        <f ca="1">IMSS[[#This Row],[DIAS LAB]]*IMSS[[#This Row],[SDI]]*$Q$112</f>
        <v>72.855616438356165</v>
      </c>
      <c r="O421" s="166">
        <f ca="1">IMSS[[#This Row],[DIAS LAB]]*IMSS[[#This Row],[SDI]]*$Q$113</f>
        <v>182.13904109589041</v>
      </c>
      <c r="P421" s="163">
        <f ca="1">IMSS[[#This Row],[DIAS LAB]]*IMSS[[#This Row],[SDI]]*$Q$114</f>
        <v>104.07945205479452</v>
      </c>
      <c r="Q421" s="166">
        <f ca="1">IMSS[[#This Row],[DIAS LAB]]*IMSS[[#This Row],[SDI]]*$Q$115</f>
        <v>208.15890410958903</v>
      </c>
      <c r="R421" s="163">
        <f ca="1">IMSS[[#This Row],[DIAS LAB]]*IMSS[[#This Row],[SDI]]*$Q$116</f>
        <v>327.85027397260274</v>
      </c>
      <c r="S421" s="163">
        <f ca="1">IMSS[[#This Row],[DIAS LAB]]*IMSS[[#This Row],[SDI]]*$Q$117</f>
        <v>520.39726027397262</v>
      </c>
      <c r="T421" s="164">
        <f ca="1">SUM(IMSS[[#This Row],[P RSG TRB]:[P INFONAVIT]])</f>
        <v>2155.5743560273972</v>
      </c>
      <c r="U421" s="163">
        <f ca="1">IMSS[[#This Row],[DIAS LAB]]*IMSS[[#This Row],[SDI]]*IMSS[[#This Row],[% RSG]]*$R$108</f>
        <v>0</v>
      </c>
      <c r="V421" s="163">
        <f ca="1">IMSS[[#This Row],[DIAS LAB]]*IMSS[[#This Row],[SDI]]*$R$112</f>
        <v>26.019863013698629</v>
      </c>
      <c r="W421" s="163"/>
      <c r="X421" s="163">
        <f ca="1">IMSS[[#This Row],[DIAS LAB]]*IMSS[[#This Row],[SDI]]*$R$113</f>
        <v>65.570054794520544</v>
      </c>
      <c r="Y421" s="163">
        <f ca="1">IMSS[[#This Row],[DIAS LAB]]*IMSS[[#This Row],[SDI]]*$R$114</f>
        <v>0</v>
      </c>
      <c r="Z421" s="163">
        <f ca="1">IMSS[[#This Row],[DIAS LAB]]*IMSS[[#This Row],[SDI]]*$R$115</f>
        <v>0</v>
      </c>
      <c r="AA421" s="163">
        <f ca="1">IMSS[[#This Row],[DIAS LAB]]*IMSS[[#This Row],[SDI]]*$R$116</f>
        <v>117.60978082191779</v>
      </c>
      <c r="AB421" s="163">
        <f ca="1">IMSS[[#This Row],[DIAS LAB]]*IMSS[[#This Row],[SDI]]*$R$117</f>
        <v>0</v>
      </c>
      <c r="AC421" s="247">
        <f ca="1">SUM(IMSS[[#This Row],[O RSG TRB]:[O INFONAVIT]])</f>
        <v>209.19969863013696</v>
      </c>
      <c r="AD421" s="163"/>
      <c r="AE421" s="165">
        <f ca="1">IMSS[[#This Row],[P TOTAL]]+IMSS[[#This Row],[O TOTAL]]</f>
        <v>2364.7740546575342</v>
      </c>
      <c r="AF421" s="163"/>
      <c r="AG421" s="163">
        <f>VLOOKUP(IMSS[[#This Row],[SUE MENS]],$AG$110:$AJ$120,1,1)</f>
        <v>5470.93</v>
      </c>
      <c r="AH421" s="163">
        <f>IMSS[[#This Row],[SUE MENS]]-IMSS[[#This Row],[LIM INF]]</f>
        <v>3979.0699999999997</v>
      </c>
      <c r="AI421" s="163">
        <f>IMSS[[#This Row],[EXC LIM INF]]*(VLOOKUP(IMSS[[#This Row],[LIM INF]],$AG$110:$AJ$120,4,0))</f>
        <v>432.92281600000001</v>
      </c>
      <c r="AJ421" s="163">
        <f>VLOOKUP(IMSS[[#This Row],[LIM INF]],$AG$110:$AJ$120,3)</f>
        <v>321.26</v>
      </c>
      <c r="AK421" s="163">
        <f>SUM(IMSS[[#This Row],[TASA EXC]]+IMSS[[#This Row],[CUOTA FIJA]])</f>
        <v>754.182816</v>
      </c>
      <c r="AL421" s="163">
        <f>VLOOKUP(IMSS[[#This Row],[SUE MENS]],$AL$110:$AN$120,3,1)</f>
        <v>0</v>
      </c>
      <c r="AM421" s="248">
        <f>IF(IMSS[[#This Row],[ISR CARGO]]-IMSS[[#This Row],[SUBS ISR]]&gt;0,IMSS[[#This Row],[ISR CARGO]]-IMSS[[#This Row],[SUBS ISR]],0)</f>
        <v>754.182816</v>
      </c>
      <c r="AN421" s="248">
        <f>IF(IMSS[[#This Row],[SUBS ISR]]-IMSS[[#This Row],[ISR CARGO]]&gt;0,IMSS[[#This Row],[SUBS ISR]]-IMSS[[#This Row],[ISR CARGO]],0)</f>
        <v>0</v>
      </c>
    </row>
    <row r="422" spans="3:40" ht="15" hidden="1" customHeight="1" x14ac:dyDescent="0.25">
      <c r="C422" s="243">
        <v>472</v>
      </c>
      <c r="D422" s="167" t="str">
        <f>VLOOKUP(IMSS[[#This Row],[NEM]],BDD[],2,0)</f>
        <v>David Alejandro Hernandez Guerra</v>
      </c>
      <c r="E422" s="167" t="str">
        <f>VLOOKUP(IMSS[[#This Row],[NEM]],BDD[],9,0)</f>
        <v>CONTA</v>
      </c>
      <c r="F422" s="168">
        <v>30</v>
      </c>
      <c r="G422" s="139">
        <f>VLOOKUP(IMSS[[#This Row],[NEM]],BDD[],3,0)</f>
        <v>6778</v>
      </c>
      <c r="H422" s="139">
        <f ca="1">VLOOKUP(IMSS[[#This Row],[NEM]],BDD[],25,0)</f>
        <v>237.38474885844749</v>
      </c>
      <c r="I422" s="143">
        <f>VLOOKUP(IMSS[[#This Row],[DEPT]],$B$3:$G$49,6,0)</f>
        <v>5.4355000000000002E-3</v>
      </c>
      <c r="J422" s="163">
        <f ca="1">IMSS[[#This Row],[DIAS LAB]]*IMSS[[#This Row],[SDI]]*IMSS[[#This Row],[% RSG]]*$Q$108</f>
        <v>38.70914407260274</v>
      </c>
      <c r="K422" s="163">
        <f>IMSS[[#This Row],[DIAS LAB]]*$J$110*$Q$109</f>
        <v>548.47440000000006</v>
      </c>
      <c r="L422" s="166">
        <f ca="1">IMSS[[#This Row],[DIAS LAB]]*IF(IMSS[[#This Row],[SDI]]-$J$113&gt;0,IMSS[[#This Row],[SDI]]-$J$113,0)*$Q$110</f>
        <v>0</v>
      </c>
      <c r="M422" s="166">
        <f ca="1">IMSS[[#This Row],[DIAS LAB]]*IMSS[[#This Row],[SDI]]*$Q$111</f>
        <v>74.77619589041096</v>
      </c>
      <c r="N422" s="163">
        <f ca="1">IMSS[[#This Row],[DIAS LAB]]*IMSS[[#This Row],[SDI]]*$Q$112</f>
        <v>49.850797260273978</v>
      </c>
      <c r="O422" s="166">
        <f ca="1">IMSS[[#This Row],[DIAS LAB]]*IMSS[[#This Row],[SDI]]*$Q$113</f>
        <v>124.62699315068495</v>
      </c>
      <c r="P422" s="163">
        <f ca="1">IMSS[[#This Row],[DIAS LAB]]*IMSS[[#This Row],[SDI]]*$Q$114</f>
        <v>71.215424657534257</v>
      </c>
      <c r="Q422" s="166">
        <f ca="1">IMSS[[#This Row],[DIAS LAB]]*IMSS[[#This Row],[SDI]]*$Q$115</f>
        <v>142.43084931506851</v>
      </c>
      <c r="R422" s="163">
        <f ca="1">IMSS[[#This Row],[DIAS LAB]]*IMSS[[#This Row],[SDI]]*$Q$116</f>
        <v>224.3285876712329</v>
      </c>
      <c r="S422" s="163">
        <f ca="1">IMSS[[#This Row],[DIAS LAB]]*IMSS[[#This Row],[SDI]]*$Q$117</f>
        <v>356.07712328767127</v>
      </c>
      <c r="T422" s="164">
        <f ca="1">SUM(IMSS[[#This Row],[P RSG TRB]:[P INFONAVIT]])</f>
        <v>1630.4895153054799</v>
      </c>
      <c r="U422" s="163">
        <f ca="1">IMSS[[#This Row],[DIAS LAB]]*IMSS[[#This Row],[SDI]]*IMSS[[#This Row],[% RSG]]*$R$108</f>
        <v>0</v>
      </c>
      <c r="V422" s="163">
        <f ca="1">IMSS[[#This Row],[DIAS LAB]]*IMSS[[#This Row],[SDI]]*$R$112</f>
        <v>17.803856164383564</v>
      </c>
      <c r="W422" s="163"/>
      <c r="X422" s="163">
        <f ca="1">IMSS[[#This Row],[DIAS LAB]]*IMSS[[#This Row],[SDI]]*$R$113</f>
        <v>44.865717534246578</v>
      </c>
      <c r="Y422" s="163">
        <f ca="1">IMSS[[#This Row],[DIAS LAB]]*IMSS[[#This Row],[SDI]]*$R$114</f>
        <v>0</v>
      </c>
      <c r="Z422" s="163">
        <f ca="1">IMSS[[#This Row],[DIAS LAB]]*IMSS[[#This Row],[SDI]]*$R$115</f>
        <v>0</v>
      </c>
      <c r="AA422" s="163">
        <f ca="1">IMSS[[#This Row],[DIAS LAB]]*IMSS[[#This Row],[SDI]]*$R$116</f>
        <v>80.473429863013692</v>
      </c>
      <c r="AB422" s="163">
        <f ca="1">IMSS[[#This Row],[DIAS LAB]]*IMSS[[#This Row],[SDI]]*$R$117</f>
        <v>0</v>
      </c>
      <c r="AC422" s="247">
        <f ca="1">SUM(IMSS[[#This Row],[O RSG TRB]:[O INFONAVIT]])</f>
        <v>143.14300356164384</v>
      </c>
      <c r="AD422" s="163"/>
      <c r="AE422" s="165">
        <f ca="1">IMSS[[#This Row],[P TOTAL]]+IMSS[[#This Row],[O TOTAL]]</f>
        <v>1773.6325188671237</v>
      </c>
      <c r="AF422" s="163"/>
      <c r="AG422" s="163">
        <f>VLOOKUP(IMSS[[#This Row],[SUE MENS]],$AG$110:$AJ$120,1,1)</f>
        <v>5470.93</v>
      </c>
      <c r="AH422" s="163">
        <f>IMSS[[#This Row],[SUE MENS]]-IMSS[[#This Row],[LIM INF]]</f>
        <v>1307.0699999999997</v>
      </c>
      <c r="AI422" s="163">
        <f>IMSS[[#This Row],[EXC LIM INF]]*(VLOOKUP(IMSS[[#This Row],[LIM INF]],$AG$110:$AJ$120,4,0))</f>
        <v>142.20921599999997</v>
      </c>
      <c r="AJ422" s="163">
        <f>VLOOKUP(IMSS[[#This Row],[LIM INF]],$AG$110:$AJ$120,3)</f>
        <v>321.26</v>
      </c>
      <c r="AK422" s="163">
        <f>SUM(IMSS[[#This Row],[TASA EXC]]+IMSS[[#This Row],[CUOTA FIJA]])</f>
        <v>463.46921599999996</v>
      </c>
      <c r="AL422" s="163">
        <f>VLOOKUP(IMSS[[#This Row],[SUE MENS]],$AL$110:$AN$120,3,1)</f>
        <v>253.54</v>
      </c>
      <c r="AM422" s="248">
        <f>IF(IMSS[[#This Row],[ISR CARGO]]-IMSS[[#This Row],[SUBS ISR]]&gt;0,IMSS[[#This Row],[ISR CARGO]]-IMSS[[#This Row],[SUBS ISR]],0)</f>
        <v>209.92921599999997</v>
      </c>
      <c r="AN422" s="248">
        <f>IF(IMSS[[#This Row],[SUBS ISR]]-IMSS[[#This Row],[ISR CARGO]]&gt;0,IMSS[[#This Row],[SUBS ISR]]-IMSS[[#This Row],[ISR CARGO]],0)</f>
        <v>0</v>
      </c>
    </row>
    <row r="423" spans="3:40" ht="15" hidden="1" customHeight="1" x14ac:dyDescent="0.25">
      <c r="C423" s="243">
        <v>473</v>
      </c>
      <c r="D423" s="167" t="str">
        <f>VLOOKUP(IMSS[[#This Row],[NEM]],BDD[],2,0)</f>
        <v>Cristian Daniel Ramos Hernández</v>
      </c>
      <c r="E423" s="167" t="str">
        <f>VLOOKUP(IMSS[[#This Row],[NEM]],BDD[],9,0)</f>
        <v>CONTROL</v>
      </c>
      <c r="F423" s="168">
        <v>30</v>
      </c>
      <c r="G423" s="139">
        <f>VLOOKUP(IMSS[[#This Row],[NEM]],BDD[],3,0)</f>
        <v>7445</v>
      </c>
      <c r="H423" s="139">
        <f ca="1">VLOOKUP(IMSS[[#This Row],[NEM]],BDD[],25,0)</f>
        <v>273.32328767123283</v>
      </c>
      <c r="I423" s="143">
        <f>VLOOKUP(IMSS[[#This Row],[DEPT]],$B$3:$G$49,6,0)</f>
        <v>5.4355000000000002E-3</v>
      </c>
      <c r="J423" s="163">
        <f ca="1">IMSS[[#This Row],[DIAS LAB]]*IMSS[[#This Row],[SDI]]*IMSS[[#This Row],[% RSG]]*$Q$108</f>
        <v>44.569461904109588</v>
      </c>
      <c r="K423" s="163">
        <f>IMSS[[#This Row],[DIAS LAB]]*$J$110*$Q$109</f>
        <v>548.47440000000006</v>
      </c>
      <c r="L423" s="166">
        <f ca="1">IMSS[[#This Row],[DIAS LAB]]*IF(IMSS[[#This Row],[SDI]]-$J$113&gt;0,IMSS[[#This Row],[SDI]]-$J$113,0)*$Q$110</f>
        <v>1.4728849315068304</v>
      </c>
      <c r="M423" s="166">
        <f ca="1">IMSS[[#This Row],[DIAS LAB]]*IMSS[[#This Row],[SDI]]*$Q$111</f>
        <v>86.096835616438355</v>
      </c>
      <c r="N423" s="163">
        <f ca="1">IMSS[[#This Row],[DIAS LAB]]*IMSS[[#This Row],[SDI]]*$Q$112</f>
        <v>57.397890410958901</v>
      </c>
      <c r="O423" s="166">
        <f ca="1">IMSS[[#This Row],[DIAS LAB]]*IMSS[[#This Row],[SDI]]*$Q$113</f>
        <v>143.49472602739726</v>
      </c>
      <c r="P423" s="163">
        <f ca="1">IMSS[[#This Row],[DIAS LAB]]*IMSS[[#This Row],[SDI]]*$Q$114</f>
        <v>81.996986301369859</v>
      </c>
      <c r="Q423" s="166">
        <f ca="1">IMSS[[#This Row],[DIAS LAB]]*IMSS[[#This Row],[SDI]]*$Q$115</f>
        <v>163.99397260273972</v>
      </c>
      <c r="R423" s="163">
        <f ca="1">IMSS[[#This Row],[DIAS LAB]]*IMSS[[#This Row],[SDI]]*$Q$116</f>
        <v>258.29050684931502</v>
      </c>
      <c r="S423" s="163">
        <f ca="1">IMSS[[#This Row],[DIAS LAB]]*IMSS[[#This Row],[SDI]]*$Q$117</f>
        <v>409.98493150684931</v>
      </c>
      <c r="T423" s="164">
        <f ca="1">SUM(IMSS[[#This Row],[P RSG TRB]:[P INFONAVIT]])</f>
        <v>1795.7725961506851</v>
      </c>
      <c r="U423" s="163">
        <f ca="1">IMSS[[#This Row],[DIAS LAB]]*IMSS[[#This Row],[SDI]]*IMSS[[#This Row],[% RSG]]*$R$108</f>
        <v>0</v>
      </c>
      <c r="V423" s="163">
        <f ca="1">IMSS[[#This Row],[DIAS LAB]]*IMSS[[#This Row],[SDI]]*$R$112</f>
        <v>20.499246575342465</v>
      </c>
      <c r="W423" s="163"/>
      <c r="X423" s="163">
        <f ca="1">IMSS[[#This Row],[DIAS LAB]]*IMSS[[#This Row],[SDI]]*$R$113</f>
        <v>51.658101369863004</v>
      </c>
      <c r="Y423" s="163">
        <f ca="1">IMSS[[#This Row],[DIAS LAB]]*IMSS[[#This Row],[SDI]]*$R$114</f>
        <v>0</v>
      </c>
      <c r="Z423" s="163">
        <f ca="1">IMSS[[#This Row],[DIAS LAB]]*IMSS[[#This Row],[SDI]]*$R$115</f>
        <v>0</v>
      </c>
      <c r="AA423" s="163">
        <f ca="1">IMSS[[#This Row],[DIAS LAB]]*IMSS[[#This Row],[SDI]]*$R$116</f>
        <v>92.656594520547927</v>
      </c>
      <c r="AB423" s="163">
        <f ca="1">IMSS[[#This Row],[DIAS LAB]]*IMSS[[#This Row],[SDI]]*$R$117</f>
        <v>0</v>
      </c>
      <c r="AC423" s="247">
        <f ca="1">SUM(IMSS[[#This Row],[O RSG TRB]:[O INFONAVIT]])</f>
        <v>164.8139424657534</v>
      </c>
      <c r="AD423" s="163"/>
      <c r="AE423" s="165">
        <f ca="1">IMSS[[#This Row],[P TOTAL]]+IMSS[[#This Row],[O TOTAL]]</f>
        <v>1960.5865386164385</v>
      </c>
      <c r="AF423" s="163"/>
      <c r="AG423" s="163">
        <f>VLOOKUP(IMSS[[#This Row],[SUE MENS]],$AG$110:$AJ$120,1,1)</f>
        <v>5470.93</v>
      </c>
      <c r="AH423" s="163">
        <f>IMSS[[#This Row],[SUE MENS]]-IMSS[[#This Row],[LIM INF]]</f>
        <v>1974.0699999999997</v>
      </c>
      <c r="AI423" s="163">
        <f>IMSS[[#This Row],[EXC LIM INF]]*(VLOOKUP(IMSS[[#This Row],[LIM INF]],$AG$110:$AJ$120,4,0))</f>
        <v>214.77881599999998</v>
      </c>
      <c r="AJ423" s="163">
        <f>VLOOKUP(IMSS[[#This Row],[LIM INF]],$AG$110:$AJ$120,3)</f>
        <v>321.26</v>
      </c>
      <c r="AK423" s="163">
        <f>SUM(IMSS[[#This Row],[TASA EXC]]+IMSS[[#This Row],[CUOTA FIJA]])</f>
        <v>536.038816</v>
      </c>
      <c r="AL423" s="163">
        <f>VLOOKUP(IMSS[[#This Row],[SUE MENS]],$AL$110:$AN$120,3,1)</f>
        <v>0</v>
      </c>
      <c r="AM423" s="248">
        <f>IF(IMSS[[#This Row],[ISR CARGO]]-IMSS[[#This Row],[SUBS ISR]]&gt;0,IMSS[[#This Row],[ISR CARGO]]-IMSS[[#This Row],[SUBS ISR]],0)</f>
        <v>536.038816</v>
      </c>
      <c r="AN423" s="248">
        <f>IF(IMSS[[#This Row],[SUBS ISR]]-IMSS[[#This Row],[ISR CARGO]]&gt;0,IMSS[[#This Row],[SUBS ISR]]-IMSS[[#This Row],[ISR CARGO]],0)</f>
        <v>0</v>
      </c>
    </row>
    <row r="424" spans="3:40" ht="15" hidden="1" customHeight="1" x14ac:dyDescent="0.25">
      <c r="C424" s="243">
        <v>474</v>
      </c>
      <c r="D424" s="167" t="str">
        <f>VLOOKUP(IMSS[[#This Row],[NEM]],BDD[],2,0)</f>
        <v xml:space="preserve">Nadya Nallely Rangel </v>
      </c>
      <c r="E424" s="167" t="str">
        <f>VLOOKUP(IMSS[[#This Row],[NEM]],BDD[],9,0)</f>
        <v>NÓMINAS</v>
      </c>
      <c r="F424" s="168">
        <v>30</v>
      </c>
      <c r="G424" s="139">
        <f>VLOOKUP(IMSS[[#This Row],[NEM]],BDD[],3,0)</f>
        <v>9541</v>
      </c>
      <c r="H424" s="139">
        <f ca="1">VLOOKUP(IMSS[[#This Row],[NEM]],BDD[],25,0)</f>
        <v>350.27232876712327</v>
      </c>
      <c r="I424" s="143">
        <f>VLOOKUP(IMSS[[#This Row],[DEPT]],$B$3:$G$49,6,0)</f>
        <v>5.4355000000000002E-3</v>
      </c>
      <c r="J424" s="163">
        <f ca="1">IMSS[[#This Row],[DIAS LAB]]*IMSS[[#This Row],[SDI]]*IMSS[[#This Row],[% RSG]]*$Q$108</f>
        <v>57.117157290410958</v>
      </c>
      <c r="K424" s="163">
        <f>IMSS[[#This Row],[DIAS LAB]]*$J$110*$Q$109</f>
        <v>548.47440000000006</v>
      </c>
      <c r="L424" s="166">
        <f ca="1">IMSS[[#This Row],[DIAS LAB]]*IF(IMSS[[#This Row],[SDI]]-$J$113&gt;0,IMSS[[#This Row],[SDI]]-$J$113,0)*$Q$110</f>
        <v>26.866068493150674</v>
      </c>
      <c r="M424" s="166">
        <f ca="1">IMSS[[#This Row],[DIAS LAB]]*IMSS[[#This Row],[SDI]]*$Q$111</f>
        <v>110.33578356164384</v>
      </c>
      <c r="N424" s="163">
        <f ca="1">IMSS[[#This Row],[DIAS LAB]]*IMSS[[#This Row],[SDI]]*$Q$112</f>
        <v>73.557189041095882</v>
      </c>
      <c r="O424" s="166">
        <f ca="1">IMSS[[#This Row],[DIAS LAB]]*IMSS[[#This Row],[SDI]]*$Q$113</f>
        <v>183.89297260273972</v>
      </c>
      <c r="P424" s="163">
        <f ca="1">IMSS[[#This Row],[DIAS LAB]]*IMSS[[#This Row],[SDI]]*$Q$114</f>
        <v>105.08169863013698</v>
      </c>
      <c r="Q424" s="166">
        <f ca="1">IMSS[[#This Row],[DIAS LAB]]*IMSS[[#This Row],[SDI]]*$Q$115</f>
        <v>210.16339726027397</v>
      </c>
      <c r="R424" s="163">
        <f ca="1">IMSS[[#This Row],[DIAS LAB]]*IMSS[[#This Row],[SDI]]*$Q$116</f>
        <v>331.00735068493151</v>
      </c>
      <c r="S424" s="163">
        <f ca="1">IMSS[[#This Row],[DIAS LAB]]*IMSS[[#This Row],[SDI]]*$Q$117</f>
        <v>525.40849315068488</v>
      </c>
      <c r="T424" s="164">
        <f ca="1">SUM(IMSS[[#This Row],[P RSG TRB]:[P INFONAVIT]])</f>
        <v>2171.9045107150687</v>
      </c>
      <c r="U424" s="163">
        <f ca="1">IMSS[[#This Row],[DIAS LAB]]*IMSS[[#This Row],[SDI]]*IMSS[[#This Row],[% RSG]]*$R$108</f>
        <v>0</v>
      </c>
      <c r="V424" s="163">
        <f ca="1">IMSS[[#This Row],[DIAS LAB]]*IMSS[[#This Row],[SDI]]*$R$112</f>
        <v>26.270424657534246</v>
      </c>
      <c r="W424" s="163"/>
      <c r="X424" s="163">
        <f ca="1">IMSS[[#This Row],[DIAS LAB]]*IMSS[[#This Row],[SDI]]*$R$113</f>
        <v>66.201470136986302</v>
      </c>
      <c r="Y424" s="163">
        <f ca="1">IMSS[[#This Row],[DIAS LAB]]*IMSS[[#This Row],[SDI]]*$R$114</f>
        <v>0</v>
      </c>
      <c r="Z424" s="163">
        <f ca="1">IMSS[[#This Row],[DIAS LAB]]*IMSS[[#This Row],[SDI]]*$R$115</f>
        <v>0</v>
      </c>
      <c r="AA424" s="163">
        <f ca="1">IMSS[[#This Row],[DIAS LAB]]*IMSS[[#This Row],[SDI]]*$R$116</f>
        <v>118.74231945205479</v>
      </c>
      <c r="AB424" s="163">
        <f ca="1">IMSS[[#This Row],[DIAS LAB]]*IMSS[[#This Row],[SDI]]*$R$117</f>
        <v>0</v>
      </c>
      <c r="AC424" s="247">
        <f ca="1">SUM(IMSS[[#This Row],[O RSG TRB]:[O INFONAVIT]])</f>
        <v>211.21421424657535</v>
      </c>
      <c r="AD424" s="163"/>
      <c r="AE424" s="165">
        <f ca="1">IMSS[[#This Row],[P TOTAL]]+IMSS[[#This Row],[O TOTAL]]</f>
        <v>2383.1187249616441</v>
      </c>
      <c r="AF424" s="163"/>
      <c r="AG424" s="163">
        <f>VLOOKUP(IMSS[[#This Row],[SUE MENS]],$AG$110:$AJ$120,1,1)</f>
        <v>5470.93</v>
      </c>
      <c r="AH424" s="163">
        <f>IMSS[[#This Row],[SUE MENS]]-IMSS[[#This Row],[LIM INF]]</f>
        <v>4070.0699999999997</v>
      </c>
      <c r="AI424" s="163">
        <f>IMSS[[#This Row],[EXC LIM INF]]*(VLOOKUP(IMSS[[#This Row],[LIM INF]],$AG$110:$AJ$120,4,0))</f>
        <v>442.82361600000002</v>
      </c>
      <c r="AJ424" s="163">
        <f>VLOOKUP(IMSS[[#This Row],[LIM INF]],$AG$110:$AJ$120,3)</f>
        <v>321.26</v>
      </c>
      <c r="AK424" s="163">
        <f>SUM(IMSS[[#This Row],[TASA EXC]]+IMSS[[#This Row],[CUOTA FIJA]])</f>
        <v>764.08361600000001</v>
      </c>
      <c r="AL424" s="163">
        <f>VLOOKUP(IMSS[[#This Row],[SUE MENS]],$AL$110:$AN$120,3,1)</f>
        <v>0</v>
      </c>
      <c r="AM424" s="248">
        <f>IF(IMSS[[#This Row],[ISR CARGO]]-IMSS[[#This Row],[SUBS ISR]]&gt;0,IMSS[[#This Row],[ISR CARGO]]-IMSS[[#This Row],[SUBS ISR]],0)</f>
        <v>764.08361600000001</v>
      </c>
      <c r="AN424" s="248">
        <f>IF(IMSS[[#This Row],[SUBS ISR]]-IMSS[[#This Row],[ISR CARGO]]&gt;0,IMSS[[#This Row],[SUBS ISR]]-IMSS[[#This Row],[ISR CARGO]],0)</f>
        <v>0</v>
      </c>
    </row>
    <row r="425" spans="3:40" ht="15" hidden="1" customHeight="1" x14ac:dyDescent="0.25">
      <c r="C425" s="243">
        <v>475</v>
      </c>
      <c r="D425" s="167" t="str">
        <f>VLOOKUP(IMSS[[#This Row],[NEM]],BDD[],2,0)</f>
        <v>Jaime  Jaime Garza</v>
      </c>
      <c r="E425" s="167" t="str">
        <f>VLOOKUP(IMSS[[#This Row],[NEM]],BDD[],9,0)</f>
        <v>ARQUITECT</v>
      </c>
      <c r="F425" s="168">
        <v>30</v>
      </c>
      <c r="G425" s="139">
        <f>VLOOKUP(IMSS[[#This Row],[NEM]],BDD[],3,0)</f>
        <v>9450</v>
      </c>
      <c r="H425" s="139">
        <f ca="1">VLOOKUP(IMSS[[#This Row],[NEM]],BDD[],25,0)</f>
        <v>346.93150684931504</v>
      </c>
      <c r="I425" s="143">
        <f>VLOOKUP(IMSS[[#This Row],[DEPT]],$B$3:$G$49,6,0)</f>
        <v>2.5984400000000001E-2</v>
      </c>
      <c r="J425" s="163">
        <f ca="1">IMSS[[#This Row],[DIAS LAB]]*IMSS[[#This Row],[SDI]]*IMSS[[#This Row],[% RSG]]*$Q$108</f>
        <v>270.44421139726023</v>
      </c>
      <c r="K425" s="163">
        <f>IMSS[[#This Row],[DIAS LAB]]*$J$110*$Q$109</f>
        <v>548.47440000000006</v>
      </c>
      <c r="L425" s="166">
        <f ca="1">IMSS[[#This Row],[DIAS LAB]]*IF(IMSS[[#This Row],[SDI]]-$J$113&gt;0,IMSS[[#This Row],[SDI]]-$J$113,0)*$Q$110</f>
        <v>25.763597260273958</v>
      </c>
      <c r="M425" s="166">
        <f ca="1">IMSS[[#This Row],[DIAS LAB]]*IMSS[[#This Row],[SDI]]*$Q$111</f>
        <v>109.28342465753424</v>
      </c>
      <c r="N425" s="163">
        <f ca="1">IMSS[[#This Row],[DIAS LAB]]*IMSS[[#This Row],[SDI]]*$Q$112</f>
        <v>72.855616438356165</v>
      </c>
      <c r="O425" s="166">
        <f ca="1">IMSS[[#This Row],[DIAS LAB]]*IMSS[[#This Row],[SDI]]*$Q$113</f>
        <v>182.13904109589041</v>
      </c>
      <c r="P425" s="163">
        <f ca="1">IMSS[[#This Row],[DIAS LAB]]*IMSS[[#This Row],[SDI]]*$Q$114</f>
        <v>104.07945205479452</v>
      </c>
      <c r="Q425" s="166">
        <f ca="1">IMSS[[#This Row],[DIAS LAB]]*IMSS[[#This Row],[SDI]]*$Q$115</f>
        <v>208.15890410958903</v>
      </c>
      <c r="R425" s="163">
        <f ca="1">IMSS[[#This Row],[DIAS LAB]]*IMSS[[#This Row],[SDI]]*$Q$116</f>
        <v>327.85027397260274</v>
      </c>
      <c r="S425" s="163">
        <f ca="1">IMSS[[#This Row],[DIAS LAB]]*IMSS[[#This Row],[SDI]]*$Q$117</f>
        <v>520.39726027397262</v>
      </c>
      <c r="T425" s="164">
        <f ca="1">SUM(IMSS[[#This Row],[P RSG TRB]:[P INFONAVIT]])</f>
        <v>2369.446181260274</v>
      </c>
      <c r="U425" s="163">
        <f ca="1">IMSS[[#This Row],[DIAS LAB]]*IMSS[[#This Row],[SDI]]*IMSS[[#This Row],[% RSG]]*$R$108</f>
        <v>0</v>
      </c>
      <c r="V425" s="163">
        <f ca="1">IMSS[[#This Row],[DIAS LAB]]*IMSS[[#This Row],[SDI]]*$R$112</f>
        <v>26.019863013698629</v>
      </c>
      <c r="W425" s="163"/>
      <c r="X425" s="163">
        <f ca="1">IMSS[[#This Row],[DIAS LAB]]*IMSS[[#This Row],[SDI]]*$R$113</f>
        <v>65.570054794520544</v>
      </c>
      <c r="Y425" s="163">
        <f ca="1">IMSS[[#This Row],[DIAS LAB]]*IMSS[[#This Row],[SDI]]*$R$114</f>
        <v>0</v>
      </c>
      <c r="Z425" s="163">
        <f ca="1">IMSS[[#This Row],[DIAS LAB]]*IMSS[[#This Row],[SDI]]*$R$115</f>
        <v>0</v>
      </c>
      <c r="AA425" s="163">
        <f ca="1">IMSS[[#This Row],[DIAS LAB]]*IMSS[[#This Row],[SDI]]*$R$116</f>
        <v>117.60978082191779</v>
      </c>
      <c r="AB425" s="163">
        <f ca="1">IMSS[[#This Row],[DIAS LAB]]*IMSS[[#This Row],[SDI]]*$R$117</f>
        <v>0</v>
      </c>
      <c r="AC425" s="247">
        <f ca="1">SUM(IMSS[[#This Row],[O RSG TRB]:[O INFONAVIT]])</f>
        <v>209.19969863013696</v>
      </c>
      <c r="AD425" s="163"/>
      <c r="AE425" s="165">
        <f ca="1">IMSS[[#This Row],[P TOTAL]]+IMSS[[#This Row],[O TOTAL]]</f>
        <v>2578.6458798904109</v>
      </c>
      <c r="AF425" s="163"/>
      <c r="AG425" s="163">
        <f>VLOOKUP(IMSS[[#This Row],[SUE MENS]],$AG$110:$AJ$120,1,1)</f>
        <v>5470.93</v>
      </c>
      <c r="AH425" s="163">
        <f>IMSS[[#This Row],[SUE MENS]]-IMSS[[#This Row],[LIM INF]]</f>
        <v>3979.0699999999997</v>
      </c>
      <c r="AI425" s="163">
        <f>IMSS[[#This Row],[EXC LIM INF]]*(VLOOKUP(IMSS[[#This Row],[LIM INF]],$AG$110:$AJ$120,4,0))</f>
        <v>432.92281600000001</v>
      </c>
      <c r="AJ425" s="163">
        <f>VLOOKUP(IMSS[[#This Row],[LIM INF]],$AG$110:$AJ$120,3)</f>
        <v>321.26</v>
      </c>
      <c r="AK425" s="163">
        <f>SUM(IMSS[[#This Row],[TASA EXC]]+IMSS[[#This Row],[CUOTA FIJA]])</f>
        <v>754.182816</v>
      </c>
      <c r="AL425" s="163">
        <f>VLOOKUP(IMSS[[#This Row],[SUE MENS]],$AL$110:$AN$120,3,1)</f>
        <v>0</v>
      </c>
      <c r="AM425" s="248">
        <f>IF(IMSS[[#This Row],[ISR CARGO]]-IMSS[[#This Row],[SUBS ISR]]&gt;0,IMSS[[#This Row],[ISR CARGO]]-IMSS[[#This Row],[SUBS ISR]],0)</f>
        <v>754.182816</v>
      </c>
      <c r="AN425" s="248">
        <f>IF(IMSS[[#This Row],[SUBS ISR]]-IMSS[[#This Row],[ISR CARGO]]&gt;0,IMSS[[#This Row],[SUBS ISR]]-IMSS[[#This Row],[ISR CARGO]],0)</f>
        <v>0</v>
      </c>
    </row>
    <row r="426" spans="3:40" ht="15" hidden="1" customHeight="1" x14ac:dyDescent="0.25">
      <c r="C426" s="243">
        <v>476</v>
      </c>
      <c r="D426" s="167" t="str">
        <f>VLOOKUP(IMSS[[#This Row],[NEM]],BDD[],2,0)</f>
        <v>María De Los Ángeles Toledo López</v>
      </c>
      <c r="E426" s="167" t="str">
        <f>VLOOKUP(IMSS[[#This Row],[NEM]],BDD[],9,0)</f>
        <v>SOFTWARE</v>
      </c>
      <c r="F426" s="168">
        <v>30</v>
      </c>
      <c r="G426" s="139">
        <f>VLOOKUP(IMSS[[#This Row],[NEM]],BDD[],3,0)</f>
        <v>7950</v>
      </c>
      <c r="H426" s="139">
        <f ca="1">VLOOKUP(IMSS[[#This Row],[NEM]],BDD[],25,0)</f>
        <v>291.86301369863014</v>
      </c>
      <c r="I426" s="143">
        <f>VLOOKUP(IMSS[[#This Row],[DEPT]],$B$3:$G$49,6,0)</f>
        <v>1.130658E-2</v>
      </c>
      <c r="J426" s="163">
        <f ca="1">IMSS[[#This Row],[DIAS LAB]]*IMSS[[#This Row],[SDI]]*IMSS[[#This Row],[% RSG]]*$Q$108</f>
        <v>98.999175402739723</v>
      </c>
      <c r="K426" s="163">
        <f>IMSS[[#This Row],[DIAS LAB]]*$J$110*$Q$109</f>
        <v>548.47440000000006</v>
      </c>
      <c r="L426" s="166">
        <f ca="1">IMSS[[#This Row],[DIAS LAB]]*IF(IMSS[[#This Row],[SDI]]-$J$113&gt;0,IMSS[[#This Row],[SDI]]-$J$113,0)*$Q$110</f>
        <v>7.5909945205479419</v>
      </c>
      <c r="M426" s="166">
        <f ca="1">IMSS[[#This Row],[DIAS LAB]]*IMSS[[#This Row],[SDI]]*$Q$111</f>
        <v>91.9368493150685</v>
      </c>
      <c r="N426" s="163">
        <f ca="1">IMSS[[#This Row],[DIAS LAB]]*IMSS[[#This Row],[SDI]]*$Q$112</f>
        <v>61.291232876712328</v>
      </c>
      <c r="O426" s="166">
        <f ca="1">IMSS[[#This Row],[DIAS LAB]]*IMSS[[#This Row],[SDI]]*$Q$113</f>
        <v>153.22808219178083</v>
      </c>
      <c r="P426" s="163">
        <f ca="1">IMSS[[#This Row],[DIAS LAB]]*IMSS[[#This Row],[SDI]]*$Q$114</f>
        <v>87.558904109589037</v>
      </c>
      <c r="Q426" s="166">
        <f ca="1">IMSS[[#This Row],[DIAS LAB]]*IMSS[[#This Row],[SDI]]*$Q$115</f>
        <v>175.11780821917807</v>
      </c>
      <c r="R426" s="163">
        <f ca="1">IMSS[[#This Row],[DIAS LAB]]*IMSS[[#This Row],[SDI]]*$Q$116</f>
        <v>275.81054794520549</v>
      </c>
      <c r="S426" s="163">
        <f ca="1">IMSS[[#This Row],[DIAS LAB]]*IMSS[[#This Row],[SDI]]*$Q$117</f>
        <v>437.79452054794524</v>
      </c>
      <c r="T426" s="164">
        <f ca="1">SUM(IMSS[[#This Row],[P RSG TRB]:[P INFONAVIT]])</f>
        <v>1937.8025151287673</v>
      </c>
      <c r="U426" s="163">
        <f ca="1">IMSS[[#This Row],[DIAS LAB]]*IMSS[[#This Row],[SDI]]*IMSS[[#This Row],[% RSG]]*$R$108</f>
        <v>0</v>
      </c>
      <c r="V426" s="163">
        <f ca="1">IMSS[[#This Row],[DIAS LAB]]*IMSS[[#This Row],[SDI]]*$R$112</f>
        <v>21.889726027397259</v>
      </c>
      <c r="W426" s="163"/>
      <c r="X426" s="163">
        <f ca="1">IMSS[[#This Row],[DIAS LAB]]*IMSS[[#This Row],[SDI]]*$R$113</f>
        <v>55.162109589041094</v>
      </c>
      <c r="Y426" s="163">
        <f ca="1">IMSS[[#This Row],[DIAS LAB]]*IMSS[[#This Row],[SDI]]*$R$114</f>
        <v>0</v>
      </c>
      <c r="Z426" s="163">
        <f ca="1">IMSS[[#This Row],[DIAS LAB]]*IMSS[[#This Row],[SDI]]*$R$115</f>
        <v>0</v>
      </c>
      <c r="AA426" s="163">
        <f ca="1">IMSS[[#This Row],[DIAS LAB]]*IMSS[[#This Row],[SDI]]*$R$116</f>
        <v>98.941561643835612</v>
      </c>
      <c r="AB426" s="163">
        <f ca="1">IMSS[[#This Row],[DIAS LAB]]*IMSS[[#This Row],[SDI]]*$R$117</f>
        <v>0</v>
      </c>
      <c r="AC426" s="247">
        <f ca="1">SUM(IMSS[[#This Row],[O RSG TRB]:[O INFONAVIT]])</f>
        <v>175.99339726027398</v>
      </c>
      <c r="AD426" s="163"/>
      <c r="AE426" s="165">
        <f ca="1">IMSS[[#This Row],[P TOTAL]]+IMSS[[#This Row],[O TOTAL]]</f>
        <v>2113.7959123890414</v>
      </c>
      <c r="AF426" s="163"/>
      <c r="AG426" s="163">
        <f>VLOOKUP(IMSS[[#This Row],[SUE MENS]],$AG$110:$AJ$120,1,1)</f>
        <v>5470.93</v>
      </c>
      <c r="AH426" s="163">
        <f>IMSS[[#This Row],[SUE MENS]]-IMSS[[#This Row],[LIM INF]]</f>
        <v>2479.0699999999997</v>
      </c>
      <c r="AI426" s="163">
        <f>IMSS[[#This Row],[EXC LIM INF]]*(VLOOKUP(IMSS[[#This Row],[LIM INF]],$AG$110:$AJ$120,4,0))</f>
        <v>269.72281599999997</v>
      </c>
      <c r="AJ426" s="163">
        <f>VLOOKUP(IMSS[[#This Row],[LIM INF]],$AG$110:$AJ$120,3)</f>
        <v>321.26</v>
      </c>
      <c r="AK426" s="163">
        <f>SUM(IMSS[[#This Row],[TASA EXC]]+IMSS[[#This Row],[CUOTA FIJA]])</f>
        <v>590.98281599999996</v>
      </c>
      <c r="AL426" s="163">
        <f>VLOOKUP(IMSS[[#This Row],[SUE MENS]],$AL$110:$AN$120,3,1)</f>
        <v>0</v>
      </c>
      <c r="AM426" s="248">
        <f>IF(IMSS[[#This Row],[ISR CARGO]]-IMSS[[#This Row],[SUBS ISR]]&gt;0,IMSS[[#This Row],[ISR CARGO]]-IMSS[[#This Row],[SUBS ISR]],0)</f>
        <v>590.98281599999996</v>
      </c>
      <c r="AN426" s="248">
        <f>IF(IMSS[[#This Row],[SUBS ISR]]-IMSS[[#This Row],[ISR CARGO]]&gt;0,IMSS[[#This Row],[SUBS ISR]]-IMSS[[#This Row],[ISR CARGO]],0)</f>
        <v>0</v>
      </c>
    </row>
    <row r="427" spans="3:40" ht="15" hidden="1" customHeight="1" x14ac:dyDescent="0.25">
      <c r="C427" s="243">
        <v>477</v>
      </c>
      <c r="D427" s="167" t="str">
        <f>VLOOKUP(IMSS[[#This Row],[NEM]],BDD[],2,0)</f>
        <v>Karyme Liliana Netro Chávez</v>
      </c>
      <c r="E427" s="167" t="str">
        <f>VLOOKUP(IMSS[[#This Row],[NEM]],BDD[],9,0)</f>
        <v>NÓMINAS</v>
      </c>
      <c r="F427" s="168">
        <v>30</v>
      </c>
      <c r="G427" s="139">
        <f>VLOOKUP(IMSS[[#This Row],[NEM]],BDD[],3,0)</f>
        <v>7445</v>
      </c>
      <c r="H427" s="139">
        <f ca="1">VLOOKUP(IMSS[[#This Row],[NEM]],BDD[],25,0)</f>
        <v>273.32328767123283</v>
      </c>
      <c r="I427" s="143">
        <f>VLOOKUP(IMSS[[#This Row],[DEPT]],$B$3:$G$49,6,0)</f>
        <v>5.4355000000000002E-3</v>
      </c>
      <c r="J427" s="163">
        <f ca="1">IMSS[[#This Row],[DIAS LAB]]*IMSS[[#This Row],[SDI]]*IMSS[[#This Row],[% RSG]]*$Q$108</f>
        <v>44.569461904109588</v>
      </c>
      <c r="K427" s="163">
        <f>IMSS[[#This Row],[DIAS LAB]]*$J$110*$Q$109</f>
        <v>548.47440000000006</v>
      </c>
      <c r="L427" s="166">
        <f ca="1">IMSS[[#This Row],[DIAS LAB]]*IF(IMSS[[#This Row],[SDI]]-$J$113&gt;0,IMSS[[#This Row],[SDI]]-$J$113,0)*$Q$110</f>
        <v>1.4728849315068304</v>
      </c>
      <c r="M427" s="166">
        <f ca="1">IMSS[[#This Row],[DIAS LAB]]*IMSS[[#This Row],[SDI]]*$Q$111</f>
        <v>86.096835616438355</v>
      </c>
      <c r="N427" s="163">
        <f ca="1">IMSS[[#This Row],[DIAS LAB]]*IMSS[[#This Row],[SDI]]*$Q$112</f>
        <v>57.397890410958901</v>
      </c>
      <c r="O427" s="166">
        <f ca="1">IMSS[[#This Row],[DIAS LAB]]*IMSS[[#This Row],[SDI]]*$Q$113</f>
        <v>143.49472602739726</v>
      </c>
      <c r="P427" s="163">
        <f ca="1">IMSS[[#This Row],[DIAS LAB]]*IMSS[[#This Row],[SDI]]*$Q$114</f>
        <v>81.996986301369859</v>
      </c>
      <c r="Q427" s="166">
        <f ca="1">IMSS[[#This Row],[DIAS LAB]]*IMSS[[#This Row],[SDI]]*$Q$115</f>
        <v>163.99397260273972</v>
      </c>
      <c r="R427" s="163">
        <f ca="1">IMSS[[#This Row],[DIAS LAB]]*IMSS[[#This Row],[SDI]]*$Q$116</f>
        <v>258.29050684931502</v>
      </c>
      <c r="S427" s="163">
        <f ca="1">IMSS[[#This Row],[DIAS LAB]]*IMSS[[#This Row],[SDI]]*$Q$117</f>
        <v>409.98493150684931</v>
      </c>
      <c r="T427" s="164">
        <f ca="1">SUM(IMSS[[#This Row],[P RSG TRB]:[P INFONAVIT]])</f>
        <v>1795.7725961506851</v>
      </c>
      <c r="U427" s="163">
        <f ca="1">IMSS[[#This Row],[DIAS LAB]]*IMSS[[#This Row],[SDI]]*IMSS[[#This Row],[% RSG]]*$R$108</f>
        <v>0</v>
      </c>
      <c r="V427" s="163">
        <f ca="1">IMSS[[#This Row],[DIAS LAB]]*IMSS[[#This Row],[SDI]]*$R$112</f>
        <v>20.499246575342465</v>
      </c>
      <c r="W427" s="163"/>
      <c r="X427" s="163">
        <f ca="1">IMSS[[#This Row],[DIAS LAB]]*IMSS[[#This Row],[SDI]]*$R$113</f>
        <v>51.658101369863004</v>
      </c>
      <c r="Y427" s="163">
        <f ca="1">IMSS[[#This Row],[DIAS LAB]]*IMSS[[#This Row],[SDI]]*$R$114</f>
        <v>0</v>
      </c>
      <c r="Z427" s="163">
        <f ca="1">IMSS[[#This Row],[DIAS LAB]]*IMSS[[#This Row],[SDI]]*$R$115</f>
        <v>0</v>
      </c>
      <c r="AA427" s="163">
        <f ca="1">IMSS[[#This Row],[DIAS LAB]]*IMSS[[#This Row],[SDI]]*$R$116</f>
        <v>92.656594520547927</v>
      </c>
      <c r="AB427" s="163">
        <f ca="1">IMSS[[#This Row],[DIAS LAB]]*IMSS[[#This Row],[SDI]]*$R$117</f>
        <v>0</v>
      </c>
      <c r="AC427" s="247">
        <f ca="1">SUM(IMSS[[#This Row],[O RSG TRB]:[O INFONAVIT]])</f>
        <v>164.8139424657534</v>
      </c>
      <c r="AD427" s="163"/>
      <c r="AE427" s="165">
        <f ca="1">IMSS[[#This Row],[P TOTAL]]+IMSS[[#This Row],[O TOTAL]]</f>
        <v>1960.5865386164385</v>
      </c>
      <c r="AF427" s="163"/>
      <c r="AG427" s="163">
        <f>VLOOKUP(IMSS[[#This Row],[SUE MENS]],$AG$110:$AJ$120,1,1)</f>
        <v>5470.93</v>
      </c>
      <c r="AH427" s="163">
        <f>IMSS[[#This Row],[SUE MENS]]-IMSS[[#This Row],[LIM INF]]</f>
        <v>1974.0699999999997</v>
      </c>
      <c r="AI427" s="163">
        <f>IMSS[[#This Row],[EXC LIM INF]]*(VLOOKUP(IMSS[[#This Row],[LIM INF]],$AG$110:$AJ$120,4,0))</f>
        <v>214.77881599999998</v>
      </c>
      <c r="AJ427" s="163">
        <f>VLOOKUP(IMSS[[#This Row],[LIM INF]],$AG$110:$AJ$120,3)</f>
        <v>321.26</v>
      </c>
      <c r="AK427" s="163">
        <f>SUM(IMSS[[#This Row],[TASA EXC]]+IMSS[[#This Row],[CUOTA FIJA]])</f>
        <v>536.038816</v>
      </c>
      <c r="AL427" s="163">
        <f>VLOOKUP(IMSS[[#This Row],[SUE MENS]],$AL$110:$AN$120,3,1)</f>
        <v>0</v>
      </c>
      <c r="AM427" s="248">
        <f>IF(IMSS[[#This Row],[ISR CARGO]]-IMSS[[#This Row],[SUBS ISR]]&gt;0,IMSS[[#This Row],[ISR CARGO]]-IMSS[[#This Row],[SUBS ISR]],0)</f>
        <v>536.038816</v>
      </c>
      <c r="AN427" s="248">
        <f>IF(IMSS[[#This Row],[SUBS ISR]]-IMSS[[#This Row],[ISR CARGO]]&gt;0,IMSS[[#This Row],[SUBS ISR]]-IMSS[[#This Row],[ISR CARGO]],0)</f>
        <v>0</v>
      </c>
    </row>
    <row r="428" spans="3:40" ht="15" hidden="1" customHeight="1" x14ac:dyDescent="0.25">
      <c r="C428" s="243">
        <v>478</v>
      </c>
      <c r="D428" s="167" t="str">
        <f>VLOOKUP(IMSS[[#This Row],[NEM]],BDD[],2,0)</f>
        <v>Alfonso Robles Armijo</v>
      </c>
      <c r="E428" s="167" t="str">
        <f>VLOOKUP(IMSS[[#This Row],[NEM]],BDD[],9,0)</f>
        <v>SOFTWARE</v>
      </c>
      <c r="F428" s="168">
        <v>30</v>
      </c>
      <c r="G428" s="139">
        <f>VLOOKUP(IMSS[[#This Row],[NEM]],BDD[],3,0)</f>
        <v>7950</v>
      </c>
      <c r="H428" s="139">
        <f ca="1">VLOOKUP(IMSS[[#This Row],[NEM]],BDD[],25,0)</f>
        <v>291.86301369863014</v>
      </c>
      <c r="I428" s="143">
        <f>VLOOKUP(IMSS[[#This Row],[DEPT]],$B$3:$G$49,6,0)</f>
        <v>1.130658E-2</v>
      </c>
      <c r="J428" s="163">
        <f ca="1">IMSS[[#This Row],[DIAS LAB]]*IMSS[[#This Row],[SDI]]*IMSS[[#This Row],[% RSG]]*$Q$108</f>
        <v>98.999175402739723</v>
      </c>
      <c r="K428" s="163">
        <f>IMSS[[#This Row],[DIAS LAB]]*$J$110*$Q$109</f>
        <v>548.47440000000006</v>
      </c>
      <c r="L428" s="166">
        <f ca="1">IMSS[[#This Row],[DIAS LAB]]*IF(IMSS[[#This Row],[SDI]]-$J$113&gt;0,IMSS[[#This Row],[SDI]]-$J$113,0)*$Q$110</f>
        <v>7.5909945205479419</v>
      </c>
      <c r="M428" s="166">
        <f ca="1">IMSS[[#This Row],[DIAS LAB]]*IMSS[[#This Row],[SDI]]*$Q$111</f>
        <v>91.9368493150685</v>
      </c>
      <c r="N428" s="163">
        <f ca="1">IMSS[[#This Row],[DIAS LAB]]*IMSS[[#This Row],[SDI]]*$Q$112</f>
        <v>61.291232876712328</v>
      </c>
      <c r="O428" s="166">
        <f ca="1">IMSS[[#This Row],[DIAS LAB]]*IMSS[[#This Row],[SDI]]*$Q$113</f>
        <v>153.22808219178083</v>
      </c>
      <c r="P428" s="163">
        <f ca="1">IMSS[[#This Row],[DIAS LAB]]*IMSS[[#This Row],[SDI]]*$Q$114</f>
        <v>87.558904109589037</v>
      </c>
      <c r="Q428" s="166">
        <f ca="1">IMSS[[#This Row],[DIAS LAB]]*IMSS[[#This Row],[SDI]]*$Q$115</f>
        <v>175.11780821917807</v>
      </c>
      <c r="R428" s="163">
        <f ca="1">IMSS[[#This Row],[DIAS LAB]]*IMSS[[#This Row],[SDI]]*$Q$116</f>
        <v>275.81054794520549</v>
      </c>
      <c r="S428" s="163">
        <f ca="1">IMSS[[#This Row],[DIAS LAB]]*IMSS[[#This Row],[SDI]]*$Q$117</f>
        <v>437.79452054794524</v>
      </c>
      <c r="T428" s="164">
        <f ca="1">SUM(IMSS[[#This Row],[P RSG TRB]:[P INFONAVIT]])</f>
        <v>1937.8025151287673</v>
      </c>
      <c r="U428" s="163">
        <f ca="1">IMSS[[#This Row],[DIAS LAB]]*IMSS[[#This Row],[SDI]]*IMSS[[#This Row],[% RSG]]*$R$108</f>
        <v>0</v>
      </c>
      <c r="V428" s="163">
        <f ca="1">IMSS[[#This Row],[DIAS LAB]]*IMSS[[#This Row],[SDI]]*$R$112</f>
        <v>21.889726027397259</v>
      </c>
      <c r="W428" s="163"/>
      <c r="X428" s="163">
        <f ca="1">IMSS[[#This Row],[DIAS LAB]]*IMSS[[#This Row],[SDI]]*$R$113</f>
        <v>55.162109589041094</v>
      </c>
      <c r="Y428" s="163">
        <f ca="1">IMSS[[#This Row],[DIAS LAB]]*IMSS[[#This Row],[SDI]]*$R$114</f>
        <v>0</v>
      </c>
      <c r="Z428" s="163">
        <f ca="1">IMSS[[#This Row],[DIAS LAB]]*IMSS[[#This Row],[SDI]]*$R$115</f>
        <v>0</v>
      </c>
      <c r="AA428" s="163">
        <f ca="1">IMSS[[#This Row],[DIAS LAB]]*IMSS[[#This Row],[SDI]]*$R$116</f>
        <v>98.941561643835612</v>
      </c>
      <c r="AB428" s="163">
        <f ca="1">IMSS[[#This Row],[DIAS LAB]]*IMSS[[#This Row],[SDI]]*$R$117</f>
        <v>0</v>
      </c>
      <c r="AC428" s="247">
        <f ca="1">SUM(IMSS[[#This Row],[O RSG TRB]:[O INFONAVIT]])</f>
        <v>175.99339726027398</v>
      </c>
      <c r="AD428" s="163"/>
      <c r="AE428" s="165">
        <f ca="1">IMSS[[#This Row],[P TOTAL]]+IMSS[[#This Row],[O TOTAL]]</f>
        <v>2113.7959123890414</v>
      </c>
      <c r="AF428" s="163"/>
      <c r="AG428" s="163">
        <f>VLOOKUP(IMSS[[#This Row],[SUE MENS]],$AG$110:$AJ$120,1,1)</f>
        <v>5470.93</v>
      </c>
      <c r="AH428" s="163">
        <f>IMSS[[#This Row],[SUE MENS]]-IMSS[[#This Row],[LIM INF]]</f>
        <v>2479.0699999999997</v>
      </c>
      <c r="AI428" s="163">
        <f>IMSS[[#This Row],[EXC LIM INF]]*(VLOOKUP(IMSS[[#This Row],[LIM INF]],$AG$110:$AJ$120,4,0))</f>
        <v>269.72281599999997</v>
      </c>
      <c r="AJ428" s="163">
        <f>VLOOKUP(IMSS[[#This Row],[LIM INF]],$AG$110:$AJ$120,3)</f>
        <v>321.26</v>
      </c>
      <c r="AK428" s="163">
        <f>SUM(IMSS[[#This Row],[TASA EXC]]+IMSS[[#This Row],[CUOTA FIJA]])</f>
        <v>590.98281599999996</v>
      </c>
      <c r="AL428" s="163">
        <f>VLOOKUP(IMSS[[#This Row],[SUE MENS]],$AL$110:$AN$120,3,1)</f>
        <v>0</v>
      </c>
      <c r="AM428" s="248">
        <f>IF(IMSS[[#This Row],[ISR CARGO]]-IMSS[[#This Row],[SUBS ISR]]&gt;0,IMSS[[#This Row],[ISR CARGO]]-IMSS[[#This Row],[SUBS ISR]],0)</f>
        <v>590.98281599999996</v>
      </c>
      <c r="AN428" s="248">
        <f>IF(IMSS[[#This Row],[SUBS ISR]]-IMSS[[#This Row],[ISR CARGO]]&gt;0,IMSS[[#This Row],[SUBS ISR]]-IMSS[[#This Row],[ISR CARGO]],0)</f>
        <v>0</v>
      </c>
    </row>
    <row r="429" spans="3:40" ht="15" hidden="1" customHeight="1" x14ac:dyDescent="0.25">
      <c r="C429" s="243">
        <v>479</v>
      </c>
      <c r="D429" s="167" t="str">
        <f>VLOOKUP(IMSS[[#This Row],[NEM]],BDD[],2,0)</f>
        <v>Valeria Solís Elizondo</v>
      </c>
      <c r="E429" s="167" t="str">
        <f>VLOOKUP(IMSS[[#This Row],[NEM]],BDD[],9,0)</f>
        <v>INST CAMPO</v>
      </c>
      <c r="F429" s="168">
        <v>30</v>
      </c>
      <c r="G429" s="139">
        <f>VLOOKUP(IMSS[[#This Row],[NEM]],BDD[],3,0)</f>
        <v>9450</v>
      </c>
      <c r="H429" s="139">
        <f ca="1">VLOOKUP(IMSS[[#This Row],[NEM]],BDD[],25,0)</f>
        <v>346.93150684931504</v>
      </c>
      <c r="I429" s="143">
        <f>VLOOKUP(IMSS[[#This Row],[DEPT]],$B$3:$G$49,6,0)</f>
        <v>4.6532499999999997E-2</v>
      </c>
      <c r="J429" s="163">
        <f ca="1">IMSS[[#This Row],[DIAS LAB]]*IMSS[[#This Row],[SDI]]*IMSS[[#This Row],[% RSG]]*$Q$108</f>
        <v>484.30771027397253</v>
      </c>
      <c r="K429" s="163">
        <f>IMSS[[#This Row],[DIAS LAB]]*$J$110*$Q$109</f>
        <v>548.47440000000006</v>
      </c>
      <c r="L429" s="166">
        <f ca="1">IMSS[[#This Row],[DIAS LAB]]*IF(IMSS[[#This Row],[SDI]]-$J$113&gt;0,IMSS[[#This Row],[SDI]]-$J$113,0)*$Q$110</f>
        <v>25.763597260273958</v>
      </c>
      <c r="M429" s="166">
        <f ca="1">IMSS[[#This Row],[DIAS LAB]]*IMSS[[#This Row],[SDI]]*$Q$111</f>
        <v>109.28342465753424</v>
      </c>
      <c r="N429" s="163">
        <f ca="1">IMSS[[#This Row],[DIAS LAB]]*IMSS[[#This Row],[SDI]]*$Q$112</f>
        <v>72.855616438356165</v>
      </c>
      <c r="O429" s="166">
        <f ca="1">IMSS[[#This Row],[DIAS LAB]]*IMSS[[#This Row],[SDI]]*$Q$113</f>
        <v>182.13904109589041</v>
      </c>
      <c r="P429" s="163">
        <f ca="1">IMSS[[#This Row],[DIAS LAB]]*IMSS[[#This Row],[SDI]]*$Q$114</f>
        <v>104.07945205479452</v>
      </c>
      <c r="Q429" s="166">
        <f ca="1">IMSS[[#This Row],[DIAS LAB]]*IMSS[[#This Row],[SDI]]*$Q$115</f>
        <v>208.15890410958903</v>
      </c>
      <c r="R429" s="163">
        <f ca="1">IMSS[[#This Row],[DIAS LAB]]*IMSS[[#This Row],[SDI]]*$Q$116</f>
        <v>327.85027397260274</v>
      </c>
      <c r="S429" s="163">
        <f ca="1">IMSS[[#This Row],[DIAS LAB]]*IMSS[[#This Row],[SDI]]*$Q$117</f>
        <v>520.39726027397262</v>
      </c>
      <c r="T429" s="164">
        <f ca="1">SUM(IMSS[[#This Row],[P RSG TRB]:[P INFONAVIT]])</f>
        <v>2583.3096801369861</v>
      </c>
      <c r="U429" s="163">
        <f ca="1">IMSS[[#This Row],[DIAS LAB]]*IMSS[[#This Row],[SDI]]*IMSS[[#This Row],[% RSG]]*$R$108</f>
        <v>0</v>
      </c>
      <c r="V429" s="163">
        <f ca="1">IMSS[[#This Row],[DIAS LAB]]*IMSS[[#This Row],[SDI]]*$R$112</f>
        <v>26.019863013698629</v>
      </c>
      <c r="W429" s="163"/>
      <c r="X429" s="163">
        <f ca="1">IMSS[[#This Row],[DIAS LAB]]*IMSS[[#This Row],[SDI]]*$R$113</f>
        <v>65.570054794520544</v>
      </c>
      <c r="Y429" s="163">
        <f ca="1">IMSS[[#This Row],[DIAS LAB]]*IMSS[[#This Row],[SDI]]*$R$114</f>
        <v>0</v>
      </c>
      <c r="Z429" s="163">
        <f ca="1">IMSS[[#This Row],[DIAS LAB]]*IMSS[[#This Row],[SDI]]*$R$115</f>
        <v>0</v>
      </c>
      <c r="AA429" s="163">
        <f ca="1">IMSS[[#This Row],[DIAS LAB]]*IMSS[[#This Row],[SDI]]*$R$116</f>
        <v>117.60978082191779</v>
      </c>
      <c r="AB429" s="163">
        <f ca="1">IMSS[[#This Row],[DIAS LAB]]*IMSS[[#This Row],[SDI]]*$R$117</f>
        <v>0</v>
      </c>
      <c r="AC429" s="247">
        <f ca="1">SUM(IMSS[[#This Row],[O RSG TRB]:[O INFONAVIT]])</f>
        <v>209.19969863013696</v>
      </c>
      <c r="AD429" s="163"/>
      <c r="AE429" s="165">
        <f ca="1">IMSS[[#This Row],[P TOTAL]]+IMSS[[#This Row],[O TOTAL]]</f>
        <v>2792.5093787671231</v>
      </c>
      <c r="AF429" s="163"/>
      <c r="AG429" s="163">
        <f>VLOOKUP(IMSS[[#This Row],[SUE MENS]],$AG$110:$AJ$120,1,1)</f>
        <v>5470.93</v>
      </c>
      <c r="AH429" s="163">
        <f>IMSS[[#This Row],[SUE MENS]]-IMSS[[#This Row],[LIM INF]]</f>
        <v>3979.0699999999997</v>
      </c>
      <c r="AI429" s="163">
        <f>IMSS[[#This Row],[EXC LIM INF]]*(VLOOKUP(IMSS[[#This Row],[LIM INF]],$AG$110:$AJ$120,4,0))</f>
        <v>432.92281600000001</v>
      </c>
      <c r="AJ429" s="163">
        <f>VLOOKUP(IMSS[[#This Row],[LIM INF]],$AG$110:$AJ$120,3)</f>
        <v>321.26</v>
      </c>
      <c r="AK429" s="163">
        <f>SUM(IMSS[[#This Row],[TASA EXC]]+IMSS[[#This Row],[CUOTA FIJA]])</f>
        <v>754.182816</v>
      </c>
      <c r="AL429" s="163">
        <f>VLOOKUP(IMSS[[#This Row],[SUE MENS]],$AL$110:$AN$120,3,1)</f>
        <v>0</v>
      </c>
      <c r="AM429" s="248">
        <f>IF(IMSS[[#This Row],[ISR CARGO]]-IMSS[[#This Row],[SUBS ISR]]&gt;0,IMSS[[#This Row],[ISR CARGO]]-IMSS[[#This Row],[SUBS ISR]],0)</f>
        <v>754.182816</v>
      </c>
      <c r="AN429" s="248">
        <f>IF(IMSS[[#This Row],[SUBS ISR]]-IMSS[[#This Row],[ISR CARGO]]&gt;0,IMSS[[#This Row],[SUBS ISR]]-IMSS[[#This Row],[ISR CARGO]],0)</f>
        <v>0</v>
      </c>
    </row>
    <row r="430" spans="3:40" ht="15" hidden="1" customHeight="1" x14ac:dyDescent="0.25">
      <c r="C430" s="243">
        <v>482</v>
      </c>
      <c r="D430" s="167" t="str">
        <f>VLOOKUP(IMSS[[#This Row],[NEM]],BDD[],2,0)</f>
        <v>Miriam Guadalupe Flores Gracida</v>
      </c>
      <c r="E430" s="167" t="str">
        <f>VLOOKUP(IMSS[[#This Row],[NEM]],BDD[],9,0)</f>
        <v>RENDER</v>
      </c>
      <c r="F430" s="168">
        <v>30</v>
      </c>
      <c r="G430" s="139">
        <f>VLOOKUP(IMSS[[#This Row],[NEM]],BDD[],3,0)</f>
        <v>9450</v>
      </c>
      <c r="H430" s="139">
        <f ca="1">VLOOKUP(IMSS[[#This Row],[NEM]],BDD[],25,0)</f>
        <v>346.93150684931504</v>
      </c>
      <c r="I430" s="143">
        <f>VLOOKUP(IMSS[[#This Row],[DEPT]],$B$3:$G$49,6,0)</f>
        <v>2.5984400000000001E-2</v>
      </c>
      <c r="J430" s="163">
        <f ca="1">IMSS[[#This Row],[DIAS LAB]]*IMSS[[#This Row],[SDI]]*IMSS[[#This Row],[% RSG]]*$Q$108</f>
        <v>270.44421139726023</v>
      </c>
      <c r="K430" s="163">
        <f>IMSS[[#This Row],[DIAS LAB]]*$J$110*$Q$109</f>
        <v>548.47440000000006</v>
      </c>
      <c r="L430" s="166">
        <f ca="1">IMSS[[#This Row],[DIAS LAB]]*IF(IMSS[[#This Row],[SDI]]-$J$113&gt;0,IMSS[[#This Row],[SDI]]-$J$113,0)*$Q$110</f>
        <v>25.763597260273958</v>
      </c>
      <c r="M430" s="166">
        <f ca="1">IMSS[[#This Row],[DIAS LAB]]*IMSS[[#This Row],[SDI]]*$Q$111</f>
        <v>109.28342465753424</v>
      </c>
      <c r="N430" s="163">
        <f ca="1">IMSS[[#This Row],[DIAS LAB]]*IMSS[[#This Row],[SDI]]*$Q$112</f>
        <v>72.855616438356165</v>
      </c>
      <c r="O430" s="166">
        <f ca="1">IMSS[[#This Row],[DIAS LAB]]*IMSS[[#This Row],[SDI]]*$Q$113</f>
        <v>182.13904109589041</v>
      </c>
      <c r="P430" s="163">
        <f ca="1">IMSS[[#This Row],[DIAS LAB]]*IMSS[[#This Row],[SDI]]*$Q$114</f>
        <v>104.07945205479452</v>
      </c>
      <c r="Q430" s="166">
        <f ca="1">IMSS[[#This Row],[DIAS LAB]]*IMSS[[#This Row],[SDI]]*$Q$115</f>
        <v>208.15890410958903</v>
      </c>
      <c r="R430" s="163">
        <f ca="1">IMSS[[#This Row],[DIAS LAB]]*IMSS[[#This Row],[SDI]]*$Q$116</f>
        <v>327.85027397260274</v>
      </c>
      <c r="S430" s="163">
        <f ca="1">IMSS[[#This Row],[DIAS LAB]]*IMSS[[#This Row],[SDI]]*$Q$117</f>
        <v>520.39726027397262</v>
      </c>
      <c r="T430" s="164">
        <f ca="1">SUM(IMSS[[#This Row],[P RSG TRB]:[P INFONAVIT]])</f>
        <v>2369.446181260274</v>
      </c>
      <c r="U430" s="163">
        <f ca="1">IMSS[[#This Row],[DIAS LAB]]*IMSS[[#This Row],[SDI]]*IMSS[[#This Row],[% RSG]]*$R$108</f>
        <v>0</v>
      </c>
      <c r="V430" s="163">
        <f ca="1">IMSS[[#This Row],[DIAS LAB]]*IMSS[[#This Row],[SDI]]*$R$112</f>
        <v>26.019863013698629</v>
      </c>
      <c r="W430" s="163"/>
      <c r="X430" s="163">
        <f ca="1">IMSS[[#This Row],[DIAS LAB]]*IMSS[[#This Row],[SDI]]*$R$113</f>
        <v>65.570054794520544</v>
      </c>
      <c r="Y430" s="163">
        <f ca="1">IMSS[[#This Row],[DIAS LAB]]*IMSS[[#This Row],[SDI]]*$R$114</f>
        <v>0</v>
      </c>
      <c r="Z430" s="163">
        <f ca="1">IMSS[[#This Row],[DIAS LAB]]*IMSS[[#This Row],[SDI]]*$R$115</f>
        <v>0</v>
      </c>
      <c r="AA430" s="163">
        <f ca="1">IMSS[[#This Row],[DIAS LAB]]*IMSS[[#This Row],[SDI]]*$R$116</f>
        <v>117.60978082191779</v>
      </c>
      <c r="AB430" s="163">
        <f ca="1">IMSS[[#This Row],[DIAS LAB]]*IMSS[[#This Row],[SDI]]*$R$117</f>
        <v>0</v>
      </c>
      <c r="AC430" s="247">
        <f ca="1">SUM(IMSS[[#This Row],[O RSG TRB]:[O INFONAVIT]])</f>
        <v>209.19969863013696</v>
      </c>
      <c r="AD430" s="163"/>
      <c r="AE430" s="165">
        <f ca="1">IMSS[[#This Row],[P TOTAL]]+IMSS[[#This Row],[O TOTAL]]</f>
        <v>2578.6458798904109</v>
      </c>
      <c r="AF430" s="163"/>
      <c r="AG430" s="163">
        <f>VLOOKUP(IMSS[[#This Row],[SUE MENS]],$AG$110:$AJ$120,1,1)</f>
        <v>5470.93</v>
      </c>
      <c r="AH430" s="163">
        <f>IMSS[[#This Row],[SUE MENS]]-IMSS[[#This Row],[LIM INF]]</f>
        <v>3979.0699999999997</v>
      </c>
      <c r="AI430" s="163">
        <f>IMSS[[#This Row],[EXC LIM INF]]*(VLOOKUP(IMSS[[#This Row],[LIM INF]],$AG$110:$AJ$120,4,0))</f>
        <v>432.92281600000001</v>
      </c>
      <c r="AJ430" s="163">
        <f>VLOOKUP(IMSS[[#This Row],[LIM INF]],$AG$110:$AJ$120,3)</f>
        <v>321.26</v>
      </c>
      <c r="AK430" s="163">
        <f>SUM(IMSS[[#This Row],[TASA EXC]]+IMSS[[#This Row],[CUOTA FIJA]])</f>
        <v>754.182816</v>
      </c>
      <c r="AL430" s="163">
        <f>VLOOKUP(IMSS[[#This Row],[SUE MENS]],$AL$110:$AN$120,3,1)</f>
        <v>0</v>
      </c>
      <c r="AM430" s="248">
        <f>IF(IMSS[[#This Row],[ISR CARGO]]-IMSS[[#This Row],[SUBS ISR]]&gt;0,IMSS[[#This Row],[ISR CARGO]]-IMSS[[#This Row],[SUBS ISR]],0)</f>
        <v>754.182816</v>
      </c>
      <c r="AN430" s="248">
        <f>IF(IMSS[[#This Row],[SUBS ISR]]-IMSS[[#This Row],[ISR CARGO]]&gt;0,IMSS[[#This Row],[SUBS ISR]]-IMSS[[#This Row],[ISR CARGO]],0)</f>
        <v>0</v>
      </c>
    </row>
    <row r="431" spans="3:40" ht="15" hidden="1" customHeight="1" x14ac:dyDescent="0.25">
      <c r="C431" s="243">
        <v>484</v>
      </c>
      <c r="D431" s="167" t="str">
        <f>VLOOKUP(IMSS[[#This Row],[NEM]],BDD[],2,0)</f>
        <v>Lizeth Anahi Hernandez Sanchez</v>
      </c>
      <c r="E431" s="167" t="str">
        <f>VLOOKUP(IMSS[[#This Row],[NEM]],BDD[],9,0)</f>
        <v>COLECTIVOS</v>
      </c>
      <c r="F431" s="168">
        <v>30</v>
      </c>
      <c r="G431" s="139">
        <f>VLOOKUP(IMSS[[#This Row],[NEM]],BDD[],3,0)</f>
        <v>9450</v>
      </c>
      <c r="H431" s="139">
        <f ca="1">VLOOKUP(IMSS[[#This Row],[NEM]],BDD[],25,0)</f>
        <v>346.93150684931504</v>
      </c>
      <c r="I431" s="143">
        <f>VLOOKUP(IMSS[[#This Row],[DEPT]],$B$3:$G$49,6,0)</f>
        <v>5.4355000000000002E-3</v>
      </c>
      <c r="J431" s="163">
        <f ca="1">IMSS[[#This Row],[DIAS LAB]]*IMSS[[#This Row],[SDI]]*IMSS[[#This Row],[% RSG]]*$Q$108</f>
        <v>56.572386164383559</v>
      </c>
      <c r="K431" s="163">
        <f>IMSS[[#This Row],[DIAS LAB]]*$J$110*$Q$109</f>
        <v>548.47440000000006</v>
      </c>
      <c r="L431" s="166">
        <f ca="1">IMSS[[#This Row],[DIAS LAB]]*IF(IMSS[[#This Row],[SDI]]-$J$113&gt;0,IMSS[[#This Row],[SDI]]-$J$113,0)*$Q$110</f>
        <v>25.763597260273958</v>
      </c>
      <c r="M431" s="166">
        <f ca="1">IMSS[[#This Row],[DIAS LAB]]*IMSS[[#This Row],[SDI]]*$Q$111</f>
        <v>109.28342465753424</v>
      </c>
      <c r="N431" s="163">
        <f ca="1">IMSS[[#This Row],[DIAS LAB]]*IMSS[[#This Row],[SDI]]*$Q$112</f>
        <v>72.855616438356165</v>
      </c>
      <c r="O431" s="166">
        <f ca="1">IMSS[[#This Row],[DIAS LAB]]*IMSS[[#This Row],[SDI]]*$Q$113</f>
        <v>182.13904109589041</v>
      </c>
      <c r="P431" s="163">
        <f ca="1">IMSS[[#This Row],[DIAS LAB]]*IMSS[[#This Row],[SDI]]*$Q$114</f>
        <v>104.07945205479452</v>
      </c>
      <c r="Q431" s="166">
        <f ca="1">IMSS[[#This Row],[DIAS LAB]]*IMSS[[#This Row],[SDI]]*$Q$115</f>
        <v>208.15890410958903</v>
      </c>
      <c r="R431" s="163">
        <f ca="1">IMSS[[#This Row],[DIAS LAB]]*IMSS[[#This Row],[SDI]]*$Q$116</f>
        <v>327.85027397260274</v>
      </c>
      <c r="S431" s="163">
        <f ca="1">IMSS[[#This Row],[DIAS LAB]]*IMSS[[#This Row],[SDI]]*$Q$117</f>
        <v>520.39726027397262</v>
      </c>
      <c r="T431" s="164">
        <f ca="1">SUM(IMSS[[#This Row],[P RSG TRB]:[P INFONAVIT]])</f>
        <v>2155.5743560273972</v>
      </c>
      <c r="U431" s="163">
        <f ca="1">IMSS[[#This Row],[DIAS LAB]]*IMSS[[#This Row],[SDI]]*IMSS[[#This Row],[% RSG]]*$R$108</f>
        <v>0</v>
      </c>
      <c r="V431" s="163">
        <f ca="1">IMSS[[#This Row],[DIAS LAB]]*IMSS[[#This Row],[SDI]]*$R$112</f>
        <v>26.019863013698629</v>
      </c>
      <c r="W431" s="163"/>
      <c r="X431" s="163">
        <f ca="1">IMSS[[#This Row],[DIAS LAB]]*IMSS[[#This Row],[SDI]]*$R$113</f>
        <v>65.570054794520544</v>
      </c>
      <c r="Y431" s="163">
        <f ca="1">IMSS[[#This Row],[DIAS LAB]]*IMSS[[#This Row],[SDI]]*$R$114</f>
        <v>0</v>
      </c>
      <c r="Z431" s="163">
        <f ca="1">IMSS[[#This Row],[DIAS LAB]]*IMSS[[#This Row],[SDI]]*$R$115</f>
        <v>0</v>
      </c>
      <c r="AA431" s="163">
        <f ca="1">IMSS[[#This Row],[DIAS LAB]]*IMSS[[#This Row],[SDI]]*$R$116</f>
        <v>117.60978082191779</v>
      </c>
      <c r="AB431" s="163">
        <f ca="1">IMSS[[#This Row],[DIAS LAB]]*IMSS[[#This Row],[SDI]]*$R$117</f>
        <v>0</v>
      </c>
      <c r="AC431" s="247">
        <f ca="1">SUM(IMSS[[#This Row],[O RSG TRB]:[O INFONAVIT]])</f>
        <v>209.19969863013696</v>
      </c>
      <c r="AD431" s="163"/>
      <c r="AE431" s="165">
        <f ca="1">IMSS[[#This Row],[P TOTAL]]+IMSS[[#This Row],[O TOTAL]]</f>
        <v>2364.7740546575342</v>
      </c>
      <c r="AF431" s="163"/>
      <c r="AG431" s="163">
        <f>VLOOKUP(IMSS[[#This Row],[SUE MENS]],$AG$110:$AJ$120,1,1)</f>
        <v>5470.93</v>
      </c>
      <c r="AH431" s="163">
        <f>IMSS[[#This Row],[SUE MENS]]-IMSS[[#This Row],[LIM INF]]</f>
        <v>3979.0699999999997</v>
      </c>
      <c r="AI431" s="163">
        <f>IMSS[[#This Row],[EXC LIM INF]]*(VLOOKUP(IMSS[[#This Row],[LIM INF]],$AG$110:$AJ$120,4,0))</f>
        <v>432.92281600000001</v>
      </c>
      <c r="AJ431" s="163">
        <f>VLOOKUP(IMSS[[#This Row],[LIM INF]],$AG$110:$AJ$120,3)</f>
        <v>321.26</v>
      </c>
      <c r="AK431" s="163">
        <f>SUM(IMSS[[#This Row],[TASA EXC]]+IMSS[[#This Row],[CUOTA FIJA]])</f>
        <v>754.182816</v>
      </c>
      <c r="AL431" s="163">
        <f>VLOOKUP(IMSS[[#This Row],[SUE MENS]],$AL$110:$AN$120,3,1)</f>
        <v>0</v>
      </c>
      <c r="AM431" s="248">
        <f>IF(IMSS[[#This Row],[ISR CARGO]]-IMSS[[#This Row],[SUBS ISR]]&gt;0,IMSS[[#This Row],[ISR CARGO]]-IMSS[[#This Row],[SUBS ISR]],0)</f>
        <v>754.182816</v>
      </c>
      <c r="AN431" s="248">
        <f>IF(IMSS[[#This Row],[SUBS ISR]]-IMSS[[#This Row],[ISR CARGO]]&gt;0,IMSS[[#This Row],[SUBS ISR]]-IMSS[[#This Row],[ISR CARGO]],0)</f>
        <v>0</v>
      </c>
    </row>
    <row r="432" spans="3:40" ht="15" hidden="1" customHeight="1" x14ac:dyDescent="0.25">
      <c r="C432" s="243">
        <v>485</v>
      </c>
      <c r="D432" s="167" t="str">
        <f>VLOOKUP(IMSS[[#This Row],[NEM]],BDD[],2,0)</f>
        <v>Elda Guadalupe Aripez Romero</v>
      </c>
      <c r="E432" s="167" t="str">
        <f>VLOOKUP(IMSS[[#This Row],[NEM]],BDD[],9,0)</f>
        <v>CONTROL</v>
      </c>
      <c r="F432" s="168">
        <v>30</v>
      </c>
      <c r="G432" s="139">
        <f>VLOOKUP(IMSS[[#This Row],[NEM]],BDD[],3,0)</f>
        <v>9541</v>
      </c>
      <c r="H432" s="139">
        <f ca="1">VLOOKUP(IMSS[[#This Row],[NEM]],BDD[],25,0)</f>
        <v>350.27232876712327</v>
      </c>
      <c r="I432" s="143">
        <f>VLOOKUP(IMSS[[#This Row],[DEPT]],$B$3:$G$49,6,0)</f>
        <v>5.4355000000000002E-3</v>
      </c>
      <c r="J432" s="163">
        <f ca="1">IMSS[[#This Row],[DIAS LAB]]*IMSS[[#This Row],[SDI]]*IMSS[[#This Row],[% RSG]]*$Q$108</f>
        <v>57.117157290410958</v>
      </c>
      <c r="K432" s="163">
        <f>IMSS[[#This Row],[DIAS LAB]]*$J$110*$Q$109</f>
        <v>548.47440000000006</v>
      </c>
      <c r="L432" s="166">
        <f ca="1">IMSS[[#This Row],[DIAS LAB]]*IF(IMSS[[#This Row],[SDI]]-$J$113&gt;0,IMSS[[#This Row],[SDI]]-$J$113,0)*$Q$110</f>
        <v>26.866068493150674</v>
      </c>
      <c r="M432" s="166">
        <f ca="1">IMSS[[#This Row],[DIAS LAB]]*IMSS[[#This Row],[SDI]]*$Q$111</f>
        <v>110.33578356164384</v>
      </c>
      <c r="N432" s="163">
        <f ca="1">IMSS[[#This Row],[DIAS LAB]]*IMSS[[#This Row],[SDI]]*$Q$112</f>
        <v>73.557189041095882</v>
      </c>
      <c r="O432" s="166">
        <f ca="1">IMSS[[#This Row],[DIAS LAB]]*IMSS[[#This Row],[SDI]]*$Q$113</f>
        <v>183.89297260273972</v>
      </c>
      <c r="P432" s="163">
        <f ca="1">IMSS[[#This Row],[DIAS LAB]]*IMSS[[#This Row],[SDI]]*$Q$114</f>
        <v>105.08169863013698</v>
      </c>
      <c r="Q432" s="166">
        <f ca="1">IMSS[[#This Row],[DIAS LAB]]*IMSS[[#This Row],[SDI]]*$Q$115</f>
        <v>210.16339726027397</v>
      </c>
      <c r="R432" s="163">
        <f ca="1">IMSS[[#This Row],[DIAS LAB]]*IMSS[[#This Row],[SDI]]*$Q$116</f>
        <v>331.00735068493151</v>
      </c>
      <c r="S432" s="163">
        <f ca="1">IMSS[[#This Row],[DIAS LAB]]*IMSS[[#This Row],[SDI]]*$Q$117</f>
        <v>525.40849315068488</v>
      </c>
      <c r="T432" s="164">
        <f ca="1">SUM(IMSS[[#This Row],[P RSG TRB]:[P INFONAVIT]])</f>
        <v>2171.9045107150687</v>
      </c>
      <c r="U432" s="163">
        <f ca="1">IMSS[[#This Row],[DIAS LAB]]*IMSS[[#This Row],[SDI]]*IMSS[[#This Row],[% RSG]]*$R$108</f>
        <v>0</v>
      </c>
      <c r="V432" s="163">
        <f ca="1">IMSS[[#This Row],[DIAS LAB]]*IMSS[[#This Row],[SDI]]*$R$112</f>
        <v>26.270424657534246</v>
      </c>
      <c r="W432" s="163"/>
      <c r="X432" s="163">
        <f ca="1">IMSS[[#This Row],[DIAS LAB]]*IMSS[[#This Row],[SDI]]*$R$113</f>
        <v>66.201470136986302</v>
      </c>
      <c r="Y432" s="163">
        <f ca="1">IMSS[[#This Row],[DIAS LAB]]*IMSS[[#This Row],[SDI]]*$R$114</f>
        <v>0</v>
      </c>
      <c r="Z432" s="163">
        <f ca="1">IMSS[[#This Row],[DIAS LAB]]*IMSS[[#This Row],[SDI]]*$R$115</f>
        <v>0</v>
      </c>
      <c r="AA432" s="163">
        <f ca="1">IMSS[[#This Row],[DIAS LAB]]*IMSS[[#This Row],[SDI]]*$R$116</f>
        <v>118.74231945205479</v>
      </c>
      <c r="AB432" s="163">
        <f ca="1">IMSS[[#This Row],[DIAS LAB]]*IMSS[[#This Row],[SDI]]*$R$117</f>
        <v>0</v>
      </c>
      <c r="AC432" s="247">
        <f ca="1">SUM(IMSS[[#This Row],[O RSG TRB]:[O INFONAVIT]])</f>
        <v>211.21421424657535</v>
      </c>
      <c r="AD432" s="163"/>
      <c r="AE432" s="165">
        <f ca="1">IMSS[[#This Row],[P TOTAL]]+IMSS[[#This Row],[O TOTAL]]</f>
        <v>2383.1187249616441</v>
      </c>
      <c r="AF432" s="163"/>
      <c r="AG432" s="163">
        <f>VLOOKUP(IMSS[[#This Row],[SUE MENS]],$AG$110:$AJ$120,1,1)</f>
        <v>5470.93</v>
      </c>
      <c r="AH432" s="163">
        <f>IMSS[[#This Row],[SUE MENS]]-IMSS[[#This Row],[LIM INF]]</f>
        <v>4070.0699999999997</v>
      </c>
      <c r="AI432" s="163">
        <f>IMSS[[#This Row],[EXC LIM INF]]*(VLOOKUP(IMSS[[#This Row],[LIM INF]],$AG$110:$AJ$120,4,0))</f>
        <v>442.82361600000002</v>
      </c>
      <c r="AJ432" s="163">
        <f>VLOOKUP(IMSS[[#This Row],[LIM INF]],$AG$110:$AJ$120,3)</f>
        <v>321.26</v>
      </c>
      <c r="AK432" s="163">
        <f>SUM(IMSS[[#This Row],[TASA EXC]]+IMSS[[#This Row],[CUOTA FIJA]])</f>
        <v>764.08361600000001</v>
      </c>
      <c r="AL432" s="163">
        <f>VLOOKUP(IMSS[[#This Row],[SUE MENS]],$AL$110:$AN$120,3,1)</f>
        <v>0</v>
      </c>
      <c r="AM432" s="248">
        <f>IF(IMSS[[#This Row],[ISR CARGO]]-IMSS[[#This Row],[SUBS ISR]]&gt;0,IMSS[[#This Row],[ISR CARGO]]-IMSS[[#This Row],[SUBS ISR]],0)</f>
        <v>764.08361600000001</v>
      </c>
      <c r="AN432" s="248">
        <f>IF(IMSS[[#This Row],[SUBS ISR]]-IMSS[[#This Row],[ISR CARGO]]&gt;0,IMSS[[#This Row],[SUBS ISR]]-IMSS[[#This Row],[ISR CARGO]],0)</f>
        <v>0</v>
      </c>
    </row>
    <row r="433" spans="3:40" ht="15" hidden="1" customHeight="1" x14ac:dyDescent="0.25">
      <c r="C433" s="243">
        <v>486</v>
      </c>
      <c r="D433" s="167" t="str">
        <f>VLOOKUP(IMSS[[#This Row],[NEM]],BDD[],2,0)</f>
        <v>Gabriela Judith Alanis Hernandez</v>
      </c>
      <c r="E433" s="167" t="str">
        <f>VLOOKUP(IMSS[[#This Row],[NEM]],BDD[],9,0)</f>
        <v>AUDIT ADMN</v>
      </c>
      <c r="F433" s="168">
        <v>30</v>
      </c>
      <c r="G433" s="139">
        <f>VLOOKUP(IMSS[[#This Row],[NEM]],BDD[],3,0)</f>
        <v>9450</v>
      </c>
      <c r="H433" s="139">
        <f ca="1">VLOOKUP(IMSS[[#This Row],[NEM]],BDD[],25,0)</f>
        <v>346.93150684931504</v>
      </c>
      <c r="I433" s="143">
        <f>VLOOKUP(IMSS[[#This Row],[DEPT]],$B$3:$G$49,6,0)</f>
        <v>5.4355000000000002E-3</v>
      </c>
      <c r="J433" s="163">
        <f ca="1">IMSS[[#This Row],[DIAS LAB]]*IMSS[[#This Row],[SDI]]*IMSS[[#This Row],[% RSG]]*$Q$108</f>
        <v>56.572386164383559</v>
      </c>
      <c r="K433" s="163">
        <f>IMSS[[#This Row],[DIAS LAB]]*$J$110*$Q$109</f>
        <v>548.47440000000006</v>
      </c>
      <c r="L433" s="166">
        <f ca="1">IMSS[[#This Row],[DIAS LAB]]*IF(IMSS[[#This Row],[SDI]]-$J$113&gt;0,IMSS[[#This Row],[SDI]]-$J$113,0)*$Q$110</f>
        <v>25.763597260273958</v>
      </c>
      <c r="M433" s="166">
        <f ca="1">IMSS[[#This Row],[DIAS LAB]]*IMSS[[#This Row],[SDI]]*$Q$111</f>
        <v>109.28342465753424</v>
      </c>
      <c r="N433" s="163">
        <f ca="1">IMSS[[#This Row],[DIAS LAB]]*IMSS[[#This Row],[SDI]]*$Q$112</f>
        <v>72.855616438356165</v>
      </c>
      <c r="O433" s="166">
        <f ca="1">IMSS[[#This Row],[DIAS LAB]]*IMSS[[#This Row],[SDI]]*$Q$113</f>
        <v>182.13904109589041</v>
      </c>
      <c r="P433" s="163">
        <f ca="1">IMSS[[#This Row],[DIAS LAB]]*IMSS[[#This Row],[SDI]]*$Q$114</f>
        <v>104.07945205479452</v>
      </c>
      <c r="Q433" s="166">
        <f ca="1">IMSS[[#This Row],[DIAS LAB]]*IMSS[[#This Row],[SDI]]*$Q$115</f>
        <v>208.15890410958903</v>
      </c>
      <c r="R433" s="163">
        <f ca="1">IMSS[[#This Row],[DIAS LAB]]*IMSS[[#This Row],[SDI]]*$Q$116</f>
        <v>327.85027397260274</v>
      </c>
      <c r="S433" s="163">
        <f ca="1">IMSS[[#This Row],[DIAS LAB]]*IMSS[[#This Row],[SDI]]*$Q$117</f>
        <v>520.39726027397262</v>
      </c>
      <c r="T433" s="164">
        <f ca="1">SUM(IMSS[[#This Row],[P RSG TRB]:[P INFONAVIT]])</f>
        <v>2155.5743560273972</v>
      </c>
      <c r="U433" s="163">
        <f ca="1">IMSS[[#This Row],[DIAS LAB]]*IMSS[[#This Row],[SDI]]*IMSS[[#This Row],[% RSG]]*$R$108</f>
        <v>0</v>
      </c>
      <c r="V433" s="163">
        <f ca="1">IMSS[[#This Row],[DIAS LAB]]*IMSS[[#This Row],[SDI]]*$R$112</f>
        <v>26.019863013698629</v>
      </c>
      <c r="W433" s="163"/>
      <c r="X433" s="163">
        <f ca="1">IMSS[[#This Row],[DIAS LAB]]*IMSS[[#This Row],[SDI]]*$R$113</f>
        <v>65.570054794520544</v>
      </c>
      <c r="Y433" s="163">
        <f ca="1">IMSS[[#This Row],[DIAS LAB]]*IMSS[[#This Row],[SDI]]*$R$114</f>
        <v>0</v>
      </c>
      <c r="Z433" s="163">
        <f ca="1">IMSS[[#This Row],[DIAS LAB]]*IMSS[[#This Row],[SDI]]*$R$115</f>
        <v>0</v>
      </c>
      <c r="AA433" s="163">
        <f ca="1">IMSS[[#This Row],[DIAS LAB]]*IMSS[[#This Row],[SDI]]*$R$116</f>
        <v>117.60978082191779</v>
      </c>
      <c r="AB433" s="163">
        <f ca="1">IMSS[[#This Row],[DIAS LAB]]*IMSS[[#This Row],[SDI]]*$R$117</f>
        <v>0</v>
      </c>
      <c r="AC433" s="247">
        <f ca="1">SUM(IMSS[[#This Row],[O RSG TRB]:[O INFONAVIT]])</f>
        <v>209.19969863013696</v>
      </c>
      <c r="AD433" s="163"/>
      <c r="AE433" s="165">
        <f ca="1">IMSS[[#This Row],[P TOTAL]]+IMSS[[#This Row],[O TOTAL]]</f>
        <v>2364.7740546575342</v>
      </c>
      <c r="AF433" s="163"/>
      <c r="AG433" s="163">
        <f>VLOOKUP(IMSS[[#This Row],[SUE MENS]],$AG$110:$AJ$120,1,1)</f>
        <v>5470.93</v>
      </c>
      <c r="AH433" s="163">
        <f>IMSS[[#This Row],[SUE MENS]]-IMSS[[#This Row],[LIM INF]]</f>
        <v>3979.0699999999997</v>
      </c>
      <c r="AI433" s="163">
        <f>IMSS[[#This Row],[EXC LIM INF]]*(VLOOKUP(IMSS[[#This Row],[LIM INF]],$AG$110:$AJ$120,4,0))</f>
        <v>432.92281600000001</v>
      </c>
      <c r="AJ433" s="163">
        <f>VLOOKUP(IMSS[[#This Row],[LIM INF]],$AG$110:$AJ$120,3)</f>
        <v>321.26</v>
      </c>
      <c r="AK433" s="163">
        <f>SUM(IMSS[[#This Row],[TASA EXC]]+IMSS[[#This Row],[CUOTA FIJA]])</f>
        <v>754.182816</v>
      </c>
      <c r="AL433" s="163">
        <f>VLOOKUP(IMSS[[#This Row],[SUE MENS]],$AL$110:$AN$120,3,1)</f>
        <v>0</v>
      </c>
      <c r="AM433" s="248">
        <f>IF(IMSS[[#This Row],[ISR CARGO]]-IMSS[[#This Row],[SUBS ISR]]&gt;0,IMSS[[#This Row],[ISR CARGO]]-IMSS[[#This Row],[SUBS ISR]],0)</f>
        <v>754.182816</v>
      </c>
      <c r="AN433" s="248">
        <f>IF(IMSS[[#This Row],[SUBS ISR]]-IMSS[[#This Row],[ISR CARGO]]&gt;0,IMSS[[#This Row],[SUBS ISR]]-IMSS[[#This Row],[ISR CARGO]],0)</f>
        <v>0</v>
      </c>
    </row>
    <row r="434" spans="3:40" ht="15" hidden="1" customHeight="1" x14ac:dyDescent="0.25">
      <c r="C434" s="243">
        <v>487</v>
      </c>
      <c r="D434" s="167" t="str">
        <f>VLOOKUP(IMSS[[#This Row],[NEM]],BDD[],2,0)</f>
        <v>José Antonio Valdez Andraca</v>
      </c>
      <c r="E434" s="167" t="str">
        <f>VLOOKUP(IMSS[[#This Row],[NEM]],BDD[],9,0)</f>
        <v>ADMINCIÓN</v>
      </c>
      <c r="F434" s="168">
        <v>30</v>
      </c>
      <c r="G434" s="139">
        <f>VLOOKUP(IMSS[[#This Row],[NEM]],BDD[],3,0)</f>
        <v>10350</v>
      </c>
      <c r="H434" s="139">
        <f ca="1">VLOOKUP(IMSS[[#This Row],[NEM]],BDD[],25,0)</f>
        <v>379.97260273972597</v>
      </c>
      <c r="I434" s="143">
        <f>VLOOKUP(IMSS[[#This Row],[DEPT]],$B$3:$G$49,6,0)</f>
        <v>5.4355000000000002E-3</v>
      </c>
      <c r="J434" s="163">
        <f ca="1">IMSS[[#This Row],[DIAS LAB]]*IMSS[[#This Row],[SDI]]*IMSS[[#This Row],[% RSG]]*$Q$108</f>
        <v>61.960232465753414</v>
      </c>
      <c r="K434" s="163">
        <f>IMSS[[#This Row],[DIAS LAB]]*$J$110*$Q$109</f>
        <v>548.47440000000006</v>
      </c>
      <c r="L434" s="166">
        <f ca="1">IMSS[[#This Row],[DIAS LAB]]*IF(IMSS[[#This Row],[SDI]]-$J$113&gt;0,IMSS[[#This Row],[SDI]]-$J$113,0)*$Q$110</f>
        <v>36.667158904109563</v>
      </c>
      <c r="M434" s="166">
        <f ca="1">IMSS[[#This Row],[DIAS LAB]]*IMSS[[#This Row],[SDI]]*$Q$111</f>
        <v>119.69136986301368</v>
      </c>
      <c r="N434" s="163">
        <f ca="1">IMSS[[#This Row],[DIAS LAB]]*IMSS[[#This Row],[SDI]]*$Q$112</f>
        <v>79.794246575342456</v>
      </c>
      <c r="O434" s="166">
        <f ca="1">IMSS[[#This Row],[DIAS LAB]]*IMSS[[#This Row],[SDI]]*$Q$113</f>
        <v>199.48561643835615</v>
      </c>
      <c r="P434" s="163">
        <f ca="1">IMSS[[#This Row],[DIAS LAB]]*IMSS[[#This Row],[SDI]]*$Q$114</f>
        <v>113.99178082191779</v>
      </c>
      <c r="Q434" s="166">
        <f ca="1">IMSS[[#This Row],[DIAS LAB]]*IMSS[[#This Row],[SDI]]*$Q$115</f>
        <v>227.98356164383557</v>
      </c>
      <c r="R434" s="163">
        <f ca="1">IMSS[[#This Row],[DIAS LAB]]*IMSS[[#This Row],[SDI]]*$Q$116</f>
        <v>359.07410958904103</v>
      </c>
      <c r="S434" s="163">
        <f ca="1">IMSS[[#This Row],[DIAS LAB]]*IMSS[[#This Row],[SDI]]*$Q$117</f>
        <v>569.95890410958896</v>
      </c>
      <c r="T434" s="164">
        <f ca="1">SUM(IMSS[[#This Row],[P RSG TRB]:[P INFONAVIT]])</f>
        <v>2317.0813804109584</v>
      </c>
      <c r="U434" s="163">
        <f ca="1">IMSS[[#This Row],[DIAS LAB]]*IMSS[[#This Row],[SDI]]*IMSS[[#This Row],[% RSG]]*$R$108</f>
        <v>0</v>
      </c>
      <c r="V434" s="163">
        <f ca="1">IMSS[[#This Row],[DIAS LAB]]*IMSS[[#This Row],[SDI]]*$R$112</f>
        <v>28.497945205479446</v>
      </c>
      <c r="W434" s="163"/>
      <c r="X434" s="163">
        <f ca="1">IMSS[[#This Row],[DIAS LAB]]*IMSS[[#This Row],[SDI]]*$R$113</f>
        <v>71.814821917808203</v>
      </c>
      <c r="Y434" s="163">
        <f ca="1">IMSS[[#This Row],[DIAS LAB]]*IMSS[[#This Row],[SDI]]*$R$114</f>
        <v>0</v>
      </c>
      <c r="Z434" s="163">
        <f ca="1">IMSS[[#This Row],[DIAS LAB]]*IMSS[[#This Row],[SDI]]*$R$115</f>
        <v>0</v>
      </c>
      <c r="AA434" s="163">
        <f ca="1">IMSS[[#This Row],[DIAS LAB]]*IMSS[[#This Row],[SDI]]*$R$116</f>
        <v>128.8107123287671</v>
      </c>
      <c r="AB434" s="163">
        <f ca="1">IMSS[[#This Row],[DIAS LAB]]*IMSS[[#This Row],[SDI]]*$R$117</f>
        <v>0</v>
      </c>
      <c r="AC434" s="247">
        <f ca="1">SUM(IMSS[[#This Row],[O RSG TRB]:[O INFONAVIT]])</f>
        <v>229.12347945205474</v>
      </c>
      <c r="AD434" s="163"/>
      <c r="AE434" s="165">
        <f ca="1">IMSS[[#This Row],[P TOTAL]]+IMSS[[#This Row],[O TOTAL]]</f>
        <v>2546.2048598630131</v>
      </c>
      <c r="AF434" s="163"/>
      <c r="AG434" s="163">
        <f>VLOOKUP(IMSS[[#This Row],[SUE MENS]],$AG$110:$AJ$120,1,1)</f>
        <v>9614.67</v>
      </c>
      <c r="AH434" s="163">
        <f>IMSS[[#This Row],[SUE MENS]]-IMSS[[#This Row],[LIM INF]]</f>
        <v>735.32999999999993</v>
      </c>
      <c r="AI434" s="163">
        <f>IMSS[[#This Row],[EXC LIM INF]]*(VLOOKUP(IMSS[[#This Row],[LIM INF]],$AG$110:$AJ$120,4,0))</f>
        <v>117.65279999999998</v>
      </c>
      <c r="AJ434" s="163">
        <f>VLOOKUP(IMSS[[#This Row],[LIM INF]],$AG$110:$AJ$120,3)</f>
        <v>772.1</v>
      </c>
      <c r="AK434" s="163">
        <f>SUM(IMSS[[#This Row],[TASA EXC]]+IMSS[[#This Row],[CUOTA FIJA]])</f>
        <v>889.75279999999998</v>
      </c>
      <c r="AL434" s="163">
        <f>VLOOKUP(IMSS[[#This Row],[SUE MENS]],$AL$110:$AN$120,3,1)</f>
        <v>0</v>
      </c>
      <c r="AM434" s="248">
        <f>IF(IMSS[[#This Row],[ISR CARGO]]-IMSS[[#This Row],[SUBS ISR]]&gt;0,IMSS[[#This Row],[ISR CARGO]]-IMSS[[#This Row],[SUBS ISR]],0)</f>
        <v>889.75279999999998</v>
      </c>
      <c r="AN434" s="248">
        <f>IF(IMSS[[#This Row],[SUBS ISR]]-IMSS[[#This Row],[ISR CARGO]]&gt;0,IMSS[[#This Row],[SUBS ISR]]-IMSS[[#This Row],[ISR CARGO]],0)</f>
        <v>0</v>
      </c>
    </row>
    <row r="435" spans="3:40" ht="15" hidden="1" customHeight="1" x14ac:dyDescent="0.25">
      <c r="C435" s="243">
        <v>488</v>
      </c>
      <c r="D435" s="167" t="str">
        <f>VLOOKUP(IMSS[[#This Row],[NEM]],BDD[],2,0)</f>
        <v>Biridiana Abrajan Grande</v>
      </c>
      <c r="E435" s="167" t="str">
        <f>VLOOKUP(IMSS[[#This Row],[NEM]],BDD[],9,0)</f>
        <v>CONTROL</v>
      </c>
      <c r="F435" s="168">
        <v>30</v>
      </c>
      <c r="G435" s="139">
        <f>VLOOKUP(IMSS[[#This Row],[NEM]],BDD[],3,0)</f>
        <v>10350</v>
      </c>
      <c r="H435" s="139">
        <f ca="1">VLOOKUP(IMSS[[#This Row],[NEM]],BDD[],25,0)</f>
        <v>379.97260273972597</v>
      </c>
      <c r="I435" s="143">
        <f>VLOOKUP(IMSS[[#This Row],[DEPT]],$B$3:$G$49,6,0)</f>
        <v>5.4355000000000002E-3</v>
      </c>
      <c r="J435" s="163">
        <f ca="1">IMSS[[#This Row],[DIAS LAB]]*IMSS[[#This Row],[SDI]]*IMSS[[#This Row],[% RSG]]*$Q$108</f>
        <v>61.960232465753414</v>
      </c>
      <c r="K435" s="163">
        <f>IMSS[[#This Row],[DIAS LAB]]*$J$110*$Q$109</f>
        <v>548.47440000000006</v>
      </c>
      <c r="L435" s="166">
        <f ca="1">IMSS[[#This Row],[DIAS LAB]]*IF(IMSS[[#This Row],[SDI]]-$J$113&gt;0,IMSS[[#This Row],[SDI]]-$J$113,0)*$Q$110</f>
        <v>36.667158904109563</v>
      </c>
      <c r="M435" s="166">
        <f ca="1">IMSS[[#This Row],[DIAS LAB]]*IMSS[[#This Row],[SDI]]*$Q$111</f>
        <v>119.69136986301368</v>
      </c>
      <c r="N435" s="163">
        <f ca="1">IMSS[[#This Row],[DIAS LAB]]*IMSS[[#This Row],[SDI]]*$Q$112</f>
        <v>79.794246575342456</v>
      </c>
      <c r="O435" s="166">
        <f ca="1">IMSS[[#This Row],[DIAS LAB]]*IMSS[[#This Row],[SDI]]*$Q$113</f>
        <v>199.48561643835615</v>
      </c>
      <c r="P435" s="163">
        <f ca="1">IMSS[[#This Row],[DIAS LAB]]*IMSS[[#This Row],[SDI]]*$Q$114</f>
        <v>113.99178082191779</v>
      </c>
      <c r="Q435" s="166">
        <f ca="1">IMSS[[#This Row],[DIAS LAB]]*IMSS[[#This Row],[SDI]]*$Q$115</f>
        <v>227.98356164383557</v>
      </c>
      <c r="R435" s="163">
        <f ca="1">IMSS[[#This Row],[DIAS LAB]]*IMSS[[#This Row],[SDI]]*$Q$116</f>
        <v>359.07410958904103</v>
      </c>
      <c r="S435" s="163">
        <f ca="1">IMSS[[#This Row],[DIAS LAB]]*IMSS[[#This Row],[SDI]]*$Q$117</f>
        <v>569.95890410958896</v>
      </c>
      <c r="T435" s="164">
        <f ca="1">SUM(IMSS[[#This Row],[P RSG TRB]:[P INFONAVIT]])</f>
        <v>2317.0813804109584</v>
      </c>
      <c r="U435" s="163">
        <f ca="1">IMSS[[#This Row],[DIAS LAB]]*IMSS[[#This Row],[SDI]]*IMSS[[#This Row],[% RSG]]*$R$108</f>
        <v>0</v>
      </c>
      <c r="V435" s="163">
        <f ca="1">IMSS[[#This Row],[DIAS LAB]]*IMSS[[#This Row],[SDI]]*$R$112</f>
        <v>28.497945205479446</v>
      </c>
      <c r="W435" s="163"/>
      <c r="X435" s="163">
        <f ca="1">IMSS[[#This Row],[DIAS LAB]]*IMSS[[#This Row],[SDI]]*$R$113</f>
        <v>71.814821917808203</v>
      </c>
      <c r="Y435" s="163">
        <f ca="1">IMSS[[#This Row],[DIAS LAB]]*IMSS[[#This Row],[SDI]]*$R$114</f>
        <v>0</v>
      </c>
      <c r="Z435" s="163">
        <f ca="1">IMSS[[#This Row],[DIAS LAB]]*IMSS[[#This Row],[SDI]]*$R$115</f>
        <v>0</v>
      </c>
      <c r="AA435" s="163">
        <f ca="1">IMSS[[#This Row],[DIAS LAB]]*IMSS[[#This Row],[SDI]]*$R$116</f>
        <v>128.8107123287671</v>
      </c>
      <c r="AB435" s="163">
        <f ca="1">IMSS[[#This Row],[DIAS LAB]]*IMSS[[#This Row],[SDI]]*$R$117</f>
        <v>0</v>
      </c>
      <c r="AC435" s="247">
        <f ca="1">SUM(IMSS[[#This Row],[O RSG TRB]:[O INFONAVIT]])</f>
        <v>229.12347945205474</v>
      </c>
      <c r="AD435" s="163"/>
      <c r="AE435" s="165">
        <f ca="1">IMSS[[#This Row],[P TOTAL]]+IMSS[[#This Row],[O TOTAL]]</f>
        <v>2546.2048598630131</v>
      </c>
      <c r="AF435" s="163"/>
      <c r="AG435" s="163">
        <f>VLOOKUP(IMSS[[#This Row],[SUE MENS]],$AG$110:$AJ$120,1,1)</f>
        <v>9614.67</v>
      </c>
      <c r="AH435" s="163">
        <f>IMSS[[#This Row],[SUE MENS]]-IMSS[[#This Row],[LIM INF]]</f>
        <v>735.32999999999993</v>
      </c>
      <c r="AI435" s="163">
        <f>IMSS[[#This Row],[EXC LIM INF]]*(VLOOKUP(IMSS[[#This Row],[LIM INF]],$AG$110:$AJ$120,4,0))</f>
        <v>117.65279999999998</v>
      </c>
      <c r="AJ435" s="163">
        <f>VLOOKUP(IMSS[[#This Row],[LIM INF]],$AG$110:$AJ$120,3)</f>
        <v>772.1</v>
      </c>
      <c r="AK435" s="163">
        <f>SUM(IMSS[[#This Row],[TASA EXC]]+IMSS[[#This Row],[CUOTA FIJA]])</f>
        <v>889.75279999999998</v>
      </c>
      <c r="AL435" s="163">
        <f>VLOOKUP(IMSS[[#This Row],[SUE MENS]],$AL$110:$AN$120,3,1)</f>
        <v>0</v>
      </c>
      <c r="AM435" s="248">
        <f>IF(IMSS[[#This Row],[ISR CARGO]]-IMSS[[#This Row],[SUBS ISR]]&gt;0,IMSS[[#This Row],[ISR CARGO]]-IMSS[[#This Row],[SUBS ISR]],0)</f>
        <v>889.75279999999998</v>
      </c>
      <c r="AN435" s="248">
        <f>IF(IMSS[[#This Row],[SUBS ISR]]-IMSS[[#This Row],[ISR CARGO]]&gt;0,IMSS[[#This Row],[SUBS ISR]]-IMSS[[#This Row],[ISR CARGO]],0)</f>
        <v>0</v>
      </c>
    </row>
    <row r="436" spans="3:40" ht="15" hidden="1" customHeight="1" x14ac:dyDescent="0.25">
      <c r="C436" s="243">
        <v>489</v>
      </c>
      <c r="D436" s="167" t="str">
        <f>VLOOKUP(IMSS[[#This Row],[NEM]],BDD[],2,0)</f>
        <v>Alejandra Dayreb Cisneros Montelongo</v>
      </c>
      <c r="E436" s="167" t="str">
        <f>VLOOKUP(IMSS[[#This Row],[NEM]],BDD[],9,0)</f>
        <v>AUDIT ADMN</v>
      </c>
      <c r="F436" s="168">
        <v>30</v>
      </c>
      <c r="G436" s="139">
        <f>VLOOKUP(IMSS[[#This Row],[NEM]],BDD[],3,0)</f>
        <v>7445</v>
      </c>
      <c r="H436" s="139">
        <f ca="1">VLOOKUP(IMSS[[#This Row],[NEM]],BDD[],25,0)</f>
        <v>273.32328767123283</v>
      </c>
      <c r="I436" s="143">
        <f>VLOOKUP(IMSS[[#This Row],[DEPT]],$B$3:$G$49,6,0)</f>
        <v>5.4355000000000002E-3</v>
      </c>
      <c r="J436" s="163">
        <f ca="1">IMSS[[#This Row],[DIAS LAB]]*IMSS[[#This Row],[SDI]]*IMSS[[#This Row],[% RSG]]*$Q$108</f>
        <v>44.569461904109588</v>
      </c>
      <c r="K436" s="163">
        <f>IMSS[[#This Row],[DIAS LAB]]*$J$110*$Q$109</f>
        <v>548.47440000000006</v>
      </c>
      <c r="L436" s="166">
        <f ca="1">IMSS[[#This Row],[DIAS LAB]]*IF(IMSS[[#This Row],[SDI]]-$J$113&gt;0,IMSS[[#This Row],[SDI]]-$J$113,0)*$Q$110</f>
        <v>1.4728849315068304</v>
      </c>
      <c r="M436" s="166">
        <f ca="1">IMSS[[#This Row],[DIAS LAB]]*IMSS[[#This Row],[SDI]]*$Q$111</f>
        <v>86.096835616438355</v>
      </c>
      <c r="N436" s="163">
        <f ca="1">IMSS[[#This Row],[DIAS LAB]]*IMSS[[#This Row],[SDI]]*$Q$112</f>
        <v>57.397890410958901</v>
      </c>
      <c r="O436" s="166">
        <f ca="1">IMSS[[#This Row],[DIAS LAB]]*IMSS[[#This Row],[SDI]]*$Q$113</f>
        <v>143.49472602739726</v>
      </c>
      <c r="P436" s="163">
        <f ca="1">IMSS[[#This Row],[DIAS LAB]]*IMSS[[#This Row],[SDI]]*$Q$114</f>
        <v>81.996986301369859</v>
      </c>
      <c r="Q436" s="166">
        <f ca="1">IMSS[[#This Row],[DIAS LAB]]*IMSS[[#This Row],[SDI]]*$Q$115</f>
        <v>163.99397260273972</v>
      </c>
      <c r="R436" s="163">
        <f ca="1">IMSS[[#This Row],[DIAS LAB]]*IMSS[[#This Row],[SDI]]*$Q$116</f>
        <v>258.29050684931502</v>
      </c>
      <c r="S436" s="163">
        <f ca="1">IMSS[[#This Row],[DIAS LAB]]*IMSS[[#This Row],[SDI]]*$Q$117</f>
        <v>409.98493150684931</v>
      </c>
      <c r="T436" s="164">
        <f ca="1">SUM(IMSS[[#This Row],[P RSG TRB]:[P INFONAVIT]])</f>
        <v>1795.7725961506851</v>
      </c>
      <c r="U436" s="163">
        <f ca="1">IMSS[[#This Row],[DIAS LAB]]*IMSS[[#This Row],[SDI]]*IMSS[[#This Row],[% RSG]]*$R$108</f>
        <v>0</v>
      </c>
      <c r="V436" s="163">
        <f ca="1">IMSS[[#This Row],[DIAS LAB]]*IMSS[[#This Row],[SDI]]*$R$112</f>
        <v>20.499246575342465</v>
      </c>
      <c r="W436" s="163"/>
      <c r="X436" s="163">
        <f ca="1">IMSS[[#This Row],[DIAS LAB]]*IMSS[[#This Row],[SDI]]*$R$113</f>
        <v>51.658101369863004</v>
      </c>
      <c r="Y436" s="163">
        <f ca="1">IMSS[[#This Row],[DIAS LAB]]*IMSS[[#This Row],[SDI]]*$R$114</f>
        <v>0</v>
      </c>
      <c r="Z436" s="163">
        <f ca="1">IMSS[[#This Row],[DIAS LAB]]*IMSS[[#This Row],[SDI]]*$R$115</f>
        <v>0</v>
      </c>
      <c r="AA436" s="163">
        <f ca="1">IMSS[[#This Row],[DIAS LAB]]*IMSS[[#This Row],[SDI]]*$R$116</f>
        <v>92.656594520547927</v>
      </c>
      <c r="AB436" s="163">
        <f ca="1">IMSS[[#This Row],[DIAS LAB]]*IMSS[[#This Row],[SDI]]*$R$117</f>
        <v>0</v>
      </c>
      <c r="AC436" s="247">
        <f ca="1">SUM(IMSS[[#This Row],[O RSG TRB]:[O INFONAVIT]])</f>
        <v>164.8139424657534</v>
      </c>
      <c r="AD436" s="163"/>
      <c r="AE436" s="165">
        <f ca="1">IMSS[[#This Row],[P TOTAL]]+IMSS[[#This Row],[O TOTAL]]</f>
        <v>1960.5865386164385</v>
      </c>
      <c r="AF436" s="163"/>
      <c r="AG436" s="163">
        <f>VLOOKUP(IMSS[[#This Row],[SUE MENS]],$AG$110:$AJ$120,1,1)</f>
        <v>5470.93</v>
      </c>
      <c r="AH436" s="163">
        <f>IMSS[[#This Row],[SUE MENS]]-IMSS[[#This Row],[LIM INF]]</f>
        <v>1974.0699999999997</v>
      </c>
      <c r="AI436" s="163">
        <f>IMSS[[#This Row],[EXC LIM INF]]*(VLOOKUP(IMSS[[#This Row],[LIM INF]],$AG$110:$AJ$120,4,0))</f>
        <v>214.77881599999998</v>
      </c>
      <c r="AJ436" s="163">
        <f>VLOOKUP(IMSS[[#This Row],[LIM INF]],$AG$110:$AJ$120,3)</f>
        <v>321.26</v>
      </c>
      <c r="AK436" s="163">
        <f>SUM(IMSS[[#This Row],[TASA EXC]]+IMSS[[#This Row],[CUOTA FIJA]])</f>
        <v>536.038816</v>
      </c>
      <c r="AL436" s="163">
        <f>VLOOKUP(IMSS[[#This Row],[SUE MENS]],$AL$110:$AN$120,3,1)</f>
        <v>0</v>
      </c>
      <c r="AM436" s="248">
        <f>IF(IMSS[[#This Row],[ISR CARGO]]-IMSS[[#This Row],[SUBS ISR]]&gt;0,IMSS[[#This Row],[ISR CARGO]]-IMSS[[#This Row],[SUBS ISR]],0)</f>
        <v>536.038816</v>
      </c>
      <c r="AN436" s="248">
        <f>IF(IMSS[[#This Row],[SUBS ISR]]-IMSS[[#This Row],[ISR CARGO]]&gt;0,IMSS[[#This Row],[SUBS ISR]]-IMSS[[#This Row],[ISR CARGO]],0)</f>
        <v>0</v>
      </c>
    </row>
    <row r="437" spans="3:40" ht="15" hidden="1" customHeight="1" x14ac:dyDescent="0.25">
      <c r="C437" s="243">
        <v>491</v>
      </c>
      <c r="D437" s="167" t="str">
        <f>VLOOKUP(IMSS[[#This Row],[NEM]],BDD[],2,0)</f>
        <v>Pedro Emanuel Pérez Barrios</v>
      </c>
      <c r="E437" s="167" t="str">
        <f>VLOOKUP(IMSS[[#This Row],[NEM]],BDD[],9,0)</f>
        <v>ANLIS COST</v>
      </c>
      <c r="F437" s="168">
        <v>30</v>
      </c>
      <c r="G437" s="139">
        <f>VLOOKUP(IMSS[[#This Row],[NEM]],BDD[],3,0)</f>
        <v>9450</v>
      </c>
      <c r="H437" s="139">
        <f ca="1">VLOOKUP(IMSS[[#This Row],[NEM]],BDD[],25,0)</f>
        <v>346.93150684931504</v>
      </c>
      <c r="I437" s="143">
        <f>VLOOKUP(IMSS[[#This Row],[DEPT]],$B$3:$G$49,6,0)</f>
        <v>1.130658E-2</v>
      </c>
      <c r="J437" s="163">
        <f ca="1">IMSS[[#This Row],[DIAS LAB]]*IMSS[[#This Row],[SDI]]*IMSS[[#This Row],[% RSG]]*$Q$108</f>
        <v>117.67826510136985</v>
      </c>
      <c r="K437" s="163">
        <f>IMSS[[#This Row],[DIAS LAB]]*$J$110*$Q$109</f>
        <v>548.47440000000006</v>
      </c>
      <c r="L437" s="166">
        <f ca="1">IMSS[[#This Row],[DIAS LAB]]*IF(IMSS[[#This Row],[SDI]]-$J$113&gt;0,IMSS[[#This Row],[SDI]]-$J$113,0)*$Q$110</f>
        <v>25.763597260273958</v>
      </c>
      <c r="M437" s="166">
        <f ca="1">IMSS[[#This Row],[DIAS LAB]]*IMSS[[#This Row],[SDI]]*$Q$111</f>
        <v>109.28342465753424</v>
      </c>
      <c r="N437" s="163">
        <f ca="1">IMSS[[#This Row],[DIAS LAB]]*IMSS[[#This Row],[SDI]]*$Q$112</f>
        <v>72.855616438356165</v>
      </c>
      <c r="O437" s="166">
        <f ca="1">IMSS[[#This Row],[DIAS LAB]]*IMSS[[#This Row],[SDI]]*$Q$113</f>
        <v>182.13904109589041</v>
      </c>
      <c r="P437" s="163">
        <f ca="1">IMSS[[#This Row],[DIAS LAB]]*IMSS[[#This Row],[SDI]]*$Q$114</f>
        <v>104.07945205479452</v>
      </c>
      <c r="Q437" s="166">
        <f ca="1">IMSS[[#This Row],[DIAS LAB]]*IMSS[[#This Row],[SDI]]*$Q$115</f>
        <v>208.15890410958903</v>
      </c>
      <c r="R437" s="163">
        <f ca="1">IMSS[[#This Row],[DIAS LAB]]*IMSS[[#This Row],[SDI]]*$Q$116</f>
        <v>327.85027397260274</v>
      </c>
      <c r="S437" s="163">
        <f ca="1">IMSS[[#This Row],[DIAS LAB]]*IMSS[[#This Row],[SDI]]*$Q$117</f>
        <v>520.39726027397262</v>
      </c>
      <c r="T437" s="164">
        <f ca="1">SUM(IMSS[[#This Row],[P RSG TRB]:[P INFONAVIT]])</f>
        <v>2216.6802349643835</v>
      </c>
      <c r="U437" s="163">
        <f ca="1">IMSS[[#This Row],[DIAS LAB]]*IMSS[[#This Row],[SDI]]*IMSS[[#This Row],[% RSG]]*$R$108</f>
        <v>0</v>
      </c>
      <c r="V437" s="163">
        <f ca="1">IMSS[[#This Row],[DIAS LAB]]*IMSS[[#This Row],[SDI]]*$R$112</f>
        <v>26.019863013698629</v>
      </c>
      <c r="W437" s="163"/>
      <c r="X437" s="163">
        <f ca="1">IMSS[[#This Row],[DIAS LAB]]*IMSS[[#This Row],[SDI]]*$R$113</f>
        <v>65.570054794520544</v>
      </c>
      <c r="Y437" s="163">
        <f ca="1">IMSS[[#This Row],[DIAS LAB]]*IMSS[[#This Row],[SDI]]*$R$114</f>
        <v>0</v>
      </c>
      <c r="Z437" s="163">
        <f ca="1">IMSS[[#This Row],[DIAS LAB]]*IMSS[[#This Row],[SDI]]*$R$115</f>
        <v>0</v>
      </c>
      <c r="AA437" s="163">
        <f ca="1">IMSS[[#This Row],[DIAS LAB]]*IMSS[[#This Row],[SDI]]*$R$116</f>
        <v>117.60978082191779</v>
      </c>
      <c r="AB437" s="163">
        <f ca="1">IMSS[[#This Row],[DIAS LAB]]*IMSS[[#This Row],[SDI]]*$R$117</f>
        <v>0</v>
      </c>
      <c r="AC437" s="247">
        <f ca="1">SUM(IMSS[[#This Row],[O RSG TRB]:[O INFONAVIT]])</f>
        <v>209.19969863013696</v>
      </c>
      <c r="AD437" s="163"/>
      <c r="AE437" s="165">
        <f ca="1">IMSS[[#This Row],[P TOTAL]]+IMSS[[#This Row],[O TOTAL]]</f>
        <v>2425.8799335945205</v>
      </c>
      <c r="AF437" s="163"/>
      <c r="AG437" s="163">
        <f>VLOOKUP(IMSS[[#This Row],[SUE MENS]],$AG$110:$AJ$120,1,1)</f>
        <v>5470.93</v>
      </c>
      <c r="AH437" s="163">
        <f>IMSS[[#This Row],[SUE MENS]]-IMSS[[#This Row],[LIM INF]]</f>
        <v>3979.0699999999997</v>
      </c>
      <c r="AI437" s="163">
        <f>IMSS[[#This Row],[EXC LIM INF]]*(VLOOKUP(IMSS[[#This Row],[LIM INF]],$AG$110:$AJ$120,4,0))</f>
        <v>432.92281600000001</v>
      </c>
      <c r="AJ437" s="163">
        <f>VLOOKUP(IMSS[[#This Row],[LIM INF]],$AG$110:$AJ$120,3)</f>
        <v>321.26</v>
      </c>
      <c r="AK437" s="163">
        <f>SUM(IMSS[[#This Row],[TASA EXC]]+IMSS[[#This Row],[CUOTA FIJA]])</f>
        <v>754.182816</v>
      </c>
      <c r="AL437" s="163">
        <f>VLOOKUP(IMSS[[#This Row],[SUE MENS]],$AL$110:$AN$120,3,1)</f>
        <v>0</v>
      </c>
      <c r="AM437" s="248">
        <f>IF(IMSS[[#This Row],[ISR CARGO]]-IMSS[[#This Row],[SUBS ISR]]&gt;0,IMSS[[#This Row],[ISR CARGO]]-IMSS[[#This Row],[SUBS ISR]],0)</f>
        <v>754.182816</v>
      </c>
      <c r="AN437" s="248">
        <f>IF(IMSS[[#This Row],[SUBS ISR]]-IMSS[[#This Row],[ISR CARGO]]&gt;0,IMSS[[#This Row],[SUBS ISR]]-IMSS[[#This Row],[ISR CARGO]],0)</f>
        <v>0</v>
      </c>
    </row>
    <row r="438" spans="3:40" ht="15" hidden="1" customHeight="1" x14ac:dyDescent="0.25">
      <c r="C438" s="246">
        <v>493</v>
      </c>
      <c r="D438" s="167" t="str">
        <f>VLOOKUP(IMSS[[#This Row],[NEM]],BDD[],2,0)</f>
        <v>Hugo Alvarado Álvarez</v>
      </c>
      <c r="E438" s="167" t="str">
        <f>VLOOKUP(IMSS[[#This Row],[NEM]],BDD[],9,0)</f>
        <v>CONTROL</v>
      </c>
      <c r="F438" s="168">
        <v>30</v>
      </c>
      <c r="G438" s="139">
        <f>VLOOKUP(IMSS[[#This Row],[NEM]],BDD[],3,0)</f>
        <v>6778</v>
      </c>
      <c r="H438" s="139">
        <f ca="1">VLOOKUP(IMSS[[#This Row],[NEM]],BDD[],25,0)</f>
        <v>237.38474885844749</v>
      </c>
      <c r="I438" s="143">
        <f>VLOOKUP(IMSS[[#This Row],[DEPT]],$B$3:$G$49,6,0)</f>
        <v>5.4355000000000002E-3</v>
      </c>
      <c r="J438" s="163">
        <f ca="1">IMSS[[#This Row],[DIAS LAB]]*IMSS[[#This Row],[SDI]]*IMSS[[#This Row],[% RSG]]*$Q$108</f>
        <v>38.70914407260274</v>
      </c>
      <c r="K438" s="163">
        <f>IMSS[[#This Row],[DIAS LAB]]*$J$110*$Q$109</f>
        <v>548.47440000000006</v>
      </c>
      <c r="L438" s="166">
        <f ca="1">IMSS[[#This Row],[DIAS LAB]]*IF(IMSS[[#This Row],[SDI]]-$J$113&gt;0,IMSS[[#This Row],[SDI]]-$J$113,0)*$Q$110</f>
        <v>0</v>
      </c>
      <c r="M438" s="166">
        <f ca="1">IMSS[[#This Row],[DIAS LAB]]*IMSS[[#This Row],[SDI]]*$Q$111</f>
        <v>74.77619589041096</v>
      </c>
      <c r="N438" s="163">
        <f ca="1">IMSS[[#This Row],[DIAS LAB]]*IMSS[[#This Row],[SDI]]*$Q$112</f>
        <v>49.850797260273978</v>
      </c>
      <c r="O438" s="166">
        <f ca="1">IMSS[[#This Row],[DIAS LAB]]*IMSS[[#This Row],[SDI]]*$Q$113</f>
        <v>124.62699315068495</v>
      </c>
      <c r="P438" s="163">
        <f ca="1">IMSS[[#This Row],[DIAS LAB]]*IMSS[[#This Row],[SDI]]*$Q$114</f>
        <v>71.215424657534257</v>
      </c>
      <c r="Q438" s="166">
        <f ca="1">IMSS[[#This Row],[DIAS LAB]]*IMSS[[#This Row],[SDI]]*$Q$115</f>
        <v>142.43084931506851</v>
      </c>
      <c r="R438" s="163">
        <f ca="1">IMSS[[#This Row],[DIAS LAB]]*IMSS[[#This Row],[SDI]]*$Q$116</f>
        <v>224.3285876712329</v>
      </c>
      <c r="S438" s="163">
        <f ca="1">IMSS[[#This Row],[DIAS LAB]]*IMSS[[#This Row],[SDI]]*$Q$117</f>
        <v>356.07712328767127</v>
      </c>
      <c r="T438" s="164">
        <f ca="1">SUM(IMSS[[#This Row],[P RSG TRB]:[P INFONAVIT]])</f>
        <v>1630.4895153054799</v>
      </c>
      <c r="U438" s="163">
        <f ca="1">IMSS[[#This Row],[DIAS LAB]]*IMSS[[#This Row],[SDI]]*IMSS[[#This Row],[% RSG]]*$R$108</f>
        <v>0</v>
      </c>
      <c r="V438" s="163">
        <f ca="1">IMSS[[#This Row],[DIAS LAB]]*IMSS[[#This Row],[SDI]]*$R$112</f>
        <v>17.803856164383564</v>
      </c>
      <c r="W438" s="163"/>
      <c r="X438" s="163">
        <f ca="1">IMSS[[#This Row],[DIAS LAB]]*IMSS[[#This Row],[SDI]]*$R$113</f>
        <v>44.865717534246578</v>
      </c>
      <c r="Y438" s="163">
        <f ca="1">IMSS[[#This Row],[DIAS LAB]]*IMSS[[#This Row],[SDI]]*$R$114</f>
        <v>0</v>
      </c>
      <c r="Z438" s="163">
        <f ca="1">IMSS[[#This Row],[DIAS LAB]]*IMSS[[#This Row],[SDI]]*$R$115</f>
        <v>0</v>
      </c>
      <c r="AA438" s="163">
        <f ca="1">IMSS[[#This Row],[DIAS LAB]]*IMSS[[#This Row],[SDI]]*$R$116</f>
        <v>80.473429863013692</v>
      </c>
      <c r="AB438" s="163">
        <f ca="1">IMSS[[#This Row],[DIAS LAB]]*IMSS[[#This Row],[SDI]]*$R$117</f>
        <v>0</v>
      </c>
      <c r="AC438" s="247">
        <f ca="1">SUM(IMSS[[#This Row],[O RSG TRB]:[O INFONAVIT]])</f>
        <v>143.14300356164384</v>
      </c>
      <c r="AD438" s="163"/>
      <c r="AE438" s="165">
        <f ca="1">IMSS[[#This Row],[P TOTAL]]+IMSS[[#This Row],[O TOTAL]]</f>
        <v>1773.6325188671237</v>
      </c>
      <c r="AF438" s="163"/>
      <c r="AG438" s="163">
        <f>VLOOKUP(IMSS[[#This Row],[SUE MENS]],$AG$110:$AJ$120,1,1)</f>
        <v>5470.93</v>
      </c>
      <c r="AH438" s="163">
        <f>IMSS[[#This Row],[SUE MENS]]-IMSS[[#This Row],[LIM INF]]</f>
        <v>1307.0699999999997</v>
      </c>
      <c r="AI438" s="163">
        <f>IMSS[[#This Row],[EXC LIM INF]]*(VLOOKUP(IMSS[[#This Row],[LIM INF]],$AG$110:$AJ$120,4,0))</f>
        <v>142.20921599999997</v>
      </c>
      <c r="AJ438" s="163">
        <f>VLOOKUP(IMSS[[#This Row],[LIM INF]],$AG$110:$AJ$120,3)</f>
        <v>321.26</v>
      </c>
      <c r="AK438" s="163">
        <f>SUM(IMSS[[#This Row],[TASA EXC]]+IMSS[[#This Row],[CUOTA FIJA]])</f>
        <v>463.46921599999996</v>
      </c>
      <c r="AL438" s="163">
        <f>VLOOKUP(IMSS[[#This Row],[SUE MENS]],$AL$110:$AN$120,3,1)</f>
        <v>253.54</v>
      </c>
      <c r="AM438" s="248">
        <f>IF(IMSS[[#This Row],[ISR CARGO]]-IMSS[[#This Row],[SUBS ISR]]&gt;0,IMSS[[#This Row],[ISR CARGO]]-IMSS[[#This Row],[SUBS ISR]],0)</f>
        <v>209.92921599999997</v>
      </c>
      <c r="AN438" s="248">
        <f>IF(IMSS[[#This Row],[SUBS ISR]]-IMSS[[#This Row],[ISR CARGO]]&gt;0,IMSS[[#This Row],[SUBS ISR]]-IMSS[[#This Row],[ISR CARGO]],0)</f>
        <v>0</v>
      </c>
    </row>
    <row r="439" spans="3:40" ht="15" hidden="1" customHeight="1" x14ac:dyDescent="0.25">
      <c r="C439" s="243">
        <v>494</v>
      </c>
      <c r="D439" s="167" t="str">
        <f>VLOOKUP(IMSS[[#This Row],[NEM]],BDD[],2,0)</f>
        <v>Aylin Medellín Sanchez</v>
      </c>
      <c r="E439" s="167" t="str">
        <f>VLOOKUP(IMSS[[#This Row],[NEM]],BDD[],9,0)</f>
        <v>SOFTWARE</v>
      </c>
      <c r="F439" s="168">
        <v>30</v>
      </c>
      <c r="G439" s="139">
        <f>VLOOKUP(IMSS[[#This Row],[NEM]],BDD[],3,0)</f>
        <v>27150</v>
      </c>
      <c r="H439" s="139">
        <f ca="1">VLOOKUP(IMSS[[#This Row],[NEM]],BDD[],25,0)</f>
        <v>996.73972602739718</v>
      </c>
      <c r="I439" s="143">
        <f>VLOOKUP(IMSS[[#This Row],[DEPT]],$B$3:$G$49,6,0)</f>
        <v>1.130658E-2</v>
      </c>
      <c r="J439" s="163">
        <f ca="1">IMSS[[#This Row],[DIAS LAB]]*IMSS[[#This Row],[SDI]]*IMSS[[#This Row],[% RSG]]*$Q$108</f>
        <v>338.09152354520546</v>
      </c>
      <c r="K439" s="163">
        <f>IMSS[[#This Row],[DIAS LAB]]*$J$110*$Q$109</f>
        <v>548.47440000000006</v>
      </c>
      <c r="L439" s="166">
        <f ca="1">IMSS[[#This Row],[DIAS LAB]]*IF(IMSS[[#This Row],[SDI]]-$J$113&gt;0,IMSS[[#This Row],[SDI]]-$J$113,0)*$Q$110</f>
        <v>240.20030958904107</v>
      </c>
      <c r="M439" s="166">
        <f ca="1">IMSS[[#This Row],[DIAS LAB]]*IMSS[[#This Row],[SDI]]*$Q$111</f>
        <v>313.97301369863015</v>
      </c>
      <c r="N439" s="163">
        <f ca="1">IMSS[[#This Row],[DIAS LAB]]*IMSS[[#This Row],[SDI]]*$Q$112</f>
        <v>209.31534246575342</v>
      </c>
      <c r="O439" s="166">
        <f ca="1">IMSS[[#This Row],[DIAS LAB]]*IMSS[[#This Row],[SDI]]*$Q$113</f>
        <v>523.28835616438357</v>
      </c>
      <c r="P439" s="163">
        <f ca="1">IMSS[[#This Row],[DIAS LAB]]*IMSS[[#This Row],[SDI]]*$Q$114</f>
        <v>299.02191780821914</v>
      </c>
      <c r="Q439" s="166">
        <f ca="1">IMSS[[#This Row],[DIAS LAB]]*IMSS[[#This Row],[SDI]]*$Q$115</f>
        <v>598.04383561643829</v>
      </c>
      <c r="R439" s="163">
        <f ca="1">IMSS[[#This Row],[DIAS LAB]]*IMSS[[#This Row],[SDI]]*$Q$116</f>
        <v>941.91904109589029</v>
      </c>
      <c r="S439" s="163">
        <f ca="1">IMSS[[#This Row],[DIAS LAB]]*IMSS[[#This Row],[SDI]]*$Q$117</f>
        <v>1495.1095890410959</v>
      </c>
      <c r="T439" s="164">
        <f ca="1">SUM(IMSS[[#This Row],[P RSG TRB]:[P INFONAVIT]])</f>
        <v>5507.4373290246576</v>
      </c>
      <c r="U439" s="163">
        <f ca="1">IMSS[[#This Row],[DIAS LAB]]*IMSS[[#This Row],[SDI]]*IMSS[[#This Row],[% RSG]]*$R$108</f>
        <v>0</v>
      </c>
      <c r="V439" s="163">
        <f ca="1">IMSS[[#This Row],[DIAS LAB]]*IMSS[[#This Row],[SDI]]*$R$112</f>
        <v>74.755479452054786</v>
      </c>
      <c r="W439" s="163"/>
      <c r="X439" s="163">
        <f ca="1">IMSS[[#This Row],[DIAS LAB]]*IMSS[[#This Row],[SDI]]*$R$113</f>
        <v>188.38380821917806</v>
      </c>
      <c r="Y439" s="163">
        <f ca="1">IMSS[[#This Row],[DIAS LAB]]*IMSS[[#This Row],[SDI]]*$R$114</f>
        <v>0</v>
      </c>
      <c r="Z439" s="163">
        <f ca="1">IMSS[[#This Row],[DIAS LAB]]*IMSS[[#This Row],[SDI]]*$R$115</f>
        <v>0</v>
      </c>
      <c r="AA439" s="163">
        <f ca="1">IMSS[[#This Row],[DIAS LAB]]*IMSS[[#This Row],[SDI]]*$R$116</f>
        <v>337.89476712328764</v>
      </c>
      <c r="AB439" s="163">
        <f ca="1">IMSS[[#This Row],[DIAS LAB]]*IMSS[[#This Row],[SDI]]*$R$117</f>
        <v>0</v>
      </c>
      <c r="AC439" s="247">
        <f ca="1">SUM(IMSS[[#This Row],[O RSG TRB]:[O INFONAVIT]])</f>
        <v>601.03405479452044</v>
      </c>
      <c r="AD439" s="163"/>
      <c r="AE439" s="165">
        <f ca="1">IMSS[[#This Row],[P TOTAL]]+IMSS[[#This Row],[O TOTAL]]</f>
        <v>6108.4713838191783</v>
      </c>
      <c r="AF439" s="163"/>
      <c r="AG439" s="163">
        <f>VLOOKUP(IMSS[[#This Row],[SUE MENS]],$AG$110:$AJ$120,1,1)</f>
        <v>26988.51</v>
      </c>
      <c r="AH439" s="163">
        <f>IMSS[[#This Row],[SUE MENS]]-IMSS[[#This Row],[LIM INF]]</f>
        <v>161.4900000000016</v>
      </c>
      <c r="AI439" s="163">
        <f>IMSS[[#This Row],[EXC LIM INF]]*(VLOOKUP(IMSS[[#This Row],[LIM INF]],$AG$110:$AJ$120,4,0))</f>
        <v>37.982448000000375</v>
      </c>
      <c r="AJ439" s="163">
        <f>VLOOKUP(IMSS[[#This Row],[LIM INF]],$AG$110:$AJ$120,3)</f>
        <v>4323.58</v>
      </c>
      <c r="AK439" s="163">
        <f>SUM(IMSS[[#This Row],[TASA EXC]]+IMSS[[#This Row],[CUOTA FIJA]])</f>
        <v>4361.5624480000006</v>
      </c>
      <c r="AL439" s="163">
        <f>VLOOKUP(IMSS[[#This Row],[SUE MENS]],$AL$110:$AN$120,3,1)</f>
        <v>0</v>
      </c>
      <c r="AM439" s="248">
        <f>IF(IMSS[[#This Row],[ISR CARGO]]-IMSS[[#This Row],[SUBS ISR]]&gt;0,IMSS[[#This Row],[ISR CARGO]]-IMSS[[#This Row],[SUBS ISR]],0)</f>
        <v>4361.5624480000006</v>
      </c>
      <c r="AN439" s="248">
        <f>IF(IMSS[[#This Row],[SUBS ISR]]-IMSS[[#This Row],[ISR CARGO]]&gt;0,IMSS[[#This Row],[SUBS ISR]]-IMSS[[#This Row],[ISR CARGO]],0)</f>
        <v>0</v>
      </c>
    </row>
    <row r="440" spans="3:40" ht="15" hidden="1" customHeight="1" x14ac:dyDescent="0.25">
      <c r="C440" s="243">
        <v>495</v>
      </c>
      <c r="D440" s="167" t="str">
        <f>VLOOKUP(IMSS[[#This Row],[NEM]],BDD[],2,0)</f>
        <v>Erick Daniel Izaguirre Valle</v>
      </c>
      <c r="E440" s="167" t="str">
        <f>VLOOKUP(IMSS[[#This Row],[NEM]],BDD[],9,0)</f>
        <v>ARQUITECT</v>
      </c>
      <c r="F440" s="168">
        <v>30</v>
      </c>
      <c r="G440" s="139">
        <f>VLOOKUP(IMSS[[#This Row],[NEM]],BDD[],3,0)</f>
        <v>7445</v>
      </c>
      <c r="H440" s="139">
        <f ca="1">VLOOKUP(IMSS[[#This Row],[NEM]],BDD[],25,0)</f>
        <v>273.32328767123283</v>
      </c>
      <c r="I440" s="143">
        <f>VLOOKUP(IMSS[[#This Row],[DEPT]],$B$3:$G$49,6,0)</f>
        <v>2.5984400000000001E-2</v>
      </c>
      <c r="J440" s="163">
        <f ca="1">IMSS[[#This Row],[DIAS LAB]]*IMSS[[#This Row],[SDI]]*IMSS[[#This Row],[% RSG]]*$Q$108</f>
        <v>213.06424908493148</v>
      </c>
      <c r="K440" s="163">
        <f>IMSS[[#This Row],[DIAS LAB]]*$J$110*$Q$109</f>
        <v>548.47440000000006</v>
      </c>
      <c r="L440" s="166">
        <f ca="1">IMSS[[#This Row],[DIAS LAB]]*IF(IMSS[[#This Row],[SDI]]-$J$113&gt;0,IMSS[[#This Row],[SDI]]-$J$113,0)*$Q$110</f>
        <v>1.4728849315068304</v>
      </c>
      <c r="M440" s="166">
        <f ca="1">IMSS[[#This Row],[DIAS LAB]]*IMSS[[#This Row],[SDI]]*$Q$111</f>
        <v>86.096835616438355</v>
      </c>
      <c r="N440" s="163">
        <f ca="1">IMSS[[#This Row],[DIAS LAB]]*IMSS[[#This Row],[SDI]]*$Q$112</f>
        <v>57.397890410958901</v>
      </c>
      <c r="O440" s="166">
        <f ca="1">IMSS[[#This Row],[DIAS LAB]]*IMSS[[#This Row],[SDI]]*$Q$113</f>
        <v>143.49472602739726</v>
      </c>
      <c r="P440" s="163">
        <f ca="1">IMSS[[#This Row],[DIAS LAB]]*IMSS[[#This Row],[SDI]]*$Q$114</f>
        <v>81.996986301369859</v>
      </c>
      <c r="Q440" s="166">
        <f ca="1">IMSS[[#This Row],[DIAS LAB]]*IMSS[[#This Row],[SDI]]*$Q$115</f>
        <v>163.99397260273972</v>
      </c>
      <c r="R440" s="163">
        <f ca="1">IMSS[[#This Row],[DIAS LAB]]*IMSS[[#This Row],[SDI]]*$Q$116</f>
        <v>258.29050684931502</v>
      </c>
      <c r="S440" s="163">
        <f ca="1">IMSS[[#This Row],[DIAS LAB]]*IMSS[[#This Row],[SDI]]*$Q$117</f>
        <v>409.98493150684931</v>
      </c>
      <c r="T440" s="164">
        <f ca="1">SUM(IMSS[[#This Row],[P RSG TRB]:[P INFONAVIT]])</f>
        <v>1964.2673833315068</v>
      </c>
      <c r="U440" s="163">
        <f ca="1">IMSS[[#This Row],[DIAS LAB]]*IMSS[[#This Row],[SDI]]*IMSS[[#This Row],[% RSG]]*$R$108</f>
        <v>0</v>
      </c>
      <c r="V440" s="163">
        <f ca="1">IMSS[[#This Row],[DIAS LAB]]*IMSS[[#This Row],[SDI]]*$R$112</f>
        <v>20.499246575342465</v>
      </c>
      <c r="W440" s="163"/>
      <c r="X440" s="163">
        <f ca="1">IMSS[[#This Row],[DIAS LAB]]*IMSS[[#This Row],[SDI]]*$R$113</f>
        <v>51.658101369863004</v>
      </c>
      <c r="Y440" s="163">
        <f ca="1">IMSS[[#This Row],[DIAS LAB]]*IMSS[[#This Row],[SDI]]*$R$114</f>
        <v>0</v>
      </c>
      <c r="Z440" s="163">
        <f ca="1">IMSS[[#This Row],[DIAS LAB]]*IMSS[[#This Row],[SDI]]*$R$115</f>
        <v>0</v>
      </c>
      <c r="AA440" s="163">
        <f ca="1">IMSS[[#This Row],[DIAS LAB]]*IMSS[[#This Row],[SDI]]*$R$116</f>
        <v>92.656594520547927</v>
      </c>
      <c r="AB440" s="163">
        <f ca="1">IMSS[[#This Row],[DIAS LAB]]*IMSS[[#This Row],[SDI]]*$R$117</f>
        <v>0</v>
      </c>
      <c r="AC440" s="247">
        <f ca="1">SUM(IMSS[[#This Row],[O RSG TRB]:[O INFONAVIT]])</f>
        <v>164.8139424657534</v>
      </c>
      <c r="AD440" s="163"/>
      <c r="AE440" s="165">
        <f ca="1">IMSS[[#This Row],[P TOTAL]]+IMSS[[#This Row],[O TOTAL]]</f>
        <v>2129.0813257972604</v>
      </c>
      <c r="AF440" s="163"/>
      <c r="AG440" s="163">
        <f>VLOOKUP(IMSS[[#This Row],[SUE MENS]],$AG$110:$AJ$120,1,1)</f>
        <v>5470.93</v>
      </c>
      <c r="AH440" s="163">
        <f>IMSS[[#This Row],[SUE MENS]]-IMSS[[#This Row],[LIM INF]]</f>
        <v>1974.0699999999997</v>
      </c>
      <c r="AI440" s="163">
        <f>IMSS[[#This Row],[EXC LIM INF]]*(VLOOKUP(IMSS[[#This Row],[LIM INF]],$AG$110:$AJ$120,4,0))</f>
        <v>214.77881599999998</v>
      </c>
      <c r="AJ440" s="163">
        <f>VLOOKUP(IMSS[[#This Row],[LIM INF]],$AG$110:$AJ$120,3)</f>
        <v>321.26</v>
      </c>
      <c r="AK440" s="163">
        <f>SUM(IMSS[[#This Row],[TASA EXC]]+IMSS[[#This Row],[CUOTA FIJA]])</f>
        <v>536.038816</v>
      </c>
      <c r="AL440" s="163">
        <f>VLOOKUP(IMSS[[#This Row],[SUE MENS]],$AL$110:$AN$120,3,1)</f>
        <v>0</v>
      </c>
      <c r="AM440" s="248">
        <f>IF(IMSS[[#This Row],[ISR CARGO]]-IMSS[[#This Row],[SUBS ISR]]&gt;0,IMSS[[#This Row],[ISR CARGO]]-IMSS[[#This Row],[SUBS ISR]],0)</f>
        <v>536.038816</v>
      </c>
      <c r="AN440" s="248">
        <f>IF(IMSS[[#This Row],[SUBS ISR]]-IMSS[[#This Row],[ISR CARGO]]&gt;0,IMSS[[#This Row],[SUBS ISR]]-IMSS[[#This Row],[ISR CARGO]],0)</f>
        <v>0</v>
      </c>
    </row>
    <row r="441" spans="3:40" ht="15" hidden="1" customHeight="1" x14ac:dyDescent="0.25">
      <c r="C441" s="243">
        <v>496</v>
      </c>
      <c r="D441" s="167" t="str">
        <f>VLOOKUP(IMSS[[#This Row],[NEM]],BDD[],2,0)</f>
        <v>Enrique Martinez Carbajal</v>
      </c>
      <c r="E441" s="167" t="str">
        <f>VLOOKUP(IMSS[[#This Row],[NEM]],BDD[],9,0)</f>
        <v>ESTRUCTURA</v>
      </c>
      <c r="F441" s="168">
        <v>30</v>
      </c>
      <c r="G441" s="139">
        <f>VLOOKUP(IMSS[[#This Row],[NEM]],BDD[],3,0)</f>
        <v>7445</v>
      </c>
      <c r="H441" s="139">
        <f ca="1">VLOOKUP(IMSS[[#This Row],[NEM]],BDD[],25,0)</f>
        <v>273.32328767123283</v>
      </c>
      <c r="I441" s="143">
        <f>VLOOKUP(IMSS[[#This Row],[DEPT]],$B$3:$G$49,6,0)</f>
        <v>2.5984400000000001E-2</v>
      </c>
      <c r="J441" s="163">
        <f ca="1">IMSS[[#This Row],[DIAS LAB]]*IMSS[[#This Row],[SDI]]*IMSS[[#This Row],[% RSG]]*$Q$108</f>
        <v>213.06424908493148</v>
      </c>
      <c r="K441" s="163">
        <f>IMSS[[#This Row],[DIAS LAB]]*$J$110*$Q$109</f>
        <v>548.47440000000006</v>
      </c>
      <c r="L441" s="166">
        <f ca="1">IMSS[[#This Row],[DIAS LAB]]*IF(IMSS[[#This Row],[SDI]]-$J$113&gt;0,IMSS[[#This Row],[SDI]]-$J$113,0)*$Q$110</f>
        <v>1.4728849315068304</v>
      </c>
      <c r="M441" s="166">
        <f ca="1">IMSS[[#This Row],[DIAS LAB]]*IMSS[[#This Row],[SDI]]*$Q$111</f>
        <v>86.096835616438355</v>
      </c>
      <c r="N441" s="163">
        <f ca="1">IMSS[[#This Row],[DIAS LAB]]*IMSS[[#This Row],[SDI]]*$Q$112</f>
        <v>57.397890410958901</v>
      </c>
      <c r="O441" s="166">
        <f ca="1">IMSS[[#This Row],[DIAS LAB]]*IMSS[[#This Row],[SDI]]*$Q$113</f>
        <v>143.49472602739726</v>
      </c>
      <c r="P441" s="163">
        <f ca="1">IMSS[[#This Row],[DIAS LAB]]*IMSS[[#This Row],[SDI]]*$Q$114</f>
        <v>81.996986301369859</v>
      </c>
      <c r="Q441" s="166">
        <f ca="1">IMSS[[#This Row],[DIAS LAB]]*IMSS[[#This Row],[SDI]]*$Q$115</f>
        <v>163.99397260273972</v>
      </c>
      <c r="R441" s="163">
        <f ca="1">IMSS[[#This Row],[DIAS LAB]]*IMSS[[#This Row],[SDI]]*$Q$116</f>
        <v>258.29050684931502</v>
      </c>
      <c r="S441" s="163">
        <f ca="1">IMSS[[#This Row],[DIAS LAB]]*IMSS[[#This Row],[SDI]]*$Q$117</f>
        <v>409.98493150684931</v>
      </c>
      <c r="T441" s="164">
        <f ca="1">SUM(IMSS[[#This Row],[P RSG TRB]:[P INFONAVIT]])</f>
        <v>1964.2673833315068</v>
      </c>
      <c r="U441" s="163">
        <f ca="1">IMSS[[#This Row],[DIAS LAB]]*IMSS[[#This Row],[SDI]]*IMSS[[#This Row],[% RSG]]*$R$108</f>
        <v>0</v>
      </c>
      <c r="V441" s="163">
        <f ca="1">IMSS[[#This Row],[DIAS LAB]]*IMSS[[#This Row],[SDI]]*$R$112</f>
        <v>20.499246575342465</v>
      </c>
      <c r="W441" s="163"/>
      <c r="X441" s="163">
        <f ca="1">IMSS[[#This Row],[DIAS LAB]]*IMSS[[#This Row],[SDI]]*$R$113</f>
        <v>51.658101369863004</v>
      </c>
      <c r="Y441" s="163">
        <f ca="1">IMSS[[#This Row],[DIAS LAB]]*IMSS[[#This Row],[SDI]]*$R$114</f>
        <v>0</v>
      </c>
      <c r="Z441" s="163">
        <f ca="1">IMSS[[#This Row],[DIAS LAB]]*IMSS[[#This Row],[SDI]]*$R$115</f>
        <v>0</v>
      </c>
      <c r="AA441" s="163">
        <f ca="1">IMSS[[#This Row],[DIAS LAB]]*IMSS[[#This Row],[SDI]]*$R$116</f>
        <v>92.656594520547927</v>
      </c>
      <c r="AB441" s="163">
        <f ca="1">IMSS[[#This Row],[DIAS LAB]]*IMSS[[#This Row],[SDI]]*$R$117</f>
        <v>0</v>
      </c>
      <c r="AC441" s="247">
        <f ca="1">SUM(IMSS[[#This Row],[O RSG TRB]:[O INFONAVIT]])</f>
        <v>164.8139424657534</v>
      </c>
      <c r="AD441" s="163"/>
      <c r="AE441" s="165">
        <f ca="1">IMSS[[#This Row],[P TOTAL]]+IMSS[[#This Row],[O TOTAL]]</f>
        <v>2129.0813257972604</v>
      </c>
      <c r="AF441" s="163"/>
      <c r="AG441" s="163">
        <f>VLOOKUP(IMSS[[#This Row],[SUE MENS]],$AG$110:$AJ$120,1,1)</f>
        <v>5470.93</v>
      </c>
      <c r="AH441" s="163">
        <f>IMSS[[#This Row],[SUE MENS]]-IMSS[[#This Row],[LIM INF]]</f>
        <v>1974.0699999999997</v>
      </c>
      <c r="AI441" s="163">
        <f>IMSS[[#This Row],[EXC LIM INF]]*(VLOOKUP(IMSS[[#This Row],[LIM INF]],$AG$110:$AJ$120,4,0))</f>
        <v>214.77881599999998</v>
      </c>
      <c r="AJ441" s="163">
        <f>VLOOKUP(IMSS[[#This Row],[LIM INF]],$AG$110:$AJ$120,3)</f>
        <v>321.26</v>
      </c>
      <c r="AK441" s="163">
        <f>SUM(IMSS[[#This Row],[TASA EXC]]+IMSS[[#This Row],[CUOTA FIJA]])</f>
        <v>536.038816</v>
      </c>
      <c r="AL441" s="163">
        <f>VLOOKUP(IMSS[[#This Row],[SUE MENS]],$AL$110:$AN$120,3,1)</f>
        <v>0</v>
      </c>
      <c r="AM441" s="248">
        <f>IF(IMSS[[#This Row],[ISR CARGO]]-IMSS[[#This Row],[SUBS ISR]]&gt;0,IMSS[[#This Row],[ISR CARGO]]-IMSS[[#This Row],[SUBS ISR]],0)</f>
        <v>536.038816</v>
      </c>
      <c r="AN441" s="248">
        <f>IF(IMSS[[#This Row],[SUBS ISR]]-IMSS[[#This Row],[ISR CARGO]]&gt;0,IMSS[[#This Row],[SUBS ISR]]-IMSS[[#This Row],[ISR CARGO]],0)</f>
        <v>0</v>
      </c>
    </row>
    <row r="442" spans="3:40" ht="15" hidden="1" customHeight="1" x14ac:dyDescent="0.25">
      <c r="C442" s="243">
        <v>497</v>
      </c>
      <c r="D442" s="167" t="str">
        <f>VLOOKUP(IMSS[[#This Row],[NEM]],BDD[],2,0)</f>
        <v>Daniel Alejandro García Tovar</v>
      </c>
      <c r="E442" s="167" t="str">
        <f>VLOOKUP(IMSS[[#This Row],[NEM]],BDD[],9,0)</f>
        <v>ANLIS COST</v>
      </c>
      <c r="F442" s="168">
        <v>30</v>
      </c>
      <c r="G442" s="139">
        <f>VLOOKUP(IMSS[[#This Row],[NEM]],BDD[],3,0)</f>
        <v>7445</v>
      </c>
      <c r="H442" s="139">
        <f ca="1">VLOOKUP(IMSS[[#This Row],[NEM]],BDD[],25,0)</f>
        <v>273.32328767123283</v>
      </c>
      <c r="I442" s="143">
        <f>VLOOKUP(IMSS[[#This Row],[DEPT]],$B$3:$G$49,6,0)</f>
        <v>1.130658E-2</v>
      </c>
      <c r="J442" s="163">
        <f ca="1">IMSS[[#This Row],[DIAS LAB]]*IMSS[[#This Row],[SDI]]*IMSS[[#This Row],[% RSG]]*$Q$108</f>
        <v>92.710548537534237</v>
      </c>
      <c r="K442" s="163">
        <f>IMSS[[#This Row],[DIAS LAB]]*$J$110*$Q$109</f>
        <v>548.47440000000006</v>
      </c>
      <c r="L442" s="166">
        <f ca="1">IMSS[[#This Row],[DIAS LAB]]*IF(IMSS[[#This Row],[SDI]]-$J$113&gt;0,IMSS[[#This Row],[SDI]]-$J$113,0)*$Q$110</f>
        <v>1.4728849315068304</v>
      </c>
      <c r="M442" s="166">
        <f ca="1">IMSS[[#This Row],[DIAS LAB]]*IMSS[[#This Row],[SDI]]*$Q$111</f>
        <v>86.096835616438355</v>
      </c>
      <c r="N442" s="163">
        <f ca="1">IMSS[[#This Row],[DIAS LAB]]*IMSS[[#This Row],[SDI]]*$Q$112</f>
        <v>57.397890410958901</v>
      </c>
      <c r="O442" s="166">
        <f ca="1">IMSS[[#This Row],[DIAS LAB]]*IMSS[[#This Row],[SDI]]*$Q$113</f>
        <v>143.49472602739726</v>
      </c>
      <c r="P442" s="163">
        <f ca="1">IMSS[[#This Row],[DIAS LAB]]*IMSS[[#This Row],[SDI]]*$Q$114</f>
        <v>81.996986301369859</v>
      </c>
      <c r="Q442" s="166">
        <f ca="1">IMSS[[#This Row],[DIAS LAB]]*IMSS[[#This Row],[SDI]]*$Q$115</f>
        <v>163.99397260273972</v>
      </c>
      <c r="R442" s="163">
        <f ca="1">IMSS[[#This Row],[DIAS LAB]]*IMSS[[#This Row],[SDI]]*$Q$116</f>
        <v>258.29050684931502</v>
      </c>
      <c r="S442" s="163">
        <f ca="1">IMSS[[#This Row],[DIAS LAB]]*IMSS[[#This Row],[SDI]]*$Q$117</f>
        <v>409.98493150684931</v>
      </c>
      <c r="T442" s="164">
        <f ca="1">SUM(IMSS[[#This Row],[P RSG TRB]:[P INFONAVIT]])</f>
        <v>1843.9136827841096</v>
      </c>
      <c r="U442" s="163">
        <f ca="1">IMSS[[#This Row],[DIAS LAB]]*IMSS[[#This Row],[SDI]]*IMSS[[#This Row],[% RSG]]*$R$108</f>
        <v>0</v>
      </c>
      <c r="V442" s="163">
        <f ca="1">IMSS[[#This Row],[DIAS LAB]]*IMSS[[#This Row],[SDI]]*$R$112</f>
        <v>20.499246575342465</v>
      </c>
      <c r="W442" s="163"/>
      <c r="X442" s="163">
        <f ca="1">IMSS[[#This Row],[DIAS LAB]]*IMSS[[#This Row],[SDI]]*$R$113</f>
        <v>51.658101369863004</v>
      </c>
      <c r="Y442" s="163">
        <f ca="1">IMSS[[#This Row],[DIAS LAB]]*IMSS[[#This Row],[SDI]]*$R$114</f>
        <v>0</v>
      </c>
      <c r="Z442" s="163">
        <f ca="1">IMSS[[#This Row],[DIAS LAB]]*IMSS[[#This Row],[SDI]]*$R$115</f>
        <v>0</v>
      </c>
      <c r="AA442" s="163">
        <f ca="1">IMSS[[#This Row],[DIAS LAB]]*IMSS[[#This Row],[SDI]]*$R$116</f>
        <v>92.656594520547927</v>
      </c>
      <c r="AB442" s="163">
        <f ca="1">IMSS[[#This Row],[DIAS LAB]]*IMSS[[#This Row],[SDI]]*$R$117</f>
        <v>0</v>
      </c>
      <c r="AC442" s="247">
        <f ca="1">SUM(IMSS[[#This Row],[O RSG TRB]:[O INFONAVIT]])</f>
        <v>164.8139424657534</v>
      </c>
      <c r="AD442" s="163"/>
      <c r="AE442" s="165">
        <f ca="1">IMSS[[#This Row],[P TOTAL]]+IMSS[[#This Row],[O TOTAL]]</f>
        <v>2008.727625249863</v>
      </c>
      <c r="AF442" s="163"/>
      <c r="AG442" s="163">
        <f>VLOOKUP(IMSS[[#This Row],[SUE MENS]],$AG$110:$AJ$120,1,1)</f>
        <v>5470.93</v>
      </c>
      <c r="AH442" s="163">
        <f>IMSS[[#This Row],[SUE MENS]]-IMSS[[#This Row],[LIM INF]]</f>
        <v>1974.0699999999997</v>
      </c>
      <c r="AI442" s="163">
        <f>IMSS[[#This Row],[EXC LIM INF]]*(VLOOKUP(IMSS[[#This Row],[LIM INF]],$AG$110:$AJ$120,4,0))</f>
        <v>214.77881599999998</v>
      </c>
      <c r="AJ442" s="163">
        <f>VLOOKUP(IMSS[[#This Row],[LIM INF]],$AG$110:$AJ$120,3)</f>
        <v>321.26</v>
      </c>
      <c r="AK442" s="163">
        <f>SUM(IMSS[[#This Row],[TASA EXC]]+IMSS[[#This Row],[CUOTA FIJA]])</f>
        <v>536.038816</v>
      </c>
      <c r="AL442" s="163">
        <f>VLOOKUP(IMSS[[#This Row],[SUE MENS]],$AL$110:$AN$120,3,1)</f>
        <v>0</v>
      </c>
      <c r="AM442" s="248">
        <f>IF(IMSS[[#This Row],[ISR CARGO]]-IMSS[[#This Row],[SUBS ISR]]&gt;0,IMSS[[#This Row],[ISR CARGO]]-IMSS[[#This Row],[SUBS ISR]],0)</f>
        <v>536.038816</v>
      </c>
      <c r="AN442" s="248">
        <f>IF(IMSS[[#This Row],[SUBS ISR]]-IMSS[[#This Row],[ISR CARGO]]&gt;0,IMSS[[#This Row],[SUBS ISR]]-IMSS[[#This Row],[ISR CARGO]],0)</f>
        <v>0</v>
      </c>
    </row>
    <row r="443" spans="3:40" ht="15" hidden="1" customHeight="1" x14ac:dyDescent="0.25">
      <c r="C443" s="243">
        <v>498</v>
      </c>
      <c r="D443" s="167" t="str">
        <f>VLOOKUP(IMSS[[#This Row],[NEM]],BDD[],2,0)</f>
        <v>Marcos Eliud Ocanas Tovar</v>
      </c>
      <c r="E443" s="167" t="str">
        <f>VLOOKUP(IMSS[[#This Row],[NEM]],BDD[],9,0)</f>
        <v>ANLIS COST</v>
      </c>
      <c r="F443" s="168">
        <v>30</v>
      </c>
      <c r="G443" s="139">
        <f>VLOOKUP(IMSS[[#This Row],[NEM]],BDD[],3,0)</f>
        <v>8825</v>
      </c>
      <c r="H443" s="139">
        <f ca="1">VLOOKUP(IMSS[[#This Row],[NEM]],BDD[],25,0)</f>
        <v>323.98630136986299</v>
      </c>
      <c r="I443" s="143">
        <f>VLOOKUP(IMSS[[#This Row],[DEPT]],$B$3:$G$49,6,0)</f>
        <v>1.130658E-2</v>
      </c>
      <c r="J443" s="163">
        <f ca="1">IMSS[[#This Row],[DIAS LAB]]*IMSS[[#This Row],[SDI]]*IMSS[[#This Row],[% RSG]]*$Q$108</f>
        <v>109.89531106027395</v>
      </c>
      <c r="K443" s="163">
        <f>IMSS[[#This Row],[DIAS LAB]]*$J$110*$Q$109</f>
        <v>548.47440000000006</v>
      </c>
      <c r="L443" s="166">
        <f ca="1">IMSS[[#This Row],[DIAS LAB]]*IF(IMSS[[#This Row],[SDI]]-$J$113&gt;0,IMSS[[#This Row],[SDI]]-$J$113,0)*$Q$110</f>
        <v>18.191679452054778</v>
      </c>
      <c r="M443" s="166">
        <f ca="1">IMSS[[#This Row],[DIAS LAB]]*IMSS[[#This Row],[SDI]]*$Q$111</f>
        <v>102.05568493150685</v>
      </c>
      <c r="N443" s="163">
        <f ca="1">IMSS[[#This Row],[DIAS LAB]]*IMSS[[#This Row],[SDI]]*$Q$112</f>
        <v>68.037123287671221</v>
      </c>
      <c r="O443" s="166">
        <f ca="1">IMSS[[#This Row],[DIAS LAB]]*IMSS[[#This Row],[SDI]]*$Q$113</f>
        <v>170.09280821917807</v>
      </c>
      <c r="P443" s="163">
        <f ca="1">IMSS[[#This Row],[DIAS LAB]]*IMSS[[#This Row],[SDI]]*$Q$114</f>
        <v>97.195890410958896</v>
      </c>
      <c r="Q443" s="166">
        <f ca="1">IMSS[[#This Row],[DIAS LAB]]*IMSS[[#This Row],[SDI]]*$Q$115</f>
        <v>194.39178082191779</v>
      </c>
      <c r="R443" s="163">
        <f ca="1">IMSS[[#This Row],[DIAS LAB]]*IMSS[[#This Row],[SDI]]*$Q$116</f>
        <v>306.16705479452048</v>
      </c>
      <c r="S443" s="163">
        <f ca="1">IMSS[[#This Row],[DIAS LAB]]*IMSS[[#This Row],[SDI]]*$Q$117</f>
        <v>485.97945205479448</v>
      </c>
      <c r="T443" s="164">
        <f ca="1">SUM(IMSS[[#This Row],[P RSG TRB]:[P INFONAVIT]])</f>
        <v>2100.4811850328765</v>
      </c>
      <c r="U443" s="163">
        <f ca="1">IMSS[[#This Row],[DIAS LAB]]*IMSS[[#This Row],[SDI]]*IMSS[[#This Row],[% RSG]]*$R$108</f>
        <v>0</v>
      </c>
      <c r="V443" s="163">
        <f ca="1">IMSS[[#This Row],[DIAS LAB]]*IMSS[[#This Row],[SDI]]*$R$112</f>
        <v>24.298972602739724</v>
      </c>
      <c r="W443" s="163"/>
      <c r="X443" s="163">
        <f ca="1">IMSS[[#This Row],[DIAS LAB]]*IMSS[[#This Row],[SDI]]*$R$113</f>
        <v>61.233410958904102</v>
      </c>
      <c r="Y443" s="163">
        <f ca="1">IMSS[[#This Row],[DIAS LAB]]*IMSS[[#This Row],[SDI]]*$R$114</f>
        <v>0</v>
      </c>
      <c r="Z443" s="163">
        <f ca="1">IMSS[[#This Row],[DIAS LAB]]*IMSS[[#This Row],[SDI]]*$R$115</f>
        <v>0</v>
      </c>
      <c r="AA443" s="163">
        <f ca="1">IMSS[[#This Row],[DIAS LAB]]*IMSS[[#This Row],[SDI]]*$R$116</f>
        <v>109.83135616438354</v>
      </c>
      <c r="AB443" s="163">
        <f ca="1">IMSS[[#This Row],[DIAS LAB]]*IMSS[[#This Row],[SDI]]*$R$117</f>
        <v>0</v>
      </c>
      <c r="AC443" s="247">
        <f ca="1">SUM(IMSS[[#This Row],[O RSG TRB]:[O INFONAVIT]])</f>
        <v>195.36373972602735</v>
      </c>
      <c r="AD443" s="163"/>
      <c r="AE443" s="165">
        <f ca="1">IMSS[[#This Row],[P TOTAL]]+IMSS[[#This Row],[O TOTAL]]</f>
        <v>2295.8449247589037</v>
      </c>
      <c r="AF443" s="163"/>
      <c r="AG443" s="163">
        <f>VLOOKUP(IMSS[[#This Row],[SUE MENS]],$AG$110:$AJ$120,1,1)</f>
        <v>5470.93</v>
      </c>
      <c r="AH443" s="163">
        <f>IMSS[[#This Row],[SUE MENS]]-IMSS[[#This Row],[LIM INF]]</f>
        <v>3354.0699999999997</v>
      </c>
      <c r="AI443" s="163">
        <f>IMSS[[#This Row],[EXC LIM INF]]*(VLOOKUP(IMSS[[#This Row],[LIM INF]],$AG$110:$AJ$120,4,0))</f>
        <v>364.92281600000001</v>
      </c>
      <c r="AJ443" s="163">
        <f>VLOOKUP(IMSS[[#This Row],[LIM INF]],$AG$110:$AJ$120,3)</f>
        <v>321.26</v>
      </c>
      <c r="AK443" s="163">
        <f>SUM(IMSS[[#This Row],[TASA EXC]]+IMSS[[#This Row],[CUOTA FIJA]])</f>
        <v>686.182816</v>
      </c>
      <c r="AL443" s="163">
        <f>VLOOKUP(IMSS[[#This Row],[SUE MENS]],$AL$110:$AN$120,3,1)</f>
        <v>0</v>
      </c>
      <c r="AM443" s="248">
        <f>IF(IMSS[[#This Row],[ISR CARGO]]-IMSS[[#This Row],[SUBS ISR]]&gt;0,IMSS[[#This Row],[ISR CARGO]]-IMSS[[#This Row],[SUBS ISR]],0)</f>
        <v>686.182816</v>
      </c>
      <c r="AN443" s="248">
        <f>IF(IMSS[[#This Row],[SUBS ISR]]-IMSS[[#This Row],[ISR CARGO]]&gt;0,IMSS[[#This Row],[SUBS ISR]]-IMSS[[#This Row],[ISR CARGO]],0)</f>
        <v>0</v>
      </c>
    </row>
    <row r="444" spans="3:40" ht="15" hidden="1" customHeight="1" x14ac:dyDescent="0.25">
      <c r="C444" s="243">
        <v>500</v>
      </c>
      <c r="D444" s="167" t="str">
        <f>VLOOKUP(IMSS[[#This Row],[NEM]],BDD[],2,0)</f>
        <v>Juanita Enedina Nieves Lara</v>
      </c>
      <c r="E444" s="167" t="str">
        <f>VLOOKUP(IMSS[[#This Row],[NEM]],BDD[],9,0)</f>
        <v>ADMINCIÓN</v>
      </c>
      <c r="F444" s="168">
        <v>30</v>
      </c>
      <c r="G444" s="139">
        <f>VLOOKUP(IMSS[[#This Row],[NEM]],BDD[],3,0)</f>
        <v>9541</v>
      </c>
      <c r="H444" s="139">
        <f ca="1">VLOOKUP(IMSS[[#This Row],[NEM]],BDD[],25,0)</f>
        <v>350.27232876712327</v>
      </c>
      <c r="I444" s="143">
        <f>VLOOKUP(IMSS[[#This Row],[DEPT]],$B$3:$G$49,6,0)</f>
        <v>5.4355000000000002E-3</v>
      </c>
      <c r="J444" s="163">
        <f ca="1">IMSS[[#This Row],[DIAS LAB]]*IMSS[[#This Row],[SDI]]*IMSS[[#This Row],[% RSG]]*$Q$108</f>
        <v>57.117157290410958</v>
      </c>
      <c r="K444" s="163">
        <f>IMSS[[#This Row],[DIAS LAB]]*$J$110*$Q$109</f>
        <v>548.47440000000006</v>
      </c>
      <c r="L444" s="166">
        <f ca="1">IMSS[[#This Row],[DIAS LAB]]*IF(IMSS[[#This Row],[SDI]]-$J$113&gt;0,IMSS[[#This Row],[SDI]]-$J$113,0)*$Q$110</f>
        <v>26.866068493150674</v>
      </c>
      <c r="M444" s="166">
        <f ca="1">IMSS[[#This Row],[DIAS LAB]]*IMSS[[#This Row],[SDI]]*$Q$111</f>
        <v>110.33578356164384</v>
      </c>
      <c r="N444" s="163">
        <f ca="1">IMSS[[#This Row],[DIAS LAB]]*IMSS[[#This Row],[SDI]]*$Q$112</f>
        <v>73.557189041095882</v>
      </c>
      <c r="O444" s="166">
        <f ca="1">IMSS[[#This Row],[DIAS LAB]]*IMSS[[#This Row],[SDI]]*$Q$113</f>
        <v>183.89297260273972</v>
      </c>
      <c r="P444" s="163">
        <f ca="1">IMSS[[#This Row],[DIAS LAB]]*IMSS[[#This Row],[SDI]]*$Q$114</f>
        <v>105.08169863013698</v>
      </c>
      <c r="Q444" s="166">
        <f ca="1">IMSS[[#This Row],[DIAS LAB]]*IMSS[[#This Row],[SDI]]*$Q$115</f>
        <v>210.16339726027397</v>
      </c>
      <c r="R444" s="163">
        <f ca="1">IMSS[[#This Row],[DIAS LAB]]*IMSS[[#This Row],[SDI]]*$Q$116</f>
        <v>331.00735068493151</v>
      </c>
      <c r="S444" s="163">
        <f ca="1">IMSS[[#This Row],[DIAS LAB]]*IMSS[[#This Row],[SDI]]*$Q$117</f>
        <v>525.40849315068488</v>
      </c>
      <c r="T444" s="164">
        <f ca="1">SUM(IMSS[[#This Row],[P RSG TRB]:[P INFONAVIT]])</f>
        <v>2171.9045107150687</v>
      </c>
      <c r="U444" s="163">
        <f ca="1">IMSS[[#This Row],[DIAS LAB]]*IMSS[[#This Row],[SDI]]*IMSS[[#This Row],[% RSG]]*$R$108</f>
        <v>0</v>
      </c>
      <c r="V444" s="163">
        <f ca="1">IMSS[[#This Row],[DIAS LAB]]*IMSS[[#This Row],[SDI]]*$R$112</f>
        <v>26.270424657534246</v>
      </c>
      <c r="W444" s="163"/>
      <c r="X444" s="163">
        <f ca="1">IMSS[[#This Row],[DIAS LAB]]*IMSS[[#This Row],[SDI]]*$R$113</f>
        <v>66.201470136986302</v>
      </c>
      <c r="Y444" s="163">
        <f ca="1">IMSS[[#This Row],[DIAS LAB]]*IMSS[[#This Row],[SDI]]*$R$114</f>
        <v>0</v>
      </c>
      <c r="Z444" s="163">
        <f ca="1">IMSS[[#This Row],[DIAS LAB]]*IMSS[[#This Row],[SDI]]*$R$115</f>
        <v>0</v>
      </c>
      <c r="AA444" s="163">
        <f ca="1">IMSS[[#This Row],[DIAS LAB]]*IMSS[[#This Row],[SDI]]*$R$116</f>
        <v>118.74231945205479</v>
      </c>
      <c r="AB444" s="163">
        <f ca="1">IMSS[[#This Row],[DIAS LAB]]*IMSS[[#This Row],[SDI]]*$R$117</f>
        <v>0</v>
      </c>
      <c r="AC444" s="247">
        <f ca="1">SUM(IMSS[[#This Row],[O RSG TRB]:[O INFONAVIT]])</f>
        <v>211.21421424657535</v>
      </c>
      <c r="AD444" s="163"/>
      <c r="AE444" s="165">
        <f ca="1">IMSS[[#This Row],[P TOTAL]]+IMSS[[#This Row],[O TOTAL]]</f>
        <v>2383.1187249616441</v>
      </c>
      <c r="AF444" s="163"/>
      <c r="AG444" s="163">
        <f>VLOOKUP(IMSS[[#This Row],[SUE MENS]],$AG$110:$AJ$120,1,1)</f>
        <v>5470.93</v>
      </c>
      <c r="AH444" s="163">
        <f>IMSS[[#This Row],[SUE MENS]]-IMSS[[#This Row],[LIM INF]]</f>
        <v>4070.0699999999997</v>
      </c>
      <c r="AI444" s="163">
        <f>IMSS[[#This Row],[EXC LIM INF]]*(VLOOKUP(IMSS[[#This Row],[LIM INF]],$AG$110:$AJ$120,4,0))</f>
        <v>442.82361600000002</v>
      </c>
      <c r="AJ444" s="163">
        <f>VLOOKUP(IMSS[[#This Row],[LIM INF]],$AG$110:$AJ$120,3)</f>
        <v>321.26</v>
      </c>
      <c r="AK444" s="163">
        <f>SUM(IMSS[[#This Row],[TASA EXC]]+IMSS[[#This Row],[CUOTA FIJA]])</f>
        <v>764.08361600000001</v>
      </c>
      <c r="AL444" s="163">
        <f>VLOOKUP(IMSS[[#This Row],[SUE MENS]],$AL$110:$AN$120,3,1)</f>
        <v>0</v>
      </c>
      <c r="AM444" s="248">
        <f>IF(IMSS[[#This Row],[ISR CARGO]]-IMSS[[#This Row],[SUBS ISR]]&gt;0,IMSS[[#This Row],[ISR CARGO]]-IMSS[[#This Row],[SUBS ISR]],0)</f>
        <v>764.08361600000001</v>
      </c>
      <c r="AN444" s="248">
        <f>IF(IMSS[[#This Row],[SUBS ISR]]-IMSS[[#This Row],[ISR CARGO]]&gt;0,IMSS[[#This Row],[SUBS ISR]]-IMSS[[#This Row],[ISR CARGO]],0)</f>
        <v>0</v>
      </c>
    </row>
    <row r="445" spans="3:40" ht="15" hidden="1" customHeight="1" x14ac:dyDescent="0.25">
      <c r="C445" s="243">
        <v>501</v>
      </c>
      <c r="D445" s="167" t="str">
        <f>VLOOKUP(IMSS[[#This Row],[NEM]],BDD[],2,0)</f>
        <v>Arcenio Gatica Portillo</v>
      </c>
      <c r="E445" s="167" t="str">
        <f>VLOOKUP(IMSS[[#This Row],[NEM]],BDD[],9,0)</f>
        <v>CONTA</v>
      </c>
      <c r="F445" s="168">
        <v>30</v>
      </c>
      <c r="G445" s="139">
        <f>VLOOKUP(IMSS[[#This Row],[NEM]],BDD[],3,0)</f>
        <v>6778</v>
      </c>
      <c r="H445" s="139">
        <f ca="1">VLOOKUP(IMSS[[#This Row],[NEM]],BDD[],25,0)</f>
        <v>237.38474885844749</v>
      </c>
      <c r="I445" s="143">
        <f>VLOOKUP(IMSS[[#This Row],[DEPT]],$B$3:$G$49,6,0)</f>
        <v>5.4355000000000002E-3</v>
      </c>
      <c r="J445" s="163">
        <f ca="1">IMSS[[#This Row],[DIAS LAB]]*IMSS[[#This Row],[SDI]]*IMSS[[#This Row],[% RSG]]*$Q$108</f>
        <v>38.70914407260274</v>
      </c>
      <c r="K445" s="163">
        <f>IMSS[[#This Row],[DIAS LAB]]*$J$110*$Q$109</f>
        <v>548.47440000000006</v>
      </c>
      <c r="L445" s="166">
        <f ca="1">IMSS[[#This Row],[DIAS LAB]]*IF(IMSS[[#This Row],[SDI]]-$J$113&gt;0,IMSS[[#This Row],[SDI]]-$J$113,0)*$Q$110</f>
        <v>0</v>
      </c>
      <c r="M445" s="166">
        <f ca="1">IMSS[[#This Row],[DIAS LAB]]*IMSS[[#This Row],[SDI]]*$Q$111</f>
        <v>74.77619589041096</v>
      </c>
      <c r="N445" s="163">
        <f ca="1">IMSS[[#This Row],[DIAS LAB]]*IMSS[[#This Row],[SDI]]*$Q$112</f>
        <v>49.850797260273978</v>
      </c>
      <c r="O445" s="166">
        <f ca="1">IMSS[[#This Row],[DIAS LAB]]*IMSS[[#This Row],[SDI]]*$Q$113</f>
        <v>124.62699315068495</v>
      </c>
      <c r="P445" s="163">
        <f ca="1">IMSS[[#This Row],[DIAS LAB]]*IMSS[[#This Row],[SDI]]*$Q$114</f>
        <v>71.215424657534257</v>
      </c>
      <c r="Q445" s="166">
        <f ca="1">IMSS[[#This Row],[DIAS LAB]]*IMSS[[#This Row],[SDI]]*$Q$115</f>
        <v>142.43084931506851</v>
      </c>
      <c r="R445" s="163">
        <f ca="1">IMSS[[#This Row],[DIAS LAB]]*IMSS[[#This Row],[SDI]]*$Q$116</f>
        <v>224.3285876712329</v>
      </c>
      <c r="S445" s="163">
        <f ca="1">IMSS[[#This Row],[DIAS LAB]]*IMSS[[#This Row],[SDI]]*$Q$117</f>
        <v>356.07712328767127</v>
      </c>
      <c r="T445" s="164">
        <f ca="1">SUM(IMSS[[#This Row],[P RSG TRB]:[P INFONAVIT]])</f>
        <v>1630.4895153054799</v>
      </c>
      <c r="U445" s="163">
        <f ca="1">IMSS[[#This Row],[DIAS LAB]]*IMSS[[#This Row],[SDI]]*IMSS[[#This Row],[% RSG]]*$R$108</f>
        <v>0</v>
      </c>
      <c r="V445" s="163">
        <f ca="1">IMSS[[#This Row],[DIAS LAB]]*IMSS[[#This Row],[SDI]]*$R$112</f>
        <v>17.803856164383564</v>
      </c>
      <c r="W445" s="163"/>
      <c r="X445" s="163">
        <f ca="1">IMSS[[#This Row],[DIAS LAB]]*IMSS[[#This Row],[SDI]]*$R$113</f>
        <v>44.865717534246578</v>
      </c>
      <c r="Y445" s="163">
        <f ca="1">IMSS[[#This Row],[DIAS LAB]]*IMSS[[#This Row],[SDI]]*$R$114</f>
        <v>0</v>
      </c>
      <c r="Z445" s="163">
        <f ca="1">IMSS[[#This Row],[DIAS LAB]]*IMSS[[#This Row],[SDI]]*$R$115</f>
        <v>0</v>
      </c>
      <c r="AA445" s="163">
        <f ca="1">IMSS[[#This Row],[DIAS LAB]]*IMSS[[#This Row],[SDI]]*$R$116</f>
        <v>80.473429863013692</v>
      </c>
      <c r="AB445" s="163">
        <f ca="1">IMSS[[#This Row],[DIAS LAB]]*IMSS[[#This Row],[SDI]]*$R$117</f>
        <v>0</v>
      </c>
      <c r="AC445" s="247">
        <f ca="1">SUM(IMSS[[#This Row],[O RSG TRB]:[O INFONAVIT]])</f>
        <v>143.14300356164384</v>
      </c>
      <c r="AD445" s="163"/>
      <c r="AE445" s="165">
        <f ca="1">IMSS[[#This Row],[P TOTAL]]+IMSS[[#This Row],[O TOTAL]]</f>
        <v>1773.6325188671237</v>
      </c>
      <c r="AF445" s="163"/>
      <c r="AG445" s="163">
        <f>VLOOKUP(IMSS[[#This Row],[SUE MENS]],$AG$110:$AJ$120,1,1)</f>
        <v>5470.93</v>
      </c>
      <c r="AH445" s="163">
        <f>IMSS[[#This Row],[SUE MENS]]-IMSS[[#This Row],[LIM INF]]</f>
        <v>1307.0699999999997</v>
      </c>
      <c r="AI445" s="163">
        <f>IMSS[[#This Row],[EXC LIM INF]]*(VLOOKUP(IMSS[[#This Row],[LIM INF]],$AG$110:$AJ$120,4,0))</f>
        <v>142.20921599999997</v>
      </c>
      <c r="AJ445" s="163">
        <f>VLOOKUP(IMSS[[#This Row],[LIM INF]],$AG$110:$AJ$120,3)</f>
        <v>321.26</v>
      </c>
      <c r="AK445" s="163">
        <f>SUM(IMSS[[#This Row],[TASA EXC]]+IMSS[[#This Row],[CUOTA FIJA]])</f>
        <v>463.46921599999996</v>
      </c>
      <c r="AL445" s="163">
        <f>VLOOKUP(IMSS[[#This Row],[SUE MENS]],$AL$110:$AN$120,3,1)</f>
        <v>253.54</v>
      </c>
      <c r="AM445" s="248">
        <f>IF(IMSS[[#This Row],[ISR CARGO]]-IMSS[[#This Row],[SUBS ISR]]&gt;0,IMSS[[#This Row],[ISR CARGO]]-IMSS[[#This Row],[SUBS ISR]],0)</f>
        <v>209.92921599999997</v>
      </c>
      <c r="AN445" s="248">
        <f>IF(IMSS[[#This Row],[SUBS ISR]]-IMSS[[#This Row],[ISR CARGO]]&gt;0,IMSS[[#This Row],[SUBS ISR]]-IMSS[[#This Row],[ISR CARGO]],0)</f>
        <v>0</v>
      </c>
    </row>
    <row r="446" spans="3:40" ht="15" hidden="1" customHeight="1" x14ac:dyDescent="0.25">
      <c r="C446" s="243">
        <v>502</v>
      </c>
      <c r="D446" s="167" t="str">
        <f>VLOOKUP(IMSS[[#This Row],[NEM]],BDD[],2,0)</f>
        <v>Aranza Elizabeth Vazquez Rodriguez</v>
      </c>
      <c r="E446" s="167" t="str">
        <f>VLOOKUP(IMSS[[#This Row],[NEM]],BDD[],9,0)</f>
        <v>INST CAMPO</v>
      </c>
      <c r="F446" s="168">
        <v>30</v>
      </c>
      <c r="G446" s="139">
        <f>VLOOKUP(IMSS[[#This Row],[NEM]],BDD[],3,0)</f>
        <v>9450</v>
      </c>
      <c r="H446" s="139">
        <f ca="1">VLOOKUP(IMSS[[#This Row],[NEM]],BDD[],25,0)</f>
        <v>346.93150684931504</v>
      </c>
      <c r="I446" s="143">
        <f>VLOOKUP(IMSS[[#This Row],[DEPT]],$B$3:$G$49,6,0)</f>
        <v>4.6532499999999997E-2</v>
      </c>
      <c r="J446" s="163">
        <f ca="1">IMSS[[#This Row],[DIAS LAB]]*IMSS[[#This Row],[SDI]]*IMSS[[#This Row],[% RSG]]*$Q$108</f>
        <v>484.30771027397253</v>
      </c>
      <c r="K446" s="163">
        <f>IMSS[[#This Row],[DIAS LAB]]*$J$110*$Q$109</f>
        <v>548.47440000000006</v>
      </c>
      <c r="L446" s="166">
        <f ca="1">IMSS[[#This Row],[DIAS LAB]]*IF(IMSS[[#This Row],[SDI]]-$J$113&gt;0,IMSS[[#This Row],[SDI]]-$J$113,0)*$Q$110</f>
        <v>25.763597260273958</v>
      </c>
      <c r="M446" s="166">
        <f ca="1">IMSS[[#This Row],[DIAS LAB]]*IMSS[[#This Row],[SDI]]*$Q$111</f>
        <v>109.28342465753424</v>
      </c>
      <c r="N446" s="163">
        <f ca="1">IMSS[[#This Row],[DIAS LAB]]*IMSS[[#This Row],[SDI]]*$Q$112</f>
        <v>72.855616438356165</v>
      </c>
      <c r="O446" s="166">
        <f ca="1">IMSS[[#This Row],[DIAS LAB]]*IMSS[[#This Row],[SDI]]*$Q$113</f>
        <v>182.13904109589041</v>
      </c>
      <c r="P446" s="163">
        <f ca="1">IMSS[[#This Row],[DIAS LAB]]*IMSS[[#This Row],[SDI]]*$Q$114</f>
        <v>104.07945205479452</v>
      </c>
      <c r="Q446" s="166">
        <f ca="1">IMSS[[#This Row],[DIAS LAB]]*IMSS[[#This Row],[SDI]]*$Q$115</f>
        <v>208.15890410958903</v>
      </c>
      <c r="R446" s="163">
        <f ca="1">IMSS[[#This Row],[DIAS LAB]]*IMSS[[#This Row],[SDI]]*$Q$116</f>
        <v>327.85027397260274</v>
      </c>
      <c r="S446" s="163">
        <f ca="1">IMSS[[#This Row],[DIAS LAB]]*IMSS[[#This Row],[SDI]]*$Q$117</f>
        <v>520.39726027397262</v>
      </c>
      <c r="T446" s="164">
        <f ca="1">SUM(IMSS[[#This Row],[P RSG TRB]:[P INFONAVIT]])</f>
        <v>2583.3096801369861</v>
      </c>
      <c r="U446" s="163">
        <f ca="1">IMSS[[#This Row],[DIAS LAB]]*IMSS[[#This Row],[SDI]]*IMSS[[#This Row],[% RSG]]*$R$108</f>
        <v>0</v>
      </c>
      <c r="V446" s="163">
        <f ca="1">IMSS[[#This Row],[DIAS LAB]]*IMSS[[#This Row],[SDI]]*$R$112</f>
        <v>26.019863013698629</v>
      </c>
      <c r="W446" s="163"/>
      <c r="X446" s="163">
        <f ca="1">IMSS[[#This Row],[DIAS LAB]]*IMSS[[#This Row],[SDI]]*$R$113</f>
        <v>65.570054794520544</v>
      </c>
      <c r="Y446" s="163">
        <f ca="1">IMSS[[#This Row],[DIAS LAB]]*IMSS[[#This Row],[SDI]]*$R$114</f>
        <v>0</v>
      </c>
      <c r="Z446" s="163">
        <f ca="1">IMSS[[#This Row],[DIAS LAB]]*IMSS[[#This Row],[SDI]]*$R$115</f>
        <v>0</v>
      </c>
      <c r="AA446" s="163">
        <f ca="1">IMSS[[#This Row],[DIAS LAB]]*IMSS[[#This Row],[SDI]]*$R$116</f>
        <v>117.60978082191779</v>
      </c>
      <c r="AB446" s="163">
        <f ca="1">IMSS[[#This Row],[DIAS LAB]]*IMSS[[#This Row],[SDI]]*$R$117</f>
        <v>0</v>
      </c>
      <c r="AC446" s="247">
        <f ca="1">SUM(IMSS[[#This Row],[O RSG TRB]:[O INFONAVIT]])</f>
        <v>209.19969863013696</v>
      </c>
      <c r="AD446" s="163"/>
      <c r="AE446" s="165">
        <f ca="1">IMSS[[#This Row],[P TOTAL]]+IMSS[[#This Row],[O TOTAL]]</f>
        <v>2792.5093787671231</v>
      </c>
      <c r="AF446" s="163"/>
      <c r="AG446" s="163">
        <f>VLOOKUP(IMSS[[#This Row],[SUE MENS]],$AG$110:$AJ$120,1,1)</f>
        <v>5470.93</v>
      </c>
      <c r="AH446" s="163">
        <f>IMSS[[#This Row],[SUE MENS]]-IMSS[[#This Row],[LIM INF]]</f>
        <v>3979.0699999999997</v>
      </c>
      <c r="AI446" s="163">
        <f>IMSS[[#This Row],[EXC LIM INF]]*(VLOOKUP(IMSS[[#This Row],[LIM INF]],$AG$110:$AJ$120,4,0))</f>
        <v>432.92281600000001</v>
      </c>
      <c r="AJ446" s="163">
        <f>VLOOKUP(IMSS[[#This Row],[LIM INF]],$AG$110:$AJ$120,3)</f>
        <v>321.26</v>
      </c>
      <c r="AK446" s="163">
        <f>SUM(IMSS[[#This Row],[TASA EXC]]+IMSS[[#This Row],[CUOTA FIJA]])</f>
        <v>754.182816</v>
      </c>
      <c r="AL446" s="163">
        <f>VLOOKUP(IMSS[[#This Row],[SUE MENS]],$AL$110:$AN$120,3,1)</f>
        <v>0</v>
      </c>
      <c r="AM446" s="248">
        <f>IF(IMSS[[#This Row],[ISR CARGO]]-IMSS[[#This Row],[SUBS ISR]]&gt;0,IMSS[[#This Row],[ISR CARGO]]-IMSS[[#This Row],[SUBS ISR]],0)</f>
        <v>754.182816</v>
      </c>
      <c r="AN446" s="248">
        <f>IF(IMSS[[#This Row],[SUBS ISR]]-IMSS[[#This Row],[ISR CARGO]]&gt;0,IMSS[[#This Row],[SUBS ISR]]-IMSS[[#This Row],[ISR CARGO]],0)</f>
        <v>0</v>
      </c>
    </row>
    <row r="447" spans="3:40" ht="15" hidden="1" customHeight="1" x14ac:dyDescent="0.25">
      <c r="C447" s="243">
        <v>503</v>
      </c>
      <c r="D447" s="167" t="str">
        <f>VLOOKUP(IMSS[[#This Row],[NEM]],BDD[],2,0)</f>
        <v>Hugo Alejandro Segura Viveros</v>
      </c>
      <c r="E447" s="167" t="str">
        <f>VLOOKUP(IMSS[[#This Row],[NEM]],BDD[],9,0)</f>
        <v>ANLIS COST</v>
      </c>
      <c r="F447" s="168">
        <v>30</v>
      </c>
      <c r="G447" s="139">
        <f>VLOOKUP(IMSS[[#This Row],[NEM]],BDD[],3,0)</f>
        <v>9541</v>
      </c>
      <c r="H447" s="139">
        <f ca="1">VLOOKUP(IMSS[[#This Row],[NEM]],BDD[],25,0)</f>
        <v>350.27232876712327</v>
      </c>
      <c r="I447" s="143">
        <f>VLOOKUP(IMSS[[#This Row],[DEPT]],$B$3:$G$49,6,0)</f>
        <v>1.130658E-2</v>
      </c>
      <c r="J447" s="163">
        <f ca="1">IMSS[[#This Row],[DIAS LAB]]*IMSS[[#This Row],[SDI]]*IMSS[[#This Row],[% RSG]]*$Q$108</f>
        <v>118.81146320975341</v>
      </c>
      <c r="K447" s="163">
        <f>IMSS[[#This Row],[DIAS LAB]]*$J$110*$Q$109</f>
        <v>548.47440000000006</v>
      </c>
      <c r="L447" s="166">
        <f ca="1">IMSS[[#This Row],[DIAS LAB]]*IF(IMSS[[#This Row],[SDI]]-$J$113&gt;0,IMSS[[#This Row],[SDI]]-$J$113,0)*$Q$110</f>
        <v>26.866068493150674</v>
      </c>
      <c r="M447" s="166">
        <f ca="1">IMSS[[#This Row],[DIAS LAB]]*IMSS[[#This Row],[SDI]]*$Q$111</f>
        <v>110.33578356164384</v>
      </c>
      <c r="N447" s="163">
        <f ca="1">IMSS[[#This Row],[DIAS LAB]]*IMSS[[#This Row],[SDI]]*$Q$112</f>
        <v>73.557189041095882</v>
      </c>
      <c r="O447" s="166">
        <f ca="1">IMSS[[#This Row],[DIAS LAB]]*IMSS[[#This Row],[SDI]]*$Q$113</f>
        <v>183.89297260273972</v>
      </c>
      <c r="P447" s="163">
        <f ca="1">IMSS[[#This Row],[DIAS LAB]]*IMSS[[#This Row],[SDI]]*$Q$114</f>
        <v>105.08169863013698</v>
      </c>
      <c r="Q447" s="166">
        <f ca="1">IMSS[[#This Row],[DIAS LAB]]*IMSS[[#This Row],[SDI]]*$Q$115</f>
        <v>210.16339726027397</v>
      </c>
      <c r="R447" s="163">
        <f ca="1">IMSS[[#This Row],[DIAS LAB]]*IMSS[[#This Row],[SDI]]*$Q$116</f>
        <v>331.00735068493151</v>
      </c>
      <c r="S447" s="163">
        <f ca="1">IMSS[[#This Row],[DIAS LAB]]*IMSS[[#This Row],[SDI]]*$Q$117</f>
        <v>525.40849315068488</v>
      </c>
      <c r="T447" s="164">
        <f ca="1">SUM(IMSS[[#This Row],[P RSG TRB]:[P INFONAVIT]])</f>
        <v>2233.5988166344109</v>
      </c>
      <c r="U447" s="163">
        <f ca="1">IMSS[[#This Row],[DIAS LAB]]*IMSS[[#This Row],[SDI]]*IMSS[[#This Row],[% RSG]]*$R$108</f>
        <v>0</v>
      </c>
      <c r="V447" s="163">
        <f ca="1">IMSS[[#This Row],[DIAS LAB]]*IMSS[[#This Row],[SDI]]*$R$112</f>
        <v>26.270424657534246</v>
      </c>
      <c r="W447" s="163"/>
      <c r="X447" s="163">
        <f ca="1">IMSS[[#This Row],[DIAS LAB]]*IMSS[[#This Row],[SDI]]*$R$113</f>
        <v>66.201470136986302</v>
      </c>
      <c r="Y447" s="163">
        <f ca="1">IMSS[[#This Row],[DIAS LAB]]*IMSS[[#This Row],[SDI]]*$R$114</f>
        <v>0</v>
      </c>
      <c r="Z447" s="163">
        <f ca="1">IMSS[[#This Row],[DIAS LAB]]*IMSS[[#This Row],[SDI]]*$R$115</f>
        <v>0</v>
      </c>
      <c r="AA447" s="163">
        <f ca="1">IMSS[[#This Row],[DIAS LAB]]*IMSS[[#This Row],[SDI]]*$R$116</f>
        <v>118.74231945205479</v>
      </c>
      <c r="AB447" s="163">
        <f ca="1">IMSS[[#This Row],[DIAS LAB]]*IMSS[[#This Row],[SDI]]*$R$117</f>
        <v>0</v>
      </c>
      <c r="AC447" s="247">
        <f ca="1">SUM(IMSS[[#This Row],[O RSG TRB]:[O INFONAVIT]])</f>
        <v>211.21421424657535</v>
      </c>
      <c r="AD447" s="163"/>
      <c r="AE447" s="165">
        <f ca="1">IMSS[[#This Row],[P TOTAL]]+IMSS[[#This Row],[O TOTAL]]</f>
        <v>2444.8130308809864</v>
      </c>
      <c r="AF447" s="163"/>
      <c r="AG447" s="163">
        <f>VLOOKUP(IMSS[[#This Row],[SUE MENS]],$AG$110:$AJ$120,1,1)</f>
        <v>5470.93</v>
      </c>
      <c r="AH447" s="163">
        <f>IMSS[[#This Row],[SUE MENS]]-IMSS[[#This Row],[LIM INF]]</f>
        <v>4070.0699999999997</v>
      </c>
      <c r="AI447" s="163">
        <f>IMSS[[#This Row],[EXC LIM INF]]*(VLOOKUP(IMSS[[#This Row],[LIM INF]],$AG$110:$AJ$120,4,0))</f>
        <v>442.82361600000002</v>
      </c>
      <c r="AJ447" s="163">
        <f>VLOOKUP(IMSS[[#This Row],[LIM INF]],$AG$110:$AJ$120,3)</f>
        <v>321.26</v>
      </c>
      <c r="AK447" s="163">
        <f>SUM(IMSS[[#This Row],[TASA EXC]]+IMSS[[#This Row],[CUOTA FIJA]])</f>
        <v>764.08361600000001</v>
      </c>
      <c r="AL447" s="163">
        <f>VLOOKUP(IMSS[[#This Row],[SUE MENS]],$AL$110:$AN$120,3,1)</f>
        <v>0</v>
      </c>
      <c r="AM447" s="248">
        <f>IF(IMSS[[#This Row],[ISR CARGO]]-IMSS[[#This Row],[SUBS ISR]]&gt;0,IMSS[[#This Row],[ISR CARGO]]-IMSS[[#This Row],[SUBS ISR]],0)</f>
        <v>764.08361600000001</v>
      </c>
      <c r="AN447" s="248">
        <f>IF(IMSS[[#This Row],[SUBS ISR]]-IMSS[[#This Row],[ISR CARGO]]&gt;0,IMSS[[#This Row],[SUBS ISR]]-IMSS[[#This Row],[ISR CARGO]],0)</f>
        <v>0</v>
      </c>
    </row>
    <row r="448" spans="3:40" ht="15" hidden="1" customHeight="1" x14ac:dyDescent="0.25">
      <c r="C448" s="243">
        <v>504</v>
      </c>
      <c r="D448" s="167" t="str">
        <f>VLOOKUP(IMSS[[#This Row],[NEM]],BDD[],2,0)</f>
        <v>Adrian García Villanueva</v>
      </c>
      <c r="E448" s="167" t="str">
        <f>VLOOKUP(IMSS[[#This Row],[NEM]],BDD[],9,0)</f>
        <v>ARQUITECT</v>
      </c>
      <c r="F448" s="168">
        <v>30</v>
      </c>
      <c r="G448" s="139">
        <f>VLOOKUP(IMSS[[#This Row],[NEM]],BDD[],3,0)</f>
        <v>7445</v>
      </c>
      <c r="H448" s="139">
        <f ca="1">VLOOKUP(IMSS[[#This Row],[NEM]],BDD[],25,0)</f>
        <v>273.32328767123283</v>
      </c>
      <c r="I448" s="143">
        <f>VLOOKUP(IMSS[[#This Row],[DEPT]],$B$3:$G$49,6,0)</f>
        <v>2.5984400000000001E-2</v>
      </c>
      <c r="J448" s="163">
        <f ca="1">IMSS[[#This Row],[DIAS LAB]]*IMSS[[#This Row],[SDI]]*IMSS[[#This Row],[% RSG]]*$Q$108</f>
        <v>213.06424908493148</v>
      </c>
      <c r="K448" s="163">
        <f>IMSS[[#This Row],[DIAS LAB]]*$J$110*$Q$109</f>
        <v>548.47440000000006</v>
      </c>
      <c r="L448" s="166">
        <f ca="1">IMSS[[#This Row],[DIAS LAB]]*IF(IMSS[[#This Row],[SDI]]-$J$113&gt;0,IMSS[[#This Row],[SDI]]-$J$113,0)*$Q$110</f>
        <v>1.4728849315068304</v>
      </c>
      <c r="M448" s="166">
        <f ca="1">IMSS[[#This Row],[DIAS LAB]]*IMSS[[#This Row],[SDI]]*$Q$111</f>
        <v>86.096835616438355</v>
      </c>
      <c r="N448" s="163">
        <f ca="1">IMSS[[#This Row],[DIAS LAB]]*IMSS[[#This Row],[SDI]]*$Q$112</f>
        <v>57.397890410958901</v>
      </c>
      <c r="O448" s="166">
        <f ca="1">IMSS[[#This Row],[DIAS LAB]]*IMSS[[#This Row],[SDI]]*$Q$113</f>
        <v>143.49472602739726</v>
      </c>
      <c r="P448" s="163">
        <f ca="1">IMSS[[#This Row],[DIAS LAB]]*IMSS[[#This Row],[SDI]]*$Q$114</f>
        <v>81.996986301369859</v>
      </c>
      <c r="Q448" s="166">
        <f ca="1">IMSS[[#This Row],[DIAS LAB]]*IMSS[[#This Row],[SDI]]*$Q$115</f>
        <v>163.99397260273972</v>
      </c>
      <c r="R448" s="163">
        <f ca="1">IMSS[[#This Row],[DIAS LAB]]*IMSS[[#This Row],[SDI]]*$Q$116</f>
        <v>258.29050684931502</v>
      </c>
      <c r="S448" s="163">
        <f ca="1">IMSS[[#This Row],[DIAS LAB]]*IMSS[[#This Row],[SDI]]*$Q$117</f>
        <v>409.98493150684931</v>
      </c>
      <c r="T448" s="164">
        <f ca="1">SUM(IMSS[[#This Row],[P RSG TRB]:[P INFONAVIT]])</f>
        <v>1964.2673833315068</v>
      </c>
      <c r="U448" s="163">
        <f ca="1">IMSS[[#This Row],[DIAS LAB]]*IMSS[[#This Row],[SDI]]*IMSS[[#This Row],[% RSG]]*$R$108</f>
        <v>0</v>
      </c>
      <c r="V448" s="163">
        <f ca="1">IMSS[[#This Row],[DIAS LAB]]*IMSS[[#This Row],[SDI]]*$R$112</f>
        <v>20.499246575342465</v>
      </c>
      <c r="W448" s="163"/>
      <c r="X448" s="163">
        <f ca="1">IMSS[[#This Row],[DIAS LAB]]*IMSS[[#This Row],[SDI]]*$R$113</f>
        <v>51.658101369863004</v>
      </c>
      <c r="Y448" s="163">
        <f ca="1">IMSS[[#This Row],[DIAS LAB]]*IMSS[[#This Row],[SDI]]*$R$114</f>
        <v>0</v>
      </c>
      <c r="Z448" s="163">
        <f ca="1">IMSS[[#This Row],[DIAS LAB]]*IMSS[[#This Row],[SDI]]*$R$115</f>
        <v>0</v>
      </c>
      <c r="AA448" s="163">
        <f ca="1">IMSS[[#This Row],[DIAS LAB]]*IMSS[[#This Row],[SDI]]*$R$116</f>
        <v>92.656594520547927</v>
      </c>
      <c r="AB448" s="163">
        <f ca="1">IMSS[[#This Row],[DIAS LAB]]*IMSS[[#This Row],[SDI]]*$R$117</f>
        <v>0</v>
      </c>
      <c r="AC448" s="247">
        <f ca="1">SUM(IMSS[[#This Row],[O RSG TRB]:[O INFONAVIT]])</f>
        <v>164.8139424657534</v>
      </c>
      <c r="AD448" s="163"/>
      <c r="AE448" s="165">
        <f ca="1">IMSS[[#This Row],[P TOTAL]]+IMSS[[#This Row],[O TOTAL]]</f>
        <v>2129.0813257972604</v>
      </c>
      <c r="AF448" s="163"/>
      <c r="AG448" s="163">
        <f>VLOOKUP(IMSS[[#This Row],[SUE MENS]],$AG$110:$AJ$120,1,1)</f>
        <v>5470.93</v>
      </c>
      <c r="AH448" s="163">
        <f>IMSS[[#This Row],[SUE MENS]]-IMSS[[#This Row],[LIM INF]]</f>
        <v>1974.0699999999997</v>
      </c>
      <c r="AI448" s="163">
        <f>IMSS[[#This Row],[EXC LIM INF]]*(VLOOKUP(IMSS[[#This Row],[LIM INF]],$AG$110:$AJ$120,4,0))</f>
        <v>214.77881599999998</v>
      </c>
      <c r="AJ448" s="163">
        <f>VLOOKUP(IMSS[[#This Row],[LIM INF]],$AG$110:$AJ$120,3)</f>
        <v>321.26</v>
      </c>
      <c r="AK448" s="163">
        <f>SUM(IMSS[[#This Row],[TASA EXC]]+IMSS[[#This Row],[CUOTA FIJA]])</f>
        <v>536.038816</v>
      </c>
      <c r="AL448" s="163">
        <f>VLOOKUP(IMSS[[#This Row],[SUE MENS]],$AL$110:$AN$120,3,1)</f>
        <v>0</v>
      </c>
      <c r="AM448" s="248">
        <f>IF(IMSS[[#This Row],[ISR CARGO]]-IMSS[[#This Row],[SUBS ISR]]&gt;0,IMSS[[#This Row],[ISR CARGO]]-IMSS[[#This Row],[SUBS ISR]],0)</f>
        <v>536.038816</v>
      </c>
      <c r="AN448" s="248">
        <f>IF(IMSS[[#This Row],[SUBS ISR]]-IMSS[[#This Row],[ISR CARGO]]&gt;0,IMSS[[#This Row],[SUBS ISR]]-IMSS[[#This Row],[ISR CARGO]],0)</f>
        <v>0</v>
      </c>
    </row>
    <row r="449" spans="3:40" ht="15" hidden="1" customHeight="1" x14ac:dyDescent="0.25">
      <c r="C449" s="243">
        <v>507</v>
      </c>
      <c r="D449" s="167" t="str">
        <f>VLOOKUP(IMSS[[#This Row],[NEM]],BDD[],2,0)</f>
        <v>Epifanio Dominguez Ramos</v>
      </c>
      <c r="E449" s="167" t="str">
        <f>VLOOKUP(IMSS[[#This Row],[NEM]],BDD[],9,0)</f>
        <v>RENDER</v>
      </c>
      <c r="F449" s="168">
        <v>30</v>
      </c>
      <c r="G449" s="139">
        <f>VLOOKUP(IMSS[[#This Row],[NEM]],BDD[],3,0)</f>
        <v>6778</v>
      </c>
      <c r="H449" s="139">
        <f ca="1">VLOOKUP(IMSS[[#This Row],[NEM]],BDD[],25,0)</f>
        <v>237.38474885844749</v>
      </c>
      <c r="I449" s="143">
        <f>VLOOKUP(IMSS[[#This Row],[DEPT]],$B$3:$G$49,6,0)</f>
        <v>2.5984400000000001E-2</v>
      </c>
      <c r="J449" s="163">
        <f ca="1">IMSS[[#This Row],[DIAS LAB]]*IMSS[[#This Row],[SDI]]*IMSS[[#This Row],[% RSG]]*$Q$108</f>
        <v>185.04900804712329</v>
      </c>
      <c r="K449" s="163">
        <f>IMSS[[#This Row],[DIAS LAB]]*$J$110*$Q$109</f>
        <v>548.47440000000006</v>
      </c>
      <c r="L449" s="166">
        <f ca="1">IMSS[[#This Row],[DIAS LAB]]*IF(IMSS[[#This Row],[SDI]]-$J$113&gt;0,IMSS[[#This Row],[SDI]]-$J$113,0)*$Q$110</f>
        <v>0</v>
      </c>
      <c r="M449" s="166">
        <f ca="1">IMSS[[#This Row],[DIAS LAB]]*IMSS[[#This Row],[SDI]]*$Q$111</f>
        <v>74.77619589041096</v>
      </c>
      <c r="N449" s="163">
        <f ca="1">IMSS[[#This Row],[DIAS LAB]]*IMSS[[#This Row],[SDI]]*$Q$112</f>
        <v>49.850797260273978</v>
      </c>
      <c r="O449" s="166">
        <f ca="1">IMSS[[#This Row],[DIAS LAB]]*IMSS[[#This Row],[SDI]]*$Q$113</f>
        <v>124.62699315068495</v>
      </c>
      <c r="P449" s="163">
        <f ca="1">IMSS[[#This Row],[DIAS LAB]]*IMSS[[#This Row],[SDI]]*$Q$114</f>
        <v>71.215424657534257</v>
      </c>
      <c r="Q449" s="166">
        <f ca="1">IMSS[[#This Row],[DIAS LAB]]*IMSS[[#This Row],[SDI]]*$Q$115</f>
        <v>142.43084931506851</v>
      </c>
      <c r="R449" s="163">
        <f ca="1">IMSS[[#This Row],[DIAS LAB]]*IMSS[[#This Row],[SDI]]*$Q$116</f>
        <v>224.3285876712329</v>
      </c>
      <c r="S449" s="163">
        <f ca="1">IMSS[[#This Row],[DIAS LAB]]*IMSS[[#This Row],[SDI]]*$Q$117</f>
        <v>356.07712328767127</v>
      </c>
      <c r="T449" s="164">
        <f ca="1">SUM(IMSS[[#This Row],[P RSG TRB]:[P INFONAVIT]])</f>
        <v>1776.8293792800005</v>
      </c>
      <c r="U449" s="163">
        <f ca="1">IMSS[[#This Row],[DIAS LAB]]*IMSS[[#This Row],[SDI]]*IMSS[[#This Row],[% RSG]]*$R$108</f>
        <v>0</v>
      </c>
      <c r="V449" s="163">
        <f ca="1">IMSS[[#This Row],[DIAS LAB]]*IMSS[[#This Row],[SDI]]*$R$112</f>
        <v>17.803856164383564</v>
      </c>
      <c r="W449" s="163"/>
      <c r="X449" s="163">
        <f ca="1">IMSS[[#This Row],[DIAS LAB]]*IMSS[[#This Row],[SDI]]*$R$113</f>
        <v>44.865717534246578</v>
      </c>
      <c r="Y449" s="163">
        <f ca="1">IMSS[[#This Row],[DIAS LAB]]*IMSS[[#This Row],[SDI]]*$R$114</f>
        <v>0</v>
      </c>
      <c r="Z449" s="163">
        <f ca="1">IMSS[[#This Row],[DIAS LAB]]*IMSS[[#This Row],[SDI]]*$R$115</f>
        <v>0</v>
      </c>
      <c r="AA449" s="163">
        <f ca="1">IMSS[[#This Row],[DIAS LAB]]*IMSS[[#This Row],[SDI]]*$R$116</f>
        <v>80.473429863013692</v>
      </c>
      <c r="AB449" s="163">
        <f ca="1">IMSS[[#This Row],[DIAS LAB]]*IMSS[[#This Row],[SDI]]*$R$117</f>
        <v>0</v>
      </c>
      <c r="AC449" s="247">
        <f ca="1">SUM(IMSS[[#This Row],[O RSG TRB]:[O INFONAVIT]])</f>
        <v>143.14300356164384</v>
      </c>
      <c r="AD449" s="163"/>
      <c r="AE449" s="165">
        <f ca="1">IMSS[[#This Row],[P TOTAL]]+IMSS[[#This Row],[O TOTAL]]</f>
        <v>1919.9723828416443</v>
      </c>
      <c r="AF449" s="163"/>
      <c r="AG449" s="163">
        <f>VLOOKUP(IMSS[[#This Row],[SUE MENS]],$AG$110:$AJ$120,1,1)</f>
        <v>5470.93</v>
      </c>
      <c r="AH449" s="163">
        <f>IMSS[[#This Row],[SUE MENS]]-IMSS[[#This Row],[LIM INF]]</f>
        <v>1307.0699999999997</v>
      </c>
      <c r="AI449" s="163">
        <f>IMSS[[#This Row],[EXC LIM INF]]*(VLOOKUP(IMSS[[#This Row],[LIM INF]],$AG$110:$AJ$120,4,0))</f>
        <v>142.20921599999997</v>
      </c>
      <c r="AJ449" s="163">
        <f>VLOOKUP(IMSS[[#This Row],[LIM INF]],$AG$110:$AJ$120,3)</f>
        <v>321.26</v>
      </c>
      <c r="AK449" s="163">
        <f>SUM(IMSS[[#This Row],[TASA EXC]]+IMSS[[#This Row],[CUOTA FIJA]])</f>
        <v>463.46921599999996</v>
      </c>
      <c r="AL449" s="163">
        <f>VLOOKUP(IMSS[[#This Row],[SUE MENS]],$AL$110:$AN$120,3,1)</f>
        <v>253.54</v>
      </c>
      <c r="AM449" s="248">
        <f>IF(IMSS[[#This Row],[ISR CARGO]]-IMSS[[#This Row],[SUBS ISR]]&gt;0,IMSS[[#This Row],[ISR CARGO]]-IMSS[[#This Row],[SUBS ISR]],0)</f>
        <v>209.92921599999997</v>
      </c>
      <c r="AN449" s="248">
        <f>IF(IMSS[[#This Row],[SUBS ISR]]-IMSS[[#This Row],[ISR CARGO]]&gt;0,IMSS[[#This Row],[SUBS ISR]]-IMSS[[#This Row],[ISR CARGO]],0)</f>
        <v>0</v>
      </c>
    </row>
    <row r="450" spans="3:40" ht="15" hidden="1" customHeight="1" x14ac:dyDescent="0.25">
      <c r="C450" s="246">
        <v>509</v>
      </c>
      <c r="D450" s="167" t="str">
        <f>VLOOKUP(IMSS[[#This Row],[NEM]],BDD[],2,0)</f>
        <v>Pamela Bibiano González</v>
      </c>
      <c r="E450" s="167" t="str">
        <f>VLOOKUP(IMSS[[#This Row],[NEM]],BDD[],9,0)</f>
        <v>CONTROL</v>
      </c>
      <c r="F450" s="168">
        <v>30</v>
      </c>
      <c r="G450" s="139">
        <f>VLOOKUP(IMSS[[#This Row],[NEM]],BDD[],3,0)</f>
        <v>6778</v>
      </c>
      <c r="H450" s="139">
        <f ca="1">VLOOKUP(IMSS[[#This Row],[NEM]],BDD[],25,0)</f>
        <v>237.38474885844749</v>
      </c>
      <c r="I450" s="143">
        <f>VLOOKUP(IMSS[[#This Row],[DEPT]],$B$3:$G$49,6,0)</f>
        <v>5.4355000000000002E-3</v>
      </c>
      <c r="J450" s="163">
        <f ca="1">IMSS[[#This Row],[DIAS LAB]]*IMSS[[#This Row],[SDI]]*IMSS[[#This Row],[% RSG]]*$Q$108</f>
        <v>38.70914407260274</v>
      </c>
      <c r="K450" s="163">
        <f>IMSS[[#This Row],[DIAS LAB]]*$J$110*$Q$109</f>
        <v>548.47440000000006</v>
      </c>
      <c r="L450" s="166">
        <f ca="1">IMSS[[#This Row],[DIAS LAB]]*IF(IMSS[[#This Row],[SDI]]-$J$113&gt;0,IMSS[[#This Row],[SDI]]-$J$113,0)*$Q$110</f>
        <v>0</v>
      </c>
      <c r="M450" s="166">
        <f ca="1">IMSS[[#This Row],[DIAS LAB]]*IMSS[[#This Row],[SDI]]*$Q$111</f>
        <v>74.77619589041096</v>
      </c>
      <c r="N450" s="163">
        <f ca="1">IMSS[[#This Row],[DIAS LAB]]*IMSS[[#This Row],[SDI]]*$Q$112</f>
        <v>49.850797260273978</v>
      </c>
      <c r="O450" s="166">
        <f ca="1">IMSS[[#This Row],[DIAS LAB]]*IMSS[[#This Row],[SDI]]*$Q$113</f>
        <v>124.62699315068495</v>
      </c>
      <c r="P450" s="163">
        <f ca="1">IMSS[[#This Row],[DIAS LAB]]*IMSS[[#This Row],[SDI]]*$Q$114</f>
        <v>71.215424657534257</v>
      </c>
      <c r="Q450" s="166">
        <f ca="1">IMSS[[#This Row],[DIAS LAB]]*IMSS[[#This Row],[SDI]]*$Q$115</f>
        <v>142.43084931506851</v>
      </c>
      <c r="R450" s="163">
        <f ca="1">IMSS[[#This Row],[DIAS LAB]]*IMSS[[#This Row],[SDI]]*$Q$116</f>
        <v>224.3285876712329</v>
      </c>
      <c r="S450" s="163">
        <f ca="1">IMSS[[#This Row],[DIAS LAB]]*IMSS[[#This Row],[SDI]]*$Q$117</f>
        <v>356.07712328767127</v>
      </c>
      <c r="T450" s="164">
        <f ca="1">SUM(IMSS[[#This Row],[P RSG TRB]:[P INFONAVIT]])</f>
        <v>1630.4895153054799</v>
      </c>
      <c r="U450" s="163">
        <f ca="1">IMSS[[#This Row],[DIAS LAB]]*IMSS[[#This Row],[SDI]]*IMSS[[#This Row],[% RSG]]*$R$108</f>
        <v>0</v>
      </c>
      <c r="V450" s="163">
        <f ca="1">IMSS[[#This Row],[DIAS LAB]]*IMSS[[#This Row],[SDI]]*$R$112</f>
        <v>17.803856164383564</v>
      </c>
      <c r="W450" s="163"/>
      <c r="X450" s="163">
        <f ca="1">IMSS[[#This Row],[DIAS LAB]]*IMSS[[#This Row],[SDI]]*$R$113</f>
        <v>44.865717534246578</v>
      </c>
      <c r="Y450" s="163">
        <f ca="1">IMSS[[#This Row],[DIAS LAB]]*IMSS[[#This Row],[SDI]]*$R$114</f>
        <v>0</v>
      </c>
      <c r="Z450" s="163">
        <f ca="1">IMSS[[#This Row],[DIAS LAB]]*IMSS[[#This Row],[SDI]]*$R$115</f>
        <v>0</v>
      </c>
      <c r="AA450" s="163">
        <f ca="1">IMSS[[#This Row],[DIAS LAB]]*IMSS[[#This Row],[SDI]]*$R$116</f>
        <v>80.473429863013692</v>
      </c>
      <c r="AB450" s="163">
        <f ca="1">IMSS[[#This Row],[DIAS LAB]]*IMSS[[#This Row],[SDI]]*$R$117</f>
        <v>0</v>
      </c>
      <c r="AC450" s="247">
        <f ca="1">SUM(IMSS[[#This Row],[O RSG TRB]:[O INFONAVIT]])</f>
        <v>143.14300356164384</v>
      </c>
      <c r="AD450" s="163"/>
      <c r="AE450" s="165">
        <f ca="1">IMSS[[#This Row],[P TOTAL]]+IMSS[[#This Row],[O TOTAL]]</f>
        <v>1773.6325188671237</v>
      </c>
      <c r="AF450" s="163"/>
      <c r="AG450" s="163">
        <f>VLOOKUP(IMSS[[#This Row],[SUE MENS]],$AG$110:$AJ$120,1,1)</f>
        <v>5470.93</v>
      </c>
      <c r="AH450" s="163">
        <f>IMSS[[#This Row],[SUE MENS]]-IMSS[[#This Row],[LIM INF]]</f>
        <v>1307.0699999999997</v>
      </c>
      <c r="AI450" s="163">
        <f>IMSS[[#This Row],[EXC LIM INF]]*(VLOOKUP(IMSS[[#This Row],[LIM INF]],$AG$110:$AJ$120,4,0))</f>
        <v>142.20921599999997</v>
      </c>
      <c r="AJ450" s="163">
        <f>VLOOKUP(IMSS[[#This Row],[LIM INF]],$AG$110:$AJ$120,3)</f>
        <v>321.26</v>
      </c>
      <c r="AK450" s="163">
        <f>SUM(IMSS[[#This Row],[TASA EXC]]+IMSS[[#This Row],[CUOTA FIJA]])</f>
        <v>463.46921599999996</v>
      </c>
      <c r="AL450" s="163">
        <f>VLOOKUP(IMSS[[#This Row],[SUE MENS]],$AL$110:$AN$120,3,1)</f>
        <v>253.54</v>
      </c>
      <c r="AM450" s="248">
        <f>IF(IMSS[[#This Row],[ISR CARGO]]-IMSS[[#This Row],[SUBS ISR]]&gt;0,IMSS[[#This Row],[ISR CARGO]]-IMSS[[#This Row],[SUBS ISR]],0)</f>
        <v>209.92921599999997</v>
      </c>
      <c r="AN450" s="248">
        <f>IF(IMSS[[#This Row],[SUBS ISR]]-IMSS[[#This Row],[ISR CARGO]]&gt;0,IMSS[[#This Row],[SUBS ISR]]-IMSS[[#This Row],[ISR CARGO]],0)</f>
        <v>0</v>
      </c>
    </row>
    <row r="451" spans="3:40" ht="15" hidden="1" customHeight="1" x14ac:dyDescent="0.25">
      <c r="C451" s="243">
        <v>510</v>
      </c>
      <c r="D451" s="167" t="str">
        <f>VLOOKUP(IMSS[[#This Row],[NEM]],BDD[],2,0)</f>
        <v>Eduardo Sebastian Escalante Gonzalez</v>
      </c>
      <c r="E451" s="167" t="str">
        <f>VLOOKUP(IMSS[[#This Row],[NEM]],BDD[],9,0)</f>
        <v>AUDIT PROY</v>
      </c>
      <c r="F451" s="168">
        <v>30</v>
      </c>
      <c r="G451" s="139">
        <f>VLOOKUP(IMSS[[#This Row],[NEM]],BDD[],3,0)</f>
        <v>9450</v>
      </c>
      <c r="H451" s="139">
        <f ca="1">VLOOKUP(IMSS[[#This Row],[NEM]],BDD[],25,0)</f>
        <v>346.93150684931504</v>
      </c>
      <c r="I451" s="143">
        <f>VLOOKUP(IMSS[[#This Row],[DEPT]],$B$3:$G$49,6,0)</f>
        <v>1.130658E-2</v>
      </c>
      <c r="J451" s="163">
        <f ca="1">IMSS[[#This Row],[DIAS LAB]]*IMSS[[#This Row],[SDI]]*IMSS[[#This Row],[% RSG]]*$Q$108</f>
        <v>117.67826510136985</v>
      </c>
      <c r="K451" s="163">
        <f>IMSS[[#This Row],[DIAS LAB]]*$J$110*$Q$109</f>
        <v>548.47440000000006</v>
      </c>
      <c r="L451" s="166">
        <f ca="1">IMSS[[#This Row],[DIAS LAB]]*IF(IMSS[[#This Row],[SDI]]-$J$113&gt;0,IMSS[[#This Row],[SDI]]-$J$113,0)*$Q$110</f>
        <v>25.763597260273958</v>
      </c>
      <c r="M451" s="166">
        <f ca="1">IMSS[[#This Row],[DIAS LAB]]*IMSS[[#This Row],[SDI]]*$Q$111</f>
        <v>109.28342465753424</v>
      </c>
      <c r="N451" s="163">
        <f ca="1">IMSS[[#This Row],[DIAS LAB]]*IMSS[[#This Row],[SDI]]*$Q$112</f>
        <v>72.855616438356165</v>
      </c>
      <c r="O451" s="166">
        <f ca="1">IMSS[[#This Row],[DIAS LAB]]*IMSS[[#This Row],[SDI]]*$Q$113</f>
        <v>182.13904109589041</v>
      </c>
      <c r="P451" s="163">
        <f ca="1">IMSS[[#This Row],[DIAS LAB]]*IMSS[[#This Row],[SDI]]*$Q$114</f>
        <v>104.07945205479452</v>
      </c>
      <c r="Q451" s="166">
        <f ca="1">IMSS[[#This Row],[DIAS LAB]]*IMSS[[#This Row],[SDI]]*$Q$115</f>
        <v>208.15890410958903</v>
      </c>
      <c r="R451" s="163">
        <f ca="1">IMSS[[#This Row],[DIAS LAB]]*IMSS[[#This Row],[SDI]]*$Q$116</f>
        <v>327.85027397260274</v>
      </c>
      <c r="S451" s="163">
        <f ca="1">IMSS[[#This Row],[DIAS LAB]]*IMSS[[#This Row],[SDI]]*$Q$117</f>
        <v>520.39726027397262</v>
      </c>
      <c r="T451" s="164">
        <f ca="1">SUM(IMSS[[#This Row],[P RSG TRB]:[P INFONAVIT]])</f>
        <v>2216.6802349643835</v>
      </c>
      <c r="U451" s="163">
        <f ca="1">IMSS[[#This Row],[DIAS LAB]]*IMSS[[#This Row],[SDI]]*IMSS[[#This Row],[% RSG]]*$R$108</f>
        <v>0</v>
      </c>
      <c r="V451" s="163">
        <f ca="1">IMSS[[#This Row],[DIAS LAB]]*IMSS[[#This Row],[SDI]]*$R$112</f>
        <v>26.019863013698629</v>
      </c>
      <c r="W451" s="163"/>
      <c r="X451" s="163">
        <f ca="1">IMSS[[#This Row],[DIAS LAB]]*IMSS[[#This Row],[SDI]]*$R$113</f>
        <v>65.570054794520544</v>
      </c>
      <c r="Y451" s="163">
        <f ca="1">IMSS[[#This Row],[DIAS LAB]]*IMSS[[#This Row],[SDI]]*$R$114</f>
        <v>0</v>
      </c>
      <c r="Z451" s="163">
        <f ca="1">IMSS[[#This Row],[DIAS LAB]]*IMSS[[#This Row],[SDI]]*$R$115</f>
        <v>0</v>
      </c>
      <c r="AA451" s="163">
        <f ca="1">IMSS[[#This Row],[DIAS LAB]]*IMSS[[#This Row],[SDI]]*$R$116</f>
        <v>117.60978082191779</v>
      </c>
      <c r="AB451" s="163">
        <f ca="1">IMSS[[#This Row],[DIAS LAB]]*IMSS[[#This Row],[SDI]]*$R$117</f>
        <v>0</v>
      </c>
      <c r="AC451" s="247">
        <f ca="1">SUM(IMSS[[#This Row],[O RSG TRB]:[O INFONAVIT]])</f>
        <v>209.19969863013696</v>
      </c>
      <c r="AD451" s="163"/>
      <c r="AE451" s="165">
        <f ca="1">IMSS[[#This Row],[P TOTAL]]+IMSS[[#This Row],[O TOTAL]]</f>
        <v>2425.8799335945205</v>
      </c>
      <c r="AF451" s="163"/>
      <c r="AG451" s="163">
        <f>VLOOKUP(IMSS[[#This Row],[SUE MENS]],$AG$110:$AJ$120,1,1)</f>
        <v>5470.93</v>
      </c>
      <c r="AH451" s="163">
        <f>IMSS[[#This Row],[SUE MENS]]-IMSS[[#This Row],[LIM INF]]</f>
        <v>3979.0699999999997</v>
      </c>
      <c r="AI451" s="163">
        <f>IMSS[[#This Row],[EXC LIM INF]]*(VLOOKUP(IMSS[[#This Row],[LIM INF]],$AG$110:$AJ$120,4,0))</f>
        <v>432.92281600000001</v>
      </c>
      <c r="AJ451" s="163">
        <f>VLOOKUP(IMSS[[#This Row],[LIM INF]],$AG$110:$AJ$120,3)</f>
        <v>321.26</v>
      </c>
      <c r="AK451" s="163">
        <f>SUM(IMSS[[#This Row],[TASA EXC]]+IMSS[[#This Row],[CUOTA FIJA]])</f>
        <v>754.182816</v>
      </c>
      <c r="AL451" s="163">
        <f>VLOOKUP(IMSS[[#This Row],[SUE MENS]],$AL$110:$AN$120,3,1)</f>
        <v>0</v>
      </c>
      <c r="AM451" s="248">
        <f>IF(IMSS[[#This Row],[ISR CARGO]]-IMSS[[#This Row],[SUBS ISR]]&gt;0,IMSS[[#This Row],[ISR CARGO]]-IMSS[[#This Row],[SUBS ISR]],0)</f>
        <v>754.182816</v>
      </c>
      <c r="AN451" s="248">
        <f>IF(IMSS[[#This Row],[SUBS ISR]]-IMSS[[#This Row],[ISR CARGO]]&gt;0,IMSS[[#This Row],[SUBS ISR]]-IMSS[[#This Row],[ISR CARGO]],0)</f>
        <v>0</v>
      </c>
    </row>
    <row r="452" spans="3:40" ht="15" hidden="1" customHeight="1" x14ac:dyDescent="0.25">
      <c r="C452" s="243">
        <v>511</v>
      </c>
      <c r="D452" s="167" t="str">
        <f>VLOOKUP(IMSS[[#This Row],[NEM]],BDD[],2,0)</f>
        <v>Ana Paula Rodríguez Hernández</v>
      </c>
      <c r="E452" s="167" t="str">
        <f>VLOOKUP(IMSS[[#This Row],[NEM]],BDD[],9,0)</f>
        <v>ADMINCIÓN</v>
      </c>
      <c r="F452" s="168">
        <v>30</v>
      </c>
      <c r="G452" s="139">
        <f>VLOOKUP(IMSS[[#This Row],[NEM]],BDD[],3,0)</f>
        <v>25800</v>
      </c>
      <c r="H452" s="139">
        <f ca="1">VLOOKUP(IMSS[[#This Row],[NEM]],BDD[],25,0)</f>
        <v>947.17808219178073</v>
      </c>
      <c r="I452" s="143">
        <f>VLOOKUP(IMSS[[#This Row],[DEPT]],$B$3:$G$49,6,0)</f>
        <v>5.4355000000000002E-3</v>
      </c>
      <c r="J452" s="163">
        <f ca="1">IMSS[[#This Row],[DIAS LAB]]*IMSS[[#This Row],[SDI]]*IMSS[[#This Row],[% RSG]]*$Q$108</f>
        <v>154.45159397260275</v>
      </c>
      <c r="K452" s="163">
        <f>IMSS[[#This Row],[DIAS LAB]]*$J$110*$Q$109</f>
        <v>548.47440000000006</v>
      </c>
      <c r="L452" s="166">
        <f ca="1">IMSS[[#This Row],[DIAS LAB]]*IF(IMSS[[#This Row],[SDI]]-$J$113&gt;0,IMSS[[#This Row],[SDI]]-$J$113,0)*$Q$110</f>
        <v>223.8449671232876</v>
      </c>
      <c r="M452" s="166">
        <f ca="1">IMSS[[#This Row],[DIAS LAB]]*IMSS[[#This Row],[SDI]]*$Q$111</f>
        <v>298.36109589041098</v>
      </c>
      <c r="N452" s="163">
        <f ca="1">IMSS[[#This Row],[DIAS LAB]]*IMSS[[#This Row],[SDI]]*$Q$112</f>
        <v>198.90739726027397</v>
      </c>
      <c r="O452" s="166">
        <f ca="1">IMSS[[#This Row],[DIAS LAB]]*IMSS[[#This Row],[SDI]]*$Q$113</f>
        <v>497.26849315068495</v>
      </c>
      <c r="P452" s="163">
        <f ca="1">IMSS[[#This Row],[DIAS LAB]]*IMSS[[#This Row],[SDI]]*$Q$114</f>
        <v>284.15342465753423</v>
      </c>
      <c r="Q452" s="166">
        <f ca="1">IMSS[[#This Row],[DIAS LAB]]*IMSS[[#This Row],[SDI]]*$Q$115</f>
        <v>568.30684931506846</v>
      </c>
      <c r="R452" s="163">
        <f ca="1">IMSS[[#This Row],[DIAS LAB]]*IMSS[[#This Row],[SDI]]*$Q$116</f>
        <v>895.08328767123282</v>
      </c>
      <c r="S452" s="163">
        <f ca="1">IMSS[[#This Row],[DIAS LAB]]*IMSS[[#This Row],[SDI]]*$Q$117</f>
        <v>1420.7671232876712</v>
      </c>
      <c r="T452" s="164">
        <f ca="1">SUM(IMSS[[#This Row],[P RSG TRB]:[P INFONAVIT]])</f>
        <v>5089.6186323287675</v>
      </c>
      <c r="U452" s="163">
        <f ca="1">IMSS[[#This Row],[DIAS LAB]]*IMSS[[#This Row],[SDI]]*IMSS[[#This Row],[% RSG]]*$R$108</f>
        <v>0</v>
      </c>
      <c r="V452" s="163">
        <f ca="1">IMSS[[#This Row],[DIAS LAB]]*IMSS[[#This Row],[SDI]]*$R$112</f>
        <v>71.038356164383558</v>
      </c>
      <c r="W452" s="163"/>
      <c r="X452" s="163">
        <f ca="1">IMSS[[#This Row],[DIAS LAB]]*IMSS[[#This Row],[SDI]]*$R$113</f>
        <v>179.01665753424658</v>
      </c>
      <c r="Y452" s="163">
        <f ca="1">IMSS[[#This Row],[DIAS LAB]]*IMSS[[#This Row],[SDI]]*$R$114</f>
        <v>0</v>
      </c>
      <c r="Z452" s="163">
        <f ca="1">IMSS[[#This Row],[DIAS LAB]]*IMSS[[#This Row],[SDI]]*$R$115</f>
        <v>0</v>
      </c>
      <c r="AA452" s="163">
        <f ca="1">IMSS[[#This Row],[DIAS LAB]]*IMSS[[#This Row],[SDI]]*$R$116</f>
        <v>321.09336986301366</v>
      </c>
      <c r="AB452" s="163">
        <f ca="1">IMSS[[#This Row],[DIAS LAB]]*IMSS[[#This Row],[SDI]]*$R$117</f>
        <v>0</v>
      </c>
      <c r="AC452" s="247">
        <f ca="1">SUM(IMSS[[#This Row],[O RSG TRB]:[O INFONAVIT]])</f>
        <v>571.14838356164387</v>
      </c>
      <c r="AD452" s="163"/>
      <c r="AE452" s="165">
        <f ca="1">IMSS[[#This Row],[P TOTAL]]+IMSS[[#This Row],[O TOTAL]]</f>
        <v>5660.7670158904111</v>
      </c>
      <c r="AF452" s="163"/>
      <c r="AG452" s="163">
        <f>VLOOKUP(IMSS[[#This Row],[SUE MENS]],$AG$110:$AJ$120,1,1)</f>
        <v>13381.48</v>
      </c>
      <c r="AH452" s="163">
        <f>IMSS[[#This Row],[SUE MENS]]-IMSS[[#This Row],[LIM INF]]</f>
        <v>12418.52</v>
      </c>
      <c r="AI452" s="163">
        <f>IMSS[[#This Row],[EXC LIM INF]]*(VLOOKUP(IMSS[[#This Row],[LIM INF]],$AG$110:$AJ$120,4,0))</f>
        <v>2652.5958719999999</v>
      </c>
      <c r="AJ452" s="163">
        <f>VLOOKUP(IMSS[[#This Row],[LIM INF]],$AG$110:$AJ$120,3)</f>
        <v>1417.12</v>
      </c>
      <c r="AK452" s="163">
        <f>SUM(IMSS[[#This Row],[TASA EXC]]+IMSS[[#This Row],[CUOTA FIJA]])</f>
        <v>4069.7158719999998</v>
      </c>
      <c r="AL452" s="163">
        <f>VLOOKUP(IMSS[[#This Row],[SUE MENS]],$AL$110:$AN$120,3,1)</f>
        <v>0</v>
      </c>
      <c r="AM452" s="248">
        <f>IF(IMSS[[#This Row],[ISR CARGO]]-IMSS[[#This Row],[SUBS ISR]]&gt;0,IMSS[[#This Row],[ISR CARGO]]-IMSS[[#This Row],[SUBS ISR]],0)</f>
        <v>4069.7158719999998</v>
      </c>
      <c r="AN452" s="248">
        <f>IF(IMSS[[#This Row],[SUBS ISR]]-IMSS[[#This Row],[ISR CARGO]]&gt;0,IMSS[[#This Row],[SUBS ISR]]-IMSS[[#This Row],[ISR CARGO]],0)</f>
        <v>0</v>
      </c>
    </row>
    <row r="453" spans="3:40" ht="15" hidden="1" customHeight="1" x14ac:dyDescent="0.25">
      <c r="C453" s="246">
        <v>513</v>
      </c>
      <c r="D453" s="167" t="str">
        <f>VLOOKUP(IMSS[[#This Row],[NEM]],BDD[],2,0)</f>
        <v>David Alejandro Cuevas Aguilar</v>
      </c>
      <c r="E453" s="167" t="str">
        <f>VLOOKUP(IMSS[[#This Row],[NEM]],BDD[],9,0)</f>
        <v>AUDIT PROY</v>
      </c>
      <c r="F453" s="168">
        <v>30</v>
      </c>
      <c r="G453" s="139">
        <f>VLOOKUP(IMSS[[#This Row],[NEM]],BDD[],3,0)</f>
        <v>6778</v>
      </c>
      <c r="H453" s="139">
        <f ca="1">VLOOKUP(IMSS[[#This Row],[NEM]],BDD[],25,0)</f>
        <v>237.38474885844749</v>
      </c>
      <c r="I453" s="143">
        <f>VLOOKUP(IMSS[[#This Row],[DEPT]],$B$3:$G$49,6,0)</f>
        <v>1.130658E-2</v>
      </c>
      <c r="J453" s="163">
        <f ca="1">IMSS[[#This Row],[DIAS LAB]]*IMSS[[#This Row],[SDI]]*IMSS[[#This Row],[% RSG]]*$Q$108</f>
        <v>80.520289612438361</v>
      </c>
      <c r="K453" s="163">
        <f>IMSS[[#This Row],[DIAS LAB]]*$J$110*$Q$109</f>
        <v>548.47440000000006</v>
      </c>
      <c r="L453" s="166">
        <f ca="1">IMSS[[#This Row],[DIAS LAB]]*IF(IMSS[[#This Row],[SDI]]-$J$113&gt;0,IMSS[[#This Row],[SDI]]-$J$113,0)*$Q$110</f>
        <v>0</v>
      </c>
      <c r="M453" s="166">
        <f ca="1">IMSS[[#This Row],[DIAS LAB]]*IMSS[[#This Row],[SDI]]*$Q$111</f>
        <v>74.77619589041096</v>
      </c>
      <c r="N453" s="163">
        <f ca="1">IMSS[[#This Row],[DIAS LAB]]*IMSS[[#This Row],[SDI]]*$Q$112</f>
        <v>49.850797260273978</v>
      </c>
      <c r="O453" s="166">
        <f ca="1">IMSS[[#This Row],[DIAS LAB]]*IMSS[[#This Row],[SDI]]*$Q$113</f>
        <v>124.62699315068495</v>
      </c>
      <c r="P453" s="163">
        <f ca="1">IMSS[[#This Row],[DIAS LAB]]*IMSS[[#This Row],[SDI]]*$Q$114</f>
        <v>71.215424657534257</v>
      </c>
      <c r="Q453" s="166">
        <f ca="1">IMSS[[#This Row],[DIAS LAB]]*IMSS[[#This Row],[SDI]]*$Q$115</f>
        <v>142.43084931506851</v>
      </c>
      <c r="R453" s="163">
        <f ca="1">IMSS[[#This Row],[DIAS LAB]]*IMSS[[#This Row],[SDI]]*$Q$116</f>
        <v>224.3285876712329</v>
      </c>
      <c r="S453" s="163">
        <f ca="1">IMSS[[#This Row],[DIAS LAB]]*IMSS[[#This Row],[SDI]]*$Q$117</f>
        <v>356.07712328767127</v>
      </c>
      <c r="T453" s="164">
        <f ca="1">SUM(IMSS[[#This Row],[P RSG TRB]:[P INFONAVIT]])</f>
        <v>1672.3006608453152</v>
      </c>
      <c r="U453" s="163">
        <f ca="1">IMSS[[#This Row],[DIAS LAB]]*IMSS[[#This Row],[SDI]]*IMSS[[#This Row],[% RSG]]*$R$108</f>
        <v>0</v>
      </c>
      <c r="V453" s="163">
        <f ca="1">IMSS[[#This Row],[DIAS LAB]]*IMSS[[#This Row],[SDI]]*$R$112</f>
        <v>17.803856164383564</v>
      </c>
      <c r="W453" s="163"/>
      <c r="X453" s="163">
        <f ca="1">IMSS[[#This Row],[DIAS LAB]]*IMSS[[#This Row],[SDI]]*$R$113</f>
        <v>44.865717534246578</v>
      </c>
      <c r="Y453" s="163">
        <f ca="1">IMSS[[#This Row],[DIAS LAB]]*IMSS[[#This Row],[SDI]]*$R$114</f>
        <v>0</v>
      </c>
      <c r="Z453" s="163">
        <f ca="1">IMSS[[#This Row],[DIAS LAB]]*IMSS[[#This Row],[SDI]]*$R$115</f>
        <v>0</v>
      </c>
      <c r="AA453" s="163">
        <f ca="1">IMSS[[#This Row],[DIAS LAB]]*IMSS[[#This Row],[SDI]]*$R$116</f>
        <v>80.473429863013692</v>
      </c>
      <c r="AB453" s="163">
        <f ca="1">IMSS[[#This Row],[DIAS LAB]]*IMSS[[#This Row],[SDI]]*$R$117</f>
        <v>0</v>
      </c>
      <c r="AC453" s="247">
        <f ca="1">SUM(IMSS[[#This Row],[O RSG TRB]:[O INFONAVIT]])</f>
        <v>143.14300356164384</v>
      </c>
      <c r="AD453" s="163"/>
      <c r="AE453" s="165">
        <f ca="1">IMSS[[#This Row],[P TOTAL]]+IMSS[[#This Row],[O TOTAL]]</f>
        <v>1815.443664406959</v>
      </c>
      <c r="AF453" s="163"/>
      <c r="AG453" s="163">
        <f>VLOOKUP(IMSS[[#This Row],[SUE MENS]],$AG$110:$AJ$120,1,1)</f>
        <v>5470.93</v>
      </c>
      <c r="AH453" s="163">
        <f>IMSS[[#This Row],[SUE MENS]]-IMSS[[#This Row],[LIM INF]]</f>
        <v>1307.0699999999997</v>
      </c>
      <c r="AI453" s="163">
        <f>IMSS[[#This Row],[EXC LIM INF]]*(VLOOKUP(IMSS[[#This Row],[LIM INF]],$AG$110:$AJ$120,4,0))</f>
        <v>142.20921599999997</v>
      </c>
      <c r="AJ453" s="163">
        <f>VLOOKUP(IMSS[[#This Row],[LIM INF]],$AG$110:$AJ$120,3)</f>
        <v>321.26</v>
      </c>
      <c r="AK453" s="163">
        <f>SUM(IMSS[[#This Row],[TASA EXC]]+IMSS[[#This Row],[CUOTA FIJA]])</f>
        <v>463.46921599999996</v>
      </c>
      <c r="AL453" s="163">
        <f>VLOOKUP(IMSS[[#This Row],[SUE MENS]],$AL$110:$AN$120,3,1)</f>
        <v>253.54</v>
      </c>
      <c r="AM453" s="248">
        <f>IF(IMSS[[#This Row],[ISR CARGO]]-IMSS[[#This Row],[SUBS ISR]]&gt;0,IMSS[[#This Row],[ISR CARGO]]-IMSS[[#This Row],[SUBS ISR]],0)</f>
        <v>209.92921599999997</v>
      </c>
      <c r="AN453" s="248">
        <f>IF(IMSS[[#This Row],[SUBS ISR]]-IMSS[[#This Row],[ISR CARGO]]&gt;0,IMSS[[#This Row],[SUBS ISR]]-IMSS[[#This Row],[ISR CARGO]],0)</f>
        <v>0</v>
      </c>
    </row>
    <row r="454" spans="3:40" ht="15" hidden="1" customHeight="1" x14ac:dyDescent="0.25">
      <c r="C454" s="243">
        <v>514</v>
      </c>
      <c r="D454" s="167" t="str">
        <f>VLOOKUP(IMSS[[#This Row],[NEM]],BDD[],2,0)</f>
        <v>Larry Zamora Avila</v>
      </c>
      <c r="E454" s="167" t="str">
        <f>VLOOKUP(IMSS[[#This Row],[NEM]],BDD[],9,0)</f>
        <v>CONTROL</v>
      </c>
      <c r="F454" s="168">
        <v>30</v>
      </c>
      <c r="G454" s="139">
        <f>VLOOKUP(IMSS[[#This Row],[NEM]],BDD[],3,0)</f>
        <v>9541</v>
      </c>
      <c r="H454" s="139">
        <f ca="1">VLOOKUP(IMSS[[#This Row],[NEM]],BDD[],25,0)</f>
        <v>350.27232876712327</v>
      </c>
      <c r="I454" s="143">
        <f>VLOOKUP(IMSS[[#This Row],[DEPT]],$B$3:$G$49,6,0)</f>
        <v>5.4355000000000002E-3</v>
      </c>
      <c r="J454" s="163">
        <f ca="1">IMSS[[#This Row],[DIAS LAB]]*IMSS[[#This Row],[SDI]]*IMSS[[#This Row],[% RSG]]*$Q$108</f>
        <v>57.117157290410958</v>
      </c>
      <c r="K454" s="163">
        <f>IMSS[[#This Row],[DIAS LAB]]*$J$110*$Q$109</f>
        <v>548.47440000000006</v>
      </c>
      <c r="L454" s="166">
        <f ca="1">IMSS[[#This Row],[DIAS LAB]]*IF(IMSS[[#This Row],[SDI]]-$J$113&gt;0,IMSS[[#This Row],[SDI]]-$J$113,0)*$Q$110</f>
        <v>26.866068493150674</v>
      </c>
      <c r="M454" s="166">
        <f ca="1">IMSS[[#This Row],[DIAS LAB]]*IMSS[[#This Row],[SDI]]*$Q$111</f>
        <v>110.33578356164384</v>
      </c>
      <c r="N454" s="163">
        <f ca="1">IMSS[[#This Row],[DIAS LAB]]*IMSS[[#This Row],[SDI]]*$Q$112</f>
        <v>73.557189041095882</v>
      </c>
      <c r="O454" s="166">
        <f ca="1">IMSS[[#This Row],[DIAS LAB]]*IMSS[[#This Row],[SDI]]*$Q$113</f>
        <v>183.89297260273972</v>
      </c>
      <c r="P454" s="163">
        <f ca="1">IMSS[[#This Row],[DIAS LAB]]*IMSS[[#This Row],[SDI]]*$Q$114</f>
        <v>105.08169863013698</v>
      </c>
      <c r="Q454" s="166">
        <f ca="1">IMSS[[#This Row],[DIAS LAB]]*IMSS[[#This Row],[SDI]]*$Q$115</f>
        <v>210.16339726027397</v>
      </c>
      <c r="R454" s="163">
        <f ca="1">IMSS[[#This Row],[DIAS LAB]]*IMSS[[#This Row],[SDI]]*$Q$116</f>
        <v>331.00735068493151</v>
      </c>
      <c r="S454" s="163">
        <f ca="1">IMSS[[#This Row],[DIAS LAB]]*IMSS[[#This Row],[SDI]]*$Q$117</f>
        <v>525.40849315068488</v>
      </c>
      <c r="T454" s="164">
        <f ca="1">SUM(IMSS[[#This Row],[P RSG TRB]:[P INFONAVIT]])</f>
        <v>2171.9045107150687</v>
      </c>
      <c r="U454" s="163">
        <f ca="1">IMSS[[#This Row],[DIAS LAB]]*IMSS[[#This Row],[SDI]]*IMSS[[#This Row],[% RSG]]*$R$108</f>
        <v>0</v>
      </c>
      <c r="V454" s="163">
        <f ca="1">IMSS[[#This Row],[DIAS LAB]]*IMSS[[#This Row],[SDI]]*$R$112</f>
        <v>26.270424657534246</v>
      </c>
      <c r="W454" s="163"/>
      <c r="X454" s="163">
        <f ca="1">IMSS[[#This Row],[DIAS LAB]]*IMSS[[#This Row],[SDI]]*$R$113</f>
        <v>66.201470136986302</v>
      </c>
      <c r="Y454" s="163">
        <f ca="1">IMSS[[#This Row],[DIAS LAB]]*IMSS[[#This Row],[SDI]]*$R$114</f>
        <v>0</v>
      </c>
      <c r="Z454" s="163">
        <f ca="1">IMSS[[#This Row],[DIAS LAB]]*IMSS[[#This Row],[SDI]]*$R$115</f>
        <v>0</v>
      </c>
      <c r="AA454" s="163">
        <f ca="1">IMSS[[#This Row],[DIAS LAB]]*IMSS[[#This Row],[SDI]]*$R$116</f>
        <v>118.74231945205479</v>
      </c>
      <c r="AB454" s="163">
        <f ca="1">IMSS[[#This Row],[DIAS LAB]]*IMSS[[#This Row],[SDI]]*$R$117</f>
        <v>0</v>
      </c>
      <c r="AC454" s="247">
        <f ca="1">SUM(IMSS[[#This Row],[O RSG TRB]:[O INFONAVIT]])</f>
        <v>211.21421424657535</v>
      </c>
      <c r="AD454" s="163"/>
      <c r="AE454" s="165">
        <f ca="1">IMSS[[#This Row],[P TOTAL]]+IMSS[[#This Row],[O TOTAL]]</f>
        <v>2383.1187249616441</v>
      </c>
      <c r="AF454" s="163"/>
      <c r="AG454" s="163">
        <f>VLOOKUP(IMSS[[#This Row],[SUE MENS]],$AG$110:$AJ$120,1,1)</f>
        <v>5470.93</v>
      </c>
      <c r="AH454" s="163">
        <f>IMSS[[#This Row],[SUE MENS]]-IMSS[[#This Row],[LIM INF]]</f>
        <v>4070.0699999999997</v>
      </c>
      <c r="AI454" s="163">
        <f>IMSS[[#This Row],[EXC LIM INF]]*(VLOOKUP(IMSS[[#This Row],[LIM INF]],$AG$110:$AJ$120,4,0))</f>
        <v>442.82361600000002</v>
      </c>
      <c r="AJ454" s="163">
        <f>VLOOKUP(IMSS[[#This Row],[LIM INF]],$AG$110:$AJ$120,3)</f>
        <v>321.26</v>
      </c>
      <c r="AK454" s="163">
        <f>SUM(IMSS[[#This Row],[TASA EXC]]+IMSS[[#This Row],[CUOTA FIJA]])</f>
        <v>764.08361600000001</v>
      </c>
      <c r="AL454" s="163">
        <f>VLOOKUP(IMSS[[#This Row],[SUE MENS]],$AL$110:$AN$120,3,1)</f>
        <v>0</v>
      </c>
      <c r="AM454" s="248">
        <f>IF(IMSS[[#This Row],[ISR CARGO]]-IMSS[[#This Row],[SUBS ISR]]&gt;0,IMSS[[#This Row],[ISR CARGO]]-IMSS[[#This Row],[SUBS ISR]],0)</f>
        <v>764.08361600000001</v>
      </c>
      <c r="AN454" s="248">
        <f>IF(IMSS[[#This Row],[SUBS ISR]]-IMSS[[#This Row],[ISR CARGO]]&gt;0,IMSS[[#This Row],[SUBS ISR]]-IMSS[[#This Row],[ISR CARGO]],0)</f>
        <v>0</v>
      </c>
    </row>
    <row r="455" spans="3:40" ht="15" hidden="1" customHeight="1" x14ac:dyDescent="0.25">
      <c r="C455" s="243">
        <v>516</v>
      </c>
      <c r="D455" s="167" t="str">
        <f>VLOOKUP(IMSS[[#This Row],[NEM]],BDD[],2,0)</f>
        <v>Edgar Ismael Rodriguez Vela</v>
      </c>
      <c r="E455" s="167" t="str">
        <f>VLOOKUP(IMSS[[#This Row],[NEM]],BDD[],9,0)</f>
        <v>SOLUCIONES</v>
      </c>
      <c r="F455" s="168">
        <v>30</v>
      </c>
      <c r="G455" s="139">
        <f>VLOOKUP(IMSS[[#This Row],[NEM]],BDD[],3,0)</f>
        <v>9450</v>
      </c>
      <c r="H455" s="139">
        <f ca="1">VLOOKUP(IMSS[[#This Row],[NEM]],BDD[],25,0)</f>
        <v>346.93150684931504</v>
      </c>
      <c r="I455" s="143">
        <f>VLOOKUP(IMSS[[#This Row],[DEPT]],$B$3:$G$49,6,0)</f>
        <v>5.4355000000000002E-3</v>
      </c>
      <c r="J455" s="163">
        <f ca="1">IMSS[[#This Row],[DIAS LAB]]*IMSS[[#This Row],[SDI]]*IMSS[[#This Row],[% RSG]]*$Q$108</f>
        <v>56.572386164383559</v>
      </c>
      <c r="K455" s="163">
        <f>IMSS[[#This Row],[DIAS LAB]]*$J$110*$Q$109</f>
        <v>548.47440000000006</v>
      </c>
      <c r="L455" s="166">
        <f ca="1">IMSS[[#This Row],[DIAS LAB]]*IF(IMSS[[#This Row],[SDI]]-$J$113&gt;0,IMSS[[#This Row],[SDI]]-$J$113,0)*$Q$110</f>
        <v>25.763597260273958</v>
      </c>
      <c r="M455" s="166">
        <f ca="1">IMSS[[#This Row],[DIAS LAB]]*IMSS[[#This Row],[SDI]]*$Q$111</f>
        <v>109.28342465753424</v>
      </c>
      <c r="N455" s="163">
        <f ca="1">IMSS[[#This Row],[DIAS LAB]]*IMSS[[#This Row],[SDI]]*$Q$112</f>
        <v>72.855616438356165</v>
      </c>
      <c r="O455" s="166">
        <f ca="1">IMSS[[#This Row],[DIAS LAB]]*IMSS[[#This Row],[SDI]]*$Q$113</f>
        <v>182.13904109589041</v>
      </c>
      <c r="P455" s="163">
        <f ca="1">IMSS[[#This Row],[DIAS LAB]]*IMSS[[#This Row],[SDI]]*$Q$114</f>
        <v>104.07945205479452</v>
      </c>
      <c r="Q455" s="166">
        <f ca="1">IMSS[[#This Row],[DIAS LAB]]*IMSS[[#This Row],[SDI]]*$Q$115</f>
        <v>208.15890410958903</v>
      </c>
      <c r="R455" s="163">
        <f ca="1">IMSS[[#This Row],[DIAS LAB]]*IMSS[[#This Row],[SDI]]*$Q$116</f>
        <v>327.85027397260274</v>
      </c>
      <c r="S455" s="163">
        <f ca="1">IMSS[[#This Row],[DIAS LAB]]*IMSS[[#This Row],[SDI]]*$Q$117</f>
        <v>520.39726027397262</v>
      </c>
      <c r="T455" s="164">
        <f ca="1">SUM(IMSS[[#This Row],[P RSG TRB]:[P INFONAVIT]])</f>
        <v>2155.5743560273972</v>
      </c>
      <c r="U455" s="163">
        <f ca="1">IMSS[[#This Row],[DIAS LAB]]*IMSS[[#This Row],[SDI]]*IMSS[[#This Row],[% RSG]]*$R$108</f>
        <v>0</v>
      </c>
      <c r="V455" s="163">
        <f ca="1">IMSS[[#This Row],[DIAS LAB]]*IMSS[[#This Row],[SDI]]*$R$112</f>
        <v>26.019863013698629</v>
      </c>
      <c r="W455" s="163"/>
      <c r="X455" s="163">
        <f ca="1">IMSS[[#This Row],[DIAS LAB]]*IMSS[[#This Row],[SDI]]*$R$113</f>
        <v>65.570054794520544</v>
      </c>
      <c r="Y455" s="163">
        <f ca="1">IMSS[[#This Row],[DIAS LAB]]*IMSS[[#This Row],[SDI]]*$R$114</f>
        <v>0</v>
      </c>
      <c r="Z455" s="163">
        <f ca="1">IMSS[[#This Row],[DIAS LAB]]*IMSS[[#This Row],[SDI]]*$R$115</f>
        <v>0</v>
      </c>
      <c r="AA455" s="163">
        <f ca="1">IMSS[[#This Row],[DIAS LAB]]*IMSS[[#This Row],[SDI]]*$R$116</f>
        <v>117.60978082191779</v>
      </c>
      <c r="AB455" s="163">
        <f ca="1">IMSS[[#This Row],[DIAS LAB]]*IMSS[[#This Row],[SDI]]*$R$117</f>
        <v>0</v>
      </c>
      <c r="AC455" s="247">
        <f ca="1">SUM(IMSS[[#This Row],[O RSG TRB]:[O INFONAVIT]])</f>
        <v>209.19969863013696</v>
      </c>
      <c r="AD455" s="163"/>
      <c r="AE455" s="165">
        <f ca="1">IMSS[[#This Row],[P TOTAL]]+IMSS[[#This Row],[O TOTAL]]</f>
        <v>2364.7740546575342</v>
      </c>
      <c r="AF455" s="163"/>
      <c r="AG455" s="163">
        <f>VLOOKUP(IMSS[[#This Row],[SUE MENS]],$AG$110:$AJ$120,1,1)</f>
        <v>5470.93</v>
      </c>
      <c r="AH455" s="163">
        <f>IMSS[[#This Row],[SUE MENS]]-IMSS[[#This Row],[LIM INF]]</f>
        <v>3979.0699999999997</v>
      </c>
      <c r="AI455" s="163">
        <f>IMSS[[#This Row],[EXC LIM INF]]*(VLOOKUP(IMSS[[#This Row],[LIM INF]],$AG$110:$AJ$120,4,0))</f>
        <v>432.92281600000001</v>
      </c>
      <c r="AJ455" s="163">
        <f>VLOOKUP(IMSS[[#This Row],[LIM INF]],$AG$110:$AJ$120,3)</f>
        <v>321.26</v>
      </c>
      <c r="AK455" s="163">
        <f>SUM(IMSS[[#This Row],[TASA EXC]]+IMSS[[#This Row],[CUOTA FIJA]])</f>
        <v>754.182816</v>
      </c>
      <c r="AL455" s="163">
        <f>VLOOKUP(IMSS[[#This Row],[SUE MENS]],$AL$110:$AN$120,3,1)</f>
        <v>0</v>
      </c>
      <c r="AM455" s="248">
        <f>IF(IMSS[[#This Row],[ISR CARGO]]-IMSS[[#This Row],[SUBS ISR]]&gt;0,IMSS[[#This Row],[ISR CARGO]]-IMSS[[#This Row],[SUBS ISR]],0)</f>
        <v>754.182816</v>
      </c>
      <c r="AN455" s="248">
        <f>IF(IMSS[[#This Row],[SUBS ISR]]-IMSS[[#This Row],[ISR CARGO]]&gt;0,IMSS[[#This Row],[SUBS ISR]]-IMSS[[#This Row],[ISR CARGO]],0)</f>
        <v>0</v>
      </c>
    </row>
    <row r="456" spans="3:40" ht="15" hidden="1" customHeight="1" x14ac:dyDescent="0.25">
      <c r="C456" s="243">
        <v>517</v>
      </c>
      <c r="D456" s="167" t="str">
        <f>VLOOKUP(IMSS[[#This Row],[NEM]],BDD[],2,0)</f>
        <v>Daniel Gervacio Javier</v>
      </c>
      <c r="E456" s="167" t="str">
        <f>VLOOKUP(IMSS[[#This Row],[NEM]],BDD[],9,0)</f>
        <v>INST CAMPO</v>
      </c>
      <c r="F456" s="168">
        <v>30</v>
      </c>
      <c r="G456" s="139">
        <f>VLOOKUP(IMSS[[#This Row],[NEM]],BDD[],3,0)</f>
        <v>9541</v>
      </c>
      <c r="H456" s="139">
        <f ca="1">VLOOKUP(IMSS[[#This Row],[NEM]],BDD[],25,0)</f>
        <v>350.27232876712327</v>
      </c>
      <c r="I456" s="143">
        <f>VLOOKUP(IMSS[[#This Row],[DEPT]],$B$3:$G$49,6,0)</f>
        <v>4.6532499999999997E-2</v>
      </c>
      <c r="J456" s="163">
        <f ca="1">IMSS[[#This Row],[DIAS LAB]]*IMSS[[#This Row],[SDI]]*IMSS[[#This Row],[% RSG]]*$Q$108</f>
        <v>488.97141415068489</v>
      </c>
      <c r="K456" s="163">
        <f>IMSS[[#This Row],[DIAS LAB]]*$J$110*$Q$109</f>
        <v>548.47440000000006</v>
      </c>
      <c r="L456" s="166">
        <f ca="1">IMSS[[#This Row],[DIAS LAB]]*IF(IMSS[[#This Row],[SDI]]-$J$113&gt;0,IMSS[[#This Row],[SDI]]-$J$113,0)*$Q$110</f>
        <v>26.866068493150674</v>
      </c>
      <c r="M456" s="166">
        <f ca="1">IMSS[[#This Row],[DIAS LAB]]*IMSS[[#This Row],[SDI]]*$Q$111</f>
        <v>110.33578356164384</v>
      </c>
      <c r="N456" s="163">
        <f ca="1">IMSS[[#This Row],[DIAS LAB]]*IMSS[[#This Row],[SDI]]*$Q$112</f>
        <v>73.557189041095882</v>
      </c>
      <c r="O456" s="166">
        <f ca="1">IMSS[[#This Row],[DIAS LAB]]*IMSS[[#This Row],[SDI]]*$Q$113</f>
        <v>183.89297260273972</v>
      </c>
      <c r="P456" s="163">
        <f ca="1">IMSS[[#This Row],[DIAS LAB]]*IMSS[[#This Row],[SDI]]*$Q$114</f>
        <v>105.08169863013698</v>
      </c>
      <c r="Q456" s="166">
        <f ca="1">IMSS[[#This Row],[DIAS LAB]]*IMSS[[#This Row],[SDI]]*$Q$115</f>
        <v>210.16339726027397</v>
      </c>
      <c r="R456" s="163">
        <f ca="1">IMSS[[#This Row],[DIAS LAB]]*IMSS[[#This Row],[SDI]]*$Q$116</f>
        <v>331.00735068493151</v>
      </c>
      <c r="S456" s="163">
        <f ca="1">IMSS[[#This Row],[DIAS LAB]]*IMSS[[#This Row],[SDI]]*$Q$117</f>
        <v>525.40849315068488</v>
      </c>
      <c r="T456" s="164">
        <f ca="1">SUM(IMSS[[#This Row],[P RSG TRB]:[P INFONAVIT]])</f>
        <v>2603.7587675753425</v>
      </c>
      <c r="U456" s="163">
        <f ca="1">IMSS[[#This Row],[DIAS LAB]]*IMSS[[#This Row],[SDI]]*IMSS[[#This Row],[% RSG]]*$R$108</f>
        <v>0</v>
      </c>
      <c r="V456" s="163">
        <f ca="1">IMSS[[#This Row],[DIAS LAB]]*IMSS[[#This Row],[SDI]]*$R$112</f>
        <v>26.270424657534246</v>
      </c>
      <c r="W456" s="163"/>
      <c r="X456" s="163">
        <f ca="1">IMSS[[#This Row],[DIAS LAB]]*IMSS[[#This Row],[SDI]]*$R$113</f>
        <v>66.201470136986302</v>
      </c>
      <c r="Y456" s="163">
        <f ca="1">IMSS[[#This Row],[DIAS LAB]]*IMSS[[#This Row],[SDI]]*$R$114</f>
        <v>0</v>
      </c>
      <c r="Z456" s="163">
        <f ca="1">IMSS[[#This Row],[DIAS LAB]]*IMSS[[#This Row],[SDI]]*$R$115</f>
        <v>0</v>
      </c>
      <c r="AA456" s="163">
        <f ca="1">IMSS[[#This Row],[DIAS LAB]]*IMSS[[#This Row],[SDI]]*$R$116</f>
        <v>118.74231945205479</v>
      </c>
      <c r="AB456" s="163">
        <f ca="1">IMSS[[#This Row],[DIAS LAB]]*IMSS[[#This Row],[SDI]]*$R$117</f>
        <v>0</v>
      </c>
      <c r="AC456" s="247">
        <f ca="1">SUM(IMSS[[#This Row],[O RSG TRB]:[O INFONAVIT]])</f>
        <v>211.21421424657535</v>
      </c>
      <c r="AD456" s="163"/>
      <c r="AE456" s="165">
        <f ca="1">IMSS[[#This Row],[P TOTAL]]+IMSS[[#This Row],[O TOTAL]]</f>
        <v>2814.972981821918</v>
      </c>
      <c r="AF456" s="163"/>
      <c r="AG456" s="163">
        <f>VLOOKUP(IMSS[[#This Row],[SUE MENS]],$AG$110:$AJ$120,1,1)</f>
        <v>5470.93</v>
      </c>
      <c r="AH456" s="163">
        <f>IMSS[[#This Row],[SUE MENS]]-IMSS[[#This Row],[LIM INF]]</f>
        <v>4070.0699999999997</v>
      </c>
      <c r="AI456" s="163">
        <f>IMSS[[#This Row],[EXC LIM INF]]*(VLOOKUP(IMSS[[#This Row],[LIM INF]],$AG$110:$AJ$120,4,0))</f>
        <v>442.82361600000002</v>
      </c>
      <c r="AJ456" s="163">
        <f>VLOOKUP(IMSS[[#This Row],[LIM INF]],$AG$110:$AJ$120,3)</f>
        <v>321.26</v>
      </c>
      <c r="AK456" s="163">
        <f>SUM(IMSS[[#This Row],[TASA EXC]]+IMSS[[#This Row],[CUOTA FIJA]])</f>
        <v>764.08361600000001</v>
      </c>
      <c r="AL456" s="163">
        <f>VLOOKUP(IMSS[[#This Row],[SUE MENS]],$AL$110:$AN$120,3,1)</f>
        <v>0</v>
      </c>
      <c r="AM456" s="248">
        <f>IF(IMSS[[#This Row],[ISR CARGO]]-IMSS[[#This Row],[SUBS ISR]]&gt;0,IMSS[[#This Row],[ISR CARGO]]-IMSS[[#This Row],[SUBS ISR]],0)</f>
        <v>764.08361600000001</v>
      </c>
      <c r="AN456" s="248">
        <f>IF(IMSS[[#This Row],[SUBS ISR]]-IMSS[[#This Row],[ISR CARGO]]&gt;0,IMSS[[#This Row],[SUBS ISR]]-IMSS[[#This Row],[ISR CARGO]],0)</f>
        <v>0</v>
      </c>
    </row>
    <row r="457" spans="3:40" ht="15" hidden="1" customHeight="1" x14ac:dyDescent="0.25">
      <c r="C457" s="243">
        <v>518</v>
      </c>
      <c r="D457" s="167" t="str">
        <f>VLOOKUP(IMSS[[#This Row],[NEM]],BDD[],2,0)</f>
        <v>José Eduardo Torres Arevalo</v>
      </c>
      <c r="E457" s="167" t="str">
        <f>VLOOKUP(IMSS[[#This Row],[NEM]],BDD[],9,0)</f>
        <v>RECLTMTO</v>
      </c>
      <c r="F457" s="168">
        <v>30</v>
      </c>
      <c r="G457" s="139">
        <f>VLOOKUP(IMSS[[#This Row],[NEM]],BDD[],3,0)</f>
        <v>9541</v>
      </c>
      <c r="H457" s="139">
        <f ca="1">VLOOKUP(IMSS[[#This Row],[NEM]],BDD[],25,0)</f>
        <v>350.27232876712327</v>
      </c>
      <c r="I457" s="143">
        <f>VLOOKUP(IMSS[[#This Row],[DEPT]],$B$3:$G$49,6,0)</f>
        <v>5.4355000000000002E-3</v>
      </c>
      <c r="J457" s="163">
        <f ca="1">IMSS[[#This Row],[DIAS LAB]]*IMSS[[#This Row],[SDI]]*IMSS[[#This Row],[% RSG]]*$Q$108</f>
        <v>57.117157290410958</v>
      </c>
      <c r="K457" s="163">
        <f>IMSS[[#This Row],[DIAS LAB]]*$J$110*$Q$109</f>
        <v>548.47440000000006</v>
      </c>
      <c r="L457" s="166">
        <f ca="1">IMSS[[#This Row],[DIAS LAB]]*IF(IMSS[[#This Row],[SDI]]-$J$113&gt;0,IMSS[[#This Row],[SDI]]-$J$113,0)*$Q$110</f>
        <v>26.866068493150674</v>
      </c>
      <c r="M457" s="166">
        <f ca="1">IMSS[[#This Row],[DIAS LAB]]*IMSS[[#This Row],[SDI]]*$Q$111</f>
        <v>110.33578356164384</v>
      </c>
      <c r="N457" s="163">
        <f ca="1">IMSS[[#This Row],[DIAS LAB]]*IMSS[[#This Row],[SDI]]*$Q$112</f>
        <v>73.557189041095882</v>
      </c>
      <c r="O457" s="166">
        <f ca="1">IMSS[[#This Row],[DIAS LAB]]*IMSS[[#This Row],[SDI]]*$Q$113</f>
        <v>183.89297260273972</v>
      </c>
      <c r="P457" s="163">
        <f ca="1">IMSS[[#This Row],[DIAS LAB]]*IMSS[[#This Row],[SDI]]*$Q$114</f>
        <v>105.08169863013698</v>
      </c>
      <c r="Q457" s="166">
        <f ca="1">IMSS[[#This Row],[DIAS LAB]]*IMSS[[#This Row],[SDI]]*$Q$115</f>
        <v>210.16339726027397</v>
      </c>
      <c r="R457" s="163">
        <f ca="1">IMSS[[#This Row],[DIAS LAB]]*IMSS[[#This Row],[SDI]]*$Q$116</f>
        <v>331.00735068493151</v>
      </c>
      <c r="S457" s="163">
        <f ca="1">IMSS[[#This Row],[DIAS LAB]]*IMSS[[#This Row],[SDI]]*$Q$117</f>
        <v>525.40849315068488</v>
      </c>
      <c r="T457" s="164">
        <f ca="1">SUM(IMSS[[#This Row],[P RSG TRB]:[P INFONAVIT]])</f>
        <v>2171.9045107150687</v>
      </c>
      <c r="U457" s="163">
        <f ca="1">IMSS[[#This Row],[DIAS LAB]]*IMSS[[#This Row],[SDI]]*IMSS[[#This Row],[% RSG]]*$R$108</f>
        <v>0</v>
      </c>
      <c r="V457" s="163">
        <f ca="1">IMSS[[#This Row],[DIAS LAB]]*IMSS[[#This Row],[SDI]]*$R$112</f>
        <v>26.270424657534246</v>
      </c>
      <c r="W457" s="163"/>
      <c r="X457" s="163">
        <f ca="1">IMSS[[#This Row],[DIAS LAB]]*IMSS[[#This Row],[SDI]]*$R$113</f>
        <v>66.201470136986302</v>
      </c>
      <c r="Y457" s="163">
        <f ca="1">IMSS[[#This Row],[DIAS LAB]]*IMSS[[#This Row],[SDI]]*$R$114</f>
        <v>0</v>
      </c>
      <c r="Z457" s="163">
        <f ca="1">IMSS[[#This Row],[DIAS LAB]]*IMSS[[#This Row],[SDI]]*$R$115</f>
        <v>0</v>
      </c>
      <c r="AA457" s="163">
        <f ca="1">IMSS[[#This Row],[DIAS LAB]]*IMSS[[#This Row],[SDI]]*$R$116</f>
        <v>118.74231945205479</v>
      </c>
      <c r="AB457" s="163">
        <f ca="1">IMSS[[#This Row],[DIAS LAB]]*IMSS[[#This Row],[SDI]]*$R$117</f>
        <v>0</v>
      </c>
      <c r="AC457" s="247">
        <f ca="1">SUM(IMSS[[#This Row],[O RSG TRB]:[O INFONAVIT]])</f>
        <v>211.21421424657535</v>
      </c>
      <c r="AD457" s="163"/>
      <c r="AE457" s="165">
        <f ca="1">IMSS[[#This Row],[P TOTAL]]+IMSS[[#This Row],[O TOTAL]]</f>
        <v>2383.1187249616441</v>
      </c>
      <c r="AF457" s="163"/>
      <c r="AG457" s="163">
        <f>VLOOKUP(IMSS[[#This Row],[SUE MENS]],$AG$110:$AJ$120,1,1)</f>
        <v>5470.93</v>
      </c>
      <c r="AH457" s="163">
        <f>IMSS[[#This Row],[SUE MENS]]-IMSS[[#This Row],[LIM INF]]</f>
        <v>4070.0699999999997</v>
      </c>
      <c r="AI457" s="163">
        <f>IMSS[[#This Row],[EXC LIM INF]]*(VLOOKUP(IMSS[[#This Row],[LIM INF]],$AG$110:$AJ$120,4,0))</f>
        <v>442.82361600000002</v>
      </c>
      <c r="AJ457" s="163">
        <f>VLOOKUP(IMSS[[#This Row],[LIM INF]],$AG$110:$AJ$120,3)</f>
        <v>321.26</v>
      </c>
      <c r="AK457" s="163">
        <f>SUM(IMSS[[#This Row],[TASA EXC]]+IMSS[[#This Row],[CUOTA FIJA]])</f>
        <v>764.08361600000001</v>
      </c>
      <c r="AL457" s="163">
        <f>VLOOKUP(IMSS[[#This Row],[SUE MENS]],$AL$110:$AN$120,3,1)</f>
        <v>0</v>
      </c>
      <c r="AM457" s="248">
        <f>IF(IMSS[[#This Row],[ISR CARGO]]-IMSS[[#This Row],[SUBS ISR]]&gt;0,IMSS[[#This Row],[ISR CARGO]]-IMSS[[#This Row],[SUBS ISR]],0)</f>
        <v>764.08361600000001</v>
      </c>
      <c r="AN457" s="248">
        <f>IF(IMSS[[#This Row],[SUBS ISR]]-IMSS[[#This Row],[ISR CARGO]]&gt;0,IMSS[[#This Row],[SUBS ISR]]-IMSS[[#This Row],[ISR CARGO]],0)</f>
        <v>0</v>
      </c>
    </row>
    <row r="458" spans="3:40" ht="15" hidden="1" customHeight="1" x14ac:dyDescent="0.25">
      <c r="C458" s="243">
        <v>519</v>
      </c>
      <c r="D458" s="167" t="str">
        <f>VLOOKUP(IMSS[[#This Row],[NEM]],BDD[],2,0)</f>
        <v>Janis Lorraine Sanchez García</v>
      </c>
      <c r="E458" s="167" t="str">
        <f>VLOOKUP(IMSS[[#This Row],[NEM]],BDD[],9,0)</f>
        <v>COMPRAS</v>
      </c>
      <c r="F458" s="168">
        <v>30</v>
      </c>
      <c r="G458" s="139">
        <f>VLOOKUP(IMSS[[#This Row],[NEM]],BDD[],3,0)</f>
        <v>7445</v>
      </c>
      <c r="H458" s="139">
        <f ca="1">VLOOKUP(IMSS[[#This Row],[NEM]],BDD[],25,0)</f>
        <v>273.32328767123283</v>
      </c>
      <c r="I458" s="143">
        <f>VLOOKUP(IMSS[[#This Row],[DEPT]],$B$3:$G$49,6,0)</f>
        <v>5.4355000000000002E-3</v>
      </c>
      <c r="J458" s="163">
        <f ca="1">IMSS[[#This Row],[DIAS LAB]]*IMSS[[#This Row],[SDI]]*IMSS[[#This Row],[% RSG]]*$Q$108</f>
        <v>44.569461904109588</v>
      </c>
      <c r="K458" s="163">
        <f>IMSS[[#This Row],[DIAS LAB]]*$J$110*$Q$109</f>
        <v>548.47440000000006</v>
      </c>
      <c r="L458" s="166">
        <f ca="1">IMSS[[#This Row],[DIAS LAB]]*IF(IMSS[[#This Row],[SDI]]-$J$113&gt;0,IMSS[[#This Row],[SDI]]-$J$113,0)*$Q$110</f>
        <v>1.4728849315068304</v>
      </c>
      <c r="M458" s="166">
        <f ca="1">IMSS[[#This Row],[DIAS LAB]]*IMSS[[#This Row],[SDI]]*$Q$111</f>
        <v>86.096835616438355</v>
      </c>
      <c r="N458" s="163">
        <f ca="1">IMSS[[#This Row],[DIAS LAB]]*IMSS[[#This Row],[SDI]]*$Q$112</f>
        <v>57.397890410958901</v>
      </c>
      <c r="O458" s="166">
        <f ca="1">IMSS[[#This Row],[DIAS LAB]]*IMSS[[#This Row],[SDI]]*$Q$113</f>
        <v>143.49472602739726</v>
      </c>
      <c r="P458" s="163">
        <f ca="1">IMSS[[#This Row],[DIAS LAB]]*IMSS[[#This Row],[SDI]]*$Q$114</f>
        <v>81.996986301369859</v>
      </c>
      <c r="Q458" s="166">
        <f ca="1">IMSS[[#This Row],[DIAS LAB]]*IMSS[[#This Row],[SDI]]*$Q$115</f>
        <v>163.99397260273972</v>
      </c>
      <c r="R458" s="163">
        <f ca="1">IMSS[[#This Row],[DIAS LAB]]*IMSS[[#This Row],[SDI]]*$Q$116</f>
        <v>258.29050684931502</v>
      </c>
      <c r="S458" s="163">
        <f ca="1">IMSS[[#This Row],[DIAS LAB]]*IMSS[[#This Row],[SDI]]*$Q$117</f>
        <v>409.98493150684931</v>
      </c>
      <c r="T458" s="164">
        <f ca="1">SUM(IMSS[[#This Row],[P RSG TRB]:[P INFONAVIT]])</f>
        <v>1795.7725961506851</v>
      </c>
      <c r="U458" s="163">
        <f ca="1">IMSS[[#This Row],[DIAS LAB]]*IMSS[[#This Row],[SDI]]*IMSS[[#This Row],[% RSG]]*$R$108</f>
        <v>0</v>
      </c>
      <c r="V458" s="163">
        <f ca="1">IMSS[[#This Row],[DIAS LAB]]*IMSS[[#This Row],[SDI]]*$R$112</f>
        <v>20.499246575342465</v>
      </c>
      <c r="W458" s="163"/>
      <c r="X458" s="163">
        <f ca="1">IMSS[[#This Row],[DIAS LAB]]*IMSS[[#This Row],[SDI]]*$R$113</f>
        <v>51.658101369863004</v>
      </c>
      <c r="Y458" s="163">
        <f ca="1">IMSS[[#This Row],[DIAS LAB]]*IMSS[[#This Row],[SDI]]*$R$114</f>
        <v>0</v>
      </c>
      <c r="Z458" s="163">
        <f ca="1">IMSS[[#This Row],[DIAS LAB]]*IMSS[[#This Row],[SDI]]*$R$115</f>
        <v>0</v>
      </c>
      <c r="AA458" s="163">
        <f ca="1">IMSS[[#This Row],[DIAS LAB]]*IMSS[[#This Row],[SDI]]*$R$116</f>
        <v>92.656594520547927</v>
      </c>
      <c r="AB458" s="163">
        <f ca="1">IMSS[[#This Row],[DIAS LAB]]*IMSS[[#This Row],[SDI]]*$R$117</f>
        <v>0</v>
      </c>
      <c r="AC458" s="247">
        <f ca="1">SUM(IMSS[[#This Row],[O RSG TRB]:[O INFONAVIT]])</f>
        <v>164.8139424657534</v>
      </c>
      <c r="AD458" s="163"/>
      <c r="AE458" s="165">
        <f ca="1">IMSS[[#This Row],[P TOTAL]]+IMSS[[#This Row],[O TOTAL]]</f>
        <v>1960.5865386164385</v>
      </c>
      <c r="AF458" s="163"/>
      <c r="AG458" s="163">
        <f>VLOOKUP(IMSS[[#This Row],[SUE MENS]],$AG$110:$AJ$120,1,1)</f>
        <v>5470.93</v>
      </c>
      <c r="AH458" s="163">
        <f>IMSS[[#This Row],[SUE MENS]]-IMSS[[#This Row],[LIM INF]]</f>
        <v>1974.0699999999997</v>
      </c>
      <c r="AI458" s="163">
        <f>IMSS[[#This Row],[EXC LIM INF]]*(VLOOKUP(IMSS[[#This Row],[LIM INF]],$AG$110:$AJ$120,4,0))</f>
        <v>214.77881599999998</v>
      </c>
      <c r="AJ458" s="163">
        <f>VLOOKUP(IMSS[[#This Row],[LIM INF]],$AG$110:$AJ$120,3)</f>
        <v>321.26</v>
      </c>
      <c r="AK458" s="163">
        <f>SUM(IMSS[[#This Row],[TASA EXC]]+IMSS[[#This Row],[CUOTA FIJA]])</f>
        <v>536.038816</v>
      </c>
      <c r="AL458" s="163">
        <f>VLOOKUP(IMSS[[#This Row],[SUE MENS]],$AL$110:$AN$120,3,1)</f>
        <v>0</v>
      </c>
      <c r="AM458" s="248">
        <f>IF(IMSS[[#This Row],[ISR CARGO]]-IMSS[[#This Row],[SUBS ISR]]&gt;0,IMSS[[#This Row],[ISR CARGO]]-IMSS[[#This Row],[SUBS ISR]],0)</f>
        <v>536.038816</v>
      </c>
      <c r="AN458" s="248">
        <f>IF(IMSS[[#This Row],[SUBS ISR]]-IMSS[[#This Row],[ISR CARGO]]&gt;0,IMSS[[#This Row],[SUBS ISR]]-IMSS[[#This Row],[ISR CARGO]],0)</f>
        <v>0</v>
      </c>
    </row>
    <row r="459" spans="3:40" ht="15" hidden="1" customHeight="1" x14ac:dyDescent="0.25">
      <c r="C459" s="243">
        <v>520</v>
      </c>
      <c r="D459" s="167" t="str">
        <f>VLOOKUP(IMSS[[#This Row],[NEM]],BDD[],2,0)</f>
        <v>Alejandro Turner Aguilar</v>
      </c>
      <c r="E459" s="167" t="str">
        <f>VLOOKUP(IMSS[[#This Row],[NEM]],BDD[],9,0)</f>
        <v>AUDIT ADMN</v>
      </c>
      <c r="F459" s="168">
        <v>30</v>
      </c>
      <c r="G459" s="139">
        <f>VLOOKUP(IMSS[[#This Row],[NEM]],BDD[],3,0)</f>
        <v>7445</v>
      </c>
      <c r="H459" s="139">
        <f ca="1">VLOOKUP(IMSS[[#This Row],[NEM]],BDD[],25,0)</f>
        <v>273.32328767123283</v>
      </c>
      <c r="I459" s="143">
        <f>VLOOKUP(IMSS[[#This Row],[DEPT]],$B$3:$G$49,6,0)</f>
        <v>5.4355000000000002E-3</v>
      </c>
      <c r="J459" s="163">
        <f ca="1">IMSS[[#This Row],[DIAS LAB]]*IMSS[[#This Row],[SDI]]*IMSS[[#This Row],[% RSG]]*$Q$108</f>
        <v>44.569461904109588</v>
      </c>
      <c r="K459" s="163">
        <f>IMSS[[#This Row],[DIAS LAB]]*$J$110*$Q$109</f>
        <v>548.47440000000006</v>
      </c>
      <c r="L459" s="166">
        <f ca="1">IMSS[[#This Row],[DIAS LAB]]*IF(IMSS[[#This Row],[SDI]]-$J$113&gt;0,IMSS[[#This Row],[SDI]]-$J$113,0)*$Q$110</f>
        <v>1.4728849315068304</v>
      </c>
      <c r="M459" s="166">
        <f ca="1">IMSS[[#This Row],[DIAS LAB]]*IMSS[[#This Row],[SDI]]*$Q$111</f>
        <v>86.096835616438355</v>
      </c>
      <c r="N459" s="163">
        <f ca="1">IMSS[[#This Row],[DIAS LAB]]*IMSS[[#This Row],[SDI]]*$Q$112</f>
        <v>57.397890410958901</v>
      </c>
      <c r="O459" s="166">
        <f ca="1">IMSS[[#This Row],[DIAS LAB]]*IMSS[[#This Row],[SDI]]*$Q$113</f>
        <v>143.49472602739726</v>
      </c>
      <c r="P459" s="163">
        <f ca="1">IMSS[[#This Row],[DIAS LAB]]*IMSS[[#This Row],[SDI]]*$Q$114</f>
        <v>81.996986301369859</v>
      </c>
      <c r="Q459" s="166">
        <f ca="1">IMSS[[#This Row],[DIAS LAB]]*IMSS[[#This Row],[SDI]]*$Q$115</f>
        <v>163.99397260273972</v>
      </c>
      <c r="R459" s="163">
        <f ca="1">IMSS[[#This Row],[DIAS LAB]]*IMSS[[#This Row],[SDI]]*$Q$116</f>
        <v>258.29050684931502</v>
      </c>
      <c r="S459" s="163">
        <f ca="1">IMSS[[#This Row],[DIAS LAB]]*IMSS[[#This Row],[SDI]]*$Q$117</f>
        <v>409.98493150684931</v>
      </c>
      <c r="T459" s="164">
        <f ca="1">SUM(IMSS[[#This Row],[P RSG TRB]:[P INFONAVIT]])</f>
        <v>1795.7725961506851</v>
      </c>
      <c r="U459" s="163">
        <f ca="1">IMSS[[#This Row],[DIAS LAB]]*IMSS[[#This Row],[SDI]]*IMSS[[#This Row],[% RSG]]*$R$108</f>
        <v>0</v>
      </c>
      <c r="V459" s="163">
        <f ca="1">IMSS[[#This Row],[DIAS LAB]]*IMSS[[#This Row],[SDI]]*$R$112</f>
        <v>20.499246575342465</v>
      </c>
      <c r="W459" s="163"/>
      <c r="X459" s="163">
        <f ca="1">IMSS[[#This Row],[DIAS LAB]]*IMSS[[#This Row],[SDI]]*$R$113</f>
        <v>51.658101369863004</v>
      </c>
      <c r="Y459" s="163">
        <f ca="1">IMSS[[#This Row],[DIAS LAB]]*IMSS[[#This Row],[SDI]]*$R$114</f>
        <v>0</v>
      </c>
      <c r="Z459" s="163">
        <f ca="1">IMSS[[#This Row],[DIAS LAB]]*IMSS[[#This Row],[SDI]]*$R$115</f>
        <v>0</v>
      </c>
      <c r="AA459" s="163">
        <f ca="1">IMSS[[#This Row],[DIAS LAB]]*IMSS[[#This Row],[SDI]]*$R$116</f>
        <v>92.656594520547927</v>
      </c>
      <c r="AB459" s="163">
        <f ca="1">IMSS[[#This Row],[DIAS LAB]]*IMSS[[#This Row],[SDI]]*$R$117</f>
        <v>0</v>
      </c>
      <c r="AC459" s="247">
        <f ca="1">SUM(IMSS[[#This Row],[O RSG TRB]:[O INFONAVIT]])</f>
        <v>164.8139424657534</v>
      </c>
      <c r="AD459" s="163"/>
      <c r="AE459" s="165">
        <f ca="1">IMSS[[#This Row],[P TOTAL]]+IMSS[[#This Row],[O TOTAL]]</f>
        <v>1960.5865386164385</v>
      </c>
      <c r="AF459" s="163"/>
      <c r="AG459" s="163">
        <f>VLOOKUP(IMSS[[#This Row],[SUE MENS]],$AG$110:$AJ$120,1,1)</f>
        <v>5470.93</v>
      </c>
      <c r="AH459" s="163">
        <f>IMSS[[#This Row],[SUE MENS]]-IMSS[[#This Row],[LIM INF]]</f>
        <v>1974.0699999999997</v>
      </c>
      <c r="AI459" s="163">
        <f>IMSS[[#This Row],[EXC LIM INF]]*(VLOOKUP(IMSS[[#This Row],[LIM INF]],$AG$110:$AJ$120,4,0))</f>
        <v>214.77881599999998</v>
      </c>
      <c r="AJ459" s="163">
        <f>VLOOKUP(IMSS[[#This Row],[LIM INF]],$AG$110:$AJ$120,3)</f>
        <v>321.26</v>
      </c>
      <c r="AK459" s="163">
        <f>SUM(IMSS[[#This Row],[TASA EXC]]+IMSS[[#This Row],[CUOTA FIJA]])</f>
        <v>536.038816</v>
      </c>
      <c r="AL459" s="163">
        <f>VLOOKUP(IMSS[[#This Row],[SUE MENS]],$AL$110:$AN$120,3,1)</f>
        <v>0</v>
      </c>
      <c r="AM459" s="248">
        <f>IF(IMSS[[#This Row],[ISR CARGO]]-IMSS[[#This Row],[SUBS ISR]]&gt;0,IMSS[[#This Row],[ISR CARGO]]-IMSS[[#This Row],[SUBS ISR]],0)</f>
        <v>536.038816</v>
      </c>
      <c r="AN459" s="248">
        <f>IF(IMSS[[#This Row],[SUBS ISR]]-IMSS[[#This Row],[ISR CARGO]]&gt;0,IMSS[[#This Row],[SUBS ISR]]-IMSS[[#This Row],[ISR CARGO]],0)</f>
        <v>0</v>
      </c>
    </row>
    <row r="460" spans="3:40" ht="15" hidden="1" customHeight="1" x14ac:dyDescent="0.25">
      <c r="C460" s="243">
        <v>521</v>
      </c>
      <c r="D460" s="167" t="str">
        <f>VLOOKUP(IMSS[[#This Row],[NEM]],BDD[],2,0)</f>
        <v>Angélica Paredes Soriano</v>
      </c>
      <c r="E460" s="167" t="str">
        <f>VLOOKUP(IMSS[[#This Row],[NEM]],BDD[],9,0)</f>
        <v>EQUIPOS</v>
      </c>
      <c r="F460" s="168">
        <v>30</v>
      </c>
      <c r="G460" s="139">
        <f>VLOOKUP(IMSS[[#This Row],[NEM]],BDD[],3,0)</f>
        <v>17750</v>
      </c>
      <c r="H460" s="139">
        <f ca="1">VLOOKUP(IMSS[[#This Row],[NEM]],BDD[],25,0)</f>
        <v>651.64383561643831</v>
      </c>
      <c r="I460" s="143">
        <f>VLOOKUP(IMSS[[#This Row],[DEPT]],$B$3:$G$49,6,0)</f>
        <v>1.130658E-2</v>
      </c>
      <c r="J460" s="163">
        <f ca="1">IMSS[[#This Row],[DIAS LAB]]*IMSS[[#This Row],[SDI]]*IMSS[[#This Row],[% RSG]]*$Q$108</f>
        <v>221.03589476712327</v>
      </c>
      <c r="K460" s="163">
        <f>IMSS[[#This Row],[DIAS LAB]]*$J$110*$Q$109</f>
        <v>548.47440000000006</v>
      </c>
      <c r="L460" s="166">
        <f ca="1">IMSS[[#This Row],[DIAS LAB]]*IF(IMSS[[#This Row],[SDI]]-$J$113&gt;0,IMSS[[#This Row],[SDI]]-$J$113,0)*$Q$110</f>
        <v>126.31866575342463</v>
      </c>
      <c r="M460" s="166">
        <f ca="1">IMSS[[#This Row],[DIAS LAB]]*IMSS[[#This Row],[SDI]]*$Q$111</f>
        <v>205.26780821917808</v>
      </c>
      <c r="N460" s="163">
        <f ca="1">IMSS[[#This Row],[DIAS LAB]]*IMSS[[#This Row],[SDI]]*$Q$112</f>
        <v>136.84520547945206</v>
      </c>
      <c r="O460" s="166">
        <f ca="1">IMSS[[#This Row],[DIAS LAB]]*IMSS[[#This Row],[SDI]]*$Q$113</f>
        <v>342.11301369863014</v>
      </c>
      <c r="P460" s="163">
        <f ca="1">IMSS[[#This Row],[DIAS LAB]]*IMSS[[#This Row],[SDI]]*$Q$114</f>
        <v>195.49315068493149</v>
      </c>
      <c r="Q460" s="166">
        <f ca="1">IMSS[[#This Row],[DIAS LAB]]*IMSS[[#This Row],[SDI]]*$Q$115</f>
        <v>390.98630136986299</v>
      </c>
      <c r="R460" s="163">
        <f ca="1">IMSS[[#This Row],[DIAS LAB]]*IMSS[[#This Row],[SDI]]*$Q$116</f>
        <v>615.80342465753426</v>
      </c>
      <c r="S460" s="163">
        <f ca="1">IMSS[[#This Row],[DIAS LAB]]*IMSS[[#This Row],[SDI]]*$Q$117</f>
        <v>977.46575342465758</v>
      </c>
      <c r="T460" s="164">
        <f ca="1">SUM(IMSS[[#This Row],[P RSG TRB]:[P INFONAVIT]])</f>
        <v>3759.8036180547947</v>
      </c>
      <c r="U460" s="163">
        <f ca="1">IMSS[[#This Row],[DIAS LAB]]*IMSS[[#This Row],[SDI]]*IMSS[[#This Row],[% RSG]]*$R$108</f>
        <v>0</v>
      </c>
      <c r="V460" s="163">
        <f ca="1">IMSS[[#This Row],[DIAS LAB]]*IMSS[[#This Row],[SDI]]*$R$112</f>
        <v>48.873287671232873</v>
      </c>
      <c r="W460" s="163"/>
      <c r="X460" s="163">
        <f ca="1">IMSS[[#This Row],[DIAS LAB]]*IMSS[[#This Row],[SDI]]*$R$113</f>
        <v>123.16068493150685</v>
      </c>
      <c r="Y460" s="163">
        <f ca="1">IMSS[[#This Row],[DIAS LAB]]*IMSS[[#This Row],[SDI]]*$R$114</f>
        <v>0</v>
      </c>
      <c r="Z460" s="163">
        <f ca="1">IMSS[[#This Row],[DIAS LAB]]*IMSS[[#This Row],[SDI]]*$R$115</f>
        <v>0</v>
      </c>
      <c r="AA460" s="163">
        <f ca="1">IMSS[[#This Row],[DIAS LAB]]*IMSS[[#This Row],[SDI]]*$R$116</f>
        <v>220.90726027397258</v>
      </c>
      <c r="AB460" s="163">
        <f ca="1">IMSS[[#This Row],[DIAS LAB]]*IMSS[[#This Row],[SDI]]*$R$117</f>
        <v>0</v>
      </c>
      <c r="AC460" s="247">
        <f ca="1">SUM(IMSS[[#This Row],[O RSG TRB]:[O INFONAVIT]])</f>
        <v>392.94123287671232</v>
      </c>
      <c r="AD460" s="163"/>
      <c r="AE460" s="165">
        <f ca="1">IMSS[[#This Row],[P TOTAL]]+IMSS[[#This Row],[O TOTAL]]</f>
        <v>4152.7448509315072</v>
      </c>
      <c r="AF460" s="163"/>
      <c r="AG460" s="163">
        <f>VLOOKUP(IMSS[[#This Row],[SUE MENS]],$AG$110:$AJ$120,1,1)</f>
        <v>13381.48</v>
      </c>
      <c r="AH460" s="163">
        <f>IMSS[[#This Row],[SUE MENS]]-IMSS[[#This Row],[LIM INF]]</f>
        <v>4368.5200000000004</v>
      </c>
      <c r="AI460" s="163">
        <f>IMSS[[#This Row],[EXC LIM INF]]*(VLOOKUP(IMSS[[#This Row],[LIM INF]],$AG$110:$AJ$120,4,0))</f>
        <v>933.11587200000008</v>
      </c>
      <c r="AJ460" s="163">
        <f>VLOOKUP(IMSS[[#This Row],[LIM INF]],$AG$110:$AJ$120,3)</f>
        <v>1417.12</v>
      </c>
      <c r="AK460" s="163">
        <f>SUM(IMSS[[#This Row],[TASA EXC]]+IMSS[[#This Row],[CUOTA FIJA]])</f>
        <v>2350.2358720000002</v>
      </c>
      <c r="AL460" s="163">
        <f>VLOOKUP(IMSS[[#This Row],[SUE MENS]],$AL$110:$AN$120,3,1)</f>
        <v>0</v>
      </c>
      <c r="AM460" s="248">
        <f>IF(IMSS[[#This Row],[ISR CARGO]]-IMSS[[#This Row],[SUBS ISR]]&gt;0,IMSS[[#This Row],[ISR CARGO]]-IMSS[[#This Row],[SUBS ISR]],0)</f>
        <v>2350.2358720000002</v>
      </c>
      <c r="AN460" s="248">
        <f>IF(IMSS[[#This Row],[SUBS ISR]]-IMSS[[#This Row],[ISR CARGO]]&gt;0,IMSS[[#This Row],[SUBS ISR]]-IMSS[[#This Row],[ISR CARGO]],0)</f>
        <v>0</v>
      </c>
    </row>
    <row r="461" spans="3:40" ht="15" hidden="1" customHeight="1" x14ac:dyDescent="0.25">
      <c r="C461" s="246">
        <v>522</v>
      </c>
      <c r="D461" s="167" t="str">
        <f>VLOOKUP(IMSS[[#This Row],[NEM]],BDD[],2,0)</f>
        <v>Roxana Bello López</v>
      </c>
      <c r="E461" s="167" t="str">
        <f>VLOOKUP(IMSS[[#This Row],[NEM]],BDD[],9,0)</f>
        <v>ANLIS COST</v>
      </c>
      <c r="F461" s="168">
        <v>30</v>
      </c>
      <c r="G461" s="139">
        <f>VLOOKUP(IMSS[[#This Row],[NEM]],BDD[],3,0)</f>
        <v>6778</v>
      </c>
      <c r="H461" s="139">
        <f ca="1">VLOOKUP(IMSS[[#This Row],[NEM]],BDD[],25,0)</f>
        <v>237.38474885844749</v>
      </c>
      <c r="I461" s="143">
        <f>VLOOKUP(IMSS[[#This Row],[DEPT]],$B$3:$G$49,6,0)</f>
        <v>1.130658E-2</v>
      </c>
      <c r="J461" s="163">
        <f ca="1">IMSS[[#This Row],[DIAS LAB]]*IMSS[[#This Row],[SDI]]*IMSS[[#This Row],[% RSG]]*$Q$108</f>
        <v>80.520289612438361</v>
      </c>
      <c r="K461" s="163">
        <f>IMSS[[#This Row],[DIAS LAB]]*$J$110*$Q$109</f>
        <v>548.47440000000006</v>
      </c>
      <c r="L461" s="166">
        <f ca="1">IMSS[[#This Row],[DIAS LAB]]*IF(IMSS[[#This Row],[SDI]]-$J$113&gt;0,IMSS[[#This Row],[SDI]]-$J$113,0)*$Q$110</f>
        <v>0</v>
      </c>
      <c r="M461" s="166">
        <f ca="1">IMSS[[#This Row],[DIAS LAB]]*IMSS[[#This Row],[SDI]]*$Q$111</f>
        <v>74.77619589041096</v>
      </c>
      <c r="N461" s="163">
        <f ca="1">IMSS[[#This Row],[DIAS LAB]]*IMSS[[#This Row],[SDI]]*$Q$112</f>
        <v>49.850797260273978</v>
      </c>
      <c r="O461" s="166">
        <f ca="1">IMSS[[#This Row],[DIAS LAB]]*IMSS[[#This Row],[SDI]]*$Q$113</f>
        <v>124.62699315068495</v>
      </c>
      <c r="P461" s="163">
        <f ca="1">IMSS[[#This Row],[DIAS LAB]]*IMSS[[#This Row],[SDI]]*$Q$114</f>
        <v>71.215424657534257</v>
      </c>
      <c r="Q461" s="166">
        <f ca="1">IMSS[[#This Row],[DIAS LAB]]*IMSS[[#This Row],[SDI]]*$Q$115</f>
        <v>142.43084931506851</v>
      </c>
      <c r="R461" s="163">
        <f ca="1">IMSS[[#This Row],[DIAS LAB]]*IMSS[[#This Row],[SDI]]*$Q$116</f>
        <v>224.3285876712329</v>
      </c>
      <c r="S461" s="163">
        <f ca="1">IMSS[[#This Row],[DIAS LAB]]*IMSS[[#This Row],[SDI]]*$Q$117</f>
        <v>356.07712328767127</v>
      </c>
      <c r="T461" s="164">
        <f ca="1">SUM(IMSS[[#This Row],[P RSG TRB]:[P INFONAVIT]])</f>
        <v>1672.3006608453152</v>
      </c>
      <c r="U461" s="163">
        <f ca="1">IMSS[[#This Row],[DIAS LAB]]*IMSS[[#This Row],[SDI]]*IMSS[[#This Row],[% RSG]]*$R$108</f>
        <v>0</v>
      </c>
      <c r="V461" s="163">
        <f ca="1">IMSS[[#This Row],[DIAS LAB]]*IMSS[[#This Row],[SDI]]*$R$112</f>
        <v>17.803856164383564</v>
      </c>
      <c r="W461" s="163"/>
      <c r="X461" s="163">
        <f ca="1">IMSS[[#This Row],[DIAS LAB]]*IMSS[[#This Row],[SDI]]*$R$113</f>
        <v>44.865717534246578</v>
      </c>
      <c r="Y461" s="163">
        <f ca="1">IMSS[[#This Row],[DIAS LAB]]*IMSS[[#This Row],[SDI]]*$R$114</f>
        <v>0</v>
      </c>
      <c r="Z461" s="163">
        <f ca="1">IMSS[[#This Row],[DIAS LAB]]*IMSS[[#This Row],[SDI]]*$R$115</f>
        <v>0</v>
      </c>
      <c r="AA461" s="163">
        <f ca="1">IMSS[[#This Row],[DIAS LAB]]*IMSS[[#This Row],[SDI]]*$R$116</f>
        <v>80.473429863013692</v>
      </c>
      <c r="AB461" s="163">
        <f ca="1">IMSS[[#This Row],[DIAS LAB]]*IMSS[[#This Row],[SDI]]*$R$117</f>
        <v>0</v>
      </c>
      <c r="AC461" s="247">
        <f ca="1">SUM(IMSS[[#This Row],[O RSG TRB]:[O INFONAVIT]])</f>
        <v>143.14300356164384</v>
      </c>
      <c r="AD461" s="163"/>
      <c r="AE461" s="165">
        <f ca="1">IMSS[[#This Row],[P TOTAL]]+IMSS[[#This Row],[O TOTAL]]</f>
        <v>1815.443664406959</v>
      </c>
      <c r="AF461" s="163"/>
      <c r="AG461" s="163">
        <f>VLOOKUP(IMSS[[#This Row],[SUE MENS]],$AG$110:$AJ$120,1,1)</f>
        <v>5470.93</v>
      </c>
      <c r="AH461" s="163">
        <f>IMSS[[#This Row],[SUE MENS]]-IMSS[[#This Row],[LIM INF]]</f>
        <v>1307.0699999999997</v>
      </c>
      <c r="AI461" s="163">
        <f>IMSS[[#This Row],[EXC LIM INF]]*(VLOOKUP(IMSS[[#This Row],[LIM INF]],$AG$110:$AJ$120,4,0))</f>
        <v>142.20921599999997</v>
      </c>
      <c r="AJ461" s="163">
        <f>VLOOKUP(IMSS[[#This Row],[LIM INF]],$AG$110:$AJ$120,3)</f>
        <v>321.26</v>
      </c>
      <c r="AK461" s="163">
        <f>SUM(IMSS[[#This Row],[TASA EXC]]+IMSS[[#This Row],[CUOTA FIJA]])</f>
        <v>463.46921599999996</v>
      </c>
      <c r="AL461" s="163">
        <f>VLOOKUP(IMSS[[#This Row],[SUE MENS]],$AL$110:$AN$120,3,1)</f>
        <v>253.54</v>
      </c>
      <c r="AM461" s="248">
        <f>IF(IMSS[[#This Row],[ISR CARGO]]-IMSS[[#This Row],[SUBS ISR]]&gt;0,IMSS[[#This Row],[ISR CARGO]]-IMSS[[#This Row],[SUBS ISR]],0)</f>
        <v>209.92921599999997</v>
      </c>
      <c r="AN461" s="248">
        <f>IF(IMSS[[#This Row],[SUBS ISR]]-IMSS[[#This Row],[ISR CARGO]]&gt;0,IMSS[[#This Row],[SUBS ISR]]-IMSS[[#This Row],[ISR CARGO]],0)</f>
        <v>0</v>
      </c>
    </row>
    <row r="462" spans="3:40" ht="15" hidden="1" customHeight="1" x14ac:dyDescent="0.25">
      <c r="C462" s="243">
        <v>523</v>
      </c>
      <c r="D462" s="167" t="str">
        <f>VLOOKUP(IMSS[[#This Row],[NEM]],BDD[],2,0)</f>
        <v>Celestino Ceron Velazquez</v>
      </c>
      <c r="E462" s="167" t="str">
        <f>VLOOKUP(IMSS[[#This Row],[NEM]],BDD[],9,0)</f>
        <v>EXTERNOS</v>
      </c>
      <c r="F462" s="168">
        <v>30</v>
      </c>
      <c r="G462" s="139">
        <f>VLOOKUP(IMSS[[#This Row],[NEM]],BDD[],3,0)</f>
        <v>7445</v>
      </c>
      <c r="H462" s="139">
        <f ca="1">VLOOKUP(IMSS[[#This Row],[NEM]],BDD[],25,0)</f>
        <v>273.32328767123283</v>
      </c>
      <c r="I462" s="143">
        <f>VLOOKUP(IMSS[[#This Row],[DEPT]],$B$3:$G$49,6,0)</f>
        <v>5.4355000000000002E-3</v>
      </c>
      <c r="J462" s="163">
        <f ca="1">IMSS[[#This Row],[DIAS LAB]]*IMSS[[#This Row],[SDI]]*IMSS[[#This Row],[% RSG]]*$Q$108</f>
        <v>44.569461904109588</v>
      </c>
      <c r="K462" s="163">
        <f>IMSS[[#This Row],[DIAS LAB]]*$J$110*$Q$109</f>
        <v>548.47440000000006</v>
      </c>
      <c r="L462" s="166">
        <f ca="1">IMSS[[#This Row],[DIAS LAB]]*IF(IMSS[[#This Row],[SDI]]-$J$113&gt;0,IMSS[[#This Row],[SDI]]-$J$113,0)*$Q$110</f>
        <v>1.4728849315068304</v>
      </c>
      <c r="M462" s="166">
        <f ca="1">IMSS[[#This Row],[DIAS LAB]]*IMSS[[#This Row],[SDI]]*$Q$111</f>
        <v>86.096835616438355</v>
      </c>
      <c r="N462" s="163">
        <f ca="1">IMSS[[#This Row],[DIAS LAB]]*IMSS[[#This Row],[SDI]]*$Q$112</f>
        <v>57.397890410958901</v>
      </c>
      <c r="O462" s="166">
        <f ca="1">IMSS[[#This Row],[DIAS LAB]]*IMSS[[#This Row],[SDI]]*$Q$113</f>
        <v>143.49472602739726</v>
      </c>
      <c r="P462" s="163">
        <f ca="1">IMSS[[#This Row],[DIAS LAB]]*IMSS[[#This Row],[SDI]]*$Q$114</f>
        <v>81.996986301369859</v>
      </c>
      <c r="Q462" s="166">
        <f ca="1">IMSS[[#This Row],[DIAS LAB]]*IMSS[[#This Row],[SDI]]*$Q$115</f>
        <v>163.99397260273972</v>
      </c>
      <c r="R462" s="163">
        <f ca="1">IMSS[[#This Row],[DIAS LAB]]*IMSS[[#This Row],[SDI]]*$Q$116</f>
        <v>258.29050684931502</v>
      </c>
      <c r="S462" s="163">
        <f ca="1">IMSS[[#This Row],[DIAS LAB]]*IMSS[[#This Row],[SDI]]*$Q$117</f>
        <v>409.98493150684931</v>
      </c>
      <c r="T462" s="164">
        <f ca="1">SUM(IMSS[[#This Row],[P RSG TRB]:[P INFONAVIT]])</f>
        <v>1795.7725961506851</v>
      </c>
      <c r="U462" s="163">
        <f ca="1">IMSS[[#This Row],[DIAS LAB]]*IMSS[[#This Row],[SDI]]*IMSS[[#This Row],[% RSG]]*$R$108</f>
        <v>0</v>
      </c>
      <c r="V462" s="163">
        <f ca="1">IMSS[[#This Row],[DIAS LAB]]*IMSS[[#This Row],[SDI]]*$R$112</f>
        <v>20.499246575342465</v>
      </c>
      <c r="W462" s="163"/>
      <c r="X462" s="163">
        <f ca="1">IMSS[[#This Row],[DIAS LAB]]*IMSS[[#This Row],[SDI]]*$R$113</f>
        <v>51.658101369863004</v>
      </c>
      <c r="Y462" s="163">
        <f ca="1">IMSS[[#This Row],[DIAS LAB]]*IMSS[[#This Row],[SDI]]*$R$114</f>
        <v>0</v>
      </c>
      <c r="Z462" s="163">
        <f ca="1">IMSS[[#This Row],[DIAS LAB]]*IMSS[[#This Row],[SDI]]*$R$115</f>
        <v>0</v>
      </c>
      <c r="AA462" s="163">
        <f ca="1">IMSS[[#This Row],[DIAS LAB]]*IMSS[[#This Row],[SDI]]*$R$116</f>
        <v>92.656594520547927</v>
      </c>
      <c r="AB462" s="163">
        <f ca="1">IMSS[[#This Row],[DIAS LAB]]*IMSS[[#This Row],[SDI]]*$R$117</f>
        <v>0</v>
      </c>
      <c r="AC462" s="247">
        <f ca="1">SUM(IMSS[[#This Row],[O RSG TRB]:[O INFONAVIT]])</f>
        <v>164.8139424657534</v>
      </c>
      <c r="AD462" s="163"/>
      <c r="AE462" s="165">
        <f ca="1">IMSS[[#This Row],[P TOTAL]]+IMSS[[#This Row],[O TOTAL]]</f>
        <v>1960.5865386164385</v>
      </c>
      <c r="AF462" s="163"/>
      <c r="AG462" s="163">
        <f>VLOOKUP(IMSS[[#This Row],[SUE MENS]],$AG$110:$AJ$120,1,1)</f>
        <v>5470.93</v>
      </c>
      <c r="AH462" s="163">
        <f>IMSS[[#This Row],[SUE MENS]]-IMSS[[#This Row],[LIM INF]]</f>
        <v>1974.0699999999997</v>
      </c>
      <c r="AI462" s="163">
        <f>IMSS[[#This Row],[EXC LIM INF]]*(VLOOKUP(IMSS[[#This Row],[LIM INF]],$AG$110:$AJ$120,4,0))</f>
        <v>214.77881599999998</v>
      </c>
      <c r="AJ462" s="163">
        <f>VLOOKUP(IMSS[[#This Row],[LIM INF]],$AG$110:$AJ$120,3)</f>
        <v>321.26</v>
      </c>
      <c r="AK462" s="163">
        <f>SUM(IMSS[[#This Row],[TASA EXC]]+IMSS[[#This Row],[CUOTA FIJA]])</f>
        <v>536.038816</v>
      </c>
      <c r="AL462" s="163">
        <f>VLOOKUP(IMSS[[#This Row],[SUE MENS]],$AL$110:$AN$120,3,1)</f>
        <v>0</v>
      </c>
      <c r="AM462" s="248">
        <f>IF(IMSS[[#This Row],[ISR CARGO]]-IMSS[[#This Row],[SUBS ISR]]&gt;0,IMSS[[#This Row],[ISR CARGO]]-IMSS[[#This Row],[SUBS ISR]],0)</f>
        <v>536.038816</v>
      </c>
      <c r="AN462" s="248">
        <f>IF(IMSS[[#This Row],[SUBS ISR]]-IMSS[[#This Row],[ISR CARGO]]&gt;0,IMSS[[#This Row],[SUBS ISR]]-IMSS[[#This Row],[ISR CARGO]],0)</f>
        <v>0</v>
      </c>
    </row>
    <row r="463" spans="3:40" ht="15" hidden="1" customHeight="1" x14ac:dyDescent="0.25">
      <c r="C463" s="243">
        <v>524</v>
      </c>
      <c r="D463" s="167" t="str">
        <f>VLOOKUP(IMSS[[#This Row],[NEM]],BDD[],2,0)</f>
        <v>Victoria Edith Godínez Vélez</v>
      </c>
      <c r="E463" s="167" t="str">
        <f>VLOOKUP(IMSS[[#This Row],[NEM]],BDD[],9,0)</f>
        <v>AUDIT PROY</v>
      </c>
      <c r="F463" s="168">
        <v>30</v>
      </c>
      <c r="G463" s="139">
        <f>VLOOKUP(IMSS[[#This Row],[NEM]],BDD[],3,0)</f>
        <v>10860</v>
      </c>
      <c r="H463" s="139">
        <f ca="1">VLOOKUP(IMSS[[#This Row],[NEM]],BDD[],25,0)</f>
        <v>398.6958904109589</v>
      </c>
      <c r="I463" s="143">
        <f>VLOOKUP(IMSS[[#This Row],[DEPT]],$B$3:$G$49,6,0)</f>
        <v>1.130658E-2</v>
      </c>
      <c r="J463" s="163">
        <f ca="1">IMSS[[#This Row],[DIAS LAB]]*IMSS[[#This Row],[SDI]]*IMSS[[#This Row],[% RSG]]*$Q$108</f>
        <v>135.2366094180822</v>
      </c>
      <c r="K463" s="163">
        <f>IMSS[[#This Row],[DIAS LAB]]*$J$110*$Q$109</f>
        <v>548.47440000000006</v>
      </c>
      <c r="L463" s="166">
        <f ca="1">IMSS[[#This Row],[DIAS LAB]]*IF(IMSS[[#This Row],[SDI]]-$J$113&gt;0,IMSS[[#This Row],[SDI]]-$J$113,0)*$Q$110</f>
        <v>42.845843835616428</v>
      </c>
      <c r="M463" s="166">
        <f ca="1">IMSS[[#This Row],[DIAS LAB]]*IMSS[[#This Row],[SDI]]*$Q$111</f>
        <v>125.58920547945206</v>
      </c>
      <c r="N463" s="163">
        <f ca="1">IMSS[[#This Row],[DIAS LAB]]*IMSS[[#This Row],[SDI]]*$Q$112</f>
        <v>83.72613698630137</v>
      </c>
      <c r="O463" s="166">
        <f ca="1">IMSS[[#This Row],[DIAS LAB]]*IMSS[[#This Row],[SDI]]*$Q$113</f>
        <v>209.31534246575345</v>
      </c>
      <c r="P463" s="163">
        <f ca="1">IMSS[[#This Row],[DIAS LAB]]*IMSS[[#This Row],[SDI]]*$Q$114</f>
        <v>119.60876712328768</v>
      </c>
      <c r="Q463" s="166">
        <f ca="1">IMSS[[#This Row],[DIAS LAB]]*IMSS[[#This Row],[SDI]]*$Q$115</f>
        <v>239.21753424657535</v>
      </c>
      <c r="R463" s="163">
        <f ca="1">IMSS[[#This Row],[DIAS LAB]]*IMSS[[#This Row],[SDI]]*$Q$116</f>
        <v>376.76761643835619</v>
      </c>
      <c r="S463" s="163">
        <f ca="1">IMSS[[#This Row],[DIAS LAB]]*IMSS[[#This Row],[SDI]]*$Q$117</f>
        <v>598.0438356164384</v>
      </c>
      <c r="T463" s="164">
        <f ca="1">SUM(IMSS[[#This Row],[P RSG TRB]:[P INFONAVIT]])</f>
        <v>2478.8252916098627</v>
      </c>
      <c r="U463" s="163">
        <f ca="1">IMSS[[#This Row],[DIAS LAB]]*IMSS[[#This Row],[SDI]]*IMSS[[#This Row],[% RSG]]*$R$108</f>
        <v>0</v>
      </c>
      <c r="V463" s="163">
        <f ca="1">IMSS[[#This Row],[DIAS LAB]]*IMSS[[#This Row],[SDI]]*$R$112</f>
        <v>29.902191780821919</v>
      </c>
      <c r="W463" s="163"/>
      <c r="X463" s="163">
        <f ca="1">IMSS[[#This Row],[DIAS LAB]]*IMSS[[#This Row],[SDI]]*$R$113</f>
        <v>75.353523287671237</v>
      </c>
      <c r="Y463" s="163">
        <f ca="1">IMSS[[#This Row],[DIAS LAB]]*IMSS[[#This Row],[SDI]]*$R$114</f>
        <v>0</v>
      </c>
      <c r="Z463" s="163">
        <f ca="1">IMSS[[#This Row],[DIAS LAB]]*IMSS[[#This Row],[SDI]]*$R$115</f>
        <v>0</v>
      </c>
      <c r="AA463" s="163">
        <f ca="1">IMSS[[#This Row],[DIAS LAB]]*IMSS[[#This Row],[SDI]]*$R$116</f>
        <v>135.15790684931505</v>
      </c>
      <c r="AB463" s="163">
        <f ca="1">IMSS[[#This Row],[DIAS LAB]]*IMSS[[#This Row],[SDI]]*$R$117</f>
        <v>0</v>
      </c>
      <c r="AC463" s="247">
        <f ca="1">SUM(IMSS[[#This Row],[O RSG TRB]:[O INFONAVIT]])</f>
        <v>240.4136219178082</v>
      </c>
      <c r="AD463" s="163"/>
      <c r="AE463" s="165">
        <f ca="1">IMSS[[#This Row],[P TOTAL]]+IMSS[[#This Row],[O TOTAL]]</f>
        <v>2719.2389135276708</v>
      </c>
      <c r="AF463" s="163"/>
      <c r="AG463" s="163">
        <f>VLOOKUP(IMSS[[#This Row],[SUE MENS]],$AG$110:$AJ$120,1,1)</f>
        <v>9614.67</v>
      </c>
      <c r="AH463" s="163">
        <f>IMSS[[#This Row],[SUE MENS]]-IMSS[[#This Row],[LIM INF]]</f>
        <v>1245.33</v>
      </c>
      <c r="AI463" s="163">
        <f>IMSS[[#This Row],[EXC LIM INF]]*(VLOOKUP(IMSS[[#This Row],[LIM INF]],$AG$110:$AJ$120,4,0))</f>
        <v>199.25279999999998</v>
      </c>
      <c r="AJ463" s="163">
        <f>VLOOKUP(IMSS[[#This Row],[LIM INF]],$AG$110:$AJ$120,3)</f>
        <v>772.1</v>
      </c>
      <c r="AK463" s="163">
        <f>SUM(IMSS[[#This Row],[TASA EXC]]+IMSS[[#This Row],[CUOTA FIJA]])</f>
        <v>971.3528</v>
      </c>
      <c r="AL463" s="163">
        <f>VLOOKUP(IMSS[[#This Row],[SUE MENS]],$AL$110:$AN$120,3,1)</f>
        <v>0</v>
      </c>
      <c r="AM463" s="248">
        <f>IF(IMSS[[#This Row],[ISR CARGO]]-IMSS[[#This Row],[SUBS ISR]]&gt;0,IMSS[[#This Row],[ISR CARGO]]-IMSS[[#This Row],[SUBS ISR]],0)</f>
        <v>971.3528</v>
      </c>
      <c r="AN463" s="248">
        <f>IF(IMSS[[#This Row],[SUBS ISR]]-IMSS[[#This Row],[ISR CARGO]]&gt;0,IMSS[[#This Row],[SUBS ISR]]-IMSS[[#This Row],[ISR CARGO]],0)</f>
        <v>0</v>
      </c>
    </row>
    <row r="464" spans="3:40" ht="15" hidden="1" customHeight="1" x14ac:dyDescent="0.25">
      <c r="C464" s="243">
        <v>525</v>
      </c>
      <c r="D464" s="167" t="str">
        <f>VLOOKUP(IMSS[[#This Row],[NEM]],BDD[],2,0)</f>
        <v>Gregoria Diaz Ramirez</v>
      </c>
      <c r="E464" s="167" t="str">
        <f>VLOOKUP(IMSS[[#This Row],[NEM]],BDD[],9,0)</f>
        <v>AUDIT ADMN</v>
      </c>
      <c r="F464" s="168">
        <v>30</v>
      </c>
      <c r="G464" s="139">
        <f>VLOOKUP(IMSS[[#This Row],[NEM]],BDD[],3,0)</f>
        <v>10860</v>
      </c>
      <c r="H464" s="139">
        <f ca="1">VLOOKUP(IMSS[[#This Row],[NEM]],BDD[],25,0)</f>
        <v>398.6958904109589</v>
      </c>
      <c r="I464" s="143">
        <f>VLOOKUP(IMSS[[#This Row],[DEPT]],$B$3:$G$49,6,0)</f>
        <v>5.4355000000000002E-3</v>
      </c>
      <c r="J464" s="163">
        <f ca="1">IMSS[[#This Row],[DIAS LAB]]*IMSS[[#This Row],[SDI]]*IMSS[[#This Row],[% RSG]]*$Q$108</f>
        <v>65.013345369863018</v>
      </c>
      <c r="K464" s="163">
        <f>IMSS[[#This Row],[DIAS LAB]]*$J$110*$Q$109</f>
        <v>548.47440000000006</v>
      </c>
      <c r="L464" s="166">
        <f ca="1">IMSS[[#This Row],[DIAS LAB]]*IF(IMSS[[#This Row],[SDI]]-$J$113&gt;0,IMSS[[#This Row],[SDI]]-$J$113,0)*$Q$110</f>
        <v>42.845843835616428</v>
      </c>
      <c r="M464" s="166">
        <f ca="1">IMSS[[#This Row],[DIAS LAB]]*IMSS[[#This Row],[SDI]]*$Q$111</f>
        <v>125.58920547945206</v>
      </c>
      <c r="N464" s="163">
        <f ca="1">IMSS[[#This Row],[DIAS LAB]]*IMSS[[#This Row],[SDI]]*$Q$112</f>
        <v>83.72613698630137</v>
      </c>
      <c r="O464" s="166">
        <f ca="1">IMSS[[#This Row],[DIAS LAB]]*IMSS[[#This Row],[SDI]]*$Q$113</f>
        <v>209.31534246575345</v>
      </c>
      <c r="P464" s="163">
        <f ca="1">IMSS[[#This Row],[DIAS LAB]]*IMSS[[#This Row],[SDI]]*$Q$114</f>
        <v>119.60876712328768</v>
      </c>
      <c r="Q464" s="166">
        <f ca="1">IMSS[[#This Row],[DIAS LAB]]*IMSS[[#This Row],[SDI]]*$Q$115</f>
        <v>239.21753424657535</v>
      </c>
      <c r="R464" s="163">
        <f ca="1">IMSS[[#This Row],[DIAS LAB]]*IMSS[[#This Row],[SDI]]*$Q$116</f>
        <v>376.76761643835619</v>
      </c>
      <c r="S464" s="163">
        <f ca="1">IMSS[[#This Row],[DIAS LAB]]*IMSS[[#This Row],[SDI]]*$Q$117</f>
        <v>598.0438356164384</v>
      </c>
      <c r="T464" s="164">
        <f ca="1">SUM(IMSS[[#This Row],[P RSG TRB]:[P INFONAVIT]])</f>
        <v>2408.6020275616438</v>
      </c>
      <c r="U464" s="163">
        <f ca="1">IMSS[[#This Row],[DIAS LAB]]*IMSS[[#This Row],[SDI]]*IMSS[[#This Row],[% RSG]]*$R$108</f>
        <v>0</v>
      </c>
      <c r="V464" s="163">
        <f ca="1">IMSS[[#This Row],[DIAS LAB]]*IMSS[[#This Row],[SDI]]*$R$112</f>
        <v>29.902191780821919</v>
      </c>
      <c r="W464" s="163"/>
      <c r="X464" s="163">
        <f ca="1">IMSS[[#This Row],[DIAS LAB]]*IMSS[[#This Row],[SDI]]*$R$113</f>
        <v>75.353523287671237</v>
      </c>
      <c r="Y464" s="163">
        <f ca="1">IMSS[[#This Row],[DIAS LAB]]*IMSS[[#This Row],[SDI]]*$R$114</f>
        <v>0</v>
      </c>
      <c r="Z464" s="163">
        <f ca="1">IMSS[[#This Row],[DIAS LAB]]*IMSS[[#This Row],[SDI]]*$R$115</f>
        <v>0</v>
      </c>
      <c r="AA464" s="163">
        <f ca="1">IMSS[[#This Row],[DIAS LAB]]*IMSS[[#This Row],[SDI]]*$R$116</f>
        <v>135.15790684931505</v>
      </c>
      <c r="AB464" s="163">
        <f ca="1">IMSS[[#This Row],[DIAS LAB]]*IMSS[[#This Row],[SDI]]*$R$117</f>
        <v>0</v>
      </c>
      <c r="AC464" s="247">
        <f ca="1">SUM(IMSS[[#This Row],[O RSG TRB]:[O INFONAVIT]])</f>
        <v>240.4136219178082</v>
      </c>
      <c r="AD464" s="163"/>
      <c r="AE464" s="165">
        <f ca="1">IMSS[[#This Row],[P TOTAL]]+IMSS[[#This Row],[O TOTAL]]</f>
        <v>2649.0156494794519</v>
      </c>
      <c r="AF464" s="163"/>
      <c r="AG464" s="163">
        <f>VLOOKUP(IMSS[[#This Row],[SUE MENS]],$AG$110:$AJ$120,1,1)</f>
        <v>9614.67</v>
      </c>
      <c r="AH464" s="163">
        <f>IMSS[[#This Row],[SUE MENS]]-IMSS[[#This Row],[LIM INF]]</f>
        <v>1245.33</v>
      </c>
      <c r="AI464" s="163">
        <f>IMSS[[#This Row],[EXC LIM INF]]*(VLOOKUP(IMSS[[#This Row],[LIM INF]],$AG$110:$AJ$120,4,0))</f>
        <v>199.25279999999998</v>
      </c>
      <c r="AJ464" s="163">
        <f>VLOOKUP(IMSS[[#This Row],[LIM INF]],$AG$110:$AJ$120,3)</f>
        <v>772.1</v>
      </c>
      <c r="AK464" s="163">
        <f>SUM(IMSS[[#This Row],[TASA EXC]]+IMSS[[#This Row],[CUOTA FIJA]])</f>
        <v>971.3528</v>
      </c>
      <c r="AL464" s="163">
        <f>VLOOKUP(IMSS[[#This Row],[SUE MENS]],$AL$110:$AN$120,3,1)</f>
        <v>0</v>
      </c>
      <c r="AM464" s="248">
        <f>IF(IMSS[[#This Row],[ISR CARGO]]-IMSS[[#This Row],[SUBS ISR]]&gt;0,IMSS[[#This Row],[ISR CARGO]]-IMSS[[#This Row],[SUBS ISR]],0)</f>
        <v>971.3528</v>
      </c>
      <c r="AN464" s="248">
        <f>IF(IMSS[[#This Row],[SUBS ISR]]-IMSS[[#This Row],[ISR CARGO]]&gt;0,IMSS[[#This Row],[SUBS ISR]]-IMSS[[#This Row],[ISR CARGO]],0)</f>
        <v>0</v>
      </c>
    </row>
    <row r="465" spans="3:40" ht="15" hidden="1" customHeight="1" x14ac:dyDescent="0.25">
      <c r="C465" s="243">
        <v>526</v>
      </c>
      <c r="D465" s="167" t="str">
        <f>VLOOKUP(IMSS[[#This Row],[NEM]],BDD[],2,0)</f>
        <v>Citlaly Yoryeth Segundo Martinez</v>
      </c>
      <c r="E465" s="167" t="str">
        <f>VLOOKUP(IMSS[[#This Row],[NEM]],BDD[],9,0)</f>
        <v>CONTROL</v>
      </c>
      <c r="F465" s="168">
        <v>30</v>
      </c>
      <c r="G465" s="139">
        <f>VLOOKUP(IMSS[[#This Row],[NEM]],BDD[],3,0)</f>
        <v>27150</v>
      </c>
      <c r="H465" s="139">
        <f ca="1">VLOOKUP(IMSS[[#This Row],[NEM]],BDD[],25,0)</f>
        <v>996.73972602739718</v>
      </c>
      <c r="I465" s="143">
        <f>VLOOKUP(IMSS[[#This Row],[DEPT]],$B$3:$G$49,6,0)</f>
        <v>5.4355000000000002E-3</v>
      </c>
      <c r="J465" s="163">
        <f ca="1">IMSS[[#This Row],[DIAS LAB]]*IMSS[[#This Row],[SDI]]*IMSS[[#This Row],[% RSG]]*$Q$108</f>
        <v>162.53336342465752</v>
      </c>
      <c r="K465" s="163">
        <f>IMSS[[#This Row],[DIAS LAB]]*$J$110*$Q$109</f>
        <v>548.47440000000006</v>
      </c>
      <c r="L465" s="166">
        <f ca="1">IMSS[[#This Row],[DIAS LAB]]*IF(IMSS[[#This Row],[SDI]]-$J$113&gt;0,IMSS[[#This Row],[SDI]]-$J$113,0)*$Q$110</f>
        <v>240.20030958904107</v>
      </c>
      <c r="M465" s="166">
        <f ca="1">IMSS[[#This Row],[DIAS LAB]]*IMSS[[#This Row],[SDI]]*$Q$111</f>
        <v>313.97301369863015</v>
      </c>
      <c r="N465" s="163">
        <f ca="1">IMSS[[#This Row],[DIAS LAB]]*IMSS[[#This Row],[SDI]]*$Q$112</f>
        <v>209.31534246575342</v>
      </c>
      <c r="O465" s="166">
        <f ca="1">IMSS[[#This Row],[DIAS LAB]]*IMSS[[#This Row],[SDI]]*$Q$113</f>
        <v>523.28835616438357</v>
      </c>
      <c r="P465" s="163">
        <f ca="1">IMSS[[#This Row],[DIAS LAB]]*IMSS[[#This Row],[SDI]]*$Q$114</f>
        <v>299.02191780821914</v>
      </c>
      <c r="Q465" s="166">
        <f ca="1">IMSS[[#This Row],[DIAS LAB]]*IMSS[[#This Row],[SDI]]*$Q$115</f>
        <v>598.04383561643829</v>
      </c>
      <c r="R465" s="163">
        <f ca="1">IMSS[[#This Row],[DIAS LAB]]*IMSS[[#This Row],[SDI]]*$Q$116</f>
        <v>941.91904109589029</v>
      </c>
      <c r="S465" s="163">
        <f ca="1">IMSS[[#This Row],[DIAS LAB]]*IMSS[[#This Row],[SDI]]*$Q$117</f>
        <v>1495.1095890410959</v>
      </c>
      <c r="T465" s="164">
        <f ca="1">SUM(IMSS[[#This Row],[P RSG TRB]:[P INFONAVIT]])</f>
        <v>5331.87916890411</v>
      </c>
      <c r="U465" s="163">
        <f ca="1">IMSS[[#This Row],[DIAS LAB]]*IMSS[[#This Row],[SDI]]*IMSS[[#This Row],[% RSG]]*$R$108</f>
        <v>0</v>
      </c>
      <c r="V465" s="163">
        <f ca="1">IMSS[[#This Row],[DIAS LAB]]*IMSS[[#This Row],[SDI]]*$R$112</f>
        <v>74.755479452054786</v>
      </c>
      <c r="W465" s="163"/>
      <c r="X465" s="163">
        <f ca="1">IMSS[[#This Row],[DIAS LAB]]*IMSS[[#This Row],[SDI]]*$R$113</f>
        <v>188.38380821917806</v>
      </c>
      <c r="Y465" s="163">
        <f ca="1">IMSS[[#This Row],[DIAS LAB]]*IMSS[[#This Row],[SDI]]*$R$114</f>
        <v>0</v>
      </c>
      <c r="Z465" s="163">
        <f ca="1">IMSS[[#This Row],[DIAS LAB]]*IMSS[[#This Row],[SDI]]*$R$115</f>
        <v>0</v>
      </c>
      <c r="AA465" s="163">
        <f ca="1">IMSS[[#This Row],[DIAS LAB]]*IMSS[[#This Row],[SDI]]*$R$116</f>
        <v>337.89476712328764</v>
      </c>
      <c r="AB465" s="163">
        <f ca="1">IMSS[[#This Row],[DIAS LAB]]*IMSS[[#This Row],[SDI]]*$R$117</f>
        <v>0</v>
      </c>
      <c r="AC465" s="247">
        <f ca="1">SUM(IMSS[[#This Row],[O RSG TRB]:[O INFONAVIT]])</f>
        <v>601.03405479452044</v>
      </c>
      <c r="AD465" s="163"/>
      <c r="AE465" s="165">
        <f ca="1">IMSS[[#This Row],[P TOTAL]]+IMSS[[#This Row],[O TOTAL]]</f>
        <v>5932.9132236986306</v>
      </c>
      <c r="AF465" s="163"/>
      <c r="AG465" s="163">
        <f>VLOOKUP(IMSS[[#This Row],[SUE MENS]],$AG$110:$AJ$120,1,1)</f>
        <v>26988.51</v>
      </c>
      <c r="AH465" s="163">
        <f>IMSS[[#This Row],[SUE MENS]]-IMSS[[#This Row],[LIM INF]]</f>
        <v>161.4900000000016</v>
      </c>
      <c r="AI465" s="163">
        <f>IMSS[[#This Row],[EXC LIM INF]]*(VLOOKUP(IMSS[[#This Row],[LIM INF]],$AG$110:$AJ$120,4,0))</f>
        <v>37.982448000000375</v>
      </c>
      <c r="AJ465" s="163">
        <f>VLOOKUP(IMSS[[#This Row],[LIM INF]],$AG$110:$AJ$120,3)</f>
        <v>4323.58</v>
      </c>
      <c r="AK465" s="163">
        <f>SUM(IMSS[[#This Row],[TASA EXC]]+IMSS[[#This Row],[CUOTA FIJA]])</f>
        <v>4361.5624480000006</v>
      </c>
      <c r="AL465" s="163">
        <f>VLOOKUP(IMSS[[#This Row],[SUE MENS]],$AL$110:$AN$120,3,1)</f>
        <v>0</v>
      </c>
      <c r="AM465" s="248">
        <f>IF(IMSS[[#This Row],[ISR CARGO]]-IMSS[[#This Row],[SUBS ISR]]&gt;0,IMSS[[#This Row],[ISR CARGO]]-IMSS[[#This Row],[SUBS ISR]],0)</f>
        <v>4361.5624480000006</v>
      </c>
      <c r="AN465" s="248">
        <f>IF(IMSS[[#This Row],[SUBS ISR]]-IMSS[[#This Row],[ISR CARGO]]&gt;0,IMSS[[#This Row],[SUBS ISR]]-IMSS[[#This Row],[ISR CARGO]],0)</f>
        <v>0</v>
      </c>
    </row>
    <row r="466" spans="3:40" ht="15" hidden="1" customHeight="1" x14ac:dyDescent="0.25">
      <c r="C466" s="243">
        <v>527</v>
      </c>
      <c r="D466" s="167" t="str">
        <f>VLOOKUP(IMSS[[#This Row],[NEM]],BDD[],2,0)</f>
        <v>Reyna Esthela Collazo Mariscal</v>
      </c>
      <c r="E466" s="167" t="str">
        <f>VLOOKUP(IMSS[[#This Row],[NEM]],BDD[],9,0)</f>
        <v>SOFTWARE</v>
      </c>
      <c r="F466" s="168">
        <v>30</v>
      </c>
      <c r="G466" s="139">
        <f>VLOOKUP(IMSS[[#This Row],[NEM]],BDD[],3,0)</f>
        <v>7950</v>
      </c>
      <c r="H466" s="139">
        <f ca="1">VLOOKUP(IMSS[[#This Row],[NEM]],BDD[],25,0)</f>
        <v>291.86301369863014</v>
      </c>
      <c r="I466" s="143">
        <f>VLOOKUP(IMSS[[#This Row],[DEPT]],$B$3:$G$49,6,0)</f>
        <v>1.130658E-2</v>
      </c>
      <c r="J466" s="163">
        <f ca="1">IMSS[[#This Row],[DIAS LAB]]*IMSS[[#This Row],[SDI]]*IMSS[[#This Row],[% RSG]]*$Q$108</f>
        <v>98.999175402739723</v>
      </c>
      <c r="K466" s="163">
        <f>IMSS[[#This Row],[DIAS LAB]]*$J$110*$Q$109</f>
        <v>548.47440000000006</v>
      </c>
      <c r="L466" s="166">
        <f ca="1">IMSS[[#This Row],[DIAS LAB]]*IF(IMSS[[#This Row],[SDI]]-$J$113&gt;0,IMSS[[#This Row],[SDI]]-$J$113,0)*$Q$110</f>
        <v>7.5909945205479419</v>
      </c>
      <c r="M466" s="166">
        <f ca="1">IMSS[[#This Row],[DIAS LAB]]*IMSS[[#This Row],[SDI]]*$Q$111</f>
        <v>91.9368493150685</v>
      </c>
      <c r="N466" s="163">
        <f ca="1">IMSS[[#This Row],[DIAS LAB]]*IMSS[[#This Row],[SDI]]*$Q$112</f>
        <v>61.291232876712328</v>
      </c>
      <c r="O466" s="166">
        <f ca="1">IMSS[[#This Row],[DIAS LAB]]*IMSS[[#This Row],[SDI]]*$Q$113</f>
        <v>153.22808219178083</v>
      </c>
      <c r="P466" s="163">
        <f ca="1">IMSS[[#This Row],[DIAS LAB]]*IMSS[[#This Row],[SDI]]*$Q$114</f>
        <v>87.558904109589037</v>
      </c>
      <c r="Q466" s="166">
        <f ca="1">IMSS[[#This Row],[DIAS LAB]]*IMSS[[#This Row],[SDI]]*$Q$115</f>
        <v>175.11780821917807</v>
      </c>
      <c r="R466" s="163">
        <f ca="1">IMSS[[#This Row],[DIAS LAB]]*IMSS[[#This Row],[SDI]]*$Q$116</f>
        <v>275.81054794520549</v>
      </c>
      <c r="S466" s="163">
        <f ca="1">IMSS[[#This Row],[DIAS LAB]]*IMSS[[#This Row],[SDI]]*$Q$117</f>
        <v>437.79452054794524</v>
      </c>
      <c r="T466" s="164">
        <f ca="1">SUM(IMSS[[#This Row],[P RSG TRB]:[P INFONAVIT]])</f>
        <v>1937.8025151287673</v>
      </c>
      <c r="U466" s="163">
        <f ca="1">IMSS[[#This Row],[DIAS LAB]]*IMSS[[#This Row],[SDI]]*IMSS[[#This Row],[% RSG]]*$R$108</f>
        <v>0</v>
      </c>
      <c r="V466" s="163">
        <f ca="1">IMSS[[#This Row],[DIAS LAB]]*IMSS[[#This Row],[SDI]]*$R$112</f>
        <v>21.889726027397259</v>
      </c>
      <c r="W466" s="163"/>
      <c r="X466" s="163">
        <f ca="1">IMSS[[#This Row],[DIAS LAB]]*IMSS[[#This Row],[SDI]]*$R$113</f>
        <v>55.162109589041094</v>
      </c>
      <c r="Y466" s="163">
        <f ca="1">IMSS[[#This Row],[DIAS LAB]]*IMSS[[#This Row],[SDI]]*$R$114</f>
        <v>0</v>
      </c>
      <c r="Z466" s="163">
        <f ca="1">IMSS[[#This Row],[DIAS LAB]]*IMSS[[#This Row],[SDI]]*$R$115</f>
        <v>0</v>
      </c>
      <c r="AA466" s="163">
        <f ca="1">IMSS[[#This Row],[DIAS LAB]]*IMSS[[#This Row],[SDI]]*$R$116</f>
        <v>98.941561643835612</v>
      </c>
      <c r="AB466" s="163">
        <f ca="1">IMSS[[#This Row],[DIAS LAB]]*IMSS[[#This Row],[SDI]]*$R$117</f>
        <v>0</v>
      </c>
      <c r="AC466" s="247">
        <f ca="1">SUM(IMSS[[#This Row],[O RSG TRB]:[O INFONAVIT]])</f>
        <v>175.99339726027398</v>
      </c>
      <c r="AD466" s="163"/>
      <c r="AE466" s="165">
        <f ca="1">IMSS[[#This Row],[P TOTAL]]+IMSS[[#This Row],[O TOTAL]]</f>
        <v>2113.7959123890414</v>
      </c>
      <c r="AF466" s="163"/>
      <c r="AG466" s="163">
        <f>VLOOKUP(IMSS[[#This Row],[SUE MENS]],$AG$110:$AJ$120,1,1)</f>
        <v>5470.93</v>
      </c>
      <c r="AH466" s="163">
        <f>IMSS[[#This Row],[SUE MENS]]-IMSS[[#This Row],[LIM INF]]</f>
        <v>2479.0699999999997</v>
      </c>
      <c r="AI466" s="163">
        <f>IMSS[[#This Row],[EXC LIM INF]]*(VLOOKUP(IMSS[[#This Row],[LIM INF]],$AG$110:$AJ$120,4,0))</f>
        <v>269.72281599999997</v>
      </c>
      <c r="AJ466" s="163">
        <f>VLOOKUP(IMSS[[#This Row],[LIM INF]],$AG$110:$AJ$120,3)</f>
        <v>321.26</v>
      </c>
      <c r="AK466" s="163">
        <f>SUM(IMSS[[#This Row],[TASA EXC]]+IMSS[[#This Row],[CUOTA FIJA]])</f>
        <v>590.98281599999996</v>
      </c>
      <c r="AL466" s="163">
        <f>VLOOKUP(IMSS[[#This Row],[SUE MENS]],$AL$110:$AN$120,3,1)</f>
        <v>0</v>
      </c>
      <c r="AM466" s="248">
        <f>IF(IMSS[[#This Row],[ISR CARGO]]-IMSS[[#This Row],[SUBS ISR]]&gt;0,IMSS[[#This Row],[ISR CARGO]]-IMSS[[#This Row],[SUBS ISR]],0)</f>
        <v>590.98281599999996</v>
      </c>
      <c r="AN466" s="248">
        <f>IF(IMSS[[#This Row],[SUBS ISR]]-IMSS[[#This Row],[ISR CARGO]]&gt;0,IMSS[[#This Row],[SUBS ISR]]-IMSS[[#This Row],[ISR CARGO]],0)</f>
        <v>0</v>
      </c>
    </row>
    <row r="467" spans="3:40" ht="15" hidden="1" customHeight="1" x14ac:dyDescent="0.25">
      <c r="C467" s="243">
        <v>528</v>
      </c>
      <c r="D467" s="167" t="str">
        <f>VLOOKUP(IMSS[[#This Row],[NEM]],BDD[],2,0)</f>
        <v>Laura Abril Serna Olea</v>
      </c>
      <c r="E467" s="167" t="str">
        <f>VLOOKUP(IMSS[[#This Row],[NEM]],BDD[],9,0)</f>
        <v>MATERIALES</v>
      </c>
      <c r="F467" s="168">
        <v>30</v>
      </c>
      <c r="G467" s="139">
        <f>VLOOKUP(IMSS[[#This Row],[NEM]],BDD[],3,0)</f>
        <v>9541</v>
      </c>
      <c r="H467" s="139">
        <f ca="1">VLOOKUP(IMSS[[#This Row],[NEM]],BDD[],25,0)</f>
        <v>350.27232876712327</v>
      </c>
      <c r="I467" s="143">
        <f>VLOOKUP(IMSS[[#This Row],[DEPT]],$B$3:$G$49,6,0)</f>
        <v>4.6532499999999997E-2</v>
      </c>
      <c r="J467" s="163">
        <f ca="1">IMSS[[#This Row],[DIAS LAB]]*IMSS[[#This Row],[SDI]]*IMSS[[#This Row],[% RSG]]*$Q$108</f>
        <v>488.97141415068489</v>
      </c>
      <c r="K467" s="163">
        <f>IMSS[[#This Row],[DIAS LAB]]*$J$110*$Q$109</f>
        <v>548.47440000000006</v>
      </c>
      <c r="L467" s="166">
        <f ca="1">IMSS[[#This Row],[DIAS LAB]]*IF(IMSS[[#This Row],[SDI]]-$J$113&gt;0,IMSS[[#This Row],[SDI]]-$J$113,0)*$Q$110</f>
        <v>26.866068493150674</v>
      </c>
      <c r="M467" s="166">
        <f ca="1">IMSS[[#This Row],[DIAS LAB]]*IMSS[[#This Row],[SDI]]*$Q$111</f>
        <v>110.33578356164384</v>
      </c>
      <c r="N467" s="163">
        <f ca="1">IMSS[[#This Row],[DIAS LAB]]*IMSS[[#This Row],[SDI]]*$Q$112</f>
        <v>73.557189041095882</v>
      </c>
      <c r="O467" s="166">
        <f ca="1">IMSS[[#This Row],[DIAS LAB]]*IMSS[[#This Row],[SDI]]*$Q$113</f>
        <v>183.89297260273972</v>
      </c>
      <c r="P467" s="163">
        <f ca="1">IMSS[[#This Row],[DIAS LAB]]*IMSS[[#This Row],[SDI]]*$Q$114</f>
        <v>105.08169863013698</v>
      </c>
      <c r="Q467" s="166">
        <f ca="1">IMSS[[#This Row],[DIAS LAB]]*IMSS[[#This Row],[SDI]]*$Q$115</f>
        <v>210.16339726027397</v>
      </c>
      <c r="R467" s="163">
        <f ca="1">IMSS[[#This Row],[DIAS LAB]]*IMSS[[#This Row],[SDI]]*$Q$116</f>
        <v>331.00735068493151</v>
      </c>
      <c r="S467" s="163">
        <f ca="1">IMSS[[#This Row],[DIAS LAB]]*IMSS[[#This Row],[SDI]]*$Q$117</f>
        <v>525.40849315068488</v>
      </c>
      <c r="T467" s="164">
        <f ca="1">SUM(IMSS[[#This Row],[P RSG TRB]:[P INFONAVIT]])</f>
        <v>2603.7587675753425</v>
      </c>
      <c r="U467" s="163">
        <f ca="1">IMSS[[#This Row],[DIAS LAB]]*IMSS[[#This Row],[SDI]]*IMSS[[#This Row],[% RSG]]*$R$108</f>
        <v>0</v>
      </c>
      <c r="V467" s="163">
        <f ca="1">IMSS[[#This Row],[DIAS LAB]]*IMSS[[#This Row],[SDI]]*$R$112</f>
        <v>26.270424657534246</v>
      </c>
      <c r="W467" s="163"/>
      <c r="X467" s="163">
        <f ca="1">IMSS[[#This Row],[DIAS LAB]]*IMSS[[#This Row],[SDI]]*$R$113</f>
        <v>66.201470136986302</v>
      </c>
      <c r="Y467" s="163">
        <f ca="1">IMSS[[#This Row],[DIAS LAB]]*IMSS[[#This Row],[SDI]]*$R$114</f>
        <v>0</v>
      </c>
      <c r="Z467" s="163">
        <f ca="1">IMSS[[#This Row],[DIAS LAB]]*IMSS[[#This Row],[SDI]]*$R$115</f>
        <v>0</v>
      </c>
      <c r="AA467" s="163">
        <f ca="1">IMSS[[#This Row],[DIAS LAB]]*IMSS[[#This Row],[SDI]]*$R$116</f>
        <v>118.74231945205479</v>
      </c>
      <c r="AB467" s="163">
        <f ca="1">IMSS[[#This Row],[DIAS LAB]]*IMSS[[#This Row],[SDI]]*$R$117</f>
        <v>0</v>
      </c>
      <c r="AC467" s="247">
        <f ca="1">SUM(IMSS[[#This Row],[O RSG TRB]:[O INFONAVIT]])</f>
        <v>211.21421424657535</v>
      </c>
      <c r="AD467" s="163"/>
      <c r="AE467" s="165">
        <f ca="1">IMSS[[#This Row],[P TOTAL]]+IMSS[[#This Row],[O TOTAL]]</f>
        <v>2814.972981821918</v>
      </c>
      <c r="AF467" s="163"/>
      <c r="AG467" s="163">
        <f>VLOOKUP(IMSS[[#This Row],[SUE MENS]],$AG$110:$AJ$120,1,1)</f>
        <v>5470.93</v>
      </c>
      <c r="AH467" s="163">
        <f>IMSS[[#This Row],[SUE MENS]]-IMSS[[#This Row],[LIM INF]]</f>
        <v>4070.0699999999997</v>
      </c>
      <c r="AI467" s="163">
        <f>IMSS[[#This Row],[EXC LIM INF]]*(VLOOKUP(IMSS[[#This Row],[LIM INF]],$AG$110:$AJ$120,4,0))</f>
        <v>442.82361600000002</v>
      </c>
      <c r="AJ467" s="163">
        <f>VLOOKUP(IMSS[[#This Row],[LIM INF]],$AG$110:$AJ$120,3)</f>
        <v>321.26</v>
      </c>
      <c r="AK467" s="163">
        <f>SUM(IMSS[[#This Row],[TASA EXC]]+IMSS[[#This Row],[CUOTA FIJA]])</f>
        <v>764.08361600000001</v>
      </c>
      <c r="AL467" s="163">
        <f>VLOOKUP(IMSS[[#This Row],[SUE MENS]],$AL$110:$AN$120,3,1)</f>
        <v>0</v>
      </c>
      <c r="AM467" s="248">
        <f>IF(IMSS[[#This Row],[ISR CARGO]]-IMSS[[#This Row],[SUBS ISR]]&gt;0,IMSS[[#This Row],[ISR CARGO]]-IMSS[[#This Row],[SUBS ISR]],0)</f>
        <v>764.08361600000001</v>
      </c>
      <c r="AN467" s="248">
        <f>IF(IMSS[[#This Row],[SUBS ISR]]-IMSS[[#This Row],[ISR CARGO]]&gt;0,IMSS[[#This Row],[SUBS ISR]]-IMSS[[#This Row],[ISR CARGO]],0)</f>
        <v>0</v>
      </c>
    </row>
    <row r="468" spans="3:40" ht="15" hidden="1" customHeight="1" x14ac:dyDescent="0.25">
      <c r="C468" s="243">
        <v>529</v>
      </c>
      <c r="D468" s="167" t="str">
        <f>VLOOKUP(IMSS[[#This Row],[NEM]],BDD[],2,0)</f>
        <v>Fatima Guadalupe Castillo Martinez</v>
      </c>
      <c r="E468" s="167" t="str">
        <f>VLOOKUP(IMSS[[#This Row],[NEM]],BDD[],9,0)</f>
        <v>EQUIPOS</v>
      </c>
      <c r="F468" s="168">
        <v>30</v>
      </c>
      <c r="G468" s="139">
        <f>VLOOKUP(IMSS[[#This Row],[NEM]],BDD[],3,0)</f>
        <v>6778</v>
      </c>
      <c r="H468" s="139">
        <f ca="1">VLOOKUP(IMSS[[#This Row],[NEM]],BDD[],25,0)</f>
        <v>237.38474885844749</v>
      </c>
      <c r="I468" s="143">
        <f>VLOOKUP(IMSS[[#This Row],[DEPT]],$B$3:$G$49,6,0)</f>
        <v>1.130658E-2</v>
      </c>
      <c r="J468" s="163">
        <f ca="1">IMSS[[#This Row],[DIAS LAB]]*IMSS[[#This Row],[SDI]]*IMSS[[#This Row],[% RSG]]*$Q$108</f>
        <v>80.520289612438361</v>
      </c>
      <c r="K468" s="163">
        <f>IMSS[[#This Row],[DIAS LAB]]*$J$110*$Q$109</f>
        <v>548.47440000000006</v>
      </c>
      <c r="L468" s="166">
        <f ca="1">IMSS[[#This Row],[DIAS LAB]]*IF(IMSS[[#This Row],[SDI]]-$J$113&gt;0,IMSS[[#This Row],[SDI]]-$J$113,0)*$Q$110</f>
        <v>0</v>
      </c>
      <c r="M468" s="166">
        <f ca="1">IMSS[[#This Row],[DIAS LAB]]*IMSS[[#This Row],[SDI]]*$Q$111</f>
        <v>74.77619589041096</v>
      </c>
      <c r="N468" s="163">
        <f ca="1">IMSS[[#This Row],[DIAS LAB]]*IMSS[[#This Row],[SDI]]*$Q$112</f>
        <v>49.850797260273978</v>
      </c>
      <c r="O468" s="166">
        <f ca="1">IMSS[[#This Row],[DIAS LAB]]*IMSS[[#This Row],[SDI]]*$Q$113</f>
        <v>124.62699315068495</v>
      </c>
      <c r="P468" s="163">
        <f ca="1">IMSS[[#This Row],[DIAS LAB]]*IMSS[[#This Row],[SDI]]*$Q$114</f>
        <v>71.215424657534257</v>
      </c>
      <c r="Q468" s="166">
        <f ca="1">IMSS[[#This Row],[DIAS LAB]]*IMSS[[#This Row],[SDI]]*$Q$115</f>
        <v>142.43084931506851</v>
      </c>
      <c r="R468" s="163">
        <f ca="1">IMSS[[#This Row],[DIAS LAB]]*IMSS[[#This Row],[SDI]]*$Q$116</f>
        <v>224.3285876712329</v>
      </c>
      <c r="S468" s="163">
        <f ca="1">IMSS[[#This Row],[DIAS LAB]]*IMSS[[#This Row],[SDI]]*$Q$117</f>
        <v>356.07712328767127</v>
      </c>
      <c r="T468" s="164">
        <f ca="1">SUM(IMSS[[#This Row],[P RSG TRB]:[P INFONAVIT]])</f>
        <v>1672.3006608453152</v>
      </c>
      <c r="U468" s="163">
        <f ca="1">IMSS[[#This Row],[DIAS LAB]]*IMSS[[#This Row],[SDI]]*IMSS[[#This Row],[% RSG]]*$R$108</f>
        <v>0</v>
      </c>
      <c r="V468" s="163">
        <f ca="1">IMSS[[#This Row],[DIAS LAB]]*IMSS[[#This Row],[SDI]]*$R$112</f>
        <v>17.803856164383564</v>
      </c>
      <c r="W468" s="163"/>
      <c r="X468" s="163">
        <f ca="1">IMSS[[#This Row],[DIAS LAB]]*IMSS[[#This Row],[SDI]]*$R$113</f>
        <v>44.865717534246578</v>
      </c>
      <c r="Y468" s="163">
        <f ca="1">IMSS[[#This Row],[DIAS LAB]]*IMSS[[#This Row],[SDI]]*$R$114</f>
        <v>0</v>
      </c>
      <c r="Z468" s="163">
        <f ca="1">IMSS[[#This Row],[DIAS LAB]]*IMSS[[#This Row],[SDI]]*$R$115</f>
        <v>0</v>
      </c>
      <c r="AA468" s="163">
        <f ca="1">IMSS[[#This Row],[DIAS LAB]]*IMSS[[#This Row],[SDI]]*$R$116</f>
        <v>80.473429863013692</v>
      </c>
      <c r="AB468" s="163">
        <f ca="1">IMSS[[#This Row],[DIAS LAB]]*IMSS[[#This Row],[SDI]]*$R$117</f>
        <v>0</v>
      </c>
      <c r="AC468" s="247">
        <f ca="1">SUM(IMSS[[#This Row],[O RSG TRB]:[O INFONAVIT]])</f>
        <v>143.14300356164384</v>
      </c>
      <c r="AD468" s="163"/>
      <c r="AE468" s="165">
        <f ca="1">IMSS[[#This Row],[P TOTAL]]+IMSS[[#This Row],[O TOTAL]]</f>
        <v>1815.443664406959</v>
      </c>
      <c r="AF468" s="163"/>
      <c r="AG468" s="163">
        <f>VLOOKUP(IMSS[[#This Row],[SUE MENS]],$AG$110:$AJ$120,1,1)</f>
        <v>5470.93</v>
      </c>
      <c r="AH468" s="163">
        <f>IMSS[[#This Row],[SUE MENS]]-IMSS[[#This Row],[LIM INF]]</f>
        <v>1307.0699999999997</v>
      </c>
      <c r="AI468" s="163">
        <f>IMSS[[#This Row],[EXC LIM INF]]*(VLOOKUP(IMSS[[#This Row],[LIM INF]],$AG$110:$AJ$120,4,0))</f>
        <v>142.20921599999997</v>
      </c>
      <c r="AJ468" s="163">
        <f>VLOOKUP(IMSS[[#This Row],[LIM INF]],$AG$110:$AJ$120,3)</f>
        <v>321.26</v>
      </c>
      <c r="AK468" s="163">
        <f>SUM(IMSS[[#This Row],[TASA EXC]]+IMSS[[#This Row],[CUOTA FIJA]])</f>
        <v>463.46921599999996</v>
      </c>
      <c r="AL468" s="163">
        <f>VLOOKUP(IMSS[[#This Row],[SUE MENS]],$AL$110:$AN$120,3,1)</f>
        <v>253.54</v>
      </c>
      <c r="AM468" s="248">
        <f>IF(IMSS[[#This Row],[ISR CARGO]]-IMSS[[#This Row],[SUBS ISR]]&gt;0,IMSS[[#This Row],[ISR CARGO]]-IMSS[[#This Row],[SUBS ISR]],0)</f>
        <v>209.92921599999997</v>
      </c>
      <c r="AN468" s="248">
        <f>IF(IMSS[[#This Row],[SUBS ISR]]-IMSS[[#This Row],[ISR CARGO]]&gt;0,IMSS[[#This Row],[SUBS ISR]]-IMSS[[#This Row],[ISR CARGO]],0)</f>
        <v>0</v>
      </c>
    </row>
    <row r="469" spans="3:40" ht="15" hidden="1" customHeight="1" x14ac:dyDescent="0.25">
      <c r="C469" s="243">
        <v>530</v>
      </c>
      <c r="D469" s="167" t="str">
        <f>VLOOKUP(IMSS[[#This Row],[NEM]],BDD[],2,0)</f>
        <v>Nataly Guadalupe Zúñiga Cecilio</v>
      </c>
      <c r="E469" s="167" t="str">
        <f>VLOOKUP(IMSS[[#This Row],[NEM]],BDD[],9,0)</f>
        <v>SOLUCIONES</v>
      </c>
      <c r="F469" s="168">
        <v>30</v>
      </c>
      <c r="G469" s="139">
        <f>VLOOKUP(IMSS[[#This Row],[NEM]],BDD[],3,0)</f>
        <v>27150</v>
      </c>
      <c r="H469" s="139">
        <f ca="1">VLOOKUP(IMSS[[#This Row],[NEM]],BDD[],25,0)</f>
        <v>996.73972602739718</v>
      </c>
      <c r="I469" s="143">
        <f>VLOOKUP(IMSS[[#This Row],[DEPT]],$B$3:$G$49,6,0)</f>
        <v>5.4355000000000002E-3</v>
      </c>
      <c r="J469" s="163">
        <f ca="1">IMSS[[#This Row],[DIAS LAB]]*IMSS[[#This Row],[SDI]]*IMSS[[#This Row],[% RSG]]*$Q$108</f>
        <v>162.53336342465752</v>
      </c>
      <c r="K469" s="163">
        <f>IMSS[[#This Row],[DIAS LAB]]*$J$110*$Q$109</f>
        <v>548.47440000000006</v>
      </c>
      <c r="L469" s="166">
        <f ca="1">IMSS[[#This Row],[DIAS LAB]]*IF(IMSS[[#This Row],[SDI]]-$J$113&gt;0,IMSS[[#This Row],[SDI]]-$J$113,0)*$Q$110</f>
        <v>240.20030958904107</v>
      </c>
      <c r="M469" s="166">
        <f ca="1">IMSS[[#This Row],[DIAS LAB]]*IMSS[[#This Row],[SDI]]*$Q$111</f>
        <v>313.97301369863015</v>
      </c>
      <c r="N469" s="163">
        <f ca="1">IMSS[[#This Row],[DIAS LAB]]*IMSS[[#This Row],[SDI]]*$Q$112</f>
        <v>209.31534246575342</v>
      </c>
      <c r="O469" s="166">
        <f ca="1">IMSS[[#This Row],[DIAS LAB]]*IMSS[[#This Row],[SDI]]*$Q$113</f>
        <v>523.28835616438357</v>
      </c>
      <c r="P469" s="163">
        <f ca="1">IMSS[[#This Row],[DIAS LAB]]*IMSS[[#This Row],[SDI]]*$Q$114</f>
        <v>299.02191780821914</v>
      </c>
      <c r="Q469" s="166">
        <f ca="1">IMSS[[#This Row],[DIAS LAB]]*IMSS[[#This Row],[SDI]]*$Q$115</f>
        <v>598.04383561643829</v>
      </c>
      <c r="R469" s="163">
        <f ca="1">IMSS[[#This Row],[DIAS LAB]]*IMSS[[#This Row],[SDI]]*$Q$116</f>
        <v>941.91904109589029</v>
      </c>
      <c r="S469" s="163">
        <f ca="1">IMSS[[#This Row],[DIAS LAB]]*IMSS[[#This Row],[SDI]]*$Q$117</f>
        <v>1495.1095890410959</v>
      </c>
      <c r="T469" s="164">
        <f ca="1">SUM(IMSS[[#This Row],[P RSG TRB]:[P INFONAVIT]])</f>
        <v>5331.87916890411</v>
      </c>
      <c r="U469" s="163">
        <f ca="1">IMSS[[#This Row],[DIAS LAB]]*IMSS[[#This Row],[SDI]]*IMSS[[#This Row],[% RSG]]*$R$108</f>
        <v>0</v>
      </c>
      <c r="V469" s="163">
        <f ca="1">IMSS[[#This Row],[DIAS LAB]]*IMSS[[#This Row],[SDI]]*$R$112</f>
        <v>74.755479452054786</v>
      </c>
      <c r="W469" s="163"/>
      <c r="X469" s="163">
        <f ca="1">IMSS[[#This Row],[DIAS LAB]]*IMSS[[#This Row],[SDI]]*$R$113</f>
        <v>188.38380821917806</v>
      </c>
      <c r="Y469" s="163">
        <f ca="1">IMSS[[#This Row],[DIAS LAB]]*IMSS[[#This Row],[SDI]]*$R$114</f>
        <v>0</v>
      </c>
      <c r="Z469" s="163">
        <f ca="1">IMSS[[#This Row],[DIAS LAB]]*IMSS[[#This Row],[SDI]]*$R$115</f>
        <v>0</v>
      </c>
      <c r="AA469" s="163">
        <f ca="1">IMSS[[#This Row],[DIAS LAB]]*IMSS[[#This Row],[SDI]]*$R$116</f>
        <v>337.89476712328764</v>
      </c>
      <c r="AB469" s="163">
        <f ca="1">IMSS[[#This Row],[DIAS LAB]]*IMSS[[#This Row],[SDI]]*$R$117</f>
        <v>0</v>
      </c>
      <c r="AC469" s="247">
        <f ca="1">SUM(IMSS[[#This Row],[O RSG TRB]:[O INFONAVIT]])</f>
        <v>601.03405479452044</v>
      </c>
      <c r="AD469" s="163"/>
      <c r="AE469" s="165">
        <f ca="1">IMSS[[#This Row],[P TOTAL]]+IMSS[[#This Row],[O TOTAL]]</f>
        <v>5932.9132236986306</v>
      </c>
      <c r="AF469" s="163"/>
      <c r="AG469" s="163">
        <f>VLOOKUP(IMSS[[#This Row],[SUE MENS]],$AG$110:$AJ$120,1,1)</f>
        <v>26988.51</v>
      </c>
      <c r="AH469" s="163">
        <f>IMSS[[#This Row],[SUE MENS]]-IMSS[[#This Row],[LIM INF]]</f>
        <v>161.4900000000016</v>
      </c>
      <c r="AI469" s="163">
        <f>IMSS[[#This Row],[EXC LIM INF]]*(VLOOKUP(IMSS[[#This Row],[LIM INF]],$AG$110:$AJ$120,4,0))</f>
        <v>37.982448000000375</v>
      </c>
      <c r="AJ469" s="163">
        <f>VLOOKUP(IMSS[[#This Row],[LIM INF]],$AG$110:$AJ$120,3)</f>
        <v>4323.58</v>
      </c>
      <c r="AK469" s="163">
        <f>SUM(IMSS[[#This Row],[TASA EXC]]+IMSS[[#This Row],[CUOTA FIJA]])</f>
        <v>4361.5624480000006</v>
      </c>
      <c r="AL469" s="163">
        <f>VLOOKUP(IMSS[[#This Row],[SUE MENS]],$AL$110:$AN$120,3,1)</f>
        <v>0</v>
      </c>
      <c r="AM469" s="248">
        <f>IF(IMSS[[#This Row],[ISR CARGO]]-IMSS[[#This Row],[SUBS ISR]]&gt;0,IMSS[[#This Row],[ISR CARGO]]-IMSS[[#This Row],[SUBS ISR]],0)</f>
        <v>4361.5624480000006</v>
      </c>
      <c r="AN469" s="248">
        <f>IF(IMSS[[#This Row],[SUBS ISR]]-IMSS[[#This Row],[ISR CARGO]]&gt;0,IMSS[[#This Row],[SUBS ISR]]-IMSS[[#This Row],[ISR CARGO]],0)</f>
        <v>0</v>
      </c>
    </row>
    <row r="470" spans="3:40" ht="15" hidden="1" customHeight="1" x14ac:dyDescent="0.25">
      <c r="C470" s="243">
        <v>531</v>
      </c>
      <c r="D470" s="167" t="str">
        <f>VLOOKUP(IMSS[[#This Row],[NEM]],BDD[],2,0)</f>
        <v>Lorena Cortez Gaspar</v>
      </c>
      <c r="E470" s="167" t="str">
        <f>VLOOKUP(IMSS[[#This Row],[NEM]],BDD[],9,0)</f>
        <v>ESTRUCTURA</v>
      </c>
      <c r="F470" s="168">
        <v>30</v>
      </c>
      <c r="G470" s="139">
        <f>VLOOKUP(IMSS[[#This Row],[NEM]],BDD[],3,0)</f>
        <v>7445</v>
      </c>
      <c r="H470" s="139">
        <f ca="1">VLOOKUP(IMSS[[#This Row],[NEM]],BDD[],25,0)</f>
        <v>273.32328767123283</v>
      </c>
      <c r="I470" s="143">
        <f>VLOOKUP(IMSS[[#This Row],[DEPT]],$B$3:$G$49,6,0)</f>
        <v>2.5984400000000001E-2</v>
      </c>
      <c r="J470" s="163">
        <f ca="1">IMSS[[#This Row],[DIAS LAB]]*IMSS[[#This Row],[SDI]]*IMSS[[#This Row],[% RSG]]*$Q$108</f>
        <v>213.06424908493148</v>
      </c>
      <c r="K470" s="163">
        <f>IMSS[[#This Row],[DIAS LAB]]*$J$110*$Q$109</f>
        <v>548.47440000000006</v>
      </c>
      <c r="L470" s="166">
        <f ca="1">IMSS[[#This Row],[DIAS LAB]]*IF(IMSS[[#This Row],[SDI]]-$J$113&gt;0,IMSS[[#This Row],[SDI]]-$J$113,0)*$Q$110</f>
        <v>1.4728849315068304</v>
      </c>
      <c r="M470" s="166">
        <f ca="1">IMSS[[#This Row],[DIAS LAB]]*IMSS[[#This Row],[SDI]]*$Q$111</f>
        <v>86.096835616438355</v>
      </c>
      <c r="N470" s="163">
        <f ca="1">IMSS[[#This Row],[DIAS LAB]]*IMSS[[#This Row],[SDI]]*$Q$112</f>
        <v>57.397890410958901</v>
      </c>
      <c r="O470" s="166">
        <f ca="1">IMSS[[#This Row],[DIAS LAB]]*IMSS[[#This Row],[SDI]]*$Q$113</f>
        <v>143.49472602739726</v>
      </c>
      <c r="P470" s="163">
        <f ca="1">IMSS[[#This Row],[DIAS LAB]]*IMSS[[#This Row],[SDI]]*$Q$114</f>
        <v>81.996986301369859</v>
      </c>
      <c r="Q470" s="166">
        <f ca="1">IMSS[[#This Row],[DIAS LAB]]*IMSS[[#This Row],[SDI]]*$Q$115</f>
        <v>163.99397260273972</v>
      </c>
      <c r="R470" s="163">
        <f ca="1">IMSS[[#This Row],[DIAS LAB]]*IMSS[[#This Row],[SDI]]*$Q$116</f>
        <v>258.29050684931502</v>
      </c>
      <c r="S470" s="163">
        <f ca="1">IMSS[[#This Row],[DIAS LAB]]*IMSS[[#This Row],[SDI]]*$Q$117</f>
        <v>409.98493150684931</v>
      </c>
      <c r="T470" s="164">
        <f ca="1">SUM(IMSS[[#This Row],[P RSG TRB]:[P INFONAVIT]])</f>
        <v>1964.2673833315068</v>
      </c>
      <c r="U470" s="163">
        <f ca="1">IMSS[[#This Row],[DIAS LAB]]*IMSS[[#This Row],[SDI]]*IMSS[[#This Row],[% RSG]]*$R$108</f>
        <v>0</v>
      </c>
      <c r="V470" s="163">
        <f ca="1">IMSS[[#This Row],[DIAS LAB]]*IMSS[[#This Row],[SDI]]*$R$112</f>
        <v>20.499246575342465</v>
      </c>
      <c r="W470" s="163"/>
      <c r="X470" s="163">
        <f ca="1">IMSS[[#This Row],[DIAS LAB]]*IMSS[[#This Row],[SDI]]*$R$113</f>
        <v>51.658101369863004</v>
      </c>
      <c r="Y470" s="163">
        <f ca="1">IMSS[[#This Row],[DIAS LAB]]*IMSS[[#This Row],[SDI]]*$R$114</f>
        <v>0</v>
      </c>
      <c r="Z470" s="163">
        <f ca="1">IMSS[[#This Row],[DIAS LAB]]*IMSS[[#This Row],[SDI]]*$R$115</f>
        <v>0</v>
      </c>
      <c r="AA470" s="163">
        <f ca="1">IMSS[[#This Row],[DIAS LAB]]*IMSS[[#This Row],[SDI]]*$R$116</f>
        <v>92.656594520547927</v>
      </c>
      <c r="AB470" s="163">
        <f ca="1">IMSS[[#This Row],[DIAS LAB]]*IMSS[[#This Row],[SDI]]*$R$117</f>
        <v>0</v>
      </c>
      <c r="AC470" s="247">
        <f ca="1">SUM(IMSS[[#This Row],[O RSG TRB]:[O INFONAVIT]])</f>
        <v>164.8139424657534</v>
      </c>
      <c r="AD470" s="163"/>
      <c r="AE470" s="165">
        <f ca="1">IMSS[[#This Row],[P TOTAL]]+IMSS[[#This Row],[O TOTAL]]</f>
        <v>2129.0813257972604</v>
      </c>
      <c r="AF470" s="163"/>
      <c r="AG470" s="163">
        <f>VLOOKUP(IMSS[[#This Row],[SUE MENS]],$AG$110:$AJ$120,1,1)</f>
        <v>5470.93</v>
      </c>
      <c r="AH470" s="163">
        <f>IMSS[[#This Row],[SUE MENS]]-IMSS[[#This Row],[LIM INF]]</f>
        <v>1974.0699999999997</v>
      </c>
      <c r="AI470" s="163">
        <f>IMSS[[#This Row],[EXC LIM INF]]*(VLOOKUP(IMSS[[#This Row],[LIM INF]],$AG$110:$AJ$120,4,0))</f>
        <v>214.77881599999998</v>
      </c>
      <c r="AJ470" s="163">
        <f>VLOOKUP(IMSS[[#This Row],[LIM INF]],$AG$110:$AJ$120,3)</f>
        <v>321.26</v>
      </c>
      <c r="AK470" s="163">
        <f>SUM(IMSS[[#This Row],[TASA EXC]]+IMSS[[#This Row],[CUOTA FIJA]])</f>
        <v>536.038816</v>
      </c>
      <c r="AL470" s="163">
        <f>VLOOKUP(IMSS[[#This Row],[SUE MENS]],$AL$110:$AN$120,3,1)</f>
        <v>0</v>
      </c>
      <c r="AM470" s="248">
        <f>IF(IMSS[[#This Row],[ISR CARGO]]-IMSS[[#This Row],[SUBS ISR]]&gt;0,IMSS[[#This Row],[ISR CARGO]]-IMSS[[#This Row],[SUBS ISR]],0)</f>
        <v>536.038816</v>
      </c>
      <c r="AN470" s="248">
        <f>IF(IMSS[[#This Row],[SUBS ISR]]-IMSS[[#This Row],[ISR CARGO]]&gt;0,IMSS[[#This Row],[SUBS ISR]]-IMSS[[#This Row],[ISR CARGO]],0)</f>
        <v>0</v>
      </c>
    </row>
    <row r="471" spans="3:40" ht="15" hidden="1" customHeight="1" x14ac:dyDescent="0.25">
      <c r="C471" s="243">
        <v>532</v>
      </c>
      <c r="D471" s="167" t="str">
        <f>VLOOKUP(IMSS[[#This Row],[NEM]],BDD[],2,0)</f>
        <v>Teresa Cruz Hurtado</v>
      </c>
      <c r="E471" s="167" t="str">
        <f>VLOOKUP(IMSS[[#This Row],[NEM]],BDD[],9,0)</f>
        <v>COMPRAS</v>
      </c>
      <c r="F471" s="168">
        <v>30</v>
      </c>
      <c r="G471" s="139">
        <f>VLOOKUP(IMSS[[#This Row],[NEM]],BDD[],3,0)</f>
        <v>9541</v>
      </c>
      <c r="H471" s="139">
        <f ca="1">VLOOKUP(IMSS[[#This Row],[NEM]],BDD[],25,0)</f>
        <v>350.27232876712327</v>
      </c>
      <c r="I471" s="143">
        <f>VLOOKUP(IMSS[[#This Row],[DEPT]],$B$3:$G$49,6,0)</f>
        <v>5.4355000000000002E-3</v>
      </c>
      <c r="J471" s="163">
        <f ca="1">IMSS[[#This Row],[DIAS LAB]]*IMSS[[#This Row],[SDI]]*IMSS[[#This Row],[% RSG]]*$Q$108</f>
        <v>57.117157290410958</v>
      </c>
      <c r="K471" s="163">
        <f>IMSS[[#This Row],[DIAS LAB]]*$J$110*$Q$109</f>
        <v>548.47440000000006</v>
      </c>
      <c r="L471" s="166">
        <f ca="1">IMSS[[#This Row],[DIAS LAB]]*IF(IMSS[[#This Row],[SDI]]-$J$113&gt;0,IMSS[[#This Row],[SDI]]-$J$113,0)*$Q$110</f>
        <v>26.866068493150674</v>
      </c>
      <c r="M471" s="166">
        <f ca="1">IMSS[[#This Row],[DIAS LAB]]*IMSS[[#This Row],[SDI]]*$Q$111</f>
        <v>110.33578356164384</v>
      </c>
      <c r="N471" s="163">
        <f ca="1">IMSS[[#This Row],[DIAS LAB]]*IMSS[[#This Row],[SDI]]*$Q$112</f>
        <v>73.557189041095882</v>
      </c>
      <c r="O471" s="166">
        <f ca="1">IMSS[[#This Row],[DIAS LAB]]*IMSS[[#This Row],[SDI]]*$Q$113</f>
        <v>183.89297260273972</v>
      </c>
      <c r="P471" s="163">
        <f ca="1">IMSS[[#This Row],[DIAS LAB]]*IMSS[[#This Row],[SDI]]*$Q$114</f>
        <v>105.08169863013698</v>
      </c>
      <c r="Q471" s="166">
        <f ca="1">IMSS[[#This Row],[DIAS LAB]]*IMSS[[#This Row],[SDI]]*$Q$115</f>
        <v>210.16339726027397</v>
      </c>
      <c r="R471" s="163">
        <f ca="1">IMSS[[#This Row],[DIAS LAB]]*IMSS[[#This Row],[SDI]]*$Q$116</f>
        <v>331.00735068493151</v>
      </c>
      <c r="S471" s="163">
        <f ca="1">IMSS[[#This Row],[DIAS LAB]]*IMSS[[#This Row],[SDI]]*$Q$117</f>
        <v>525.40849315068488</v>
      </c>
      <c r="T471" s="164">
        <f ca="1">SUM(IMSS[[#This Row],[P RSG TRB]:[P INFONAVIT]])</f>
        <v>2171.9045107150687</v>
      </c>
      <c r="U471" s="163">
        <f ca="1">IMSS[[#This Row],[DIAS LAB]]*IMSS[[#This Row],[SDI]]*IMSS[[#This Row],[% RSG]]*$R$108</f>
        <v>0</v>
      </c>
      <c r="V471" s="163">
        <f ca="1">IMSS[[#This Row],[DIAS LAB]]*IMSS[[#This Row],[SDI]]*$R$112</f>
        <v>26.270424657534246</v>
      </c>
      <c r="W471" s="163"/>
      <c r="X471" s="163">
        <f ca="1">IMSS[[#This Row],[DIAS LAB]]*IMSS[[#This Row],[SDI]]*$R$113</f>
        <v>66.201470136986302</v>
      </c>
      <c r="Y471" s="163">
        <f ca="1">IMSS[[#This Row],[DIAS LAB]]*IMSS[[#This Row],[SDI]]*$R$114</f>
        <v>0</v>
      </c>
      <c r="Z471" s="163">
        <f ca="1">IMSS[[#This Row],[DIAS LAB]]*IMSS[[#This Row],[SDI]]*$R$115</f>
        <v>0</v>
      </c>
      <c r="AA471" s="163">
        <f ca="1">IMSS[[#This Row],[DIAS LAB]]*IMSS[[#This Row],[SDI]]*$R$116</f>
        <v>118.74231945205479</v>
      </c>
      <c r="AB471" s="163">
        <f ca="1">IMSS[[#This Row],[DIAS LAB]]*IMSS[[#This Row],[SDI]]*$R$117</f>
        <v>0</v>
      </c>
      <c r="AC471" s="247">
        <f ca="1">SUM(IMSS[[#This Row],[O RSG TRB]:[O INFONAVIT]])</f>
        <v>211.21421424657535</v>
      </c>
      <c r="AD471" s="163"/>
      <c r="AE471" s="165">
        <f ca="1">IMSS[[#This Row],[P TOTAL]]+IMSS[[#This Row],[O TOTAL]]</f>
        <v>2383.1187249616441</v>
      </c>
      <c r="AF471" s="163"/>
      <c r="AG471" s="163">
        <f>VLOOKUP(IMSS[[#This Row],[SUE MENS]],$AG$110:$AJ$120,1,1)</f>
        <v>5470.93</v>
      </c>
      <c r="AH471" s="163">
        <f>IMSS[[#This Row],[SUE MENS]]-IMSS[[#This Row],[LIM INF]]</f>
        <v>4070.0699999999997</v>
      </c>
      <c r="AI471" s="163">
        <f>IMSS[[#This Row],[EXC LIM INF]]*(VLOOKUP(IMSS[[#This Row],[LIM INF]],$AG$110:$AJ$120,4,0))</f>
        <v>442.82361600000002</v>
      </c>
      <c r="AJ471" s="163">
        <f>VLOOKUP(IMSS[[#This Row],[LIM INF]],$AG$110:$AJ$120,3)</f>
        <v>321.26</v>
      </c>
      <c r="AK471" s="163">
        <f>SUM(IMSS[[#This Row],[TASA EXC]]+IMSS[[#This Row],[CUOTA FIJA]])</f>
        <v>764.08361600000001</v>
      </c>
      <c r="AL471" s="163">
        <f>VLOOKUP(IMSS[[#This Row],[SUE MENS]],$AL$110:$AN$120,3,1)</f>
        <v>0</v>
      </c>
      <c r="AM471" s="248">
        <f>IF(IMSS[[#This Row],[ISR CARGO]]-IMSS[[#This Row],[SUBS ISR]]&gt;0,IMSS[[#This Row],[ISR CARGO]]-IMSS[[#This Row],[SUBS ISR]],0)</f>
        <v>764.08361600000001</v>
      </c>
      <c r="AN471" s="248">
        <f>IF(IMSS[[#This Row],[SUBS ISR]]-IMSS[[#This Row],[ISR CARGO]]&gt;0,IMSS[[#This Row],[SUBS ISR]]-IMSS[[#This Row],[ISR CARGO]],0)</f>
        <v>0</v>
      </c>
    </row>
    <row r="472" spans="3:40" ht="15" hidden="1" customHeight="1" x14ac:dyDescent="0.25">
      <c r="C472" s="243">
        <v>533</v>
      </c>
      <c r="D472" s="167" t="str">
        <f>VLOOKUP(IMSS[[#This Row],[NEM]],BDD[],2,0)</f>
        <v>Edgar Omar Aleman Lopez</v>
      </c>
      <c r="E472" s="167" t="str">
        <f>VLOOKUP(IMSS[[#This Row],[NEM]],BDD[],9,0)</f>
        <v>ARQUITECT</v>
      </c>
      <c r="F472" s="168">
        <v>30</v>
      </c>
      <c r="G472" s="139">
        <f>VLOOKUP(IMSS[[#This Row],[NEM]],BDD[],3,0)</f>
        <v>9541</v>
      </c>
      <c r="H472" s="139">
        <f ca="1">VLOOKUP(IMSS[[#This Row],[NEM]],BDD[],25,0)</f>
        <v>350.27232876712327</v>
      </c>
      <c r="I472" s="143">
        <f>VLOOKUP(IMSS[[#This Row],[DEPT]],$B$3:$G$49,6,0)</f>
        <v>2.5984400000000001E-2</v>
      </c>
      <c r="J472" s="163">
        <f ca="1">IMSS[[#This Row],[DIAS LAB]]*IMSS[[#This Row],[SDI]]*IMSS[[#This Row],[% RSG]]*$Q$108</f>
        <v>273.04848898849315</v>
      </c>
      <c r="K472" s="163">
        <f>IMSS[[#This Row],[DIAS LAB]]*$J$110*$Q$109</f>
        <v>548.47440000000006</v>
      </c>
      <c r="L472" s="166">
        <f ca="1">IMSS[[#This Row],[DIAS LAB]]*IF(IMSS[[#This Row],[SDI]]-$J$113&gt;0,IMSS[[#This Row],[SDI]]-$J$113,0)*$Q$110</f>
        <v>26.866068493150674</v>
      </c>
      <c r="M472" s="166">
        <f ca="1">IMSS[[#This Row],[DIAS LAB]]*IMSS[[#This Row],[SDI]]*$Q$111</f>
        <v>110.33578356164384</v>
      </c>
      <c r="N472" s="163">
        <f ca="1">IMSS[[#This Row],[DIAS LAB]]*IMSS[[#This Row],[SDI]]*$Q$112</f>
        <v>73.557189041095882</v>
      </c>
      <c r="O472" s="166">
        <f ca="1">IMSS[[#This Row],[DIAS LAB]]*IMSS[[#This Row],[SDI]]*$Q$113</f>
        <v>183.89297260273972</v>
      </c>
      <c r="P472" s="163">
        <f ca="1">IMSS[[#This Row],[DIAS LAB]]*IMSS[[#This Row],[SDI]]*$Q$114</f>
        <v>105.08169863013698</v>
      </c>
      <c r="Q472" s="166">
        <f ca="1">IMSS[[#This Row],[DIAS LAB]]*IMSS[[#This Row],[SDI]]*$Q$115</f>
        <v>210.16339726027397</v>
      </c>
      <c r="R472" s="163">
        <f ca="1">IMSS[[#This Row],[DIAS LAB]]*IMSS[[#This Row],[SDI]]*$Q$116</f>
        <v>331.00735068493151</v>
      </c>
      <c r="S472" s="163">
        <f ca="1">IMSS[[#This Row],[DIAS LAB]]*IMSS[[#This Row],[SDI]]*$Q$117</f>
        <v>525.40849315068488</v>
      </c>
      <c r="T472" s="164">
        <f ca="1">SUM(IMSS[[#This Row],[P RSG TRB]:[P INFONAVIT]])</f>
        <v>2387.8358424131507</v>
      </c>
      <c r="U472" s="163">
        <f ca="1">IMSS[[#This Row],[DIAS LAB]]*IMSS[[#This Row],[SDI]]*IMSS[[#This Row],[% RSG]]*$R$108</f>
        <v>0</v>
      </c>
      <c r="V472" s="163">
        <f ca="1">IMSS[[#This Row],[DIAS LAB]]*IMSS[[#This Row],[SDI]]*$R$112</f>
        <v>26.270424657534246</v>
      </c>
      <c r="W472" s="163"/>
      <c r="X472" s="163">
        <f ca="1">IMSS[[#This Row],[DIAS LAB]]*IMSS[[#This Row],[SDI]]*$R$113</f>
        <v>66.201470136986302</v>
      </c>
      <c r="Y472" s="163">
        <f ca="1">IMSS[[#This Row],[DIAS LAB]]*IMSS[[#This Row],[SDI]]*$R$114</f>
        <v>0</v>
      </c>
      <c r="Z472" s="163">
        <f ca="1">IMSS[[#This Row],[DIAS LAB]]*IMSS[[#This Row],[SDI]]*$R$115</f>
        <v>0</v>
      </c>
      <c r="AA472" s="163">
        <f ca="1">IMSS[[#This Row],[DIAS LAB]]*IMSS[[#This Row],[SDI]]*$R$116</f>
        <v>118.74231945205479</v>
      </c>
      <c r="AB472" s="163">
        <f ca="1">IMSS[[#This Row],[DIAS LAB]]*IMSS[[#This Row],[SDI]]*$R$117</f>
        <v>0</v>
      </c>
      <c r="AC472" s="247">
        <f ca="1">SUM(IMSS[[#This Row],[O RSG TRB]:[O INFONAVIT]])</f>
        <v>211.21421424657535</v>
      </c>
      <c r="AD472" s="163"/>
      <c r="AE472" s="165">
        <f ca="1">IMSS[[#This Row],[P TOTAL]]+IMSS[[#This Row],[O TOTAL]]</f>
        <v>2599.0500566597261</v>
      </c>
      <c r="AF472" s="163"/>
      <c r="AG472" s="163">
        <f>VLOOKUP(IMSS[[#This Row],[SUE MENS]],$AG$110:$AJ$120,1,1)</f>
        <v>5470.93</v>
      </c>
      <c r="AH472" s="163">
        <f>IMSS[[#This Row],[SUE MENS]]-IMSS[[#This Row],[LIM INF]]</f>
        <v>4070.0699999999997</v>
      </c>
      <c r="AI472" s="163">
        <f>IMSS[[#This Row],[EXC LIM INF]]*(VLOOKUP(IMSS[[#This Row],[LIM INF]],$AG$110:$AJ$120,4,0))</f>
        <v>442.82361600000002</v>
      </c>
      <c r="AJ472" s="163">
        <f>VLOOKUP(IMSS[[#This Row],[LIM INF]],$AG$110:$AJ$120,3)</f>
        <v>321.26</v>
      </c>
      <c r="AK472" s="163">
        <f>SUM(IMSS[[#This Row],[TASA EXC]]+IMSS[[#This Row],[CUOTA FIJA]])</f>
        <v>764.08361600000001</v>
      </c>
      <c r="AL472" s="163">
        <f>VLOOKUP(IMSS[[#This Row],[SUE MENS]],$AL$110:$AN$120,3,1)</f>
        <v>0</v>
      </c>
      <c r="AM472" s="248">
        <f>IF(IMSS[[#This Row],[ISR CARGO]]-IMSS[[#This Row],[SUBS ISR]]&gt;0,IMSS[[#This Row],[ISR CARGO]]-IMSS[[#This Row],[SUBS ISR]],0)</f>
        <v>764.08361600000001</v>
      </c>
      <c r="AN472" s="248">
        <f>IF(IMSS[[#This Row],[SUBS ISR]]-IMSS[[#This Row],[ISR CARGO]]&gt;0,IMSS[[#This Row],[SUBS ISR]]-IMSS[[#This Row],[ISR CARGO]],0)</f>
        <v>0</v>
      </c>
    </row>
    <row r="473" spans="3:40" ht="15" hidden="1" customHeight="1" x14ac:dyDescent="0.25">
      <c r="C473" s="243">
        <v>535</v>
      </c>
      <c r="D473" s="167" t="str">
        <f>VLOOKUP(IMSS[[#This Row],[NEM]],BDD[],2,0)</f>
        <v>Heber Espinoza Tadeo</v>
      </c>
      <c r="E473" s="167" t="str">
        <f>VLOOKUP(IMSS[[#This Row],[NEM]],BDD[],9,0)</f>
        <v>ADMINCIÓN</v>
      </c>
      <c r="F473" s="168">
        <v>30</v>
      </c>
      <c r="G473" s="139">
        <f>VLOOKUP(IMSS[[#This Row],[NEM]],BDD[],3,0)</f>
        <v>9541</v>
      </c>
      <c r="H473" s="139">
        <f ca="1">VLOOKUP(IMSS[[#This Row],[NEM]],BDD[],25,0)</f>
        <v>350.27232876712327</v>
      </c>
      <c r="I473" s="143">
        <f>VLOOKUP(IMSS[[#This Row],[DEPT]],$B$3:$G$49,6,0)</f>
        <v>5.4355000000000002E-3</v>
      </c>
      <c r="J473" s="163">
        <f ca="1">IMSS[[#This Row],[DIAS LAB]]*IMSS[[#This Row],[SDI]]*IMSS[[#This Row],[% RSG]]*$Q$108</f>
        <v>57.117157290410958</v>
      </c>
      <c r="K473" s="163">
        <f>IMSS[[#This Row],[DIAS LAB]]*$J$110*$Q$109</f>
        <v>548.47440000000006</v>
      </c>
      <c r="L473" s="166">
        <f ca="1">IMSS[[#This Row],[DIAS LAB]]*IF(IMSS[[#This Row],[SDI]]-$J$113&gt;0,IMSS[[#This Row],[SDI]]-$J$113,0)*$Q$110</f>
        <v>26.866068493150674</v>
      </c>
      <c r="M473" s="166">
        <f ca="1">IMSS[[#This Row],[DIAS LAB]]*IMSS[[#This Row],[SDI]]*$Q$111</f>
        <v>110.33578356164384</v>
      </c>
      <c r="N473" s="163">
        <f ca="1">IMSS[[#This Row],[DIAS LAB]]*IMSS[[#This Row],[SDI]]*$Q$112</f>
        <v>73.557189041095882</v>
      </c>
      <c r="O473" s="166">
        <f ca="1">IMSS[[#This Row],[DIAS LAB]]*IMSS[[#This Row],[SDI]]*$Q$113</f>
        <v>183.89297260273972</v>
      </c>
      <c r="P473" s="163">
        <f ca="1">IMSS[[#This Row],[DIAS LAB]]*IMSS[[#This Row],[SDI]]*$Q$114</f>
        <v>105.08169863013698</v>
      </c>
      <c r="Q473" s="166">
        <f ca="1">IMSS[[#This Row],[DIAS LAB]]*IMSS[[#This Row],[SDI]]*$Q$115</f>
        <v>210.16339726027397</v>
      </c>
      <c r="R473" s="163">
        <f ca="1">IMSS[[#This Row],[DIAS LAB]]*IMSS[[#This Row],[SDI]]*$Q$116</f>
        <v>331.00735068493151</v>
      </c>
      <c r="S473" s="163">
        <f ca="1">IMSS[[#This Row],[DIAS LAB]]*IMSS[[#This Row],[SDI]]*$Q$117</f>
        <v>525.40849315068488</v>
      </c>
      <c r="T473" s="164">
        <f ca="1">SUM(IMSS[[#This Row],[P RSG TRB]:[P INFONAVIT]])</f>
        <v>2171.9045107150687</v>
      </c>
      <c r="U473" s="163">
        <f ca="1">IMSS[[#This Row],[DIAS LAB]]*IMSS[[#This Row],[SDI]]*IMSS[[#This Row],[% RSG]]*$R$108</f>
        <v>0</v>
      </c>
      <c r="V473" s="163">
        <f ca="1">IMSS[[#This Row],[DIAS LAB]]*IMSS[[#This Row],[SDI]]*$R$112</f>
        <v>26.270424657534246</v>
      </c>
      <c r="W473" s="163"/>
      <c r="X473" s="163">
        <f ca="1">IMSS[[#This Row],[DIAS LAB]]*IMSS[[#This Row],[SDI]]*$R$113</f>
        <v>66.201470136986302</v>
      </c>
      <c r="Y473" s="163">
        <f ca="1">IMSS[[#This Row],[DIAS LAB]]*IMSS[[#This Row],[SDI]]*$R$114</f>
        <v>0</v>
      </c>
      <c r="Z473" s="163">
        <f ca="1">IMSS[[#This Row],[DIAS LAB]]*IMSS[[#This Row],[SDI]]*$R$115</f>
        <v>0</v>
      </c>
      <c r="AA473" s="163">
        <f ca="1">IMSS[[#This Row],[DIAS LAB]]*IMSS[[#This Row],[SDI]]*$R$116</f>
        <v>118.74231945205479</v>
      </c>
      <c r="AB473" s="163">
        <f ca="1">IMSS[[#This Row],[DIAS LAB]]*IMSS[[#This Row],[SDI]]*$R$117</f>
        <v>0</v>
      </c>
      <c r="AC473" s="247">
        <f ca="1">SUM(IMSS[[#This Row],[O RSG TRB]:[O INFONAVIT]])</f>
        <v>211.21421424657535</v>
      </c>
      <c r="AD473" s="163"/>
      <c r="AE473" s="165">
        <f ca="1">IMSS[[#This Row],[P TOTAL]]+IMSS[[#This Row],[O TOTAL]]</f>
        <v>2383.1187249616441</v>
      </c>
      <c r="AF473" s="163"/>
      <c r="AG473" s="163">
        <f>VLOOKUP(IMSS[[#This Row],[SUE MENS]],$AG$110:$AJ$120,1,1)</f>
        <v>5470.93</v>
      </c>
      <c r="AH473" s="163">
        <f>IMSS[[#This Row],[SUE MENS]]-IMSS[[#This Row],[LIM INF]]</f>
        <v>4070.0699999999997</v>
      </c>
      <c r="AI473" s="163">
        <f>IMSS[[#This Row],[EXC LIM INF]]*(VLOOKUP(IMSS[[#This Row],[LIM INF]],$AG$110:$AJ$120,4,0))</f>
        <v>442.82361600000002</v>
      </c>
      <c r="AJ473" s="163">
        <f>VLOOKUP(IMSS[[#This Row],[LIM INF]],$AG$110:$AJ$120,3)</f>
        <v>321.26</v>
      </c>
      <c r="AK473" s="163">
        <f>SUM(IMSS[[#This Row],[TASA EXC]]+IMSS[[#This Row],[CUOTA FIJA]])</f>
        <v>764.08361600000001</v>
      </c>
      <c r="AL473" s="163">
        <f>VLOOKUP(IMSS[[#This Row],[SUE MENS]],$AL$110:$AN$120,3,1)</f>
        <v>0</v>
      </c>
      <c r="AM473" s="248">
        <f>IF(IMSS[[#This Row],[ISR CARGO]]-IMSS[[#This Row],[SUBS ISR]]&gt;0,IMSS[[#This Row],[ISR CARGO]]-IMSS[[#This Row],[SUBS ISR]],0)</f>
        <v>764.08361600000001</v>
      </c>
      <c r="AN473" s="248">
        <f>IF(IMSS[[#This Row],[SUBS ISR]]-IMSS[[#This Row],[ISR CARGO]]&gt;0,IMSS[[#This Row],[SUBS ISR]]-IMSS[[#This Row],[ISR CARGO]],0)</f>
        <v>0</v>
      </c>
    </row>
    <row r="474" spans="3:40" ht="15" hidden="1" customHeight="1" x14ac:dyDescent="0.25">
      <c r="C474" s="243">
        <v>536</v>
      </c>
      <c r="D474" s="167" t="str">
        <f>VLOOKUP(IMSS[[#This Row],[NEM]],BDD[],2,0)</f>
        <v>Imelda Rafaela Mendoza</v>
      </c>
      <c r="E474" s="167" t="str">
        <f>VLOOKUP(IMSS[[#This Row],[NEM]],BDD[],9,0)</f>
        <v>CONTA</v>
      </c>
      <c r="F474" s="168">
        <v>30</v>
      </c>
      <c r="G474" s="139">
        <f>VLOOKUP(IMSS[[#This Row],[NEM]],BDD[],3,0)</f>
        <v>7445</v>
      </c>
      <c r="H474" s="139">
        <f ca="1">VLOOKUP(IMSS[[#This Row],[NEM]],BDD[],25,0)</f>
        <v>273.32328767123283</v>
      </c>
      <c r="I474" s="143">
        <f>VLOOKUP(IMSS[[#This Row],[DEPT]],$B$3:$G$49,6,0)</f>
        <v>5.4355000000000002E-3</v>
      </c>
      <c r="J474" s="163">
        <f ca="1">IMSS[[#This Row],[DIAS LAB]]*IMSS[[#This Row],[SDI]]*IMSS[[#This Row],[% RSG]]*$Q$108</f>
        <v>44.569461904109588</v>
      </c>
      <c r="K474" s="163">
        <f>IMSS[[#This Row],[DIAS LAB]]*$J$110*$Q$109</f>
        <v>548.47440000000006</v>
      </c>
      <c r="L474" s="166">
        <f ca="1">IMSS[[#This Row],[DIAS LAB]]*IF(IMSS[[#This Row],[SDI]]-$J$113&gt;0,IMSS[[#This Row],[SDI]]-$J$113,0)*$Q$110</f>
        <v>1.4728849315068304</v>
      </c>
      <c r="M474" s="166">
        <f ca="1">IMSS[[#This Row],[DIAS LAB]]*IMSS[[#This Row],[SDI]]*$Q$111</f>
        <v>86.096835616438355</v>
      </c>
      <c r="N474" s="163">
        <f ca="1">IMSS[[#This Row],[DIAS LAB]]*IMSS[[#This Row],[SDI]]*$Q$112</f>
        <v>57.397890410958901</v>
      </c>
      <c r="O474" s="166">
        <f ca="1">IMSS[[#This Row],[DIAS LAB]]*IMSS[[#This Row],[SDI]]*$Q$113</f>
        <v>143.49472602739726</v>
      </c>
      <c r="P474" s="163">
        <f ca="1">IMSS[[#This Row],[DIAS LAB]]*IMSS[[#This Row],[SDI]]*$Q$114</f>
        <v>81.996986301369859</v>
      </c>
      <c r="Q474" s="166">
        <f ca="1">IMSS[[#This Row],[DIAS LAB]]*IMSS[[#This Row],[SDI]]*$Q$115</f>
        <v>163.99397260273972</v>
      </c>
      <c r="R474" s="163">
        <f ca="1">IMSS[[#This Row],[DIAS LAB]]*IMSS[[#This Row],[SDI]]*$Q$116</f>
        <v>258.29050684931502</v>
      </c>
      <c r="S474" s="163">
        <f ca="1">IMSS[[#This Row],[DIAS LAB]]*IMSS[[#This Row],[SDI]]*$Q$117</f>
        <v>409.98493150684931</v>
      </c>
      <c r="T474" s="164">
        <f ca="1">SUM(IMSS[[#This Row],[P RSG TRB]:[P INFONAVIT]])</f>
        <v>1795.7725961506851</v>
      </c>
      <c r="U474" s="163">
        <f ca="1">IMSS[[#This Row],[DIAS LAB]]*IMSS[[#This Row],[SDI]]*IMSS[[#This Row],[% RSG]]*$R$108</f>
        <v>0</v>
      </c>
      <c r="V474" s="163">
        <f ca="1">IMSS[[#This Row],[DIAS LAB]]*IMSS[[#This Row],[SDI]]*$R$112</f>
        <v>20.499246575342465</v>
      </c>
      <c r="W474" s="163"/>
      <c r="X474" s="163">
        <f ca="1">IMSS[[#This Row],[DIAS LAB]]*IMSS[[#This Row],[SDI]]*$R$113</f>
        <v>51.658101369863004</v>
      </c>
      <c r="Y474" s="163">
        <f ca="1">IMSS[[#This Row],[DIAS LAB]]*IMSS[[#This Row],[SDI]]*$R$114</f>
        <v>0</v>
      </c>
      <c r="Z474" s="163">
        <f ca="1">IMSS[[#This Row],[DIAS LAB]]*IMSS[[#This Row],[SDI]]*$R$115</f>
        <v>0</v>
      </c>
      <c r="AA474" s="163">
        <f ca="1">IMSS[[#This Row],[DIAS LAB]]*IMSS[[#This Row],[SDI]]*$R$116</f>
        <v>92.656594520547927</v>
      </c>
      <c r="AB474" s="163">
        <f ca="1">IMSS[[#This Row],[DIAS LAB]]*IMSS[[#This Row],[SDI]]*$R$117</f>
        <v>0</v>
      </c>
      <c r="AC474" s="247">
        <f ca="1">SUM(IMSS[[#This Row],[O RSG TRB]:[O INFONAVIT]])</f>
        <v>164.8139424657534</v>
      </c>
      <c r="AD474" s="163"/>
      <c r="AE474" s="165">
        <f ca="1">IMSS[[#This Row],[P TOTAL]]+IMSS[[#This Row],[O TOTAL]]</f>
        <v>1960.5865386164385</v>
      </c>
      <c r="AF474" s="163"/>
      <c r="AG474" s="163">
        <f>VLOOKUP(IMSS[[#This Row],[SUE MENS]],$AG$110:$AJ$120,1,1)</f>
        <v>5470.93</v>
      </c>
      <c r="AH474" s="163">
        <f>IMSS[[#This Row],[SUE MENS]]-IMSS[[#This Row],[LIM INF]]</f>
        <v>1974.0699999999997</v>
      </c>
      <c r="AI474" s="163">
        <f>IMSS[[#This Row],[EXC LIM INF]]*(VLOOKUP(IMSS[[#This Row],[LIM INF]],$AG$110:$AJ$120,4,0))</f>
        <v>214.77881599999998</v>
      </c>
      <c r="AJ474" s="163">
        <f>VLOOKUP(IMSS[[#This Row],[LIM INF]],$AG$110:$AJ$120,3)</f>
        <v>321.26</v>
      </c>
      <c r="AK474" s="163">
        <f>SUM(IMSS[[#This Row],[TASA EXC]]+IMSS[[#This Row],[CUOTA FIJA]])</f>
        <v>536.038816</v>
      </c>
      <c r="AL474" s="163">
        <f>VLOOKUP(IMSS[[#This Row],[SUE MENS]],$AL$110:$AN$120,3,1)</f>
        <v>0</v>
      </c>
      <c r="AM474" s="248">
        <f>IF(IMSS[[#This Row],[ISR CARGO]]-IMSS[[#This Row],[SUBS ISR]]&gt;0,IMSS[[#This Row],[ISR CARGO]]-IMSS[[#This Row],[SUBS ISR]],0)</f>
        <v>536.038816</v>
      </c>
      <c r="AN474" s="248">
        <f>IF(IMSS[[#This Row],[SUBS ISR]]-IMSS[[#This Row],[ISR CARGO]]&gt;0,IMSS[[#This Row],[SUBS ISR]]-IMSS[[#This Row],[ISR CARGO]],0)</f>
        <v>0</v>
      </c>
    </row>
    <row r="475" spans="3:40" ht="15" hidden="1" customHeight="1" x14ac:dyDescent="0.25">
      <c r="C475" s="243">
        <v>537</v>
      </c>
      <c r="D475" s="167" t="str">
        <f>VLOOKUP(IMSS[[#This Row],[NEM]],BDD[],2,0)</f>
        <v>Kenia Priscila Ruiz García</v>
      </c>
      <c r="E475" s="167" t="str">
        <f>VLOOKUP(IMSS[[#This Row],[NEM]],BDD[],9,0)</f>
        <v>RECLTMTO</v>
      </c>
      <c r="F475" s="168">
        <v>30</v>
      </c>
      <c r="G475" s="139">
        <f>VLOOKUP(IMSS[[#This Row],[NEM]],BDD[],3,0)</f>
        <v>9450</v>
      </c>
      <c r="H475" s="139">
        <f ca="1">VLOOKUP(IMSS[[#This Row],[NEM]],BDD[],25,0)</f>
        <v>346.93150684931504</v>
      </c>
      <c r="I475" s="143">
        <f>VLOOKUP(IMSS[[#This Row],[DEPT]],$B$3:$G$49,6,0)</f>
        <v>5.4355000000000002E-3</v>
      </c>
      <c r="J475" s="163">
        <f ca="1">IMSS[[#This Row],[DIAS LAB]]*IMSS[[#This Row],[SDI]]*IMSS[[#This Row],[% RSG]]*$Q$108</f>
        <v>56.572386164383559</v>
      </c>
      <c r="K475" s="163">
        <f>IMSS[[#This Row],[DIAS LAB]]*$J$110*$Q$109</f>
        <v>548.47440000000006</v>
      </c>
      <c r="L475" s="166">
        <f ca="1">IMSS[[#This Row],[DIAS LAB]]*IF(IMSS[[#This Row],[SDI]]-$J$113&gt;0,IMSS[[#This Row],[SDI]]-$J$113,0)*$Q$110</f>
        <v>25.763597260273958</v>
      </c>
      <c r="M475" s="166">
        <f ca="1">IMSS[[#This Row],[DIAS LAB]]*IMSS[[#This Row],[SDI]]*$Q$111</f>
        <v>109.28342465753424</v>
      </c>
      <c r="N475" s="163">
        <f ca="1">IMSS[[#This Row],[DIAS LAB]]*IMSS[[#This Row],[SDI]]*$Q$112</f>
        <v>72.855616438356165</v>
      </c>
      <c r="O475" s="166">
        <f ca="1">IMSS[[#This Row],[DIAS LAB]]*IMSS[[#This Row],[SDI]]*$Q$113</f>
        <v>182.13904109589041</v>
      </c>
      <c r="P475" s="163">
        <f ca="1">IMSS[[#This Row],[DIAS LAB]]*IMSS[[#This Row],[SDI]]*$Q$114</f>
        <v>104.07945205479452</v>
      </c>
      <c r="Q475" s="166">
        <f ca="1">IMSS[[#This Row],[DIAS LAB]]*IMSS[[#This Row],[SDI]]*$Q$115</f>
        <v>208.15890410958903</v>
      </c>
      <c r="R475" s="163">
        <f ca="1">IMSS[[#This Row],[DIAS LAB]]*IMSS[[#This Row],[SDI]]*$Q$116</f>
        <v>327.85027397260274</v>
      </c>
      <c r="S475" s="163">
        <f ca="1">IMSS[[#This Row],[DIAS LAB]]*IMSS[[#This Row],[SDI]]*$Q$117</f>
        <v>520.39726027397262</v>
      </c>
      <c r="T475" s="164">
        <f ca="1">SUM(IMSS[[#This Row],[P RSG TRB]:[P INFONAVIT]])</f>
        <v>2155.5743560273972</v>
      </c>
      <c r="U475" s="163">
        <f ca="1">IMSS[[#This Row],[DIAS LAB]]*IMSS[[#This Row],[SDI]]*IMSS[[#This Row],[% RSG]]*$R$108</f>
        <v>0</v>
      </c>
      <c r="V475" s="163">
        <f ca="1">IMSS[[#This Row],[DIAS LAB]]*IMSS[[#This Row],[SDI]]*$R$112</f>
        <v>26.019863013698629</v>
      </c>
      <c r="W475" s="163"/>
      <c r="X475" s="163">
        <f ca="1">IMSS[[#This Row],[DIAS LAB]]*IMSS[[#This Row],[SDI]]*$R$113</f>
        <v>65.570054794520544</v>
      </c>
      <c r="Y475" s="163">
        <f ca="1">IMSS[[#This Row],[DIAS LAB]]*IMSS[[#This Row],[SDI]]*$R$114</f>
        <v>0</v>
      </c>
      <c r="Z475" s="163">
        <f ca="1">IMSS[[#This Row],[DIAS LAB]]*IMSS[[#This Row],[SDI]]*$R$115</f>
        <v>0</v>
      </c>
      <c r="AA475" s="163">
        <f ca="1">IMSS[[#This Row],[DIAS LAB]]*IMSS[[#This Row],[SDI]]*$R$116</f>
        <v>117.60978082191779</v>
      </c>
      <c r="AB475" s="163">
        <f ca="1">IMSS[[#This Row],[DIAS LAB]]*IMSS[[#This Row],[SDI]]*$R$117</f>
        <v>0</v>
      </c>
      <c r="AC475" s="247">
        <f ca="1">SUM(IMSS[[#This Row],[O RSG TRB]:[O INFONAVIT]])</f>
        <v>209.19969863013696</v>
      </c>
      <c r="AD475" s="163"/>
      <c r="AE475" s="165">
        <f ca="1">IMSS[[#This Row],[P TOTAL]]+IMSS[[#This Row],[O TOTAL]]</f>
        <v>2364.7740546575342</v>
      </c>
      <c r="AF475" s="163"/>
      <c r="AG475" s="163">
        <f>VLOOKUP(IMSS[[#This Row],[SUE MENS]],$AG$110:$AJ$120,1,1)</f>
        <v>5470.93</v>
      </c>
      <c r="AH475" s="163">
        <f>IMSS[[#This Row],[SUE MENS]]-IMSS[[#This Row],[LIM INF]]</f>
        <v>3979.0699999999997</v>
      </c>
      <c r="AI475" s="163">
        <f>IMSS[[#This Row],[EXC LIM INF]]*(VLOOKUP(IMSS[[#This Row],[LIM INF]],$AG$110:$AJ$120,4,0))</f>
        <v>432.92281600000001</v>
      </c>
      <c r="AJ475" s="163">
        <f>VLOOKUP(IMSS[[#This Row],[LIM INF]],$AG$110:$AJ$120,3)</f>
        <v>321.26</v>
      </c>
      <c r="AK475" s="163">
        <f>SUM(IMSS[[#This Row],[TASA EXC]]+IMSS[[#This Row],[CUOTA FIJA]])</f>
        <v>754.182816</v>
      </c>
      <c r="AL475" s="163">
        <f>VLOOKUP(IMSS[[#This Row],[SUE MENS]],$AL$110:$AN$120,3,1)</f>
        <v>0</v>
      </c>
      <c r="AM475" s="248">
        <f>IF(IMSS[[#This Row],[ISR CARGO]]-IMSS[[#This Row],[SUBS ISR]]&gt;0,IMSS[[#This Row],[ISR CARGO]]-IMSS[[#This Row],[SUBS ISR]],0)</f>
        <v>754.182816</v>
      </c>
      <c r="AN475" s="248">
        <f>IF(IMSS[[#This Row],[SUBS ISR]]-IMSS[[#This Row],[ISR CARGO]]&gt;0,IMSS[[#This Row],[SUBS ISR]]-IMSS[[#This Row],[ISR CARGO]],0)</f>
        <v>0</v>
      </c>
    </row>
    <row r="476" spans="3:40" ht="15" hidden="1" customHeight="1" x14ac:dyDescent="0.25">
      <c r="C476" s="243">
        <v>538</v>
      </c>
      <c r="D476" s="167" t="str">
        <f>VLOOKUP(IMSS[[#This Row],[NEM]],BDD[],2,0)</f>
        <v>Luis Omar Murillo Moreno</v>
      </c>
      <c r="E476" s="167" t="str">
        <f>VLOOKUP(IMSS[[#This Row],[NEM]],BDD[],9,0)</f>
        <v>ESTRUCTURA</v>
      </c>
      <c r="F476" s="168">
        <v>30</v>
      </c>
      <c r="G476" s="139">
        <f>VLOOKUP(IMSS[[#This Row],[NEM]],BDD[],3,0)</f>
        <v>10350</v>
      </c>
      <c r="H476" s="139">
        <f ca="1">VLOOKUP(IMSS[[#This Row],[NEM]],BDD[],25,0)</f>
        <v>379.97260273972597</v>
      </c>
      <c r="I476" s="143">
        <f>VLOOKUP(IMSS[[#This Row],[DEPT]],$B$3:$G$49,6,0)</f>
        <v>2.5984400000000001E-2</v>
      </c>
      <c r="J476" s="163">
        <f ca="1">IMSS[[#This Row],[DIAS LAB]]*IMSS[[#This Row],[SDI]]*IMSS[[#This Row],[% RSG]]*$Q$108</f>
        <v>296.20080295890403</v>
      </c>
      <c r="K476" s="163">
        <f>IMSS[[#This Row],[DIAS LAB]]*$J$110*$Q$109</f>
        <v>548.47440000000006</v>
      </c>
      <c r="L476" s="166">
        <f ca="1">IMSS[[#This Row],[DIAS LAB]]*IF(IMSS[[#This Row],[SDI]]-$J$113&gt;0,IMSS[[#This Row],[SDI]]-$J$113,0)*$Q$110</f>
        <v>36.667158904109563</v>
      </c>
      <c r="M476" s="166">
        <f ca="1">IMSS[[#This Row],[DIAS LAB]]*IMSS[[#This Row],[SDI]]*$Q$111</f>
        <v>119.69136986301368</v>
      </c>
      <c r="N476" s="163">
        <f ca="1">IMSS[[#This Row],[DIAS LAB]]*IMSS[[#This Row],[SDI]]*$Q$112</f>
        <v>79.794246575342456</v>
      </c>
      <c r="O476" s="166">
        <f ca="1">IMSS[[#This Row],[DIAS LAB]]*IMSS[[#This Row],[SDI]]*$Q$113</f>
        <v>199.48561643835615</v>
      </c>
      <c r="P476" s="163">
        <f ca="1">IMSS[[#This Row],[DIAS LAB]]*IMSS[[#This Row],[SDI]]*$Q$114</f>
        <v>113.99178082191779</v>
      </c>
      <c r="Q476" s="166">
        <f ca="1">IMSS[[#This Row],[DIAS LAB]]*IMSS[[#This Row],[SDI]]*$Q$115</f>
        <v>227.98356164383557</v>
      </c>
      <c r="R476" s="163">
        <f ca="1">IMSS[[#This Row],[DIAS LAB]]*IMSS[[#This Row],[SDI]]*$Q$116</f>
        <v>359.07410958904103</v>
      </c>
      <c r="S476" s="163">
        <f ca="1">IMSS[[#This Row],[DIAS LAB]]*IMSS[[#This Row],[SDI]]*$Q$117</f>
        <v>569.95890410958896</v>
      </c>
      <c r="T476" s="164">
        <f ca="1">SUM(IMSS[[#This Row],[P RSG TRB]:[P INFONAVIT]])</f>
        <v>2551.3219509041091</v>
      </c>
      <c r="U476" s="163">
        <f ca="1">IMSS[[#This Row],[DIAS LAB]]*IMSS[[#This Row],[SDI]]*IMSS[[#This Row],[% RSG]]*$R$108</f>
        <v>0</v>
      </c>
      <c r="V476" s="163">
        <f ca="1">IMSS[[#This Row],[DIAS LAB]]*IMSS[[#This Row],[SDI]]*$R$112</f>
        <v>28.497945205479446</v>
      </c>
      <c r="W476" s="163"/>
      <c r="X476" s="163">
        <f ca="1">IMSS[[#This Row],[DIAS LAB]]*IMSS[[#This Row],[SDI]]*$R$113</f>
        <v>71.814821917808203</v>
      </c>
      <c r="Y476" s="163">
        <f ca="1">IMSS[[#This Row],[DIAS LAB]]*IMSS[[#This Row],[SDI]]*$R$114</f>
        <v>0</v>
      </c>
      <c r="Z476" s="163">
        <f ca="1">IMSS[[#This Row],[DIAS LAB]]*IMSS[[#This Row],[SDI]]*$R$115</f>
        <v>0</v>
      </c>
      <c r="AA476" s="163">
        <f ca="1">IMSS[[#This Row],[DIAS LAB]]*IMSS[[#This Row],[SDI]]*$R$116</f>
        <v>128.8107123287671</v>
      </c>
      <c r="AB476" s="163">
        <f ca="1">IMSS[[#This Row],[DIAS LAB]]*IMSS[[#This Row],[SDI]]*$R$117</f>
        <v>0</v>
      </c>
      <c r="AC476" s="247">
        <f ca="1">SUM(IMSS[[#This Row],[O RSG TRB]:[O INFONAVIT]])</f>
        <v>229.12347945205474</v>
      </c>
      <c r="AD476" s="163"/>
      <c r="AE476" s="165">
        <f ca="1">IMSS[[#This Row],[P TOTAL]]+IMSS[[#This Row],[O TOTAL]]</f>
        <v>2780.4454303561638</v>
      </c>
      <c r="AF476" s="163"/>
      <c r="AG476" s="163">
        <f>VLOOKUP(IMSS[[#This Row],[SUE MENS]],$AG$110:$AJ$120,1,1)</f>
        <v>9614.67</v>
      </c>
      <c r="AH476" s="163">
        <f>IMSS[[#This Row],[SUE MENS]]-IMSS[[#This Row],[LIM INF]]</f>
        <v>735.32999999999993</v>
      </c>
      <c r="AI476" s="163">
        <f>IMSS[[#This Row],[EXC LIM INF]]*(VLOOKUP(IMSS[[#This Row],[LIM INF]],$AG$110:$AJ$120,4,0))</f>
        <v>117.65279999999998</v>
      </c>
      <c r="AJ476" s="163">
        <f>VLOOKUP(IMSS[[#This Row],[LIM INF]],$AG$110:$AJ$120,3)</f>
        <v>772.1</v>
      </c>
      <c r="AK476" s="163">
        <f>SUM(IMSS[[#This Row],[TASA EXC]]+IMSS[[#This Row],[CUOTA FIJA]])</f>
        <v>889.75279999999998</v>
      </c>
      <c r="AL476" s="163">
        <f>VLOOKUP(IMSS[[#This Row],[SUE MENS]],$AL$110:$AN$120,3,1)</f>
        <v>0</v>
      </c>
      <c r="AM476" s="248">
        <f>IF(IMSS[[#This Row],[ISR CARGO]]-IMSS[[#This Row],[SUBS ISR]]&gt;0,IMSS[[#This Row],[ISR CARGO]]-IMSS[[#This Row],[SUBS ISR]],0)</f>
        <v>889.75279999999998</v>
      </c>
      <c r="AN476" s="248">
        <f>IF(IMSS[[#This Row],[SUBS ISR]]-IMSS[[#This Row],[ISR CARGO]]&gt;0,IMSS[[#This Row],[SUBS ISR]]-IMSS[[#This Row],[ISR CARGO]],0)</f>
        <v>0</v>
      </c>
    </row>
    <row r="477" spans="3:40" ht="15" hidden="1" customHeight="1" x14ac:dyDescent="0.25">
      <c r="C477" s="243">
        <v>541</v>
      </c>
      <c r="D477" s="167" t="str">
        <f>VLOOKUP(IMSS[[#This Row],[NEM]],BDD[],2,0)</f>
        <v>Joséfina Javier Miranda</v>
      </c>
      <c r="E477" s="167" t="str">
        <f>VLOOKUP(IMSS[[#This Row],[NEM]],BDD[],9,0)</f>
        <v>MATERIALES</v>
      </c>
      <c r="F477" s="168">
        <v>30</v>
      </c>
      <c r="G477" s="139">
        <f>VLOOKUP(IMSS[[#This Row],[NEM]],BDD[],3,0)</f>
        <v>6778</v>
      </c>
      <c r="H477" s="139">
        <f ca="1">VLOOKUP(IMSS[[#This Row],[NEM]],BDD[],25,0)</f>
        <v>237.38474885844749</v>
      </c>
      <c r="I477" s="143">
        <f>VLOOKUP(IMSS[[#This Row],[DEPT]],$B$3:$G$49,6,0)</f>
        <v>4.6532499999999997E-2</v>
      </c>
      <c r="J477" s="163">
        <f ca="1">IMSS[[#This Row],[DIAS LAB]]*IMSS[[#This Row],[SDI]]*IMSS[[#This Row],[% RSG]]*$Q$108</f>
        <v>331.38317478767124</v>
      </c>
      <c r="K477" s="163">
        <f>IMSS[[#This Row],[DIAS LAB]]*$J$110*$Q$109</f>
        <v>548.47440000000006</v>
      </c>
      <c r="L477" s="166">
        <f ca="1">IMSS[[#This Row],[DIAS LAB]]*IF(IMSS[[#This Row],[SDI]]-$J$113&gt;0,IMSS[[#This Row],[SDI]]-$J$113,0)*$Q$110</f>
        <v>0</v>
      </c>
      <c r="M477" s="166">
        <f ca="1">IMSS[[#This Row],[DIAS LAB]]*IMSS[[#This Row],[SDI]]*$Q$111</f>
        <v>74.77619589041096</v>
      </c>
      <c r="N477" s="163">
        <f ca="1">IMSS[[#This Row],[DIAS LAB]]*IMSS[[#This Row],[SDI]]*$Q$112</f>
        <v>49.850797260273978</v>
      </c>
      <c r="O477" s="166">
        <f ca="1">IMSS[[#This Row],[DIAS LAB]]*IMSS[[#This Row],[SDI]]*$Q$113</f>
        <v>124.62699315068495</v>
      </c>
      <c r="P477" s="163">
        <f ca="1">IMSS[[#This Row],[DIAS LAB]]*IMSS[[#This Row],[SDI]]*$Q$114</f>
        <v>71.215424657534257</v>
      </c>
      <c r="Q477" s="166">
        <f ca="1">IMSS[[#This Row],[DIAS LAB]]*IMSS[[#This Row],[SDI]]*$Q$115</f>
        <v>142.43084931506851</v>
      </c>
      <c r="R477" s="163">
        <f ca="1">IMSS[[#This Row],[DIAS LAB]]*IMSS[[#This Row],[SDI]]*$Q$116</f>
        <v>224.3285876712329</v>
      </c>
      <c r="S477" s="163">
        <f ca="1">IMSS[[#This Row],[DIAS LAB]]*IMSS[[#This Row],[SDI]]*$Q$117</f>
        <v>356.07712328767127</v>
      </c>
      <c r="T477" s="164">
        <f ca="1">SUM(IMSS[[#This Row],[P RSG TRB]:[P INFONAVIT]])</f>
        <v>1923.1635460205484</v>
      </c>
      <c r="U477" s="163">
        <f ca="1">IMSS[[#This Row],[DIAS LAB]]*IMSS[[#This Row],[SDI]]*IMSS[[#This Row],[% RSG]]*$R$108</f>
        <v>0</v>
      </c>
      <c r="V477" s="163">
        <f ca="1">IMSS[[#This Row],[DIAS LAB]]*IMSS[[#This Row],[SDI]]*$R$112</f>
        <v>17.803856164383564</v>
      </c>
      <c r="W477" s="163"/>
      <c r="X477" s="163">
        <f ca="1">IMSS[[#This Row],[DIAS LAB]]*IMSS[[#This Row],[SDI]]*$R$113</f>
        <v>44.865717534246578</v>
      </c>
      <c r="Y477" s="163">
        <f ca="1">IMSS[[#This Row],[DIAS LAB]]*IMSS[[#This Row],[SDI]]*$R$114</f>
        <v>0</v>
      </c>
      <c r="Z477" s="163">
        <f ca="1">IMSS[[#This Row],[DIAS LAB]]*IMSS[[#This Row],[SDI]]*$R$115</f>
        <v>0</v>
      </c>
      <c r="AA477" s="163">
        <f ca="1">IMSS[[#This Row],[DIAS LAB]]*IMSS[[#This Row],[SDI]]*$R$116</f>
        <v>80.473429863013692</v>
      </c>
      <c r="AB477" s="163">
        <f ca="1">IMSS[[#This Row],[DIAS LAB]]*IMSS[[#This Row],[SDI]]*$R$117</f>
        <v>0</v>
      </c>
      <c r="AC477" s="247">
        <f ca="1">SUM(IMSS[[#This Row],[O RSG TRB]:[O INFONAVIT]])</f>
        <v>143.14300356164384</v>
      </c>
      <c r="AD477" s="163"/>
      <c r="AE477" s="165">
        <f ca="1">IMSS[[#This Row],[P TOTAL]]+IMSS[[#This Row],[O TOTAL]]</f>
        <v>2066.3065495821925</v>
      </c>
      <c r="AF477" s="163"/>
      <c r="AG477" s="163">
        <f>VLOOKUP(IMSS[[#This Row],[SUE MENS]],$AG$110:$AJ$120,1,1)</f>
        <v>5470.93</v>
      </c>
      <c r="AH477" s="163">
        <f>IMSS[[#This Row],[SUE MENS]]-IMSS[[#This Row],[LIM INF]]</f>
        <v>1307.0699999999997</v>
      </c>
      <c r="AI477" s="163">
        <f>IMSS[[#This Row],[EXC LIM INF]]*(VLOOKUP(IMSS[[#This Row],[LIM INF]],$AG$110:$AJ$120,4,0))</f>
        <v>142.20921599999997</v>
      </c>
      <c r="AJ477" s="163">
        <f>VLOOKUP(IMSS[[#This Row],[LIM INF]],$AG$110:$AJ$120,3)</f>
        <v>321.26</v>
      </c>
      <c r="AK477" s="163">
        <f>SUM(IMSS[[#This Row],[TASA EXC]]+IMSS[[#This Row],[CUOTA FIJA]])</f>
        <v>463.46921599999996</v>
      </c>
      <c r="AL477" s="163">
        <f>VLOOKUP(IMSS[[#This Row],[SUE MENS]],$AL$110:$AN$120,3,1)</f>
        <v>253.54</v>
      </c>
      <c r="AM477" s="248">
        <f>IF(IMSS[[#This Row],[ISR CARGO]]-IMSS[[#This Row],[SUBS ISR]]&gt;0,IMSS[[#This Row],[ISR CARGO]]-IMSS[[#This Row],[SUBS ISR]],0)</f>
        <v>209.92921599999997</v>
      </c>
      <c r="AN477" s="248">
        <f>IF(IMSS[[#This Row],[SUBS ISR]]-IMSS[[#This Row],[ISR CARGO]]&gt;0,IMSS[[#This Row],[SUBS ISR]]-IMSS[[#This Row],[ISR CARGO]],0)</f>
        <v>0</v>
      </c>
    </row>
    <row r="478" spans="3:40" ht="15" hidden="1" customHeight="1" x14ac:dyDescent="0.25">
      <c r="C478" s="243">
        <v>544</v>
      </c>
      <c r="D478" s="167" t="str">
        <f>VLOOKUP(IMSS[[#This Row],[NEM]],BDD[],2,0)</f>
        <v>Karen Villanueva Moreno</v>
      </c>
      <c r="E478" s="167" t="str">
        <f>VLOOKUP(IMSS[[#This Row],[NEM]],BDD[],9,0)</f>
        <v>AUDIT ADMN</v>
      </c>
      <c r="F478" s="168">
        <v>30</v>
      </c>
      <c r="G478" s="139">
        <f>VLOOKUP(IMSS[[#This Row],[NEM]],BDD[],3,0)</f>
        <v>7445</v>
      </c>
      <c r="H478" s="139">
        <f ca="1">VLOOKUP(IMSS[[#This Row],[NEM]],BDD[],25,0)</f>
        <v>273.32328767123283</v>
      </c>
      <c r="I478" s="143">
        <f>VLOOKUP(IMSS[[#This Row],[DEPT]],$B$3:$G$49,6,0)</f>
        <v>5.4355000000000002E-3</v>
      </c>
      <c r="J478" s="163">
        <f ca="1">IMSS[[#This Row],[DIAS LAB]]*IMSS[[#This Row],[SDI]]*IMSS[[#This Row],[% RSG]]*$Q$108</f>
        <v>44.569461904109588</v>
      </c>
      <c r="K478" s="163">
        <f>IMSS[[#This Row],[DIAS LAB]]*$J$110*$Q$109</f>
        <v>548.47440000000006</v>
      </c>
      <c r="L478" s="166">
        <f ca="1">IMSS[[#This Row],[DIAS LAB]]*IF(IMSS[[#This Row],[SDI]]-$J$113&gt;0,IMSS[[#This Row],[SDI]]-$J$113,0)*$Q$110</f>
        <v>1.4728849315068304</v>
      </c>
      <c r="M478" s="166">
        <f ca="1">IMSS[[#This Row],[DIAS LAB]]*IMSS[[#This Row],[SDI]]*$Q$111</f>
        <v>86.096835616438355</v>
      </c>
      <c r="N478" s="163">
        <f ca="1">IMSS[[#This Row],[DIAS LAB]]*IMSS[[#This Row],[SDI]]*$Q$112</f>
        <v>57.397890410958901</v>
      </c>
      <c r="O478" s="166">
        <f ca="1">IMSS[[#This Row],[DIAS LAB]]*IMSS[[#This Row],[SDI]]*$Q$113</f>
        <v>143.49472602739726</v>
      </c>
      <c r="P478" s="163">
        <f ca="1">IMSS[[#This Row],[DIAS LAB]]*IMSS[[#This Row],[SDI]]*$Q$114</f>
        <v>81.996986301369859</v>
      </c>
      <c r="Q478" s="166">
        <f ca="1">IMSS[[#This Row],[DIAS LAB]]*IMSS[[#This Row],[SDI]]*$Q$115</f>
        <v>163.99397260273972</v>
      </c>
      <c r="R478" s="163">
        <f ca="1">IMSS[[#This Row],[DIAS LAB]]*IMSS[[#This Row],[SDI]]*$Q$116</f>
        <v>258.29050684931502</v>
      </c>
      <c r="S478" s="163">
        <f ca="1">IMSS[[#This Row],[DIAS LAB]]*IMSS[[#This Row],[SDI]]*$Q$117</f>
        <v>409.98493150684931</v>
      </c>
      <c r="T478" s="164">
        <f ca="1">SUM(IMSS[[#This Row],[P RSG TRB]:[P INFONAVIT]])</f>
        <v>1795.7725961506851</v>
      </c>
      <c r="U478" s="163">
        <f ca="1">IMSS[[#This Row],[DIAS LAB]]*IMSS[[#This Row],[SDI]]*IMSS[[#This Row],[% RSG]]*$R$108</f>
        <v>0</v>
      </c>
      <c r="V478" s="163">
        <f ca="1">IMSS[[#This Row],[DIAS LAB]]*IMSS[[#This Row],[SDI]]*$R$112</f>
        <v>20.499246575342465</v>
      </c>
      <c r="W478" s="163"/>
      <c r="X478" s="163">
        <f ca="1">IMSS[[#This Row],[DIAS LAB]]*IMSS[[#This Row],[SDI]]*$R$113</f>
        <v>51.658101369863004</v>
      </c>
      <c r="Y478" s="163">
        <f ca="1">IMSS[[#This Row],[DIAS LAB]]*IMSS[[#This Row],[SDI]]*$R$114</f>
        <v>0</v>
      </c>
      <c r="Z478" s="163">
        <f ca="1">IMSS[[#This Row],[DIAS LAB]]*IMSS[[#This Row],[SDI]]*$R$115</f>
        <v>0</v>
      </c>
      <c r="AA478" s="163">
        <f ca="1">IMSS[[#This Row],[DIAS LAB]]*IMSS[[#This Row],[SDI]]*$R$116</f>
        <v>92.656594520547927</v>
      </c>
      <c r="AB478" s="163">
        <f ca="1">IMSS[[#This Row],[DIAS LAB]]*IMSS[[#This Row],[SDI]]*$R$117</f>
        <v>0</v>
      </c>
      <c r="AC478" s="247">
        <f ca="1">SUM(IMSS[[#This Row],[O RSG TRB]:[O INFONAVIT]])</f>
        <v>164.8139424657534</v>
      </c>
      <c r="AD478" s="163"/>
      <c r="AE478" s="165">
        <f ca="1">IMSS[[#This Row],[P TOTAL]]+IMSS[[#This Row],[O TOTAL]]</f>
        <v>1960.5865386164385</v>
      </c>
      <c r="AF478" s="163"/>
      <c r="AG478" s="163">
        <f>VLOOKUP(IMSS[[#This Row],[SUE MENS]],$AG$110:$AJ$120,1,1)</f>
        <v>5470.93</v>
      </c>
      <c r="AH478" s="163">
        <f>IMSS[[#This Row],[SUE MENS]]-IMSS[[#This Row],[LIM INF]]</f>
        <v>1974.0699999999997</v>
      </c>
      <c r="AI478" s="163">
        <f>IMSS[[#This Row],[EXC LIM INF]]*(VLOOKUP(IMSS[[#This Row],[LIM INF]],$AG$110:$AJ$120,4,0))</f>
        <v>214.77881599999998</v>
      </c>
      <c r="AJ478" s="163">
        <f>VLOOKUP(IMSS[[#This Row],[LIM INF]],$AG$110:$AJ$120,3)</f>
        <v>321.26</v>
      </c>
      <c r="AK478" s="163">
        <f>SUM(IMSS[[#This Row],[TASA EXC]]+IMSS[[#This Row],[CUOTA FIJA]])</f>
        <v>536.038816</v>
      </c>
      <c r="AL478" s="163">
        <f>VLOOKUP(IMSS[[#This Row],[SUE MENS]],$AL$110:$AN$120,3,1)</f>
        <v>0</v>
      </c>
      <c r="AM478" s="248">
        <f>IF(IMSS[[#This Row],[ISR CARGO]]-IMSS[[#This Row],[SUBS ISR]]&gt;0,IMSS[[#This Row],[ISR CARGO]]-IMSS[[#This Row],[SUBS ISR]],0)</f>
        <v>536.038816</v>
      </c>
      <c r="AN478" s="248">
        <f>IF(IMSS[[#This Row],[SUBS ISR]]-IMSS[[#This Row],[ISR CARGO]]&gt;0,IMSS[[#This Row],[SUBS ISR]]-IMSS[[#This Row],[ISR CARGO]],0)</f>
        <v>0</v>
      </c>
    </row>
    <row r="479" spans="3:40" ht="15" hidden="1" customHeight="1" x14ac:dyDescent="0.25">
      <c r="C479" s="243">
        <v>545</v>
      </c>
      <c r="D479" s="167" t="str">
        <f>VLOOKUP(IMSS[[#This Row],[NEM]],BDD[],2,0)</f>
        <v>Cristina Gonzalez Guevara</v>
      </c>
      <c r="E479" s="167" t="str">
        <f>VLOOKUP(IMSS[[#This Row],[NEM]],BDD[],9,0)</f>
        <v>ADMINCIÓN</v>
      </c>
      <c r="F479" s="168">
        <v>30</v>
      </c>
      <c r="G479" s="139">
        <f>VLOOKUP(IMSS[[#This Row],[NEM]],BDD[],3,0)</f>
        <v>9541</v>
      </c>
      <c r="H479" s="139">
        <f ca="1">VLOOKUP(IMSS[[#This Row],[NEM]],BDD[],25,0)</f>
        <v>350.27232876712327</v>
      </c>
      <c r="I479" s="143">
        <f>VLOOKUP(IMSS[[#This Row],[DEPT]],$B$3:$G$49,6,0)</f>
        <v>5.4355000000000002E-3</v>
      </c>
      <c r="J479" s="163">
        <f ca="1">IMSS[[#This Row],[DIAS LAB]]*IMSS[[#This Row],[SDI]]*IMSS[[#This Row],[% RSG]]*$Q$108</f>
        <v>57.117157290410958</v>
      </c>
      <c r="K479" s="163">
        <f>IMSS[[#This Row],[DIAS LAB]]*$J$110*$Q$109</f>
        <v>548.47440000000006</v>
      </c>
      <c r="L479" s="166">
        <f ca="1">IMSS[[#This Row],[DIAS LAB]]*IF(IMSS[[#This Row],[SDI]]-$J$113&gt;0,IMSS[[#This Row],[SDI]]-$J$113,0)*$Q$110</f>
        <v>26.866068493150674</v>
      </c>
      <c r="M479" s="166">
        <f ca="1">IMSS[[#This Row],[DIAS LAB]]*IMSS[[#This Row],[SDI]]*$Q$111</f>
        <v>110.33578356164384</v>
      </c>
      <c r="N479" s="163">
        <f ca="1">IMSS[[#This Row],[DIAS LAB]]*IMSS[[#This Row],[SDI]]*$Q$112</f>
        <v>73.557189041095882</v>
      </c>
      <c r="O479" s="166">
        <f ca="1">IMSS[[#This Row],[DIAS LAB]]*IMSS[[#This Row],[SDI]]*$Q$113</f>
        <v>183.89297260273972</v>
      </c>
      <c r="P479" s="163">
        <f ca="1">IMSS[[#This Row],[DIAS LAB]]*IMSS[[#This Row],[SDI]]*$Q$114</f>
        <v>105.08169863013698</v>
      </c>
      <c r="Q479" s="166">
        <f ca="1">IMSS[[#This Row],[DIAS LAB]]*IMSS[[#This Row],[SDI]]*$Q$115</f>
        <v>210.16339726027397</v>
      </c>
      <c r="R479" s="163">
        <f ca="1">IMSS[[#This Row],[DIAS LAB]]*IMSS[[#This Row],[SDI]]*$Q$116</f>
        <v>331.00735068493151</v>
      </c>
      <c r="S479" s="163">
        <f ca="1">IMSS[[#This Row],[DIAS LAB]]*IMSS[[#This Row],[SDI]]*$Q$117</f>
        <v>525.40849315068488</v>
      </c>
      <c r="T479" s="164">
        <f ca="1">SUM(IMSS[[#This Row],[P RSG TRB]:[P INFONAVIT]])</f>
        <v>2171.9045107150687</v>
      </c>
      <c r="U479" s="163">
        <f ca="1">IMSS[[#This Row],[DIAS LAB]]*IMSS[[#This Row],[SDI]]*IMSS[[#This Row],[% RSG]]*$R$108</f>
        <v>0</v>
      </c>
      <c r="V479" s="163">
        <f ca="1">IMSS[[#This Row],[DIAS LAB]]*IMSS[[#This Row],[SDI]]*$R$112</f>
        <v>26.270424657534246</v>
      </c>
      <c r="W479" s="163"/>
      <c r="X479" s="163">
        <f ca="1">IMSS[[#This Row],[DIAS LAB]]*IMSS[[#This Row],[SDI]]*$R$113</f>
        <v>66.201470136986302</v>
      </c>
      <c r="Y479" s="163">
        <f ca="1">IMSS[[#This Row],[DIAS LAB]]*IMSS[[#This Row],[SDI]]*$R$114</f>
        <v>0</v>
      </c>
      <c r="Z479" s="163">
        <f ca="1">IMSS[[#This Row],[DIAS LAB]]*IMSS[[#This Row],[SDI]]*$R$115</f>
        <v>0</v>
      </c>
      <c r="AA479" s="163">
        <f ca="1">IMSS[[#This Row],[DIAS LAB]]*IMSS[[#This Row],[SDI]]*$R$116</f>
        <v>118.74231945205479</v>
      </c>
      <c r="AB479" s="163">
        <f ca="1">IMSS[[#This Row],[DIAS LAB]]*IMSS[[#This Row],[SDI]]*$R$117</f>
        <v>0</v>
      </c>
      <c r="AC479" s="247">
        <f ca="1">SUM(IMSS[[#This Row],[O RSG TRB]:[O INFONAVIT]])</f>
        <v>211.21421424657535</v>
      </c>
      <c r="AD479" s="163"/>
      <c r="AE479" s="165">
        <f ca="1">IMSS[[#This Row],[P TOTAL]]+IMSS[[#This Row],[O TOTAL]]</f>
        <v>2383.1187249616441</v>
      </c>
      <c r="AF479" s="163"/>
      <c r="AG479" s="163">
        <f>VLOOKUP(IMSS[[#This Row],[SUE MENS]],$AG$110:$AJ$120,1,1)</f>
        <v>5470.93</v>
      </c>
      <c r="AH479" s="163">
        <f>IMSS[[#This Row],[SUE MENS]]-IMSS[[#This Row],[LIM INF]]</f>
        <v>4070.0699999999997</v>
      </c>
      <c r="AI479" s="163">
        <f>IMSS[[#This Row],[EXC LIM INF]]*(VLOOKUP(IMSS[[#This Row],[LIM INF]],$AG$110:$AJ$120,4,0))</f>
        <v>442.82361600000002</v>
      </c>
      <c r="AJ479" s="163">
        <f>VLOOKUP(IMSS[[#This Row],[LIM INF]],$AG$110:$AJ$120,3)</f>
        <v>321.26</v>
      </c>
      <c r="AK479" s="163">
        <f>SUM(IMSS[[#This Row],[TASA EXC]]+IMSS[[#This Row],[CUOTA FIJA]])</f>
        <v>764.08361600000001</v>
      </c>
      <c r="AL479" s="163">
        <f>VLOOKUP(IMSS[[#This Row],[SUE MENS]],$AL$110:$AN$120,3,1)</f>
        <v>0</v>
      </c>
      <c r="AM479" s="248">
        <f>IF(IMSS[[#This Row],[ISR CARGO]]-IMSS[[#This Row],[SUBS ISR]]&gt;0,IMSS[[#This Row],[ISR CARGO]]-IMSS[[#This Row],[SUBS ISR]],0)</f>
        <v>764.08361600000001</v>
      </c>
      <c r="AN479" s="248">
        <f>IF(IMSS[[#This Row],[SUBS ISR]]-IMSS[[#This Row],[ISR CARGO]]&gt;0,IMSS[[#This Row],[SUBS ISR]]-IMSS[[#This Row],[ISR CARGO]],0)</f>
        <v>0</v>
      </c>
    </row>
    <row r="480" spans="3:40" ht="15" hidden="1" customHeight="1" x14ac:dyDescent="0.25">
      <c r="C480" s="243">
        <v>546</v>
      </c>
      <c r="D480" s="167" t="str">
        <f>VLOOKUP(IMSS[[#This Row],[NEM]],BDD[],2,0)</f>
        <v>Gabriela Carvajal Rodriguez</v>
      </c>
      <c r="E480" s="167" t="str">
        <f>VLOOKUP(IMSS[[#This Row],[NEM]],BDD[],9,0)</f>
        <v>COLECTIVOS</v>
      </c>
      <c r="F480" s="168">
        <v>30</v>
      </c>
      <c r="G480" s="139">
        <f>VLOOKUP(IMSS[[#This Row],[NEM]],BDD[],3,0)</f>
        <v>9541</v>
      </c>
      <c r="H480" s="139">
        <f ca="1">VLOOKUP(IMSS[[#This Row],[NEM]],BDD[],25,0)</f>
        <v>350.27232876712327</v>
      </c>
      <c r="I480" s="143">
        <f>VLOOKUP(IMSS[[#This Row],[DEPT]],$B$3:$G$49,6,0)</f>
        <v>5.4355000000000002E-3</v>
      </c>
      <c r="J480" s="163">
        <f ca="1">IMSS[[#This Row],[DIAS LAB]]*IMSS[[#This Row],[SDI]]*IMSS[[#This Row],[% RSG]]*$Q$108</f>
        <v>57.117157290410958</v>
      </c>
      <c r="K480" s="163">
        <f>IMSS[[#This Row],[DIAS LAB]]*$J$110*$Q$109</f>
        <v>548.47440000000006</v>
      </c>
      <c r="L480" s="166">
        <f ca="1">IMSS[[#This Row],[DIAS LAB]]*IF(IMSS[[#This Row],[SDI]]-$J$113&gt;0,IMSS[[#This Row],[SDI]]-$J$113,0)*$Q$110</f>
        <v>26.866068493150674</v>
      </c>
      <c r="M480" s="166">
        <f ca="1">IMSS[[#This Row],[DIAS LAB]]*IMSS[[#This Row],[SDI]]*$Q$111</f>
        <v>110.33578356164384</v>
      </c>
      <c r="N480" s="163">
        <f ca="1">IMSS[[#This Row],[DIAS LAB]]*IMSS[[#This Row],[SDI]]*$Q$112</f>
        <v>73.557189041095882</v>
      </c>
      <c r="O480" s="166">
        <f ca="1">IMSS[[#This Row],[DIAS LAB]]*IMSS[[#This Row],[SDI]]*$Q$113</f>
        <v>183.89297260273972</v>
      </c>
      <c r="P480" s="163">
        <f ca="1">IMSS[[#This Row],[DIAS LAB]]*IMSS[[#This Row],[SDI]]*$Q$114</f>
        <v>105.08169863013698</v>
      </c>
      <c r="Q480" s="166">
        <f ca="1">IMSS[[#This Row],[DIAS LAB]]*IMSS[[#This Row],[SDI]]*$Q$115</f>
        <v>210.16339726027397</v>
      </c>
      <c r="R480" s="163">
        <f ca="1">IMSS[[#This Row],[DIAS LAB]]*IMSS[[#This Row],[SDI]]*$Q$116</f>
        <v>331.00735068493151</v>
      </c>
      <c r="S480" s="163">
        <f ca="1">IMSS[[#This Row],[DIAS LAB]]*IMSS[[#This Row],[SDI]]*$Q$117</f>
        <v>525.40849315068488</v>
      </c>
      <c r="T480" s="164">
        <f ca="1">SUM(IMSS[[#This Row],[P RSG TRB]:[P INFONAVIT]])</f>
        <v>2171.9045107150687</v>
      </c>
      <c r="U480" s="163">
        <f ca="1">IMSS[[#This Row],[DIAS LAB]]*IMSS[[#This Row],[SDI]]*IMSS[[#This Row],[% RSG]]*$R$108</f>
        <v>0</v>
      </c>
      <c r="V480" s="163">
        <f ca="1">IMSS[[#This Row],[DIAS LAB]]*IMSS[[#This Row],[SDI]]*$R$112</f>
        <v>26.270424657534246</v>
      </c>
      <c r="W480" s="163"/>
      <c r="X480" s="163">
        <f ca="1">IMSS[[#This Row],[DIAS LAB]]*IMSS[[#This Row],[SDI]]*$R$113</f>
        <v>66.201470136986302</v>
      </c>
      <c r="Y480" s="163">
        <f ca="1">IMSS[[#This Row],[DIAS LAB]]*IMSS[[#This Row],[SDI]]*$R$114</f>
        <v>0</v>
      </c>
      <c r="Z480" s="163">
        <f ca="1">IMSS[[#This Row],[DIAS LAB]]*IMSS[[#This Row],[SDI]]*$R$115</f>
        <v>0</v>
      </c>
      <c r="AA480" s="163">
        <f ca="1">IMSS[[#This Row],[DIAS LAB]]*IMSS[[#This Row],[SDI]]*$R$116</f>
        <v>118.74231945205479</v>
      </c>
      <c r="AB480" s="163">
        <f ca="1">IMSS[[#This Row],[DIAS LAB]]*IMSS[[#This Row],[SDI]]*$R$117</f>
        <v>0</v>
      </c>
      <c r="AC480" s="247">
        <f ca="1">SUM(IMSS[[#This Row],[O RSG TRB]:[O INFONAVIT]])</f>
        <v>211.21421424657535</v>
      </c>
      <c r="AD480" s="163"/>
      <c r="AE480" s="165">
        <f ca="1">IMSS[[#This Row],[P TOTAL]]+IMSS[[#This Row],[O TOTAL]]</f>
        <v>2383.1187249616441</v>
      </c>
      <c r="AF480" s="163"/>
      <c r="AG480" s="163">
        <f>VLOOKUP(IMSS[[#This Row],[SUE MENS]],$AG$110:$AJ$120,1,1)</f>
        <v>5470.93</v>
      </c>
      <c r="AH480" s="163">
        <f>IMSS[[#This Row],[SUE MENS]]-IMSS[[#This Row],[LIM INF]]</f>
        <v>4070.0699999999997</v>
      </c>
      <c r="AI480" s="163">
        <f>IMSS[[#This Row],[EXC LIM INF]]*(VLOOKUP(IMSS[[#This Row],[LIM INF]],$AG$110:$AJ$120,4,0))</f>
        <v>442.82361600000002</v>
      </c>
      <c r="AJ480" s="163">
        <f>VLOOKUP(IMSS[[#This Row],[LIM INF]],$AG$110:$AJ$120,3)</f>
        <v>321.26</v>
      </c>
      <c r="AK480" s="163">
        <f>SUM(IMSS[[#This Row],[TASA EXC]]+IMSS[[#This Row],[CUOTA FIJA]])</f>
        <v>764.08361600000001</v>
      </c>
      <c r="AL480" s="163">
        <f>VLOOKUP(IMSS[[#This Row],[SUE MENS]],$AL$110:$AN$120,3,1)</f>
        <v>0</v>
      </c>
      <c r="AM480" s="248">
        <f>IF(IMSS[[#This Row],[ISR CARGO]]-IMSS[[#This Row],[SUBS ISR]]&gt;0,IMSS[[#This Row],[ISR CARGO]]-IMSS[[#This Row],[SUBS ISR]],0)</f>
        <v>764.08361600000001</v>
      </c>
      <c r="AN480" s="248">
        <f>IF(IMSS[[#This Row],[SUBS ISR]]-IMSS[[#This Row],[ISR CARGO]]&gt;0,IMSS[[#This Row],[SUBS ISR]]-IMSS[[#This Row],[ISR CARGO]],0)</f>
        <v>0</v>
      </c>
    </row>
    <row r="481" spans="3:40" ht="15" hidden="1" customHeight="1" x14ac:dyDescent="0.25">
      <c r="C481" s="243">
        <v>548</v>
      </c>
      <c r="D481" s="167" t="str">
        <f>VLOOKUP(IMSS[[#This Row],[NEM]],BDD[],2,0)</f>
        <v>Marco Antonio Pineda Vargas</v>
      </c>
      <c r="E481" s="167" t="str">
        <f>VLOOKUP(IMSS[[#This Row],[NEM]],BDD[],9,0)</f>
        <v>SOFTWARE</v>
      </c>
      <c r="F481" s="168">
        <v>30</v>
      </c>
      <c r="G481" s="139">
        <f>VLOOKUP(IMSS[[#This Row],[NEM]],BDD[],3,0)</f>
        <v>9541</v>
      </c>
      <c r="H481" s="139">
        <f ca="1">VLOOKUP(IMSS[[#This Row],[NEM]],BDD[],25,0)</f>
        <v>350.27232876712327</v>
      </c>
      <c r="I481" s="143">
        <f>VLOOKUP(IMSS[[#This Row],[DEPT]],$B$3:$G$49,6,0)</f>
        <v>1.130658E-2</v>
      </c>
      <c r="J481" s="163">
        <f ca="1">IMSS[[#This Row],[DIAS LAB]]*IMSS[[#This Row],[SDI]]*IMSS[[#This Row],[% RSG]]*$Q$108</f>
        <v>118.81146320975341</v>
      </c>
      <c r="K481" s="163">
        <f>IMSS[[#This Row],[DIAS LAB]]*$J$110*$Q$109</f>
        <v>548.47440000000006</v>
      </c>
      <c r="L481" s="166">
        <f ca="1">IMSS[[#This Row],[DIAS LAB]]*IF(IMSS[[#This Row],[SDI]]-$J$113&gt;0,IMSS[[#This Row],[SDI]]-$J$113,0)*$Q$110</f>
        <v>26.866068493150674</v>
      </c>
      <c r="M481" s="166">
        <f ca="1">IMSS[[#This Row],[DIAS LAB]]*IMSS[[#This Row],[SDI]]*$Q$111</f>
        <v>110.33578356164384</v>
      </c>
      <c r="N481" s="163">
        <f ca="1">IMSS[[#This Row],[DIAS LAB]]*IMSS[[#This Row],[SDI]]*$Q$112</f>
        <v>73.557189041095882</v>
      </c>
      <c r="O481" s="166">
        <f ca="1">IMSS[[#This Row],[DIAS LAB]]*IMSS[[#This Row],[SDI]]*$Q$113</f>
        <v>183.89297260273972</v>
      </c>
      <c r="P481" s="163">
        <f ca="1">IMSS[[#This Row],[DIAS LAB]]*IMSS[[#This Row],[SDI]]*$Q$114</f>
        <v>105.08169863013698</v>
      </c>
      <c r="Q481" s="166">
        <f ca="1">IMSS[[#This Row],[DIAS LAB]]*IMSS[[#This Row],[SDI]]*$Q$115</f>
        <v>210.16339726027397</v>
      </c>
      <c r="R481" s="163">
        <f ca="1">IMSS[[#This Row],[DIAS LAB]]*IMSS[[#This Row],[SDI]]*$Q$116</f>
        <v>331.00735068493151</v>
      </c>
      <c r="S481" s="163">
        <f ca="1">IMSS[[#This Row],[DIAS LAB]]*IMSS[[#This Row],[SDI]]*$Q$117</f>
        <v>525.40849315068488</v>
      </c>
      <c r="T481" s="164">
        <f ca="1">SUM(IMSS[[#This Row],[P RSG TRB]:[P INFONAVIT]])</f>
        <v>2233.5988166344109</v>
      </c>
      <c r="U481" s="163">
        <f ca="1">IMSS[[#This Row],[DIAS LAB]]*IMSS[[#This Row],[SDI]]*IMSS[[#This Row],[% RSG]]*$R$108</f>
        <v>0</v>
      </c>
      <c r="V481" s="163">
        <f ca="1">IMSS[[#This Row],[DIAS LAB]]*IMSS[[#This Row],[SDI]]*$R$112</f>
        <v>26.270424657534246</v>
      </c>
      <c r="W481" s="163"/>
      <c r="X481" s="163">
        <f ca="1">IMSS[[#This Row],[DIAS LAB]]*IMSS[[#This Row],[SDI]]*$R$113</f>
        <v>66.201470136986302</v>
      </c>
      <c r="Y481" s="163">
        <f ca="1">IMSS[[#This Row],[DIAS LAB]]*IMSS[[#This Row],[SDI]]*$R$114</f>
        <v>0</v>
      </c>
      <c r="Z481" s="163">
        <f ca="1">IMSS[[#This Row],[DIAS LAB]]*IMSS[[#This Row],[SDI]]*$R$115</f>
        <v>0</v>
      </c>
      <c r="AA481" s="163">
        <f ca="1">IMSS[[#This Row],[DIAS LAB]]*IMSS[[#This Row],[SDI]]*$R$116</f>
        <v>118.74231945205479</v>
      </c>
      <c r="AB481" s="163">
        <f ca="1">IMSS[[#This Row],[DIAS LAB]]*IMSS[[#This Row],[SDI]]*$R$117</f>
        <v>0</v>
      </c>
      <c r="AC481" s="247">
        <f ca="1">SUM(IMSS[[#This Row],[O RSG TRB]:[O INFONAVIT]])</f>
        <v>211.21421424657535</v>
      </c>
      <c r="AD481" s="163"/>
      <c r="AE481" s="165">
        <f ca="1">IMSS[[#This Row],[P TOTAL]]+IMSS[[#This Row],[O TOTAL]]</f>
        <v>2444.8130308809864</v>
      </c>
      <c r="AF481" s="163"/>
      <c r="AG481" s="163">
        <f>VLOOKUP(IMSS[[#This Row],[SUE MENS]],$AG$110:$AJ$120,1,1)</f>
        <v>5470.93</v>
      </c>
      <c r="AH481" s="163">
        <f>IMSS[[#This Row],[SUE MENS]]-IMSS[[#This Row],[LIM INF]]</f>
        <v>4070.0699999999997</v>
      </c>
      <c r="AI481" s="163">
        <f>IMSS[[#This Row],[EXC LIM INF]]*(VLOOKUP(IMSS[[#This Row],[LIM INF]],$AG$110:$AJ$120,4,0))</f>
        <v>442.82361600000002</v>
      </c>
      <c r="AJ481" s="163">
        <f>VLOOKUP(IMSS[[#This Row],[LIM INF]],$AG$110:$AJ$120,3)</f>
        <v>321.26</v>
      </c>
      <c r="AK481" s="163">
        <f>SUM(IMSS[[#This Row],[TASA EXC]]+IMSS[[#This Row],[CUOTA FIJA]])</f>
        <v>764.08361600000001</v>
      </c>
      <c r="AL481" s="163">
        <f>VLOOKUP(IMSS[[#This Row],[SUE MENS]],$AL$110:$AN$120,3,1)</f>
        <v>0</v>
      </c>
      <c r="AM481" s="248">
        <f>IF(IMSS[[#This Row],[ISR CARGO]]-IMSS[[#This Row],[SUBS ISR]]&gt;0,IMSS[[#This Row],[ISR CARGO]]-IMSS[[#This Row],[SUBS ISR]],0)</f>
        <v>764.08361600000001</v>
      </c>
      <c r="AN481" s="248">
        <f>IF(IMSS[[#This Row],[SUBS ISR]]-IMSS[[#This Row],[ISR CARGO]]&gt;0,IMSS[[#This Row],[SUBS ISR]]-IMSS[[#This Row],[ISR CARGO]],0)</f>
        <v>0</v>
      </c>
    </row>
    <row r="482" spans="3:40" ht="15" hidden="1" customHeight="1" x14ac:dyDescent="0.25">
      <c r="C482" s="243">
        <v>551</v>
      </c>
      <c r="D482" s="167" t="str">
        <f>VLOOKUP(IMSS[[#This Row],[NEM]],BDD[],2,0)</f>
        <v>Gabriel Adrian Lara Barajas</v>
      </c>
      <c r="E482" s="167" t="str">
        <f>VLOOKUP(IMSS[[#This Row],[NEM]],BDD[],9,0)</f>
        <v>ESTRUCTURA</v>
      </c>
      <c r="F482" s="168">
        <v>30</v>
      </c>
      <c r="G482" s="139">
        <f>VLOOKUP(IMSS[[#This Row],[NEM]],BDD[],3,0)</f>
        <v>7445</v>
      </c>
      <c r="H482" s="139">
        <f ca="1">VLOOKUP(IMSS[[#This Row],[NEM]],BDD[],25,0)</f>
        <v>273.32328767123283</v>
      </c>
      <c r="I482" s="143">
        <f>VLOOKUP(IMSS[[#This Row],[DEPT]],$B$3:$G$49,6,0)</f>
        <v>2.5984400000000001E-2</v>
      </c>
      <c r="J482" s="163">
        <f ca="1">IMSS[[#This Row],[DIAS LAB]]*IMSS[[#This Row],[SDI]]*IMSS[[#This Row],[% RSG]]*$Q$108</f>
        <v>213.06424908493148</v>
      </c>
      <c r="K482" s="163">
        <f>IMSS[[#This Row],[DIAS LAB]]*$J$110*$Q$109</f>
        <v>548.47440000000006</v>
      </c>
      <c r="L482" s="166">
        <f ca="1">IMSS[[#This Row],[DIAS LAB]]*IF(IMSS[[#This Row],[SDI]]-$J$113&gt;0,IMSS[[#This Row],[SDI]]-$J$113,0)*$Q$110</f>
        <v>1.4728849315068304</v>
      </c>
      <c r="M482" s="166">
        <f ca="1">IMSS[[#This Row],[DIAS LAB]]*IMSS[[#This Row],[SDI]]*$Q$111</f>
        <v>86.096835616438355</v>
      </c>
      <c r="N482" s="163">
        <f ca="1">IMSS[[#This Row],[DIAS LAB]]*IMSS[[#This Row],[SDI]]*$Q$112</f>
        <v>57.397890410958901</v>
      </c>
      <c r="O482" s="166">
        <f ca="1">IMSS[[#This Row],[DIAS LAB]]*IMSS[[#This Row],[SDI]]*$Q$113</f>
        <v>143.49472602739726</v>
      </c>
      <c r="P482" s="163">
        <f ca="1">IMSS[[#This Row],[DIAS LAB]]*IMSS[[#This Row],[SDI]]*$Q$114</f>
        <v>81.996986301369859</v>
      </c>
      <c r="Q482" s="166">
        <f ca="1">IMSS[[#This Row],[DIAS LAB]]*IMSS[[#This Row],[SDI]]*$Q$115</f>
        <v>163.99397260273972</v>
      </c>
      <c r="R482" s="163">
        <f ca="1">IMSS[[#This Row],[DIAS LAB]]*IMSS[[#This Row],[SDI]]*$Q$116</f>
        <v>258.29050684931502</v>
      </c>
      <c r="S482" s="163">
        <f ca="1">IMSS[[#This Row],[DIAS LAB]]*IMSS[[#This Row],[SDI]]*$Q$117</f>
        <v>409.98493150684931</v>
      </c>
      <c r="T482" s="164">
        <f ca="1">SUM(IMSS[[#This Row],[P RSG TRB]:[P INFONAVIT]])</f>
        <v>1964.2673833315068</v>
      </c>
      <c r="U482" s="163">
        <f ca="1">IMSS[[#This Row],[DIAS LAB]]*IMSS[[#This Row],[SDI]]*IMSS[[#This Row],[% RSG]]*$R$108</f>
        <v>0</v>
      </c>
      <c r="V482" s="163">
        <f ca="1">IMSS[[#This Row],[DIAS LAB]]*IMSS[[#This Row],[SDI]]*$R$112</f>
        <v>20.499246575342465</v>
      </c>
      <c r="W482" s="163"/>
      <c r="X482" s="163">
        <f ca="1">IMSS[[#This Row],[DIAS LAB]]*IMSS[[#This Row],[SDI]]*$R$113</f>
        <v>51.658101369863004</v>
      </c>
      <c r="Y482" s="163">
        <f ca="1">IMSS[[#This Row],[DIAS LAB]]*IMSS[[#This Row],[SDI]]*$R$114</f>
        <v>0</v>
      </c>
      <c r="Z482" s="163">
        <f ca="1">IMSS[[#This Row],[DIAS LAB]]*IMSS[[#This Row],[SDI]]*$R$115</f>
        <v>0</v>
      </c>
      <c r="AA482" s="163">
        <f ca="1">IMSS[[#This Row],[DIAS LAB]]*IMSS[[#This Row],[SDI]]*$R$116</f>
        <v>92.656594520547927</v>
      </c>
      <c r="AB482" s="163">
        <f ca="1">IMSS[[#This Row],[DIAS LAB]]*IMSS[[#This Row],[SDI]]*$R$117</f>
        <v>0</v>
      </c>
      <c r="AC482" s="247">
        <f ca="1">SUM(IMSS[[#This Row],[O RSG TRB]:[O INFONAVIT]])</f>
        <v>164.8139424657534</v>
      </c>
      <c r="AD482" s="163"/>
      <c r="AE482" s="165">
        <f ca="1">IMSS[[#This Row],[P TOTAL]]+IMSS[[#This Row],[O TOTAL]]</f>
        <v>2129.0813257972604</v>
      </c>
      <c r="AF482" s="163"/>
      <c r="AG482" s="163">
        <f>VLOOKUP(IMSS[[#This Row],[SUE MENS]],$AG$110:$AJ$120,1,1)</f>
        <v>5470.93</v>
      </c>
      <c r="AH482" s="163">
        <f>IMSS[[#This Row],[SUE MENS]]-IMSS[[#This Row],[LIM INF]]</f>
        <v>1974.0699999999997</v>
      </c>
      <c r="AI482" s="163">
        <f>IMSS[[#This Row],[EXC LIM INF]]*(VLOOKUP(IMSS[[#This Row],[LIM INF]],$AG$110:$AJ$120,4,0))</f>
        <v>214.77881599999998</v>
      </c>
      <c r="AJ482" s="163">
        <f>VLOOKUP(IMSS[[#This Row],[LIM INF]],$AG$110:$AJ$120,3)</f>
        <v>321.26</v>
      </c>
      <c r="AK482" s="163">
        <f>SUM(IMSS[[#This Row],[TASA EXC]]+IMSS[[#This Row],[CUOTA FIJA]])</f>
        <v>536.038816</v>
      </c>
      <c r="AL482" s="163">
        <f>VLOOKUP(IMSS[[#This Row],[SUE MENS]],$AL$110:$AN$120,3,1)</f>
        <v>0</v>
      </c>
      <c r="AM482" s="248">
        <f>IF(IMSS[[#This Row],[ISR CARGO]]-IMSS[[#This Row],[SUBS ISR]]&gt;0,IMSS[[#This Row],[ISR CARGO]]-IMSS[[#This Row],[SUBS ISR]],0)</f>
        <v>536.038816</v>
      </c>
      <c r="AN482" s="248">
        <f>IF(IMSS[[#This Row],[SUBS ISR]]-IMSS[[#This Row],[ISR CARGO]]&gt;0,IMSS[[#This Row],[SUBS ISR]]-IMSS[[#This Row],[ISR CARGO]],0)</f>
        <v>0</v>
      </c>
    </row>
    <row r="483" spans="3:40" ht="15" hidden="1" customHeight="1" x14ac:dyDescent="0.25">
      <c r="C483" s="243">
        <v>552</v>
      </c>
      <c r="D483" s="167" t="str">
        <f>VLOOKUP(IMSS[[#This Row],[NEM]],BDD[],2,0)</f>
        <v>Ivonet Campos Manrique</v>
      </c>
      <c r="E483" s="167" t="str">
        <f>VLOOKUP(IMSS[[#This Row],[NEM]],BDD[],9,0)</f>
        <v>RENDER</v>
      </c>
      <c r="F483" s="168">
        <v>30</v>
      </c>
      <c r="G483" s="139">
        <f>VLOOKUP(IMSS[[#This Row],[NEM]],BDD[],3,0)</f>
        <v>9541</v>
      </c>
      <c r="H483" s="139">
        <f ca="1">VLOOKUP(IMSS[[#This Row],[NEM]],BDD[],25,0)</f>
        <v>350.27232876712327</v>
      </c>
      <c r="I483" s="143">
        <f>VLOOKUP(IMSS[[#This Row],[DEPT]],$B$3:$G$49,6,0)</f>
        <v>2.5984400000000001E-2</v>
      </c>
      <c r="J483" s="163">
        <f ca="1">IMSS[[#This Row],[DIAS LAB]]*IMSS[[#This Row],[SDI]]*IMSS[[#This Row],[% RSG]]*$Q$108</f>
        <v>273.04848898849315</v>
      </c>
      <c r="K483" s="163">
        <f>IMSS[[#This Row],[DIAS LAB]]*$J$110*$Q$109</f>
        <v>548.47440000000006</v>
      </c>
      <c r="L483" s="166">
        <f ca="1">IMSS[[#This Row],[DIAS LAB]]*IF(IMSS[[#This Row],[SDI]]-$J$113&gt;0,IMSS[[#This Row],[SDI]]-$J$113,0)*$Q$110</f>
        <v>26.866068493150674</v>
      </c>
      <c r="M483" s="166">
        <f ca="1">IMSS[[#This Row],[DIAS LAB]]*IMSS[[#This Row],[SDI]]*$Q$111</f>
        <v>110.33578356164384</v>
      </c>
      <c r="N483" s="163">
        <f ca="1">IMSS[[#This Row],[DIAS LAB]]*IMSS[[#This Row],[SDI]]*$Q$112</f>
        <v>73.557189041095882</v>
      </c>
      <c r="O483" s="166">
        <f ca="1">IMSS[[#This Row],[DIAS LAB]]*IMSS[[#This Row],[SDI]]*$Q$113</f>
        <v>183.89297260273972</v>
      </c>
      <c r="P483" s="163">
        <f ca="1">IMSS[[#This Row],[DIAS LAB]]*IMSS[[#This Row],[SDI]]*$Q$114</f>
        <v>105.08169863013698</v>
      </c>
      <c r="Q483" s="166">
        <f ca="1">IMSS[[#This Row],[DIAS LAB]]*IMSS[[#This Row],[SDI]]*$Q$115</f>
        <v>210.16339726027397</v>
      </c>
      <c r="R483" s="163">
        <f ca="1">IMSS[[#This Row],[DIAS LAB]]*IMSS[[#This Row],[SDI]]*$Q$116</f>
        <v>331.00735068493151</v>
      </c>
      <c r="S483" s="163">
        <f ca="1">IMSS[[#This Row],[DIAS LAB]]*IMSS[[#This Row],[SDI]]*$Q$117</f>
        <v>525.40849315068488</v>
      </c>
      <c r="T483" s="164">
        <f ca="1">SUM(IMSS[[#This Row],[P RSG TRB]:[P INFONAVIT]])</f>
        <v>2387.8358424131507</v>
      </c>
      <c r="U483" s="163">
        <f ca="1">IMSS[[#This Row],[DIAS LAB]]*IMSS[[#This Row],[SDI]]*IMSS[[#This Row],[% RSG]]*$R$108</f>
        <v>0</v>
      </c>
      <c r="V483" s="163">
        <f ca="1">IMSS[[#This Row],[DIAS LAB]]*IMSS[[#This Row],[SDI]]*$R$112</f>
        <v>26.270424657534246</v>
      </c>
      <c r="W483" s="163"/>
      <c r="X483" s="163">
        <f ca="1">IMSS[[#This Row],[DIAS LAB]]*IMSS[[#This Row],[SDI]]*$R$113</f>
        <v>66.201470136986302</v>
      </c>
      <c r="Y483" s="163">
        <f ca="1">IMSS[[#This Row],[DIAS LAB]]*IMSS[[#This Row],[SDI]]*$R$114</f>
        <v>0</v>
      </c>
      <c r="Z483" s="163">
        <f ca="1">IMSS[[#This Row],[DIAS LAB]]*IMSS[[#This Row],[SDI]]*$R$115</f>
        <v>0</v>
      </c>
      <c r="AA483" s="163">
        <f ca="1">IMSS[[#This Row],[DIAS LAB]]*IMSS[[#This Row],[SDI]]*$R$116</f>
        <v>118.74231945205479</v>
      </c>
      <c r="AB483" s="163">
        <f ca="1">IMSS[[#This Row],[DIAS LAB]]*IMSS[[#This Row],[SDI]]*$R$117</f>
        <v>0</v>
      </c>
      <c r="AC483" s="247">
        <f ca="1">SUM(IMSS[[#This Row],[O RSG TRB]:[O INFONAVIT]])</f>
        <v>211.21421424657535</v>
      </c>
      <c r="AD483" s="163"/>
      <c r="AE483" s="165">
        <f ca="1">IMSS[[#This Row],[P TOTAL]]+IMSS[[#This Row],[O TOTAL]]</f>
        <v>2599.0500566597261</v>
      </c>
      <c r="AF483" s="163"/>
      <c r="AG483" s="163">
        <f>VLOOKUP(IMSS[[#This Row],[SUE MENS]],$AG$110:$AJ$120,1,1)</f>
        <v>5470.93</v>
      </c>
      <c r="AH483" s="163">
        <f>IMSS[[#This Row],[SUE MENS]]-IMSS[[#This Row],[LIM INF]]</f>
        <v>4070.0699999999997</v>
      </c>
      <c r="AI483" s="163">
        <f>IMSS[[#This Row],[EXC LIM INF]]*(VLOOKUP(IMSS[[#This Row],[LIM INF]],$AG$110:$AJ$120,4,0))</f>
        <v>442.82361600000002</v>
      </c>
      <c r="AJ483" s="163">
        <f>VLOOKUP(IMSS[[#This Row],[LIM INF]],$AG$110:$AJ$120,3)</f>
        <v>321.26</v>
      </c>
      <c r="AK483" s="163">
        <f>SUM(IMSS[[#This Row],[TASA EXC]]+IMSS[[#This Row],[CUOTA FIJA]])</f>
        <v>764.08361600000001</v>
      </c>
      <c r="AL483" s="163">
        <f>VLOOKUP(IMSS[[#This Row],[SUE MENS]],$AL$110:$AN$120,3,1)</f>
        <v>0</v>
      </c>
      <c r="AM483" s="248">
        <f>IF(IMSS[[#This Row],[ISR CARGO]]-IMSS[[#This Row],[SUBS ISR]]&gt;0,IMSS[[#This Row],[ISR CARGO]]-IMSS[[#This Row],[SUBS ISR]],0)</f>
        <v>764.08361600000001</v>
      </c>
      <c r="AN483" s="248">
        <f>IF(IMSS[[#This Row],[SUBS ISR]]-IMSS[[#This Row],[ISR CARGO]]&gt;0,IMSS[[#This Row],[SUBS ISR]]-IMSS[[#This Row],[ISR CARGO]],0)</f>
        <v>0</v>
      </c>
    </row>
    <row r="484" spans="3:40" ht="15" hidden="1" customHeight="1" x14ac:dyDescent="0.25">
      <c r="C484" s="243">
        <v>553</v>
      </c>
      <c r="D484" s="139" t="str">
        <f>VLOOKUP(IMSS[[#This Row],[NEM]],BDD[],2,0)</f>
        <v>Guadalupe Martinez Chavez</v>
      </c>
      <c r="E484" s="139" t="str">
        <f>VLOOKUP(IMSS[[#This Row],[NEM]],BDD[],9,0)</f>
        <v>COMPRAS</v>
      </c>
      <c r="F484" s="168">
        <v>30</v>
      </c>
      <c r="G484" s="139">
        <f>VLOOKUP(IMSS[[#This Row],[NEM]],BDD[],3,0)</f>
        <v>7445</v>
      </c>
      <c r="H484" s="139">
        <f ca="1">VLOOKUP(IMSS[[#This Row],[NEM]],BDD[],25,0)</f>
        <v>273.32328767123283</v>
      </c>
      <c r="I484" s="143">
        <f>VLOOKUP(IMSS[[#This Row],[DEPT]],$B$3:$G$49,6,0)</f>
        <v>5.4355000000000002E-3</v>
      </c>
      <c r="J484" s="163">
        <f ca="1">IMSS[[#This Row],[DIAS LAB]]*IMSS[[#This Row],[SDI]]*IMSS[[#This Row],[% RSG]]*$Q$108</f>
        <v>44.569461904109588</v>
      </c>
      <c r="K484" s="166">
        <f>IMSS[[#This Row],[DIAS LAB]]*$J$110*$Q$109</f>
        <v>548.47440000000006</v>
      </c>
      <c r="L484" s="163">
        <f ca="1">IMSS[[#This Row],[DIAS LAB]]*IF(IMSS[[#This Row],[SDI]]-$J$113&gt;0,IMSS[[#This Row],[SDI]]-$J$113,0)*$Q$110</f>
        <v>1.4728849315068304</v>
      </c>
      <c r="M484" s="163">
        <f ca="1">IMSS[[#This Row],[DIAS LAB]]*IMSS[[#This Row],[SDI]]*$Q$111</f>
        <v>86.096835616438355</v>
      </c>
      <c r="N484" s="163">
        <f ca="1">IMSS[[#This Row],[DIAS LAB]]*IMSS[[#This Row],[SDI]]*$Q$112</f>
        <v>57.397890410958901</v>
      </c>
      <c r="O484" s="163">
        <f ca="1">IMSS[[#This Row],[DIAS LAB]]*IMSS[[#This Row],[SDI]]*$Q$113</f>
        <v>143.49472602739726</v>
      </c>
      <c r="P484" s="163">
        <f ca="1">IMSS[[#This Row],[DIAS LAB]]*IMSS[[#This Row],[SDI]]*$Q$114</f>
        <v>81.996986301369859</v>
      </c>
      <c r="Q484" s="163">
        <f ca="1">IMSS[[#This Row],[DIAS LAB]]*IMSS[[#This Row],[SDI]]*$Q$115</f>
        <v>163.99397260273972</v>
      </c>
      <c r="R484" s="163">
        <f ca="1">IMSS[[#This Row],[DIAS LAB]]*IMSS[[#This Row],[SDI]]*$Q$116</f>
        <v>258.29050684931502</v>
      </c>
      <c r="S484" s="163">
        <f ca="1">IMSS[[#This Row],[DIAS LAB]]*IMSS[[#This Row],[SDI]]*$Q$117</f>
        <v>409.98493150684931</v>
      </c>
      <c r="T484" s="164">
        <f ca="1">SUM(IMSS[[#This Row],[P RSG TRB]:[P INFONAVIT]])</f>
        <v>1795.7725961506851</v>
      </c>
      <c r="U484" s="163">
        <f ca="1">IMSS[[#This Row],[DIAS LAB]]*IMSS[[#This Row],[SDI]]*IMSS[[#This Row],[% RSG]]*$R$108</f>
        <v>0</v>
      </c>
      <c r="V484" s="163">
        <f ca="1">IMSS[[#This Row],[DIAS LAB]]*IMSS[[#This Row],[SDI]]*$R$112</f>
        <v>20.499246575342465</v>
      </c>
      <c r="W484" s="163"/>
      <c r="X484" s="163">
        <f ca="1">IMSS[[#This Row],[DIAS LAB]]*IMSS[[#This Row],[SDI]]*$R$113</f>
        <v>51.658101369863004</v>
      </c>
      <c r="Y484" s="163">
        <f ca="1">IMSS[[#This Row],[DIAS LAB]]*IMSS[[#This Row],[SDI]]*$R$114</f>
        <v>0</v>
      </c>
      <c r="Z484" s="163">
        <f ca="1">IMSS[[#This Row],[DIAS LAB]]*IMSS[[#This Row],[SDI]]*$R$115</f>
        <v>0</v>
      </c>
      <c r="AA484" s="163">
        <f ca="1">IMSS[[#This Row],[DIAS LAB]]*IMSS[[#This Row],[SDI]]*$R$116</f>
        <v>92.656594520547927</v>
      </c>
      <c r="AB484" s="163">
        <f ca="1">IMSS[[#This Row],[DIAS LAB]]*IMSS[[#This Row],[SDI]]*$R$117</f>
        <v>0</v>
      </c>
      <c r="AC484" s="247">
        <f ca="1">SUM(IMSS[[#This Row],[O RSG TRB]:[O INFONAVIT]])</f>
        <v>164.8139424657534</v>
      </c>
      <c r="AD484" s="163"/>
      <c r="AE484" s="165">
        <f ca="1">IMSS[[#This Row],[P TOTAL]]+IMSS[[#This Row],[O TOTAL]]</f>
        <v>1960.5865386164385</v>
      </c>
      <c r="AF484" s="163"/>
      <c r="AG484" s="163">
        <f>VLOOKUP(IMSS[[#This Row],[SUE MENS]],$AG$110:$AJ$120,1,1)</f>
        <v>5470.93</v>
      </c>
      <c r="AH484" s="163">
        <f>IMSS[[#This Row],[SUE MENS]]-IMSS[[#This Row],[LIM INF]]</f>
        <v>1974.0699999999997</v>
      </c>
      <c r="AI484" s="163">
        <f>IMSS[[#This Row],[EXC LIM INF]]*(VLOOKUP(IMSS[[#This Row],[LIM INF]],$AG$110:$AJ$120,4,0))</f>
        <v>214.77881599999998</v>
      </c>
      <c r="AJ484" s="163">
        <f>VLOOKUP(IMSS[[#This Row],[LIM INF]],$AG$110:$AJ$120,3)</f>
        <v>321.26</v>
      </c>
      <c r="AK484" s="163">
        <f>SUM(IMSS[[#This Row],[TASA EXC]]+IMSS[[#This Row],[CUOTA FIJA]])</f>
        <v>536.038816</v>
      </c>
      <c r="AL484" s="163">
        <f>VLOOKUP(IMSS[[#This Row],[SUE MENS]],$AL$110:$AN$120,3,1)</f>
        <v>0</v>
      </c>
      <c r="AM484" s="248">
        <f>IF(IMSS[[#This Row],[ISR CARGO]]-IMSS[[#This Row],[SUBS ISR]]&gt;0,IMSS[[#This Row],[ISR CARGO]]-IMSS[[#This Row],[SUBS ISR]],0)</f>
        <v>536.038816</v>
      </c>
      <c r="AN484" s="248">
        <f>IF(IMSS[[#This Row],[SUBS ISR]]-IMSS[[#This Row],[ISR CARGO]]&gt;0,IMSS[[#This Row],[SUBS ISR]]-IMSS[[#This Row],[ISR CARGO]],0)</f>
        <v>0</v>
      </c>
    </row>
    <row r="485" spans="3:40" ht="15" hidden="1" customHeight="1" x14ac:dyDescent="0.25">
      <c r="C485" s="243">
        <v>554</v>
      </c>
      <c r="D485" s="167" t="str">
        <f>VLOOKUP(IMSS[[#This Row],[NEM]],BDD[],2,0)</f>
        <v>Rogelio Miguel Mendoza Aguirre</v>
      </c>
      <c r="E485" s="167" t="str">
        <f>VLOOKUP(IMSS[[#This Row],[NEM]],BDD[],9,0)</f>
        <v>ANLIS COST</v>
      </c>
      <c r="F485" s="168">
        <v>30</v>
      </c>
      <c r="G485" s="139">
        <f>VLOOKUP(IMSS[[#This Row],[NEM]],BDD[],3,0)</f>
        <v>7950</v>
      </c>
      <c r="H485" s="139">
        <f ca="1">VLOOKUP(IMSS[[#This Row],[NEM]],BDD[],25,0)</f>
        <v>291.86301369863014</v>
      </c>
      <c r="I485" s="143">
        <f>VLOOKUP(IMSS[[#This Row],[DEPT]],$B$3:$G$49,6,0)</f>
        <v>1.130658E-2</v>
      </c>
      <c r="J485" s="163">
        <f ca="1">IMSS[[#This Row],[DIAS LAB]]*IMSS[[#This Row],[SDI]]*IMSS[[#This Row],[% RSG]]*$Q$108</f>
        <v>98.999175402739723</v>
      </c>
      <c r="K485" s="163">
        <f>IMSS[[#This Row],[DIAS LAB]]*$J$110*$Q$109</f>
        <v>548.47440000000006</v>
      </c>
      <c r="L485" s="166">
        <f ca="1">IMSS[[#This Row],[DIAS LAB]]*IF(IMSS[[#This Row],[SDI]]-$J$113&gt;0,IMSS[[#This Row],[SDI]]-$J$113,0)*$Q$110</f>
        <v>7.5909945205479419</v>
      </c>
      <c r="M485" s="166">
        <f ca="1">IMSS[[#This Row],[DIAS LAB]]*IMSS[[#This Row],[SDI]]*$Q$111</f>
        <v>91.9368493150685</v>
      </c>
      <c r="N485" s="163">
        <f ca="1">IMSS[[#This Row],[DIAS LAB]]*IMSS[[#This Row],[SDI]]*$Q$112</f>
        <v>61.291232876712328</v>
      </c>
      <c r="O485" s="166">
        <f ca="1">IMSS[[#This Row],[DIAS LAB]]*IMSS[[#This Row],[SDI]]*$Q$113</f>
        <v>153.22808219178083</v>
      </c>
      <c r="P485" s="163">
        <f ca="1">IMSS[[#This Row],[DIAS LAB]]*IMSS[[#This Row],[SDI]]*$Q$114</f>
        <v>87.558904109589037</v>
      </c>
      <c r="Q485" s="166">
        <f ca="1">IMSS[[#This Row],[DIAS LAB]]*IMSS[[#This Row],[SDI]]*$Q$115</f>
        <v>175.11780821917807</v>
      </c>
      <c r="R485" s="163">
        <f ca="1">IMSS[[#This Row],[DIAS LAB]]*IMSS[[#This Row],[SDI]]*$Q$116</f>
        <v>275.81054794520549</v>
      </c>
      <c r="S485" s="163">
        <f ca="1">IMSS[[#This Row],[DIAS LAB]]*IMSS[[#This Row],[SDI]]*$Q$117</f>
        <v>437.79452054794524</v>
      </c>
      <c r="T485" s="164">
        <f ca="1">SUM(IMSS[[#This Row],[P RSG TRB]:[P INFONAVIT]])</f>
        <v>1937.8025151287673</v>
      </c>
      <c r="U485" s="163">
        <f ca="1">IMSS[[#This Row],[DIAS LAB]]*IMSS[[#This Row],[SDI]]*IMSS[[#This Row],[% RSG]]*$R$108</f>
        <v>0</v>
      </c>
      <c r="V485" s="163">
        <f ca="1">IMSS[[#This Row],[DIAS LAB]]*IMSS[[#This Row],[SDI]]*$R$112</f>
        <v>21.889726027397259</v>
      </c>
      <c r="W485" s="163"/>
      <c r="X485" s="163">
        <f ca="1">IMSS[[#This Row],[DIAS LAB]]*IMSS[[#This Row],[SDI]]*$R$113</f>
        <v>55.162109589041094</v>
      </c>
      <c r="Y485" s="163">
        <f ca="1">IMSS[[#This Row],[DIAS LAB]]*IMSS[[#This Row],[SDI]]*$R$114</f>
        <v>0</v>
      </c>
      <c r="Z485" s="163">
        <f ca="1">IMSS[[#This Row],[DIAS LAB]]*IMSS[[#This Row],[SDI]]*$R$115</f>
        <v>0</v>
      </c>
      <c r="AA485" s="163">
        <f ca="1">IMSS[[#This Row],[DIAS LAB]]*IMSS[[#This Row],[SDI]]*$R$116</f>
        <v>98.941561643835612</v>
      </c>
      <c r="AB485" s="163">
        <f ca="1">IMSS[[#This Row],[DIAS LAB]]*IMSS[[#This Row],[SDI]]*$R$117</f>
        <v>0</v>
      </c>
      <c r="AC485" s="247">
        <f ca="1">SUM(IMSS[[#This Row],[O RSG TRB]:[O INFONAVIT]])</f>
        <v>175.99339726027398</v>
      </c>
      <c r="AD485" s="163"/>
      <c r="AE485" s="165">
        <f ca="1">IMSS[[#This Row],[P TOTAL]]+IMSS[[#This Row],[O TOTAL]]</f>
        <v>2113.7959123890414</v>
      </c>
      <c r="AF485" s="163"/>
      <c r="AG485" s="163">
        <f>VLOOKUP(IMSS[[#This Row],[SUE MENS]],$AG$110:$AJ$120,1,1)</f>
        <v>5470.93</v>
      </c>
      <c r="AH485" s="163">
        <f>IMSS[[#This Row],[SUE MENS]]-IMSS[[#This Row],[LIM INF]]</f>
        <v>2479.0699999999997</v>
      </c>
      <c r="AI485" s="163">
        <f>IMSS[[#This Row],[EXC LIM INF]]*(VLOOKUP(IMSS[[#This Row],[LIM INF]],$AG$110:$AJ$120,4,0))</f>
        <v>269.72281599999997</v>
      </c>
      <c r="AJ485" s="163">
        <f>VLOOKUP(IMSS[[#This Row],[LIM INF]],$AG$110:$AJ$120,3)</f>
        <v>321.26</v>
      </c>
      <c r="AK485" s="163">
        <f>SUM(IMSS[[#This Row],[TASA EXC]]+IMSS[[#This Row],[CUOTA FIJA]])</f>
        <v>590.98281599999996</v>
      </c>
      <c r="AL485" s="163">
        <f>VLOOKUP(IMSS[[#This Row],[SUE MENS]],$AL$110:$AN$120,3,1)</f>
        <v>0</v>
      </c>
      <c r="AM485" s="248">
        <f>IF(IMSS[[#This Row],[ISR CARGO]]-IMSS[[#This Row],[SUBS ISR]]&gt;0,IMSS[[#This Row],[ISR CARGO]]-IMSS[[#This Row],[SUBS ISR]],0)</f>
        <v>590.98281599999996</v>
      </c>
      <c r="AN485" s="248">
        <f>IF(IMSS[[#This Row],[SUBS ISR]]-IMSS[[#This Row],[ISR CARGO]]&gt;0,IMSS[[#This Row],[SUBS ISR]]-IMSS[[#This Row],[ISR CARGO]],0)</f>
        <v>0</v>
      </c>
    </row>
    <row r="486" spans="3:40" ht="15" hidden="1" customHeight="1" x14ac:dyDescent="0.25">
      <c r="C486" s="243">
        <v>555</v>
      </c>
      <c r="D486" s="167" t="str">
        <f>VLOOKUP(IMSS[[#This Row],[NEM]],BDD[],2,0)</f>
        <v>Devany Yamileth Hernández De Los Santos</v>
      </c>
      <c r="E486" s="167" t="str">
        <f>VLOOKUP(IMSS[[#This Row],[NEM]],BDD[],9,0)</f>
        <v>ARQUITECT</v>
      </c>
      <c r="F486" s="168">
        <v>30</v>
      </c>
      <c r="G486" s="139">
        <f>VLOOKUP(IMSS[[#This Row],[NEM]],BDD[],3,0)</f>
        <v>6778</v>
      </c>
      <c r="H486" s="139">
        <f ca="1">VLOOKUP(IMSS[[#This Row],[NEM]],BDD[],25,0)</f>
        <v>237.38474885844749</v>
      </c>
      <c r="I486" s="143">
        <f>VLOOKUP(IMSS[[#This Row],[DEPT]],$B$3:$G$49,6,0)</f>
        <v>2.5984400000000001E-2</v>
      </c>
      <c r="J486" s="163">
        <f ca="1">IMSS[[#This Row],[DIAS LAB]]*IMSS[[#This Row],[SDI]]*IMSS[[#This Row],[% RSG]]*$Q$108</f>
        <v>185.04900804712329</v>
      </c>
      <c r="K486" s="163">
        <f>IMSS[[#This Row],[DIAS LAB]]*$J$110*$Q$109</f>
        <v>548.47440000000006</v>
      </c>
      <c r="L486" s="166">
        <f ca="1">IMSS[[#This Row],[DIAS LAB]]*IF(IMSS[[#This Row],[SDI]]-$J$113&gt;0,IMSS[[#This Row],[SDI]]-$J$113,0)*$Q$110</f>
        <v>0</v>
      </c>
      <c r="M486" s="166">
        <f ca="1">IMSS[[#This Row],[DIAS LAB]]*IMSS[[#This Row],[SDI]]*$Q$111</f>
        <v>74.77619589041096</v>
      </c>
      <c r="N486" s="163">
        <f ca="1">IMSS[[#This Row],[DIAS LAB]]*IMSS[[#This Row],[SDI]]*$Q$112</f>
        <v>49.850797260273978</v>
      </c>
      <c r="O486" s="166">
        <f ca="1">IMSS[[#This Row],[DIAS LAB]]*IMSS[[#This Row],[SDI]]*$Q$113</f>
        <v>124.62699315068495</v>
      </c>
      <c r="P486" s="163">
        <f ca="1">IMSS[[#This Row],[DIAS LAB]]*IMSS[[#This Row],[SDI]]*$Q$114</f>
        <v>71.215424657534257</v>
      </c>
      <c r="Q486" s="166">
        <f ca="1">IMSS[[#This Row],[DIAS LAB]]*IMSS[[#This Row],[SDI]]*$Q$115</f>
        <v>142.43084931506851</v>
      </c>
      <c r="R486" s="163">
        <f ca="1">IMSS[[#This Row],[DIAS LAB]]*IMSS[[#This Row],[SDI]]*$Q$116</f>
        <v>224.3285876712329</v>
      </c>
      <c r="S486" s="163">
        <f ca="1">IMSS[[#This Row],[DIAS LAB]]*IMSS[[#This Row],[SDI]]*$Q$117</f>
        <v>356.07712328767127</v>
      </c>
      <c r="T486" s="164">
        <f ca="1">SUM(IMSS[[#This Row],[P RSG TRB]:[P INFONAVIT]])</f>
        <v>1776.8293792800005</v>
      </c>
      <c r="U486" s="163">
        <f ca="1">IMSS[[#This Row],[DIAS LAB]]*IMSS[[#This Row],[SDI]]*IMSS[[#This Row],[% RSG]]*$R$108</f>
        <v>0</v>
      </c>
      <c r="V486" s="163">
        <f ca="1">IMSS[[#This Row],[DIAS LAB]]*IMSS[[#This Row],[SDI]]*$R$112</f>
        <v>17.803856164383564</v>
      </c>
      <c r="W486" s="163"/>
      <c r="X486" s="163">
        <f ca="1">IMSS[[#This Row],[DIAS LAB]]*IMSS[[#This Row],[SDI]]*$R$113</f>
        <v>44.865717534246578</v>
      </c>
      <c r="Y486" s="163">
        <f ca="1">IMSS[[#This Row],[DIAS LAB]]*IMSS[[#This Row],[SDI]]*$R$114</f>
        <v>0</v>
      </c>
      <c r="Z486" s="163">
        <f ca="1">IMSS[[#This Row],[DIAS LAB]]*IMSS[[#This Row],[SDI]]*$R$115</f>
        <v>0</v>
      </c>
      <c r="AA486" s="163">
        <f ca="1">IMSS[[#This Row],[DIAS LAB]]*IMSS[[#This Row],[SDI]]*$R$116</f>
        <v>80.473429863013692</v>
      </c>
      <c r="AB486" s="163">
        <f ca="1">IMSS[[#This Row],[DIAS LAB]]*IMSS[[#This Row],[SDI]]*$R$117</f>
        <v>0</v>
      </c>
      <c r="AC486" s="247">
        <f ca="1">SUM(IMSS[[#This Row],[O RSG TRB]:[O INFONAVIT]])</f>
        <v>143.14300356164384</v>
      </c>
      <c r="AD486" s="163"/>
      <c r="AE486" s="165">
        <f ca="1">IMSS[[#This Row],[P TOTAL]]+IMSS[[#This Row],[O TOTAL]]</f>
        <v>1919.9723828416443</v>
      </c>
      <c r="AF486" s="163"/>
      <c r="AG486" s="163">
        <f>VLOOKUP(IMSS[[#This Row],[SUE MENS]],$AG$110:$AJ$120,1,1)</f>
        <v>5470.93</v>
      </c>
      <c r="AH486" s="163">
        <f>IMSS[[#This Row],[SUE MENS]]-IMSS[[#This Row],[LIM INF]]</f>
        <v>1307.0699999999997</v>
      </c>
      <c r="AI486" s="163">
        <f>IMSS[[#This Row],[EXC LIM INF]]*(VLOOKUP(IMSS[[#This Row],[LIM INF]],$AG$110:$AJ$120,4,0))</f>
        <v>142.20921599999997</v>
      </c>
      <c r="AJ486" s="163">
        <f>VLOOKUP(IMSS[[#This Row],[LIM INF]],$AG$110:$AJ$120,3)</f>
        <v>321.26</v>
      </c>
      <c r="AK486" s="163">
        <f>SUM(IMSS[[#This Row],[TASA EXC]]+IMSS[[#This Row],[CUOTA FIJA]])</f>
        <v>463.46921599999996</v>
      </c>
      <c r="AL486" s="163">
        <f>VLOOKUP(IMSS[[#This Row],[SUE MENS]],$AL$110:$AN$120,3,1)</f>
        <v>253.54</v>
      </c>
      <c r="AM486" s="248">
        <f>IF(IMSS[[#This Row],[ISR CARGO]]-IMSS[[#This Row],[SUBS ISR]]&gt;0,IMSS[[#This Row],[ISR CARGO]]-IMSS[[#This Row],[SUBS ISR]],0)</f>
        <v>209.92921599999997</v>
      </c>
      <c r="AN486" s="248">
        <f>IF(IMSS[[#This Row],[SUBS ISR]]-IMSS[[#This Row],[ISR CARGO]]&gt;0,IMSS[[#This Row],[SUBS ISR]]-IMSS[[#This Row],[ISR CARGO]],0)</f>
        <v>0</v>
      </c>
    </row>
    <row r="487" spans="3:40" ht="15" hidden="1" customHeight="1" x14ac:dyDescent="0.25">
      <c r="C487" s="243">
        <v>556</v>
      </c>
      <c r="D487" s="167" t="str">
        <f>VLOOKUP(IMSS[[#This Row],[NEM]],BDD[],2,0)</f>
        <v>Debany Rebeca Morales Rangel</v>
      </c>
      <c r="E487" s="167" t="str">
        <f>VLOOKUP(IMSS[[#This Row],[NEM]],BDD[],9,0)</f>
        <v>FACTURAS</v>
      </c>
      <c r="F487" s="168">
        <v>30</v>
      </c>
      <c r="G487" s="139">
        <f>VLOOKUP(IMSS[[#This Row],[NEM]],BDD[],3,0)</f>
        <v>8825</v>
      </c>
      <c r="H487" s="139">
        <f ca="1">VLOOKUP(IMSS[[#This Row],[NEM]],BDD[],25,0)</f>
        <v>323.98630136986299</v>
      </c>
      <c r="I487" s="143">
        <f>VLOOKUP(IMSS[[#This Row],[DEPT]],$B$3:$G$49,6,0)</f>
        <v>5.4355000000000002E-3</v>
      </c>
      <c r="J487" s="163">
        <f ca="1">IMSS[[#This Row],[DIAS LAB]]*IMSS[[#This Row],[SDI]]*IMSS[[#This Row],[% RSG]]*$Q$108</f>
        <v>52.83082623287671</v>
      </c>
      <c r="K487" s="163">
        <f>IMSS[[#This Row],[DIAS LAB]]*$J$110*$Q$109</f>
        <v>548.47440000000006</v>
      </c>
      <c r="L487" s="166">
        <f ca="1">IMSS[[#This Row],[DIAS LAB]]*IF(IMSS[[#This Row],[SDI]]-$J$113&gt;0,IMSS[[#This Row],[SDI]]-$J$113,0)*$Q$110</f>
        <v>18.191679452054778</v>
      </c>
      <c r="M487" s="166">
        <f ca="1">IMSS[[#This Row],[DIAS LAB]]*IMSS[[#This Row],[SDI]]*$Q$111</f>
        <v>102.05568493150685</v>
      </c>
      <c r="N487" s="163">
        <f ca="1">IMSS[[#This Row],[DIAS LAB]]*IMSS[[#This Row],[SDI]]*$Q$112</f>
        <v>68.037123287671221</v>
      </c>
      <c r="O487" s="166">
        <f ca="1">IMSS[[#This Row],[DIAS LAB]]*IMSS[[#This Row],[SDI]]*$Q$113</f>
        <v>170.09280821917807</v>
      </c>
      <c r="P487" s="163">
        <f ca="1">IMSS[[#This Row],[DIAS LAB]]*IMSS[[#This Row],[SDI]]*$Q$114</f>
        <v>97.195890410958896</v>
      </c>
      <c r="Q487" s="166">
        <f ca="1">IMSS[[#This Row],[DIAS LAB]]*IMSS[[#This Row],[SDI]]*$Q$115</f>
        <v>194.39178082191779</v>
      </c>
      <c r="R487" s="163">
        <f ca="1">IMSS[[#This Row],[DIAS LAB]]*IMSS[[#This Row],[SDI]]*$Q$116</f>
        <v>306.16705479452048</v>
      </c>
      <c r="S487" s="163">
        <f ca="1">IMSS[[#This Row],[DIAS LAB]]*IMSS[[#This Row],[SDI]]*$Q$117</f>
        <v>485.97945205479448</v>
      </c>
      <c r="T487" s="164">
        <f ca="1">SUM(IMSS[[#This Row],[P RSG TRB]:[P INFONAVIT]])</f>
        <v>2043.4167002054796</v>
      </c>
      <c r="U487" s="163">
        <f ca="1">IMSS[[#This Row],[DIAS LAB]]*IMSS[[#This Row],[SDI]]*IMSS[[#This Row],[% RSG]]*$R$108</f>
        <v>0</v>
      </c>
      <c r="V487" s="163">
        <f ca="1">IMSS[[#This Row],[DIAS LAB]]*IMSS[[#This Row],[SDI]]*$R$112</f>
        <v>24.298972602739724</v>
      </c>
      <c r="W487" s="163"/>
      <c r="X487" s="163">
        <f ca="1">IMSS[[#This Row],[DIAS LAB]]*IMSS[[#This Row],[SDI]]*$R$113</f>
        <v>61.233410958904102</v>
      </c>
      <c r="Y487" s="163">
        <f ca="1">IMSS[[#This Row],[DIAS LAB]]*IMSS[[#This Row],[SDI]]*$R$114</f>
        <v>0</v>
      </c>
      <c r="Z487" s="163">
        <f ca="1">IMSS[[#This Row],[DIAS LAB]]*IMSS[[#This Row],[SDI]]*$R$115</f>
        <v>0</v>
      </c>
      <c r="AA487" s="163">
        <f ca="1">IMSS[[#This Row],[DIAS LAB]]*IMSS[[#This Row],[SDI]]*$R$116</f>
        <v>109.83135616438354</v>
      </c>
      <c r="AB487" s="163">
        <f ca="1">IMSS[[#This Row],[DIAS LAB]]*IMSS[[#This Row],[SDI]]*$R$117</f>
        <v>0</v>
      </c>
      <c r="AC487" s="247">
        <f ca="1">SUM(IMSS[[#This Row],[O RSG TRB]:[O INFONAVIT]])</f>
        <v>195.36373972602735</v>
      </c>
      <c r="AD487" s="163"/>
      <c r="AE487" s="165">
        <f ca="1">IMSS[[#This Row],[P TOTAL]]+IMSS[[#This Row],[O TOTAL]]</f>
        <v>2238.7804399315069</v>
      </c>
      <c r="AF487" s="163"/>
      <c r="AG487" s="163">
        <f>VLOOKUP(IMSS[[#This Row],[SUE MENS]],$AG$110:$AJ$120,1,1)</f>
        <v>5470.93</v>
      </c>
      <c r="AH487" s="163">
        <f>IMSS[[#This Row],[SUE MENS]]-IMSS[[#This Row],[LIM INF]]</f>
        <v>3354.0699999999997</v>
      </c>
      <c r="AI487" s="163">
        <f>IMSS[[#This Row],[EXC LIM INF]]*(VLOOKUP(IMSS[[#This Row],[LIM INF]],$AG$110:$AJ$120,4,0))</f>
        <v>364.92281600000001</v>
      </c>
      <c r="AJ487" s="163">
        <f>VLOOKUP(IMSS[[#This Row],[LIM INF]],$AG$110:$AJ$120,3)</f>
        <v>321.26</v>
      </c>
      <c r="AK487" s="163">
        <f>SUM(IMSS[[#This Row],[TASA EXC]]+IMSS[[#This Row],[CUOTA FIJA]])</f>
        <v>686.182816</v>
      </c>
      <c r="AL487" s="163">
        <f>VLOOKUP(IMSS[[#This Row],[SUE MENS]],$AL$110:$AN$120,3,1)</f>
        <v>0</v>
      </c>
      <c r="AM487" s="248">
        <f>IF(IMSS[[#This Row],[ISR CARGO]]-IMSS[[#This Row],[SUBS ISR]]&gt;0,IMSS[[#This Row],[ISR CARGO]]-IMSS[[#This Row],[SUBS ISR]],0)</f>
        <v>686.182816</v>
      </c>
      <c r="AN487" s="248">
        <f>IF(IMSS[[#This Row],[SUBS ISR]]-IMSS[[#This Row],[ISR CARGO]]&gt;0,IMSS[[#This Row],[SUBS ISR]]-IMSS[[#This Row],[ISR CARGO]],0)</f>
        <v>0</v>
      </c>
    </row>
    <row r="488" spans="3:40" ht="15" hidden="1" customHeight="1" x14ac:dyDescent="0.25">
      <c r="C488" s="243">
        <v>558</v>
      </c>
      <c r="D488" s="167" t="str">
        <f>VLOOKUP(IMSS[[#This Row],[NEM]],BDD[],2,0)</f>
        <v>Miguel Angel Vazquez Parra</v>
      </c>
      <c r="E488" s="167" t="str">
        <f>VLOOKUP(IMSS[[#This Row],[NEM]],BDD[],9,0)</f>
        <v>INST CAMPO</v>
      </c>
      <c r="F488" s="168">
        <v>30</v>
      </c>
      <c r="G488" s="139">
        <f>VLOOKUP(IMSS[[#This Row],[NEM]],BDD[],3,0)</f>
        <v>9541</v>
      </c>
      <c r="H488" s="139">
        <f ca="1">VLOOKUP(IMSS[[#This Row],[NEM]],BDD[],25,0)</f>
        <v>350.27232876712327</v>
      </c>
      <c r="I488" s="143">
        <f>VLOOKUP(IMSS[[#This Row],[DEPT]],$B$3:$G$49,6,0)</f>
        <v>4.6532499999999997E-2</v>
      </c>
      <c r="J488" s="163">
        <f ca="1">IMSS[[#This Row],[DIAS LAB]]*IMSS[[#This Row],[SDI]]*IMSS[[#This Row],[% RSG]]*$Q$108</f>
        <v>488.97141415068489</v>
      </c>
      <c r="K488" s="163">
        <f>IMSS[[#This Row],[DIAS LAB]]*$J$110*$Q$109</f>
        <v>548.47440000000006</v>
      </c>
      <c r="L488" s="166">
        <f ca="1">IMSS[[#This Row],[DIAS LAB]]*IF(IMSS[[#This Row],[SDI]]-$J$113&gt;0,IMSS[[#This Row],[SDI]]-$J$113,0)*$Q$110</f>
        <v>26.866068493150674</v>
      </c>
      <c r="M488" s="166">
        <f ca="1">IMSS[[#This Row],[DIAS LAB]]*IMSS[[#This Row],[SDI]]*$Q$111</f>
        <v>110.33578356164384</v>
      </c>
      <c r="N488" s="163">
        <f ca="1">IMSS[[#This Row],[DIAS LAB]]*IMSS[[#This Row],[SDI]]*$Q$112</f>
        <v>73.557189041095882</v>
      </c>
      <c r="O488" s="166">
        <f ca="1">IMSS[[#This Row],[DIAS LAB]]*IMSS[[#This Row],[SDI]]*$Q$113</f>
        <v>183.89297260273972</v>
      </c>
      <c r="P488" s="163">
        <f ca="1">IMSS[[#This Row],[DIAS LAB]]*IMSS[[#This Row],[SDI]]*$Q$114</f>
        <v>105.08169863013698</v>
      </c>
      <c r="Q488" s="166">
        <f ca="1">IMSS[[#This Row],[DIAS LAB]]*IMSS[[#This Row],[SDI]]*$Q$115</f>
        <v>210.16339726027397</v>
      </c>
      <c r="R488" s="163">
        <f ca="1">IMSS[[#This Row],[DIAS LAB]]*IMSS[[#This Row],[SDI]]*$Q$116</f>
        <v>331.00735068493151</v>
      </c>
      <c r="S488" s="163">
        <f ca="1">IMSS[[#This Row],[DIAS LAB]]*IMSS[[#This Row],[SDI]]*$Q$117</f>
        <v>525.40849315068488</v>
      </c>
      <c r="T488" s="164">
        <f ca="1">SUM(IMSS[[#This Row],[P RSG TRB]:[P INFONAVIT]])</f>
        <v>2603.7587675753425</v>
      </c>
      <c r="U488" s="163">
        <f ca="1">IMSS[[#This Row],[DIAS LAB]]*IMSS[[#This Row],[SDI]]*IMSS[[#This Row],[% RSG]]*$R$108</f>
        <v>0</v>
      </c>
      <c r="V488" s="163">
        <f ca="1">IMSS[[#This Row],[DIAS LAB]]*IMSS[[#This Row],[SDI]]*$R$112</f>
        <v>26.270424657534246</v>
      </c>
      <c r="W488" s="163"/>
      <c r="X488" s="163">
        <f ca="1">IMSS[[#This Row],[DIAS LAB]]*IMSS[[#This Row],[SDI]]*$R$113</f>
        <v>66.201470136986302</v>
      </c>
      <c r="Y488" s="163">
        <f ca="1">IMSS[[#This Row],[DIAS LAB]]*IMSS[[#This Row],[SDI]]*$R$114</f>
        <v>0</v>
      </c>
      <c r="Z488" s="163">
        <f ca="1">IMSS[[#This Row],[DIAS LAB]]*IMSS[[#This Row],[SDI]]*$R$115</f>
        <v>0</v>
      </c>
      <c r="AA488" s="163">
        <f ca="1">IMSS[[#This Row],[DIAS LAB]]*IMSS[[#This Row],[SDI]]*$R$116</f>
        <v>118.74231945205479</v>
      </c>
      <c r="AB488" s="163">
        <f ca="1">IMSS[[#This Row],[DIAS LAB]]*IMSS[[#This Row],[SDI]]*$R$117</f>
        <v>0</v>
      </c>
      <c r="AC488" s="247">
        <f ca="1">SUM(IMSS[[#This Row],[O RSG TRB]:[O INFONAVIT]])</f>
        <v>211.21421424657535</v>
      </c>
      <c r="AD488" s="163"/>
      <c r="AE488" s="165">
        <f ca="1">IMSS[[#This Row],[P TOTAL]]+IMSS[[#This Row],[O TOTAL]]</f>
        <v>2814.972981821918</v>
      </c>
      <c r="AF488" s="163"/>
      <c r="AG488" s="163">
        <f>VLOOKUP(IMSS[[#This Row],[SUE MENS]],$AG$110:$AJ$120,1,1)</f>
        <v>5470.93</v>
      </c>
      <c r="AH488" s="163">
        <f>IMSS[[#This Row],[SUE MENS]]-IMSS[[#This Row],[LIM INF]]</f>
        <v>4070.0699999999997</v>
      </c>
      <c r="AI488" s="163">
        <f>IMSS[[#This Row],[EXC LIM INF]]*(VLOOKUP(IMSS[[#This Row],[LIM INF]],$AG$110:$AJ$120,4,0))</f>
        <v>442.82361600000002</v>
      </c>
      <c r="AJ488" s="163">
        <f>VLOOKUP(IMSS[[#This Row],[LIM INF]],$AG$110:$AJ$120,3)</f>
        <v>321.26</v>
      </c>
      <c r="AK488" s="163">
        <f>SUM(IMSS[[#This Row],[TASA EXC]]+IMSS[[#This Row],[CUOTA FIJA]])</f>
        <v>764.08361600000001</v>
      </c>
      <c r="AL488" s="163">
        <f>VLOOKUP(IMSS[[#This Row],[SUE MENS]],$AL$110:$AN$120,3,1)</f>
        <v>0</v>
      </c>
      <c r="AM488" s="248">
        <f>IF(IMSS[[#This Row],[ISR CARGO]]-IMSS[[#This Row],[SUBS ISR]]&gt;0,IMSS[[#This Row],[ISR CARGO]]-IMSS[[#This Row],[SUBS ISR]],0)</f>
        <v>764.08361600000001</v>
      </c>
      <c r="AN488" s="248">
        <f>IF(IMSS[[#This Row],[SUBS ISR]]-IMSS[[#This Row],[ISR CARGO]]&gt;0,IMSS[[#This Row],[SUBS ISR]]-IMSS[[#This Row],[ISR CARGO]],0)</f>
        <v>0</v>
      </c>
    </row>
    <row r="489" spans="3:40" ht="15" hidden="1" customHeight="1" x14ac:dyDescent="0.25">
      <c r="C489" s="243">
        <v>559</v>
      </c>
      <c r="D489" s="167" t="str">
        <f>VLOOKUP(IMSS[[#This Row],[NEM]],BDD[],2,0)</f>
        <v>Elías Arturo Garza Tiburcio</v>
      </c>
      <c r="E489" s="167" t="str">
        <f>VLOOKUP(IMSS[[#This Row],[NEM]],BDD[],9,0)</f>
        <v>ARQUITECT</v>
      </c>
      <c r="F489" s="168">
        <v>30</v>
      </c>
      <c r="G489" s="139">
        <f>VLOOKUP(IMSS[[#This Row],[NEM]],BDD[],3,0)</f>
        <v>7950</v>
      </c>
      <c r="H489" s="139">
        <f ca="1">VLOOKUP(IMSS[[#This Row],[NEM]],BDD[],25,0)</f>
        <v>291.86301369863014</v>
      </c>
      <c r="I489" s="143">
        <f>VLOOKUP(IMSS[[#This Row],[DEPT]],$B$3:$G$49,6,0)</f>
        <v>2.5984400000000001E-2</v>
      </c>
      <c r="J489" s="163">
        <f ca="1">IMSS[[#This Row],[DIAS LAB]]*IMSS[[#This Row],[SDI]]*IMSS[[#This Row],[% RSG]]*$Q$108</f>
        <v>227.51655879452056</v>
      </c>
      <c r="K489" s="163">
        <f>IMSS[[#This Row],[DIAS LAB]]*$J$110*$Q$109</f>
        <v>548.47440000000006</v>
      </c>
      <c r="L489" s="166">
        <f ca="1">IMSS[[#This Row],[DIAS LAB]]*IF(IMSS[[#This Row],[SDI]]-$J$113&gt;0,IMSS[[#This Row],[SDI]]-$J$113,0)*$Q$110</f>
        <v>7.5909945205479419</v>
      </c>
      <c r="M489" s="166">
        <f ca="1">IMSS[[#This Row],[DIAS LAB]]*IMSS[[#This Row],[SDI]]*$Q$111</f>
        <v>91.9368493150685</v>
      </c>
      <c r="N489" s="163">
        <f ca="1">IMSS[[#This Row],[DIAS LAB]]*IMSS[[#This Row],[SDI]]*$Q$112</f>
        <v>61.291232876712328</v>
      </c>
      <c r="O489" s="166">
        <f ca="1">IMSS[[#This Row],[DIAS LAB]]*IMSS[[#This Row],[SDI]]*$Q$113</f>
        <v>153.22808219178083</v>
      </c>
      <c r="P489" s="163">
        <f ca="1">IMSS[[#This Row],[DIAS LAB]]*IMSS[[#This Row],[SDI]]*$Q$114</f>
        <v>87.558904109589037</v>
      </c>
      <c r="Q489" s="166">
        <f ca="1">IMSS[[#This Row],[DIAS LAB]]*IMSS[[#This Row],[SDI]]*$Q$115</f>
        <v>175.11780821917807</v>
      </c>
      <c r="R489" s="163">
        <f ca="1">IMSS[[#This Row],[DIAS LAB]]*IMSS[[#This Row],[SDI]]*$Q$116</f>
        <v>275.81054794520549</v>
      </c>
      <c r="S489" s="163">
        <f ca="1">IMSS[[#This Row],[DIAS LAB]]*IMSS[[#This Row],[SDI]]*$Q$117</f>
        <v>437.79452054794524</v>
      </c>
      <c r="T489" s="164">
        <f ca="1">SUM(IMSS[[#This Row],[P RSG TRB]:[P INFONAVIT]])</f>
        <v>2066.3198985205481</v>
      </c>
      <c r="U489" s="163">
        <f ca="1">IMSS[[#This Row],[DIAS LAB]]*IMSS[[#This Row],[SDI]]*IMSS[[#This Row],[% RSG]]*$R$108</f>
        <v>0</v>
      </c>
      <c r="V489" s="163">
        <f ca="1">IMSS[[#This Row],[DIAS LAB]]*IMSS[[#This Row],[SDI]]*$R$112</f>
        <v>21.889726027397259</v>
      </c>
      <c r="W489" s="163"/>
      <c r="X489" s="163">
        <f ca="1">IMSS[[#This Row],[DIAS LAB]]*IMSS[[#This Row],[SDI]]*$R$113</f>
        <v>55.162109589041094</v>
      </c>
      <c r="Y489" s="163">
        <f ca="1">IMSS[[#This Row],[DIAS LAB]]*IMSS[[#This Row],[SDI]]*$R$114</f>
        <v>0</v>
      </c>
      <c r="Z489" s="163">
        <f ca="1">IMSS[[#This Row],[DIAS LAB]]*IMSS[[#This Row],[SDI]]*$R$115</f>
        <v>0</v>
      </c>
      <c r="AA489" s="163">
        <f ca="1">IMSS[[#This Row],[DIAS LAB]]*IMSS[[#This Row],[SDI]]*$R$116</f>
        <v>98.941561643835612</v>
      </c>
      <c r="AB489" s="163">
        <f ca="1">IMSS[[#This Row],[DIAS LAB]]*IMSS[[#This Row],[SDI]]*$R$117</f>
        <v>0</v>
      </c>
      <c r="AC489" s="247">
        <f ca="1">SUM(IMSS[[#This Row],[O RSG TRB]:[O INFONAVIT]])</f>
        <v>175.99339726027398</v>
      </c>
      <c r="AD489" s="163"/>
      <c r="AE489" s="165">
        <f ca="1">IMSS[[#This Row],[P TOTAL]]+IMSS[[#This Row],[O TOTAL]]</f>
        <v>2242.313295780822</v>
      </c>
      <c r="AF489" s="163"/>
      <c r="AG489" s="163">
        <f>VLOOKUP(IMSS[[#This Row],[SUE MENS]],$AG$110:$AJ$120,1,1)</f>
        <v>5470.93</v>
      </c>
      <c r="AH489" s="163">
        <f>IMSS[[#This Row],[SUE MENS]]-IMSS[[#This Row],[LIM INF]]</f>
        <v>2479.0699999999997</v>
      </c>
      <c r="AI489" s="163">
        <f>IMSS[[#This Row],[EXC LIM INF]]*(VLOOKUP(IMSS[[#This Row],[LIM INF]],$AG$110:$AJ$120,4,0))</f>
        <v>269.72281599999997</v>
      </c>
      <c r="AJ489" s="163">
        <f>VLOOKUP(IMSS[[#This Row],[LIM INF]],$AG$110:$AJ$120,3)</f>
        <v>321.26</v>
      </c>
      <c r="AK489" s="163">
        <f>SUM(IMSS[[#This Row],[TASA EXC]]+IMSS[[#This Row],[CUOTA FIJA]])</f>
        <v>590.98281599999996</v>
      </c>
      <c r="AL489" s="163">
        <f>VLOOKUP(IMSS[[#This Row],[SUE MENS]],$AL$110:$AN$120,3,1)</f>
        <v>0</v>
      </c>
      <c r="AM489" s="248">
        <f>IF(IMSS[[#This Row],[ISR CARGO]]-IMSS[[#This Row],[SUBS ISR]]&gt;0,IMSS[[#This Row],[ISR CARGO]]-IMSS[[#This Row],[SUBS ISR]],0)</f>
        <v>590.98281599999996</v>
      </c>
      <c r="AN489" s="248">
        <f>IF(IMSS[[#This Row],[SUBS ISR]]-IMSS[[#This Row],[ISR CARGO]]&gt;0,IMSS[[#This Row],[SUBS ISR]]-IMSS[[#This Row],[ISR CARGO]],0)</f>
        <v>0</v>
      </c>
    </row>
    <row r="490" spans="3:40" ht="15" hidden="1" customHeight="1" x14ac:dyDescent="0.25">
      <c r="C490" s="243">
        <v>560</v>
      </c>
      <c r="D490" s="167" t="str">
        <f>VLOOKUP(IMSS[[#This Row],[NEM]],BDD[],2,0)</f>
        <v>María Fernanda Plata Ruiz</v>
      </c>
      <c r="E490" s="167" t="str">
        <f>VLOOKUP(IMSS[[#This Row],[NEM]],BDD[],9,0)</f>
        <v>CRÉDITOS</v>
      </c>
      <c r="F490" s="168">
        <v>30</v>
      </c>
      <c r="G490" s="139">
        <f>VLOOKUP(IMSS[[#This Row],[NEM]],BDD[],3,0)</f>
        <v>9541</v>
      </c>
      <c r="H490" s="139">
        <f ca="1">VLOOKUP(IMSS[[#This Row],[NEM]],BDD[],25,0)</f>
        <v>350.27232876712327</v>
      </c>
      <c r="I490" s="143">
        <f>VLOOKUP(IMSS[[#This Row],[DEPT]],$B$3:$G$49,6,0)</f>
        <v>5.4355000000000002E-3</v>
      </c>
      <c r="J490" s="163">
        <f ca="1">IMSS[[#This Row],[DIAS LAB]]*IMSS[[#This Row],[SDI]]*IMSS[[#This Row],[% RSG]]*$Q$108</f>
        <v>57.117157290410958</v>
      </c>
      <c r="K490" s="163">
        <f>IMSS[[#This Row],[DIAS LAB]]*$J$110*$Q$109</f>
        <v>548.47440000000006</v>
      </c>
      <c r="L490" s="166">
        <f ca="1">IMSS[[#This Row],[DIAS LAB]]*IF(IMSS[[#This Row],[SDI]]-$J$113&gt;0,IMSS[[#This Row],[SDI]]-$J$113,0)*$Q$110</f>
        <v>26.866068493150674</v>
      </c>
      <c r="M490" s="166">
        <f ca="1">IMSS[[#This Row],[DIAS LAB]]*IMSS[[#This Row],[SDI]]*$Q$111</f>
        <v>110.33578356164384</v>
      </c>
      <c r="N490" s="163">
        <f ca="1">IMSS[[#This Row],[DIAS LAB]]*IMSS[[#This Row],[SDI]]*$Q$112</f>
        <v>73.557189041095882</v>
      </c>
      <c r="O490" s="166">
        <f ca="1">IMSS[[#This Row],[DIAS LAB]]*IMSS[[#This Row],[SDI]]*$Q$113</f>
        <v>183.89297260273972</v>
      </c>
      <c r="P490" s="163">
        <f ca="1">IMSS[[#This Row],[DIAS LAB]]*IMSS[[#This Row],[SDI]]*$Q$114</f>
        <v>105.08169863013698</v>
      </c>
      <c r="Q490" s="166">
        <f ca="1">IMSS[[#This Row],[DIAS LAB]]*IMSS[[#This Row],[SDI]]*$Q$115</f>
        <v>210.16339726027397</v>
      </c>
      <c r="R490" s="163">
        <f ca="1">IMSS[[#This Row],[DIAS LAB]]*IMSS[[#This Row],[SDI]]*$Q$116</f>
        <v>331.00735068493151</v>
      </c>
      <c r="S490" s="163">
        <f ca="1">IMSS[[#This Row],[DIAS LAB]]*IMSS[[#This Row],[SDI]]*$Q$117</f>
        <v>525.40849315068488</v>
      </c>
      <c r="T490" s="164">
        <f ca="1">SUM(IMSS[[#This Row],[P RSG TRB]:[P INFONAVIT]])</f>
        <v>2171.9045107150687</v>
      </c>
      <c r="U490" s="163">
        <f ca="1">IMSS[[#This Row],[DIAS LAB]]*IMSS[[#This Row],[SDI]]*IMSS[[#This Row],[% RSG]]*$R$108</f>
        <v>0</v>
      </c>
      <c r="V490" s="163">
        <f ca="1">IMSS[[#This Row],[DIAS LAB]]*IMSS[[#This Row],[SDI]]*$R$112</f>
        <v>26.270424657534246</v>
      </c>
      <c r="W490" s="163"/>
      <c r="X490" s="163">
        <f ca="1">IMSS[[#This Row],[DIAS LAB]]*IMSS[[#This Row],[SDI]]*$R$113</f>
        <v>66.201470136986302</v>
      </c>
      <c r="Y490" s="163">
        <f ca="1">IMSS[[#This Row],[DIAS LAB]]*IMSS[[#This Row],[SDI]]*$R$114</f>
        <v>0</v>
      </c>
      <c r="Z490" s="163">
        <f ca="1">IMSS[[#This Row],[DIAS LAB]]*IMSS[[#This Row],[SDI]]*$R$115</f>
        <v>0</v>
      </c>
      <c r="AA490" s="163">
        <f ca="1">IMSS[[#This Row],[DIAS LAB]]*IMSS[[#This Row],[SDI]]*$R$116</f>
        <v>118.74231945205479</v>
      </c>
      <c r="AB490" s="163">
        <f ca="1">IMSS[[#This Row],[DIAS LAB]]*IMSS[[#This Row],[SDI]]*$R$117</f>
        <v>0</v>
      </c>
      <c r="AC490" s="247">
        <f ca="1">SUM(IMSS[[#This Row],[O RSG TRB]:[O INFONAVIT]])</f>
        <v>211.21421424657535</v>
      </c>
      <c r="AD490" s="163"/>
      <c r="AE490" s="165">
        <f ca="1">IMSS[[#This Row],[P TOTAL]]+IMSS[[#This Row],[O TOTAL]]</f>
        <v>2383.1187249616441</v>
      </c>
      <c r="AF490" s="163"/>
      <c r="AG490" s="163">
        <f>VLOOKUP(IMSS[[#This Row],[SUE MENS]],$AG$110:$AJ$120,1,1)</f>
        <v>5470.93</v>
      </c>
      <c r="AH490" s="163">
        <f>IMSS[[#This Row],[SUE MENS]]-IMSS[[#This Row],[LIM INF]]</f>
        <v>4070.0699999999997</v>
      </c>
      <c r="AI490" s="163">
        <f>IMSS[[#This Row],[EXC LIM INF]]*(VLOOKUP(IMSS[[#This Row],[LIM INF]],$AG$110:$AJ$120,4,0))</f>
        <v>442.82361600000002</v>
      </c>
      <c r="AJ490" s="163">
        <f>VLOOKUP(IMSS[[#This Row],[LIM INF]],$AG$110:$AJ$120,3)</f>
        <v>321.26</v>
      </c>
      <c r="AK490" s="163">
        <f>SUM(IMSS[[#This Row],[TASA EXC]]+IMSS[[#This Row],[CUOTA FIJA]])</f>
        <v>764.08361600000001</v>
      </c>
      <c r="AL490" s="163">
        <f>VLOOKUP(IMSS[[#This Row],[SUE MENS]],$AL$110:$AN$120,3,1)</f>
        <v>0</v>
      </c>
      <c r="AM490" s="248">
        <f>IF(IMSS[[#This Row],[ISR CARGO]]-IMSS[[#This Row],[SUBS ISR]]&gt;0,IMSS[[#This Row],[ISR CARGO]]-IMSS[[#This Row],[SUBS ISR]],0)</f>
        <v>764.08361600000001</v>
      </c>
      <c r="AN490" s="248">
        <f>IF(IMSS[[#This Row],[SUBS ISR]]-IMSS[[#This Row],[ISR CARGO]]&gt;0,IMSS[[#This Row],[SUBS ISR]]-IMSS[[#This Row],[ISR CARGO]],0)</f>
        <v>0</v>
      </c>
    </row>
    <row r="491" spans="3:40" ht="15" hidden="1" customHeight="1" x14ac:dyDescent="0.25">
      <c r="C491" s="243">
        <v>561</v>
      </c>
      <c r="D491" s="167" t="str">
        <f>VLOOKUP(IMSS[[#This Row],[NEM]],BDD[],2,0)</f>
        <v>Patricia Nava Torres</v>
      </c>
      <c r="E491" s="167" t="str">
        <f>VLOOKUP(IMSS[[#This Row],[NEM]],BDD[],9,0)</f>
        <v>SOFTWARE</v>
      </c>
      <c r="F491" s="168">
        <v>30</v>
      </c>
      <c r="G491" s="139">
        <f>VLOOKUP(IMSS[[#This Row],[NEM]],BDD[],3,0)</f>
        <v>9450</v>
      </c>
      <c r="H491" s="139">
        <f ca="1">VLOOKUP(IMSS[[#This Row],[NEM]],BDD[],25,0)</f>
        <v>346.93150684931504</v>
      </c>
      <c r="I491" s="143">
        <f>VLOOKUP(IMSS[[#This Row],[DEPT]],$B$3:$G$49,6,0)</f>
        <v>1.130658E-2</v>
      </c>
      <c r="J491" s="163">
        <f ca="1">IMSS[[#This Row],[DIAS LAB]]*IMSS[[#This Row],[SDI]]*IMSS[[#This Row],[% RSG]]*$Q$108</f>
        <v>117.67826510136985</v>
      </c>
      <c r="K491" s="163">
        <f>IMSS[[#This Row],[DIAS LAB]]*$J$110*$Q$109</f>
        <v>548.47440000000006</v>
      </c>
      <c r="L491" s="166">
        <f ca="1">IMSS[[#This Row],[DIAS LAB]]*IF(IMSS[[#This Row],[SDI]]-$J$113&gt;0,IMSS[[#This Row],[SDI]]-$J$113,0)*$Q$110</f>
        <v>25.763597260273958</v>
      </c>
      <c r="M491" s="166">
        <f ca="1">IMSS[[#This Row],[DIAS LAB]]*IMSS[[#This Row],[SDI]]*$Q$111</f>
        <v>109.28342465753424</v>
      </c>
      <c r="N491" s="163">
        <f ca="1">IMSS[[#This Row],[DIAS LAB]]*IMSS[[#This Row],[SDI]]*$Q$112</f>
        <v>72.855616438356165</v>
      </c>
      <c r="O491" s="166">
        <f ca="1">IMSS[[#This Row],[DIAS LAB]]*IMSS[[#This Row],[SDI]]*$Q$113</f>
        <v>182.13904109589041</v>
      </c>
      <c r="P491" s="163">
        <f ca="1">IMSS[[#This Row],[DIAS LAB]]*IMSS[[#This Row],[SDI]]*$Q$114</f>
        <v>104.07945205479452</v>
      </c>
      <c r="Q491" s="166">
        <f ca="1">IMSS[[#This Row],[DIAS LAB]]*IMSS[[#This Row],[SDI]]*$Q$115</f>
        <v>208.15890410958903</v>
      </c>
      <c r="R491" s="163">
        <f ca="1">IMSS[[#This Row],[DIAS LAB]]*IMSS[[#This Row],[SDI]]*$Q$116</f>
        <v>327.85027397260274</v>
      </c>
      <c r="S491" s="163">
        <f ca="1">IMSS[[#This Row],[DIAS LAB]]*IMSS[[#This Row],[SDI]]*$Q$117</f>
        <v>520.39726027397262</v>
      </c>
      <c r="T491" s="164">
        <f ca="1">SUM(IMSS[[#This Row],[P RSG TRB]:[P INFONAVIT]])</f>
        <v>2216.6802349643835</v>
      </c>
      <c r="U491" s="163">
        <f ca="1">IMSS[[#This Row],[DIAS LAB]]*IMSS[[#This Row],[SDI]]*IMSS[[#This Row],[% RSG]]*$R$108</f>
        <v>0</v>
      </c>
      <c r="V491" s="163">
        <f ca="1">IMSS[[#This Row],[DIAS LAB]]*IMSS[[#This Row],[SDI]]*$R$112</f>
        <v>26.019863013698629</v>
      </c>
      <c r="W491" s="163"/>
      <c r="X491" s="163">
        <f ca="1">IMSS[[#This Row],[DIAS LAB]]*IMSS[[#This Row],[SDI]]*$R$113</f>
        <v>65.570054794520544</v>
      </c>
      <c r="Y491" s="163">
        <f ca="1">IMSS[[#This Row],[DIAS LAB]]*IMSS[[#This Row],[SDI]]*$R$114</f>
        <v>0</v>
      </c>
      <c r="Z491" s="163">
        <f ca="1">IMSS[[#This Row],[DIAS LAB]]*IMSS[[#This Row],[SDI]]*$R$115</f>
        <v>0</v>
      </c>
      <c r="AA491" s="163">
        <f ca="1">IMSS[[#This Row],[DIAS LAB]]*IMSS[[#This Row],[SDI]]*$R$116</f>
        <v>117.60978082191779</v>
      </c>
      <c r="AB491" s="163">
        <f ca="1">IMSS[[#This Row],[DIAS LAB]]*IMSS[[#This Row],[SDI]]*$R$117</f>
        <v>0</v>
      </c>
      <c r="AC491" s="247">
        <f ca="1">SUM(IMSS[[#This Row],[O RSG TRB]:[O INFONAVIT]])</f>
        <v>209.19969863013696</v>
      </c>
      <c r="AD491" s="163"/>
      <c r="AE491" s="165">
        <f ca="1">IMSS[[#This Row],[P TOTAL]]+IMSS[[#This Row],[O TOTAL]]</f>
        <v>2425.8799335945205</v>
      </c>
      <c r="AF491" s="163"/>
      <c r="AG491" s="163">
        <f>VLOOKUP(IMSS[[#This Row],[SUE MENS]],$AG$110:$AJ$120,1,1)</f>
        <v>5470.93</v>
      </c>
      <c r="AH491" s="163">
        <f>IMSS[[#This Row],[SUE MENS]]-IMSS[[#This Row],[LIM INF]]</f>
        <v>3979.0699999999997</v>
      </c>
      <c r="AI491" s="163">
        <f>IMSS[[#This Row],[EXC LIM INF]]*(VLOOKUP(IMSS[[#This Row],[LIM INF]],$AG$110:$AJ$120,4,0))</f>
        <v>432.92281600000001</v>
      </c>
      <c r="AJ491" s="163">
        <f>VLOOKUP(IMSS[[#This Row],[LIM INF]],$AG$110:$AJ$120,3)</f>
        <v>321.26</v>
      </c>
      <c r="AK491" s="163">
        <f>SUM(IMSS[[#This Row],[TASA EXC]]+IMSS[[#This Row],[CUOTA FIJA]])</f>
        <v>754.182816</v>
      </c>
      <c r="AL491" s="163">
        <f>VLOOKUP(IMSS[[#This Row],[SUE MENS]],$AL$110:$AN$120,3,1)</f>
        <v>0</v>
      </c>
      <c r="AM491" s="248">
        <f>IF(IMSS[[#This Row],[ISR CARGO]]-IMSS[[#This Row],[SUBS ISR]]&gt;0,IMSS[[#This Row],[ISR CARGO]]-IMSS[[#This Row],[SUBS ISR]],0)</f>
        <v>754.182816</v>
      </c>
      <c r="AN491" s="248">
        <f>IF(IMSS[[#This Row],[SUBS ISR]]-IMSS[[#This Row],[ISR CARGO]]&gt;0,IMSS[[#This Row],[SUBS ISR]]-IMSS[[#This Row],[ISR CARGO]],0)</f>
        <v>0</v>
      </c>
    </row>
    <row r="492" spans="3:40" ht="15" hidden="1" customHeight="1" x14ac:dyDescent="0.25">
      <c r="C492" s="243">
        <v>562</v>
      </c>
      <c r="D492" s="167" t="str">
        <f>VLOOKUP(IMSS[[#This Row],[NEM]],BDD[],2,0)</f>
        <v>María del Rosario Salinas Rivera</v>
      </c>
      <c r="E492" s="167" t="str">
        <f>VLOOKUP(IMSS[[#This Row],[NEM]],BDD[],9,0)</f>
        <v>RENDER</v>
      </c>
      <c r="F492" s="168">
        <v>30</v>
      </c>
      <c r="G492" s="139">
        <f>VLOOKUP(IMSS[[#This Row],[NEM]],BDD[],3,0)</f>
        <v>27150</v>
      </c>
      <c r="H492" s="139">
        <f ca="1">VLOOKUP(IMSS[[#This Row],[NEM]],BDD[],25,0)</f>
        <v>996.73972602739718</v>
      </c>
      <c r="I492" s="143">
        <f>VLOOKUP(IMSS[[#This Row],[DEPT]],$B$3:$G$49,6,0)</f>
        <v>2.5984400000000001E-2</v>
      </c>
      <c r="J492" s="163">
        <f ca="1">IMSS[[#This Row],[DIAS LAB]]*IMSS[[#This Row],[SDI]]*IMSS[[#This Row],[% RSG]]*$Q$108</f>
        <v>776.99051210958896</v>
      </c>
      <c r="K492" s="163">
        <f>IMSS[[#This Row],[DIAS LAB]]*$J$110*$Q$109</f>
        <v>548.47440000000006</v>
      </c>
      <c r="L492" s="166">
        <f ca="1">IMSS[[#This Row],[DIAS LAB]]*IF(IMSS[[#This Row],[SDI]]-$J$113&gt;0,IMSS[[#This Row],[SDI]]-$J$113,0)*$Q$110</f>
        <v>240.20030958904107</v>
      </c>
      <c r="M492" s="166">
        <f ca="1">IMSS[[#This Row],[DIAS LAB]]*IMSS[[#This Row],[SDI]]*$Q$111</f>
        <v>313.97301369863015</v>
      </c>
      <c r="N492" s="163">
        <f ca="1">IMSS[[#This Row],[DIAS LAB]]*IMSS[[#This Row],[SDI]]*$Q$112</f>
        <v>209.31534246575342</v>
      </c>
      <c r="O492" s="166">
        <f ca="1">IMSS[[#This Row],[DIAS LAB]]*IMSS[[#This Row],[SDI]]*$Q$113</f>
        <v>523.28835616438357</v>
      </c>
      <c r="P492" s="163">
        <f ca="1">IMSS[[#This Row],[DIAS LAB]]*IMSS[[#This Row],[SDI]]*$Q$114</f>
        <v>299.02191780821914</v>
      </c>
      <c r="Q492" s="166">
        <f ca="1">IMSS[[#This Row],[DIAS LAB]]*IMSS[[#This Row],[SDI]]*$Q$115</f>
        <v>598.04383561643829</v>
      </c>
      <c r="R492" s="163">
        <f ca="1">IMSS[[#This Row],[DIAS LAB]]*IMSS[[#This Row],[SDI]]*$Q$116</f>
        <v>941.91904109589029</v>
      </c>
      <c r="S492" s="163">
        <f ca="1">IMSS[[#This Row],[DIAS LAB]]*IMSS[[#This Row],[SDI]]*$Q$117</f>
        <v>1495.1095890410959</v>
      </c>
      <c r="T492" s="164">
        <f ca="1">SUM(IMSS[[#This Row],[P RSG TRB]:[P INFONAVIT]])</f>
        <v>5946.3363175890408</v>
      </c>
      <c r="U492" s="163">
        <f ca="1">IMSS[[#This Row],[DIAS LAB]]*IMSS[[#This Row],[SDI]]*IMSS[[#This Row],[% RSG]]*$R$108</f>
        <v>0</v>
      </c>
      <c r="V492" s="163">
        <f ca="1">IMSS[[#This Row],[DIAS LAB]]*IMSS[[#This Row],[SDI]]*$R$112</f>
        <v>74.755479452054786</v>
      </c>
      <c r="W492" s="163"/>
      <c r="X492" s="163">
        <f ca="1">IMSS[[#This Row],[DIAS LAB]]*IMSS[[#This Row],[SDI]]*$R$113</f>
        <v>188.38380821917806</v>
      </c>
      <c r="Y492" s="163">
        <f ca="1">IMSS[[#This Row],[DIAS LAB]]*IMSS[[#This Row],[SDI]]*$R$114</f>
        <v>0</v>
      </c>
      <c r="Z492" s="163">
        <f ca="1">IMSS[[#This Row],[DIAS LAB]]*IMSS[[#This Row],[SDI]]*$R$115</f>
        <v>0</v>
      </c>
      <c r="AA492" s="163">
        <f ca="1">IMSS[[#This Row],[DIAS LAB]]*IMSS[[#This Row],[SDI]]*$R$116</f>
        <v>337.89476712328764</v>
      </c>
      <c r="AB492" s="163">
        <f ca="1">IMSS[[#This Row],[DIAS LAB]]*IMSS[[#This Row],[SDI]]*$R$117</f>
        <v>0</v>
      </c>
      <c r="AC492" s="247">
        <f ca="1">SUM(IMSS[[#This Row],[O RSG TRB]:[O INFONAVIT]])</f>
        <v>601.03405479452044</v>
      </c>
      <c r="AD492" s="163"/>
      <c r="AE492" s="165">
        <f ca="1">IMSS[[#This Row],[P TOTAL]]+IMSS[[#This Row],[O TOTAL]]</f>
        <v>6547.3703723835615</v>
      </c>
      <c r="AF492" s="163"/>
      <c r="AG492" s="163">
        <f>VLOOKUP(IMSS[[#This Row],[SUE MENS]],$AG$110:$AJ$120,1,1)</f>
        <v>26988.51</v>
      </c>
      <c r="AH492" s="163">
        <f>IMSS[[#This Row],[SUE MENS]]-IMSS[[#This Row],[LIM INF]]</f>
        <v>161.4900000000016</v>
      </c>
      <c r="AI492" s="163">
        <f>IMSS[[#This Row],[EXC LIM INF]]*(VLOOKUP(IMSS[[#This Row],[LIM INF]],$AG$110:$AJ$120,4,0))</f>
        <v>37.982448000000375</v>
      </c>
      <c r="AJ492" s="163">
        <f>VLOOKUP(IMSS[[#This Row],[LIM INF]],$AG$110:$AJ$120,3)</f>
        <v>4323.58</v>
      </c>
      <c r="AK492" s="163">
        <f>SUM(IMSS[[#This Row],[TASA EXC]]+IMSS[[#This Row],[CUOTA FIJA]])</f>
        <v>4361.5624480000006</v>
      </c>
      <c r="AL492" s="163">
        <f>VLOOKUP(IMSS[[#This Row],[SUE MENS]],$AL$110:$AN$120,3,1)</f>
        <v>0</v>
      </c>
      <c r="AM492" s="248">
        <f>IF(IMSS[[#This Row],[ISR CARGO]]-IMSS[[#This Row],[SUBS ISR]]&gt;0,IMSS[[#This Row],[ISR CARGO]]-IMSS[[#This Row],[SUBS ISR]],0)</f>
        <v>4361.5624480000006</v>
      </c>
      <c r="AN492" s="248">
        <f>IF(IMSS[[#This Row],[SUBS ISR]]-IMSS[[#This Row],[ISR CARGO]]&gt;0,IMSS[[#This Row],[SUBS ISR]]-IMSS[[#This Row],[ISR CARGO]],0)</f>
        <v>0</v>
      </c>
    </row>
    <row r="493" spans="3:40" ht="15" hidden="1" customHeight="1" x14ac:dyDescent="0.25">
      <c r="C493" s="243">
        <v>563</v>
      </c>
      <c r="D493" s="167" t="str">
        <f>VLOOKUP(IMSS[[#This Row],[NEM]],BDD[],2,0)</f>
        <v>María Guadalupe Cortes Trejo</v>
      </c>
      <c r="E493" s="167" t="str">
        <f>VLOOKUP(IMSS[[#This Row],[NEM]],BDD[],9,0)</f>
        <v>INST CAMPO</v>
      </c>
      <c r="F493" s="168">
        <v>30</v>
      </c>
      <c r="G493" s="139">
        <f>VLOOKUP(IMSS[[#This Row],[NEM]],BDD[],3,0)</f>
        <v>6778</v>
      </c>
      <c r="H493" s="139">
        <f ca="1">VLOOKUP(IMSS[[#This Row],[NEM]],BDD[],25,0)</f>
        <v>237.38474885844749</v>
      </c>
      <c r="I493" s="143">
        <f>VLOOKUP(IMSS[[#This Row],[DEPT]],$B$3:$G$49,6,0)</f>
        <v>4.6532499999999997E-2</v>
      </c>
      <c r="J493" s="163">
        <f ca="1">IMSS[[#This Row],[DIAS LAB]]*IMSS[[#This Row],[SDI]]*IMSS[[#This Row],[% RSG]]*$Q$108</f>
        <v>331.38317478767124</v>
      </c>
      <c r="K493" s="163">
        <f>IMSS[[#This Row],[DIAS LAB]]*$J$110*$Q$109</f>
        <v>548.47440000000006</v>
      </c>
      <c r="L493" s="166">
        <f ca="1">IMSS[[#This Row],[DIAS LAB]]*IF(IMSS[[#This Row],[SDI]]-$J$113&gt;0,IMSS[[#This Row],[SDI]]-$J$113,0)*$Q$110</f>
        <v>0</v>
      </c>
      <c r="M493" s="166">
        <f ca="1">IMSS[[#This Row],[DIAS LAB]]*IMSS[[#This Row],[SDI]]*$Q$111</f>
        <v>74.77619589041096</v>
      </c>
      <c r="N493" s="163">
        <f ca="1">IMSS[[#This Row],[DIAS LAB]]*IMSS[[#This Row],[SDI]]*$Q$112</f>
        <v>49.850797260273978</v>
      </c>
      <c r="O493" s="166">
        <f ca="1">IMSS[[#This Row],[DIAS LAB]]*IMSS[[#This Row],[SDI]]*$Q$113</f>
        <v>124.62699315068495</v>
      </c>
      <c r="P493" s="163">
        <f ca="1">IMSS[[#This Row],[DIAS LAB]]*IMSS[[#This Row],[SDI]]*$Q$114</f>
        <v>71.215424657534257</v>
      </c>
      <c r="Q493" s="166">
        <f ca="1">IMSS[[#This Row],[DIAS LAB]]*IMSS[[#This Row],[SDI]]*$Q$115</f>
        <v>142.43084931506851</v>
      </c>
      <c r="R493" s="163">
        <f ca="1">IMSS[[#This Row],[DIAS LAB]]*IMSS[[#This Row],[SDI]]*$Q$116</f>
        <v>224.3285876712329</v>
      </c>
      <c r="S493" s="163">
        <f ca="1">IMSS[[#This Row],[DIAS LAB]]*IMSS[[#This Row],[SDI]]*$Q$117</f>
        <v>356.07712328767127</v>
      </c>
      <c r="T493" s="164">
        <f ca="1">SUM(IMSS[[#This Row],[P RSG TRB]:[P INFONAVIT]])</f>
        <v>1923.1635460205484</v>
      </c>
      <c r="U493" s="163">
        <f ca="1">IMSS[[#This Row],[DIAS LAB]]*IMSS[[#This Row],[SDI]]*IMSS[[#This Row],[% RSG]]*$R$108</f>
        <v>0</v>
      </c>
      <c r="V493" s="163">
        <f ca="1">IMSS[[#This Row],[DIAS LAB]]*IMSS[[#This Row],[SDI]]*$R$112</f>
        <v>17.803856164383564</v>
      </c>
      <c r="W493" s="163"/>
      <c r="X493" s="163">
        <f ca="1">IMSS[[#This Row],[DIAS LAB]]*IMSS[[#This Row],[SDI]]*$R$113</f>
        <v>44.865717534246578</v>
      </c>
      <c r="Y493" s="163">
        <f ca="1">IMSS[[#This Row],[DIAS LAB]]*IMSS[[#This Row],[SDI]]*$R$114</f>
        <v>0</v>
      </c>
      <c r="Z493" s="163">
        <f ca="1">IMSS[[#This Row],[DIAS LAB]]*IMSS[[#This Row],[SDI]]*$R$115</f>
        <v>0</v>
      </c>
      <c r="AA493" s="163">
        <f ca="1">IMSS[[#This Row],[DIAS LAB]]*IMSS[[#This Row],[SDI]]*$R$116</f>
        <v>80.473429863013692</v>
      </c>
      <c r="AB493" s="163">
        <f ca="1">IMSS[[#This Row],[DIAS LAB]]*IMSS[[#This Row],[SDI]]*$R$117</f>
        <v>0</v>
      </c>
      <c r="AC493" s="247">
        <f ca="1">SUM(IMSS[[#This Row],[O RSG TRB]:[O INFONAVIT]])</f>
        <v>143.14300356164384</v>
      </c>
      <c r="AD493" s="163"/>
      <c r="AE493" s="165">
        <f ca="1">IMSS[[#This Row],[P TOTAL]]+IMSS[[#This Row],[O TOTAL]]</f>
        <v>2066.3065495821925</v>
      </c>
      <c r="AF493" s="163"/>
      <c r="AG493" s="163">
        <f>VLOOKUP(IMSS[[#This Row],[SUE MENS]],$AG$110:$AJ$120,1,1)</f>
        <v>5470.93</v>
      </c>
      <c r="AH493" s="163">
        <f>IMSS[[#This Row],[SUE MENS]]-IMSS[[#This Row],[LIM INF]]</f>
        <v>1307.0699999999997</v>
      </c>
      <c r="AI493" s="163">
        <f>IMSS[[#This Row],[EXC LIM INF]]*(VLOOKUP(IMSS[[#This Row],[LIM INF]],$AG$110:$AJ$120,4,0))</f>
        <v>142.20921599999997</v>
      </c>
      <c r="AJ493" s="163">
        <f>VLOOKUP(IMSS[[#This Row],[LIM INF]],$AG$110:$AJ$120,3)</f>
        <v>321.26</v>
      </c>
      <c r="AK493" s="163">
        <f>SUM(IMSS[[#This Row],[TASA EXC]]+IMSS[[#This Row],[CUOTA FIJA]])</f>
        <v>463.46921599999996</v>
      </c>
      <c r="AL493" s="163">
        <f>VLOOKUP(IMSS[[#This Row],[SUE MENS]],$AL$110:$AN$120,3,1)</f>
        <v>253.54</v>
      </c>
      <c r="AM493" s="248">
        <f>IF(IMSS[[#This Row],[ISR CARGO]]-IMSS[[#This Row],[SUBS ISR]]&gt;0,IMSS[[#This Row],[ISR CARGO]]-IMSS[[#This Row],[SUBS ISR]],0)</f>
        <v>209.92921599999997</v>
      </c>
      <c r="AN493" s="248">
        <f>IF(IMSS[[#This Row],[SUBS ISR]]-IMSS[[#This Row],[ISR CARGO]]&gt;0,IMSS[[#This Row],[SUBS ISR]]-IMSS[[#This Row],[ISR CARGO]],0)</f>
        <v>0</v>
      </c>
    </row>
    <row r="494" spans="3:40" ht="15" hidden="1" customHeight="1" x14ac:dyDescent="0.25">
      <c r="C494" s="243">
        <v>564</v>
      </c>
      <c r="D494" s="167" t="str">
        <f>VLOOKUP(IMSS[[#This Row],[NEM]],BDD[],2,0)</f>
        <v>Katya Daniela Rodriguez Ochoa</v>
      </c>
      <c r="E494" s="167" t="str">
        <f>VLOOKUP(IMSS[[#This Row],[NEM]],BDD[],9,0)</f>
        <v>AUDIT ADMN</v>
      </c>
      <c r="F494" s="168">
        <v>30</v>
      </c>
      <c r="G494" s="139">
        <f>VLOOKUP(IMSS[[#This Row],[NEM]],BDD[],3,0)</f>
        <v>7445</v>
      </c>
      <c r="H494" s="139">
        <f ca="1">VLOOKUP(IMSS[[#This Row],[NEM]],BDD[],25,0)</f>
        <v>273.32328767123283</v>
      </c>
      <c r="I494" s="143">
        <f>VLOOKUP(IMSS[[#This Row],[DEPT]],$B$3:$G$49,6,0)</f>
        <v>5.4355000000000002E-3</v>
      </c>
      <c r="J494" s="163">
        <f ca="1">IMSS[[#This Row],[DIAS LAB]]*IMSS[[#This Row],[SDI]]*IMSS[[#This Row],[% RSG]]*$Q$108</f>
        <v>44.569461904109588</v>
      </c>
      <c r="K494" s="163">
        <f>IMSS[[#This Row],[DIAS LAB]]*$J$110*$Q$109</f>
        <v>548.47440000000006</v>
      </c>
      <c r="L494" s="166">
        <f ca="1">IMSS[[#This Row],[DIAS LAB]]*IF(IMSS[[#This Row],[SDI]]-$J$113&gt;0,IMSS[[#This Row],[SDI]]-$J$113,0)*$Q$110</f>
        <v>1.4728849315068304</v>
      </c>
      <c r="M494" s="166">
        <f ca="1">IMSS[[#This Row],[DIAS LAB]]*IMSS[[#This Row],[SDI]]*$Q$111</f>
        <v>86.096835616438355</v>
      </c>
      <c r="N494" s="163">
        <f ca="1">IMSS[[#This Row],[DIAS LAB]]*IMSS[[#This Row],[SDI]]*$Q$112</f>
        <v>57.397890410958901</v>
      </c>
      <c r="O494" s="166">
        <f ca="1">IMSS[[#This Row],[DIAS LAB]]*IMSS[[#This Row],[SDI]]*$Q$113</f>
        <v>143.49472602739726</v>
      </c>
      <c r="P494" s="163">
        <f ca="1">IMSS[[#This Row],[DIAS LAB]]*IMSS[[#This Row],[SDI]]*$Q$114</f>
        <v>81.996986301369859</v>
      </c>
      <c r="Q494" s="166">
        <f ca="1">IMSS[[#This Row],[DIAS LAB]]*IMSS[[#This Row],[SDI]]*$Q$115</f>
        <v>163.99397260273972</v>
      </c>
      <c r="R494" s="163">
        <f ca="1">IMSS[[#This Row],[DIAS LAB]]*IMSS[[#This Row],[SDI]]*$Q$116</f>
        <v>258.29050684931502</v>
      </c>
      <c r="S494" s="163">
        <f ca="1">IMSS[[#This Row],[DIAS LAB]]*IMSS[[#This Row],[SDI]]*$Q$117</f>
        <v>409.98493150684931</v>
      </c>
      <c r="T494" s="164">
        <f ca="1">SUM(IMSS[[#This Row],[P RSG TRB]:[P INFONAVIT]])</f>
        <v>1795.7725961506851</v>
      </c>
      <c r="U494" s="163">
        <f ca="1">IMSS[[#This Row],[DIAS LAB]]*IMSS[[#This Row],[SDI]]*IMSS[[#This Row],[% RSG]]*$R$108</f>
        <v>0</v>
      </c>
      <c r="V494" s="163">
        <f ca="1">IMSS[[#This Row],[DIAS LAB]]*IMSS[[#This Row],[SDI]]*$R$112</f>
        <v>20.499246575342465</v>
      </c>
      <c r="W494" s="163"/>
      <c r="X494" s="163">
        <f ca="1">IMSS[[#This Row],[DIAS LAB]]*IMSS[[#This Row],[SDI]]*$R$113</f>
        <v>51.658101369863004</v>
      </c>
      <c r="Y494" s="163">
        <f ca="1">IMSS[[#This Row],[DIAS LAB]]*IMSS[[#This Row],[SDI]]*$R$114</f>
        <v>0</v>
      </c>
      <c r="Z494" s="163">
        <f ca="1">IMSS[[#This Row],[DIAS LAB]]*IMSS[[#This Row],[SDI]]*$R$115</f>
        <v>0</v>
      </c>
      <c r="AA494" s="163">
        <f ca="1">IMSS[[#This Row],[DIAS LAB]]*IMSS[[#This Row],[SDI]]*$R$116</f>
        <v>92.656594520547927</v>
      </c>
      <c r="AB494" s="163">
        <f ca="1">IMSS[[#This Row],[DIAS LAB]]*IMSS[[#This Row],[SDI]]*$R$117</f>
        <v>0</v>
      </c>
      <c r="AC494" s="247">
        <f ca="1">SUM(IMSS[[#This Row],[O RSG TRB]:[O INFONAVIT]])</f>
        <v>164.8139424657534</v>
      </c>
      <c r="AD494" s="163"/>
      <c r="AE494" s="165">
        <f ca="1">IMSS[[#This Row],[P TOTAL]]+IMSS[[#This Row],[O TOTAL]]</f>
        <v>1960.5865386164385</v>
      </c>
      <c r="AF494" s="163"/>
      <c r="AG494" s="163">
        <f>VLOOKUP(IMSS[[#This Row],[SUE MENS]],$AG$110:$AJ$120,1,1)</f>
        <v>5470.93</v>
      </c>
      <c r="AH494" s="163">
        <f>IMSS[[#This Row],[SUE MENS]]-IMSS[[#This Row],[LIM INF]]</f>
        <v>1974.0699999999997</v>
      </c>
      <c r="AI494" s="163">
        <f>IMSS[[#This Row],[EXC LIM INF]]*(VLOOKUP(IMSS[[#This Row],[LIM INF]],$AG$110:$AJ$120,4,0))</f>
        <v>214.77881599999998</v>
      </c>
      <c r="AJ494" s="163">
        <f>VLOOKUP(IMSS[[#This Row],[LIM INF]],$AG$110:$AJ$120,3)</f>
        <v>321.26</v>
      </c>
      <c r="AK494" s="163">
        <f>SUM(IMSS[[#This Row],[TASA EXC]]+IMSS[[#This Row],[CUOTA FIJA]])</f>
        <v>536.038816</v>
      </c>
      <c r="AL494" s="163">
        <f>VLOOKUP(IMSS[[#This Row],[SUE MENS]],$AL$110:$AN$120,3,1)</f>
        <v>0</v>
      </c>
      <c r="AM494" s="248">
        <f>IF(IMSS[[#This Row],[ISR CARGO]]-IMSS[[#This Row],[SUBS ISR]]&gt;0,IMSS[[#This Row],[ISR CARGO]]-IMSS[[#This Row],[SUBS ISR]],0)</f>
        <v>536.038816</v>
      </c>
      <c r="AN494" s="248">
        <f>IF(IMSS[[#This Row],[SUBS ISR]]-IMSS[[#This Row],[ISR CARGO]]&gt;0,IMSS[[#This Row],[SUBS ISR]]-IMSS[[#This Row],[ISR CARGO]],0)</f>
        <v>0</v>
      </c>
    </row>
    <row r="495" spans="3:40" ht="15" hidden="1" customHeight="1" x14ac:dyDescent="0.25">
      <c r="C495" s="243">
        <v>568</v>
      </c>
      <c r="D495" s="167" t="str">
        <f>VLOOKUP(IMSS[[#This Row],[NEM]],BDD[],2,0)</f>
        <v>Brandon Alexis Fuentes Garza</v>
      </c>
      <c r="E495" s="167" t="str">
        <f>VLOOKUP(IMSS[[#This Row],[NEM]],BDD[],9,0)</f>
        <v>COMPRAS</v>
      </c>
      <c r="F495" s="168">
        <v>30</v>
      </c>
      <c r="G495" s="139">
        <f>VLOOKUP(IMSS[[#This Row],[NEM]],BDD[],3,0)</f>
        <v>9541</v>
      </c>
      <c r="H495" s="139">
        <f ca="1">VLOOKUP(IMSS[[#This Row],[NEM]],BDD[],25,0)</f>
        <v>350.27232876712327</v>
      </c>
      <c r="I495" s="143">
        <f>VLOOKUP(IMSS[[#This Row],[DEPT]],$B$3:$G$49,6,0)</f>
        <v>5.4355000000000002E-3</v>
      </c>
      <c r="J495" s="163">
        <f ca="1">IMSS[[#This Row],[DIAS LAB]]*IMSS[[#This Row],[SDI]]*IMSS[[#This Row],[% RSG]]*$Q$108</f>
        <v>57.117157290410958</v>
      </c>
      <c r="K495" s="163">
        <f>IMSS[[#This Row],[DIAS LAB]]*$J$110*$Q$109</f>
        <v>548.47440000000006</v>
      </c>
      <c r="L495" s="166">
        <f ca="1">IMSS[[#This Row],[DIAS LAB]]*IF(IMSS[[#This Row],[SDI]]-$J$113&gt;0,IMSS[[#This Row],[SDI]]-$J$113,0)*$Q$110</f>
        <v>26.866068493150674</v>
      </c>
      <c r="M495" s="166">
        <f ca="1">IMSS[[#This Row],[DIAS LAB]]*IMSS[[#This Row],[SDI]]*$Q$111</f>
        <v>110.33578356164384</v>
      </c>
      <c r="N495" s="163">
        <f ca="1">IMSS[[#This Row],[DIAS LAB]]*IMSS[[#This Row],[SDI]]*$Q$112</f>
        <v>73.557189041095882</v>
      </c>
      <c r="O495" s="166">
        <f ca="1">IMSS[[#This Row],[DIAS LAB]]*IMSS[[#This Row],[SDI]]*$Q$113</f>
        <v>183.89297260273972</v>
      </c>
      <c r="P495" s="163">
        <f ca="1">IMSS[[#This Row],[DIAS LAB]]*IMSS[[#This Row],[SDI]]*$Q$114</f>
        <v>105.08169863013698</v>
      </c>
      <c r="Q495" s="166">
        <f ca="1">IMSS[[#This Row],[DIAS LAB]]*IMSS[[#This Row],[SDI]]*$Q$115</f>
        <v>210.16339726027397</v>
      </c>
      <c r="R495" s="163">
        <f ca="1">IMSS[[#This Row],[DIAS LAB]]*IMSS[[#This Row],[SDI]]*$Q$116</f>
        <v>331.00735068493151</v>
      </c>
      <c r="S495" s="163">
        <f ca="1">IMSS[[#This Row],[DIAS LAB]]*IMSS[[#This Row],[SDI]]*$Q$117</f>
        <v>525.40849315068488</v>
      </c>
      <c r="T495" s="164">
        <f ca="1">SUM(IMSS[[#This Row],[P RSG TRB]:[P INFONAVIT]])</f>
        <v>2171.9045107150687</v>
      </c>
      <c r="U495" s="163">
        <f ca="1">IMSS[[#This Row],[DIAS LAB]]*IMSS[[#This Row],[SDI]]*IMSS[[#This Row],[% RSG]]*$R$108</f>
        <v>0</v>
      </c>
      <c r="V495" s="163">
        <f ca="1">IMSS[[#This Row],[DIAS LAB]]*IMSS[[#This Row],[SDI]]*$R$112</f>
        <v>26.270424657534246</v>
      </c>
      <c r="W495" s="163"/>
      <c r="X495" s="163">
        <f ca="1">IMSS[[#This Row],[DIAS LAB]]*IMSS[[#This Row],[SDI]]*$R$113</f>
        <v>66.201470136986302</v>
      </c>
      <c r="Y495" s="163">
        <f ca="1">IMSS[[#This Row],[DIAS LAB]]*IMSS[[#This Row],[SDI]]*$R$114</f>
        <v>0</v>
      </c>
      <c r="Z495" s="163">
        <f ca="1">IMSS[[#This Row],[DIAS LAB]]*IMSS[[#This Row],[SDI]]*$R$115</f>
        <v>0</v>
      </c>
      <c r="AA495" s="163">
        <f ca="1">IMSS[[#This Row],[DIAS LAB]]*IMSS[[#This Row],[SDI]]*$R$116</f>
        <v>118.74231945205479</v>
      </c>
      <c r="AB495" s="163">
        <f ca="1">IMSS[[#This Row],[DIAS LAB]]*IMSS[[#This Row],[SDI]]*$R$117</f>
        <v>0</v>
      </c>
      <c r="AC495" s="247">
        <f ca="1">SUM(IMSS[[#This Row],[O RSG TRB]:[O INFONAVIT]])</f>
        <v>211.21421424657535</v>
      </c>
      <c r="AD495" s="163"/>
      <c r="AE495" s="165">
        <f ca="1">IMSS[[#This Row],[P TOTAL]]+IMSS[[#This Row],[O TOTAL]]</f>
        <v>2383.1187249616441</v>
      </c>
      <c r="AF495" s="163"/>
      <c r="AG495" s="163">
        <f>VLOOKUP(IMSS[[#This Row],[SUE MENS]],$AG$110:$AJ$120,1,1)</f>
        <v>5470.93</v>
      </c>
      <c r="AH495" s="163">
        <f>IMSS[[#This Row],[SUE MENS]]-IMSS[[#This Row],[LIM INF]]</f>
        <v>4070.0699999999997</v>
      </c>
      <c r="AI495" s="163">
        <f>IMSS[[#This Row],[EXC LIM INF]]*(VLOOKUP(IMSS[[#This Row],[LIM INF]],$AG$110:$AJ$120,4,0))</f>
        <v>442.82361600000002</v>
      </c>
      <c r="AJ495" s="163">
        <f>VLOOKUP(IMSS[[#This Row],[LIM INF]],$AG$110:$AJ$120,3)</f>
        <v>321.26</v>
      </c>
      <c r="AK495" s="163">
        <f>SUM(IMSS[[#This Row],[TASA EXC]]+IMSS[[#This Row],[CUOTA FIJA]])</f>
        <v>764.08361600000001</v>
      </c>
      <c r="AL495" s="163">
        <f>VLOOKUP(IMSS[[#This Row],[SUE MENS]],$AL$110:$AN$120,3,1)</f>
        <v>0</v>
      </c>
      <c r="AM495" s="248">
        <f>IF(IMSS[[#This Row],[ISR CARGO]]-IMSS[[#This Row],[SUBS ISR]]&gt;0,IMSS[[#This Row],[ISR CARGO]]-IMSS[[#This Row],[SUBS ISR]],0)</f>
        <v>764.08361600000001</v>
      </c>
      <c r="AN495" s="248">
        <f>IF(IMSS[[#This Row],[SUBS ISR]]-IMSS[[#This Row],[ISR CARGO]]&gt;0,IMSS[[#This Row],[SUBS ISR]]-IMSS[[#This Row],[ISR CARGO]],0)</f>
        <v>0</v>
      </c>
    </row>
    <row r="496" spans="3:40" ht="15" hidden="1" customHeight="1" x14ac:dyDescent="0.25">
      <c r="C496" s="243">
        <v>569</v>
      </c>
      <c r="D496" s="167" t="str">
        <f>VLOOKUP(IMSS[[#This Row],[NEM]],BDD[],2,0)</f>
        <v>Cassandra Denise Presas Rodarte</v>
      </c>
      <c r="E496" s="167" t="str">
        <f>VLOOKUP(IMSS[[#This Row],[NEM]],BDD[],9,0)</f>
        <v>NÓMINAS</v>
      </c>
      <c r="F496" s="168">
        <v>30</v>
      </c>
      <c r="G496" s="139">
        <f>VLOOKUP(IMSS[[#This Row],[NEM]],BDD[],3,0)</f>
        <v>9541</v>
      </c>
      <c r="H496" s="139">
        <f ca="1">VLOOKUP(IMSS[[#This Row],[NEM]],BDD[],25,0)</f>
        <v>350.27232876712327</v>
      </c>
      <c r="I496" s="143">
        <f>VLOOKUP(IMSS[[#This Row],[DEPT]],$B$3:$G$49,6,0)</f>
        <v>5.4355000000000002E-3</v>
      </c>
      <c r="J496" s="163">
        <f ca="1">IMSS[[#This Row],[DIAS LAB]]*IMSS[[#This Row],[SDI]]*IMSS[[#This Row],[% RSG]]*$Q$108</f>
        <v>57.117157290410958</v>
      </c>
      <c r="K496" s="163">
        <f>IMSS[[#This Row],[DIAS LAB]]*$J$110*$Q$109</f>
        <v>548.47440000000006</v>
      </c>
      <c r="L496" s="166">
        <f ca="1">IMSS[[#This Row],[DIAS LAB]]*IF(IMSS[[#This Row],[SDI]]-$J$113&gt;0,IMSS[[#This Row],[SDI]]-$J$113,0)*$Q$110</f>
        <v>26.866068493150674</v>
      </c>
      <c r="M496" s="166">
        <f ca="1">IMSS[[#This Row],[DIAS LAB]]*IMSS[[#This Row],[SDI]]*$Q$111</f>
        <v>110.33578356164384</v>
      </c>
      <c r="N496" s="163">
        <f ca="1">IMSS[[#This Row],[DIAS LAB]]*IMSS[[#This Row],[SDI]]*$Q$112</f>
        <v>73.557189041095882</v>
      </c>
      <c r="O496" s="166">
        <f ca="1">IMSS[[#This Row],[DIAS LAB]]*IMSS[[#This Row],[SDI]]*$Q$113</f>
        <v>183.89297260273972</v>
      </c>
      <c r="P496" s="163">
        <f ca="1">IMSS[[#This Row],[DIAS LAB]]*IMSS[[#This Row],[SDI]]*$Q$114</f>
        <v>105.08169863013698</v>
      </c>
      <c r="Q496" s="166">
        <f ca="1">IMSS[[#This Row],[DIAS LAB]]*IMSS[[#This Row],[SDI]]*$Q$115</f>
        <v>210.16339726027397</v>
      </c>
      <c r="R496" s="163">
        <f ca="1">IMSS[[#This Row],[DIAS LAB]]*IMSS[[#This Row],[SDI]]*$Q$116</f>
        <v>331.00735068493151</v>
      </c>
      <c r="S496" s="163">
        <f ca="1">IMSS[[#This Row],[DIAS LAB]]*IMSS[[#This Row],[SDI]]*$Q$117</f>
        <v>525.40849315068488</v>
      </c>
      <c r="T496" s="164">
        <f ca="1">SUM(IMSS[[#This Row],[P RSG TRB]:[P INFONAVIT]])</f>
        <v>2171.9045107150687</v>
      </c>
      <c r="U496" s="163">
        <f ca="1">IMSS[[#This Row],[DIAS LAB]]*IMSS[[#This Row],[SDI]]*IMSS[[#This Row],[% RSG]]*$R$108</f>
        <v>0</v>
      </c>
      <c r="V496" s="163">
        <f ca="1">IMSS[[#This Row],[DIAS LAB]]*IMSS[[#This Row],[SDI]]*$R$112</f>
        <v>26.270424657534246</v>
      </c>
      <c r="W496" s="163"/>
      <c r="X496" s="163">
        <f ca="1">IMSS[[#This Row],[DIAS LAB]]*IMSS[[#This Row],[SDI]]*$R$113</f>
        <v>66.201470136986302</v>
      </c>
      <c r="Y496" s="163">
        <f ca="1">IMSS[[#This Row],[DIAS LAB]]*IMSS[[#This Row],[SDI]]*$R$114</f>
        <v>0</v>
      </c>
      <c r="Z496" s="163">
        <f ca="1">IMSS[[#This Row],[DIAS LAB]]*IMSS[[#This Row],[SDI]]*$R$115</f>
        <v>0</v>
      </c>
      <c r="AA496" s="163">
        <f ca="1">IMSS[[#This Row],[DIAS LAB]]*IMSS[[#This Row],[SDI]]*$R$116</f>
        <v>118.74231945205479</v>
      </c>
      <c r="AB496" s="163">
        <f ca="1">IMSS[[#This Row],[DIAS LAB]]*IMSS[[#This Row],[SDI]]*$R$117</f>
        <v>0</v>
      </c>
      <c r="AC496" s="247">
        <f ca="1">SUM(IMSS[[#This Row],[O RSG TRB]:[O INFONAVIT]])</f>
        <v>211.21421424657535</v>
      </c>
      <c r="AD496" s="163"/>
      <c r="AE496" s="165">
        <f ca="1">IMSS[[#This Row],[P TOTAL]]+IMSS[[#This Row],[O TOTAL]]</f>
        <v>2383.1187249616441</v>
      </c>
      <c r="AF496" s="163"/>
      <c r="AG496" s="163">
        <f>VLOOKUP(IMSS[[#This Row],[SUE MENS]],$AG$110:$AJ$120,1,1)</f>
        <v>5470.93</v>
      </c>
      <c r="AH496" s="163">
        <f>IMSS[[#This Row],[SUE MENS]]-IMSS[[#This Row],[LIM INF]]</f>
        <v>4070.0699999999997</v>
      </c>
      <c r="AI496" s="163">
        <f>IMSS[[#This Row],[EXC LIM INF]]*(VLOOKUP(IMSS[[#This Row],[LIM INF]],$AG$110:$AJ$120,4,0))</f>
        <v>442.82361600000002</v>
      </c>
      <c r="AJ496" s="163">
        <f>VLOOKUP(IMSS[[#This Row],[LIM INF]],$AG$110:$AJ$120,3)</f>
        <v>321.26</v>
      </c>
      <c r="AK496" s="163">
        <f>SUM(IMSS[[#This Row],[TASA EXC]]+IMSS[[#This Row],[CUOTA FIJA]])</f>
        <v>764.08361600000001</v>
      </c>
      <c r="AL496" s="163">
        <f>VLOOKUP(IMSS[[#This Row],[SUE MENS]],$AL$110:$AN$120,3,1)</f>
        <v>0</v>
      </c>
      <c r="AM496" s="248">
        <f>IF(IMSS[[#This Row],[ISR CARGO]]-IMSS[[#This Row],[SUBS ISR]]&gt;0,IMSS[[#This Row],[ISR CARGO]]-IMSS[[#This Row],[SUBS ISR]],0)</f>
        <v>764.08361600000001</v>
      </c>
      <c r="AN496" s="248">
        <f>IF(IMSS[[#This Row],[SUBS ISR]]-IMSS[[#This Row],[ISR CARGO]]&gt;0,IMSS[[#This Row],[SUBS ISR]]-IMSS[[#This Row],[ISR CARGO]],0)</f>
        <v>0</v>
      </c>
    </row>
    <row r="497" spans="3:40" ht="15" hidden="1" customHeight="1" x14ac:dyDescent="0.25">
      <c r="C497" s="243">
        <v>571</v>
      </c>
      <c r="D497" s="167" t="str">
        <f>VLOOKUP(IMSS[[#This Row],[NEM]],BDD[],2,0)</f>
        <v>Elizabeth Celestino Torralba</v>
      </c>
      <c r="E497" s="167" t="str">
        <f>VLOOKUP(IMSS[[#This Row],[NEM]],BDD[],9,0)</f>
        <v>SOLUCIONES</v>
      </c>
      <c r="F497" s="168">
        <v>30</v>
      </c>
      <c r="G497" s="139">
        <f>VLOOKUP(IMSS[[#This Row],[NEM]],BDD[],3,0)</f>
        <v>7950</v>
      </c>
      <c r="H497" s="139">
        <f ca="1">VLOOKUP(IMSS[[#This Row],[NEM]],BDD[],25,0)</f>
        <v>291.86301369863014</v>
      </c>
      <c r="I497" s="143">
        <f>VLOOKUP(IMSS[[#This Row],[DEPT]],$B$3:$G$49,6,0)</f>
        <v>5.4355000000000002E-3</v>
      </c>
      <c r="J497" s="163">
        <f ca="1">IMSS[[#This Row],[DIAS LAB]]*IMSS[[#This Row],[SDI]]*IMSS[[#This Row],[% RSG]]*$Q$108</f>
        <v>47.592642328767127</v>
      </c>
      <c r="K497" s="163">
        <f>IMSS[[#This Row],[DIAS LAB]]*$J$110*$Q$109</f>
        <v>548.47440000000006</v>
      </c>
      <c r="L497" s="166">
        <f ca="1">IMSS[[#This Row],[DIAS LAB]]*IF(IMSS[[#This Row],[SDI]]-$J$113&gt;0,IMSS[[#This Row],[SDI]]-$J$113,0)*$Q$110</f>
        <v>7.5909945205479419</v>
      </c>
      <c r="M497" s="166">
        <f ca="1">IMSS[[#This Row],[DIAS LAB]]*IMSS[[#This Row],[SDI]]*$Q$111</f>
        <v>91.9368493150685</v>
      </c>
      <c r="N497" s="163">
        <f ca="1">IMSS[[#This Row],[DIAS LAB]]*IMSS[[#This Row],[SDI]]*$Q$112</f>
        <v>61.291232876712328</v>
      </c>
      <c r="O497" s="166">
        <f ca="1">IMSS[[#This Row],[DIAS LAB]]*IMSS[[#This Row],[SDI]]*$Q$113</f>
        <v>153.22808219178083</v>
      </c>
      <c r="P497" s="163">
        <f ca="1">IMSS[[#This Row],[DIAS LAB]]*IMSS[[#This Row],[SDI]]*$Q$114</f>
        <v>87.558904109589037</v>
      </c>
      <c r="Q497" s="166">
        <f ca="1">IMSS[[#This Row],[DIAS LAB]]*IMSS[[#This Row],[SDI]]*$Q$115</f>
        <v>175.11780821917807</v>
      </c>
      <c r="R497" s="163">
        <f ca="1">IMSS[[#This Row],[DIAS LAB]]*IMSS[[#This Row],[SDI]]*$Q$116</f>
        <v>275.81054794520549</v>
      </c>
      <c r="S497" s="163">
        <f ca="1">IMSS[[#This Row],[DIAS LAB]]*IMSS[[#This Row],[SDI]]*$Q$117</f>
        <v>437.79452054794524</v>
      </c>
      <c r="T497" s="164">
        <f ca="1">SUM(IMSS[[#This Row],[P RSG TRB]:[P INFONAVIT]])</f>
        <v>1886.3959820547946</v>
      </c>
      <c r="U497" s="163">
        <f ca="1">IMSS[[#This Row],[DIAS LAB]]*IMSS[[#This Row],[SDI]]*IMSS[[#This Row],[% RSG]]*$R$108</f>
        <v>0</v>
      </c>
      <c r="V497" s="163">
        <f ca="1">IMSS[[#This Row],[DIAS LAB]]*IMSS[[#This Row],[SDI]]*$R$112</f>
        <v>21.889726027397259</v>
      </c>
      <c r="W497" s="163"/>
      <c r="X497" s="163">
        <f ca="1">IMSS[[#This Row],[DIAS LAB]]*IMSS[[#This Row],[SDI]]*$R$113</f>
        <v>55.162109589041094</v>
      </c>
      <c r="Y497" s="163">
        <f ca="1">IMSS[[#This Row],[DIAS LAB]]*IMSS[[#This Row],[SDI]]*$R$114</f>
        <v>0</v>
      </c>
      <c r="Z497" s="163">
        <f ca="1">IMSS[[#This Row],[DIAS LAB]]*IMSS[[#This Row],[SDI]]*$R$115</f>
        <v>0</v>
      </c>
      <c r="AA497" s="163">
        <f ca="1">IMSS[[#This Row],[DIAS LAB]]*IMSS[[#This Row],[SDI]]*$R$116</f>
        <v>98.941561643835612</v>
      </c>
      <c r="AB497" s="163">
        <f ca="1">IMSS[[#This Row],[DIAS LAB]]*IMSS[[#This Row],[SDI]]*$R$117</f>
        <v>0</v>
      </c>
      <c r="AC497" s="247">
        <f ca="1">SUM(IMSS[[#This Row],[O RSG TRB]:[O INFONAVIT]])</f>
        <v>175.99339726027398</v>
      </c>
      <c r="AD497" s="163"/>
      <c r="AE497" s="165">
        <f ca="1">IMSS[[#This Row],[P TOTAL]]+IMSS[[#This Row],[O TOTAL]]</f>
        <v>2062.3893793150687</v>
      </c>
      <c r="AF497" s="163"/>
      <c r="AG497" s="163">
        <f>VLOOKUP(IMSS[[#This Row],[SUE MENS]],$AG$110:$AJ$120,1,1)</f>
        <v>5470.93</v>
      </c>
      <c r="AH497" s="163">
        <f>IMSS[[#This Row],[SUE MENS]]-IMSS[[#This Row],[LIM INF]]</f>
        <v>2479.0699999999997</v>
      </c>
      <c r="AI497" s="163">
        <f>IMSS[[#This Row],[EXC LIM INF]]*(VLOOKUP(IMSS[[#This Row],[LIM INF]],$AG$110:$AJ$120,4,0))</f>
        <v>269.72281599999997</v>
      </c>
      <c r="AJ497" s="163">
        <f>VLOOKUP(IMSS[[#This Row],[LIM INF]],$AG$110:$AJ$120,3)</f>
        <v>321.26</v>
      </c>
      <c r="AK497" s="163">
        <f>SUM(IMSS[[#This Row],[TASA EXC]]+IMSS[[#This Row],[CUOTA FIJA]])</f>
        <v>590.98281599999996</v>
      </c>
      <c r="AL497" s="163">
        <f>VLOOKUP(IMSS[[#This Row],[SUE MENS]],$AL$110:$AN$120,3,1)</f>
        <v>0</v>
      </c>
      <c r="AM497" s="248">
        <f>IF(IMSS[[#This Row],[ISR CARGO]]-IMSS[[#This Row],[SUBS ISR]]&gt;0,IMSS[[#This Row],[ISR CARGO]]-IMSS[[#This Row],[SUBS ISR]],0)</f>
        <v>590.98281599999996</v>
      </c>
      <c r="AN497" s="248">
        <f>IF(IMSS[[#This Row],[SUBS ISR]]-IMSS[[#This Row],[ISR CARGO]]&gt;0,IMSS[[#This Row],[SUBS ISR]]-IMSS[[#This Row],[ISR CARGO]],0)</f>
        <v>0</v>
      </c>
    </row>
    <row r="498" spans="3:40" ht="15" hidden="1" customHeight="1" x14ac:dyDescent="0.25">
      <c r="C498" s="243">
        <v>572</v>
      </c>
      <c r="D498" s="167" t="str">
        <f>VLOOKUP(IMSS[[#This Row],[NEM]],BDD[],2,0)</f>
        <v>Yaneth Marcela Vega García</v>
      </c>
      <c r="E498" s="167" t="str">
        <f>VLOOKUP(IMSS[[#This Row],[NEM]],BDD[],9,0)</f>
        <v>ANLIS COST</v>
      </c>
      <c r="F498" s="168">
        <v>30</v>
      </c>
      <c r="G498" s="139">
        <f>VLOOKUP(IMSS[[#This Row],[NEM]],BDD[],3,0)</f>
        <v>7950</v>
      </c>
      <c r="H498" s="139">
        <f ca="1">VLOOKUP(IMSS[[#This Row],[NEM]],BDD[],25,0)</f>
        <v>291.86301369863014</v>
      </c>
      <c r="I498" s="143">
        <f>VLOOKUP(IMSS[[#This Row],[DEPT]],$B$3:$G$49,6,0)</f>
        <v>1.130658E-2</v>
      </c>
      <c r="J498" s="163">
        <f ca="1">IMSS[[#This Row],[DIAS LAB]]*IMSS[[#This Row],[SDI]]*IMSS[[#This Row],[% RSG]]*$Q$108</f>
        <v>98.999175402739723</v>
      </c>
      <c r="K498" s="163">
        <f>IMSS[[#This Row],[DIAS LAB]]*$J$110*$Q$109</f>
        <v>548.47440000000006</v>
      </c>
      <c r="L498" s="166">
        <f ca="1">IMSS[[#This Row],[DIAS LAB]]*IF(IMSS[[#This Row],[SDI]]-$J$113&gt;0,IMSS[[#This Row],[SDI]]-$J$113,0)*$Q$110</f>
        <v>7.5909945205479419</v>
      </c>
      <c r="M498" s="166">
        <f ca="1">IMSS[[#This Row],[DIAS LAB]]*IMSS[[#This Row],[SDI]]*$Q$111</f>
        <v>91.9368493150685</v>
      </c>
      <c r="N498" s="163">
        <f ca="1">IMSS[[#This Row],[DIAS LAB]]*IMSS[[#This Row],[SDI]]*$Q$112</f>
        <v>61.291232876712328</v>
      </c>
      <c r="O498" s="166">
        <f ca="1">IMSS[[#This Row],[DIAS LAB]]*IMSS[[#This Row],[SDI]]*$Q$113</f>
        <v>153.22808219178083</v>
      </c>
      <c r="P498" s="163">
        <f ca="1">IMSS[[#This Row],[DIAS LAB]]*IMSS[[#This Row],[SDI]]*$Q$114</f>
        <v>87.558904109589037</v>
      </c>
      <c r="Q498" s="166">
        <f ca="1">IMSS[[#This Row],[DIAS LAB]]*IMSS[[#This Row],[SDI]]*$Q$115</f>
        <v>175.11780821917807</v>
      </c>
      <c r="R498" s="163">
        <f ca="1">IMSS[[#This Row],[DIAS LAB]]*IMSS[[#This Row],[SDI]]*$Q$116</f>
        <v>275.81054794520549</v>
      </c>
      <c r="S498" s="163">
        <f ca="1">IMSS[[#This Row],[DIAS LAB]]*IMSS[[#This Row],[SDI]]*$Q$117</f>
        <v>437.79452054794524</v>
      </c>
      <c r="T498" s="164">
        <f ca="1">SUM(IMSS[[#This Row],[P RSG TRB]:[P INFONAVIT]])</f>
        <v>1937.8025151287673</v>
      </c>
      <c r="U498" s="163">
        <f ca="1">IMSS[[#This Row],[DIAS LAB]]*IMSS[[#This Row],[SDI]]*IMSS[[#This Row],[% RSG]]*$R$108</f>
        <v>0</v>
      </c>
      <c r="V498" s="163">
        <f ca="1">IMSS[[#This Row],[DIAS LAB]]*IMSS[[#This Row],[SDI]]*$R$112</f>
        <v>21.889726027397259</v>
      </c>
      <c r="W498" s="163"/>
      <c r="X498" s="163">
        <f ca="1">IMSS[[#This Row],[DIAS LAB]]*IMSS[[#This Row],[SDI]]*$R$113</f>
        <v>55.162109589041094</v>
      </c>
      <c r="Y498" s="163">
        <f ca="1">IMSS[[#This Row],[DIAS LAB]]*IMSS[[#This Row],[SDI]]*$R$114</f>
        <v>0</v>
      </c>
      <c r="Z498" s="163">
        <f ca="1">IMSS[[#This Row],[DIAS LAB]]*IMSS[[#This Row],[SDI]]*$R$115</f>
        <v>0</v>
      </c>
      <c r="AA498" s="163">
        <f ca="1">IMSS[[#This Row],[DIAS LAB]]*IMSS[[#This Row],[SDI]]*$R$116</f>
        <v>98.941561643835612</v>
      </c>
      <c r="AB498" s="163">
        <f ca="1">IMSS[[#This Row],[DIAS LAB]]*IMSS[[#This Row],[SDI]]*$R$117</f>
        <v>0</v>
      </c>
      <c r="AC498" s="247">
        <f ca="1">SUM(IMSS[[#This Row],[O RSG TRB]:[O INFONAVIT]])</f>
        <v>175.99339726027398</v>
      </c>
      <c r="AD498" s="163"/>
      <c r="AE498" s="165">
        <f ca="1">IMSS[[#This Row],[P TOTAL]]+IMSS[[#This Row],[O TOTAL]]</f>
        <v>2113.7959123890414</v>
      </c>
      <c r="AF498" s="163"/>
      <c r="AG498" s="163">
        <f>VLOOKUP(IMSS[[#This Row],[SUE MENS]],$AG$110:$AJ$120,1,1)</f>
        <v>5470.93</v>
      </c>
      <c r="AH498" s="163">
        <f>IMSS[[#This Row],[SUE MENS]]-IMSS[[#This Row],[LIM INF]]</f>
        <v>2479.0699999999997</v>
      </c>
      <c r="AI498" s="163">
        <f>IMSS[[#This Row],[EXC LIM INF]]*(VLOOKUP(IMSS[[#This Row],[LIM INF]],$AG$110:$AJ$120,4,0))</f>
        <v>269.72281599999997</v>
      </c>
      <c r="AJ498" s="163">
        <f>VLOOKUP(IMSS[[#This Row],[LIM INF]],$AG$110:$AJ$120,3)</f>
        <v>321.26</v>
      </c>
      <c r="AK498" s="163">
        <f>SUM(IMSS[[#This Row],[TASA EXC]]+IMSS[[#This Row],[CUOTA FIJA]])</f>
        <v>590.98281599999996</v>
      </c>
      <c r="AL498" s="163">
        <f>VLOOKUP(IMSS[[#This Row],[SUE MENS]],$AL$110:$AN$120,3,1)</f>
        <v>0</v>
      </c>
      <c r="AM498" s="248">
        <f>IF(IMSS[[#This Row],[ISR CARGO]]-IMSS[[#This Row],[SUBS ISR]]&gt;0,IMSS[[#This Row],[ISR CARGO]]-IMSS[[#This Row],[SUBS ISR]],0)</f>
        <v>590.98281599999996</v>
      </c>
      <c r="AN498" s="248">
        <f>IF(IMSS[[#This Row],[SUBS ISR]]-IMSS[[#This Row],[ISR CARGO]]&gt;0,IMSS[[#This Row],[SUBS ISR]]-IMSS[[#This Row],[ISR CARGO]],0)</f>
        <v>0</v>
      </c>
    </row>
    <row r="499" spans="3:40" ht="15" hidden="1" customHeight="1" x14ac:dyDescent="0.25">
      <c r="C499" s="243">
        <v>574</v>
      </c>
      <c r="D499" s="167" t="str">
        <f>VLOOKUP(IMSS[[#This Row],[NEM]],BDD[],2,0)</f>
        <v>Karina Lizbeth Estrada Galvan</v>
      </c>
      <c r="E499" s="167" t="str">
        <f>VLOOKUP(IMSS[[#This Row],[NEM]],BDD[],9,0)</f>
        <v>CONTA</v>
      </c>
      <c r="F499" s="168">
        <v>30</v>
      </c>
      <c r="G499" s="139">
        <f>VLOOKUP(IMSS[[#This Row],[NEM]],BDD[],3,0)</f>
        <v>6778</v>
      </c>
      <c r="H499" s="139">
        <f ca="1">VLOOKUP(IMSS[[#This Row],[NEM]],BDD[],25,0)</f>
        <v>237.38474885844749</v>
      </c>
      <c r="I499" s="143">
        <f>VLOOKUP(IMSS[[#This Row],[DEPT]],$B$3:$G$49,6,0)</f>
        <v>5.4355000000000002E-3</v>
      </c>
      <c r="J499" s="163">
        <f ca="1">IMSS[[#This Row],[DIAS LAB]]*IMSS[[#This Row],[SDI]]*IMSS[[#This Row],[% RSG]]*$Q$108</f>
        <v>38.70914407260274</v>
      </c>
      <c r="K499" s="163">
        <f>IMSS[[#This Row],[DIAS LAB]]*$J$110*$Q$109</f>
        <v>548.47440000000006</v>
      </c>
      <c r="L499" s="166">
        <f ca="1">IMSS[[#This Row],[DIAS LAB]]*IF(IMSS[[#This Row],[SDI]]-$J$113&gt;0,IMSS[[#This Row],[SDI]]-$J$113,0)*$Q$110</f>
        <v>0</v>
      </c>
      <c r="M499" s="166">
        <f ca="1">IMSS[[#This Row],[DIAS LAB]]*IMSS[[#This Row],[SDI]]*$Q$111</f>
        <v>74.77619589041096</v>
      </c>
      <c r="N499" s="163">
        <f ca="1">IMSS[[#This Row],[DIAS LAB]]*IMSS[[#This Row],[SDI]]*$Q$112</f>
        <v>49.850797260273978</v>
      </c>
      <c r="O499" s="166">
        <f ca="1">IMSS[[#This Row],[DIAS LAB]]*IMSS[[#This Row],[SDI]]*$Q$113</f>
        <v>124.62699315068495</v>
      </c>
      <c r="P499" s="163">
        <f ca="1">IMSS[[#This Row],[DIAS LAB]]*IMSS[[#This Row],[SDI]]*$Q$114</f>
        <v>71.215424657534257</v>
      </c>
      <c r="Q499" s="166">
        <f ca="1">IMSS[[#This Row],[DIAS LAB]]*IMSS[[#This Row],[SDI]]*$Q$115</f>
        <v>142.43084931506851</v>
      </c>
      <c r="R499" s="163">
        <f ca="1">IMSS[[#This Row],[DIAS LAB]]*IMSS[[#This Row],[SDI]]*$Q$116</f>
        <v>224.3285876712329</v>
      </c>
      <c r="S499" s="163">
        <f ca="1">IMSS[[#This Row],[DIAS LAB]]*IMSS[[#This Row],[SDI]]*$Q$117</f>
        <v>356.07712328767127</v>
      </c>
      <c r="T499" s="164">
        <f ca="1">SUM(IMSS[[#This Row],[P RSG TRB]:[P INFONAVIT]])</f>
        <v>1630.4895153054799</v>
      </c>
      <c r="U499" s="163">
        <f ca="1">IMSS[[#This Row],[DIAS LAB]]*IMSS[[#This Row],[SDI]]*IMSS[[#This Row],[% RSG]]*$R$108</f>
        <v>0</v>
      </c>
      <c r="V499" s="163">
        <f ca="1">IMSS[[#This Row],[DIAS LAB]]*IMSS[[#This Row],[SDI]]*$R$112</f>
        <v>17.803856164383564</v>
      </c>
      <c r="W499" s="163"/>
      <c r="X499" s="163">
        <f ca="1">IMSS[[#This Row],[DIAS LAB]]*IMSS[[#This Row],[SDI]]*$R$113</f>
        <v>44.865717534246578</v>
      </c>
      <c r="Y499" s="163">
        <f ca="1">IMSS[[#This Row],[DIAS LAB]]*IMSS[[#This Row],[SDI]]*$R$114</f>
        <v>0</v>
      </c>
      <c r="Z499" s="163">
        <f ca="1">IMSS[[#This Row],[DIAS LAB]]*IMSS[[#This Row],[SDI]]*$R$115</f>
        <v>0</v>
      </c>
      <c r="AA499" s="163">
        <f ca="1">IMSS[[#This Row],[DIAS LAB]]*IMSS[[#This Row],[SDI]]*$R$116</f>
        <v>80.473429863013692</v>
      </c>
      <c r="AB499" s="163">
        <f ca="1">IMSS[[#This Row],[DIAS LAB]]*IMSS[[#This Row],[SDI]]*$R$117</f>
        <v>0</v>
      </c>
      <c r="AC499" s="247">
        <f ca="1">SUM(IMSS[[#This Row],[O RSG TRB]:[O INFONAVIT]])</f>
        <v>143.14300356164384</v>
      </c>
      <c r="AD499" s="163"/>
      <c r="AE499" s="165">
        <f ca="1">IMSS[[#This Row],[P TOTAL]]+IMSS[[#This Row],[O TOTAL]]</f>
        <v>1773.6325188671237</v>
      </c>
      <c r="AF499" s="163"/>
      <c r="AG499" s="163">
        <f>VLOOKUP(IMSS[[#This Row],[SUE MENS]],$AG$110:$AJ$120,1,1)</f>
        <v>5470.93</v>
      </c>
      <c r="AH499" s="163">
        <f>IMSS[[#This Row],[SUE MENS]]-IMSS[[#This Row],[LIM INF]]</f>
        <v>1307.0699999999997</v>
      </c>
      <c r="AI499" s="163">
        <f>IMSS[[#This Row],[EXC LIM INF]]*(VLOOKUP(IMSS[[#This Row],[LIM INF]],$AG$110:$AJ$120,4,0))</f>
        <v>142.20921599999997</v>
      </c>
      <c r="AJ499" s="163">
        <f>VLOOKUP(IMSS[[#This Row],[LIM INF]],$AG$110:$AJ$120,3)</f>
        <v>321.26</v>
      </c>
      <c r="AK499" s="163">
        <f>SUM(IMSS[[#This Row],[TASA EXC]]+IMSS[[#This Row],[CUOTA FIJA]])</f>
        <v>463.46921599999996</v>
      </c>
      <c r="AL499" s="163">
        <f>VLOOKUP(IMSS[[#This Row],[SUE MENS]],$AL$110:$AN$120,3,1)</f>
        <v>253.54</v>
      </c>
      <c r="AM499" s="248">
        <f>IF(IMSS[[#This Row],[ISR CARGO]]-IMSS[[#This Row],[SUBS ISR]]&gt;0,IMSS[[#This Row],[ISR CARGO]]-IMSS[[#This Row],[SUBS ISR]],0)</f>
        <v>209.92921599999997</v>
      </c>
      <c r="AN499" s="248">
        <f>IF(IMSS[[#This Row],[SUBS ISR]]-IMSS[[#This Row],[ISR CARGO]]&gt;0,IMSS[[#This Row],[SUBS ISR]]-IMSS[[#This Row],[ISR CARGO]],0)</f>
        <v>0</v>
      </c>
    </row>
    <row r="500" spans="3:40" ht="15" hidden="1" customHeight="1" x14ac:dyDescent="0.25">
      <c r="C500" s="243">
        <v>576</v>
      </c>
      <c r="D500" s="167" t="str">
        <f>VLOOKUP(IMSS[[#This Row],[NEM]],BDD[],2,0)</f>
        <v>Lizbeth Martha Pazcal Escobedo</v>
      </c>
      <c r="E500" s="167" t="str">
        <f>VLOOKUP(IMSS[[#This Row],[NEM]],BDD[],9,0)</f>
        <v>AUDIT PROY</v>
      </c>
      <c r="F500" s="168">
        <v>30</v>
      </c>
      <c r="G500" s="139">
        <f>VLOOKUP(IMSS[[#This Row],[NEM]],BDD[],3,0)</f>
        <v>9541</v>
      </c>
      <c r="H500" s="139">
        <f ca="1">VLOOKUP(IMSS[[#This Row],[NEM]],BDD[],25,0)</f>
        <v>350.27232876712327</v>
      </c>
      <c r="I500" s="143">
        <f>VLOOKUP(IMSS[[#This Row],[DEPT]],$B$3:$G$49,6,0)</f>
        <v>1.130658E-2</v>
      </c>
      <c r="J500" s="163">
        <f ca="1">IMSS[[#This Row],[DIAS LAB]]*IMSS[[#This Row],[SDI]]*IMSS[[#This Row],[% RSG]]*$Q$108</f>
        <v>118.81146320975341</v>
      </c>
      <c r="K500" s="163">
        <f>IMSS[[#This Row],[DIAS LAB]]*$J$110*$Q$109</f>
        <v>548.47440000000006</v>
      </c>
      <c r="L500" s="166">
        <f ca="1">IMSS[[#This Row],[DIAS LAB]]*IF(IMSS[[#This Row],[SDI]]-$J$113&gt;0,IMSS[[#This Row],[SDI]]-$J$113,0)*$Q$110</f>
        <v>26.866068493150674</v>
      </c>
      <c r="M500" s="166">
        <f ca="1">IMSS[[#This Row],[DIAS LAB]]*IMSS[[#This Row],[SDI]]*$Q$111</f>
        <v>110.33578356164384</v>
      </c>
      <c r="N500" s="163">
        <f ca="1">IMSS[[#This Row],[DIAS LAB]]*IMSS[[#This Row],[SDI]]*$Q$112</f>
        <v>73.557189041095882</v>
      </c>
      <c r="O500" s="166">
        <f ca="1">IMSS[[#This Row],[DIAS LAB]]*IMSS[[#This Row],[SDI]]*$Q$113</f>
        <v>183.89297260273972</v>
      </c>
      <c r="P500" s="163">
        <f ca="1">IMSS[[#This Row],[DIAS LAB]]*IMSS[[#This Row],[SDI]]*$Q$114</f>
        <v>105.08169863013698</v>
      </c>
      <c r="Q500" s="166">
        <f ca="1">IMSS[[#This Row],[DIAS LAB]]*IMSS[[#This Row],[SDI]]*$Q$115</f>
        <v>210.16339726027397</v>
      </c>
      <c r="R500" s="163">
        <f ca="1">IMSS[[#This Row],[DIAS LAB]]*IMSS[[#This Row],[SDI]]*$Q$116</f>
        <v>331.00735068493151</v>
      </c>
      <c r="S500" s="163">
        <f ca="1">IMSS[[#This Row],[DIAS LAB]]*IMSS[[#This Row],[SDI]]*$Q$117</f>
        <v>525.40849315068488</v>
      </c>
      <c r="T500" s="164">
        <f ca="1">SUM(IMSS[[#This Row],[P RSG TRB]:[P INFONAVIT]])</f>
        <v>2233.5988166344109</v>
      </c>
      <c r="U500" s="163">
        <f ca="1">IMSS[[#This Row],[DIAS LAB]]*IMSS[[#This Row],[SDI]]*IMSS[[#This Row],[% RSG]]*$R$108</f>
        <v>0</v>
      </c>
      <c r="V500" s="163">
        <f ca="1">IMSS[[#This Row],[DIAS LAB]]*IMSS[[#This Row],[SDI]]*$R$112</f>
        <v>26.270424657534246</v>
      </c>
      <c r="W500" s="163"/>
      <c r="X500" s="163">
        <f ca="1">IMSS[[#This Row],[DIAS LAB]]*IMSS[[#This Row],[SDI]]*$R$113</f>
        <v>66.201470136986302</v>
      </c>
      <c r="Y500" s="163">
        <f ca="1">IMSS[[#This Row],[DIAS LAB]]*IMSS[[#This Row],[SDI]]*$R$114</f>
        <v>0</v>
      </c>
      <c r="Z500" s="163">
        <f ca="1">IMSS[[#This Row],[DIAS LAB]]*IMSS[[#This Row],[SDI]]*$R$115</f>
        <v>0</v>
      </c>
      <c r="AA500" s="163">
        <f ca="1">IMSS[[#This Row],[DIAS LAB]]*IMSS[[#This Row],[SDI]]*$R$116</f>
        <v>118.74231945205479</v>
      </c>
      <c r="AB500" s="163">
        <f ca="1">IMSS[[#This Row],[DIAS LAB]]*IMSS[[#This Row],[SDI]]*$R$117</f>
        <v>0</v>
      </c>
      <c r="AC500" s="247">
        <f ca="1">SUM(IMSS[[#This Row],[O RSG TRB]:[O INFONAVIT]])</f>
        <v>211.21421424657535</v>
      </c>
      <c r="AD500" s="163"/>
      <c r="AE500" s="165">
        <f ca="1">IMSS[[#This Row],[P TOTAL]]+IMSS[[#This Row],[O TOTAL]]</f>
        <v>2444.8130308809864</v>
      </c>
      <c r="AF500" s="163"/>
      <c r="AG500" s="163">
        <f>VLOOKUP(IMSS[[#This Row],[SUE MENS]],$AG$110:$AJ$120,1,1)</f>
        <v>5470.93</v>
      </c>
      <c r="AH500" s="163">
        <f>IMSS[[#This Row],[SUE MENS]]-IMSS[[#This Row],[LIM INF]]</f>
        <v>4070.0699999999997</v>
      </c>
      <c r="AI500" s="163">
        <f>IMSS[[#This Row],[EXC LIM INF]]*(VLOOKUP(IMSS[[#This Row],[LIM INF]],$AG$110:$AJ$120,4,0))</f>
        <v>442.82361600000002</v>
      </c>
      <c r="AJ500" s="163">
        <f>VLOOKUP(IMSS[[#This Row],[LIM INF]],$AG$110:$AJ$120,3)</f>
        <v>321.26</v>
      </c>
      <c r="AK500" s="163">
        <f>SUM(IMSS[[#This Row],[TASA EXC]]+IMSS[[#This Row],[CUOTA FIJA]])</f>
        <v>764.08361600000001</v>
      </c>
      <c r="AL500" s="163">
        <f>VLOOKUP(IMSS[[#This Row],[SUE MENS]],$AL$110:$AN$120,3,1)</f>
        <v>0</v>
      </c>
      <c r="AM500" s="248">
        <f>IF(IMSS[[#This Row],[ISR CARGO]]-IMSS[[#This Row],[SUBS ISR]]&gt;0,IMSS[[#This Row],[ISR CARGO]]-IMSS[[#This Row],[SUBS ISR]],0)</f>
        <v>764.08361600000001</v>
      </c>
      <c r="AN500" s="248">
        <f>IF(IMSS[[#This Row],[SUBS ISR]]-IMSS[[#This Row],[ISR CARGO]]&gt;0,IMSS[[#This Row],[SUBS ISR]]-IMSS[[#This Row],[ISR CARGO]],0)</f>
        <v>0</v>
      </c>
    </row>
    <row r="501" spans="3:40" ht="15" hidden="1" customHeight="1" x14ac:dyDescent="0.25">
      <c r="C501" s="243">
        <v>577</v>
      </c>
      <c r="D501" s="167" t="str">
        <f>VLOOKUP(IMSS[[#This Row],[NEM]],BDD[],2,0)</f>
        <v>Teodoro Contreras Cruz</v>
      </c>
      <c r="E501" s="167" t="str">
        <f>VLOOKUP(IMSS[[#This Row],[NEM]],BDD[],9,0)</f>
        <v>FACTURAS</v>
      </c>
      <c r="F501" s="168">
        <v>30</v>
      </c>
      <c r="G501" s="139">
        <f>VLOOKUP(IMSS[[#This Row],[NEM]],BDD[],3,0)</f>
        <v>7950</v>
      </c>
      <c r="H501" s="139">
        <f ca="1">VLOOKUP(IMSS[[#This Row],[NEM]],BDD[],25,0)</f>
        <v>291.86301369863014</v>
      </c>
      <c r="I501" s="143">
        <f>VLOOKUP(IMSS[[#This Row],[DEPT]],$B$3:$G$49,6,0)</f>
        <v>5.4355000000000002E-3</v>
      </c>
      <c r="J501" s="163">
        <f ca="1">IMSS[[#This Row],[DIAS LAB]]*IMSS[[#This Row],[SDI]]*IMSS[[#This Row],[% RSG]]*$Q$108</f>
        <v>47.592642328767127</v>
      </c>
      <c r="K501" s="163">
        <f>IMSS[[#This Row],[DIAS LAB]]*$J$110*$Q$109</f>
        <v>548.47440000000006</v>
      </c>
      <c r="L501" s="166">
        <f ca="1">IMSS[[#This Row],[DIAS LAB]]*IF(IMSS[[#This Row],[SDI]]-$J$113&gt;0,IMSS[[#This Row],[SDI]]-$J$113,0)*$Q$110</f>
        <v>7.5909945205479419</v>
      </c>
      <c r="M501" s="166">
        <f ca="1">IMSS[[#This Row],[DIAS LAB]]*IMSS[[#This Row],[SDI]]*$Q$111</f>
        <v>91.9368493150685</v>
      </c>
      <c r="N501" s="163">
        <f ca="1">IMSS[[#This Row],[DIAS LAB]]*IMSS[[#This Row],[SDI]]*$Q$112</f>
        <v>61.291232876712328</v>
      </c>
      <c r="O501" s="166">
        <f ca="1">IMSS[[#This Row],[DIAS LAB]]*IMSS[[#This Row],[SDI]]*$Q$113</f>
        <v>153.22808219178083</v>
      </c>
      <c r="P501" s="163">
        <f ca="1">IMSS[[#This Row],[DIAS LAB]]*IMSS[[#This Row],[SDI]]*$Q$114</f>
        <v>87.558904109589037</v>
      </c>
      <c r="Q501" s="166">
        <f ca="1">IMSS[[#This Row],[DIAS LAB]]*IMSS[[#This Row],[SDI]]*$Q$115</f>
        <v>175.11780821917807</v>
      </c>
      <c r="R501" s="163">
        <f ca="1">IMSS[[#This Row],[DIAS LAB]]*IMSS[[#This Row],[SDI]]*$Q$116</f>
        <v>275.81054794520549</v>
      </c>
      <c r="S501" s="163">
        <f ca="1">IMSS[[#This Row],[DIAS LAB]]*IMSS[[#This Row],[SDI]]*$Q$117</f>
        <v>437.79452054794524</v>
      </c>
      <c r="T501" s="164">
        <f ca="1">SUM(IMSS[[#This Row],[P RSG TRB]:[P INFONAVIT]])</f>
        <v>1886.3959820547946</v>
      </c>
      <c r="U501" s="163">
        <f ca="1">IMSS[[#This Row],[DIAS LAB]]*IMSS[[#This Row],[SDI]]*IMSS[[#This Row],[% RSG]]*$R$108</f>
        <v>0</v>
      </c>
      <c r="V501" s="163">
        <f ca="1">IMSS[[#This Row],[DIAS LAB]]*IMSS[[#This Row],[SDI]]*$R$112</f>
        <v>21.889726027397259</v>
      </c>
      <c r="W501" s="163"/>
      <c r="X501" s="163">
        <f ca="1">IMSS[[#This Row],[DIAS LAB]]*IMSS[[#This Row],[SDI]]*$R$113</f>
        <v>55.162109589041094</v>
      </c>
      <c r="Y501" s="163">
        <f ca="1">IMSS[[#This Row],[DIAS LAB]]*IMSS[[#This Row],[SDI]]*$R$114</f>
        <v>0</v>
      </c>
      <c r="Z501" s="163">
        <f ca="1">IMSS[[#This Row],[DIAS LAB]]*IMSS[[#This Row],[SDI]]*$R$115</f>
        <v>0</v>
      </c>
      <c r="AA501" s="163">
        <f ca="1">IMSS[[#This Row],[DIAS LAB]]*IMSS[[#This Row],[SDI]]*$R$116</f>
        <v>98.941561643835612</v>
      </c>
      <c r="AB501" s="163">
        <f ca="1">IMSS[[#This Row],[DIAS LAB]]*IMSS[[#This Row],[SDI]]*$R$117</f>
        <v>0</v>
      </c>
      <c r="AC501" s="247">
        <f ca="1">SUM(IMSS[[#This Row],[O RSG TRB]:[O INFONAVIT]])</f>
        <v>175.99339726027398</v>
      </c>
      <c r="AD501" s="163"/>
      <c r="AE501" s="165">
        <f ca="1">IMSS[[#This Row],[P TOTAL]]+IMSS[[#This Row],[O TOTAL]]</f>
        <v>2062.3893793150687</v>
      </c>
      <c r="AF501" s="163"/>
      <c r="AG501" s="163">
        <f>VLOOKUP(IMSS[[#This Row],[SUE MENS]],$AG$110:$AJ$120,1,1)</f>
        <v>5470.93</v>
      </c>
      <c r="AH501" s="163">
        <f>IMSS[[#This Row],[SUE MENS]]-IMSS[[#This Row],[LIM INF]]</f>
        <v>2479.0699999999997</v>
      </c>
      <c r="AI501" s="163">
        <f>IMSS[[#This Row],[EXC LIM INF]]*(VLOOKUP(IMSS[[#This Row],[LIM INF]],$AG$110:$AJ$120,4,0))</f>
        <v>269.72281599999997</v>
      </c>
      <c r="AJ501" s="163">
        <f>VLOOKUP(IMSS[[#This Row],[LIM INF]],$AG$110:$AJ$120,3)</f>
        <v>321.26</v>
      </c>
      <c r="AK501" s="163">
        <f>SUM(IMSS[[#This Row],[TASA EXC]]+IMSS[[#This Row],[CUOTA FIJA]])</f>
        <v>590.98281599999996</v>
      </c>
      <c r="AL501" s="163">
        <f>VLOOKUP(IMSS[[#This Row],[SUE MENS]],$AL$110:$AN$120,3,1)</f>
        <v>0</v>
      </c>
      <c r="AM501" s="248">
        <f>IF(IMSS[[#This Row],[ISR CARGO]]-IMSS[[#This Row],[SUBS ISR]]&gt;0,IMSS[[#This Row],[ISR CARGO]]-IMSS[[#This Row],[SUBS ISR]],0)</f>
        <v>590.98281599999996</v>
      </c>
      <c r="AN501" s="248">
        <f>IF(IMSS[[#This Row],[SUBS ISR]]-IMSS[[#This Row],[ISR CARGO]]&gt;0,IMSS[[#This Row],[SUBS ISR]]-IMSS[[#This Row],[ISR CARGO]],0)</f>
        <v>0</v>
      </c>
    </row>
    <row r="502" spans="3:40" ht="15" hidden="1" customHeight="1" x14ac:dyDescent="0.25">
      <c r="C502" s="243">
        <v>579</v>
      </c>
      <c r="D502" s="167" t="str">
        <f>VLOOKUP(IMSS[[#This Row],[NEM]],BDD[],2,0)</f>
        <v>Alma Susel Andrade Mendez</v>
      </c>
      <c r="E502" s="167" t="str">
        <f>VLOOKUP(IMSS[[#This Row],[NEM]],BDD[],9,0)</f>
        <v>RENDER</v>
      </c>
      <c r="F502" s="168">
        <v>30</v>
      </c>
      <c r="G502" s="139">
        <f>VLOOKUP(IMSS[[#This Row],[NEM]],BDD[],3,0)</f>
        <v>10860</v>
      </c>
      <c r="H502" s="139">
        <f ca="1">VLOOKUP(IMSS[[#This Row],[NEM]],BDD[],25,0)</f>
        <v>398.6958904109589</v>
      </c>
      <c r="I502" s="143">
        <f>VLOOKUP(IMSS[[#This Row],[DEPT]],$B$3:$G$49,6,0)</f>
        <v>2.5984400000000001E-2</v>
      </c>
      <c r="J502" s="163">
        <f ca="1">IMSS[[#This Row],[DIAS LAB]]*IMSS[[#This Row],[SDI]]*IMSS[[#This Row],[% RSG]]*$Q$108</f>
        <v>310.79620484383565</v>
      </c>
      <c r="K502" s="163">
        <f>IMSS[[#This Row],[DIAS LAB]]*$J$110*$Q$109</f>
        <v>548.47440000000006</v>
      </c>
      <c r="L502" s="166">
        <f ca="1">IMSS[[#This Row],[DIAS LAB]]*IF(IMSS[[#This Row],[SDI]]-$J$113&gt;0,IMSS[[#This Row],[SDI]]-$J$113,0)*$Q$110</f>
        <v>42.845843835616428</v>
      </c>
      <c r="M502" s="166">
        <f ca="1">IMSS[[#This Row],[DIAS LAB]]*IMSS[[#This Row],[SDI]]*$Q$111</f>
        <v>125.58920547945206</v>
      </c>
      <c r="N502" s="163">
        <f ca="1">IMSS[[#This Row],[DIAS LAB]]*IMSS[[#This Row],[SDI]]*$Q$112</f>
        <v>83.72613698630137</v>
      </c>
      <c r="O502" s="166">
        <f ca="1">IMSS[[#This Row],[DIAS LAB]]*IMSS[[#This Row],[SDI]]*$Q$113</f>
        <v>209.31534246575345</v>
      </c>
      <c r="P502" s="163">
        <f ca="1">IMSS[[#This Row],[DIAS LAB]]*IMSS[[#This Row],[SDI]]*$Q$114</f>
        <v>119.60876712328768</v>
      </c>
      <c r="Q502" s="166">
        <f ca="1">IMSS[[#This Row],[DIAS LAB]]*IMSS[[#This Row],[SDI]]*$Q$115</f>
        <v>239.21753424657535</v>
      </c>
      <c r="R502" s="163">
        <f ca="1">IMSS[[#This Row],[DIAS LAB]]*IMSS[[#This Row],[SDI]]*$Q$116</f>
        <v>376.76761643835619</v>
      </c>
      <c r="S502" s="163">
        <f ca="1">IMSS[[#This Row],[DIAS LAB]]*IMSS[[#This Row],[SDI]]*$Q$117</f>
        <v>598.0438356164384</v>
      </c>
      <c r="T502" s="164">
        <f ca="1">SUM(IMSS[[#This Row],[P RSG TRB]:[P INFONAVIT]])</f>
        <v>2654.384887035616</v>
      </c>
      <c r="U502" s="163">
        <f ca="1">IMSS[[#This Row],[DIAS LAB]]*IMSS[[#This Row],[SDI]]*IMSS[[#This Row],[% RSG]]*$R$108</f>
        <v>0</v>
      </c>
      <c r="V502" s="163">
        <f ca="1">IMSS[[#This Row],[DIAS LAB]]*IMSS[[#This Row],[SDI]]*$R$112</f>
        <v>29.902191780821919</v>
      </c>
      <c r="W502" s="163"/>
      <c r="X502" s="163">
        <f ca="1">IMSS[[#This Row],[DIAS LAB]]*IMSS[[#This Row],[SDI]]*$R$113</f>
        <v>75.353523287671237</v>
      </c>
      <c r="Y502" s="163">
        <f ca="1">IMSS[[#This Row],[DIAS LAB]]*IMSS[[#This Row],[SDI]]*$R$114</f>
        <v>0</v>
      </c>
      <c r="Z502" s="163">
        <f ca="1">IMSS[[#This Row],[DIAS LAB]]*IMSS[[#This Row],[SDI]]*$R$115</f>
        <v>0</v>
      </c>
      <c r="AA502" s="163">
        <f ca="1">IMSS[[#This Row],[DIAS LAB]]*IMSS[[#This Row],[SDI]]*$R$116</f>
        <v>135.15790684931505</v>
      </c>
      <c r="AB502" s="163">
        <f ca="1">IMSS[[#This Row],[DIAS LAB]]*IMSS[[#This Row],[SDI]]*$R$117</f>
        <v>0</v>
      </c>
      <c r="AC502" s="247">
        <f ca="1">SUM(IMSS[[#This Row],[O RSG TRB]:[O INFONAVIT]])</f>
        <v>240.4136219178082</v>
      </c>
      <c r="AD502" s="163"/>
      <c r="AE502" s="165">
        <f ca="1">IMSS[[#This Row],[P TOTAL]]+IMSS[[#This Row],[O TOTAL]]</f>
        <v>2894.7985089534241</v>
      </c>
      <c r="AF502" s="163"/>
      <c r="AG502" s="163">
        <f>VLOOKUP(IMSS[[#This Row],[SUE MENS]],$AG$110:$AJ$120,1,1)</f>
        <v>9614.67</v>
      </c>
      <c r="AH502" s="163">
        <f>IMSS[[#This Row],[SUE MENS]]-IMSS[[#This Row],[LIM INF]]</f>
        <v>1245.33</v>
      </c>
      <c r="AI502" s="163">
        <f>IMSS[[#This Row],[EXC LIM INF]]*(VLOOKUP(IMSS[[#This Row],[LIM INF]],$AG$110:$AJ$120,4,0))</f>
        <v>199.25279999999998</v>
      </c>
      <c r="AJ502" s="163">
        <f>VLOOKUP(IMSS[[#This Row],[LIM INF]],$AG$110:$AJ$120,3)</f>
        <v>772.1</v>
      </c>
      <c r="AK502" s="163">
        <f>SUM(IMSS[[#This Row],[TASA EXC]]+IMSS[[#This Row],[CUOTA FIJA]])</f>
        <v>971.3528</v>
      </c>
      <c r="AL502" s="163">
        <f>VLOOKUP(IMSS[[#This Row],[SUE MENS]],$AL$110:$AN$120,3,1)</f>
        <v>0</v>
      </c>
      <c r="AM502" s="248">
        <f>IF(IMSS[[#This Row],[ISR CARGO]]-IMSS[[#This Row],[SUBS ISR]]&gt;0,IMSS[[#This Row],[ISR CARGO]]-IMSS[[#This Row],[SUBS ISR]],0)</f>
        <v>971.3528</v>
      </c>
      <c r="AN502" s="248">
        <f>IF(IMSS[[#This Row],[SUBS ISR]]-IMSS[[#This Row],[ISR CARGO]]&gt;0,IMSS[[#This Row],[SUBS ISR]]-IMSS[[#This Row],[ISR CARGO]],0)</f>
        <v>0</v>
      </c>
    </row>
    <row r="503" spans="3:40" ht="15" hidden="1" customHeight="1" x14ac:dyDescent="0.25">
      <c r="C503" s="243">
        <v>580</v>
      </c>
      <c r="D503" s="167" t="str">
        <f>VLOOKUP(IMSS[[#This Row],[NEM]],BDD[],2,0)</f>
        <v>Sahara Jackellyn González Aguilar</v>
      </c>
      <c r="E503" s="167" t="str">
        <f>VLOOKUP(IMSS[[#This Row],[NEM]],BDD[],9,0)</f>
        <v>INST CAMPO</v>
      </c>
      <c r="F503" s="168">
        <v>30</v>
      </c>
      <c r="G503" s="139">
        <f>VLOOKUP(IMSS[[#This Row],[NEM]],BDD[],3,0)</f>
        <v>7950</v>
      </c>
      <c r="H503" s="139">
        <f ca="1">VLOOKUP(IMSS[[#This Row],[NEM]],BDD[],25,0)</f>
        <v>291.86301369863014</v>
      </c>
      <c r="I503" s="143">
        <f>VLOOKUP(IMSS[[#This Row],[DEPT]],$B$3:$G$49,6,0)</f>
        <v>4.6532499999999997E-2</v>
      </c>
      <c r="J503" s="163">
        <f ca="1">IMSS[[#This Row],[DIAS LAB]]*IMSS[[#This Row],[SDI]]*IMSS[[#This Row],[% RSG]]*$Q$108</f>
        <v>407.43347054794515</v>
      </c>
      <c r="K503" s="163">
        <f>IMSS[[#This Row],[DIAS LAB]]*$J$110*$Q$109</f>
        <v>548.47440000000006</v>
      </c>
      <c r="L503" s="166">
        <f ca="1">IMSS[[#This Row],[DIAS LAB]]*IF(IMSS[[#This Row],[SDI]]-$J$113&gt;0,IMSS[[#This Row],[SDI]]-$J$113,0)*$Q$110</f>
        <v>7.5909945205479419</v>
      </c>
      <c r="M503" s="166">
        <f ca="1">IMSS[[#This Row],[DIAS LAB]]*IMSS[[#This Row],[SDI]]*$Q$111</f>
        <v>91.9368493150685</v>
      </c>
      <c r="N503" s="163">
        <f ca="1">IMSS[[#This Row],[DIAS LAB]]*IMSS[[#This Row],[SDI]]*$Q$112</f>
        <v>61.291232876712328</v>
      </c>
      <c r="O503" s="166">
        <f ca="1">IMSS[[#This Row],[DIAS LAB]]*IMSS[[#This Row],[SDI]]*$Q$113</f>
        <v>153.22808219178083</v>
      </c>
      <c r="P503" s="163">
        <f ca="1">IMSS[[#This Row],[DIAS LAB]]*IMSS[[#This Row],[SDI]]*$Q$114</f>
        <v>87.558904109589037</v>
      </c>
      <c r="Q503" s="166">
        <f ca="1">IMSS[[#This Row],[DIAS LAB]]*IMSS[[#This Row],[SDI]]*$Q$115</f>
        <v>175.11780821917807</v>
      </c>
      <c r="R503" s="163">
        <f ca="1">IMSS[[#This Row],[DIAS LAB]]*IMSS[[#This Row],[SDI]]*$Q$116</f>
        <v>275.81054794520549</v>
      </c>
      <c r="S503" s="163">
        <f ca="1">IMSS[[#This Row],[DIAS LAB]]*IMSS[[#This Row],[SDI]]*$Q$117</f>
        <v>437.79452054794524</v>
      </c>
      <c r="T503" s="164">
        <f ca="1">SUM(IMSS[[#This Row],[P RSG TRB]:[P INFONAVIT]])</f>
        <v>2246.2368102739729</v>
      </c>
      <c r="U503" s="163">
        <f ca="1">IMSS[[#This Row],[DIAS LAB]]*IMSS[[#This Row],[SDI]]*IMSS[[#This Row],[% RSG]]*$R$108</f>
        <v>0</v>
      </c>
      <c r="V503" s="163">
        <f ca="1">IMSS[[#This Row],[DIAS LAB]]*IMSS[[#This Row],[SDI]]*$R$112</f>
        <v>21.889726027397259</v>
      </c>
      <c r="W503" s="163"/>
      <c r="X503" s="163">
        <f ca="1">IMSS[[#This Row],[DIAS LAB]]*IMSS[[#This Row],[SDI]]*$R$113</f>
        <v>55.162109589041094</v>
      </c>
      <c r="Y503" s="163">
        <f ca="1">IMSS[[#This Row],[DIAS LAB]]*IMSS[[#This Row],[SDI]]*$R$114</f>
        <v>0</v>
      </c>
      <c r="Z503" s="163">
        <f ca="1">IMSS[[#This Row],[DIAS LAB]]*IMSS[[#This Row],[SDI]]*$R$115</f>
        <v>0</v>
      </c>
      <c r="AA503" s="163">
        <f ca="1">IMSS[[#This Row],[DIAS LAB]]*IMSS[[#This Row],[SDI]]*$R$116</f>
        <v>98.941561643835612</v>
      </c>
      <c r="AB503" s="163">
        <f ca="1">IMSS[[#This Row],[DIAS LAB]]*IMSS[[#This Row],[SDI]]*$R$117</f>
        <v>0</v>
      </c>
      <c r="AC503" s="247">
        <f ca="1">SUM(IMSS[[#This Row],[O RSG TRB]:[O INFONAVIT]])</f>
        <v>175.99339726027398</v>
      </c>
      <c r="AD503" s="163"/>
      <c r="AE503" s="165">
        <f ca="1">IMSS[[#This Row],[P TOTAL]]+IMSS[[#This Row],[O TOTAL]]</f>
        <v>2422.2302075342468</v>
      </c>
      <c r="AF503" s="163"/>
      <c r="AG503" s="163">
        <f>VLOOKUP(IMSS[[#This Row],[SUE MENS]],$AG$110:$AJ$120,1,1)</f>
        <v>5470.93</v>
      </c>
      <c r="AH503" s="163">
        <f>IMSS[[#This Row],[SUE MENS]]-IMSS[[#This Row],[LIM INF]]</f>
        <v>2479.0699999999997</v>
      </c>
      <c r="AI503" s="163">
        <f>IMSS[[#This Row],[EXC LIM INF]]*(VLOOKUP(IMSS[[#This Row],[LIM INF]],$AG$110:$AJ$120,4,0))</f>
        <v>269.72281599999997</v>
      </c>
      <c r="AJ503" s="163">
        <f>VLOOKUP(IMSS[[#This Row],[LIM INF]],$AG$110:$AJ$120,3)</f>
        <v>321.26</v>
      </c>
      <c r="AK503" s="163">
        <f>SUM(IMSS[[#This Row],[TASA EXC]]+IMSS[[#This Row],[CUOTA FIJA]])</f>
        <v>590.98281599999996</v>
      </c>
      <c r="AL503" s="163">
        <f>VLOOKUP(IMSS[[#This Row],[SUE MENS]],$AL$110:$AN$120,3,1)</f>
        <v>0</v>
      </c>
      <c r="AM503" s="248">
        <f>IF(IMSS[[#This Row],[ISR CARGO]]-IMSS[[#This Row],[SUBS ISR]]&gt;0,IMSS[[#This Row],[ISR CARGO]]-IMSS[[#This Row],[SUBS ISR]],0)</f>
        <v>590.98281599999996</v>
      </c>
      <c r="AN503" s="248">
        <f>IF(IMSS[[#This Row],[SUBS ISR]]-IMSS[[#This Row],[ISR CARGO]]&gt;0,IMSS[[#This Row],[SUBS ISR]]-IMSS[[#This Row],[ISR CARGO]],0)</f>
        <v>0</v>
      </c>
    </row>
    <row r="504" spans="3:40" ht="15" hidden="1" customHeight="1" x14ac:dyDescent="0.25">
      <c r="C504" s="243">
        <v>581</v>
      </c>
      <c r="D504" s="167" t="str">
        <f>VLOOKUP(IMSS[[#This Row],[NEM]],BDD[],2,0)</f>
        <v>Mixcel Velazquez Lopez</v>
      </c>
      <c r="E504" s="167" t="str">
        <f>VLOOKUP(IMSS[[#This Row],[NEM]],BDD[],9,0)</f>
        <v>ARQUITECT</v>
      </c>
      <c r="F504" s="168">
        <v>30</v>
      </c>
      <c r="G504" s="139">
        <f>VLOOKUP(IMSS[[#This Row],[NEM]],BDD[],3,0)</f>
        <v>9450</v>
      </c>
      <c r="H504" s="139">
        <f ca="1">VLOOKUP(IMSS[[#This Row],[NEM]],BDD[],25,0)</f>
        <v>346.93150684931504</v>
      </c>
      <c r="I504" s="143">
        <f>VLOOKUP(IMSS[[#This Row],[DEPT]],$B$3:$G$49,6,0)</f>
        <v>2.5984400000000001E-2</v>
      </c>
      <c r="J504" s="163">
        <f ca="1">IMSS[[#This Row],[DIAS LAB]]*IMSS[[#This Row],[SDI]]*IMSS[[#This Row],[% RSG]]*$Q$108</f>
        <v>270.44421139726023</v>
      </c>
      <c r="K504" s="163">
        <f>IMSS[[#This Row],[DIAS LAB]]*$J$110*$Q$109</f>
        <v>548.47440000000006</v>
      </c>
      <c r="L504" s="166">
        <f ca="1">IMSS[[#This Row],[DIAS LAB]]*IF(IMSS[[#This Row],[SDI]]-$J$113&gt;0,IMSS[[#This Row],[SDI]]-$J$113,0)*$Q$110</f>
        <v>25.763597260273958</v>
      </c>
      <c r="M504" s="166">
        <f ca="1">IMSS[[#This Row],[DIAS LAB]]*IMSS[[#This Row],[SDI]]*$Q$111</f>
        <v>109.28342465753424</v>
      </c>
      <c r="N504" s="163">
        <f ca="1">IMSS[[#This Row],[DIAS LAB]]*IMSS[[#This Row],[SDI]]*$Q$112</f>
        <v>72.855616438356165</v>
      </c>
      <c r="O504" s="166">
        <f ca="1">IMSS[[#This Row],[DIAS LAB]]*IMSS[[#This Row],[SDI]]*$Q$113</f>
        <v>182.13904109589041</v>
      </c>
      <c r="P504" s="163">
        <f ca="1">IMSS[[#This Row],[DIAS LAB]]*IMSS[[#This Row],[SDI]]*$Q$114</f>
        <v>104.07945205479452</v>
      </c>
      <c r="Q504" s="166">
        <f ca="1">IMSS[[#This Row],[DIAS LAB]]*IMSS[[#This Row],[SDI]]*$Q$115</f>
        <v>208.15890410958903</v>
      </c>
      <c r="R504" s="163">
        <f ca="1">IMSS[[#This Row],[DIAS LAB]]*IMSS[[#This Row],[SDI]]*$Q$116</f>
        <v>327.85027397260274</v>
      </c>
      <c r="S504" s="163">
        <f ca="1">IMSS[[#This Row],[DIAS LAB]]*IMSS[[#This Row],[SDI]]*$Q$117</f>
        <v>520.39726027397262</v>
      </c>
      <c r="T504" s="164">
        <f ca="1">SUM(IMSS[[#This Row],[P RSG TRB]:[P INFONAVIT]])</f>
        <v>2369.446181260274</v>
      </c>
      <c r="U504" s="163">
        <f ca="1">IMSS[[#This Row],[DIAS LAB]]*IMSS[[#This Row],[SDI]]*IMSS[[#This Row],[% RSG]]*$R$108</f>
        <v>0</v>
      </c>
      <c r="V504" s="163">
        <f ca="1">IMSS[[#This Row],[DIAS LAB]]*IMSS[[#This Row],[SDI]]*$R$112</f>
        <v>26.019863013698629</v>
      </c>
      <c r="W504" s="163"/>
      <c r="X504" s="163">
        <f ca="1">IMSS[[#This Row],[DIAS LAB]]*IMSS[[#This Row],[SDI]]*$R$113</f>
        <v>65.570054794520544</v>
      </c>
      <c r="Y504" s="163">
        <f ca="1">IMSS[[#This Row],[DIAS LAB]]*IMSS[[#This Row],[SDI]]*$R$114</f>
        <v>0</v>
      </c>
      <c r="Z504" s="163">
        <f ca="1">IMSS[[#This Row],[DIAS LAB]]*IMSS[[#This Row],[SDI]]*$R$115</f>
        <v>0</v>
      </c>
      <c r="AA504" s="163">
        <f ca="1">IMSS[[#This Row],[DIAS LAB]]*IMSS[[#This Row],[SDI]]*$R$116</f>
        <v>117.60978082191779</v>
      </c>
      <c r="AB504" s="163">
        <f ca="1">IMSS[[#This Row],[DIAS LAB]]*IMSS[[#This Row],[SDI]]*$R$117</f>
        <v>0</v>
      </c>
      <c r="AC504" s="247">
        <f ca="1">SUM(IMSS[[#This Row],[O RSG TRB]:[O INFONAVIT]])</f>
        <v>209.19969863013696</v>
      </c>
      <c r="AD504" s="163"/>
      <c r="AE504" s="165">
        <f ca="1">IMSS[[#This Row],[P TOTAL]]+IMSS[[#This Row],[O TOTAL]]</f>
        <v>2578.6458798904109</v>
      </c>
      <c r="AF504" s="163"/>
      <c r="AG504" s="163">
        <f>VLOOKUP(IMSS[[#This Row],[SUE MENS]],$AG$110:$AJ$120,1,1)</f>
        <v>5470.93</v>
      </c>
      <c r="AH504" s="163">
        <f>IMSS[[#This Row],[SUE MENS]]-IMSS[[#This Row],[LIM INF]]</f>
        <v>3979.0699999999997</v>
      </c>
      <c r="AI504" s="163">
        <f>IMSS[[#This Row],[EXC LIM INF]]*(VLOOKUP(IMSS[[#This Row],[LIM INF]],$AG$110:$AJ$120,4,0))</f>
        <v>432.92281600000001</v>
      </c>
      <c r="AJ504" s="163">
        <f>VLOOKUP(IMSS[[#This Row],[LIM INF]],$AG$110:$AJ$120,3)</f>
        <v>321.26</v>
      </c>
      <c r="AK504" s="163">
        <f>SUM(IMSS[[#This Row],[TASA EXC]]+IMSS[[#This Row],[CUOTA FIJA]])</f>
        <v>754.182816</v>
      </c>
      <c r="AL504" s="163">
        <f>VLOOKUP(IMSS[[#This Row],[SUE MENS]],$AL$110:$AN$120,3,1)</f>
        <v>0</v>
      </c>
      <c r="AM504" s="248">
        <f>IF(IMSS[[#This Row],[ISR CARGO]]-IMSS[[#This Row],[SUBS ISR]]&gt;0,IMSS[[#This Row],[ISR CARGO]]-IMSS[[#This Row],[SUBS ISR]],0)</f>
        <v>754.182816</v>
      </c>
      <c r="AN504" s="248">
        <f>IF(IMSS[[#This Row],[SUBS ISR]]-IMSS[[#This Row],[ISR CARGO]]&gt;0,IMSS[[#This Row],[SUBS ISR]]-IMSS[[#This Row],[ISR CARGO]],0)</f>
        <v>0</v>
      </c>
    </row>
    <row r="505" spans="3:40" ht="15" hidden="1" customHeight="1" x14ac:dyDescent="0.25">
      <c r="C505" s="243">
        <v>584</v>
      </c>
      <c r="D505" s="167" t="str">
        <f>VLOOKUP(IMSS[[#This Row],[NEM]],BDD[],2,0)</f>
        <v>Bertha Alejandra Cisneros Ramirez</v>
      </c>
      <c r="E505" s="167" t="str">
        <f>VLOOKUP(IMSS[[#This Row],[NEM]],BDD[],9,0)</f>
        <v>ADMINCIÓN</v>
      </c>
      <c r="F505" s="168">
        <v>30</v>
      </c>
      <c r="G505" s="139">
        <f>VLOOKUP(IMSS[[#This Row],[NEM]],BDD[],3,0)</f>
        <v>8825</v>
      </c>
      <c r="H505" s="139">
        <f ca="1">VLOOKUP(IMSS[[#This Row],[NEM]],BDD[],25,0)</f>
        <v>323.98630136986299</v>
      </c>
      <c r="I505" s="143">
        <f>VLOOKUP(IMSS[[#This Row],[DEPT]],$B$3:$G$49,6,0)</f>
        <v>5.4355000000000002E-3</v>
      </c>
      <c r="J505" s="163">
        <f ca="1">IMSS[[#This Row],[DIAS LAB]]*IMSS[[#This Row],[SDI]]*IMSS[[#This Row],[% RSG]]*$Q$108</f>
        <v>52.83082623287671</v>
      </c>
      <c r="K505" s="163">
        <f>IMSS[[#This Row],[DIAS LAB]]*$J$110*$Q$109</f>
        <v>548.47440000000006</v>
      </c>
      <c r="L505" s="166">
        <f ca="1">IMSS[[#This Row],[DIAS LAB]]*IF(IMSS[[#This Row],[SDI]]-$J$113&gt;0,IMSS[[#This Row],[SDI]]-$J$113,0)*$Q$110</f>
        <v>18.191679452054778</v>
      </c>
      <c r="M505" s="166">
        <f ca="1">IMSS[[#This Row],[DIAS LAB]]*IMSS[[#This Row],[SDI]]*$Q$111</f>
        <v>102.05568493150685</v>
      </c>
      <c r="N505" s="163">
        <f ca="1">IMSS[[#This Row],[DIAS LAB]]*IMSS[[#This Row],[SDI]]*$Q$112</f>
        <v>68.037123287671221</v>
      </c>
      <c r="O505" s="166">
        <f ca="1">IMSS[[#This Row],[DIAS LAB]]*IMSS[[#This Row],[SDI]]*$Q$113</f>
        <v>170.09280821917807</v>
      </c>
      <c r="P505" s="163">
        <f ca="1">IMSS[[#This Row],[DIAS LAB]]*IMSS[[#This Row],[SDI]]*$Q$114</f>
        <v>97.195890410958896</v>
      </c>
      <c r="Q505" s="166">
        <f ca="1">IMSS[[#This Row],[DIAS LAB]]*IMSS[[#This Row],[SDI]]*$Q$115</f>
        <v>194.39178082191779</v>
      </c>
      <c r="R505" s="163">
        <f ca="1">IMSS[[#This Row],[DIAS LAB]]*IMSS[[#This Row],[SDI]]*$Q$116</f>
        <v>306.16705479452048</v>
      </c>
      <c r="S505" s="163">
        <f ca="1">IMSS[[#This Row],[DIAS LAB]]*IMSS[[#This Row],[SDI]]*$Q$117</f>
        <v>485.97945205479448</v>
      </c>
      <c r="T505" s="164">
        <f ca="1">SUM(IMSS[[#This Row],[P RSG TRB]:[P INFONAVIT]])</f>
        <v>2043.4167002054796</v>
      </c>
      <c r="U505" s="163">
        <f ca="1">IMSS[[#This Row],[DIAS LAB]]*IMSS[[#This Row],[SDI]]*IMSS[[#This Row],[% RSG]]*$R$108</f>
        <v>0</v>
      </c>
      <c r="V505" s="163">
        <f ca="1">IMSS[[#This Row],[DIAS LAB]]*IMSS[[#This Row],[SDI]]*$R$112</f>
        <v>24.298972602739724</v>
      </c>
      <c r="W505" s="163"/>
      <c r="X505" s="163">
        <f ca="1">IMSS[[#This Row],[DIAS LAB]]*IMSS[[#This Row],[SDI]]*$R$113</f>
        <v>61.233410958904102</v>
      </c>
      <c r="Y505" s="163">
        <f ca="1">IMSS[[#This Row],[DIAS LAB]]*IMSS[[#This Row],[SDI]]*$R$114</f>
        <v>0</v>
      </c>
      <c r="Z505" s="163">
        <f ca="1">IMSS[[#This Row],[DIAS LAB]]*IMSS[[#This Row],[SDI]]*$R$115</f>
        <v>0</v>
      </c>
      <c r="AA505" s="163">
        <f ca="1">IMSS[[#This Row],[DIAS LAB]]*IMSS[[#This Row],[SDI]]*$R$116</f>
        <v>109.83135616438354</v>
      </c>
      <c r="AB505" s="163">
        <f ca="1">IMSS[[#This Row],[DIAS LAB]]*IMSS[[#This Row],[SDI]]*$R$117</f>
        <v>0</v>
      </c>
      <c r="AC505" s="247">
        <f ca="1">SUM(IMSS[[#This Row],[O RSG TRB]:[O INFONAVIT]])</f>
        <v>195.36373972602735</v>
      </c>
      <c r="AD505" s="163"/>
      <c r="AE505" s="165">
        <f ca="1">IMSS[[#This Row],[P TOTAL]]+IMSS[[#This Row],[O TOTAL]]</f>
        <v>2238.7804399315069</v>
      </c>
      <c r="AF505" s="163"/>
      <c r="AG505" s="163">
        <f>VLOOKUP(IMSS[[#This Row],[SUE MENS]],$AG$110:$AJ$120,1,1)</f>
        <v>5470.93</v>
      </c>
      <c r="AH505" s="163">
        <f>IMSS[[#This Row],[SUE MENS]]-IMSS[[#This Row],[LIM INF]]</f>
        <v>3354.0699999999997</v>
      </c>
      <c r="AI505" s="163">
        <f>IMSS[[#This Row],[EXC LIM INF]]*(VLOOKUP(IMSS[[#This Row],[LIM INF]],$AG$110:$AJ$120,4,0))</f>
        <v>364.92281600000001</v>
      </c>
      <c r="AJ505" s="163">
        <f>VLOOKUP(IMSS[[#This Row],[LIM INF]],$AG$110:$AJ$120,3)</f>
        <v>321.26</v>
      </c>
      <c r="AK505" s="163">
        <f>SUM(IMSS[[#This Row],[TASA EXC]]+IMSS[[#This Row],[CUOTA FIJA]])</f>
        <v>686.182816</v>
      </c>
      <c r="AL505" s="163">
        <f>VLOOKUP(IMSS[[#This Row],[SUE MENS]],$AL$110:$AN$120,3,1)</f>
        <v>0</v>
      </c>
      <c r="AM505" s="248">
        <f>IF(IMSS[[#This Row],[ISR CARGO]]-IMSS[[#This Row],[SUBS ISR]]&gt;0,IMSS[[#This Row],[ISR CARGO]]-IMSS[[#This Row],[SUBS ISR]],0)</f>
        <v>686.182816</v>
      </c>
      <c r="AN505" s="248">
        <f>IF(IMSS[[#This Row],[SUBS ISR]]-IMSS[[#This Row],[ISR CARGO]]&gt;0,IMSS[[#This Row],[SUBS ISR]]-IMSS[[#This Row],[ISR CARGO]],0)</f>
        <v>0</v>
      </c>
    </row>
    <row r="506" spans="3:40" ht="15" hidden="1" customHeight="1" x14ac:dyDescent="0.25">
      <c r="C506" s="243">
        <v>585</v>
      </c>
      <c r="D506" s="167" t="str">
        <f>VLOOKUP(IMSS[[#This Row],[NEM]],BDD[],2,0)</f>
        <v>Sofia Idalia Luna Hernández</v>
      </c>
      <c r="E506" s="167" t="str">
        <f>VLOOKUP(IMSS[[#This Row],[NEM]],BDD[],9,0)</f>
        <v>AUDIT PROY</v>
      </c>
      <c r="F506" s="168">
        <v>30</v>
      </c>
      <c r="G506" s="139">
        <f>VLOOKUP(IMSS[[#This Row],[NEM]],BDD[],3,0)</f>
        <v>7950</v>
      </c>
      <c r="H506" s="139">
        <f ca="1">VLOOKUP(IMSS[[#This Row],[NEM]],BDD[],25,0)</f>
        <v>291.86301369863014</v>
      </c>
      <c r="I506" s="143">
        <f>VLOOKUP(IMSS[[#This Row],[DEPT]],$B$3:$G$49,6,0)</f>
        <v>1.130658E-2</v>
      </c>
      <c r="J506" s="163">
        <f ca="1">IMSS[[#This Row],[DIAS LAB]]*IMSS[[#This Row],[SDI]]*IMSS[[#This Row],[% RSG]]*$Q$108</f>
        <v>98.999175402739723</v>
      </c>
      <c r="K506" s="163">
        <f>IMSS[[#This Row],[DIAS LAB]]*$J$110*$Q$109</f>
        <v>548.47440000000006</v>
      </c>
      <c r="L506" s="166">
        <f ca="1">IMSS[[#This Row],[DIAS LAB]]*IF(IMSS[[#This Row],[SDI]]-$J$113&gt;0,IMSS[[#This Row],[SDI]]-$J$113,0)*$Q$110</f>
        <v>7.5909945205479419</v>
      </c>
      <c r="M506" s="166">
        <f ca="1">IMSS[[#This Row],[DIAS LAB]]*IMSS[[#This Row],[SDI]]*$Q$111</f>
        <v>91.9368493150685</v>
      </c>
      <c r="N506" s="163">
        <f ca="1">IMSS[[#This Row],[DIAS LAB]]*IMSS[[#This Row],[SDI]]*$Q$112</f>
        <v>61.291232876712328</v>
      </c>
      <c r="O506" s="166">
        <f ca="1">IMSS[[#This Row],[DIAS LAB]]*IMSS[[#This Row],[SDI]]*$Q$113</f>
        <v>153.22808219178083</v>
      </c>
      <c r="P506" s="163">
        <f ca="1">IMSS[[#This Row],[DIAS LAB]]*IMSS[[#This Row],[SDI]]*$Q$114</f>
        <v>87.558904109589037</v>
      </c>
      <c r="Q506" s="166">
        <f ca="1">IMSS[[#This Row],[DIAS LAB]]*IMSS[[#This Row],[SDI]]*$Q$115</f>
        <v>175.11780821917807</v>
      </c>
      <c r="R506" s="163">
        <f ca="1">IMSS[[#This Row],[DIAS LAB]]*IMSS[[#This Row],[SDI]]*$Q$116</f>
        <v>275.81054794520549</v>
      </c>
      <c r="S506" s="163">
        <f ca="1">IMSS[[#This Row],[DIAS LAB]]*IMSS[[#This Row],[SDI]]*$Q$117</f>
        <v>437.79452054794524</v>
      </c>
      <c r="T506" s="164">
        <f ca="1">SUM(IMSS[[#This Row],[P RSG TRB]:[P INFONAVIT]])</f>
        <v>1937.8025151287673</v>
      </c>
      <c r="U506" s="163">
        <f ca="1">IMSS[[#This Row],[DIAS LAB]]*IMSS[[#This Row],[SDI]]*IMSS[[#This Row],[% RSG]]*$R$108</f>
        <v>0</v>
      </c>
      <c r="V506" s="163">
        <f ca="1">IMSS[[#This Row],[DIAS LAB]]*IMSS[[#This Row],[SDI]]*$R$112</f>
        <v>21.889726027397259</v>
      </c>
      <c r="W506" s="163"/>
      <c r="X506" s="163">
        <f ca="1">IMSS[[#This Row],[DIAS LAB]]*IMSS[[#This Row],[SDI]]*$R$113</f>
        <v>55.162109589041094</v>
      </c>
      <c r="Y506" s="163">
        <f ca="1">IMSS[[#This Row],[DIAS LAB]]*IMSS[[#This Row],[SDI]]*$R$114</f>
        <v>0</v>
      </c>
      <c r="Z506" s="163">
        <f ca="1">IMSS[[#This Row],[DIAS LAB]]*IMSS[[#This Row],[SDI]]*$R$115</f>
        <v>0</v>
      </c>
      <c r="AA506" s="163">
        <f ca="1">IMSS[[#This Row],[DIAS LAB]]*IMSS[[#This Row],[SDI]]*$R$116</f>
        <v>98.941561643835612</v>
      </c>
      <c r="AB506" s="163">
        <f ca="1">IMSS[[#This Row],[DIAS LAB]]*IMSS[[#This Row],[SDI]]*$R$117</f>
        <v>0</v>
      </c>
      <c r="AC506" s="247">
        <f ca="1">SUM(IMSS[[#This Row],[O RSG TRB]:[O INFONAVIT]])</f>
        <v>175.99339726027398</v>
      </c>
      <c r="AD506" s="163"/>
      <c r="AE506" s="165">
        <f ca="1">IMSS[[#This Row],[P TOTAL]]+IMSS[[#This Row],[O TOTAL]]</f>
        <v>2113.7959123890414</v>
      </c>
      <c r="AF506" s="163"/>
      <c r="AG506" s="163">
        <f>VLOOKUP(IMSS[[#This Row],[SUE MENS]],$AG$110:$AJ$120,1,1)</f>
        <v>5470.93</v>
      </c>
      <c r="AH506" s="163">
        <f>IMSS[[#This Row],[SUE MENS]]-IMSS[[#This Row],[LIM INF]]</f>
        <v>2479.0699999999997</v>
      </c>
      <c r="AI506" s="163">
        <f>IMSS[[#This Row],[EXC LIM INF]]*(VLOOKUP(IMSS[[#This Row],[LIM INF]],$AG$110:$AJ$120,4,0))</f>
        <v>269.72281599999997</v>
      </c>
      <c r="AJ506" s="163">
        <f>VLOOKUP(IMSS[[#This Row],[LIM INF]],$AG$110:$AJ$120,3)</f>
        <v>321.26</v>
      </c>
      <c r="AK506" s="163">
        <f>SUM(IMSS[[#This Row],[TASA EXC]]+IMSS[[#This Row],[CUOTA FIJA]])</f>
        <v>590.98281599999996</v>
      </c>
      <c r="AL506" s="163">
        <f>VLOOKUP(IMSS[[#This Row],[SUE MENS]],$AL$110:$AN$120,3,1)</f>
        <v>0</v>
      </c>
      <c r="AM506" s="248">
        <f>IF(IMSS[[#This Row],[ISR CARGO]]-IMSS[[#This Row],[SUBS ISR]]&gt;0,IMSS[[#This Row],[ISR CARGO]]-IMSS[[#This Row],[SUBS ISR]],0)</f>
        <v>590.98281599999996</v>
      </c>
      <c r="AN506" s="248">
        <f>IF(IMSS[[#This Row],[SUBS ISR]]-IMSS[[#This Row],[ISR CARGO]]&gt;0,IMSS[[#This Row],[SUBS ISR]]-IMSS[[#This Row],[ISR CARGO]],0)</f>
        <v>0</v>
      </c>
    </row>
    <row r="507" spans="3:40" ht="15" hidden="1" customHeight="1" x14ac:dyDescent="0.25">
      <c r="C507" s="243">
        <v>586</v>
      </c>
      <c r="D507" s="167" t="str">
        <f>VLOOKUP(IMSS[[#This Row],[NEM]],BDD[],2,0)</f>
        <v>Elizabeth Fierro Lozano</v>
      </c>
      <c r="E507" s="167" t="str">
        <f>VLOOKUP(IMSS[[#This Row],[NEM]],BDD[],9,0)</f>
        <v>ARQUITECT</v>
      </c>
      <c r="F507" s="168">
        <v>30</v>
      </c>
      <c r="G507" s="139">
        <f>VLOOKUP(IMSS[[#This Row],[NEM]],BDD[],3,0)</f>
        <v>7445</v>
      </c>
      <c r="H507" s="139">
        <f ca="1">VLOOKUP(IMSS[[#This Row],[NEM]],BDD[],25,0)</f>
        <v>271.96347031963467</v>
      </c>
      <c r="I507" s="143">
        <f>VLOOKUP(IMSS[[#This Row],[DEPT]],$B$3:$G$49,6,0)</f>
        <v>2.5984400000000001E-2</v>
      </c>
      <c r="J507" s="163">
        <f ca="1">IMSS[[#This Row],[DIAS LAB]]*IMSS[[#This Row],[SDI]]*IMSS[[#This Row],[% RSG]]*$Q$108</f>
        <v>212.00422794520546</v>
      </c>
      <c r="K507" s="163">
        <f>IMSS[[#This Row],[DIAS LAB]]*$J$110*$Q$109</f>
        <v>548.47440000000006</v>
      </c>
      <c r="L507" s="166">
        <f ca="1">IMSS[[#This Row],[DIAS LAB]]*IF(IMSS[[#This Row],[SDI]]-$J$113&gt;0,IMSS[[#This Row],[SDI]]-$J$113,0)*$Q$110</f>
        <v>1.0241452054794353</v>
      </c>
      <c r="M507" s="166">
        <f ca="1">IMSS[[#This Row],[DIAS LAB]]*IMSS[[#This Row],[SDI]]*$Q$111</f>
        <v>85.668493150684924</v>
      </c>
      <c r="N507" s="163">
        <f ca="1">IMSS[[#This Row],[DIAS LAB]]*IMSS[[#This Row],[SDI]]*$Q$112</f>
        <v>57.11232876712328</v>
      </c>
      <c r="O507" s="166">
        <f ca="1">IMSS[[#This Row],[DIAS LAB]]*IMSS[[#This Row],[SDI]]*$Q$113</f>
        <v>142.7808219178082</v>
      </c>
      <c r="P507" s="163">
        <f ca="1">IMSS[[#This Row],[DIAS LAB]]*IMSS[[#This Row],[SDI]]*$Q$114</f>
        <v>81.589041095890394</v>
      </c>
      <c r="Q507" s="166">
        <f ca="1">IMSS[[#This Row],[DIAS LAB]]*IMSS[[#This Row],[SDI]]*$Q$115</f>
        <v>163.17808219178079</v>
      </c>
      <c r="R507" s="163">
        <f ca="1">IMSS[[#This Row],[DIAS LAB]]*IMSS[[#This Row],[SDI]]*$Q$116</f>
        <v>257.00547945205477</v>
      </c>
      <c r="S507" s="163">
        <f ca="1">IMSS[[#This Row],[DIAS LAB]]*IMSS[[#This Row],[SDI]]*$Q$117</f>
        <v>407.945205479452</v>
      </c>
      <c r="T507" s="164">
        <f ca="1">SUM(IMSS[[#This Row],[P RSG TRB]:[P INFONAVIT]])</f>
        <v>1956.7822252054791</v>
      </c>
      <c r="U507" s="163">
        <f ca="1">IMSS[[#This Row],[DIAS LAB]]*IMSS[[#This Row],[SDI]]*IMSS[[#This Row],[% RSG]]*$R$108</f>
        <v>0</v>
      </c>
      <c r="V507" s="163">
        <f ca="1">IMSS[[#This Row],[DIAS LAB]]*IMSS[[#This Row],[SDI]]*$R$112</f>
        <v>20.397260273972599</v>
      </c>
      <c r="W507" s="163"/>
      <c r="X507" s="163">
        <f ca="1">IMSS[[#This Row],[DIAS LAB]]*IMSS[[#This Row],[SDI]]*$R$113</f>
        <v>51.40109589041095</v>
      </c>
      <c r="Y507" s="163">
        <f ca="1">IMSS[[#This Row],[DIAS LAB]]*IMSS[[#This Row],[SDI]]*$R$114</f>
        <v>0</v>
      </c>
      <c r="Z507" s="163">
        <f ca="1">IMSS[[#This Row],[DIAS LAB]]*IMSS[[#This Row],[SDI]]*$R$115</f>
        <v>0</v>
      </c>
      <c r="AA507" s="163">
        <f ca="1">IMSS[[#This Row],[DIAS LAB]]*IMSS[[#This Row],[SDI]]*$R$116</f>
        <v>92.19561643835614</v>
      </c>
      <c r="AB507" s="163">
        <f ca="1">IMSS[[#This Row],[DIAS LAB]]*IMSS[[#This Row],[SDI]]*$R$117</f>
        <v>0</v>
      </c>
      <c r="AC507" s="247">
        <f ca="1">SUM(IMSS[[#This Row],[O RSG TRB]:[O INFONAVIT]])</f>
        <v>163.99397260273969</v>
      </c>
      <c r="AD507" s="163"/>
      <c r="AE507" s="165">
        <f ca="1">IMSS[[#This Row],[P TOTAL]]+IMSS[[#This Row],[O TOTAL]]</f>
        <v>2120.776197808219</v>
      </c>
      <c r="AF507" s="163"/>
      <c r="AG507" s="163">
        <f>VLOOKUP(IMSS[[#This Row],[SUE MENS]],$AG$110:$AJ$120,1,1)</f>
        <v>5470.93</v>
      </c>
      <c r="AH507" s="163">
        <f>IMSS[[#This Row],[SUE MENS]]-IMSS[[#This Row],[LIM INF]]</f>
        <v>1974.0699999999997</v>
      </c>
      <c r="AI507" s="163">
        <f>IMSS[[#This Row],[EXC LIM INF]]*(VLOOKUP(IMSS[[#This Row],[LIM INF]],$AG$110:$AJ$120,4,0))</f>
        <v>214.77881599999998</v>
      </c>
      <c r="AJ507" s="163">
        <f>VLOOKUP(IMSS[[#This Row],[LIM INF]],$AG$110:$AJ$120,3)</f>
        <v>321.26</v>
      </c>
      <c r="AK507" s="163">
        <f>SUM(IMSS[[#This Row],[TASA EXC]]+IMSS[[#This Row],[CUOTA FIJA]])</f>
        <v>536.038816</v>
      </c>
      <c r="AL507" s="163">
        <f>VLOOKUP(IMSS[[#This Row],[SUE MENS]],$AL$110:$AN$120,3,1)</f>
        <v>0</v>
      </c>
      <c r="AM507" s="248">
        <f>IF(IMSS[[#This Row],[ISR CARGO]]-IMSS[[#This Row],[SUBS ISR]]&gt;0,IMSS[[#This Row],[ISR CARGO]]-IMSS[[#This Row],[SUBS ISR]],0)</f>
        <v>536.038816</v>
      </c>
      <c r="AN507" s="248">
        <f>IF(IMSS[[#This Row],[SUBS ISR]]-IMSS[[#This Row],[ISR CARGO]]&gt;0,IMSS[[#This Row],[SUBS ISR]]-IMSS[[#This Row],[ISR CARGO]],0)</f>
        <v>0</v>
      </c>
    </row>
    <row r="508" spans="3:40" ht="15" hidden="1" customHeight="1" x14ac:dyDescent="0.25">
      <c r="C508" s="243">
        <v>587</v>
      </c>
      <c r="D508" s="167" t="str">
        <f>VLOOKUP(IMSS[[#This Row],[NEM]],BDD[],2,0)</f>
        <v>Karina Lizbeth Estrada Galvan</v>
      </c>
      <c r="E508" s="167" t="str">
        <f>VLOOKUP(IMSS[[#This Row],[NEM]],BDD[],9,0)</f>
        <v>MATERIALES</v>
      </c>
      <c r="F508" s="168">
        <v>30</v>
      </c>
      <c r="G508" s="139">
        <f>VLOOKUP(IMSS[[#This Row],[NEM]],BDD[],3,0)</f>
        <v>7445</v>
      </c>
      <c r="H508" s="139">
        <f ca="1">VLOOKUP(IMSS[[#This Row],[NEM]],BDD[],25,0)</f>
        <v>271.96347031963467</v>
      </c>
      <c r="I508" s="143">
        <f>VLOOKUP(IMSS[[#This Row],[DEPT]],$B$3:$G$49,6,0)</f>
        <v>4.6532499999999997E-2</v>
      </c>
      <c r="J508" s="163">
        <f ca="1">IMSS[[#This Row],[DIAS LAB]]*IMSS[[#This Row],[SDI]]*IMSS[[#This Row],[% RSG]]*$Q$108</f>
        <v>379.65420547945195</v>
      </c>
      <c r="K508" s="163">
        <f>IMSS[[#This Row],[DIAS LAB]]*$J$110*$Q$109</f>
        <v>548.47440000000006</v>
      </c>
      <c r="L508" s="166">
        <f ca="1">IMSS[[#This Row],[DIAS LAB]]*IF(IMSS[[#This Row],[SDI]]-$J$113&gt;0,IMSS[[#This Row],[SDI]]-$J$113,0)*$Q$110</f>
        <v>1.0241452054794353</v>
      </c>
      <c r="M508" s="166">
        <f ca="1">IMSS[[#This Row],[DIAS LAB]]*IMSS[[#This Row],[SDI]]*$Q$111</f>
        <v>85.668493150684924</v>
      </c>
      <c r="N508" s="163">
        <f ca="1">IMSS[[#This Row],[DIAS LAB]]*IMSS[[#This Row],[SDI]]*$Q$112</f>
        <v>57.11232876712328</v>
      </c>
      <c r="O508" s="166">
        <f ca="1">IMSS[[#This Row],[DIAS LAB]]*IMSS[[#This Row],[SDI]]*$Q$113</f>
        <v>142.7808219178082</v>
      </c>
      <c r="P508" s="163">
        <f ca="1">IMSS[[#This Row],[DIAS LAB]]*IMSS[[#This Row],[SDI]]*$Q$114</f>
        <v>81.589041095890394</v>
      </c>
      <c r="Q508" s="166">
        <f ca="1">IMSS[[#This Row],[DIAS LAB]]*IMSS[[#This Row],[SDI]]*$Q$115</f>
        <v>163.17808219178079</v>
      </c>
      <c r="R508" s="163">
        <f ca="1">IMSS[[#This Row],[DIAS LAB]]*IMSS[[#This Row],[SDI]]*$Q$116</f>
        <v>257.00547945205477</v>
      </c>
      <c r="S508" s="163">
        <f ca="1">IMSS[[#This Row],[DIAS LAB]]*IMSS[[#This Row],[SDI]]*$Q$117</f>
        <v>407.945205479452</v>
      </c>
      <c r="T508" s="164">
        <f ca="1">SUM(IMSS[[#This Row],[P RSG TRB]:[P INFONAVIT]])</f>
        <v>2124.4322027397257</v>
      </c>
      <c r="U508" s="163">
        <f ca="1">IMSS[[#This Row],[DIAS LAB]]*IMSS[[#This Row],[SDI]]*IMSS[[#This Row],[% RSG]]*$R$108</f>
        <v>0</v>
      </c>
      <c r="V508" s="163">
        <f ca="1">IMSS[[#This Row],[DIAS LAB]]*IMSS[[#This Row],[SDI]]*$R$112</f>
        <v>20.397260273972599</v>
      </c>
      <c r="W508" s="163"/>
      <c r="X508" s="163">
        <f ca="1">IMSS[[#This Row],[DIAS LAB]]*IMSS[[#This Row],[SDI]]*$R$113</f>
        <v>51.40109589041095</v>
      </c>
      <c r="Y508" s="163">
        <f ca="1">IMSS[[#This Row],[DIAS LAB]]*IMSS[[#This Row],[SDI]]*$R$114</f>
        <v>0</v>
      </c>
      <c r="Z508" s="163">
        <f ca="1">IMSS[[#This Row],[DIAS LAB]]*IMSS[[#This Row],[SDI]]*$R$115</f>
        <v>0</v>
      </c>
      <c r="AA508" s="163">
        <f ca="1">IMSS[[#This Row],[DIAS LAB]]*IMSS[[#This Row],[SDI]]*$R$116</f>
        <v>92.19561643835614</v>
      </c>
      <c r="AB508" s="163">
        <f ca="1">IMSS[[#This Row],[DIAS LAB]]*IMSS[[#This Row],[SDI]]*$R$117</f>
        <v>0</v>
      </c>
      <c r="AC508" s="247">
        <f ca="1">SUM(IMSS[[#This Row],[O RSG TRB]:[O INFONAVIT]])</f>
        <v>163.99397260273969</v>
      </c>
      <c r="AD508" s="163"/>
      <c r="AE508" s="165">
        <f ca="1">IMSS[[#This Row],[P TOTAL]]+IMSS[[#This Row],[O TOTAL]]</f>
        <v>2288.4261753424653</v>
      </c>
      <c r="AF508" s="163"/>
      <c r="AG508" s="163">
        <f>VLOOKUP(IMSS[[#This Row],[SUE MENS]],$AG$110:$AJ$120,1,1)</f>
        <v>5470.93</v>
      </c>
      <c r="AH508" s="163">
        <f>IMSS[[#This Row],[SUE MENS]]-IMSS[[#This Row],[LIM INF]]</f>
        <v>1974.0699999999997</v>
      </c>
      <c r="AI508" s="163">
        <f>IMSS[[#This Row],[EXC LIM INF]]*(VLOOKUP(IMSS[[#This Row],[LIM INF]],$AG$110:$AJ$120,4,0))</f>
        <v>214.77881599999998</v>
      </c>
      <c r="AJ508" s="163">
        <f>VLOOKUP(IMSS[[#This Row],[LIM INF]],$AG$110:$AJ$120,3)</f>
        <v>321.26</v>
      </c>
      <c r="AK508" s="163">
        <f>SUM(IMSS[[#This Row],[TASA EXC]]+IMSS[[#This Row],[CUOTA FIJA]])</f>
        <v>536.038816</v>
      </c>
      <c r="AL508" s="163">
        <f>VLOOKUP(IMSS[[#This Row],[SUE MENS]],$AL$110:$AN$120,3,1)</f>
        <v>0</v>
      </c>
      <c r="AM508" s="248">
        <f>IF(IMSS[[#This Row],[ISR CARGO]]-IMSS[[#This Row],[SUBS ISR]]&gt;0,IMSS[[#This Row],[ISR CARGO]]-IMSS[[#This Row],[SUBS ISR]],0)</f>
        <v>536.038816</v>
      </c>
      <c r="AN508" s="248">
        <f>IF(IMSS[[#This Row],[SUBS ISR]]-IMSS[[#This Row],[ISR CARGO]]&gt;0,IMSS[[#This Row],[SUBS ISR]]-IMSS[[#This Row],[ISR CARGO]],0)</f>
        <v>0</v>
      </c>
    </row>
    <row r="509" spans="3:40" ht="15" hidden="1" customHeight="1" x14ac:dyDescent="0.25">
      <c r="C509" s="243">
        <v>588</v>
      </c>
      <c r="D509" s="167" t="str">
        <f>VLOOKUP(IMSS[[#This Row],[NEM]],BDD[],2,0)</f>
        <v>Jazmin Valdez Sanchez</v>
      </c>
      <c r="E509" s="167" t="str">
        <f>VLOOKUP(IMSS[[#This Row],[NEM]],BDD[],9,0)</f>
        <v>INST CAMPO</v>
      </c>
      <c r="F509" s="168">
        <v>30</v>
      </c>
      <c r="G509" s="139">
        <f>VLOOKUP(IMSS[[#This Row],[NEM]],BDD[],3,0)</f>
        <v>9450</v>
      </c>
      <c r="H509" s="139">
        <f ca="1">VLOOKUP(IMSS[[#This Row],[NEM]],BDD[],25,0)</f>
        <v>345.20547945205476</v>
      </c>
      <c r="I509" s="143">
        <f>VLOOKUP(IMSS[[#This Row],[DEPT]],$B$3:$G$49,6,0)</f>
        <v>4.6532499999999997E-2</v>
      </c>
      <c r="J509" s="163">
        <f ca="1">IMSS[[#This Row],[DIAS LAB]]*IMSS[[#This Row],[SDI]]*IMSS[[#This Row],[% RSG]]*$Q$108</f>
        <v>481.89821917808212</v>
      </c>
      <c r="K509" s="163">
        <f>IMSS[[#This Row],[DIAS LAB]]*$J$110*$Q$109</f>
        <v>548.47440000000006</v>
      </c>
      <c r="L509" s="166">
        <f ca="1">IMSS[[#This Row],[DIAS LAB]]*IF(IMSS[[#This Row],[SDI]]-$J$113&gt;0,IMSS[[#This Row],[SDI]]-$J$113,0)*$Q$110</f>
        <v>25.194008219178063</v>
      </c>
      <c r="M509" s="166">
        <f ca="1">IMSS[[#This Row],[DIAS LAB]]*IMSS[[#This Row],[SDI]]*$Q$111</f>
        <v>108.73972602739727</v>
      </c>
      <c r="N509" s="163">
        <f ca="1">IMSS[[#This Row],[DIAS LAB]]*IMSS[[#This Row],[SDI]]*$Q$112</f>
        <v>72.493150684931507</v>
      </c>
      <c r="O509" s="166">
        <f ca="1">IMSS[[#This Row],[DIAS LAB]]*IMSS[[#This Row],[SDI]]*$Q$113</f>
        <v>181.23287671232876</v>
      </c>
      <c r="P509" s="163">
        <f ca="1">IMSS[[#This Row],[DIAS LAB]]*IMSS[[#This Row],[SDI]]*$Q$114</f>
        <v>103.56164383561644</v>
      </c>
      <c r="Q509" s="166">
        <f ca="1">IMSS[[#This Row],[DIAS LAB]]*IMSS[[#This Row],[SDI]]*$Q$115</f>
        <v>207.12328767123287</v>
      </c>
      <c r="R509" s="163">
        <f ca="1">IMSS[[#This Row],[DIAS LAB]]*IMSS[[#This Row],[SDI]]*$Q$116</f>
        <v>326.21917808219177</v>
      </c>
      <c r="S509" s="163">
        <f ca="1">IMSS[[#This Row],[DIAS LAB]]*IMSS[[#This Row],[SDI]]*$Q$117</f>
        <v>517.80821917808214</v>
      </c>
      <c r="T509" s="164">
        <f ca="1">SUM(IMSS[[#This Row],[P RSG TRB]:[P INFONAVIT]])</f>
        <v>2572.7447095890411</v>
      </c>
      <c r="U509" s="163">
        <f ca="1">IMSS[[#This Row],[DIAS LAB]]*IMSS[[#This Row],[SDI]]*IMSS[[#This Row],[% RSG]]*$R$108</f>
        <v>0</v>
      </c>
      <c r="V509" s="163">
        <f ca="1">IMSS[[#This Row],[DIAS LAB]]*IMSS[[#This Row],[SDI]]*$R$112</f>
        <v>25.890410958904109</v>
      </c>
      <c r="W509" s="163"/>
      <c r="X509" s="163">
        <f ca="1">IMSS[[#This Row],[DIAS LAB]]*IMSS[[#This Row],[SDI]]*$R$113</f>
        <v>65.243835616438346</v>
      </c>
      <c r="Y509" s="163">
        <f ca="1">IMSS[[#This Row],[DIAS LAB]]*IMSS[[#This Row],[SDI]]*$R$114</f>
        <v>0</v>
      </c>
      <c r="Z509" s="163">
        <f ca="1">IMSS[[#This Row],[DIAS LAB]]*IMSS[[#This Row],[SDI]]*$R$115</f>
        <v>0</v>
      </c>
      <c r="AA509" s="163">
        <f ca="1">IMSS[[#This Row],[DIAS LAB]]*IMSS[[#This Row],[SDI]]*$R$116</f>
        <v>117.02465753424656</v>
      </c>
      <c r="AB509" s="163">
        <f ca="1">IMSS[[#This Row],[DIAS LAB]]*IMSS[[#This Row],[SDI]]*$R$117</f>
        <v>0</v>
      </c>
      <c r="AC509" s="247">
        <f ca="1">SUM(IMSS[[#This Row],[O RSG TRB]:[O INFONAVIT]])</f>
        <v>208.158904109589</v>
      </c>
      <c r="AD509" s="163"/>
      <c r="AE509" s="165">
        <f ca="1">IMSS[[#This Row],[P TOTAL]]+IMSS[[#This Row],[O TOTAL]]</f>
        <v>2780.9036136986301</v>
      </c>
      <c r="AF509" s="163"/>
      <c r="AG509" s="163">
        <f>VLOOKUP(IMSS[[#This Row],[SUE MENS]],$AG$110:$AJ$120,1,1)</f>
        <v>5470.93</v>
      </c>
      <c r="AH509" s="163">
        <f>IMSS[[#This Row],[SUE MENS]]-IMSS[[#This Row],[LIM INF]]</f>
        <v>3979.0699999999997</v>
      </c>
      <c r="AI509" s="163">
        <f>IMSS[[#This Row],[EXC LIM INF]]*(VLOOKUP(IMSS[[#This Row],[LIM INF]],$AG$110:$AJ$120,4,0))</f>
        <v>432.92281600000001</v>
      </c>
      <c r="AJ509" s="163">
        <f>VLOOKUP(IMSS[[#This Row],[LIM INF]],$AG$110:$AJ$120,3)</f>
        <v>321.26</v>
      </c>
      <c r="AK509" s="163">
        <f>SUM(IMSS[[#This Row],[TASA EXC]]+IMSS[[#This Row],[CUOTA FIJA]])</f>
        <v>754.182816</v>
      </c>
      <c r="AL509" s="163">
        <f>VLOOKUP(IMSS[[#This Row],[SUE MENS]],$AL$110:$AN$120,3,1)</f>
        <v>0</v>
      </c>
      <c r="AM509" s="248">
        <f>IF(IMSS[[#This Row],[ISR CARGO]]-IMSS[[#This Row],[SUBS ISR]]&gt;0,IMSS[[#This Row],[ISR CARGO]]-IMSS[[#This Row],[SUBS ISR]],0)</f>
        <v>754.182816</v>
      </c>
      <c r="AN509" s="248">
        <f>IF(IMSS[[#This Row],[SUBS ISR]]-IMSS[[#This Row],[ISR CARGO]]&gt;0,IMSS[[#This Row],[SUBS ISR]]-IMSS[[#This Row],[ISR CARGO]],0)</f>
        <v>0</v>
      </c>
    </row>
    <row r="510" spans="3:40" ht="15" hidden="1" customHeight="1" x14ac:dyDescent="0.25">
      <c r="C510" s="243">
        <v>589</v>
      </c>
      <c r="D510" s="167" t="str">
        <f>VLOOKUP(IMSS[[#This Row],[NEM]],BDD[],2,0)</f>
        <v>Francisco Javier Mendez Arenas</v>
      </c>
      <c r="E510" s="167" t="str">
        <f>VLOOKUP(IMSS[[#This Row],[NEM]],BDD[],9,0)</f>
        <v>ADMINCIÓN</v>
      </c>
      <c r="F510" s="168">
        <v>30</v>
      </c>
      <c r="G510" s="139">
        <f>VLOOKUP(IMSS[[#This Row],[NEM]],BDD[],3,0)</f>
        <v>7950</v>
      </c>
      <c r="H510" s="139">
        <f ca="1">VLOOKUP(IMSS[[#This Row],[NEM]],BDD[],25,0)</f>
        <v>290.41095890410958</v>
      </c>
      <c r="I510" s="143">
        <f>VLOOKUP(IMSS[[#This Row],[DEPT]],$B$3:$G$49,6,0)</f>
        <v>5.4355000000000002E-3</v>
      </c>
      <c r="J510" s="163">
        <f ca="1">IMSS[[#This Row],[DIAS LAB]]*IMSS[[#This Row],[SDI]]*IMSS[[#This Row],[% RSG]]*$Q$108</f>
        <v>47.355863013698624</v>
      </c>
      <c r="K510" s="163">
        <f>IMSS[[#This Row],[DIAS LAB]]*$J$110*$Q$109</f>
        <v>548.47440000000006</v>
      </c>
      <c r="L510" s="166">
        <f ca="1">IMSS[[#This Row],[DIAS LAB]]*IF(IMSS[[#This Row],[SDI]]-$J$113&gt;0,IMSS[[#This Row],[SDI]]-$J$113,0)*$Q$110</f>
        <v>7.111816438356156</v>
      </c>
      <c r="M510" s="166">
        <f ca="1">IMSS[[#This Row],[DIAS LAB]]*IMSS[[#This Row],[SDI]]*$Q$111</f>
        <v>91.479452054794521</v>
      </c>
      <c r="N510" s="163">
        <f ca="1">IMSS[[#This Row],[DIAS LAB]]*IMSS[[#This Row],[SDI]]*$Q$112</f>
        <v>60.986301369863007</v>
      </c>
      <c r="O510" s="166">
        <f ca="1">IMSS[[#This Row],[DIAS LAB]]*IMSS[[#This Row],[SDI]]*$Q$113</f>
        <v>152.46575342465752</v>
      </c>
      <c r="P510" s="163">
        <f ca="1">IMSS[[#This Row],[DIAS LAB]]*IMSS[[#This Row],[SDI]]*$Q$114</f>
        <v>87.123287671232873</v>
      </c>
      <c r="Q510" s="166">
        <f ca="1">IMSS[[#This Row],[DIAS LAB]]*IMSS[[#This Row],[SDI]]*$Q$115</f>
        <v>174.24657534246575</v>
      </c>
      <c r="R510" s="163">
        <f ca="1">IMSS[[#This Row],[DIAS LAB]]*IMSS[[#This Row],[SDI]]*$Q$116</f>
        <v>274.43835616438355</v>
      </c>
      <c r="S510" s="163">
        <f ca="1">IMSS[[#This Row],[DIAS LAB]]*IMSS[[#This Row],[SDI]]*$Q$117</f>
        <v>435.61643835616434</v>
      </c>
      <c r="T510" s="164">
        <f ca="1">SUM(IMSS[[#This Row],[P RSG TRB]:[P INFONAVIT]])</f>
        <v>1879.2982438356164</v>
      </c>
      <c r="U510" s="163">
        <f ca="1">IMSS[[#This Row],[DIAS LAB]]*IMSS[[#This Row],[SDI]]*IMSS[[#This Row],[% RSG]]*$R$108</f>
        <v>0</v>
      </c>
      <c r="V510" s="163">
        <f ca="1">IMSS[[#This Row],[DIAS LAB]]*IMSS[[#This Row],[SDI]]*$R$112</f>
        <v>21.780821917808218</v>
      </c>
      <c r="W510" s="163"/>
      <c r="X510" s="163">
        <f ca="1">IMSS[[#This Row],[DIAS LAB]]*IMSS[[#This Row],[SDI]]*$R$113</f>
        <v>54.887671232876706</v>
      </c>
      <c r="Y510" s="163">
        <f ca="1">IMSS[[#This Row],[DIAS LAB]]*IMSS[[#This Row],[SDI]]*$R$114</f>
        <v>0</v>
      </c>
      <c r="Z510" s="163">
        <f ca="1">IMSS[[#This Row],[DIAS LAB]]*IMSS[[#This Row],[SDI]]*$R$115</f>
        <v>0</v>
      </c>
      <c r="AA510" s="163">
        <f ca="1">IMSS[[#This Row],[DIAS LAB]]*IMSS[[#This Row],[SDI]]*$R$116</f>
        <v>98.449315068493135</v>
      </c>
      <c r="AB510" s="163">
        <f ca="1">IMSS[[#This Row],[DIAS LAB]]*IMSS[[#This Row],[SDI]]*$R$117</f>
        <v>0</v>
      </c>
      <c r="AC510" s="247">
        <f ca="1">SUM(IMSS[[#This Row],[O RSG TRB]:[O INFONAVIT]])</f>
        <v>175.11780821917807</v>
      </c>
      <c r="AD510" s="163"/>
      <c r="AE510" s="165">
        <f ca="1">IMSS[[#This Row],[P TOTAL]]+IMSS[[#This Row],[O TOTAL]]</f>
        <v>2054.4160520547944</v>
      </c>
      <c r="AF510" s="163"/>
      <c r="AG510" s="163">
        <f>VLOOKUP(IMSS[[#This Row],[SUE MENS]],$AG$110:$AJ$120,1,1)</f>
        <v>5470.93</v>
      </c>
      <c r="AH510" s="163">
        <f>IMSS[[#This Row],[SUE MENS]]-IMSS[[#This Row],[LIM INF]]</f>
        <v>2479.0699999999997</v>
      </c>
      <c r="AI510" s="163">
        <f>IMSS[[#This Row],[EXC LIM INF]]*(VLOOKUP(IMSS[[#This Row],[LIM INF]],$AG$110:$AJ$120,4,0))</f>
        <v>269.72281599999997</v>
      </c>
      <c r="AJ510" s="163">
        <f>VLOOKUP(IMSS[[#This Row],[LIM INF]],$AG$110:$AJ$120,3)</f>
        <v>321.26</v>
      </c>
      <c r="AK510" s="163">
        <f>SUM(IMSS[[#This Row],[TASA EXC]]+IMSS[[#This Row],[CUOTA FIJA]])</f>
        <v>590.98281599999996</v>
      </c>
      <c r="AL510" s="163">
        <f>VLOOKUP(IMSS[[#This Row],[SUE MENS]],$AL$110:$AN$120,3,1)</f>
        <v>0</v>
      </c>
      <c r="AM510" s="248">
        <f>IF(IMSS[[#This Row],[ISR CARGO]]-IMSS[[#This Row],[SUBS ISR]]&gt;0,IMSS[[#This Row],[ISR CARGO]]-IMSS[[#This Row],[SUBS ISR]],0)</f>
        <v>590.98281599999996</v>
      </c>
      <c r="AN510" s="248">
        <f>IF(IMSS[[#This Row],[SUBS ISR]]-IMSS[[#This Row],[ISR CARGO]]&gt;0,IMSS[[#This Row],[SUBS ISR]]-IMSS[[#This Row],[ISR CARGO]],0)</f>
        <v>0</v>
      </c>
    </row>
    <row r="511" spans="3:40" ht="15" hidden="1" customHeight="1" x14ac:dyDescent="0.25">
      <c r="C511" s="243">
        <v>590</v>
      </c>
      <c r="D511" s="167" t="str">
        <f>VLOOKUP(IMSS[[#This Row],[NEM]],BDD[],2,0)</f>
        <v>Mayra Acevedo Presas</v>
      </c>
      <c r="E511" s="167" t="str">
        <f>VLOOKUP(IMSS[[#This Row],[NEM]],BDD[],9,0)</f>
        <v>ADMINCIÓN</v>
      </c>
      <c r="F511" s="168">
        <v>30</v>
      </c>
      <c r="G511" s="139">
        <f>VLOOKUP(IMSS[[#This Row],[NEM]],BDD[],3,0)</f>
        <v>27150</v>
      </c>
      <c r="H511" s="139">
        <f ca="1">VLOOKUP(IMSS[[#This Row],[NEM]],BDD[],25,0)</f>
        <v>991.78082191780811</v>
      </c>
      <c r="I511" s="143">
        <f>VLOOKUP(IMSS[[#This Row],[DEPT]],$B$3:$G$49,6,0)</f>
        <v>5.4355000000000002E-3</v>
      </c>
      <c r="J511" s="163">
        <f ca="1">IMSS[[#This Row],[DIAS LAB]]*IMSS[[#This Row],[SDI]]*IMSS[[#This Row],[% RSG]]*$Q$108</f>
        <v>161.72473972602739</v>
      </c>
      <c r="K511" s="163">
        <f>IMSS[[#This Row],[DIAS LAB]]*$J$110*$Q$109</f>
        <v>548.47440000000006</v>
      </c>
      <c r="L511" s="166">
        <f ca="1">IMSS[[#This Row],[DIAS LAB]]*IF(IMSS[[#This Row],[SDI]]-$J$113&gt;0,IMSS[[#This Row],[SDI]]-$J$113,0)*$Q$110</f>
        <v>238.56387123287666</v>
      </c>
      <c r="M511" s="166">
        <f ca="1">IMSS[[#This Row],[DIAS LAB]]*IMSS[[#This Row],[SDI]]*$Q$111</f>
        <v>312.41095890410958</v>
      </c>
      <c r="N511" s="163">
        <f ca="1">IMSS[[#This Row],[DIAS LAB]]*IMSS[[#This Row],[SDI]]*$Q$112</f>
        <v>208.27397260273972</v>
      </c>
      <c r="O511" s="166">
        <f ca="1">IMSS[[#This Row],[DIAS LAB]]*IMSS[[#This Row],[SDI]]*$Q$113</f>
        <v>520.68493150684935</v>
      </c>
      <c r="P511" s="163">
        <f ca="1">IMSS[[#This Row],[DIAS LAB]]*IMSS[[#This Row],[SDI]]*$Q$114</f>
        <v>297.53424657534242</v>
      </c>
      <c r="Q511" s="166">
        <f ca="1">IMSS[[#This Row],[DIAS LAB]]*IMSS[[#This Row],[SDI]]*$Q$115</f>
        <v>595.06849315068484</v>
      </c>
      <c r="R511" s="163">
        <f ca="1">IMSS[[#This Row],[DIAS LAB]]*IMSS[[#This Row],[SDI]]*$Q$116</f>
        <v>937.23287671232868</v>
      </c>
      <c r="S511" s="163">
        <f ca="1">IMSS[[#This Row],[DIAS LAB]]*IMSS[[#This Row],[SDI]]*$Q$117</f>
        <v>1487.6712328767123</v>
      </c>
      <c r="T511" s="164">
        <f ca="1">SUM(IMSS[[#This Row],[P RSG TRB]:[P INFONAVIT]])</f>
        <v>5307.6397232876707</v>
      </c>
      <c r="U511" s="163">
        <f ca="1">IMSS[[#This Row],[DIAS LAB]]*IMSS[[#This Row],[SDI]]*IMSS[[#This Row],[% RSG]]*$R$108</f>
        <v>0</v>
      </c>
      <c r="V511" s="163">
        <f ca="1">IMSS[[#This Row],[DIAS LAB]]*IMSS[[#This Row],[SDI]]*$R$112</f>
        <v>74.383561643835606</v>
      </c>
      <c r="W511" s="163"/>
      <c r="X511" s="163">
        <f ca="1">IMSS[[#This Row],[DIAS LAB]]*IMSS[[#This Row],[SDI]]*$R$113</f>
        <v>187.44657534246574</v>
      </c>
      <c r="Y511" s="163">
        <f ca="1">IMSS[[#This Row],[DIAS LAB]]*IMSS[[#This Row],[SDI]]*$R$114</f>
        <v>0</v>
      </c>
      <c r="Z511" s="163">
        <f ca="1">IMSS[[#This Row],[DIAS LAB]]*IMSS[[#This Row],[SDI]]*$R$115</f>
        <v>0</v>
      </c>
      <c r="AA511" s="163">
        <f ca="1">IMSS[[#This Row],[DIAS LAB]]*IMSS[[#This Row],[SDI]]*$R$116</f>
        <v>336.21369863013695</v>
      </c>
      <c r="AB511" s="163">
        <f ca="1">IMSS[[#This Row],[DIAS LAB]]*IMSS[[#This Row],[SDI]]*$R$117</f>
        <v>0</v>
      </c>
      <c r="AC511" s="247">
        <f ca="1">SUM(IMSS[[#This Row],[O RSG TRB]:[O INFONAVIT]])</f>
        <v>598.04383561643829</v>
      </c>
      <c r="AD511" s="163"/>
      <c r="AE511" s="165">
        <f ca="1">IMSS[[#This Row],[P TOTAL]]+IMSS[[#This Row],[O TOTAL]]</f>
        <v>5905.6835589041093</v>
      </c>
      <c r="AF511" s="163"/>
      <c r="AG511" s="163">
        <f>VLOOKUP(IMSS[[#This Row],[SUE MENS]],$AG$110:$AJ$120,1,1)</f>
        <v>26988.51</v>
      </c>
      <c r="AH511" s="163">
        <f>IMSS[[#This Row],[SUE MENS]]-IMSS[[#This Row],[LIM INF]]</f>
        <v>161.4900000000016</v>
      </c>
      <c r="AI511" s="163">
        <f>IMSS[[#This Row],[EXC LIM INF]]*(VLOOKUP(IMSS[[#This Row],[LIM INF]],$AG$110:$AJ$120,4,0))</f>
        <v>37.982448000000375</v>
      </c>
      <c r="AJ511" s="163">
        <f>VLOOKUP(IMSS[[#This Row],[LIM INF]],$AG$110:$AJ$120,3)</f>
        <v>4323.58</v>
      </c>
      <c r="AK511" s="163">
        <f>SUM(IMSS[[#This Row],[TASA EXC]]+IMSS[[#This Row],[CUOTA FIJA]])</f>
        <v>4361.5624480000006</v>
      </c>
      <c r="AL511" s="163">
        <f>VLOOKUP(IMSS[[#This Row],[SUE MENS]],$AL$110:$AN$120,3,1)</f>
        <v>0</v>
      </c>
      <c r="AM511" s="248">
        <f>IF(IMSS[[#This Row],[ISR CARGO]]-IMSS[[#This Row],[SUBS ISR]]&gt;0,IMSS[[#This Row],[ISR CARGO]]-IMSS[[#This Row],[SUBS ISR]],0)</f>
        <v>4361.5624480000006</v>
      </c>
      <c r="AN511" s="248">
        <f>IF(IMSS[[#This Row],[SUBS ISR]]-IMSS[[#This Row],[ISR CARGO]]&gt;0,IMSS[[#This Row],[SUBS ISR]]-IMSS[[#This Row],[ISR CARGO]],0)</f>
        <v>0</v>
      </c>
    </row>
    <row r="512" spans="3:40" ht="15" hidden="1" customHeight="1" x14ac:dyDescent="0.25">
      <c r="C512" s="243">
        <v>591</v>
      </c>
      <c r="D512" s="167" t="str">
        <f>VLOOKUP(IMSS[[#This Row],[NEM]],BDD[],2,0)</f>
        <v>Beatriz Basurto Carrillo</v>
      </c>
      <c r="E512" s="167" t="str">
        <f>VLOOKUP(IMSS[[#This Row],[NEM]],BDD[],9,0)</f>
        <v>INVERS</v>
      </c>
      <c r="F512" s="168">
        <v>30</v>
      </c>
      <c r="G512" s="139">
        <f>VLOOKUP(IMSS[[#This Row],[NEM]],BDD[],3,0)</f>
        <v>9541</v>
      </c>
      <c r="H512" s="139">
        <f ca="1">VLOOKUP(IMSS[[#This Row],[NEM]],BDD[],25,0)</f>
        <v>348.52968036529683</v>
      </c>
      <c r="I512" s="143">
        <f>VLOOKUP(IMSS[[#This Row],[DEPT]],$B$3:$G$49,6,0)</f>
        <v>5.4355000000000002E-3</v>
      </c>
      <c r="J512" s="163">
        <f ca="1">IMSS[[#This Row],[DIAS LAB]]*IMSS[[#This Row],[SDI]]*IMSS[[#This Row],[% RSG]]*$Q$108</f>
        <v>56.832992328767133</v>
      </c>
      <c r="K512" s="163">
        <f>IMSS[[#This Row],[DIAS LAB]]*$J$110*$Q$109</f>
        <v>548.47440000000006</v>
      </c>
      <c r="L512" s="166">
        <f ca="1">IMSS[[#This Row],[DIAS LAB]]*IF(IMSS[[#This Row],[SDI]]-$J$113&gt;0,IMSS[[#This Row],[SDI]]-$J$113,0)*$Q$110</f>
        <v>26.290994520547951</v>
      </c>
      <c r="M512" s="166">
        <f ca="1">IMSS[[#This Row],[DIAS LAB]]*IMSS[[#This Row],[SDI]]*$Q$111</f>
        <v>109.78684931506852</v>
      </c>
      <c r="N512" s="163">
        <f ca="1">IMSS[[#This Row],[DIAS LAB]]*IMSS[[#This Row],[SDI]]*$Q$112</f>
        <v>73.191232876712348</v>
      </c>
      <c r="O512" s="166">
        <f ca="1">IMSS[[#This Row],[DIAS LAB]]*IMSS[[#This Row],[SDI]]*$Q$113</f>
        <v>182.97808219178086</v>
      </c>
      <c r="P512" s="163">
        <f ca="1">IMSS[[#This Row],[DIAS LAB]]*IMSS[[#This Row],[SDI]]*$Q$114</f>
        <v>104.55890410958907</v>
      </c>
      <c r="Q512" s="166">
        <f ca="1">IMSS[[#This Row],[DIAS LAB]]*IMSS[[#This Row],[SDI]]*$Q$115</f>
        <v>209.11780821917813</v>
      </c>
      <c r="R512" s="163">
        <f ca="1">IMSS[[#This Row],[DIAS LAB]]*IMSS[[#This Row],[SDI]]*$Q$116</f>
        <v>329.36054794520555</v>
      </c>
      <c r="S512" s="163">
        <f ca="1">IMSS[[#This Row],[DIAS LAB]]*IMSS[[#This Row],[SDI]]*$Q$117</f>
        <v>522.79452054794535</v>
      </c>
      <c r="T512" s="164">
        <f ca="1">SUM(IMSS[[#This Row],[P RSG TRB]:[P INFONAVIT]])</f>
        <v>2163.3863320547948</v>
      </c>
      <c r="U512" s="163">
        <f ca="1">IMSS[[#This Row],[DIAS LAB]]*IMSS[[#This Row],[SDI]]*IMSS[[#This Row],[% RSG]]*$R$108</f>
        <v>0</v>
      </c>
      <c r="V512" s="163">
        <f ca="1">IMSS[[#This Row],[DIAS LAB]]*IMSS[[#This Row],[SDI]]*$R$112</f>
        <v>26.139726027397266</v>
      </c>
      <c r="W512" s="163"/>
      <c r="X512" s="163">
        <f ca="1">IMSS[[#This Row],[DIAS LAB]]*IMSS[[#This Row],[SDI]]*$R$113</f>
        <v>65.872109589041102</v>
      </c>
      <c r="Y512" s="163">
        <f ca="1">IMSS[[#This Row],[DIAS LAB]]*IMSS[[#This Row],[SDI]]*$R$114</f>
        <v>0</v>
      </c>
      <c r="Z512" s="163">
        <f ca="1">IMSS[[#This Row],[DIAS LAB]]*IMSS[[#This Row],[SDI]]*$R$115</f>
        <v>0</v>
      </c>
      <c r="AA512" s="163">
        <f ca="1">IMSS[[#This Row],[DIAS LAB]]*IMSS[[#This Row],[SDI]]*$R$116</f>
        <v>118.15156164383562</v>
      </c>
      <c r="AB512" s="163">
        <f ca="1">IMSS[[#This Row],[DIAS LAB]]*IMSS[[#This Row],[SDI]]*$R$117</f>
        <v>0</v>
      </c>
      <c r="AC512" s="247">
        <f ca="1">SUM(IMSS[[#This Row],[O RSG TRB]:[O INFONAVIT]])</f>
        <v>210.163397260274</v>
      </c>
      <c r="AD512" s="163"/>
      <c r="AE512" s="165">
        <f ca="1">IMSS[[#This Row],[P TOTAL]]+IMSS[[#This Row],[O TOTAL]]</f>
        <v>2373.5497293150688</v>
      </c>
      <c r="AF512" s="163"/>
      <c r="AG512" s="163">
        <f>VLOOKUP(IMSS[[#This Row],[SUE MENS]],$AG$110:$AJ$120,1,1)</f>
        <v>5470.93</v>
      </c>
      <c r="AH512" s="163">
        <f>IMSS[[#This Row],[SUE MENS]]-IMSS[[#This Row],[LIM INF]]</f>
        <v>4070.0699999999997</v>
      </c>
      <c r="AI512" s="163">
        <f>IMSS[[#This Row],[EXC LIM INF]]*(VLOOKUP(IMSS[[#This Row],[LIM INF]],$AG$110:$AJ$120,4,0))</f>
        <v>442.82361600000002</v>
      </c>
      <c r="AJ512" s="163">
        <f>VLOOKUP(IMSS[[#This Row],[LIM INF]],$AG$110:$AJ$120,3)</f>
        <v>321.26</v>
      </c>
      <c r="AK512" s="163">
        <f>SUM(IMSS[[#This Row],[TASA EXC]]+IMSS[[#This Row],[CUOTA FIJA]])</f>
        <v>764.08361600000001</v>
      </c>
      <c r="AL512" s="163">
        <f>VLOOKUP(IMSS[[#This Row],[SUE MENS]],$AL$110:$AN$120,3,1)</f>
        <v>0</v>
      </c>
      <c r="AM512" s="248">
        <f>IF(IMSS[[#This Row],[ISR CARGO]]-IMSS[[#This Row],[SUBS ISR]]&gt;0,IMSS[[#This Row],[ISR CARGO]]-IMSS[[#This Row],[SUBS ISR]],0)</f>
        <v>764.08361600000001</v>
      </c>
      <c r="AN512" s="248">
        <f>IF(IMSS[[#This Row],[SUBS ISR]]-IMSS[[#This Row],[ISR CARGO]]&gt;0,IMSS[[#This Row],[SUBS ISR]]-IMSS[[#This Row],[ISR CARGO]],0)</f>
        <v>0</v>
      </c>
    </row>
    <row r="513" spans="3:40" ht="15" hidden="1" customHeight="1" x14ac:dyDescent="0.25">
      <c r="C513" s="243">
        <v>594</v>
      </c>
      <c r="D513" s="167" t="str">
        <f>VLOOKUP(IMSS[[#This Row],[NEM]],BDD[],2,0)</f>
        <v>Salvador Zanabriga Giron</v>
      </c>
      <c r="E513" s="167" t="str">
        <f>VLOOKUP(IMSS[[#This Row],[NEM]],BDD[],9,0)</f>
        <v>EQUIPOS</v>
      </c>
      <c r="F513" s="168">
        <v>30</v>
      </c>
      <c r="G513" s="139">
        <f>VLOOKUP(IMSS[[#This Row],[NEM]],BDD[],3,0)</f>
        <v>10350</v>
      </c>
      <c r="H513" s="139">
        <f ca="1">VLOOKUP(IMSS[[#This Row],[NEM]],BDD[],25,0)</f>
        <v>378.08219178082192</v>
      </c>
      <c r="I513" s="143">
        <f>VLOOKUP(IMSS[[#This Row],[DEPT]],$B$3:$G$49,6,0)</f>
        <v>1.130658E-2</v>
      </c>
      <c r="J513" s="163">
        <f ca="1">IMSS[[#This Row],[DIAS LAB]]*IMSS[[#This Row],[SDI]]*IMSS[[#This Row],[% RSG]]*$Q$108</f>
        <v>128.24449643835618</v>
      </c>
      <c r="K513" s="163">
        <f>IMSS[[#This Row],[DIAS LAB]]*$J$110*$Q$109</f>
        <v>548.47440000000006</v>
      </c>
      <c r="L513" s="166">
        <f ca="1">IMSS[[#This Row],[DIAS LAB]]*IF(IMSS[[#This Row],[SDI]]-$J$113&gt;0,IMSS[[#This Row],[SDI]]-$J$113,0)*$Q$110</f>
        <v>36.043323287671221</v>
      </c>
      <c r="M513" s="166">
        <f ca="1">IMSS[[#This Row],[DIAS LAB]]*IMSS[[#This Row],[SDI]]*$Q$111</f>
        <v>119.09589041095892</v>
      </c>
      <c r="N513" s="163">
        <f ca="1">IMSS[[#This Row],[DIAS LAB]]*IMSS[[#This Row],[SDI]]*$Q$112</f>
        <v>79.397260273972606</v>
      </c>
      <c r="O513" s="166">
        <f ca="1">IMSS[[#This Row],[DIAS LAB]]*IMSS[[#This Row],[SDI]]*$Q$113</f>
        <v>198.49315068493152</v>
      </c>
      <c r="P513" s="163">
        <f ca="1">IMSS[[#This Row],[DIAS LAB]]*IMSS[[#This Row],[SDI]]*$Q$114</f>
        <v>113.42465753424658</v>
      </c>
      <c r="Q513" s="166">
        <f ca="1">IMSS[[#This Row],[DIAS LAB]]*IMSS[[#This Row],[SDI]]*$Q$115</f>
        <v>226.84931506849315</v>
      </c>
      <c r="R513" s="163">
        <f ca="1">IMSS[[#This Row],[DIAS LAB]]*IMSS[[#This Row],[SDI]]*$Q$116</f>
        <v>357.28767123287673</v>
      </c>
      <c r="S513" s="163">
        <f ca="1">IMSS[[#This Row],[DIAS LAB]]*IMSS[[#This Row],[SDI]]*$Q$117</f>
        <v>567.1232876712329</v>
      </c>
      <c r="T513" s="164">
        <f ca="1">SUM(IMSS[[#This Row],[P RSG TRB]:[P INFONAVIT]])</f>
        <v>2374.4334526027396</v>
      </c>
      <c r="U513" s="163">
        <f ca="1">IMSS[[#This Row],[DIAS LAB]]*IMSS[[#This Row],[SDI]]*IMSS[[#This Row],[% RSG]]*$R$108</f>
        <v>0</v>
      </c>
      <c r="V513" s="163">
        <f ca="1">IMSS[[#This Row],[DIAS LAB]]*IMSS[[#This Row],[SDI]]*$R$112</f>
        <v>28.356164383561644</v>
      </c>
      <c r="W513" s="163"/>
      <c r="X513" s="163">
        <f ca="1">IMSS[[#This Row],[DIAS LAB]]*IMSS[[#This Row],[SDI]]*$R$113</f>
        <v>71.457534246575349</v>
      </c>
      <c r="Y513" s="163">
        <f ca="1">IMSS[[#This Row],[DIAS LAB]]*IMSS[[#This Row],[SDI]]*$R$114</f>
        <v>0</v>
      </c>
      <c r="Z513" s="163">
        <f ca="1">IMSS[[#This Row],[DIAS LAB]]*IMSS[[#This Row],[SDI]]*$R$115</f>
        <v>0</v>
      </c>
      <c r="AA513" s="163">
        <f ca="1">IMSS[[#This Row],[DIAS LAB]]*IMSS[[#This Row],[SDI]]*$R$116</f>
        <v>128.16986301369863</v>
      </c>
      <c r="AB513" s="163">
        <f ca="1">IMSS[[#This Row],[DIAS LAB]]*IMSS[[#This Row],[SDI]]*$R$117</f>
        <v>0</v>
      </c>
      <c r="AC513" s="247">
        <f ca="1">SUM(IMSS[[#This Row],[O RSG TRB]:[O INFONAVIT]])</f>
        <v>227.98356164383563</v>
      </c>
      <c r="AD513" s="163"/>
      <c r="AE513" s="165">
        <f ca="1">IMSS[[#This Row],[P TOTAL]]+IMSS[[#This Row],[O TOTAL]]</f>
        <v>2602.4170142465755</v>
      </c>
      <c r="AF513" s="163"/>
      <c r="AG513" s="163">
        <f>VLOOKUP(IMSS[[#This Row],[SUE MENS]],$AG$110:$AJ$120,1,1)</f>
        <v>9614.67</v>
      </c>
      <c r="AH513" s="163">
        <f>IMSS[[#This Row],[SUE MENS]]-IMSS[[#This Row],[LIM INF]]</f>
        <v>735.32999999999993</v>
      </c>
      <c r="AI513" s="163">
        <f>IMSS[[#This Row],[EXC LIM INF]]*(VLOOKUP(IMSS[[#This Row],[LIM INF]],$AG$110:$AJ$120,4,0))</f>
        <v>117.65279999999998</v>
      </c>
      <c r="AJ513" s="163">
        <f>VLOOKUP(IMSS[[#This Row],[LIM INF]],$AG$110:$AJ$120,3)</f>
        <v>772.1</v>
      </c>
      <c r="AK513" s="163">
        <f>SUM(IMSS[[#This Row],[TASA EXC]]+IMSS[[#This Row],[CUOTA FIJA]])</f>
        <v>889.75279999999998</v>
      </c>
      <c r="AL513" s="163">
        <f>VLOOKUP(IMSS[[#This Row],[SUE MENS]],$AL$110:$AN$120,3,1)</f>
        <v>0</v>
      </c>
      <c r="AM513" s="248">
        <f>IF(IMSS[[#This Row],[ISR CARGO]]-IMSS[[#This Row],[SUBS ISR]]&gt;0,IMSS[[#This Row],[ISR CARGO]]-IMSS[[#This Row],[SUBS ISR]],0)</f>
        <v>889.75279999999998</v>
      </c>
      <c r="AN513" s="248">
        <f>IF(IMSS[[#This Row],[SUBS ISR]]-IMSS[[#This Row],[ISR CARGO]]&gt;0,IMSS[[#This Row],[SUBS ISR]]-IMSS[[#This Row],[ISR CARGO]],0)</f>
        <v>0</v>
      </c>
    </row>
    <row r="514" spans="3:40" ht="15" hidden="1" customHeight="1" x14ac:dyDescent="0.25">
      <c r="C514" s="243">
        <v>595</v>
      </c>
      <c r="D514" s="167" t="str">
        <f>VLOOKUP(IMSS[[#This Row],[NEM]],BDD[],2,0)</f>
        <v>Bartolome Rios Gutierrez</v>
      </c>
      <c r="E514" s="167" t="str">
        <f>VLOOKUP(IMSS[[#This Row],[NEM]],BDD[],9,0)</f>
        <v>INST CAMPO</v>
      </c>
      <c r="F514" s="168">
        <v>30</v>
      </c>
      <c r="G514" s="139">
        <f>VLOOKUP(IMSS[[#This Row],[NEM]],BDD[],3,0)</f>
        <v>6778</v>
      </c>
      <c r="H514" s="139">
        <f ca="1">VLOOKUP(IMSS[[#This Row],[NEM]],BDD[],25,0)</f>
        <v>236.76575342465753</v>
      </c>
      <c r="I514" s="143">
        <f>VLOOKUP(IMSS[[#This Row],[DEPT]],$B$3:$G$49,6,0)</f>
        <v>4.6532499999999997E-2</v>
      </c>
      <c r="J514" s="163">
        <f ca="1">IMSS[[#This Row],[DIAS LAB]]*IMSS[[#This Row],[SDI]]*IMSS[[#This Row],[% RSG]]*$Q$108</f>
        <v>330.51907263698632</v>
      </c>
      <c r="K514" s="163">
        <f>IMSS[[#This Row],[DIAS LAB]]*$J$110*$Q$109</f>
        <v>548.47440000000006</v>
      </c>
      <c r="L514" s="166">
        <f ca="1">IMSS[[#This Row],[DIAS LAB]]*IF(IMSS[[#This Row],[SDI]]-$J$113&gt;0,IMSS[[#This Row],[SDI]]-$J$113,0)*$Q$110</f>
        <v>0</v>
      </c>
      <c r="M514" s="166">
        <f ca="1">IMSS[[#This Row],[DIAS LAB]]*IMSS[[#This Row],[SDI]]*$Q$111</f>
        <v>74.581212328767137</v>
      </c>
      <c r="N514" s="163">
        <f ca="1">IMSS[[#This Row],[DIAS LAB]]*IMSS[[#This Row],[SDI]]*$Q$112</f>
        <v>49.720808219178089</v>
      </c>
      <c r="O514" s="166">
        <f ca="1">IMSS[[#This Row],[DIAS LAB]]*IMSS[[#This Row],[SDI]]*$Q$113</f>
        <v>124.30202054794522</v>
      </c>
      <c r="P514" s="163">
        <f ca="1">IMSS[[#This Row],[DIAS LAB]]*IMSS[[#This Row],[SDI]]*$Q$114</f>
        <v>71.02972602739726</v>
      </c>
      <c r="Q514" s="166">
        <f ca="1">IMSS[[#This Row],[DIAS LAB]]*IMSS[[#This Row],[SDI]]*$Q$115</f>
        <v>142.05945205479452</v>
      </c>
      <c r="R514" s="163">
        <f ca="1">IMSS[[#This Row],[DIAS LAB]]*IMSS[[#This Row],[SDI]]*$Q$116</f>
        <v>223.7436369863014</v>
      </c>
      <c r="S514" s="163">
        <f ca="1">IMSS[[#This Row],[DIAS LAB]]*IMSS[[#This Row],[SDI]]*$Q$117</f>
        <v>355.14863013698636</v>
      </c>
      <c r="T514" s="164">
        <f ca="1">SUM(IMSS[[#This Row],[P RSG TRB]:[P INFONAVIT]])</f>
        <v>1919.5789589383567</v>
      </c>
      <c r="U514" s="163">
        <f ca="1">IMSS[[#This Row],[DIAS LAB]]*IMSS[[#This Row],[SDI]]*IMSS[[#This Row],[% RSG]]*$R$108</f>
        <v>0</v>
      </c>
      <c r="V514" s="163">
        <f ca="1">IMSS[[#This Row],[DIAS LAB]]*IMSS[[#This Row],[SDI]]*$R$112</f>
        <v>17.757431506849315</v>
      </c>
      <c r="W514" s="163"/>
      <c r="X514" s="163">
        <f ca="1">IMSS[[#This Row],[DIAS LAB]]*IMSS[[#This Row],[SDI]]*$R$113</f>
        <v>44.748727397260275</v>
      </c>
      <c r="Y514" s="163">
        <f ca="1">IMSS[[#This Row],[DIAS LAB]]*IMSS[[#This Row],[SDI]]*$R$114</f>
        <v>0</v>
      </c>
      <c r="Z514" s="163">
        <f ca="1">IMSS[[#This Row],[DIAS LAB]]*IMSS[[#This Row],[SDI]]*$R$115</f>
        <v>0</v>
      </c>
      <c r="AA514" s="163">
        <f ca="1">IMSS[[#This Row],[DIAS LAB]]*IMSS[[#This Row],[SDI]]*$R$116</f>
        <v>80.263590410958898</v>
      </c>
      <c r="AB514" s="163">
        <f ca="1">IMSS[[#This Row],[DIAS LAB]]*IMSS[[#This Row],[SDI]]*$R$117</f>
        <v>0</v>
      </c>
      <c r="AC514" s="247">
        <f ca="1">SUM(IMSS[[#This Row],[O RSG TRB]:[O INFONAVIT]])</f>
        <v>142.76974931506848</v>
      </c>
      <c r="AD514" s="163"/>
      <c r="AE514" s="165">
        <f ca="1">IMSS[[#This Row],[P TOTAL]]+IMSS[[#This Row],[O TOTAL]]</f>
        <v>2062.3487082534252</v>
      </c>
      <c r="AF514" s="163"/>
      <c r="AG514" s="163">
        <f>VLOOKUP(IMSS[[#This Row],[SUE MENS]],$AG$110:$AJ$120,1,1)</f>
        <v>5470.93</v>
      </c>
      <c r="AH514" s="163">
        <f>IMSS[[#This Row],[SUE MENS]]-IMSS[[#This Row],[LIM INF]]</f>
        <v>1307.0699999999997</v>
      </c>
      <c r="AI514" s="163">
        <f>IMSS[[#This Row],[EXC LIM INF]]*(VLOOKUP(IMSS[[#This Row],[LIM INF]],$AG$110:$AJ$120,4,0))</f>
        <v>142.20921599999997</v>
      </c>
      <c r="AJ514" s="163">
        <f>VLOOKUP(IMSS[[#This Row],[LIM INF]],$AG$110:$AJ$120,3)</f>
        <v>321.26</v>
      </c>
      <c r="AK514" s="163">
        <f>SUM(IMSS[[#This Row],[TASA EXC]]+IMSS[[#This Row],[CUOTA FIJA]])</f>
        <v>463.46921599999996</v>
      </c>
      <c r="AL514" s="163">
        <f>VLOOKUP(IMSS[[#This Row],[SUE MENS]],$AL$110:$AN$120,3,1)</f>
        <v>253.54</v>
      </c>
      <c r="AM514" s="248">
        <f>IF(IMSS[[#This Row],[ISR CARGO]]-IMSS[[#This Row],[SUBS ISR]]&gt;0,IMSS[[#This Row],[ISR CARGO]]-IMSS[[#This Row],[SUBS ISR]],0)</f>
        <v>209.92921599999997</v>
      </c>
      <c r="AN514" s="248">
        <f>IF(IMSS[[#This Row],[SUBS ISR]]-IMSS[[#This Row],[ISR CARGO]]&gt;0,IMSS[[#This Row],[SUBS ISR]]-IMSS[[#This Row],[ISR CARGO]],0)</f>
        <v>0</v>
      </c>
    </row>
    <row r="515" spans="3:40" ht="15" hidden="1" customHeight="1" x14ac:dyDescent="0.25">
      <c r="C515" s="243">
        <v>597</v>
      </c>
      <c r="D515" s="167" t="str">
        <f>VLOOKUP(IMSS[[#This Row],[NEM]],BDD[],2,0)</f>
        <v>Maríana Márquez Ortiz</v>
      </c>
      <c r="E515" s="167" t="str">
        <f>VLOOKUP(IMSS[[#This Row],[NEM]],BDD[],9,0)</f>
        <v>CONTROL</v>
      </c>
      <c r="F515" s="168">
        <v>30</v>
      </c>
      <c r="G515" s="139">
        <f>VLOOKUP(IMSS[[#This Row],[NEM]],BDD[],3,0)</f>
        <v>7445</v>
      </c>
      <c r="H515" s="139">
        <f ca="1">VLOOKUP(IMSS[[#This Row],[NEM]],BDD[],25,0)</f>
        <v>271.96347031963467</v>
      </c>
      <c r="I515" s="143">
        <f>VLOOKUP(IMSS[[#This Row],[DEPT]],$B$3:$G$49,6,0)</f>
        <v>5.4355000000000002E-3</v>
      </c>
      <c r="J515" s="163">
        <f ca="1">IMSS[[#This Row],[DIAS LAB]]*IMSS[[#This Row],[SDI]]*IMSS[[#This Row],[% RSG]]*$Q$108</f>
        <v>44.347723287671229</v>
      </c>
      <c r="K515" s="163">
        <f>IMSS[[#This Row],[DIAS LAB]]*$J$110*$Q$109</f>
        <v>548.47440000000006</v>
      </c>
      <c r="L515" s="166">
        <f ca="1">IMSS[[#This Row],[DIAS LAB]]*IF(IMSS[[#This Row],[SDI]]-$J$113&gt;0,IMSS[[#This Row],[SDI]]-$J$113,0)*$Q$110</f>
        <v>1.0241452054794353</v>
      </c>
      <c r="M515" s="166">
        <f ca="1">IMSS[[#This Row],[DIAS LAB]]*IMSS[[#This Row],[SDI]]*$Q$111</f>
        <v>85.668493150684924</v>
      </c>
      <c r="N515" s="163">
        <f ca="1">IMSS[[#This Row],[DIAS LAB]]*IMSS[[#This Row],[SDI]]*$Q$112</f>
        <v>57.11232876712328</v>
      </c>
      <c r="O515" s="166">
        <f ca="1">IMSS[[#This Row],[DIAS LAB]]*IMSS[[#This Row],[SDI]]*$Q$113</f>
        <v>142.7808219178082</v>
      </c>
      <c r="P515" s="163">
        <f ca="1">IMSS[[#This Row],[DIAS LAB]]*IMSS[[#This Row],[SDI]]*$Q$114</f>
        <v>81.589041095890394</v>
      </c>
      <c r="Q515" s="166">
        <f ca="1">IMSS[[#This Row],[DIAS LAB]]*IMSS[[#This Row],[SDI]]*$Q$115</f>
        <v>163.17808219178079</v>
      </c>
      <c r="R515" s="163">
        <f ca="1">IMSS[[#This Row],[DIAS LAB]]*IMSS[[#This Row],[SDI]]*$Q$116</f>
        <v>257.00547945205477</v>
      </c>
      <c r="S515" s="163">
        <f ca="1">IMSS[[#This Row],[DIAS LAB]]*IMSS[[#This Row],[SDI]]*$Q$117</f>
        <v>407.945205479452</v>
      </c>
      <c r="T515" s="164">
        <f ca="1">SUM(IMSS[[#This Row],[P RSG TRB]:[P INFONAVIT]])</f>
        <v>1789.1257205479449</v>
      </c>
      <c r="U515" s="163">
        <f ca="1">IMSS[[#This Row],[DIAS LAB]]*IMSS[[#This Row],[SDI]]*IMSS[[#This Row],[% RSG]]*$R$108</f>
        <v>0</v>
      </c>
      <c r="V515" s="163">
        <f ca="1">IMSS[[#This Row],[DIAS LAB]]*IMSS[[#This Row],[SDI]]*$R$112</f>
        <v>20.397260273972599</v>
      </c>
      <c r="W515" s="163"/>
      <c r="X515" s="163">
        <f ca="1">IMSS[[#This Row],[DIAS LAB]]*IMSS[[#This Row],[SDI]]*$R$113</f>
        <v>51.40109589041095</v>
      </c>
      <c r="Y515" s="163">
        <f ca="1">IMSS[[#This Row],[DIAS LAB]]*IMSS[[#This Row],[SDI]]*$R$114</f>
        <v>0</v>
      </c>
      <c r="Z515" s="163">
        <f ca="1">IMSS[[#This Row],[DIAS LAB]]*IMSS[[#This Row],[SDI]]*$R$115</f>
        <v>0</v>
      </c>
      <c r="AA515" s="163">
        <f ca="1">IMSS[[#This Row],[DIAS LAB]]*IMSS[[#This Row],[SDI]]*$R$116</f>
        <v>92.19561643835614</v>
      </c>
      <c r="AB515" s="163">
        <f ca="1">IMSS[[#This Row],[DIAS LAB]]*IMSS[[#This Row],[SDI]]*$R$117</f>
        <v>0</v>
      </c>
      <c r="AC515" s="247">
        <f ca="1">SUM(IMSS[[#This Row],[O RSG TRB]:[O INFONAVIT]])</f>
        <v>163.99397260273969</v>
      </c>
      <c r="AD515" s="163"/>
      <c r="AE515" s="165">
        <f ca="1">IMSS[[#This Row],[P TOTAL]]+IMSS[[#This Row],[O TOTAL]]</f>
        <v>1953.1196931506845</v>
      </c>
      <c r="AF515" s="163"/>
      <c r="AG515" s="163">
        <f>VLOOKUP(IMSS[[#This Row],[SUE MENS]],$AG$110:$AJ$120,1,1)</f>
        <v>5470.93</v>
      </c>
      <c r="AH515" s="163">
        <f>IMSS[[#This Row],[SUE MENS]]-IMSS[[#This Row],[LIM INF]]</f>
        <v>1974.0699999999997</v>
      </c>
      <c r="AI515" s="163">
        <f>IMSS[[#This Row],[EXC LIM INF]]*(VLOOKUP(IMSS[[#This Row],[LIM INF]],$AG$110:$AJ$120,4,0))</f>
        <v>214.77881599999998</v>
      </c>
      <c r="AJ515" s="163">
        <f>VLOOKUP(IMSS[[#This Row],[LIM INF]],$AG$110:$AJ$120,3)</f>
        <v>321.26</v>
      </c>
      <c r="AK515" s="163">
        <f>SUM(IMSS[[#This Row],[TASA EXC]]+IMSS[[#This Row],[CUOTA FIJA]])</f>
        <v>536.038816</v>
      </c>
      <c r="AL515" s="163">
        <f>VLOOKUP(IMSS[[#This Row],[SUE MENS]],$AL$110:$AN$120,3,1)</f>
        <v>0</v>
      </c>
      <c r="AM515" s="248">
        <f>IF(IMSS[[#This Row],[ISR CARGO]]-IMSS[[#This Row],[SUBS ISR]]&gt;0,IMSS[[#This Row],[ISR CARGO]]-IMSS[[#This Row],[SUBS ISR]],0)</f>
        <v>536.038816</v>
      </c>
      <c r="AN515" s="248">
        <f>IF(IMSS[[#This Row],[SUBS ISR]]-IMSS[[#This Row],[ISR CARGO]]&gt;0,IMSS[[#This Row],[SUBS ISR]]-IMSS[[#This Row],[ISR CARGO]],0)</f>
        <v>0</v>
      </c>
    </row>
    <row r="516" spans="3:40" ht="15" hidden="1" customHeight="1" x14ac:dyDescent="0.25">
      <c r="C516" s="243">
        <v>598</v>
      </c>
      <c r="D516" s="167" t="str">
        <f>VLOOKUP(IMSS[[#This Row],[NEM]],BDD[],2,0)</f>
        <v>Francisco Gerardo Mota Escobedo</v>
      </c>
      <c r="E516" s="167" t="str">
        <f>VLOOKUP(IMSS[[#This Row],[NEM]],BDD[],9,0)</f>
        <v>SOLUCIONES</v>
      </c>
      <c r="F516" s="168">
        <v>30</v>
      </c>
      <c r="G516" s="139">
        <f>VLOOKUP(IMSS[[#This Row],[NEM]],BDD[],3,0)</f>
        <v>10860</v>
      </c>
      <c r="H516" s="139">
        <f ca="1">VLOOKUP(IMSS[[#This Row],[NEM]],BDD[],25,0)</f>
        <v>396.71232876712327</v>
      </c>
      <c r="I516" s="143">
        <f>VLOOKUP(IMSS[[#This Row],[DEPT]],$B$3:$G$49,6,0)</f>
        <v>5.4355000000000002E-3</v>
      </c>
      <c r="J516" s="163">
        <f ca="1">IMSS[[#This Row],[DIAS LAB]]*IMSS[[#This Row],[SDI]]*IMSS[[#This Row],[% RSG]]*$Q$108</f>
        <v>64.689895890410966</v>
      </c>
      <c r="K516" s="163">
        <f>IMSS[[#This Row],[DIAS LAB]]*$J$110*$Q$109</f>
        <v>548.47440000000006</v>
      </c>
      <c r="L516" s="166">
        <f ca="1">IMSS[[#This Row],[DIAS LAB]]*IF(IMSS[[#This Row],[SDI]]-$J$113&gt;0,IMSS[[#This Row],[SDI]]-$J$113,0)*$Q$110</f>
        <v>42.191268493150673</v>
      </c>
      <c r="M516" s="166">
        <f ca="1">IMSS[[#This Row],[DIAS LAB]]*IMSS[[#This Row],[SDI]]*$Q$111</f>
        <v>124.96438356164384</v>
      </c>
      <c r="N516" s="163">
        <f ca="1">IMSS[[#This Row],[DIAS LAB]]*IMSS[[#This Row],[SDI]]*$Q$112</f>
        <v>83.30958904109589</v>
      </c>
      <c r="O516" s="166">
        <f ca="1">IMSS[[#This Row],[DIAS LAB]]*IMSS[[#This Row],[SDI]]*$Q$113</f>
        <v>208.27397260273975</v>
      </c>
      <c r="P516" s="163">
        <f ca="1">IMSS[[#This Row],[DIAS LAB]]*IMSS[[#This Row],[SDI]]*$Q$114</f>
        <v>119.01369863013699</v>
      </c>
      <c r="Q516" s="166">
        <f ca="1">IMSS[[#This Row],[DIAS LAB]]*IMSS[[#This Row],[SDI]]*$Q$115</f>
        <v>238.02739726027397</v>
      </c>
      <c r="R516" s="163">
        <f ca="1">IMSS[[#This Row],[DIAS LAB]]*IMSS[[#This Row],[SDI]]*$Q$116</f>
        <v>374.89315068493153</v>
      </c>
      <c r="S516" s="163">
        <f ca="1">IMSS[[#This Row],[DIAS LAB]]*IMSS[[#This Row],[SDI]]*$Q$117</f>
        <v>595.06849315068496</v>
      </c>
      <c r="T516" s="164">
        <f ca="1">SUM(IMSS[[#This Row],[P RSG TRB]:[P INFONAVIT]])</f>
        <v>2398.9062493150686</v>
      </c>
      <c r="U516" s="163">
        <f ca="1">IMSS[[#This Row],[DIAS LAB]]*IMSS[[#This Row],[SDI]]*IMSS[[#This Row],[% RSG]]*$R$108</f>
        <v>0</v>
      </c>
      <c r="V516" s="163">
        <f ca="1">IMSS[[#This Row],[DIAS LAB]]*IMSS[[#This Row],[SDI]]*$R$112</f>
        <v>29.753424657534246</v>
      </c>
      <c r="W516" s="163"/>
      <c r="X516" s="163">
        <f ca="1">IMSS[[#This Row],[DIAS LAB]]*IMSS[[#This Row],[SDI]]*$R$113</f>
        <v>74.978630136986297</v>
      </c>
      <c r="Y516" s="163">
        <f ca="1">IMSS[[#This Row],[DIAS LAB]]*IMSS[[#This Row],[SDI]]*$R$114</f>
        <v>0</v>
      </c>
      <c r="Z516" s="163">
        <f ca="1">IMSS[[#This Row],[DIAS LAB]]*IMSS[[#This Row],[SDI]]*$R$115</f>
        <v>0</v>
      </c>
      <c r="AA516" s="163">
        <f ca="1">IMSS[[#This Row],[DIAS LAB]]*IMSS[[#This Row],[SDI]]*$R$116</f>
        <v>134.48547945205479</v>
      </c>
      <c r="AB516" s="163">
        <f ca="1">IMSS[[#This Row],[DIAS LAB]]*IMSS[[#This Row],[SDI]]*$R$117</f>
        <v>0</v>
      </c>
      <c r="AC516" s="247">
        <f ca="1">SUM(IMSS[[#This Row],[O RSG TRB]:[O INFONAVIT]])</f>
        <v>239.21753424657533</v>
      </c>
      <c r="AD516" s="163"/>
      <c r="AE516" s="165">
        <f ca="1">IMSS[[#This Row],[P TOTAL]]+IMSS[[#This Row],[O TOTAL]]</f>
        <v>2638.1237835616439</v>
      </c>
      <c r="AF516" s="163"/>
      <c r="AG516" s="163">
        <f>VLOOKUP(IMSS[[#This Row],[SUE MENS]],$AG$110:$AJ$120,1,1)</f>
        <v>9614.67</v>
      </c>
      <c r="AH516" s="163">
        <f>IMSS[[#This Row],[SUE MENS]]-IMSS[[#This Row],[LIM INF]]</f>
        <v>1245.33</v>
      </c>
      <c r="AI516" s="163">
        <f>IMSS[[#This Row],[EXC LIM INF]]*(VLOOKUP(IMSS[[#This Row],[LIM INF]],$AG$110:$AJ$120,4,0))</f>
        <v>199.25279999999998</v>
      </c>
      <c r="AJ516" s="163">
        <f>VLOOKUP(IMSS[[#This Row],[LIM INF]],$AG$110:$AJ$120,3)</f>
        <v>772.1</v>
      </c>
      <c r="AK516" s="163">
        <f>SUM(IMSS[[#This Row],[TASA EXC]]+IMSS[[#This Row],[CUOTA FIJA]])</f>
        <v>971.3528</v>
      </c>
      <c r="AL516" s="163">
        <f>VLOOKUP(IMSS[[#This Row],[SUE MENS]],$AL$110:$AN$120,3,1)</f>
        <v>0</v>
      </c>
      <c r="AM516" s="248">
        <f>IF(IMSS[[#This Row],[ISR CARGO]]-IMSS[[#This Row],[SUBS ISR]]&gt;0,IMSS[[#This Row],[ISR CARGO]]-IMSS[[#This Row],[SUBS ISR]],0)</f>
        <v>971.3528</v>
      </c>
      <c r="AN516" s="248">
        <f>IF(IMSS[[#This Row],[SUBS ISR]]-IMSS[[#This Row],[ISR CARGO]]&gt;0,IMSS[[#This Row],[SUBS ISR]]-IMSS[[#This Row],[ISR CARGO]],0)</f>
        <v>0</v>
      </c>
    </row>
    <row r="517" spans="3:40" ht="15" hidden="1" customHeight="1" x14ac:dyDescent="0.25">
      <c r="C517" s="243">
        <v>599</v>
      </c>
      <c r="D517" s="167" t="str">
        <f>VLOOKUP(IMSS[[#This Row],[NEM]],BDD[],2,0)</f>
        <v>Jennifer Coral Carrillo Sanchez</v>
      </c>
      <c r="E517" s="167" t="str">
        <f>VLOOKUP(IMSS[[#This Row],[NEM]],BDD[],9,0)</f>
        <v>CRÉDITOS</v>
      </c>
      <c r="F517" s="168">
        <v>30</v>
      </c>
      <c r="G517" s="139">
        <f>VLOOKUP(IMSS[[#This Row],[NEM]],BDD[],3,0)</f>
        <v>10860</v>
      </c>
      <c r="H517" s="139">
        <f ca="1">VLOOKUP(IMSS[[#This Row],[NEM]],BDD[],25,0)</f>
        <v>396.71232876712327</v>
      </c>
      <c r="I517" s="143">
        <f>VLOOKUP(IMSS[[#This Row],[DEPT]],$B$3:$G$49,6,0)</f>
        <v>5.4355000000000002E-3</v>
      </c>
      <c r="J517" s="163">
        <f ca="1">IMSS[[#This Row],[DIAS LAB]]*IMSS[[#This Row],[SDI]]*IMSS[[#This Row],[% RSG]]*$Q$108</f>
        <v>64.689895890410966</v>
      </c>
      <c r="K517" s="163">
        <f>IMSS[[#This Row],[DIAS LAB]]*$J$110*$Q$109</f>
        <v>548.47440000000006</v>
      </c>
      <c r="L517" s="166">
        <f ca="1">IMSS[[#This Row],[DIAS LAB]]*IF(IMSS[[#This Row],[SDI]]-$J$113&gt;0,IMSS[[#This Row],[SDI]]-$J$113,0)*$Q$110</f>
        <v>42.191268493150673</v>
      </c>
      <c r="M517" s="166">
        <f ca="1">IMSS[[#This Row],[DIAS LAB]]*IMSS[[#This Row],[SDI]]*$Q$111</f>
        <v>124.96438356164384</v>
      </c>
      <c r="N517" s="163">
        <f ca="1">IMSS[[#This Row],[DIAS LAB]]*IMSS[[#This Row],[SDI]]*$Q$112</f>
        <v>83.30958904109589</v>
      </c>
      <c r="O517" s="166">
        <f ca="1">IMSS[[#This Row],[DIAS LAB]]*IMSS[[#This Row],[SDI]]*$Q$113</f>
        <v>208.27397260273975</v>
      </c>
      <c r="P517" s="163">
        <f ca="1">IMSS[[#This Row],[DIAS LAB]]*IMSS[[#This Row],[SDI]]*$Q$114</f>
        <v>119.01369863013699</v>
      </c>
      <c r="Q517" s="166">
        <f ca="1">IMSS[[#This Row],[DIAS LAB]]*IMSS[[#This Row],[SDI]]*$Q$115</f>
        <v>238.02739726027397</v>
      </c>
      <c r="R517" s="163">
        <f ca="1">IMSS[[#This Row],[DIAS LAB]]*IMSS[[#This Row],[SDI]]*$Q$116</f>
        <v>374.89315068493153</v>
      </c>
      <c r="S517" s="163">
        <f ca="1">IMSS[[#This Row],[DIAS LAB]]*IMSS[[#This Row],[SDI]]*$Q$117</f>
        <v>595.06849315068496</v>
      </c>
      <c r="T517" s="164">
        <f ca="1">SUM(IMSS[[#This Row],[P RSG TRB]:[P INFONAVIT]])</f>
        <v>2398.9062493150686</v>
      </c>
      <c r="U517" s="163">
        <f ca="1">IMSS[[#This Row],[DIAS LAB]]*IMSS[[#This Row],[SDI]]*IMSS[[#This Row],[% RSG]]*$R$108</f>
        <v>0</v>
      </c>
      <c r="V517" s="163">
        <f ca="1">IMSS[[#This Row],[DIAS LAB]]*IMSS[[#This Row],[SDI]]*$R$112</f>
        <v>29.753424657534246</v>
      </c>
      <c r="W517" s="163"/>
      <c r="X517" s="163">
        <f ca="1">IMSS[[#This Row],[DIAS LAB]]*IMSS[[#This Row],[SDI]]*$R$113</f>
        <v>74.978630136986297</v>
      </c>
      <c r="Y517" s="163">
        <f ca="1">IMSS[[#This Row],[DIAS LAB]]*IMSS[[#This Row],[SDI]]*$R$114</f>
        <v>0</v>
      </c>
      <c r="Z517" s="163">
        <f ca="1">IMSS[[#This Row],[DIAS LAB]]*IMSS[[#This Row],[SDI]]*$R$115</f>
        <v>0</v>
      </c>
      <c r="AA517" s="163">
        <f ca="1">IMSS[[#This Row],[DIAS LAB]]*IMSS[[#This Row],[SDI]]*$R$116</f>
        <v>134.48547945205479</v>
      </c>
      <c r="AB517" s="163">
        <f ca="1">IMSS[[#This Row],[DIAS LAB]]*IMSS[[#This Row],[SDI]]*$R$117</f>
        <v>0</v>
      </c>
      <c r="AC517" s="247">
        <f ca="1">SUM(IMSS[[#This Row],[O RSG TRB]:[O INFONAVIT]])</f>
        <v>239.21753424657533</v>
      </c>
      <c r="AD517" s="163"/>
      <c r="AE517" s="165">
        <f ca="1">IMSS[[#This Row],[P TOTAL]]+IMSS[[#This Row],[O TOTAL]]</f>
        <v>2638.1237835616439</v>
      </c>
      <c r="AF517" s="163"/>
      <c r="AG517" s="163">
        <f>VLOOKUP(IMSS[[#This Row],[SUE MENS]],$AG$110:$AJ$120,1,1)</f>
        <v>9614.67</v>
      </c>
      <c r="AH517" s="163">
        <f>IMSS[[#This Row],[SUE MENS]]-IMSS[[#This Row],[LIM INF]]</f>
        <v>1245.33</v>
      </c>
      <c r="AI517" s="163">
        <f>IMSS[[#This Row],[EXC LIM INF]]*(VLOOKUP(IMSS[[#This Row],[LIM INF]],$AG$110:$AJ$120,4,0))</f>
        <v>199.25279999999998</v>
      </c>
      <c r="AJ517" s="163">
        <f>VLOOKUP(IMSS[[#This Row],[LIM INF]],$AG$110:$AJ$120,3)</f>
        <v>772.1</v>
      </c>
      <c r="AK517" s="163">
        <f>SUM(IMSS[[#This Row],[TASA EXC]]+IMSS[[#This Row],[CUOTA FIJA]])</f>
        <v>971.3528</v>
      </c>
      <c r="AL517" s="163">
        <f>VLOOKUP(IMSS[[#This Row],[SUE MENS]],$AL$110:$AN$120,3,1)</f>
        <v>0</v>
      </c>
      <c r="AM517" s="248">
        <f>IF(IMSS[[#This Row],[ISR CARGO]]-IMSS[[#This Row],[SUBS ISR]]&gt;0,IMSS[[#This Row],[ISR CARGO]]-IMSS[[#This Row],[SUBS ISR]],0)</f>
        <v>971.3528</v>
      </c>
      <c r="AN517" s="248">
        <f>IF(IMSS[[#This Row],[SUBS ISR]]-IMSS[[#This Row],[ISR CARGO]]&gt;0,IMSS[[#This Row],[SUBS ISR]]-IMSS[[#This Row],[ISR CARGO]],0)</f>
        <v>0</v>
      </c>
    </row>
    <row r="518" spans="3:40" ht="15" hidden="1" customHeight="1" x14ac:dyDescent="0.25">
      <c r="C518" s="243">
        <v>601</v>
      </c>
      <c r="D518" s="167" t="str">
        <f>VLOOKUP(IMSS[[#This Row],[NEM]],BDD[],2,0)</f>
        <v>Martha Corona Ocampo</v>
      </c>
      <c r="E518" s="167" t="str">
        <f>VLOOKUP(IMSS[[#This Row],[NEM]],BDD[],9,0)</f>
        <v>RENDER</v>
      </c>
      <c r="F518" s="168">
        <v>30</v>
      </c>
      <c r="G518" s="139">
        <f>VLOOKUP(IMSS[[#This Row],[NEM]],BDD[],3,0)</f>
        <v>10350</v>
      </c>
      <c r="H518" s="139">
        <f ca="1">VLOOKUP(IMSS[[#This Row],[NEM]],BDD[],25,0)</f>
        <v>378.08219178082192</v>
      </c>
      <c r="I518" s="143">
        <f>VLOOKUP(IMSS[[#This Row],[DEPT]],$B$3:$G$49,6,0)</f>
        <v>2.5984400000000001E-2</v>
      </c>
      <c r="J518" s="163">
        <f ca="1">IMSS[[#This Row],[DIAS LAB]]*IMSS[[#This Row],[SDI]]*IMSS[[#This Row],[% RSG]]*$Q$108</f>
        <v>294.7271671232877</v>
      </c>
      <c r="K518" s="163">
        <f>IMSS[[#This Row],[DIAS LAB]]*$J$110*$Q$109</f>
        <v>548.47440000000006</v>
      </c>
      <c r="L518" s="166">
        <f ca="1">IMSS[[#This Row],[DIAS LAB]]*IF(IMSS[[#This Row],[SDI]]-$J$113&gt;0,IMSS[[#This Row],[SDI]]-$J$113,0)*$Q$110</f>
        <v>36.043323287671221</v>
      </c>
      <c r="M518" s="166">
        <f ca="1">IMSS[[#This Row],[DIAS LAB]]*IMSS[[#This Row],[SDI]]*$Q$111</f>
        <v>119.09589041095892</v>
      </c>
      <c r="N518" s="163">
        <f ca="1">IMSS[[#This Row],[DIAS LAB]]*IMSS[[#This Row],[SDI]]*$Q$112</f>
        <v>79.397260273972606</v>
      </c>
      <c r="O518" s="166">
        <f ca="1">IMSS[[#This Row],[DIAS LAB]]*IMSS[[#This Row],[SDI]]*$Q$113</f>
        <v>198.49315068493152</v>
      </c>
      <c r="P518" s="163">
        <f ca="1">IMSS[[#This Row],[DIAS LAB]]*IMSS[[#This Row],[SDI]]*$Q$114</f>
        <v>113.42465753424658</v>
      </c>
      <c r="Q518" s="166">
        <f ca="1">IMSS[[#This Row],[DIAS LAB]]*IMSS[[#This Row],[SDI]]*$Q$115</f>
        <v>226.84931506849315</v>
      </c>
      <c r="R518" s="163">
        <f ca="1">IMSS[[#This Row],[DIAS LAB]]*IMSS[[#This Row],[SDI]]*$Q$116</f>
        <v>357.28767123287673</v>
      </c>
      <c r="S518" s="163">
        <f ca="1">IMSS[[#This Row],[DIAS LAB]]*IMSS[[#This Row],[SDI]]*$Q$117</f>
        <v>567.1232876712329</v>
      </c>
      <c r="T518" s="164">
        <f ca="1">SUM(IMSS[[#This Row],[P RSG TRB]:[P INFONAVIT]])</f>
        <v>2540.9161232876713</v>
      </c>
      <c r="U518" s="163">
        <f ca="1">IMSS[[#This Row],[DIAS LAB]]*IMSS[[#This Row],[SDI]]*IMSS[[#This Row],[% RSG]]*$R$108</f>
        <v>0</v>
      </c>
      <c r="V518" s="163">
        <f ca="1">IMSS[[#This Row],[DIAS LAB]]*IMSS[[#This Row],[SDI]]*$R$112</f>
        <v>28.356164383561644</v>
      </c>
      <c r="W518" s="163"/>
      <c r="X518" s="163">
        <f ca="1">IMSS[[#This Row],[DIAS LAB]]*IMSS[[#This Row],[SDI]]*$R$113</f>
        <v>71.457534246575349</v>
      </c>
      <c r="Y518" s="163">
        <f ca="1">IMSS[[#This Row],[DIAS LAB]]*IMSS[[#This Row],[SDI]]*$R$114</f>
        <v>0</v>
      </c>
      <c r="Z518" s="163">
        <f ca="1">IMSS[[#This Row],[DIAS LAB]]*IMSS[[#This Row],[SDI]]*$R$115</f>
        <v>0</v>
      </c>
      <c r="AA518" s="163">
        <f ca="1">IMSS[[#This Row],[DIAS LAB]]*IMSS[[#This Row],[SDI]]*$R$116</f>
        <v>128.16986301369863</v>
      </c>
      <c r="AB518" s="163">
        <f ca="1">IMSS[[#This Row],[DIAS LAB]]*IMSS[[#This Row],[SDI]]*$R$117</f>
        <v>0</v>
      </c>
      <c r="AC518" s="247">
        <f ca="1">SUM(IMSS[[#This Row],[O RSG TRB]:[O INFONAVIT]])</f>
        <v>227.98356164383563</v>
      </c>
      <c r="AD518" s="163"/>
      <c r="AE518" s="165">
        <f ca="1">IMSS[[#This Row],[P TOTAL]]+IMSS[[#This Row],[O TOTAL]]</f>
        <v>2768.8996849315072</v>
      </c>
      <c r="AF518" s="163"/>
      <c r="AG518" s="163">
        <f>VLOOKUP(IMSS[[#This Row],[SUE MENS]],$AG$110:$AJ$120,1,1)</f>
        <v>9614.67</v>
      </c>
      <c r="AH518" s="163">
        <f>IMSS[[#This Row],[SUE MENS]]-IMSS[[#This Row],[LIM INF]]</f>
        <v>735.32999999999993</v>
      </c>
      <c r="AI518" s="163">
        <f>IMSS[[#This Row],[EXC LIM INF]]*(VLOOKUP(IMSS[[#This Row],[LIM INF]],$AG$110:$AJ$120,4,0))</f>
        <v>117.65279999999998</v>
      </c>
      <c r="AJ518" s="163">
        <f>VLOOKUP(IMSS[[#This Row],[LIM INF]],$AG$110:$AJ$120,3)</f>
        <v>772.1</v>
      </c>
      <c r="AK518" s="163">
        <f>SUM(IMSS[[#This Row],[TASA EXC]]+IMSS[[#This Row],[CUOTA FIJA]])</f>
        <v>889.75279999999998</v>
      </c>
      <c r="AL518" s="163">
        <f>VLOOKUP(IMSS[[#This Row],[SUE MENS]],$AL$110:$AN$120,3,1)</f>
        <v>0</v>
      </c>
      <c r="AM518" s="248">
        <f>IF(IMSS[[#This Row],[ISR CARGO]]-IMSS[[#This Row],[SUBS ISR]]&gt;0,IMSS[[#This Row],[ISR CARGO]]-IMSS[[#This Row],[SUBS ISR]],0)</f>
        <v>889.75279999999998</v>
      </c>
      <c r="AN518" s="248">
        <f>IF(IMSS[[#This Row],[SUBS ISR]]-IMSS[[#This Row],[ISR CARGO]]&gt;0,IMSS[[#This Row],[SUBS ISR]]-IMSS[[#This Row],[ISR CARGO]],0)</f>
        <v>0</v>
      </c>
    </row>
    <row r="519" spans="3:40" ht="15" hidden="1" customHeight="1" x14ac:dyDescent="0.25">
      <c r="C519" s="243">
        <v>602</v>
      </c>
      <c r="D519" s="167" t="str">
        <f>VLOOKUP(IMSS[[#This Row],[NEM]],BDD[],2,0)</f>
        <v>Brandon Javier Orta Reyna</v>
      </c>
      <c r="E519" s="167" t="str">
        <f>VLOOKUP(IMSS[[#This Row],[NEM]],BDD[],9,0)</f>
        <v>CONTA</v>
      </c>
      <c r="F519" s="168">
        <v>30</v>
      </c>
      <c r="G519" s="139">
        <f>VLOOKUP(IMSS[[#This Row],[NEM]],BDD[],3,0)</f>
        <v>7445</v>
      </c>
      <c r="H519" s="139">
        <f ca="1">VLOOKUP(IMSS[[#This Row],[NEM]],BDD[],25,0)</f>
        <v>271.96347031963467</v>
      </c>
      <c r="I519" s="143">
        <f>VLOOKUP(IMSS[[#This Row],[DEPT]],$B$3:$G$49,6,0)</f>
        <v>5.4355000000000002E-3</v>
      </c>
      <c r="J519" s="163">
        <f ca="1">IMSS[[#This Row],[DIAS LAB]]*IMSS[[#This Row],[SDI]]*IMSS[[#This Row],[% RSG]]*$Q$108</f>
        <v>44.347723287671229</v>
      </c>
      <c r="K519" s="163">
        <f>IMSS[[#This Row],[DIAS LAB]]*$J$110*$Q$109</f>
        <v>548.47440000000006</v>
      </c>
      <c r="L519" s="166">
        <f ca="1">IMSS[[#This Row],[DIAS LAB]]*IF(IMSS[[#This Row],[SDI]]-$J$113&gt;0,IMSS[[#This Row],[SDI]]-$J$113,0)*$Q$110</f>
        <v>1.0241452054794353</v>
      </c>
      <c r="M519" s="166">
        <f ca="1">IMSS[[#This Row],[DIAS LAB]]*IMSS[[#This Row],[SDI]]*$Q$111</f>
        <v>85.668493150684924</v>
      </c>
      <c r="N519" s="163">
        <f ca="1">IMSS[[#This Row],[DIAS LAB]]*IMSS[[#This Row],[SDI]]*$Q$112</f>
        <v>57.11232876712328</v>
      </c>
      <c r="O519" s="166">
        <f ca="1">IMSS[[#This Row],[DIAS LAB]]*IMSS[[#This Row],[SDI]]*$Q$113</f>
        <v>142.7808219178082</v>
      </c>
      <c r="P519" s="163">
        <f ca="1">IMSS[[#This Row],[DIAS LAB]]*IMSS[[#This Row],[SDI]]*$Q$114</f>
        <v>81.589041095890394</v>
      </c>
      <c r="Q519" s="166">
        <f ca="1">IMSS[[#This Row],[DIAS LAB]]*IMSS[[#This Row],[SDI]]*$Q$115</f>
        <v>163.17808219178079</v>
      </c>
      <c r="R519" s="163">
        <f ca="1">IMSS[[#This Row],[DIAS LAB]]*IMSS[[#This Row],[SDI]]*$Q$116</f>
        <v>257.00547945205477</v>
      </c>
      <c r="S519" s="163">
        <f ca="1">IMSS[[#This Row],[DIAS LAB]]*IMSS[[#This Row],[SDI]]*$Q$117</f>
        <v>407.945205479452</v>
      </c>
      <c r="T519" s="164">
        <f ca="1">SUM(IMSS[[#This Row],[P RSG TRB]:[P INFONAVIT]])</f>
        <v>1789.1257205479449</v>
      </c>
      <c r="U519" s="163">
        <f ca="1">IMSS[[#This Row],[DIAS LAB]]*IMSS[[#This Row],[SDI]]*IMSS[[#This Row],[% RSG]]*$R$108</f>
        <v>0</v>
      </c>
      <c r="V519" s="163">
        <f ca="1">IMSS[[#This Row],[DIAS LAB]]*IMSS[[#This Row],[SDI]]*$R$112</f>
        <v>20.397260273972599</v>
      </c>
      <c r="W519" s="163"/>
      <c r="X519" s="163">
        <f ca="1">IMSS[[#This Row],[DIAS LAB]]*IMSS[[#This Row],[SDI]]*$R$113</f>
        <v>51.40109589041095</v>
      </c>
      <c r="Y519" s="163">
        <f ca="1">IMSS[[#This Row],[DIAS LAB]]*IMSS[[#This Row],[SDI]]*$R$114</f>
        <v>0</v>
      </c>
      <c r="Z519" s="163">
        <f ca="1">IMSS[[#This Row],[DIAS LAB]]*IMSS[[#This Row],[SDI]]*$R$115</f>
        <v>0</v>
      </c>
      <c r="AA519" s="163">
        <f ca="1">IMSS[[#This Row],[DIAS LAB]]*IMSS[[#This Row],[SDI]]*$R$116</f>
        <v>92.19561643835614</v>
      </c>
      <c r="AB519" s="163">
        <f ca="1">IMSS[[#This Row],[DIAS LAB]]*IMSS[[#This Row],[SDI]]*$R$117</f>
        <v>0</v>
      </c>
      <c r="AC519" s="247">
        <f ca="1">SUM(IMSS[[#This Row],[O RSG TRB]:[O INFONAVIT]])</f>
        <v>163.99397260273969</v>
      </c>
      <c r="AD519" s="163"/>
      <c r="AE519" s="165">
        <f ca="1">IMSS[[#This Row],[P TOTAL]]+IMSS[[#This Row],[O TOTAL]]</f>
        <v>1953.1196931506845</v>
      </c>
      <c r="AF519" s="163"/>
      <c r="AG519" s="163">
        <f>VLOOKUP(IMSS[[#This Row],[SUE MENS]],$AG$110:$AJ$120,1,1)</f>
        <v>5470.93</v>
      </c>
      <c r="AH519" s="163">
        <f>IMSS[[#This Row],[SUE MENS]]-IMSS[[#This Row],[LIM INF]]</f>
        <v>1974.0699999999997</v>
      </c>
      <c r="AI519" s="163">
        <f>IMSS[[#This Row],[EXC LIM INF]]*(VLOOKUP(IMSS[[#This Row],[LIM INF]],$AG$110:$AJ$120,4,0))</f>
        <v>214.77881599999998</v>
      </c>
      <c r="AJ519" s="163">
        <f>VLOOKUP(IMSS[[#This Row],[LIM INF]],$AG$110:$AJ$120,3)</f>
        <v>321.26</v>
      </c>
      <c r="AK519" s="163">
        <f>SUM(IMSS[[#This Row],[TASA EXC]]+IMSS[[#This Row],[CUOTA FIJA]])</f>
        <v>536.038816</v>
      </c>
      <c r="AL519" s="163">
        <f>VLOOKUP(IMSS[[#This Row],[SUE MENS]],$AL$110:$AN$120,3,1)</f>
        <v>0</v>
      </c>
      <c r="AM519" s="248">
        <f>IF(IMSS[[#This Row],[ISR CARGO]]-IMSS[[#This Row],[SUBS ISR]]&gt;0,IMSS[[#This Row],[ISR CARGO]]-IMSS[[#This Row],[SUBS ISR]],0)</f>
        <v>536.038816</v>
      </c>
      <c r="AN519" s="248">
        <f>IF(IMSS[[#This Row],[SUBS ISR]]-IMSS[[#This Row],[ISR CARGO]]&gt;0,IMSS[[#This Row],[SUBS ISR]]-IMSS[[#This Row],[ISR CARGO]],0)</f>
        <v>0</v>
      </c>
    </row>
    <row r="520" spans="3:40" ht="15" hidden="1" customHeight="1" x14ac:dyDescent="0.25">
      <c r="C520" s="243">
        <v>603</v>
      </c>
      <c r="D520" s="167" t="str">
        <f>VLOOKUP(IMSS[[#This Row],[NEM]],BDD[],2,0)</f>
        <v>Edith García Barrios</v>
      </c>
      <c r="E520" s="167" t="str">
        <f>VLOOKUP(IMSS[[#This Row],[NEM]],BDD[],9,0)</f>
        <v>INST CAMPO</v>
      </c>
      <c r="F520" s="168">
        <v>30</v>
      </c>
      <c r="G520" s="139">
        <f>VLOOKUP(IMSS[[#This Row],[NEM]],BDD[],3,0)</f>
        <v>9541</v>
      </c>
      <c r="H520" s="139">
        <f ca="1">VLOOKUP(IMSS[[#This Row],[NEM]],BDD[],25,0)</f>
        <v>348.52968036529683</v>
      </c>
      <c r="I520" s="143">
        <f>VLOOKUP(IMSS[[#This Row],[DEPT]],$B$3:$G$49,6,0)</f>
        <v>4.6532499999999997E-2</v>
      </c>
      <c r="J520" s="163">
        <f ca="1">IMSS[[#This Row],[DIAS LAB]]*IMSS[[#This Row],[SDI]]*IMSS[[#This Row],[% RSG]]*$Q$108</f>
        <v>486.53872054794527</v>
      </c>
      <c r="K520" s="163">
        <f>IMSS[[#This Row],[DIAS LAB]]*$J$110*$Q$109</f>
        <v>548.47440000000006</v>
      </c>
      <c r="L520" s="166">
        <f ca="1">IMSS[[#This Row],[DIAS LAB]]*IF(IMSS[[#This Row],[SDI]]-$J$113&gt;0,IMSS[[#This Row],[SDI]]-$J$113,0)*$Q$110</f>
        <v>26.290994520547951</v>
      </c>
      <c r="M520" s="166">
        <f ca="1">IMSS[[#This Row],[DIAS LAB]]*IMSS[[#This Row],[SDI]]*$Q$111</f>
        <v>109.78684931506852</v>
      </c>
      <c r="N520" s="163">
        <f ca="1">IMSS[[#This Row],[DIAS LAB]]*IMSS[[#This Row],[SDI]]*$Q$112</f>
        <v>73.191232876712348</v>
      </c>
      <c r="O520" s="166">
        <f ca="1">IMSS[[#This Row],[DIAS LAB]]*IMSS[[#This Row],[SDI]]*$Q$113</f>
        <v>182.97808219178086</v>
      </c>
      <c r="P520" s="163">
        <f ca="1">IMSS[[#This Row],[DIAS LAB]]*IMSS[[#This Row],[SDI]]*$Q$114</f>
        <v>104.55890410958907</v>
      </c>
      <c r="Q520" s="166">
        <f ca="1">IMSS[[#This Row],[DIAS LAB]]*IMSS[[#This Row],[SDI]]*$Q$115</f>
        <v>209.11780821917813</v>
      </c>
      <c r="R520" s="163">
        <f ca="1">IMSS[[#This Row],[DIAS LAB]]*IMSS[[#This Row],[SDI]]*$Q$116</f>
        <v>329.36054794520555</v>
      </c>
      <c r="S520" s="163">
        <f ca="1">IMSS[[#This Row],[DIAS LAB]]*IMSS[[#This Row],[SDI]]*$Q$117</f>
        <v>522.79452054794535</v>
      </c>
      <c r="T520" s="164">
        <f ca="1">SUM(IMSS[[#This Row],[P RSG TRB]:[P INFONAVIT]])</f>
        <v>2593.0920602739734</v>
      </c>
      <c r="U520" s="163">
        <f ca="1">IMSS[[#This Row],[DIAS LAB]]*IMSS[[#This Row],[SDI]]*IMSS[[#This Row],[% RSG]]*$R$108</f>
        <v>0</v>
      </c>
      <c r="V520" s="163">
        <f ca="1">IMSS[[#This Row],[DIAS LAB]]*IMSS[[#This Row],[SDI]]*$R$112</f>
        <v>26.139726027397266</v>
      </c>
      <c r="W520" s="163"/>
      <c r="X520" s="163">
        <f ca="1">IMSS[[#This Row],[DIAS LAB]]*IMSS[[#This Row],[SDI]]*$R$113</f>
        <v>65.872109589041102</v>
      </c>
      <c r="Y520" s="163">
        <f ca="1">IMSS[[#This Row],[DIAS LAB]]*IMSS[[#This Row],[SDI]]*$R$114</f>
        <v>0</v>
      </c>
      <c r="Z520" s="163">
        <f ca="1">IMSS[[#This Row],[DIAS LAB]]*IMSS[[#This Row],[SDI]]*$R$115</f>
        <v>0</v>
      </c>
      <c r="AA520" s="163">
        <f ca="1">IMSS[[#This Row],[DIAS LAB]]*IMSS[[#This Row],[SDI]]*$R$116</f>
        <v>118.15156164383562</v>
      </c>
      <c r="AB520" s="163">
        <f ca="1">IMSS[[#This Row],[DIAS LAB]]*IMSS[[#This Row],[SDI]]*$R$117</f>
        <v>0</v>
      </c>
      <c r="AC520" s="247">
        <f ca="1">SUM(IMSS[[#This Row],[O RSG TRB]:[O INFONAVIT]])</f>
        <v>210.163397260274</v>
      </c>
      <c r="AD520" s="163"/>
      <c r="AE520" s="165">
        <f ca="1">IMSS[[#This Row],[P TOTAL]]+IMSS[[#This Row],[O TOTAL]]</f>
        <v>2803.2554575342474</v>
      </c>
      <c r="AF520" s="163"/>
      <c r="AG520" s="163">
        <f>VLOOKUP(IMSS[[#This Row],[SUE MENS]],$AG$110:$AJ$120,1,1)</f>
        <v>5470.93</v>
      </c>
      <c r="AH520" s="163">
        <f>IMSS[[#This Row],[SUE MENS]]-IMSS[[#This Row],[LIM INF]]</f>
        <v>4070.0699999999997</v>
      </c>
      <c r="AI520" s="163">
        <f>IMSS[[#This Row],[EXC LIM INF]]*(VLOOKUP(IMSS[[#This Row],[LIM INF]],$AG$110:$AJ$120,4,0))</f>
        <v>442.82361600000002</v>
      </c>
      <c r="AJ520" s="163">
        <f>VLOOKUP(IMSS[[#This Row],[LIM INF]],$AG$110:$AJ$120,3)</f>
        <v>321.26</v>
      </c>
      <c r="AK520" s="163">
        <f>SUM(IMSS[[#This Row],[TASA EXC]]+IMSS[[#This Row],[CUOTA FIJA]])</f>
        <v>764.08361600000001</v>
      </c>
      <c r="AL520" s="163">
        <f>VLOOKUP(IMSS[[#This Row],[SUE MENS]],$AL$110:$AN$120,3,1)</f>
        <v>0</v>
      </c>
      <c r="AM520" s="248">
        <f>IF(IMSS[[#This Row],[ISR CARGO]]-IMSS[[#This Row],[SUBS ISR]]&gt;0,IMSS[[#This Row],[ISR CARGO]]-IMSS[[#This Row],[SUBS ISR]],0)</f>
        <v>764.08361600000001</v>
      </c>
      <c r="AN520" s="248">
        <f>IF(IMSS[[#This Row],[SUBS ISR]]-IMSS[[#This Row],[ISR CARGO]]&gt;0,IMSS[[#This Row],[SUBS ISR]]-IMSS[[#This Row],[ISR CARGO]],0)</f>
        <v>0</v>
      </c>
    </row>
    <row r="521" spans="3:40" ht="15" hidden="1" customHeight="1" x14ac:dyDescent="0.25">
      <c r="C521" s="243">
        <v>605</v>
      </c>
      <c r="D521" s="167" t="str">
        <f>VLOOKUP(IMSS[[#This Row],[NEM]],BDD[],2,0)</f>
        <v>Filiberto Herrera Nuñez</v>
      </c>
      <c r="E521" s="167" t="str">
        <f>VLOOKUP(IMSS[[#This Row],[NEM]],BDD[],9,0)</f>
        <v>INST CAMPO</v>
      </c>
      <c r="F521" s="168">
        <v>30</v>
      </c>
      <c r="G521" s="139">
        <f>VLOOKUP(IMSS[[#This Row],[NEM]],BDD[],3,0)</f>
        <v>9541</v>
      </c>
      <c r="H521" s="139">
        <f ca="1">VLOOKUP(IMSS[[#This Row],[NEM]],BDD[],25,0)</f>
        <v>348.52968036529683</v>
      </c>
      <c r="I521" s="143">
        <f>VLOOKUP(IMSS[[#This Row],[DEPT]],$B$3:$G$49,6,0)</f>
        <v>4.6532499999999997E-2</v>
      </c>
      <c r="J521" s="163">
        <f ca="1">IMSS[[#This Row],[DIAS LAB]]*IMSS[[#This Row],[SDI]]*IMSS[[#This Row],[% RSG]]*$Q$108</f>
        <v>486.53872054794527</v>
      </c>
      <c r="K521" s="163">
        <f>IMSS[[#This Row],[DIAS LAB]]*$J$110*$Q$109</f>
        <v>548.47440000000006</v>
      </c>
      <c r="L521" s="166">
        <f ca="1">IMSS[[#This Row],[DIAS LAB]]*IF(IMSS[[#This Row],[SDI]]-$J$113&gt;0,IMSS[[#This Row],[SDI]]-$J$113,0)*$Q$110</f>
        <v>26.290994520547951</v>
      </c>
      <c r="M521" s="166">
        <f ca="1">IMSS[[#This Row],[DIAS LAB]]*IMSS[[#This Row],[SDI]]*$Q$111</f>
        <v>109.78684931506852</v>
      </c>
      <c r="N521" s="163">
        <f ca="1">IMSS[[#This Row],[DIAS LAB]]*IMSS[[#This Row],[SDI]]*$Q$112</f>
        <v>73.191232876712348</v>
      </c>
      <c r="O521" s="166">
        <f ca="1">IMSS[[#This Row],[DIAS LAB]]*IMSS[[#This Row],[SDI]]*$Q$113</f>
        <v>182.97808219178086</v>
      </c>
      <c r="P521" s="163">
        <f ca="1">IMSS[[#This Row],[DIAS LAB]]*IMSS[[#This Row],[SDI]]*$Q$114</f>
        <v>104.55890410958907</v>
      </c>
      <c r="Q521" s="166">
        <f ca="1">IMSS[[#This Row],[DIAS LAB]]*IMSS[[#This Row],[SDI]]*$Q$115</f>
        <v>209.11780821917813</v>
      </c>
      <c r="R521" s="163">
        <f ca="1">IMSS[[#This Row],[DIAS LAB]]*IMSS[[#This Row],[SDI]]*$Q$116</f>
        <v>329.36054794520555</v>
      </c>
      <c r="S521" s="163">
        <f ca="1">IMSS[[#This Row],[DIAS LAB]]*IMSS[[#This Row],[SDI]]*$Q$117</f>
        <v>522.79452054794535</v>
      </c>
      <c r="T521" s="164">
        <f ca="1">SUM(IMSS[[#This Row],[P RSG TRB]:[P INFONAVIT]])</f>
        <v>2593.0920602739734</v>
      </c>
      <c r="U521" s="163">
        <f ca="1">IMSS[[#This Row],[DIAS LAB]]*IMSS[[#This Row],[SDI]]*IMSS[[#This Row],[% RSG]]*$R$108</f>
        <v>0</v>
      </c>
      <c r="V521" s="163">
        <f ca="1">IMSS[[#This Row],[DIAS LAB]]*IMSS[[#This Row],[SDI]]*$R$112</f>
        <v>26.139726027397266</v>
      </c>
      <c r="W521" s="163"/>
      <c r="X521" s="163">
        <f ca="1">IMSS[[#This Row],[DIAS LAB]]*IMSS[[#This Row],[SDI]]*$R$113</f>
        <v>65.872109589041102</v>
      </c>
      <c r="Y521" s="163">
        <f ca="1">IMSS[[#This Row],[DIAS LAB]]*IMSS[[#This Row],[SDI]]*$R$114</f>
        <v>0</v>
      </c>
      <c r="Z521" s="163">
        <f ca="1">IMSS[[#This Row],[DIAS LAB]]*IMSS[[#This Row],[SDI]]*$R$115</f>
        <v>0</v>
      </c>
      <c r="AA521" s="163">
        <f ca="1">IMSS[[#This Row],[DIAS LAB]]*IMSS[[#This Row],[SDI]]*$R$116</f>
        <v>118.15156164383562</v>
      </c>
      <c r="AB521" s="163">
        <f ca="1">IMSS[[#This Row],[DIAS LAB]]*IMSS[[#This Row],[SDI]]*$R$117</f>
        <v>0</v>
      </c>
      <c r="AC521" s="247">
        <f ca="1">SUM(IMSS[[#This Row],[O RSG TRB]:[O INFONAVIT]])</f>
        <v>210.163397260274</v>
      </c>
      <c r="AD521" s="163"/>
      <c r="AE521" s="165">
        <f ca="1">IMSS[[#This Row],[P TOTAL]]+IMSS[[#This Row],[O TOTAL]]</f>
        <v>2803.2554575342474</v>
      </c>
      <c r="AF521" s="163"/>
      <c r="AG521" s="163">
        <f>VLOOKUP(IMSS[[#This Row],[SUE MENS]],$AG$110:$AJ$120,1,1)</f>
        <v>5470.93</v>
      </c>
      <c r="AH521" s="163">
        <f>IMSS[[#This Row],[SUE MENS]]-IMSS[[#This Row],[LIM INF]]</f>
        <v>4070.0699999999997</v>
      </c>
      <c r="AI521" s="163">
        <f>IMSS[[#This Row],[EXC LIM INF]]*(VLOOKUP(IMSS[[#This Row],[LIM INF]],$AG$110:$AJ$120,4,0))</f>
        <v>442.82361600000002</v>
      </c>
      <c r="AJ521" s="163">
        <f>VLOOKUP(IMSS[[#This Row],[LIM INF]],$AG$110:$AJ$120,3)</f>
        <v>321.26</v>
      </c>
      <c r="AK521" s="163">
        <f>SUM(IMSS[[#This Row],[TASA EXC]]+IMSS[[#This Row],[CUOTA FIJA]])</f>
        <v>764.08361600000001</v>
      </c>
      <c r="AL521" s="163">
        <f>VLOOKUP(IMSS[[#This Row],[SUE MENS]],$AL$110:$AN$120,3,1)</f>
        <v>0</v>
      </c>
      <c r="AM521" s="248">
        <f>IF(IMSS[[#This Row],[ISR CARGO]]-IMSS[[#This Row],[SUBS ISR]]&gt;0,IMSS[[#This Row],[ISR CARGO]]-IMSS[[#This Row],[SUBS ISR]],0)</f>
        <v>764.08361600000001</v>
      </c>
      <c r="AN521" s="248">
        <f>IF(IMSS[[#This Row],[SUBS ISR]]-IMSS[[#This Row],[ISR CARGO]]&gt;0,IMSS[[#This Row],[SUBS ISR]]-IMSS[[#This Row],[ISR CARGO]],0)</f>
        <v>0</v>
      </c>
    </row>
    <row r="522" spans="3:40" ht="15" hidden="1" customHeight="1" x14ac:dyDescent="0.25">
      <c r="C522" s="243">
        <v>606</v>
      </c>
      <c r="D522" s="167" t="str">
        <f>VLOOKUP(IMSS[[#This Row],[NEM]],BDD[],2,0)</f>
        <v>Inocencia Navarrete Cabañas</v>
      </c>
      <c r="E522" s="167" t="str">
        <f>VLOOKUP(IMSS[[#This Row],[NEM]],BDD[],9,0)</f>
        <v>ARQUITECT</v>
      </c>
      <c r="F522" s="168">
        <v>30</v>
      </c>
      <c r="G522" s="139">
        <f>VLOOKUP(IMSS[[#This Row],[NEM]],BDD[],3,0)</f>
        <v>9541</v>
      </c>
      <c r="H522" s="139">
        <f ca="1">VLOOKUP(IMSS[[#This Row],[NEM]],BDD[],25,0)</f>
        <v>348.52968036529683</v>
      </c>
      <c r="I522" s="143">
        <f>VLOOKUP(IMSS[[#This Row],[DEPT]],$B$3:$G$49,6,0)</f>
        <v>2.5984400000000001E-2</v>
      </c>
      <c r="J522" s="163">
        <f ca="1">IMSS[[#This Row],[DIAS LAB]]*IMSS[[#This Row],[SDI]]*IMSS[[#This Row],[% RSG]]*$Q$108</f>
        <v>271.6900387945206</v>
      </c>
      <c r="K522" s="163">
        <f>IMSS[[#This Row],[DIAS LAB]]*$J$110*$Q$109</f>
        <v>548.47440000000006</v>
      </c>
      <c r="L522" s="166">
        <f ca="1">IMSS[[#This Row],[DIAS LAB]]*IF(IMSS[[#This Row],[SDI]]-$J$113&gt;0,IMSS[[#This Row],[SDI]]-$J$113,0)*$Q$110</f>
        <v>26.290994520547951</v>
      </c>
      <c r="M522" s="166">
        <f ca="1">IMSS[[#This Row],[DIAS LAB]]*IMSS[[#This Row],[SDI]]*$Q$111</f>
        <v>109.78684931506852</v>
      </c>
      <c r="N522" s="163">
        <f ca="1">IMSS[[#This Row],[DIAS LAB]]*IMSS[[#This Row],[SDI]]*$Q$112</f>
        <v>73.191232876712348</v>
      </c>
      <c r="O522" s="166">
        <f ca="1">IMSS[[#This Row],[DIAS LAB]]*IMSS[[#This Row],[SDI]]*$Q$113</f>
        <v>182.97808219178086</v>
      </c>
      <c r="P522" s="163">
        <f ca="1">IMSS[[#This Row],[DIAS LAB]]*IMSS[[#This Row],[SDI]]*$Q$114</f>
        <v>104.55890410958907</v>
      </c>
      <c r="Q522" s="166">
        <f ca="1">IMSS[[#This Row],[DIAS LAB]]*IMSS[[#This Row],[SDI]]*$Q$115</f>
        <v>209.11780821917813</v>
      </c>
      <c r="R522" s="163">
        <f ca="1">IMSS[[#This Row],[DIAS LAB]]*IMSS[[#This Row],[SDI]]*$Q$116</f>
        <v>329.36054794520555</v>
      </c>
      <c r="S522" s="163">
        <f ca="1">IMSS[[#This Row],[DIAS LAB]]*IMSS[[#This Row],[SDI]]*$Q$117</f>
        <v>522.79452054794535</v>
      </c>
      <c r="T522" s="164">
        <f ca="1">SUM(IMSS[[#This Row],[P RSG TRB]:[P INFONAVIT]])</f>
        <v>2378.2433785205485</v>
      </c>
      <c r="U522" s="163">
        <f ca="1">IMSS[[#This Row],[DIAS LAB]]*IMSS[[#This Row],[SDI]]*IMSS[[#This Row],[% RSG]]*$R$108</f>
        <v>0</v>
      </c>
      <c r="V522" s="163">
        <f ca="1">IMSS[[#This Row],[DIAS LAB]]*IMSS[[#This Row],[SDI]]*$R$112</f>
        <v>26.139726027397266</v>
      </c>
      <c r="W522" s="163"/>
      <c r="X522" s="163">
        <f ca="1">IMSS[[#This Row],[DIAS LAB]]*IMSS[[#This Row],[SDI]]*$R$113</f>
        <v>65.872109589041102</v>
      </c>
      <c r="Y522" s="163">
        <f ca="1">IMSS[[#This Row],[DIAS LAB]]*IMSS[[#This Row],[SDI]]*$R$114</f>
        <v>0</v>
      </c>
      <c r="Z522" s="163">
        <f ca="1">IMSS[[#This Row],[DIAS LAB]]*IMSS[[#This Row],[SDI]]*$R$115</f>
        <v>0</v>
      </c>
      <c r="AA522" s="163">
        <f ca="1">IMSS[[#This Row],[DIAS LAB]]*IMSS[[#This Row],[SDI]]*$R$116</f>
        <v>118.15156164383562</v>
      </c>
      <c r="AB522" s="163">
        <f ca="1">IMSS[[#This Row],[DIAS LAB]]*IMSS[[#This Row],[SDI]]*$R$117</f>
        <v>0</v>
      </c>
      <c r="AC522" s="247">
        <f ca="1">SUM(IMSS[[#This Row],[O RSG TRB]:[O INFONAVIT]])</f>
        <v>210.163397260274</v>
      </c>
      <c r="AD522" s="163"/>
      <c r="AE522" s="165">
        <f ca="1">IMSS[[#This Row],[P TOTAL]]+IMSS[[#This Row],[O TOTAL]]</f>
        <v>2588.4067757808225</v>
      </c>
      <c r="AF522" s="163"/>
      <c r="AG522" s="163">
        <f>VLOOKUP(IMSS[[#This Row],[SUE MENS]],$AG$110:$AJ$120,1,1)</f>
        <v>5470.93</v>
      </c>
      <c r="AH522" s="163">
        <f>IMSS[[#This Row],[SUE MENS]]-IMSS[[#This Row],[LIM INF]]</f>
        <v>4070.0699999999997</v>
      </c>
      <c r="AI522" s="163">
        <f>IMSS[[#This Row],[EXC LIM INF]]*(VLOOKUP(IMSS[[#This Row],[LIM INF]],$AG$110:$AJ$120,4,0))</f>
        <v>442.82361600000002</v>
      </c>
      <c r="AJ522" s="163">
        <f>VLOOKUP(IMSS[[#This Row],[LIM INF]],$AG$110:$AJ$120,3)</f>
        <v>321.26</v>
      </c>
      <c r="AK522" s="163">
        <f>SUM(IMSS[[#This Row],[TASA EXC]]+IMSS[[#This Row],[CUOTA FIJA]])</f>
        <v>764.08361600000001</v>
      </c>
      <c r="AL522" s="163">
        <f>VLOOKUP(IMSS[[#This Row],[SUE MENS]],$AL$110:$AN$120,3,1)</f>
        <v>0</v>
      </c>
      <c r="AM522" s="248">
        <f>IF(IMSS[[#This Row],[ISR CARGO]]-IMSS[[#This Row],[SUBS ISR]]&gt;0,IMSS[[#This Row],[ISR CARGO]]-IMSS[[#This Row],[SUBS ISR]],0)</f>
        <v>764.08361600000001</v>
      </c>
      <c r="AN522" s="248">
        <f>IF(IMSS[[#This Row],[SUBS ISR]]-IMSS[[#This Row],[ISR CARGO]]&gt;0,IMSS[[#This Row],[SUBS ISR]]-IMSS[[#This Row],[ISR CARGO]],0)</f>
        <v>0</v>
      </c>
    </row>
    <row r="523" spans="3:40" ht="15" hidden="1" customHeight="1" x14ac:dyDescent="0.25">
      <c r="C523" s="243">
        <v>608</v>
      </c>
      <c r="D523" s="167" t="str">
        <f>VLOOKUP(IMSS[[#This Row],[NEM]],BDD[],2,0)</f>
        <v>Litsi Jaqueline Carvajal Cortez</v>
      </c>
      <c r="E523" s="167" t="str">
        <f>VLOOKUP(IMSS[[#This Row],[NEM]],BDD[],9,0)</f>
        <v>AUDIT PROY</v>
      </c>
      <c r="F523" s="168">
        <v>30</v>
      </c>
      <c r="G523" s="139">
        <f>VLOOKUP(IMSS[[#This Row],[NEM]],BDD[],3,0)</f>
        <v>9450</v>
      </c>
      <c r="H523" s="139">
        <f ca="1">VLOOKUP(IMSS[[#This Row],[NEM]],BDD[],25,0)</f>
        <v>345.20547945205476</v>
      </c>
      <c r="I523" s="143">
        <f>VLOOKUP(IMSS[[#This Row],[DEPT]],$B$3:$G$49,6,0)</f>
        <v>1.130658E-2</v>
      </c>
      <c r="J523" s="163">
        <f ca="1">IMSS[[#This Row],[DIAS LAB]]*IMSS[[#This Row],[SDI]]*IMSS[[#This Row],[% RSG]]*$Q$108</f>
        <v>117.09280109589041</v>
      </c>
      <c r="K523" s="163">
        <f>IMSS[[#This Row],[DIAS LAB]]*$J$110*$Q$109</f>
        <v>548.47440000000006</v>
      </c>
      <c r="L523" s="166">
        <f ca="1">IMSS[[#This Row],[DIAS LAB]]*IF(IMSS[[#This Row],[SDI]]-$J$113&gt;0,IMSS[[#This Row],[SDI]]-$J$113,0)*$Q$110</f>
        <v>25.194008219178063</v>
      </c>
      <c r="M523" s="166">
        <f ca="1">IMSS[[#This Row],[DIAS LAB]]*IMSS[[#This Row],[SDI]]*$Q$111</f>
        <v>108.73972602739727</v>
      </c>
      <c r="N523" s="163">
        <f ca="1">IMSS[[#This Row],[DIAS LAB]]*IMSS[[#This Row],[SDI]]*$Q$112</f>
        <v>72.493150684931507</v>
      </c>
      <c r="O523" s="166">
        <f ca="1">IMSS[[#This Row],[DIAS LAB]]*IMSS[[#This Row],[SDI]]*$Q$113</f>
        <v>181.23287671232876</v>
      </c>
      <c r="P523" s="163">
        <f ca="1">IMSS[[#This Row],[DIAS LAB]]*IMSS[[#This Row],[SDI]]*$Q$114</f>
        <v>103.56164383561644</v>
      </c>
      <c r="Q523" s="166">
        <f ca="1">IMSS[[#This Row],[DIAS LAB]]*IMSS[[#This Row],[SDI]]*$Q$115</f>
        <v>207.12328767123287</v>
      </c>
      <c r="R523" s="163">
        <f ca="1">IMSS[[#This Row],[DIAS LAB]]*IMSS[[#This Row],[SDI]]*$Q$116</f>
        <v>326.21917808219177</v>
      </c>
      <c r="S523" s="163">
        <f ca="1">IMSS[[#This Row],[DIAS LAB]]*IMSS[[#This Row],[SDI]]*$Q$117</f>
        <v>517.80821917808214</v>
      </c>
      <c r="T523" s="164">
        <f ca="1">SUM(IMSS[[#This Row],[P RSG TRB]:[P INFONAVIT]])</f>
        <v>2207.9392915068493</v>
      </c>
      <c r="U523" s="163">
        <f ca="1">IMSS[[#This Row],[DIAS LAB]]*IMSS[[#This Row],[SDI]]*IMSS[[#This Row],[% RSG]]*$R$108</f>
        <v>0</v>
      </c>
      <c r="V523" s="163">
        <f ca="1">IMSS[[#This Row],[DIAS LAB]]*IMSS[[#This Row],[SDI]]*$R$112</f>
        <v>25.890410958904109</v>
      </c>
      <c r="W523" s="163"/>
      <c r="X523" s="163">
        <f ca="1">IMSS[[#This Row],[DIAS LAB]]*IMSS[[#This Row],[SDI]]*$R$113</f>
        <v>65.243835616438346</v>
      </c>
      <c r="Y523" s="163">
        <f ca="1">IMSS[[#This Row],[DIAS LAB]]*IMSS[[#This Row],[SDI]]*$R$114</f>
        <v>0</v>
      </c>
      <c r="Z523" s="163">
        <f ca="1">IMSS[[#This Row],[DIAS LAB]]*IMSS[[#This Row],[SDI]]*$R$115</f>
        <v>0</v>
      </c>
      <c r="AA523" s="163">
        <f ca="1">IMSS[[#This Row],[DIAS LAB]]*IMSS[[#This Row],[SDI]]*$R$116</f>
        <v>117.02465753424656</v>
      </c>
      <c r="AB523" s="163">
        <f ca="1">IMSS[[#This Row],[DIAS LAB]]*IMSS[[#This Row],[SDI]]*$R$117</f>
        <v>0</v>
      </c>
      <c r="AC523" s="247">
        <f ca="1">SUM(IMSS[[#This Row],[O RSG TRB]:[O INFONAVIT]])</f>
        <v>208.158904109589</v>
      </c>
      <c r="AD523" s="163"/>
      <c r="AE523" s="165">
        <f ca="1">IMSS[[#This Row],[P TOTAL]]+IMSS[[#This Row],[O TOTAL]]</f>
        <v>2416.0981956164383</v>
      </c>
      <c r="AF523" s="163"/>
      <c r="AG523" s="163">
        <f>VLOOKUP(IMSS[[#This Row],[SUE MENS]],$AG$110:$AJ$120,1,1)</f>
        <v>5470.93</v>
      </c>
      <c r="AH523" s="163">
        <f>IMSS[[#This Row],[SUE MENS]]-IMSS[[#This Row],[LIM INF]]</f>
        <v>3979.0699999999997</v>
      </c>
      <c r="AI523" s="163">
        <f>IMSS[[#This Row],[EXC LIM INF]]*(VLOOKUP(IMSS[[#This Row],[LIM INF]],$AG$110:$AJ$120,4,0))</f>
        <v>432.92281600000001</v>
      </c>
      <c r="AJ523" s="163">
        <f>VLOOKUP(IMSS[[#This Row],[LIM INF]],$AG$110:$AJ$120,3)</f>
        <v>321.26</v>
      </c>
      <c r="AK523" s="163">
        <f>SUM(IMSS[[#This Row],[TASA EXC]]+IMSS[[#This Row],[CUOTA FIJA]])</f>
        <v>754.182816</v>
      </c>
      <c r="AL523" s="163">
        <f>VLOOKUP(IMSS[[#This Row],[SUE MENS]],$AL$110:$AN$120,3,1)</f>
        <v>0</v>
      </c>
      <c r="AM523" s="248">
        <f>IF(IMSS[[#This Row],[ISR CARGO]]-IMSS[[#This Row],[SUBS ISR]]&gt;0,IMSS[[#This Row],[ISR CARGO]]-IMSS[[#This Row],[SUBS ISR]],0)</f>
        <v>754.182816</v>
      </c>
      <c r="AN523" s="248">
        <f>IF(IMSS[[#This Row],[SUBS ISR]]-IMSS[[#This Row],[ISR CARGO]]&gt;0,IMSS[[#This Row],[SUBS ISR]]-IMSS[[#This Row],[ISR CARGO]],0)</f>
        <v>0</v>
      </c>
    </row>
    <row r="524" spans="3:40" ht="15" hidden="1" customHeight="1" x14ac:dyDescent="0.25">
      <c r="C524" s="243">
        <v>609</v>
      </c>
      <c r="D524" s="167" t="str">
        <f>VLOOKUP(IMSS[[#This Row],[NEM]],BDD[],2,0)</f>
        <v>Marcela Rosas Villanueva</v>
      </c>
      <c r="E524" s="167" t="str">
        <f>VLOOKUP(IMSS[[#This Row],[NEM]],BDD[],9,0)</f>
        <v>SOFTWARE</v>
      </c>
      <c r="F524" s="168">
        <v>30</v>
      </c>
      <c r="G524" s="139">
        <f>VLOOKUP(IMSS[[#This Row],[NEM]],BDD[],3,0)</f>
        <v>8825</v>
      </c>
      <c r="H524" s="139">
        <f ca="1">VLOOKUP(IMSS[[#This Row],[NEM]],BDD[],25,0)</f>
        <v>322.3744292237443</v>
      </c>
      <c r="I524" s="143">
        <f>VLOOKUP(IMSS[[#This Row],[DEPT]],$B$3:$G$49,6,0)</f>
        <v>1.130658E-2</v>
      </c>
      <c r="J524" s="163">
        <f ca="1">IMSS[[#This Row],[DIAS LAB]]*IMSS[[#This Row],[SDI]]*IMSS[[#This Row],[% RSG]]*$Q$108</f>
        <v>109.34856821917809</v>
      </c>
      <c r="K524" s="163">
        <f>IMSS[[#This Row],[DIAS LAB]]*$J$110*$Q$109</f>
        <v>548.47440000000006</v>
      </c>
      <c r="L524" s="166">
        <f ca="1">IMSS[[#This Row],[DIAS LAB]]*IF(IMSS[[#This Row],[SDI]]-$J$113&gt;0,IMSS[[#This Row],[SDI]]-$J$113,0)*$Q$110</f>
        <v>17.659761643835612</v>
      </c>
      <c r="M524" s="166">
        <f ca="1">IMSS[[#This Row],[DIAS LAB]]*IMSS[[#This Row],[SDI]]*$Q$111</f>
        <v>101.54794520547946</v>
      </c>
      <c r="N524" s="163">
        <f ca="1">IMSS[[#This Row],[DIAS LAB]]*IMSS[[#This Row],[SDI]]*$Q$112</f>
        <v>67.69863013698631</v>
      </c>
      <c r="O524" s="166">
        <f ca="1">IMSS[[#This Row],[DIAS LAB]]*IMSS[[#This Row],[SDI]]*$Q$113</f>
        <v>169.24657534246577</v>
      </c>
      <c r="P524" s="163">
        <f ca="1">IMSS[[#This Row],[DIAS LAB]]*IMSS[[#This Row],[SDI]]*$Q$114</f>
        <v>96.712328767123296</v>
      </c>
      <c r="Q524" s="166">
        <f ca="1">IMSS[[#This Row],[DIAS LAB]]*IMSS[[#This Row],[SDI]]*$Q$115</f>
        <v>193.42465753424659</v>
      </c>
      <c r="R524" s="163">
        <f ca="1">IMSS[[#This Row],[DIAS LAB]]*IMSS[[#This Row],[SDI]]*$Q$116</f>
        <v>304.64383561643837</v>
      </c>
      <c r="S524" s="163">
        <f ca="1">IMSS[[#This Row],[DIAS LAB]]*IMSS[[#This Row],[SDI]]*$Q$117</f>
        <v>483.56164383561645</v>
      </c>
      <c r="T524" s="164">
        <f ca="1">SUM(IMSS[[#This Row],[P RSG TRB]:[P INFONAVIT]])</f>
        <v>2092.3183463013702</v>
      </c>
      <c r="U524" s="163">
        <f ca="1">IMSS[[#This Row],[DIAS LAB]]*IMSS[[#This Row],[SDI]]*IMSS[[#This Row],[% RSG]]*$R$108</f>
        <v>0</v>
      </c>
      <c r="V524" s="163">
        <f ca="1">IMSS[[#This Row],[DIAS LAB]]*IMSS[[#This Row],[SDI]]*$R$112</f>
        <v>24.178082191780824</v>
      </c>
      <c r="W524" s="163"/>
      <c r="X524" s="163">
        <f ca="1">IMSS[[#This Row],[DIAS LAB]]*IMSS[[#This Row],[SDI]]*$R$113</f>
        <v>60.92876712328767</v>
      </c>
      <c r="Y524" s="163">
        <f ca="1">IMSS[[#This Row],[DIAS LAB]]*IMSS[[#This Row],[SDI]]*$R$114</f>
        <v>0</v>
      </c>
      <c r="Z524" s="163">
        <f ca="1">IMSS[[#This Row],[DIAS LAB]]*IMSS[[#This Row],[SDI]]*$R$115</f>
        <v>0</v>
      </c>
      <c r="AA524" s="163">
        <f ca="1">IMSS[[#This Row],[DIAS LAB]]*IMSS[[#This Row],[SDI]]*$R$116</f>
        <v>109.2849315068493</v>
      </c>
      <c r="AB524" s="163">
        <f ca="1">IMSS[[#This Row],[DIAS LAB]]*IMSS[[#This Row],[SDI]]*$R$117</f>
        <v>0</v>
      </c>
      <c r="AC524" s="247">
        <f ca="1">SUM(IMSS[[#This Row],[O RSG TRB]:[O INFONAVIT]])</f>
        <v>194.39178082191779</v>
      </c>
      <c r="AD524" s="163"/>
      <c r="AE524" s="165">
        <f ca="1">IMSS[[#This Row],[P TOTAL]]+IMSS[[#This Row],[O TOTAL]]</f>
        <v>2286.7101271232877</v>
      </c>
      <c r="AF524" s="163"/>
      <c r="AG524" s="163">
        <f>VLOOKUP(IMSS[[#This Row],[SUE MENS]],$AG$110:$AJ$120,1,1)</f>
        <v>5470.93</v>
      </c>
      <c r="AH524" s="163">
        <f>IMSS[[#This Row],[SUE MENS]]-IMSS[[#This Row],[LIM INF]]</f>
        <v>3354.0699999999997</v>
      </c>
      <c r="AI524" s="163">
        <f>IMSS[[#This Row],[EXC LIM INF]]*(VLOOKUP(IMSS[[#This Row],[LIM INF]],$AG$110:$AJ$120,4,0))</f>
        <v>364.92281600000001</v>
      </c>
      <c r="AJ524" s="163">
        <f>VLOOKUP(IMSS[[#This Row],[LIM INF]],$AG$110:$AJ$120,3)</f>
        <v>321.26</v>
      </c>
      <c r="AK524" s="163">
        <f>SUM(IMSS[[#This Row],[TASA EXC]]+IMSS[[#This Row],[CUOTA FIJA]])</f>
        <v>686.182816</v>
      </c>
      <c r="AL524" s="163">
        <f>VLOOKUP(IMSS[[#This Row],[SUE MENS]],$AL$110:$AN$120,3,1)</f>
        <v>0</v>
      </c>
      <c r="AM524" s="248">
        <f>IF(IMSS[[#This Row],[ISR CARGO]]-IMSS[[#This Row],[SUBS ISR]]&gt;0,IMSS[[#This Row],[ISR CARGO]]-IMSS[[#This Row],[SUBS ISR]],0)</f>
        <v>686.182816</v>
      </c>
      <c r="AN524" s="248">
        <f>IF(IMSS[[#This Row],[SUBS ISR]]-IMSS[[#This Row],[ISR CARGO]]&gt;0,IMSS[[#This Row],[SUBS ISR]]-IMSS[[#This Row],[ISR CARGO]],0)</f>
        <v>0</v>
      </c>
    </row>
    <row r="525" spans="3:40" ht="15" hidden="1" customHeight="1" x14ac:dyDescent="0.25">
      <c r="C525" s="243">
        <v>611</v>
      </c>
      <c r="D525" s="167" t="str">
        <f>VLOOKUP(IMSS[[#This Row],[NEM]],BDD[],2,0)</f>
        <v>Santos Daniel Hinojosa Torres</v>
      </c>
      <c r="E525" s="167" t="str">
        <f>VLOOKUP(IMSS[[#This Row],[NEM]],BDD[],9,0)</f>
        <v>ARQUITECT</v>
      </c>
      <c r="F525" s="168">
        <v>30</v>
      </c>
      <c r="G525" s="139">
        <f>VLOOKUP(IMSS[[#This Row],[NEM]],BDD[],3,0)</f>
        <v>9541</v>
      </c>
      <c r="H525" s="139">
        <f ca="1">VLOOKUP(IMSS[[#This Row],[NEM]],BDD[],25,0)</f>
        <v>348.52968036529683</v>
      </c>
      <c r="I525" s="143">
        <f>VLOOKUP(IMSS[[#This Row],[DEPT]],$B$3:$G$49,6,0)</f>
        <v>2.5984400000000001E-2</v>
      </c>
      <c r="J525" s="163">
        <f ca="1">IMSS[[#This Row],[DIAS LAB]]*IMSS[[#This Row],[SDI]]*IMSS[[#This Row],[% RSG]]*$Q$108</f>
        <v>271.6900387945206</v>
      </c>
      <c r="K525" s="163">
        <f>IMSS[[#This Row],[DIAS LAB]]*$J$110*$Q$109</f>
        <v>548.47440000000006</v>
      </c>
      <c r="L525" s="166">
        <f ca="1">IMSS[[#This Row],[DIAS LAB]]*IF(IMSS[[#This Row],[SDI]]-$J$113&gt;0,IMSS[[#This Row],[SDI]]-$J$113,0)*$Q$110</f>
        <v>26.290994520547951</v>
      </c>
      <c r="M525" s="166">
        <f ca="1">IMSS[[#This Row],[DIAS LAB]]*IMSS[[#This Row],[SDI]]*$Q$111</f>
        <v>109.78684931506852</v>
      </c>
      <c r="N525" s="163">
        <f ca="1">IMSS[[#This Row],[DIAS LAB]]*IMSS[[#This Row],[SDI]]*$Q$112</f>
        <v>73.191232876712348</v>
      </c>
      <c r="O525" s="166">
        <f ca="1">IMSS[[#This Row],[DIAS LAB]]*IMSS[[#This Row],[SDI]]*$Q$113</f>
        <v>182.97808219178086</v>
      </c>
      <c r="P525" s="163">
        <f ca="1">IMSS[[#This Row],[DIAS LAB]]*IMSS[[#This Row],[SDI]]*$Q$114</f>
        <v>104.55890410958907</v>
      </c>
      <c r="Q525" s="166">
        <f ca="1">IMSS[[#This Row],[DIAS LAB]]*IMSS[[#This Row],[SDI]]*$Q$115</f>
        <v>209.11780821917813</v>
      </c>
      <c r="R525" s="163">
        <f ca="1">IMSS[[#This Row],[DIAS LAB]]*IMSS[[#This Row],[SDI]]*$Q$116</f>
        <v>329.36054794520555</v>
      </c>
      <c r="S525" s="163">
        <f ca="1">IMSS[[#This Row],[DIAS LAB]]*IMSS[[#This Row],[SDI]]*$Q$117</f>
        <v>522.79452054794535</v>
      </c>
      <c r="T525" s="164">
        <f ca="1">SUM(IMSS[[#This Row],[P RSG TRB]:[P INFONAVIT]])</f>
        <v>2378.2433785205485</v>
      </c>
      <c r="U525" s="163">
        <f ca="1">IMSS[[#This Row],[DIAS LAB]]*IMSS[[#This Row],[SDI]]*IMSS[[#This Row],[% RSG]]*$R$108</f>
        <v>0</v>
      </c>
      <c r="V525" s="163">
        <f ca="1">IMSS[[#This Row],[DIAS LAB]]*IMSS[[#This Row],[SDI]]*$R$112</f>
        <v>26.139726027397266</v>
      </c>
      <c r="W525" s="163"/>
      <c r="X525" s="163">
        <f ca="1">IMSS[[#This Row],[DIAS LAB]]*IMSS[[#This Row],[SDI]]*$R$113</f>
        <v>65.872109589041102</v>
      </c>
      <c r="Y525" s="163">
        <f ca="1">IMSS[[#This Row],[DIAS LAB]]*IMSS[[#This Row],[SDI]]*$R$114</f>
        <v>0</v>
      </c>
      <c r="Z525" s="163">
        <f ca="1">IMSS[[#This Row],[DIAS LAB]]*IMSS[[#This Row],[SDI]]*$R$115</f>
        <v>0</v>
      </c>
      <c r="AA525" s="163">
        <f ca="1">IMSS[[#This Row],[DIAS LAB]]*IMSS[[#This Row],[SDI]]*$R$116</f>
        <v>118.15156164383562</v>
      </c>
      <c r="AB525" s="163">
        <f ca="1">IMSS[[#This Row],[DIAS LAB]]*IMSS[[#This Row],[SDI]]*$R$117</f>
        <v>0</v>
      </c>
      <c r="AC525" s="247">
        <f ca="1">SUM(IMSS[[#This Row],[O RSG TRB]:[O INFONAVIT]])</f>
        <v>210.163397260274</v>
      </c>
      <c r="AD525" s="163"/>
      <c r="AE525" s="165">
        <f ca="1">IMSS[[#This Row],[P TOTAL]]+IMSS[[#This Row],[O TOTAL]]</f>
        <v>2588.4067757808225</v>
      </c>
      <c r="AF525" s="163"/>
      <c r="AG525" s="163">
        <f>VLOOKUP(IMSS[[#This Row],[SUE MENS]],$AG$110:$AJ$120,1,1)</f>
        <v>5470.93</v>
      </c>
      <c r="AH525" s="163">
        <f>IMSS[[#This Row],[SUE MENS]]-IMSS[[#This Row],[LIM INF]]</f>
        <v>4070.0699999999997</v>
      </c>
      <c r="AI525" s="163">
        <f>IMSS[[#This Row],[EXC LIM INF]]*(VLOOKUP(IMSS[[#This Row],[LIM INF]],$AG$110:$AJ$120,4,0))</f>
        <v>442.82361600000002</v>
      </c>
      <c r="AJ525" s="163">
        <f>VLOOKUP(IMSS[[#This Row],[LIM INF]],$AG$110:$AJ$120,3)</f>
        <v>321.26</v>
      </c>
      <c r="AK525" s="163">
        <f>SUM(IMSS[[#This Row],[TASA EXC]]+IMSS[[#This Row],[CUOTA FIJA]])</f>
        <v>764.08361600000001</v>
      </c>
      <c r="AL525" s="163">
        <f>VLOOKUP(IMSS[[#This Row],[SUE MENS]],$AL$110:$AN$120,3,1)</f>
        <v>0</v>
      </c>
      <c r="AM525" s="248">
        <f>IF(IMSS[[#This Row],[ISR CARGO]]-IMSS[[#This Row],[SUBS ISR]]&gt;0,IMSS[[#This Row],[ISR CARGO]]-IMSS[[#This Row],[SUBS ISR]],0)</f>
        <v>764.08361600000001</v>
      </c>
      <c r="AN525" s="248">
        <f>IF(IMSS[[#This Row],[SUBS ISR]]-IMSS[[#This Row],[ISR CARGO]]&gt;0,IMSS[[#This Row],[SUBS ISR]]-IMSS[[#This Row],[ISR CARGO]],0)</f>
        <v>0</v>
      </c>
    </row>
    <row r="526" spans="3:40" ht="15" hidden="1" customHeight="1" x14ac:dyDescent="0.25">
      <c r="C526" s="243">
        <v>613</v>
      </c>
      <c r="D526" s="167" t="str">
        <f>VLOOKUP(IMSS[[#This Row],[NEM]],BDD[],2,0)</f>
        <v>Dorian Gamaiel Martínez Berlanga</v>
      </c>
      <c r="E526" s="167" t="str">
        <f>VLOOKUP(IMSS[[#This Row],[NEM]],BDD[],9,0)</f>
        <v>FACTURAS</v>
      </c>
      <c r="F526" s="168">
        <v>30</v>
      </c>
      <c r="G526" s="139">
        <f>VLOOKUP(IMSS[[#This Row],[NEM]],BDD[],3,0)</f>
        <v>10350</v>
      </c>
      <c r="H526" s="139">
        <f ca="1">VLOOKUP(IMSS[[#This Row],[NEM]],BDD[],25,0)</f>
        <v>378.08219178082192</v>
      </c>
      <c r="I526" s="143">
        <f>VLOOKUP(IMSS[[#This Row],[DEPT]],$B$3:$G$49,6,0)</f>
        <v>5.4355000000000002E-3</v>
      </c>
      <c r="J526" s="163">
        <f ca="1">IMSS[[#This Row],[DIAS LAB]]*IMSS[[#This Row],[SDI]]*IMSS[[#This Row],[% RSG]]*$Q$108</f>
        <v>61.651972602739733</v>
      </c>
      <c r="K526" s="163">
        <f>IMSS[[#This Row],[DIAS LAB]]*$J$110*$Q$109</f>
        <v>548.47440000000006</v>
      </c>
      <c r="L526" s="166">
        <f ca="1">IMSS[[#This Row],[DIAS LAB]]*IF(IMSS[[#This Row],[SDI]]-$J$113&gt;0,IMSS[[#This Row],[SDI]]-$J$113,0)*$Q$110</f>
        <v>36.043323287671221</v>
      </c>
      <c r="M526" s="166">
        <f ca="1">IMSS[[#This Row],[DIAS LAB]]*IMSS[[#This Row],[SDI]]*$Q$111</f>
        <v>119.09589041095892</v>
      </c>
      <c r="N526" s="163">
        <f ca="1">IMSS[[#This Row],[DIAS LAB]]*IMSS[[#This Row],[SDI]]*$Q$112</f>
        <v>79.397260273972606</v>
      </c>
      <c r="O526" s="166">
        <f ca="1">IMSS[[#This Row],[DIAS LAB]]*IMSS[[#This Row],[SDI]]*$Q$113</f>
        <v>198.49315068493152</v>
      </c>
      <c r="P526" s="163">
        <f ca="1">IMSS[[#This Row],[DIAS LAB]]*IMSS[[#This Row],[SDI]]*$Q$114</f>
        <v>113.42465753424658</v>
      </c>
      <c r="Q526" s="166">
        <f ca="1">IMSS[[#This Row],[DIAS LAB]]*IMSS[[#This Row],[SDI]]*$Q$115</f>
        <v>226.84931506849315</v>
      </c>
      <c r="R526" s="163">
        <f ca="1">IMSS[[#This Row],[DIAS LAB]]*IMSS[[#This Row],[SDI]]*$Q$116</f>
        <v>357.28767123287673</v>
      </c>
      <c r="S526" s="163">
        <f ca="1">IMSS[[#This Row],[DIAS LAB]]*IMSS[[#This Row],[SDI]]*$Q$117</f>
        <v>567.1232876712329</v>
      </c>
      <c r="T526" s="164">
        <f ca="1">SUM(IMSS[[#This Row],[P RSG TRB]:[P INFONAVIT]])</f>
        <v>2307.8409287671234</v>
      </c>
      <c r="U526" s="163">
        <f ca="1">IMSS[[#This Row],[DIAS LAB]]*IMSS[[#This Row],[SDI]]*IMSS[[#This Row],[% RSG]]*$R$108</f>
        <v>0</v>
      </c>
      <c r="V526" s="163">
        <f ca="1">IMSS[[#This Row],[DIAS LAB]]*IMSS[[#This Row],[SDI]]*$R$112</f>
        <v>28.356164383561644</v>
      </c>
      <c r="W526" s="163"/>
      <c r="X526" s="163">
        <f ca="1">IMSS[[#This Row],[DIAS LAB]]*IMSS[[#This Row],[SDI]]*$R$113</f>
        <v>71.457534246575349</v>
      </c>
      <c r="Y526" s="163">
        <f ca="1">IMSS[[#This Row],[DIAS LAB]]*IMSS[[#This Row],[SDI]]*$R$114</f>
        <v>0</v>
      </c>
      <c r="Z526" s="163">
        <f ca="1">IMSS[[#This Row],[DIAS LAB]]*IMSS[[#This Row],[SDI]]*$R$115</f>
        <v>0</v>
      </c>
      <c r="AA526" s="163">
        <f ca="1">IMSS[[#This Row],[DIAS LAB]]*IMSS[[#This Row],[SDI]]*$R$116</f>
        <v>128.16986301369863</v>
      </c>
      <c r="AB526" s="163">
        <f ca="1">IMSS[[#This Row],[DIAS LAB]]*IMSS[[#This Row],[SDI]]*$R$117</f>
        <v>0</v>
      </c>
      <c r="AC526" s="247">
        <f ca="1">SUM(IMSS[[#This Row],[O RSG TRB]:[O INFONAVIT]])</f>
        <v>227.98356164383563</v>
      </c>
      <c r="AD526" s="163"/>
      <c r="AE526" s="165">
        <f ca="1">IMSS[[#This Row],[P TOTAL]]+IMSS[[#This Row],[O TOTAL]]</f>
        <v>2535.8244904109588</v>
      </c>
      <c r="AF526" s="163"/>
      <c r="AG526" s="163">
        <f>VLOOKUP(IMSS[[#This Row],[SUE MENS]],$AG$110:$AJ$120,1,1)</f>
        <v>9614.67</v>
      </c>
      <c r="AH526" s="163">
        <f>IMSS[[#This Row],[SUE MENS]]-IMSS[[#This Row],[LIM INF]]</f>
        <v>735.32999999999993</v>
      </c>
      <c r="AI526" s="163">
        <f>IMSS[[#This Row],[EXC LIM INF]]*(VLOOKUP(IMSS[[#This Row],[LIM INF]],$AG$110:$AJ$120,4,0))</f>
        <v>117.65279999999998</v>
      </c>
      <c r="AJ526" s="163">
        <f>VLOOKUP(IMSS[[#This Row],[LIM INF]],$AG$110:$AJ$120,3)</f>
        <v>772.1</v>
      </c>
      <c r="AK526" s="163">
        <f>SUM(IMSS[[#This Row],[TASA EXC]]+IMSS[[#This Row],[CUOTA FIJA]])</f>
        <v>889.75279999999998</v>
      </c>
      <c r="AL526" s="163">
        <f>VLOOKUP(IMSS[[#This Row],[SUE MENS]],$AL$110:$AN$120,3,1)</f>
        <v>0</v>
      </c>
      <c r="AM526" s="248">
        <f>IF(IMSS[[#This Row],[ISR CARGO]]-IMSS[[#This Row],[SUBS ISR]]&gt;0,IMSS[[#This Row],[ISR CARGO]]-IMSS[[#This Row],[SUBS ISR]],0)</f>
        <v>889.75279999999998</v>
      </c>
      <c r="AN526" s="248">
        <f>IF(IMSS[[#This Row],[SUBS ISR]]-IMSS[[#This Row],[ISR CARGO]]&gt;0,IMSS[[#This Row],[SUBS ISR]]-IMSS[[#This Row],[ISR CARGO]],0)</f>
        <v>0</v>
      </c>
    </row>
    <row r="527" spans="3:40" ht="15" hidden="1" customHeight="1" x14ac:dyDescent="0.25">
      <c r="C527" s="243">
        <v>614</v>
      </c>
      <c r="D527" s="167" t="str">
        <f>VLOOKUP(IMSS[[#This Row],[NEM]],BDD[],2,0)</f>
        <v>Gabriela Alejadra Martinez De Leon</v>
      </c>
      <c r="E527" s="167" t="str">
        <f>VLOOKUP(IMSS[[#This Row],[NEM]],BDD[],9,0)</f>
        <v>AUDIT ADMN</v>
      </c>
      <c r="F527" s="168">
        <v>30</v>
      </c>
      <c r="G527" s="139">
        <f>VLOOKUP(IMSS[[#This Row],[NEM]],BDD[],3,0)</f>
        <v>9450</v>
      </c>
      <c r="H527" s="139">
        <f ca="1">VLOOKUP(IMSS[[#This Row],[NEM]],BDD[],25,0)</f>
        <v>345.20547945205476</v>
      </c>
      <c r="I527" s="143">
        <f>VLOOKUP(IMSS[[#This Row],[DEPT]],$B$3:$G$49,6,0)</f>
        <v>5.4355000000000002E-3</v>
      </c>
      <c r="J527" s="163">
        <f ca="1">IMSS[[#This Row],[DIAS LAB]]*IMSS[[#This Row],[SDI]]*IMSS[[#This Row],[% RSG]]*$Q$108</f>
        <v>56.290931506849311</v>
      </c>
      <c r="K527" s="163">
        <f>IMSS[[#This Row],[DIAS LAB]]*$J$110*$Q$109</f>
        <v>548.47440000000006</v>
      </c>
      <c r="L527" s="166">
        <f ca="1">IMSS[[#This Row],[DIAS LAB]]*IF(IMSS[[#This Row],[SDI]]-$J$113&gt;0,IMSS[[#This Row],[SDI]]-$J$113,0)*$Q$110</f>
        <v>25.194008219178063</v>
      </c>
      <c r="M527" s="166">
        <f ca="1">IMSS[[#This Row],[DIAS LAB]]*IMSS[[#This Row],[SDI]]*$Q$111</f>
        <v>108.73972602739727</v>
      </c>
      <c r="N527" s="163">
        <f ca="1">IMSS[[#This Row],[DIAS LAB]]*IMSS[[#This Row],[SDI]]*$Q$112</f>
        <v>72.493150684931507</v>
      </c>
      <c r="O527" s="166">
        <f ca="1">IMSS[[#This Row],[DIAS LAB]]*IMSS[[#This Row],[SDI]]*$Q$113</f>
        <v>181.23287671232876</v>
      </c>
      <c r="P527" s="163">
        <f ca="1">IMSS[[#This Row],[DIAS LAB]]*IMSS[[#This Row],[SDI]]*$Q$114</f>
        <v>103.56164383561644</v>
      </c>
      <c r="Q527" s="166">
        <f ca="1">IMSS[[#This Row],[DIAS LAB]]*IMSS[[#This Row],[SDI]]*$Q$115</f>
        <v>207.12328767123287</v>
      </c>
      <c r="R527" s="163">
        <f ca="1">IMSS[[#This Row],[DIAS LAB]]*IMSS[[#This Row],[SDI]]*$Q$116</f>
        <v>326.21917808219177</v>
      </c>
      <c r="S527" s="163">
        <f ca="1">IMSS[[#This Row],[DIAS LAB]]*IMSS[[#This Row],[SDI]]*$Q$117</f>
        <v>517.80821917808214</v>
      </c>
      <c r="T527" s="164">
        <f ca="1">SUM(IMSS[[#This Row],[P RSG TRB]:[P INFONAVIT]])</f>
        <v>2147.1374219178083</v>
      </c>
      <c r="U527" s="163">
        <f ca="1">IMSS[[#This Row],[DIAS LAB]]*IMSS[[#This Row],[SDI]]*IMSS[[#This Row],[% RSG]]*$R$108</f>
        <v>0</v>
      </c>
      <c r="V527" s="163">
        <f ca="1">IMSS[[#This Row],[DIAS LAB]]*IMSS[[#This Row],[SDI]]*$R$112</f>
        <v>25.890410958904109</v>
      </c>
      <c r="W527" s="163"/>
      <c r="X527" s="163">
        <f ca="1">IMSS[[#This Row],[DIAS LAB]]*IMSS[[#This Row],[SDI]]*$R$113</f>
        <v>65.243835616438346</v>
      </c>
      <c r="Y527" s="163">
        <f ca="1">IMSS[[#This Row],[DIAS LAB]]*IMSS[[#This Row],[SDI]]*$R$114</f>
        <v>0</v>
      </c>
      <c r="Z527" s="163">
        <f ca="1">IMSS[[#This Row],[DIAS LAB]]*IMSS[[#This Row],[SDI]]*$R$115</f>
        <v>0</v>
      </c>
      <c r="AA527" s="163">
        <f ca="1">IMSS[[#This Row],[DIAS LAB]]*IMSS[[#This Row],[SDI]]*$R$116</f>
        <v>117.02465753424656</v>
      </c>
      <c r="AB527" s="163">
        <f ca="1">IMSS[[#This Row],[DIAS LAB]]*IMSS[[#This Row],[SDI]]*$R$117</f>
        <v>0</v>
      </c>
      <c r="AC527" s="247">
        <f ca="1">SUM(IMSS[[#This Row],[O RSG TRB]:[O INFONAVIT]])</f>
        <v>208.158904109589</v>
      </c>
      <c r="AD527" s="163"/>
      <c r="AE527" s="165">
        <f ca="1">IMSS[[#This Row],[P TOTAL]]+IMSS[[#This Row],[O TOTAL]]</f>
        <v>2355.2963260273973</v>
      </c>
      <c r="AF527" s="163"/>
      <c r="AG527" s="163">
        <f>VLOOKUP(IMSS[[#This Row],[SUE MENS]],$AG$110:$AJ$120,1,1)</f>
        <v>5470.93</v>
      </c>
      <c r="AH527" s="163">
        <f>IMSS[[#This Row],[SUE MENS]]-IMSS[[#This Row],[LIM INF]]</f>
        <v>3979.0699999999997</v>
      </c>
      <c r="AI527" s="163">
        <f>IMSS[[#This Row],[EXC LIM INF]]*(VLOOKUP(IMSS[[#This Row],[LIM INF]],$AG$110:$AJ$120,4,0))</f>
        <v>432.92281600000001</v>
      </c>
      <c r="AJ527" s="163">
        <f>VLOOKUP(IMSS[[#This Row],[LIM INF]],$AG$110:$AJ$120,3)</f>
        <v>321.26</v>
      </c>
      <c r="AK527" s="163">
        <f>SUM(IMSS[[#This Row],[TASA EXC]]+IMSS[[#This Row],[CUOTA FIJA]])</f>
        <v>754.182816</v>
      </c>
      <c r="AL527" s="163">
        <f>VLOOKUP(IMSS[[#This Row],[SUE MENS]],$AL$110:$AN$120,3,1)</f>
        <v>0</v>
      </c>
      <c r="AM527" s="248">
        <f>IF(IMSS[[#This Row],[ISR CARGO]]-IMSS[[#This Row],[SUBS ISR]]&gt;0,IMSS[[#This Row],[ISR CARGO]]-IMSS[[#This Row],[SUBS ISR]],0)</f>
        <v>754.182816</v>
      </c>
      <c r="AN527" s="248">
        <f>IF(IMSS[[#This Row],[SUBS ISR]]-IMSS[[#This Row],[ISR CARGO]]&gt;0,IMSS[[#This Row],[SUBS ISR]]-IMSS[[#This Row],[ISR CARGO]],0)</f>
        <v>0</v>
      </c>
    </row>
    <row r="528" spans="3:40" ht="15" hidden="1" customHeight="1" x14ac:dyDescent="0.25">
      <c r="C528" s="243">
        <v>615</v>
      </c>
      <c r="D528" s="167" t="str">
        <f>VLOOKUP(IMSS[[#This Row],[NEM]],BDD[],2,0)</f>
        <v>María Guadalupe Hernandez Herrera</v>
      </c>
      <c r="E528" s="167" t="str">
        <f>VLOOKUP(IMSS[[#This Row],[NEM]],BDD[],9,0)</f>
        <v>MATERIALES</v>
      </c>
      <c r="F528" s="168">
        <v>30</v>
      </c>
      <c r="G528" s="139">
        <f>VLOOKUP(IMSS[[#This Row],[NEM]],BDD[],3,0)</f>
        <v>9541</v>
      </c>
      <c r="H528" s="139">
        <f ca="1">VLOOKUP(IMSS[[#This Row],[NEM]],BDD[],25,0)</f>
        <v>348.52968036529683</v>
      </c>
      <c r="I528" s="143">
        <f>VLOOKUP(IMSS[[#This Row],[DEPT]],$B$3:$G$49,6,0)</f>
        <v>4.6532499999999997E-2</v>
      </c>
      <c r="J528" s="163">
        <f ca="1">IMSS[[#This Row],[DIAS LAB]]*IMSS[[#This Row],[SDI]]*IMSS[[#This Row],[% RSG]]*$Q$108</f>
        <v>486.53872054794527</v>
      </c>
      <c r="K528" s="163">
        <f>IMSS[[#This Row],[DIAS LAB]]*$J$110*$Q$109</f>
        <v>548.47440000000006</v>
      </c>
      <c r="L528" s="166">
        <f ca="1">IMSS[[#This Row],[DIAS LAB]]*IF(IMSS[[#This Row],[SDI]]-$J$113&gt;0,IMSS[[#This Row],[SDI]]-$J$113,0)*$Q$110</f>
        <v>26.290994520547951</v>
      </c>
      <c r="M528" s="166">
        <f ca="1">IMSS[[#This Row],[DIAS LAB]]*IMSS[[#This Row],[SDI]]*$Q$111</f>
        <v>109.78684931506852</v>
      </c>
      <c r="N528" s="163">
        <f ca="1">IMSS[[#This Row],[DIAS LAB]]*IMSS[[#This Row],[SDI]]*$Q$112</f>
        <v>73.191232876712348</v>
      </c>
      <c r="O528" s="166">
        <f ca="1">IMSS[[#This Row],[DIAS LAB]]*IMSS[[#This Row],[SDI]]*$Q$113</f>
        <v>182.97808219178086</v>
      </c>
      <c r="P528" s="163">
        <f ca="1">IMSS[[#This Row],[DIAS LAB]]*IMSS[[#This Row],[SDI]]*$Q$114</f>
        <v>104.55890410958907</v>
      </c>
      <c r="Q528" s="166">
        <f ca="1">IMSS[[#This Row],[DIAS LAB]]*IMSS[[#This Row],[SDI]]*$Q$115</f>
        <v>209.11780821917813</v>
      </c>
      <c r="R528" s="163">
        <f ca="1">IMSS[[#This Row],[DIAS LAB]]*IMSS[[#This Row],[SDI]]*$Q$116</f>
        <v>329.36054794520555</v>
      </c>
      <c r="S528" s="163">
        <f ca="1">IMSS[[#This Row],[DIAS LAB]]*IMSS[[#This Row],[SDI]]*$Q$117</f>
        <v>522.79452054794535</v>
      </c>
      <c r="T528" s="164">
        <f ca="1">SUM(IMSS[[#This Row],[P RSG TRB]:[P INFONAVIT]])</f>
        <v>2593.0920602739734</v>
      </c>
      <c r="U528" s="163">
        <f ca="1">IMSS[[#This Row],[DIAS LAB]]*IMSS[[#This Row],[SDI]]*IMSS[[#This Row],[% RSG]]*$R$108</f>
        <v>0</v>
      </c>
      <c r="V528" s="163">
        <f ca="1">IMSS[[#This Row],[DIAS LAB]]*IMSS[[#This Row],[SDI]]*$R$112</f>
        <v>26.139726027397266</v>
      </c>
      <c r="W528" s="163"/>
      <c r="X528" s="163">
        <f ca="1">IMSS[[#This Row],[DIAS LAB]]*IMSS[[#This Row],[SDI]]*$R$113</f>
        <v>65.872109589041102</v>
      </c>
      <c r="Y528" s="163">
        <f ca="1">IMSS[[#This Row],[DIAS LAB]]*IMSS[[#This Row],[SDI]]*$R$114</f>
        <v>0</v>
      </c>
      <c r="Z528" s="163">
        <f ca="1">IMSS[[#This Row],[DIAS LAB]]*IMSS[[#This Row],[SDI]]*$R$115</f>
        <v>0</v>
      </c>
      <c r="AA528" s="163">
        <f ca="1">IMSS[[#This Row],[DIAS LAB]]*IMSS[[#This Row],[SDI]]*$R$116</f>
        <v>118.15156164383562</v>
      </c>
      <c r="AB528" s="163">
        <f ca="1">IMSS[[#This Row],[DIAS LAB]]*IMSS[[#This Row],[SDI]]*$R$117</f>
        <v>0</v>
      </c>
      <c r="AC528" s="247">
        <f ca="1">SUM(IMSS[[#This Row],[O RSG TRB]:[O INFONAVIT]])</f>
        <v>210.163397260274</v>
      </c>
      <c r="AD528" s="163"/>
      <c r="AE528" s="165">
        <f ca="1">IMSS[[#This Row],[P TOTAL]]+IMSS[[#This Row],[O TOTAL]]</f>
        <v>2803.2554575342474</v>
      </c>
      <c r="AF528" s="163"/>
      <c r="AG528" s="163">
        <f>VLOOKUP(IMSS[[#This Row],[SUE MENS]],$AG$110:$AJ$120,1,1)</f>
        <v>5470.93</v>
      </c>
      <c r="AH528" s="163">
        <f>IMSS[[#This Row],[SUE MENS]]-IMSS[[#This Row],[LIM INF]]</f>
        <v>4070.0699999999997</v>
      </c>
      <c r="AI528" s="163">
        <f>IMSS[[#This Row],[EXC LIM INF]]*(VLOOKUP(IMSS[[#This Row],[LIM INF]],$AG$110:$AJ$120,4,0))</f>
        <v>442.82361600000002</v>
      </c>
      <c r="AJ528" s="163">
        <f>VLOOKUP(IMSS[[#This Row],[LIM INF]],$AG$110:$AJ$120,3)</f>
        <v>321.26</v>
      </c>
      <c r="AK528" s="163">
        <f>SUM(IMSS[[#This Row],[TASA EXC]]+IMSS[[#This Row],[CUOTA FIJA]])</f>
        <v>764.08361600000001</v>
      </c>
      <c r="AL528" s="163">
        <f>VLOOKUP(IMSS[[#This Row],[SUE MENS]],$AL$110:$AN$120,3,1)</f>
        <v>0</v>
      </c>
      <c r="AM528" s="248">
        <f>IF(IMSS[[#This Row],[ISR CARGO]]-IMSS[[#This Row],[SUBS ISR]]&gt;0,IMSS[[#This Row],[ISR CARGO]]-IMSS[[#This Row],[SUBS ISR]],0)</f>
        <v>764.08361600000001</v>
      </c>
      <c r="AN528" s="248">
        <f>IF(IMSS[[#This Row],[SUBS ISR]]-IMSS[[#This Row],[ISR CARGO]]&gt;0,IMSS[[#This Row],[SUBS ISR]]-IMSS[[#This Row],[ISR CARGO]],0)</f>
        <v>0</v>
      </c>
    </row>
    <row r="529" spans="3:40" ht="15" hidden="1" customHeight="1" x14ac:dyDescent="0.25">
      <c r="C529" s="243">
        <v>616</v>
      </c>
      <c r="D529" s="167" t="str">
        <f>VLOOKUP(IMSS[[#This Row],[NEM]],BDD[],2,0)</f>
        <v>Jeidi Brisa Soto Martínez</v>
      </c>
      <c r="E529" s="167" t="str">
        <f>VLOOKUP(IMSS[[#This Row],[NEM]],BDD[],9,0)</f>
        <v>ESTRUCTURA</v>
      </c>
      <c r="F529" s="168">
        <v>30</v>
      </c>
      <c r="G529" s="139">
        <f>VLOOKUP(IMSS[[#This Row],[NEM]],BDD[],3,0)</f>
        <v>7445</v>
      </c>
      <c r="H529" s="139">
        <f ca="1">VLOOKUP(IMSS[[#This Row],[NEM]],BDD[],25,0)</f>
        <v>271.96347031963467</v>
      </c>
      <c r="I529" s="143">
        <f>VLOOKUP(IMSS[[#This Row],[DEPT]],$B$3:$G$49,6,0)</f>
        <v>2.5984400000000001E-2</v>
      </c>
      <c r="J529" s="163">
        <f ca="1">IMSS[[#This Row],[DIAS LAB]]*IMSS[[#This Row],[SDI]]*IMSS[[#This Row],[% RSG]]*$Q$108</f>
        <v>212.00422794520546</v>
      </c>
      <c r="K529" s="163">
        <f>IMSS[[#This Row],[DIAS LAB]]*$J$110*$Q$109</f>
        <v>548.47440000000006</v>
      </c>
      <c r="L529" s="166">
        <f ca="1">IMSS[[#This Row],[DIAS LAB]]*IF(IMSS[[#This Row],[SDI]]-$J$113&gt;0,IMSS[[#This Row],[SDI]]-$J$113,0)*$Q$110</f>
        <v>1.0241452054794353</v>
      </c>
      <c r="M529" s="166">
        <f ca="1">IMSS[[#This Row],[DIAS LAB]]*IMSS[[#This Row],[SDI]]*$Q$111</f>
        <v>85.668493150684924</v>
      </c>
      <c r="N529" s="163">
        <f ca="1">IMSS[[#This Row],[DIAS LAB]]*IMSS[[#This Row],[SDI]]*$Q$112</f>
        <v>57.11232876712328</v>
      </c>
      <c r="O529" s="166">
        <f ca="1">IMSS[[#This Row],[DIAS LAB]]*IMSS[[#This Row],[SDI]]*$Q$113</f>
        <v>142.7808219178082</v>
      </c>
      <c r="P529" s="163">
        <f ca="1">IMSS[[#This Row],[DIAS LAB]]*IMSS[[#This Row],[SDI]]*$Q$114</f>
        <v>81.589041095890394</v>
      </c>
      <c r="Q529" s="166">
        <f ca="1">IMSS[[#This Row],[DIAS LAB]]*IMSS[[#This Row],[SDI]]*$Q$115</f>
        <v>163.17808219178079</v>
      </c>
      <c r="R529" s="163">
        <f ca="1">IMSS[[#This Row],[DIAS LAB]]*IMSS[[#This Row],[SDI]]*$Q$116</f>
        <v>257.00547945205477</v>
      </c>
      <c r="S529" s="163">
        <f ca="1">IMSS[[#This Row],[DIAS LAB]]*IMSS[[#This Row],[SDI]]*$Q$117</f>
        <v>407.945205479452</v>
      </c>
      <c r="T529" s="164">
        <f ca="1">SUM(IMSS[[#This Row],[P RSG TRB]:[P INFONAVIT]])</f>
        <v>1956.7822252054791</v>
      </c>
      <c r="U529" s="163">
        <f ca="1">IMSS[[#This Row],[DIAS LAB]]*IMSS[[#This Row],[SDI]]*IMSS[[#This Row],[% RSG]]*$R$108</f>
        <v>0</v>
      </c>
      <c r="V529" s="163">
        <f ca="1">IMSS[[#This Row],[DIAS LAB]]*IMSS[[#This Row],[SDI]]*$R$112</f>
        <v>20.397260273972599</v>
      </c>
      <c r="W529" s="163"/>
      <c r="X529" s="163">
        <f ca="1">IMSS[[#This Row],[DIAS LAB]]*IMSS[[#This Row],[SDI]]*$R$113</f>
        <v>51.40109589041095</v>
      </c>
      <c r="Y529" s="163">
        <f ca="1">IMSS[[#This Row],[DIAS LAB]]*IMSS[[#This Row],[SDI]]*$R$114</f>
        <v>0</v>
      </c>
      <c r="Z529" s="163">
        <f ca="1">IMSS[[#This Row],[DIAS LAB]]*IMSS[[#This Row],[SDI]]*$R$115</f>
        <v>0</v>
      </c>
      <c r="AA529" s="163">
        <f ca="1">IMSS[[#This Row],[DIAS LAB]]*IMSS[[#This Row],[SDI]]*$R$116</f>
        <v>92.19561643835614</v>
      </c>
      <c r="AB529" s="163">
        <f ca="1">IMSS[[#This Row],[DIAS LAB]]*IMSS[[#This Row],[SDI]]*$R$117</f>
        <v>0</v>
      </c>
      <c r="AC529" s="247">
        <f ca="1">SUM(IMSS[[#This Row],[O RSG TRB]:[O INFONAVIT]])</f>
        <v>163.99397260273969</v>
      </c>
      <c r="AD529" s="163"/>
      <c r="AE529" s="165">
        <f ca="1">IMSS[[#This Row],[P TOTAL]]+IMSS[[#This Row],[O TOTAL]]</f>
        <v>2120.776197808219</v>
      </c>
      <c r="AF529" s="163"/>
      <c r="AG529" s="163">
        <f>VLOOKUP(IMSS[[#This Row],[SUE MENS]],$AG$110:$AJ$120,1,1)</f>
        <v>5470.93</v>
      </c>
      <c r="AH529" s="163">
        <f>IMSS[[#This Row],[SUE MENS]]-IMSS[[#This Row],[LIM INF]]</f>
        <v>1974.0699999999997</v>
      </c>
      <c r="AI529" s="163">
        <f>IMSS[[#This Row],[EXC LIM INF]]*(VLOOKUP(IMSS[[#This Row],[LIM INF]],$AG$110:$AJ$120,4,0))</f>
        <v>214.77881599999998</v>
      </c>
      <c r="AJ529" s="163">
        <f>VLOOKUP(IMSS[[#This Row],[LIM INF]],$AG$110:$AJ$120,3)</f>
        <v>321.26</v>
      </c>
      <c r="AK529" s="163">
        <f>SUM(IMSS[[#This Row],[TASA EXC]]+IMSS[[#This Row],[CUOTA FIJA]])</f>
        <v>536.038816</v>
      </c>
      <c r="AL529" s="163">
        <f>VLOOKUP(IMSS[[#This Row],[SUE MENS]],$AL$110:$AN$120,3,1)</f>
        <v>0</v>
      </c>
      <c r="AM529" s="248">
        <f>IF(IMSS[[#This Row],[ISR CARGO]]-IMSS[[#This Row],[SUBS ISR]]&gt;0,IMSS[[#This Row],[ISR CARGO]]-IMSS[[#This Row],[SUBS ISR]],0)</f>
        <v>536.038816</v>
      </c>
      <c r="AN529" s="248">
        <f>IF(IMSS[[#This Row],[SUBS ISR]]-IMSS[[#This Row],[ISR CARGO]]&gt;0,IMSS[[#This Row],[SUBS ISR]]-IMSS[[#This Row],[ISR CARGO]],0)</f>
        <v>0</v>
      </c>
    </row>
    <row r="530" spans="3:40" ht="15" hidden="1" customHeight="1" x14ac:dyDescent="0.25">
      <c r="C530" s="243">
        <v>618</v>
      </c>
      <c r="D530" s="167" t="str">
        <f>VLOOKUP(IMSS[[#This Row],[NEM]],BDD[],2,0)</f>
        <v>Brayan Campos Hernández</v>
      </c>
      <c r="E530" s="167" t="str">
        <f>VLOOKUP(IMSS[[#This Row],[NEM]],BDD[],9,0)</f>
        <v>AUDIT ADMN</v>
      </c>
      <c r="F530" s="168">
        <v>30</v>
      </c>
      <c r="G530" s="139">
        <f>VLOOKUP(IMSS[[#This Row],[NEM]],BDD[],3,0)</f>
        <v>7445</v>
      </c>
      <c r="H530" s="139">
        <f ca="1">VLOOKUP(IMSS[[#This Row],[NEM]],BDD[],25,0)</f>
        <v>271.96347031963467</v>
      </c>
      <c r="I530" s="143">
        <f>VLOOKUP(IMSS[[#This Row],[DEPT]],$B$3:$G$49,6,0)</f>
        <v>5.4355000000000002E-3</v>
      </c>
      <c r="J530" s="163">
        <f ca="1">IMSS[[#This Row],[DIAS LAB]]*IMSS[[#This Row],[SDI]]*IMSS[[#This Row],[% RSG]]*$Q$108</f>
        <v>44.347723287671229</v>
      </c>
      <c r="K530" s="163">
        <f>IMSS[[#This Row],[DIAS LAB]]*$J$110*$Q$109</f>
        <v>548.47440000000006</v>
      </c>
      <c r="L530" s="166">
        <f ca="1">IMSS[[#This Row],[DIAS LAB]]*IF(IMSS[[#This Row],[SDI]]-$J$113&gt;0,IMSS[[#This Row],[SDI]]-$J$113,0)*$Q$110</f>
        <v>1.0241452054794353</v>
      </c>
      <c r="M530" s="166">
        <f ca="1">IMSS[[#This Row],[DIAS LAB]]*IMSS[[#This Row],[SDI]]*$Q$111</f>
        <v>85.668493150684924</v>
      </c>
      <c r="N530" s="163">
        <f ca="1">IMSS[[#This Row],[DIAS LAB]]*IMSS[[#This Row],[SDI]]*$Q$112</f>
        <v>57.11232876712328</v>
      </c>
      <c r="O530" s="166">
        <f ca="1">IMSS[[#This Row],[DIAS LAB]]*IMSS[[#This Row],[SDI]]*$Q$113</f>
        <v>142.7808219178082</v>
      </c>
      <c r="P530" s="163">
        <f ca="1">IMSS[[#This Row],[DIAS LAB]]*IMSS[[#This Row],[SDI]]*$Q$114</f>
        <v>81.589041095890394</v>
      </c>
      <c r="Q530" s="166">
        <f ca="1">IMSS[[#This Row],[DIAS LAB]]*IMSS[[#This Row],[SDI]]*$Q$115</f>
        <v>163.17808219178079</v>
      </c>
      <c r="R530" s="163">
        <f ca="1">IMSS[[#This Row],[DIAS LAB]]*IMSS[[#This Row],[SDI]]*$Q$116</f>
        <v>257.00547945205477</v>
      </c>
      <c r="S530" s="163">
        <f ca="1">IMSS[[#This Row],[DIAS LAB]]*IMSS[[#This Row],[SDI]]*$Q$117</f>
        <v>407.945205479452</v>
      </c>
      <c r="T530" s="164">
        <f ca="1">SUM(IMSS[[#This Row],[P RSG TRB]:[P INFONAVIT]])</f>
        <v>1789.1257205479449</v>
      </c>
      <c r="U530" s="163">
        <f ca="1">IMSS[[#This Row],[DIAS LAB]]*IMSS[[#This Row],[SDI]]*IMSS[[#This Row],[% RSG]]*$R$108</f>
        <v>0</v>
      </c>
      <c r="V530" s="163">
        <f ca="1">IMSS[[#This Row],[DIAS LAB]]*IMSS[[#This Row],[SDI]]*$R$112</f>
        <v>20.397260273972599</v>
      </c>
      <c r="W530" s="163"/>
      <c r="X530" s="163">
        <f ca="1">IMSS[[#This Row],[DIAS LAB]]*IMSS[[#This Row],[SDI]]*$R$113</f>
        <v>51.40109589041095</v>
      </c>
      <c r="Y530" s="163">
        <f ca="1">IMSS[[#This Row],[DIAS LAB]]*IMSS[[#This Row],[SDI]]*$R$114</f>
        <v>0</v>
      </c>
      <c r="Z530" s="163">
        <f ca="1">IMSS[[#This Row],[DIAS LAB]]*IMSS[[#This Row],[SDI]]*$R$115</f>
        <v>0</v>
      </c>
      <c r="AA530" s="163">
        <f ca="1">IMSS[[#This Row],[DIAS LAB]]*IMSS[[#This Row],[SDI]]*$R$116</f>
        <v>92.19561643835614</v>
      </c>
      <c r="AB530" s="163">
        <f ca="1">IMSS[[#This Row],[DIAS LAB]]*IMSS[[#This Row],[SDI]]*$R$117</f>
        <v>0</v>
      </c>
      <c r="AC530" s="247">
        <f ca="1">SUM(IMSS[[#This Row],[O RSG TRB]:[O INFONAVIT]])</f>
        <v>163.99397260273969</v>
      </c>
      <c r="AD530" s="163"/>
      <c r="AE530" s="165">
        <f ca="1">IMSS[[#This Row],[P TOTAL]]+IMSS[[#This Row],[O TOTAL]]</f>
        <v>1953.1196931506845</v>
      </c>
      <c r="AF530" s="163"/>
      <c r="AG530" s="163">
        <f>VLOOKUP(IMSS[[#This Row],[SUE MENS]],$AG$110:$AJ$120,1,1)</f>
        <v>5470.93</v>
      </c>
      <c r="AH530" s="163">
        <f>IMSS[[#This Row],[SUE MENS]]-IMSS[[#This Row],[LIM INF]]</f>
        <v>1974.0699999999997</v>
      </c>
      <c r="AI530" s="163">
        <f>IMSS[[#This Row],[EXC LIM INF]]*(VLOOKUP(IMSS[[#This Row],[LIM INF]],$AG$110:$AJ$120,4,0))</f>
        <v>214.77881599999998</v>
      </c>
      <c r="AJ530" s="163">
        <f>VLOOKUP(IMSS[[#This Row],[LIM INF]],$AG$110:$AJ$120,3)</f>
        <v>321.26</v>
      </c>
      <c r="AK530" s="163">
        <f>SUM(IMSS[[#This Row],[TASA EXC]]+IMSS[[#This Row],[CUOTA FIJA]])</f>
        <v>536.038816</v>
      </c>
      <c r="AL530" s="163">
        <f>VLOOKUP(IMSS[[#This Row],[SUE MENS]],$AL$110:$AN$120,3,1)</f>
        <v>0</v>
      </c>
      <c r="AM530" s="248">
        <f>IF(IMSS[[#This Row],[ISR CARGO]]-IMSS[[#This Row],[SUBS ISR]]&gt;0,IMSS[[#This Row],[ISR CARGO]]-IMSS[[#This Row],[SUBS ISR]],0)</f>
        <v>536.038816</v>
      </c>
      <c r="AN530" s="248">
        <f>IF(IMSS[[#This Row],[SUBS ISR]]-IMSS[[#This Row],[ISR CARGO]]&gt;0,IMSS[[#This Row],[SUBS ISR]]-IMSS[[#This Row],[ISR CARGO]],0)</f>
        <v>0</v>
      </c>
    </row>
    <row r="531" spans="3:40" ht="15" hidden="1" customHeight="1" x14ac:dyDescent="0.25">
      <c r="C531" s="243">
        <v>619</v>
      </c>
      <c r="D531" s="167" t="str">
        <f>VLOOKUP(IMSS[[#This Row],[NEM]],BDD[],2,0)</f>
        <v>Daniela Evangelista Gutierrez</v>
      </c>
      <c r="E531" s="167" t="str">
        <f>VLOOKUP(IMSS[[#This Row],[NEM]],BDD[],9,0)</f>
        <v>ADMINCIÓN</v>
      </c>
      <c r="F531" s="168">
        <v>30</v>
      </c>
      <c r="G531" s="139">
        <f>VLOOKUP(IMSS[[#This Row],[NEM]],BDD[],3,0)</f>
        <v>6778</v>
      </c>
      <c r="H531" s="139">
        <f ca="1">VLOOKUP(IMSS[[#This Row],[NEM]],BDD[],25,0)</f>
        <v>236.76575342465753</v>
      </c>
      <c r="I531" s="143">
        <f>VLOOKUP(IMSS[[#This Row],[DEPT]],$B$3:$G$49,6,0)</f>
        <v>5.4355000000000002E-3</v>
      </c>
      <c r="J531" s="163">
        <f ca="1">IMSS[[#This Row],[DIAS LAB]]*IMSS[[#This Row],[SDI]]*IMSS[[#This Row],[% RSG]]*$Q$108</f>
        <v>38.608207582191781</v>
      </c>
      <c r="K531" s="163">
        <f>IMSS[[#This Row],[DIAS LAB]]*$J$110*$Q$109</f>
        <v>548.47440000000006</v>
      </c>
      <c r="L531" s="166">
        <f ca="1">IMSS[[#This Row],[DIAS LAB]]*IF(IMSS[[#This Row],[SDI]]-$J$113&gt;0,IMSS[[#This Row],[SDI]]-$J$113,0)*$Q$110</f>
        <v>0</v>
      </c>
      <c r="M531" s="166">
        <f ca="1">IMSS[[#This Row],[DIAS LAB]]*IMSS[[#This Row],[SDI]]*$Q$111</f>
        <v>74.581212328767137</v>
      </c>
      <c r="N531" s="163">
        <f ca="1">IMSS[[#This Row],[DIAS LAB]]*IMSS[[#This Row],[SDI]]*$Q$112</f>
        <v>49.720808219178089</v>
      </c>
      <c r="O531" s="166">
        <f ca="1">IMSS[[#This Row],[DIAS LAB]]*IMSS[[#This Row],[SDI]]*$Q$113</f>
        <v>124.30202054794522</v>
      </c>
      <c r="P531" s="163">
        <f ca="1">IMSS[[#This Row],[DIAS LAB]]*IMSS[[#This Row],[SDI]]*$Q$114</f>
        <v>71.02972602739726</v>
      </c>
      <c r="Q531" s="166">
        <f ca="1">IMSS[[#This Row],[DIAS LAB]]*IMSS[[#This Row],[SDI]]*$Q$115</f>
        <v>142.05945205479452</v>
      </c>
      <c r="R531" s="163">
        <f ca="1">IMSS[[#This Row],[DIAS LAB]]*IMSS[[#This Row],[SDI]]*$Q$116</f>
        <v>223.7436369863014</v>
      </c>
      <c r="S531" s="163">
        <f ca="1">IMSS[[#This Row],[DIAS LAB]]*IMSS[[#This Row],[SDI]]*$Q$117</f>
        <v>355.14863013698636</v>
      </c>
      <c r="T531" s="164">
        <f ca="1">SUM(IMSS[[#This Row],[P RSG TRB]:[P INFONAVIT]])</f>
        <v>1627.6680938835618</v>
      </c>
      <c r="U531" s="163">
        <f ca="1">IMSS[[#This Row],[DIAS LAB]]*IMSS[[#This Row],[SDI]]*IMSS[[#This Row],[% RSG]]*$R$108</f>
        <v>0</v>
      </c>
      <c r="V531" s="163">
        <f ca="1">IMSS[[#This Row],[DIAS LAB]]*IMSS[[#This Row],[SDI]]*$R$112</f>
        <v>17.757431506849315</v>
      </c>
      <c r="W531" s="163"/>
      <c r="X531" s="163">
        <f ca="1">IMSS[[#This Row],[DIAS LAB]]*IMSS[[#This Row],[SDI]]*$R$113</f>
        <v>44.748727397260275</v>
      </c>
      <c r="Y531" s="163">
        <f ca="1">IMSS[[#This Row],[DIAS LAB]]*IMSS[[#This Row],[SDI]]*$R$114</f>
        <v>0</v>
      </c>
      <c r="Z531" s="163">
        <f ca="1">IMSS[[#This Row],[DIAS LAB]]*IMSS[[#This Row],[SDI]]*$R$115</f>
        <v>0</v>
      </c>
      <c r="AA531" s="163">
        <f ca="1">IMSS[[#This Row],[DIAS LAB]]*IMSS[[#This Row],[SDI]]*$R$116</f>
        <v>80.263590410958898</v>
      </c>
      <c r="AB531" s="163">
        <f ca="1">IMSS[[#This Row],[DIAS LAB]]*IMSS[[#This Row],[SDI]]*$R$117</f>
        <v>0</v>
      </c>
      <c r="AC531" s="247">
        <f ca="1">SUM(IMSS[[#This Row],[O RSG TRB]:[O INFONAVIT]])</f>
        <v>142.76974931506848</v>
      </c>
      <c r="AD531" s="163"/>
      <c r="AE531" s="165">
        <f ca="1">IMSS[[#This Row],[P TOTAL]]+IMSS[[#This Row],[O TOTAL]]</f>
        <v>1770.4378431986304</v>
      </c>
      <c r="AF531" s="163"/>
      <c r="AG531" s="163">
        <f>VLOOKUP(IMSS[[#This Row],[SUE MENS]],$AG$110:$AJ$120,1,1)</f>
        <v>5470.93</v>
      </c>
      <c r="AH531" s="163">
        <f>IMSS[[#This Row],[SUE MENS]]-IMSS[[#This Row],[LIM INF]]</f>
        <v>1307.0699999999997</v>
      </c>
      <c r="AI531" s="163">
        <f>IMSS[[#This Row],[EXC LIM INF]]*(VLOOKUP(IMSS[[#This Row],[LIM INF]],$AG$110:$AJ$120,4,0))</f>
        <v>142.20921599999997</v>
      </c>
      <c r="AJ531" s="163">
        <f>VLOOKUP(IMSS[[#This Row],[LIM INF]],$AG$110:$AJ$120,3)</f>
        <v>321.26</v>
      </c>
      <c r="AK531" s="163">
        <f>SUM(IMSS[[#This Row],[TASA EXC]]+IMSS[[#This Row],[CUOTA FIJA]])</f>
        <v>463.46921599999996</v>
      </c>
      <c r="AL531" s="163">
        <f>VLOOKUP(IMSS[[#This Row],[SUE MENS]],$AL$110:$AN$120,3,1)</f>
        <v>253.54</v>
      </c>
      <c r="AM531" s="248">
        <f>IF(IMSS[[#This Row],[ISR CARGO]]-IMSS[[#This Row],[SUBS ISR]]&gt;0,IMSS[[#This Row],[ISR CARGO]]-IMSS[[#This Row],[SUBS ISR]],0)</f>
        <v>209.92921599999997</v>
      </c>
      <c r="AN531" s="248">
        <f>IF(IMSS[[#This Row],[SUBS ISR]]-IMSS[[#This Row],[ISR CARGO]]&gt;0,IMSS[[#This Row],[SUBS ISR]]-IMSS[[#This Row],[ISR CARGO]],0)</f>
        <v>0</v>
      </c>
    </row>
    <row r="532" spans="3:40" ht="15" hidden="1" customHeight="1" x14ac:dyDescent="0.25">
      <c r="C532" s="243">
        <v>621</v>
      </c>
      <c r="D532" s="167" t="str">
        <f>VLOOKUP(IMSS[[#This Row],[NEM]],BDD[],2,0)</f>
        <v>Fatima Jaqueline Reyna Vazquez</v>
      </c>
      <c r="E532" s="167" t="str">
        <f>VLOOKUP(IMSS[[#This Row],[NEM]],BDD[],9,0)</f>
        <v>MATERIALES</v>
      </c>
      <c r="F532" s="168">
        <v>30</v>
      </c>
      <c r="G532" s="139">
        <f>VLOOKUP(IMSS[[#This Row],[NEM]],BDD[],3,0)</f>
        <v>9450</v>
      </c>
      <c r="H532" s="139">
        <f ca="1">VLOOKUP(IMSS[[#This Row],[NEM]],BDD[],25,0)</f>
        <v>345.20547945205476</v>
      </c>
      <c r="I532" s="143">
        <f>VLOOKUP(IMSS[[#This Row],[DEPT]],$B$3:$G$49,6,0)</f>
        <v>4.6532499999999997E-2</v>
      </c>
      <c r="J532" s="163">
        <f ca="1">IMSS[[#This Row],[DIAS LAB]]*IMSS[[#This Row],[SDI]]*IMSS[[#This Row],[% RSG]]*$Q$108</f>
        <v>481.89821917808212</v>
      </c>
      <c r="K532" s="163">
        <f>IMSS[[#This Row],[DIAS LAB]]*$J$110*$Q$109</f>
        <v>548.47440000000006</v>
      </c>
      <c r="L532" s="166">
        <f ca="1">IMSS[[#This Row],[DIAS LAB]]*IF(IMSS[[#This Row],[SDI]]-$J$113&gt;0,IMSS[[#This Row],[SDI]]-$J$113,0)*$Q$110</f>
        <v>25.194008219178063</v>
      </c>
      <c r="M532" s="166">
        <f ca="1">IMSS[[#This Row],[DIAS LAB]]*IMSS[[#This Row],[SDI]]*$Q$111</f>
        <v>108.73972602739727</v>
      </c>
      <c r="N532" s="163">
        <f ca="1">IMSS[[#This Row],[DIAS LAB]]*IMSS[[#This Row],[SDI]]*$Q$112</f>
        <v>72.493150684931507</v>
      </c>
      <c r="O532" s="166">
        <f ca="1">IMSS[[#This Row],[DIAS LAB]]*IMSS[[#This Row],[SDI]]*$Q$113</f>
        <v>181.23287671232876</v>
      </c>
      <c r="P532" s="163">
        <f ca="1">IMSS[[#This Row],[DIAS LAB]]*IMSS[[#This Row],[SDI]]*$Q$114</f>
        <v>103.56164383561644</v>
      </c>
      <c r="Q532" s="166">
        <f ca="1">IMSS[[#This Row],[DIAS LAB]]*IMSS[[#This Row],[SDI]]*$Q$115</f>
        <v>207.12328767123287</v>
      </c>
      <c r="R532" s="163">
        <f ca="1">IMSS[[#This Row],[DIAS LAB]]*IMSS[[#This Row],[SDI]]*$Q$116</f>
        <v>326.21917808219177</v>
      </c>
      <c r="S532" s="163">
        <f ca="1">IMSS[[#This Row],[DIAS LAB]]*IMSS[[#This Row],[SDI]]*$Q$117</f>
        <v>517.80821917808214</v>
      </c>
      <c r="T532" s="164">
        <f ca="1">SUM(IMSS[[#This Row],[P RSG TRB]:[P INFONAVIT]])</f>
        <v>2572.7447095890411</v>
      </c>
      <c r="U532" s="163">
        <f ca="1">IMSS[[#This Row],[DIAS LAB]]*IMSS[[#This Row],[SDI]]*IMSS[[#This Row],[% RSG]]*$R$108</f>
        <v>0</v>
      </c>
      <c r="V532" s="163">
        <f ca="1">IMSS[[#This Row],[DIAS LAB]]*IMSS[[#This Row],[SDI]]*$R$112</f>
        <v>25.890410958904109</v>
      </c>
      <c r="W532" s="163"/>
      <c r="X532" s="163">
        <f ca="1">IMSS[[#This Row],[DIAS LAB]]*IMSS[[#This Row],[SDI]]*$R$113</f>
        <v>65.243835616438346</v>
      </c>
      <c r="Y532" s="163">
        <f ca="1">IMSS[[#This Row],[DIAS LAB]]*IMSS[[#This Row],[SDI]]*$R$114</f>
        <v>0</v>
      </c>
      <c r="Z532" s="163">
        <f ca="1">IMSS[[#This Row],[DIAS LAB]]*IMSS[[#This Row],[SDI]]*$R$115</f>
        <v>0</v>
      </c>
      <c r="AA532" s="163">
        <f ca="1">IMSS[[#This Row],[DIAS LAB]]*IMSS[[#This Row],[SDI]]*$R$116</f>
        <v>117.02465753424656</v>
      </c>
      <c r="AB532" s="163">
        <f ca="1">IMSS[[#This Row],[DIAS LAB]]*IMSS[[#This Row],[SDI]]*$R$117</f>
        <v>0</v>
      </c>
      <c r="AC532" s="247">
        <f ca="1">SUM(IMSS[[#This Row],[O RSG TRB]:[O INFONAVIT]])</f>
        <v>208.158904109589</v>
      </c>
      <c r="AD532" s="163"/>
      <c r="AE532" s="165">
        <f ca="1">IMSS[[#This Row],[P TOTAL]]+IMSS[[#This Row],[O TOTAL]]</f>
        <v>2780.9036136986301</v>
      </c>
      <c r="AF532" s="163"/>
      <c r="AG532" s="163">
        <f>VLOOKUP(IMSS[[#This Row],[SUE MENS]],$AG$110:$AJ$120,1,1)</f>
        <v>5470.93</v>
      </c>
      <c r="AH532" s="163">
        <f>IMSS[[#This Row],[SUE MENS]]-IMSS[[#This Row],[LIM INF]]</f>
        <v>3979.0699999999997</v>
      </c>
      <c r="AI532" s="163">
        <f>IMSS[[#This Row],[EXC LIM INF]]*(VLOOKUP(IMSS[[#This Row],[LIM INF]],$AG$110:$AJ$120,4,0))</f>
        <v>432.92281600000001</v>
      </c>
      <c r="AJ532" s="163">
        <f>VLOOKUP(IMSS[[#This Row],[LIM INF]],$AG$110:$AJ$120,3)</f>
        <v>321.26</v>
      </c>
      <c r="AK532" s="163">
        <f>SUM(IMSS[[#This Row],[TASA EXC]]+IMSS[[#This Row],[CUOTA FIJA]])</f>
        <v>754.182816</v>
      </c>
      <c r="AL532" s="163">
        <f>VLOOKUP(IMSS[[#This Row],[SUE MENS]],$AL$110:$AN$120,3,1)</f>
        <v>0</v>
      </c>
      <c r="AM532" s="248">
        <f>IF(IMSS[[#This Row],[ISR CARGO]]-IMSS[[#This Row],[SUBS ISR]]&gt;0,IMSS[[#This Row],[ISR CARGO]]-IMSS[[#This Row],[SUBS ISR]],0)</f>
        <v>754.182816</v>
      </c>
      <c r="AN532" s="248">
        <f>IF(IMSS[[#This Row],[SUBS ISR]]-IMSS[[#This Row],[ISR CARGO]]&gt;0,IMSS[[#This Row],[SUBS ISR]]-IMSS[[#This Row],[ISR CARGO]],0)</f>
        <v>0</v>
      </c>
    </row>
    <row r="533" spans="3:40" ht="15" hidden="1" customHeight="1" x14ac:dyDescent="0.25">
      <c r="C533" s="243">
        <v>625</v>
      </c>
      <c r="D533" s="167" t="str">
        <f>VLOOKUP(IMSS[[#This Row],[NEM]],BDD[],2,0)</f>
        <v>José Francisco Florentino</v>
      </c>
      <c r="E533" s="167" t="str">
        <f>VLOOKUP(IMSS[[#This Row],[NEM]],BDD[],9,0)</f>
        <v>RENDER</v>
      </c>
      <c r="F533" s="168">
        <v>30</v>
      </c>
      <c r="G533" s="139">
        <f>VLOOKUP(IMSS[[#This Row],[NEM]],BDD[],3,0)</f>
        <v>10860</v>
      </c>
      <c r="H533" s="139">
        <f ca="1">VLOOKUP(IMSS[[#This Row],[NEM]],BDD[],25,0)</f>
        <v>396.71232876712327</v>
      </c>
      <c r="I533" s="143">
        <f>VLOOKUP(IMSS[[#This Row],[DEPT]],$B$3:$G$49,6,0)</f>
        <v>2.5984400000000001E-2</v>
      </c>
      <c r="J533" s="163">
        <f ca="1">IMSS[[#This Row],[DIAS LAB]]*IMSS[[#This Row],[SDI]]*IMSS[[#This Row],[% RSG]]*$Q$108</f>
        <v>309.24995506849319</v>
      </c>
      <c r="K533" s="163">
        <f>IMSS[[#This Row],[DIAS LAB]]*$J$110*$Q$109</f>
        <v>548.47440000000006</v>
      </c>
      <c r="L533" s="166">
        <f ca="1">IMSS[[#This Row],[DIAS LAB]]*IF(IMSS[[#This Row],[SDI]]-$J$113&gt;0,IMSS[[#This Row],[SDI]]-$J$113,0)*$Q$110</f>
        <v>42.191268493150673</v>
      </c>
      <c r="M533" s="166">
        <f ca="1">IMSS[[#This Row],[DIAS LAB]]*IMSS[[#This Row],[SDI]]*$Q$111</f>
        <v>124.96438356164384</v>
      </c>
      <c r="N533" s="163">
        <f ca="1">IMSS[[#This Row],[DIAS LAB]]*IMSS[[#This Row],[SDI]]*$Q$112</f>
        <v>83.30958904109589</v>
      </c>
      <c r="O533" s="166">
        <f ca="1">IMSS[[#This Row],[DIAS LAB]]*IMSS[[#This Row],[SDI]]*$Q$113</f>
        <v>208.27397260273975</v>
      </c>
      <c r="P533" s="163">
        <f ca="1">IMSS[[#This Row],[DIAS LAB]]*IMSS[[#This Row],[SDI]]*$Q$114</f>
        <v>119.01369863013699</v>
      </c>
      <c r="Q533" s="166">
        <f ca="1">IMSS[[#This Row],[DIAS LAB]]*IMSS[[#This Row],[SDI]]*$Q$115</f>
        <v>238.02739726027397</v>
      </c>
      <c r="R533" s="163">
        <f ca="1">IMSS[[#This Row],[DIAS LAB]]*IMSS[[#This Row],[SDI]]*$Q$116</f>
        <v>374.89315068493153</v>
      </c>
      <c r="S533" s="163">
        <f ca="1">IMSS[[#This Row],[DIAS LAB]]*IMSS[[#This Row],[SDI]]*$Q$117</f>
        <v>595.06849315068496</v>
      </c>
      <c r="T533" s="164">
        <f ca="1">SUM(IMSS[[#This Row],[P RSG TRB]:[P INFONAVIT]])</f>
        <v>2643.4663084931508</v>
      </c>
      <c r="U533" s="163">
        <f ca="1">IMSS[[#This Row],[DIAS LAB]]*IMSS[[#This Row],[SDI]]*IMSS[[#This Row],[% RSG]]*$R$108</f>
        <v>0</v>
      </c>
      <c r="V533" s="163">
        <f ca="1">IMSS[[#This Row],[DIAS LAB]]*IMSS[[#This Row],[SDI]]*$R$112</f>
        <v>29.753424657534246</v>
      </c>
      <c r="W533" s="163"/>
      <c r="X533" s="163">
        <f ca="1">IMSS[[#This Row],[DIAS LAB]]*IMSS[[#This Row],[SDI]]*$R$113</f>
        <v>74.978630136986297</v>
      </c>
      <c r="Y533" s="163">
        <f ca="1">IMSS[[#This Row],[DIAS LAB]]*IMSS[[#This Row],[SDI]]*$R$114</f>
        <v>0</v>
      </c>
      <c r="Z533" s="163">
        <f ca="1">IMSS[[#This Row],[DIAS LAB]]*IMSS[[#This Row],[SDI]]*$R$115</f>
        <v>0</v>
      </c>
      <c r="AA533" s="163">
        <f ca="1">IMSS[[#This Row],[DIAS LAB]]*IMSS[[#This Row],[SDI]]*$R$116</f>
        <v>134.48547945205479</v>
      </c>
      <c r="AB533" s="163">
        <f ca="1">IMSS[[#This Row],[DIAS LAB]]*IMSS[[#This Row],[SDI]]*$R$117</f>
        <v>0</v>
      </c>
      <c r="AC533" s="247">
        <f ca="1">SUM(IMSS[[#This Row],[O RSG TRB]:[O INFONAVIT]])</f>
        <v>239.21753424657533</v>
      </c>
      <c r="AD533" s="163"/>
      <c r="AE533" s="165">
        <f ca="1">IMSS[[#This Row],[P TOTAL]]+IMSS[[#This Row],[O TOTAL]]</f>
        <v>2882.6838427397261</v>
      </c>
      <c r="AF533" s="163"/>
      <c r="AG533" s="163">
        <f>VLOOKUP(IMSS[[#This Row],[SUE MENS]],$AG$110:$AJ$120,1,1)</f>
        <v>9614.67</v>
      </c>
      <c r="AH533" s="163">
        <f>IMSS[[#This Row],[SUE MENS]]-IMSS[[#This Row],[LIM INF]]</f>
        <v>1245.33</v>
      </c>
      <c r="AI533" s="163">
        <f>IMSS[[#This Row],[EXC LIM INF]]*(VLOOKUP(IMSS[[#This Row],[LIM INF]],$AG$110:$AJ$120,4,0))</f>
        <v>199.25279999999998</v>
      </c>
      <c r="AJ533" s="163">
        <f>VLOOKUP(IMSS[[#This Row],[LIM INF]],$AG$110:$AJ$120,3)</f>
        <v>772.1</v>
      </c>
      <c r="AK533" s="163">
        <f>SUM(IMSS[[#This Row],[TASA EXC]]+IMSS[[#This Row],[CUOTA FIJA]])</f>
        <v>971.3528</v>
      </c>
      <c r="AL533" s="163">
        <f>VLOOKUP(IMSS[[#This Row],[SUE MENS]],$AL$110:$AN$120,3,1)</f>
        <v>0</v>
      </c>
      <c r="AM533" s="248">
        <f>IF(IMSS[[#This Row],[ISR CARGO]]-IMSS[[#This Row],[SUBS ISR]]&gt;0,IMSS[[#This Row],[ISR CARGO]]-IMSS[[#This Row],[SUBS ISR]],0)</f>
        <v>971.3528</v>
      </c>
      <c r="AN533" s="248">
        <f>IF(IMSS[[#This Row],[SUBS ISR]]-IMSS[[#This Row],[ISR CARGO]]&gt;0,IMSS[[#This Row],[SUBS ISR]]-IMSS[[#This Row],[ISR CARGO]],0)</f>
        <v>0</v>
      </c>
    </row>
    <row r="534" spans="3:40" ht="15" hidden="1" customHeight="1" x14ac:dyDescent="0.25">
      <c r="C534" s="243">
        <v>626</v>
      </c>
      <c r="D534" s="167" t="str">
        <f>VLOOKUP(IMSS[[#This Row],[NEM]],BDD[],2,0)</f>
        <v>Erika Beatriz Rodriguez Arista</v>
      </c>
      <c r="E534" s="167" t="str">
        <f>VLOOKUP(IMSS[[#This Row],[NEM]],BDD[],9,0)</f>
        <v>ESTRUCTURA</v>
      </c>
      <c r="F534" s="168">
        <v>30</v>
      </c>
      <c r="G534" s="139">
        <f>VLOOKUP(IMSS[[#This Row],[NEM]],BDD[],3,0)</f>
        <v>27150</v>
      </c>
      <c r="H534" s="139">
        <f ca="1">VLOOKUP(IMSS[[#This Row],[NEM]],BDD[],25,0)</f>
        <v>991.78082191780811</v>
      </c>
      <c r="I534" s="143">
        <f>VLOOKUP(IMSS[[#This Row],[DEPT]],$B$3:$G$49,6,0)</f>
        <v>2.5984400000000001E-2</v>
      </c>
      <c r="J534" s="163">
        <f ca="1">IMSS[[#This Row],[DIAS LAB]]*IMSS[[#This Row],[SDI]]*IMSS[[#This Row],[% RSG]]*$Q$108</f>
        <v>773.12488767123284</v>
      </c>
      <c r="K534" s="163">
        <f>IMSS[[#This Row],[DIAS LAB]]*$J$110*$Q$109</f>
        <v>548.47440000000006</v>
      </c>
      <c r="L534" s="166">
        <f ca="1">IMSS[[#This Row],[DIAS LAB]]*IF(IMSS[[#This Row],[SDI]]-$J$113&gt;0,IMSS[[#This Row],[SDI]]-$J$113,0)*$Q$110</f>
        <v>238.56387123287666</v>
      </c>
      <c r="M534" s="166">
        <f ca="1">IMSS[[#This Row],[DIAS LAB]]*IMSS[[#This Row],[SDI]]*$Q$111</f>
        <v>312.41095890410958</v>
      </c>
      <c r="N534" s="163">
        <f ca="1">IMSS[[#This Row],[DIAS LAB]]*IMSS[[#This Row],[SDI]]*$Q$112</f>
        <v>208.27397260273972</v>
      </c>
      <c r="O534" s="166">
        <f ca="1">IMSS[[#This Row],[DIAS LAB]]*IMSS[[#This Row],[SDI]]*$Q$113</f>
        <v>520.68493150684935</v>
      </c>
      <c r="P534" s="163">
        <f ca="1">IMSS[[#This Row],[DIAS LAB]]*IMSS[[#This Row],[SDI]]*$Q$114</f>
        <v>297.53424657534242</v>
      </c>
      <c r="Q534" s="166">
        <f ca="1">IMSS[[#This Row],[DIAS LAB]]*IMSS[[#This Row],[SDI]]*$Q$115</f>
        <v>595.06849315068484</v>
      </c>
      <c r="R534" s="163">
        <f ca="1">IMSS[[#This Row],[DIAS LAB]]*IMSS[[#This Row],[SDI]]*$Q$116</f>
        <v>937.23287671232868</v>
      </c>
      <c r="S534" s="163">
        <f ca="1">IMSS[[#This Row],[DIAS LAB]]*IMSS[[#This Row],[SDI]]*$Q$117</f>
        <v>1487.6712328767123</v>
      </c>
      <c r="T534" s="164">
        <f ca="1">SUM(IMSS[[#This Row],[P RSG TRB]:[P INFONAVIT]])</f>
        <v>5919.039871232877</v>
      </c>
      <c r="U534" s="163">
        <f ca="1">IMSS[[#This Row],[DIAS LAB]]*IMSS[[#This Row],[SDI]]*IMSS[[#This Row],[% RSG]]*$R$108</f>
        <v>0</v>
      </c>
      <c r="V534" s="163">
        <f ca="1">IMSS[[#This Row],[DIAS LAB]]*IMSS[[#This Row],[SDI]]*$R$112</f>
        <v>74.383561643835606</v>
      </c>
      <c r="W534" s="163"/>
      <c r="X534" s="163">
        <f ca="1">IMSS[[#This Row],[DIAS LAB]]*IMSS[[#This Row],[SDI]]*$R$113</f>
        <v>187.44657534246574</v>
      </c>
      <c r="Y534" s="163">
        <f ca="1">IMSS[[#This Row],[DIAS LAB]]*IMSS[[#This Row],[SDI]]*$R$114</f>
        <v>0</v>
      </c>
      <c r="Z534" s="163">
        <f ca="1">IMSS[[#This Row],[DIAS LAB]]*IMSS[[#This Row],[SDI]]*$R$115</f>
        <v>0</v>
      </c>
      <c r="AA534" s="163">
        <f ca="1">IMSS[[#This Row],[DIAS LAB]]*IMSS[[#This Row],[SDI]]*$R$116</f>
        <v>336.21369863013695</v>
      </c>
      <c r="AB534" s="163">
        <f ca="1">IMSS[[#This Row],[DIAS LAB]]*IMSS[[#This Row],[SDI]]*$R$117</f>
        <v>0</v>
      </c>
      <c r="AC534" s="247">
        <f ca="1">SUM(IMSS[[#This Row],[O RSG TRB]:[O INFONAVIT]])</f>
        <v>598.04383561643829</v>
      </c>
      <c r="AD534" s="163"/>
      <c r="AE534" s="165">
        <f ca="1">IMSS[[#This Row],[P TOTAL]]+IMSS[[#This Row],[O TOTAL]]</f>
        <v>6517.0837068493156</v>
      </c>
      <c r="AF534" s="163"/>
      <c r="AG534" s="163">
        <f>VLOOKUP(IMSS[[#This Row],[SUE MENS]],$AG$110:$AJ$120,1,1)</f>
        <v>26988.51</v>
      </c>
      <c r="AH534" s="163">
        <f>IMSS[[#This Row],[SUE MENS]]-IMSS[[#This Row],[LIM INF]]</f>
        <v>161.4900000000016</v>
      </c>
      <c r="AI534" s="163">
        <f>IMSS[[#This Row],[EXC LIM INF]]*(VLOOKUP(IMSS[[#This Row],[LIM INF]],$AG$110:$AJ$120,4,0))</f>
        <v>37.982448000000375</v>
      </c>
      <c r="AJ534" s="163">
        <f>VLOOKUP(IMSS[[#This Row],[LIM INF]],$AG$110:$AJ$120,3)</f>
        <v>4323.58</v>
      </c>
      <c r="AK534" s="163">
        <f>SUM(IMSS[[#This Row],[TASA EXC]]+IMSS[[#This Row],[CUOTA FIJA]])</f>
        <v>4361.5624480000006</v>
      </c>
      <c r="AL534" s="163">
        <f>VLOOKUP(IMSS[[#This Row],[SUE MENS]],$AL$110:$AN$120,3,1)</f>
        <v>0</v>
      </c>
      <c r="AM534" s="248">
        <f>IF(IMSS[[#This Row],[ISR CARGO]]-IMSS[[#This Row],[SUBS ISR]]&gt;0,IMSS[[#This Row],[ISR CARGO]]-IMSS[[#This Row],[SUBS ISR]],0)</f>
        <v>4361.5624480000006</v>
      </c>
      <c r="AN534" s="248">
        <f>IF(IMSS[[#This Row],[SUBS ISR]]-IMSS[[#This Row],[ISR CARGO]]&gt;0,IMSS[[#This Row],[SUBS ISR]]-IMSS[[#This Row],[ISR CARGO]],0)</f>
        <v>0</v>
      </c>
    </row>
    <row r="535" spans="3:40" ht="15" hidden="1" customHeight="1" x14ac:dyDescent="0.25">
      <c r="C535" s="243">
        <v>628</v>
      </c>
      <c r="D535" s="167" t="str">
        <f>VLOOKUP(IMSS[[#This Row],[NEM]],BDD[],2,0)</f>
        <v>Felipa Hernandez Castro</v>
      </c>
      <c r="E535" s="167" t="str">
        <f>VLOOKUP(IMSS[[#This Row],[NEM]],BDD[],9,0)</f>
        <v>ARQUITECT</v>
      </c>
      <c r="F535" s="168">
        <v>30</v>
      </c>
      <c r="G535" s="139">
        <f>VLOOKUP(IMSS[[#This Row],[NEM]],BDD[],3,0)</f>
        <v>9541</v>
      </c>
      <c r="H535" s="139">
        <f ca="1">VLOOKUP(IMSS[[#This Row],[NEM]],BDD[],25,0)</f>
        <v>348.52968036529683</v>
      </c>
      <c r="I535" s="143">
        <f>VLOOKUP(IMSS[[#This Row],[DEPT]],$B$3:$G$49,6,0)</f>
        <v>2.5984400000000001E-2</v>
      </c>
      <c r="J535" s="163">
        <f ca="1">IMSS[[#This Row],[DIAS LAB]]*IMSS[[#This Row],[SDI]]*IMSS[[#This Row],[% RSG]]*$Q$108</f>
        <v>271.6900387945206</v>
      </c>
      <c r="K535" s="163">
        <f>IMSS[[#This Row],[DIAS LAB]]*$J$110*$Q$109</f>
        <v>548.47440000000006</v>
      </c>
      <c r="L535" s="166">
        <f ca="1">IMSS[[#This Row],[DIAS LAB]]*IF(IMSS[[#This Row],[SDI]]-$J$113&gt;0,IMSS[[#This Row],[SDI]]-$J$113,0)*$Q$110</f>
        <v>26.290994520547951</v>
      </c>
      <c r="M535" s="166">
        <f ca="1">IMSS[[#This Row],[DIAS LAB]]*IMSS[[#This Row],[SDI]]*$Q$111</f>
        <v>109.78684931506852</v>
      </c>
      <c r="N535" s="163">
        <f ca="1">IMSS[[#This Row],[DIAS LAB]]*IMSS[[#This Row],[SDI]]*$Q$112</f>
        <v>73.191232876712348</v>
      </c>
      <c r="O535" s="166">
        <f ca="1">IMSS[[#This Row],[DIAS LAB]]*IMSS[[#This Row],[SDI]]*$Q$113</f>
        <v>182.97808219178086</v>
      </c>
      <c r="P535" s="163">
        <f ca="1">IMSS[[#This Row],[DIAS LAB]]*IMSS[[#This Row],[SDI]]*$Q$114</f>
        <v>104.55890410958907</v>
      </c>
      <c r="Q535" s="166">
        <f ca="1">IMSS[[#This Row],[DIAS LAB]]*IMSS[[#This Row],[SDI]]*$Q$115</f>
        <v>209.11780821917813</v>
      </c>
      <c r="R535" s="163">
        <f ca="1">IMSS[[#This Row],[DIAS LAB]]*IMSS[[#This Row],[SDI]]*$Q$116</f>
        <v>329.36054794520555</v>
      </c>
      <c r="S535" s="163">
        <f ca="1">IMSS[[#This Row],[DIAS LAB]]*IMSS[[#This Row],[SDI]]*$Q$117</f>
        <v>522.79452054794535</v>
      </c>
      <c r="T535" s="164">
        <f ca="1">SUM(IMSS[[#This Row],[P RSG TRB]:[P INFONAVIT]])</f>
        <v>2378.2433785205485</v>
      </c>
      <c r="U535" s="163">
        <f ca="1">IMSS[[#This Row],[DIAS LAB]]*IMSS[[#This Row],[SDI]]*IMSS[[#This Row],[% RSG]]*$R$108</f>
        <v>0</v>
      </c>
      <c r="V535" s="163">
        <f ca="1">IMSS[[#This Row],[DIAS LAB]]*IMSS[[#This Row],[SDI]]*$R$112</f>
        <v>26.139726027397266</v>
      </c>
      <c r="W535" s="163"/>
      <c r="X535" s="163">
        <f ca="1">IMSS[[#This Row],[DIAS LAB]]*IMSS[[#This Row],[SDI]]*$R$113</f>
        <v>65.872109589041102</v>
      </c>
      <c r="Y535" s="163">
        <f ca="1">IMSS[[#This Row],[DIAS LAB]]*IMSS[[#This Row],[SDI]]*$R$114</f>
        <v>0</v>
      </c>
      <c r="Z535" s="163">
        <f ca="1">IMSS[[#This Row],[DIAS LAB]]*IMSS[[#This Row],[SDI]]*$R$115</f>
        <v>0</v>
      </c>
      <c r="AA535" s="163">
        <f ca="1">IMSS[[#This Row],[DIAS LAB]]*IMSS[[#This Row],[SDI]]*$R$116</f>
        <v>118.15156164383562</v>
      </c>
      <c r="AB535" s="163">
        <f ca="1">IMSS[[#This Row],[DIAS LAB]]*IMSS[[#This Row],[SDI]]*$R$117</f>
        <v>0</v>
      </c>
      <c r="AC535" s="247">
        <f ca="1">SUM(IMSS[[#This Row],[O RSG TRB]:[O INFONAVIT]])</f>
        <v>210.163397260274</v>
      </c>
      <c r="AD535" s="163"/>
      <c r="AE535" s="165">
        <f ca="1">IMSS[[#This Row],[P TOTAL]]+IMSS[[#This Row],[O TOTAL]]</f>
        <v>2588.4067757808225</v>
      </c>
      <c r="AF535" s="163"/>
      <c r="AG535" s="163">
        <f>VLOOKUP(IMSS[[#This Row],[SUE MENS]],$AG$110:$AJ$120,1,1)</f>
        <v>5470.93</v>
      </c>
      <c r="AH535" s="163">
        <f>IMSS[[#This Row],[SUE MENS]]-IMSS[[#This Row],[LIM INF]]</f>
        <v>4070.0699999999997</v>
      </c>
      <c r="AI535" s="163">
        <f>IMSS[[#This Row],[EXC LIM INF]]*(VLOOKUP(IMSS[[#This Row],[LIM INF]],$AG$110:$AJ$120,4,0))</f>
        <v>442.82361600000002</v>
      </c>
      <c r="AJ535" s="163">
        <f>VLOOKUP(IMSS[[#This Row],[LIM INF]],$AG$110:$AJ$120,3)</f>
        <v>321.26</v>
      </c>
      <c r="AK535" s="163">
        <f>SUM(IMSS[[#This Row],[TASA EXC]]+IMSS[[#This Row],[CUOTA FIJA]])</f>
        <v>764.08361600000001</v>
      </c>
      <c r="AL535" s="163">
        <f>VLOOKUP(IMSS[[#This Row],[SUE MENS]],$AL$110:$AN$120,3,1)</f>
        <v>0</v>
      </c>
      <c r="AM535" s="248">
        <f>IF(IMSS[[#This Row],[ISR CARGO]]-IMSS[[#This Row],[SUBS ISR]]&gt;0,IMSS[[#This Row],[ISR CARGO]]-IMSS[[#This Row],[SUBS ISR]],0)</f>
        <v>764.08361600000001</v>
      </c>
      <c r="AN535" s="248">
        <f>IF(IMSS[[#This Row],[SUBS ISR]]-IMSS[[#This Row],[ISR CARGO]]&gt;0,IMSS[[#This Row],[SUBS ISR]]-IMSS[[#This Row],[ISR CARGO]],0)</f>
        <v>0</v>
      </c>
    </row>
    <row r="536" spans="3:40" ht="15" hidden="1" customHeight="1" x14ac:dyDescent="0.25">
      <c r="C536" s="243">
        <v>629</v>
      </c>
      <c r="D536" s="167" t="str">
        <f>VLOOKUP(IMSS[[#This Row],[NEM]],BDD[],2,0)</f>
        <v>Monserrat Montoya Nájera</v>
      </c>
      <c r="E536" s="167" t="str">
        <f>VLOOKUP(IMSS[[#This Row],[NEM]],BDD[],9,0)</f>
        <v>ANLIS COST</v>
      </c>
      <c r="F536" s="168">
        <v>30</v>
      </c>
      <c r="G536" s="139">
        <f>VLOOKUP(IMSS[[#This Row],[NEM]],BDD[],3,0)</f>
        <v>9450</v>
      </c>
      <c r="H536" s="139">
        <f ca="1">VLOOKUP(IMSS[[#This Row],[NEM]],BDD[],25,0)</f>
        <v>345.20547945205476</v>
      </c>
      <c r="I536" s="143">
        <f>VLOOKUP(IMSS[[#This Row],[DEPT]],$B$3:$G$49,6,0)</f>
        <v>1.130658E-2</v>
      </c>
      <c r="J536" s="163">
        <f ca="1">IMSS[[#This Row],[DIAS LAB]]*IMSS[[#This Row],[SDI]]*IMSS[[#This Row],[% RSG]]*$Q$108</f>
        <v>117.09280109589041</v>
      </c>
      <c r="K536" s="163">
        <f>IMSS[[#This Row],[DIAS LAB]]*$J$110*$Q$109</f>
        <v>548.47440000000006</v>
      </c>
      <c r="L536" s="166">
        <f ca="1">IMSS[[#This Row],[DIAS LAB]]*IF(IMSS[[#This Row],[SDI]]-$J$113&gt;0,IMSS[[#This Row],[SDI]]-$J$113,0)*$Q$110</f>
        <v>25.194008219178063</v>
      </c>
      <c r="M536" s="166">
        <f ca="1">IMSS[[#This Row],[DIAS LAB]]*IMSS[[#This Row],[SDI]]*$Q$111</f>
        <v>108.73972602739727</v>
      </c>
      <c r="N536" s="163">
        <f ca="1">IMSS[[#This Row],[DIAS LAB]]*IMSS[[#This Row],[SDI]]*$Q$112</f>
        <v>72.493150684931507</v>
      </c>
      <c r="O536" s="166">
        <f ca="1">IMSS[[#This Row],[DIAS LAB]]*IMSS[[#This Row],[SDI]]*$Q$113</f>
        <v>181.23287671232876</v>
      </c>
      <c r="P536" s="163">
        <f ca="1">IMSS[[#This Row],[DIAS LAB]]*IMSS[[#This Row],[SDI]]*$Q$114</f>
        <v>103.56164383561644</v>
      </c>
      <c r="Q536" s="166">
        <f ca="1">IMSS[[#This Row],[DIAS LAB]]*IMSS[[#This Row],[SDI]]*$Q$115</f>
        <v>207.12328767123287</v>
      </c>
      <c r="R536" s="163">
        <f ca="1">IMSS[[#This Row],[DIAS LAB]]*IMSS[[#This Row],[SDI]]*$Q$116</f>
        <v>326.21917808219177</v>
      </c>
      <c r="S536" s="163">
        <f ca="1">IMSS[[#This Row],[DIAS LAB]]*IMSS[[#This Row],[SDI]]*$Q$117</f>
        <v>517.80821917808214</v>
      </c>
      <c r="T536" s="164">
        <f ca="1">SUM(IMSS[[#This Row],[P RSG TRB]:[P INFONAVIT]])</f>
        <v>2207.9392915068493</v>
      </c>
      <c r="U536" s="163">
        <f ca="1">IMSS[[#This Row],[DIAS LAB]]*IMSS[[#This Row],[SDI]]*IMSS[[#This Row],[% RSG]]*$R$108</f>
        <v>0</v>
      </c>
      <c r="V536" s="163">
        <f ca="1">IMSS[[#This Row],[DIAS LAB]]*IMSS[[#This Row],[SDI]]*$R$112</f>
        <v>25.890410958904109</v>
      </c>
      <c r="W536" s="163"/>
      <c r="X536" s="163">
        <f ca="1">IMSS[[#This Row],[DIAS LAB]]*IMSS[[#This Row],[SDI]]*$R$113</f>
        <v>65.243835616438346</v>
      </c>
      <c r="Y536" s="163">
        <f ca="1">IMSS[[#This Row],[DIAS LAB]]*IMSS[[#This Row],[SDI]]*$R$114</f>
        <v>0</v>
      </c>
      <c r="Z536" s="163">
        <f ca="1">IMSS[[#This Row],[DIAS LAB]]*IMSS[[#This Row],[SDI]]*$R$115</f>
        <v>0</v>
      </c>
      <c r="AA536" s="163">
        <f ca="1">IMSS[[#This Row],[DIAS LAB]]*IMSS[[#This Row],[SDI]]*$R$116</f>
        <v>117.02465753424656</v>
      </c>
      <c r="AB536" s="163">
        <f ca="1">IMSS[[#This Row],[DIAS LAB]]*IMSS[[#This Row],[SDI]]*$R$117</f>
        <v>0</v>
      </c>
      <c r="AC536" s="247">
        <f ca="1">SUM(IMSS[[#This Row],[O RSG TRB]:[O INFONAVIT]])</f>
        <v>208.158904109589</v>
      </c>
      <c r="AD536" s="163"/>
      <c r="AE536" s="165">
        <f ca="1">IMSS[[#This Row],[P TOTAL]]+IMSS[[#This Row],[O TOTAL]]</f>
        <v>2416.0981956164383</v>
      </c>
      <c r="AF536" s="163"/>
      <c r="AG536" s="163">
        <f>VLOOKUP(IMSS[[#This Row],[SUE MENS]],$AG$110:$AJ$120,1,1)</f>
        <v>5470.93</v>
      </c>
      <c r="AH536" s="163">
        <f>IMSS[[#This Row],[SUE MENS]]-IMSS[[#This Row],[LIM INF]]</f>
        <v>3979.0699999999997</v>
      </c>
      <c r="AI536" s="163">
        <f>IMSS[[#This Row],[EXC LIM INF]]*(VLOOKUP(IMSS[[#This Row],[LIM INF]],$AG$110:$AJ$120,4,0))</f>
        <v>432.92281600000001</v>
      </c>
      <c r="AJ536" s="163">
        <f>VLOOKUP(IMSS[[#This Row],[LIM INF]],$AG$110:$AJ$120,3)</f>
        <v>321.26</v>
      </c>
      <c r="AK536" s="163">
        <f>SUM(IMSS[[#This Row],[TASA EXC]]+IMSS[[#This Row],[CUOTA FIJA]])</f>
        <v>754.182816</v>
      </c>
      <c r="AL536" s="163">
        <f>VLOOKUP(IMSS[[#This Row],[SUE MENS]],$AL$110:$AN$120,3,1)</f>
        <v>0</v>
      </c>
      <c r="AM536" s="248">
        <f>IF(IMSS[[#This Row],[ISR CARGO]]-IMSS[[#This Row],[SUBS ISR]]&gt;0,IMSS[[#This Row],[ISR CARGO]]-IMSS[[#This Row],[SUBS ISR]],0)</f>
        <v>754.182816</v>
      </c>
      <c r="AN536" s="248">
        <f>IF(IMSS[[#This Row],[SUBS ISR]]-IMSS[[#This Row],[ISR CARGO]]&gt;0,IMSS[[#This Row],[SUBS ISR]]-IMSS[[#This Row],[ISR CARGO]],0)</f>
        <v>0</v>
      </c>
    </row>
    <row r="537" spans="3:40" ht="15" hidden="1" customHeight="1" x14ac:dyDescent="0.25">
      <c r="C537" s="243">
        <v>631</v>
      </c>
      <c r="D537" s="167" t="str">
        <f>VLOOKUP(IMSS[[#This Row],[NEM]],BDD[],2,0)</f>
        <v>Ricardo Reyes Sayago</v>
      </c>
      <c r="E537" s="167" t="str">
        <f>VLOOKUP(IMSS[[#This Row],[NEM]],BDD[],9,0)</f>
        <v>INST CAMPO</v>
      </c>
      <c r="F537" s="168">
        <v>30</v>
      </c>
      <c r="G537" s="139">
        <f>VLOOKUP(IMSS[[#This Row],[NEM]],BDD[],3,0)</f>
        <v>6778</v>
      </c>
      <c r="H537" s="139">
        <f ca="1">VLOOKUP(IMSS[[#This Row],[NEM]],BDD[],25,0)</f>
        <v>236.76575342465753</v>
      </c>
      <c r="I537" s="143">
        <f>VLOOKUP(IMSS[[#This Row],[DEPT]],$B$3:$G$49,6,0)</f>
        <v>4.6532499999999997E-2</v>
      </c>
      <c r="J537" s="163">
        <f ca="1">IMSS[[#This Row],[DIAS LAB]]*IMSS[[#This Row],[SDI]]*IMSS[[#This Row],[% RSG]]*$Q$108</f>
        <v>330.51907263698632</v>
      </c>
      <c r="K537" s="163">
        <f>IMSS[[#This Row],[DIAS LAB]]*$J$110*$Q$109</f>
        <v>548.47440000000006</v>
      </c>
      <c r="L537" s="166">
        <f ca="1">IMSS[[#This Row],[DIAS LAB]]*IF(IMSS[[#This Row],[SDI]]-$J$113&gt;0,IMSS[[#This Row],[SDI]]-$J$113,0)*$Q$110</f>
        <v>0</v>
      </c>
      <c r="M537" s="166">
        <f ca="1">IMSS[[#This Row],[DIAS LAB]]*IMSS[[#This Row],[SDI]]*$Q$111</f>
        <v>74.581212328767137</v>
      </c>
      <c r="N537" s="163">
        <f ca="1">IMSS[[#This Row],[DIAS LAB]]*IMSS[[#This Row],[SDI]]*$Q$112</f>
        <v>49.720808219178089</v>
      </c>
      <c r="O537" s="166">
        <f ca="1">IMSS[[#This Row],[DIAS LAB]]*IMSS[[#This Row],[SDI]]*$Q$113</f>
        <v>124.30202054794522</v>
      </c>
      <c r="P537" s="163">
        <f ca="1">IMSS[[#This Row],[DIAS LAB]]*IMSS[[#This Row],[SDI]]*$Q$114</f>
        <v>71.02972602739726</v>
      </c>
      <c r="Q537" s="166">
        <f ca="1">IMSS[[#This Row],[DIAS LAB]]*IMSS[[#This Row],[SDI]]*$Q$115</f>
        <v>142.05945205479452</v>
      </c>
      <c r="R537" s="163">
        <f ca="1">IMSS[[#This Row],[DIAS LAB]]*IMSS[[#This Row],[SDI]]*$Q$116</f>
        <v>223.7436369863014</v>
      </c>
      <c r="S537" s="163">
        <f ca="1">IMSS[[#This Row],[DIAS LAB]]*IMSS[[#This Row],[SDI]]*$Q$117</f>
        <v>355.14863013698636</v>
      </c>
      <c r="T537" s="164">
        <f ca="1">SUM(IMSS[[#This Row],[P RSG TRB]:[P INFONAVIT]])</f>
        <v>1919.5789589383567</v>
      </c>
      <c r="U537" s="163">
        <f ca="1">IMSS[[#This Row],[DIAS LAB]]*IMSS[[#This Row],[SDI]]*IMSS[[#This Row],[% RSG]]*$R$108</f>
        <v>0</v>
      </c>
      <c r="V537" s="163">
        <f ca="1">IMSS[[#This Row],[DIAS LAB]]*IMSS[[#This Row],[SDI]]*$R$112</f>
        <v>17.757431506849315</v>
      </c>
      <c r="W537" s="163"/>
      <c r="X537" s="163">
        <f ca="1">IMSS[[#This Row],[DIAS LAB]]*IMSS[[#This Row],[SDI]]*$R$113</f>
        <v>44.748727397260275</v>
      </c>
      <c r="Y537" s="163">
        <f ca="1">IMSS[[#This Row],[DIAS LAB]]*IMSS[[#This Row],[SDI]]*$R$114</f>
        <v>0</v>
      </c>
      <c r="Z537" s="163">
        <f ca="1">IMSS[[#This Row],[DIAS LAB]]*IMSS[[#This Row],[SDI]]*$R$115</f>
        <v>0</v>
      </c>
      <c r="AA537" s="163">
        <f ca="1">IMSS[[#This Row],[DIAS LAB]]*IMSS[[#This Row],[SDI]]*$R$116</f>
        <v>80.263590410958898</v>
      </c>
      <c r="AB537" s="163">
        <f ca="1">IMSS[[#This Row],[DIAS LAB]]*IMSS[[#This Row],[SDI]]*$R$117</f>
        <v>0</v>
      </c>
      <c r="AC537" s="247">
        <f ca="1">SUM(IMSS[[#This Row],[O RSG TRB]:[O INFONAVIT]])</f>
        <v>142.76974931506848</v>
      </c>
      <c r="AD537" s="163"/>
      <c r="AE537" s="165">
        <f ca="1">IMSS[[#This Row],[P TOTAL]]+IMSS[[#This Row],[O TOTAL]]</f>
        <v>2062.3487082534252</v>
      </c>
      <c r="AF537" s="163"/>
      <c r="AG537" s="163">
        <f>VLOOKUP(IMSS[[#This Row],[SUE MENS]],$AG$110:$AJ$120,1,1)</f>
        <v>5470.93</v>
      </c>
      <c r="AH537" s="163">
        <f>IMSS[[#This Row],[SUE MENS]]-IMSS[[#This Row],[LIM INF]]</f>
        <v>1307.0699999999997</v>
      </c>
      <c r="AI537" s="163">
        <f>IMSS[[#This Row],[EXC LIM INF]]*(VLOOKUP(IMSS[[#This Row],[LIM INF]],$AG$110:$AJ$120,4,0))</f>
        <v>142.20921599999997</v>
      </c>
      <c r="AJ537" s="163">
        <f>VLOOKUP(IMSS[[#This Row],[LIM INF]],$AG$110:$AJ$120,3)</f>
        <v>321.26</v>
      </c>
      <c r="AK537" s="163">
        <f>SUM(IMSS[[#This Row],[TASA EXC]]+IMSS[[#This Row],[CUOTA FIJA]])</f>
        <v>463.46921599999996</v>
      </c>
      <c r="AL537" s="163">
        <f>VLOOKUP(IMSS[[#This Row],[SUE MENS]],$AL$110:$AN$120,3,1)</f>
        <v>253.54</v>
      </c>
      <c r="AM537" s="248">
        <f>IF(IMSS[[#This Row],[ISR CARGO]]-IMSS[[#This Row],[SUBS ISR]]&gt;0,IMSS[[#This Row],[ISR CARGO]]-IMSS[[#This Row],[SUBS ISR]],0)</f>
        <v>209.92921599999997</v>
      </c>
      <c r="AN537" s="248">
        <f>IF(IMSS[[#This Row],[SUBS ISR]]-IMSS[[#This Row],[ISR CARGO]]&gt;0,IMSS[[#This Row],[SUBS ISR]]-IMSS[[#This Row],[ISR CARGO]],0)</f>
        <v>0</v>
      </c>
    </row>
    <row r="538" spans="3:40" ht="15" hidden="1" customHeight="1" x14ac:dyDescent="0.25">
      <c r="C538" s="243">
        <v>632</v>
      </c>
      <c r="D538" s="139" t="str">
        <f>VLOOKUP(IMSS[[#This Row],[NEM]],BDD[],2,0)</f>
        <v>Karla Alejandra Ortiz Hernandez</v>
      </c>
      <c r="E538" s="139" t="str">
        <f>VLOOKUP(IMSS[[#This Row],[NEM]],BDD[],9,0)</f>
        <v>RENDER</v>
      </c>
      <c r="F538" s="168">
        <v>30</v>
      </c>
      <c r="G538" s="139">
        <f>VLOOKUP(IMSS[[#This Row],[NEM]],BDD[],3,0)</f>
        <v>9450</v>
      </c>
      <c r="H538" s="139">
        <f ca="1">VLOOKUP(IMSS[[#This Row],[NEM]],BDD[],25,0)</f>
        <v>345.20547945205476</v>
      </c>
      <c r="I538" s="143">
        <f>VLOOKUP(IMSS[[#This Row],[DEPT]],$B$3:$G$49,6,0)</f>
        <v>2.5984400000000001E-2</v>
      </c>
      <c r="J538" s="163">
        <f ca="1">IMSS[[#This Row],[DIAS LAB]]*IMSS[[#This Row],[SDI]]*IMSS[[#This Row],[% RSG]]*$Q$108</f>
        <v>269.09871780821919</v>
      </c>
      <c r="K538" s="166">
        <f>IMSS[[#This Row],[DIAS LAB]]*$J$110*$Q$109</f>
        <v>548.47440000000006</v>
      </c>
      <c r="L538" s="163">
        <f ca="1">IMSS[[#This Row],[DIAS LAB]]*IF(IMSS[[#This Row],[SDI]]-$J$113&gt;0,IMSS[[#This Row],[SDI]]-$J$113,0)*$Q$110</f>
        <v>25.194008219178063</v>
      </c>
      <c r="M538" s="163">
        <f ca="1">IMSS[[#This Row],[DIAS LAB]]*IMSS[[#This Row],[SDI]]*$Q$111</f>
        <v>108.73972602739727</v>
      </c>
      <c r="N538" s="163">
        <f ca="1">IMSS[[#This Row],[DIAS LAB]]*IMSS[[#This Row],[SDI]]*$Q$112</f>
        <v>72.493150684931507</v>
      </c>
      <c r="O538" s="163">
        <f ca="1">IMSS[[#This Row],[DIAS LAB]]*IMSS[[#This Row],[SDI]]*$Q$113</f>
        <v>181.23287671232876</v>
      </c>
      <c r="P538" s="163">
        <f ca="1">IMSS[[#This Row],[DIAS LAB]]*IMSS[[#This Row],[SDI]]*$Q$114</f>
        <v>103.56164383561644</v>
      </c>
      <c r="Q538" s="163">
        <f ca="1">IMSS[[#This Row],[DIAS LAB]]*IMSS[[#This Row],[SDI]]*$Q$115</f>
        <v>207.12328767123287</v>
      </c>
      <c r="R538" s="163">
        <f ca="1">IMSS[[#This Row],[DIAS LAB]]*IMSS[[#This Row],[SDI]]*$Q$116</f>
        <v>326.21917808219177</v>
      </c>
      <c r="S538" s="163">
        <f ca="1">IMSS[[#This Row],[DIAS LAB]]*IMSS[[#This Row],[SDI]]*$Q$117</f>
        <v>517.80821917808214</v>
      </c>
      <c r="T538" s="164">
        <f ca="1">SUM(IMSS[[#This Row],[P RSG TRB]:[P INFONAVIT]])</f>
        <v>2359.9452082191783</v>
      </c>
      <c r="U538" s="163">
        <f ca="1">IMSS[[#This Row],[DIAS LAB]]*IMSS[[#This Row],[SDI]]*IMSS[[#This Row],[% RSG]]*$R$108</f>
        <v>0</v>
      </c>
      <c r="V538" s="163">
        <f ca="1">IMSS[[#This Row],[DIAS LAB]]*IMSS[[#This Row],[SDI]]*$R$112</f>
        <v>25.890410958904109</v>
      </c>
      <c r="W538" s="163"/>
      <c r="X538" s="163">
        <f ca="1">IMSS[[#This Row],[DIAS LAB]]*IMSS[[#This Row],[SDI]]*$R$113</f>
        <v>65.243835616438346</v>
      </c>
      <c r="Y538" s="163">
        <f ca="1">IMSS[[#This Row],[DIAS LAB]]*IMSS[[#This Row],[SDI]]*$R$114</f>
        <v>0</v>
      </c>
      <c r="Z538" s="163">
        <f ca="1">IMSS[[#This Row],[DIAS LAB]]*IMSS[[#This Row],[SDI]]*$R$115</f>
        <v>0</v>
      </c>
      <c r="AA538" s="163">
        <f ca="1">IMSS[[#This Row],[DIAS LAB]]*IMSS[[#This Row],[SDI]]*$R$116</f>
        <v>117.02465753424656</v>
      </c>
      <c r="AB538" s="163">
        <f ca="1">IMSS[[#This Row],[DIAS LAB]]*IMSS[[#This Row],[SDI]]*$R$117</f>
        <v>0</v>
      </c>
      <c r="AC538" s="247">
        <f ca="1">SUM(IMSS[[#This Row],[O RSG TRB]:[O INFONAVIT]])</f>
        <v>208.158904109589</v>
      </c>
      <c r="AD538" s="163"/>
      <c r="AE538" s="165">
        <f ca="1">IMSS[[#This Row],[P TOTAL]]+IMSS[[#This Row],[O TOTAL]]</f>
        <v>2568.1041123287673</v>
      </c>
      <c r="AF538" s="163"/>
      <c r="AG538" s="163">
        <f>VLOOKUP(IMSS[[#This Row],[SUE MENS]],$AG$110:$AJ$120,1,1)</f>
        <v>5470.93</v>
      </c>
      <c r="AH538" s="163">
        <f>IMSS[[#This Row],[SUE MENS]]-IMSS[[#This Row],[LIM INF]]</f>
        <v>3979.0699999999997</v>
      </c>
      <c r="AI538" s="163">
        <f>IMSS[[#This Row],[EXC LIM INF]]*(VLOOKUP(IMSS[[#This Row],[LIM INF]],$AG$110:$AJ$120,4,0))</f>
        <v>432.92281600000001</v>
      </c>
      <c r="AJ538" s="163">
        <f>VLOOKUP(IMSS[[#This Row],[LIM INF]],$AG$110:$AJ$120,3)</f>
        <v>321.26</v>
      </c>
      <c r="AK538" s="163">
        <f>SUM(IMSS[[#This Row],[TASA EXC]]+IMSS[[#This Row],[CUOTA FIJA]])</f>
        <v>754.182816</v>
      </c>
      <c r="AL538" s="163">
        <f>VLOOKUP(IMSS[[#This Row],[SUE MENS]],$AL$110:$AN$120,3,1)</f>
        <v>0</v>
      </c>
      <c r="AM538" s="248">
        <f>IF(IMSS[[#This Row],[ISR CARGO]]-IMSS[[#This Row],[SUBS ISR]]&gt;0,IMSS[[#This Row],[ISR CARGO]]-IMSS[[#This Row],[SUBS ISR]],0)</f>
        <v>754.182816</v>
      </c>
      <c r="AN538" s="248">
        <f>IF(IMSS[[#This Row],[SUBS ISR]]-IMSS[[#This Row],[ISR CARGO]]&gt;0,IMSS[[#This Row],[SUBS ISR]]-IMSS[[#This Row],[ISR CARGO]],0)</f>
        <v>0</v>
      </c>
    </row>
    <row r="539" spans="3:40" ht="15" hidden="1" customHeight="1" x14ac:dyDescent="0.25">
      <c r="C539" s="243">
        <v>634</v>
      </c>
      <c r="D539" s="167" t="str">
        <f>VLOOKUP(IMSS[[#This Row],[NEM]],BDD[],2,0)</f>
        <v>Dulce Elizabeth Santos Martínez</v>
      </c>
      <c r="E539" s="167" t="str">
        <f>VLOOKUP(IMSS[[#This Row],[NEM]],BDD[],9,0)</f>
        <v>AUDIT ADMN</v>
      </c>
      <c r="F539" s="168">
        <v>30</v>
      </c>
      <c r="G539" s="139">
        <f>VLOOKUP(IMSS[[#This Row],[NEM]],BDD[],3,0)</f>
        <v>7445</v>
      </c>
      <c r="H539" s="139">
        <f ca="1">VLOOKUP(IMSS[[#This Row],[NEM]],BDD[],25,0)</f>
        <v>271.96347031963467</v>
      </c>
      <c r="I539" s="143">
        <f>VLOOKUP(IMSS[[#This Row],[DEPT]],$B$3:$G$49,6,0)</f>
        <v>5.4355000000000002E-3</v>
      </c>
      <c r="J539" s="163">
        <f ca="1">IMSS[[#This Row],[DIAS LAB]]*IMSS[[#This Row],[SDI]]*IMSS[[#This Row],[% RSG]]*$Q$108</f>
        <v>44.347723287671229</v>
      </c>
      <c r="K539" s="163">
        <f>IMSS[[#This Row],[DIAS LAB]]*$J$110*$Q$109</f>
        <v>548.47440000000006</v>
      </c>
      <c r="L539" s="166">
        <f ca="1">IMSS[[#This Row],[DIAS LAB]]*IF(IMSS[[#This Row],[SDI]]-$J$113&gt;0,IMSS[[#This Row],[SDI]]-$J$113,0)*$Q$110</f>
        <v>1.0241452054794353</v>
      </c>
      <c r="M539" s="166">
        <f ca="1">IMSS[[#This Row],[DIAS LAB]]*IMSS[[#This Row],[SDI]]*$Q$111</f>
        <v>85.668493150684924</v>
      </c>
      <c r="N539" s="163">
        <f ca="1">IMSS[[#This Row],[DIAS LAB]]*IMSS[[#This Row],[SDI]]*$Q$112</f>
        <v>57.11232876712328</v>
      </c>
      <c r="O539" s="166">
        <f ca="1">IMSS[[#This Row],[DIAS LAB]]*IMSS[[#This Row],[SDI]]*$Q$113</f>
        <v>142.7808219178082</v>
      </c>
      <c r="P539" s="163">
        <f ca="1">IMSS[[#This Row],[DIAS LAB]]*IMSS[[#This Row],[SDI]]*$Q$114</f>
        <v>81.589041095890394</v>
      </c>
      <c r="Q539" s="166">
        <f ca="1">IMSS[[#This Row],[DIAS LAB]]*IMSS[[#This Row],[SDI]]*$Q$115</f>
        <v>163.17808219178079</v>
      </c>
      <c r="R539" s="163">
        <f ca="1">IMSS[[#This Row],[DIAS LAB]]*IMSS[[#This Row],[SDI]]*$Q$116</f>
        <v>257.00547945205477</v>
      </c>
      <c r="S539" s="163">
        <f ca="1">IMSS[[#This Row],[DIAS LAB]]*IMSS[[#This Row],[SDI]]*$Q$117</f>
        <v>407.945205479452</v>
      </c>
      <c r="T539" s="164">
        <f ca="1">SUM(IMSS[[#This Row],[P RSG TRB]:[P INFONAVIT]])</f>
        <v>1789.1257205479449</v>
      </c>
      <c r="U539" s="163">
        <f ca="1">IMSS[[#This Row],[DIAS LAB]]*IMSS[[#This Row],[SDI]]*IMSS[[#This Row],[% RSG]]*$R$108</f>
        <v>0</v>
      </c>
      <c r="V539" s="163">
        <f ca="1">IMSS[[#This Row],[DIAS LAB]]*IMSS[[#This Row],[SDI]]*$R$112</f>
        <v>20.397260273972599</v>
      </c>
      <c r="W539" s="163"/>
      <c r="X539" s="163">
        <f ca="1">IMSS[[#This Row],[DIAS LAB]]*IMSS[[#This Row],[SDI]]*$R$113</f>
        <v>51.40109589041095</v>
      </c>
      <c r="Y539" s="163">
        <f ca="1">IMSS[[#This Row],[DIAS LAB]]*IMSS[[#This Row],[SDI]]*$R$114</f>
        <v>0</v>
      </c>
      <c r="Z539" s="163">
        <f ca="1">IMSS[[#This Row],[DIAS LAB]]*IMSS[[#This Row],[SDI]]*$R$115</f>
        <v>0</v>
      </c>
      <c r="AA539" s="163">
        <f ca="1">IMSS[[#This Row],[DIAS LAB]]*IMSS[[#This Row],[SDI]]*$R$116</f>
        <v>92.19561643835614</v>
      </c>
      <c r="AB539" s="163">
        <f ca="1">IMSS[[#This Row],[DIAS LAB]]*IMSS[[#This Row],[SDI]]*$R$117</f>
        <v>0</v>
      </c>
      <c r="AC539" s="247">
        <f ca="1">SUM(IMSS[[#This Row],[O RSG TRB]:[O INFONAVIT]])</f>
        <v>163.99397260273969</v>
      </c>
      <c r="AD539" s="163"/>
      <c r="AE539" s="165">
        <f ca="1">IMSS[[#This Row],[P TOTAL]]+IMSS[[#This Row],[O TOTAL]]</f>
        <v>1953.1196931506845</v>
      </c>
      <c r="AF539" s="163"/>
      <c r="AG539" s="163">
        <f>VLOOKUP(IMSS[[#This Row],[SUE MENS]],$AG$110:$AJ$120,1,1)</f>
        <v>5470.93</v>
      </c>
      <c r="AH539" s="163">
        <f>IMSS[[#This Row],[SUE MENS]]-IMSS[[#This Row],[LIM INF]]</f>
        <v>1974.0699999999997</v>
      </c>
      <c r="AI539" s="163">
        <f>IMSS[[#This Row],[EXC LIM INF]]*(VLOOKUP(IMSS[[#This Row],[LIM INF]],$AG$110:$AJ$120,4,0))</f>
        <v>214.77881599999998</v>
      </c>
      <c r="AJ539" s="163">
        <f>VLOOKUP(IMSS[[#This Row],[LIM INF]],$AG$110:$AJ$120,3)</f>
        <v>321.26</v>
      </c>
      <c r="AK539" s="163">
        <f>SUM(IMSS[[#This Row],[TASA EXC]]+IMSS[[#This Row],[CUOTA FIJA]])</f>
        <v>536.038816</v>
      </c>
      <c r="AL539" s="163">
        <f>VLOOKUP(IMSS[[#This Row],[SUE MENS]],$AL$110:$AN$120,3,1)</f>
        <v>0</v>
      </c>
      <c r="AM539" s="248">
        <f>IF(IMSS[[#This Row],[ISR CARGO]]-IMSS[[#This Row],[SUBS ISR]]&gt;0,IMSS[[#This Row],[ISR CARGO]]-IMSS[[#This Row],[SUBS ISR]],0)</f>
        <v>536.038816</v>
      </c>
      <c r="AN539" s="248">
        <f>IF(IMSS[[#This Row],[SUBS ISR]]-IMSS[[#This Row],[ISR CARGO]]&gt;0,IMSS[[#This Row],[SUBS ISR]]-IMSS[[#This Row],[ISR CARGO]],0)</f>
        <v>0</v>
      </c>
    </row>
    <row r="540" spans="3:40" ht="15" hidden="1" customHeight="1" x14ac:dyDescent="0.25">
      <c r="C540" s="243">
        <v>635</v>
      </c>
      <c r="D540" s="167" t="str">
        <f>VLOOKUP(IMSS[[#This Row],[NEM]],BDD[],2,0)</f>
        <v>Ana Karen Farias Castillo</v>
      </c>
      <c r="E540" s="167" t="str">
        <f>VLOOKUP(IMSS[[#This Row],[NEM]],BDD[],9,0)</f>
        <v>SOFTWARE</v>
      </c>
      <c r="F540" s="168">
        <v>30</v>
      </c>
      <c r="G540" s="139">
        <f>VLOOKUP(IMSS[[#This Row],[NEM]],BDD[],3,0)</f>
        <v>9450</v>
      </c>
      <c r="H540" s="139">
        <f ca="1">VLOOKUP(IMSS[[#This Row],[NEM]],BDD[],25,0)</f>
        <v>345.20547945205476</v>
      </c>
      <c r="I540" s="143">
        <f>VLOOKUP(IMSS[[#This Row],[DEPT]],$B$3:$G$49,6,0)</f>
        <v>1.130658E-2</v>
      </c>
      <c r="J540" s="163">
        <f ca="1">IMSS[[#This Row],[DIAS LAB]]*IMSS[[#This Row],[SDI]]*IMSS[[#This Row],[% RSG]]*$Q$108</f>
        <v>117.09280109589041</v>
      </c>
      <c r="K540" s="163">
        <f>IMSS[[#This Row],[DIAS LAB]]*$J$110*$Q$109</f>
        <v>548.47440000000006</v>
      </c>
      <c r="L540" s="166">
        <f ca="1">IMSS[[#This Row],[DIAS LAB]]*IF(IMSS[[#This Row],[SDI]]-$J$113&gt;0,IMSS[[#This Row],[SDI]]-$J$113,0)*$Q$110</f>
        <v>25.194008219178063</v>
      </c>
      <c r="M540" s="166">
        <f ca="1">IMSS[[#This Row],[DIAS LAB]]*IMSS[[#This Row],[SDI]]*$Q$111</f>
        <v>108.73972602739727</v>
      </c>
      <c r="N540" s="163">
        <f ca="1">IMSS[[#This Row],[DIAS LAB]]*IMSS[[#This Row],[SDI]]*$Q$112</f>
        <v>72.493150684931507</v>
      </c>
      <c r="O540" s="166">
        <f ca="1">IMSS[[#This Row],[DIAS LAB]]*IMSS[[#This Row],[SDI]]*$Q$113</f>
        <v>181.23287671232876</v>
      </c>
      <c r="P540" s="163">
        <f ca="1">IMSS[[#This Row],[DIAS LAB]]*IMSS[[#This Row],[SDI]]*$Q$114</f>
        <v>103.56164383561644</v>
      </c>
      <c r="Q540" s="166">
        <f ca="1">IMSS[[#This Row],[DIAS LAB]]*IMSS[[#This Row],[SDI]]*$Q$115</f>
        <v>207.12328767123287</v>
      </c>
      <c r="R540" s="163">
        <f ca="1">IMSS[[#This Row],[DIAS LAB]]*IMSS[[#This Row],[SDI]]*$Q$116</f>
        <v>326.21917808219177</v>
      </c>
      <c r="S540" s="163">
        <f ca="1">IMSS[[#This Row],[DIAS LAB]]*IMSS[[#This Row],[SDI]]*$Q$117</f>
        <v>517.80821917808214</v>
      </c>
      <c r="T540" s="164">
        <f ca="1">SUM(IMSS[[#This Row],[P RSG TRB]:[P INFONAVIT]])</f>
        <v>2207.9392915068493</v>
      </c>
      <c r="U540" s="163">
        <f ca="1">IMSS[[#This Row],[DIAS LAB]]*IMSS[[#This Row],[SDI]]*IMSS[[#This Row],[% RSG]]*$R$108</f>
        <v>0</v>
      </c>
      <c r="V540" s="163">
        <f ca="1">IMSS[[#This Row],[DIAS LAB]]*IMSS[[#This Row],[SDI]]*$R$112</f>
        <v>25.890410958904109</v>
      </c>
      <c r="W540" s="163"/>
      <c r="X540" s="163">
        <f ca="1">IMSS[[#This Row],[DIAS LAB]]*IMSS[[#This Row],[SDI]]*$R$113</f>
        <v>65.243835616438346</v>
      </c>
      <c r="Y540" s="163">
        <f ca="1">IMSS[[#This Row],[DIAS LAB]]*IMSS[[#This Row],[SDI]]*$R$114</f>
        <v>0</v>
      </c>
      <c r="Z540" s="163">
        <f ca="1">IMSS[[#This Row],[DIAS LAB]]*IMSS[[#This Row],[SDI]]*$R$115</f>
        <v>0</v>
      </c>
      <c r="AA540" s="163">
        <f ca="1">IMSS[[#This Row],[DIAS LAB]]*IMSS[[#This Row],[SDI]]*$R$116</f>
        <v>117.02465753424656</v>
      </c>
      <c r="AB540" s="163">
        <f ca="1">IMSS[[#This Row],[DIAS LAB]]*IMSS[[#This Row],[SDI]]*$R$117</f>
        <v>0</v>
      </c>
      <c r="AC540" s="247">
        <f ca="1">SUM(IMSS[[#This Row],[O RSG TRB]:[O INFONAVIT]])</f>
        <v>208.158904109589</v>
      </c>
      <c r="AD540" s="163"/>
      <c r="AE540" s="165">
        <f ca="1">IMSS[[#This Row],[P TOTAL]]+IMSS[[#This Row],[O TOTAL]]</f>
        <v>2416.0981956164383</v>
      </c>
      <c r="AF540" s="163"/>
      <c r="AG540" s="163">
        <f>VLOOKUP(IMSS[[#This Row],[SUE MENS]],$AG$110:$AJ$120,1,1)</f>
        <v>5470.93</v>
      </c>
      <c r="AH540" s="163">
        <f>IMSS[[#This Row],[SUE MENS]]-IMSS[[#This Row],[LIM INF]]</f>
        <v>3979.0699999999997</v>
      </c>
      <c r="AI540" s="163">
        <f>IMSS[[#This Row],[EXC LIM INF]]*(VLOOKUP(IMSS[[#This Row],[LIM INF]],$AG$110:$AJ$120,4,0))</f>
        <v>432.92281600000001</v>
      </c>
      <c r="AJ540" s="163">
        <f>VLOOKUP(IMSS[[#This Row],[LIM INF]],$AG$110:$AJ$120,3)</f>
        <v>321.26</v>
      </c>
      <c r="AK540" s="163">
        <f>SUM(IMSS[[#This Row],[TASA EXC]]+IMSS[[#This Row],[CUOTA FIJA]])</f>
        <v>754.182816</v>
      </c>
      <c r="AL540" s="163">
        <f>VLOOKUP(IMSS[[#This Row],[SUE MENS]],$AL$110:$AN$120,3,1)</f>
        <v>0</v>
      </c>
      <c r="AM540" s="248">
        <f>IF(IMSS[[#This Row],[ISR CARGO]]-IMSS[[#This Row],[SUBS ISR]]&gt;0,IMSS[[#This Row],[ISR CARGO]]-IMSS[[#This Row],[SUBS ISR]],0)</f>
        <v>754.182816</v>
      </c>
      <c r="AN540" s="248">
        <f>IF(IMSS[[#This Row],[SUBS ISR]]-IMSS[[#This Row],[ISR CARGO]]&gt;0,IMSS[[#This Row],[SUBS ISR]]-IMSS[[#This Row],[ISR CARGO]],0)</f>
        <v>0</v>
      </c>
    </row>
    <row r="541" spans="3:40" ht="15" hidden="1" customHeight="1" x14ac:dyDescent="0.25">
      <c r="C541" s="243">
        <v>636</v>
      </c>
      <c r="D541" s="167" t="str">
        <f>VLOOKUP(IMSS[[#This Row],[NEM]],BDD[],2,0)</f>
        <v>Delsy Yarlet Esparza Cedillo</v>
      </c>
      <c r="E541" s="167" t="str">
        <f>VLOOKUP(IMSS[[#This Row],[NEM]],BDD[],9,0)</f>
        <v>NÓMINAS</v>
      </c>
      <c r="F541" s="168">
        <v>30</v>
      </c>
      <c r="G541" s="139">
        <f>VLOOKUP(IMSS[[#This Row],[NEM]],BDD[],3,0)</f>
        <v>9541</v>
      </c>
      <c r="H541" s="139">
        <f ca="1">VLOOKUP(IMSS[[#This Row],[NEM]],BDD[],25,0)</f>
        <v>348.52968036529683</v>
      </c>
      <c r="I541" s="143">
        <f>VLOOKUP(IMSS[[#This Row],[DEPT]],$B$3:$G$49,6,0)</f>
        <v>5.4355000000000002E-3</v>
      </c>
      <c r="J541" s="163">
        <f ca="1">IMSS[[#This Row],[DIAS LAB]]*IMSS[[#This Row],[SDI]]*IMSS[[#This Row],[% RSG]]*$Q$108</f>
        <v>56.832992328767133</v>
      </c>
      <c r="K541" s="163">
        <f>IMSS[[#This Row],[DIAS LAB]]*$J$110*$Q$109</f>
        <v>548.47440000000006</v>
      </c>
      <c r="L541" s="166">
        <f ca="1">IMSS[[#This Row],[DIAS LAB]]*IF(IMSS[[#This Row],[SDI]]-$J$113&gt;0,IMSS[[#This Row],[SDI]]-$J$113,0)*$Q$110</f>
        <v>26.290994520547951</v>
      </c>
      <c r="M541" s="166">
        <f ca="1">IMSS[[#This Row],[DIAS LAB]]*IMSS[[#This Row],[SDI]]*$Q$111</f>
        <v>109.78684931506852</v>
      </c>
      <c r="N541" s="163">
        <f ca="1">IMSS[[#This Row],[DIAS LAB]]*IMSS[[#This Row],[SDI]]*$Q$112</f>
        <v>73.191232876712348</v>
      </c>
      <c r="O541" s="166">
        <f ca="1">IMSS[[#This Row],[DIAS LAB]]*IMSS[[#This Row],[SDI]]*$Q$113</f>
        <v>182.97808219178086</v>
      </c>
      <c r="P541" s="163">
        <f ca="1">IMSS[[#This Row],[DIAS LAB]]*IMSS[[#This Row],[SDI]]*$Q$114</f>
        <v>104.55890410958907</v>
      </c>
      <c r="Q541" s="166">
        <f ca="1">IMSS[[#This Row],[DIAS LAB]]*IMSS[[#This Row],[SDI]]*$Q$115</f>
        <v>209.11780821917813</v>
      </c>
      <c r="R541" s="163">
        <f ca="1">IMSS[[#This Row],[DIAS LAB]]*IMSS[[#This Row],[SDI]]*$Q$116</f>
        <v>329.36054794520555</v>
      </c>
      <c r="S541" s="163">
        <f ca="1">IMSS[[#This Row],[DIAS LAB]]*IMSS[[#This Row],[SDI]]*$Q$117</f>
        <v>522.79452054794535</v>
      </c>
      <c r="T541" s="164">
        <f ca="1">SUM(IMSS[[#This Row],[P RSG TRB]:[P INFONAVIT]])</f>
        <v>2163.3863320547948</v>
      </c>
      <c r="U541" s="163">
        <f ca="1">IMSS[[#This Row],[DIAS LAB]]*IMSS[[#This Row],[SDI]]*IMSS[[#This Row],[% RSG]]*$R$108</f>
        <v>0</v>
      </c>
      <c r="V541" s="163">
        <f ca="1">IMSS[[#This Row],[DIAS LAB]]*IMSS[[#This Row],[SDI]]*$R$112</f>
        <v>26.139726027397266</v>
      </c>
      <c r="W541" s="163"/>
      <c r="X541" s="163">
        <f ca="1">IMSS[[#This Row],[DIAS LAB]]*IMSS[[#This Row],[SDI]]*$R$113</f>
        <v>65.872109589041102</v>
      </c>
      <c r="Y541" s="163">
        <f ca="1">IMSS[[#This Row],[DIAS LAB]]*IMSS[[#This Row],[SDI]]*$R$114</f>
        <v>0</v>
      </c>
      <c r="Z541" s="163">
        <f ca="1">IMSS[[#This Row],[DIAS LAB]]*IMSS[[#This Row],[SDI]]*$R$115</f>
        <v>0</v>
      </c>
      <c r="AA541" s="163">
        <f ca="1">IMSS[[#This Row],[DIAS LAB]]*IMSS[[#This Row],[SDI]]*$R$116</f>
        <v>118.15156164383562</v>
      </c>
      <c r="AB541" s="163">
        <f ca="1">IMSS[[#This Row],[DIAS LAB]]*IMSS[[#This Row],[SDI]]*$R$117</f>
        <v>0</v>
      </c>
      <c r="AC541" s="247">
        <f ca="1">SUM(IMSS[[#This Row],[O RSG TRB]:[O INFONAVIT]])</f>
        <v>210.163397260274</v>
      </c>
      <c r="AD541" s="163"/>
      <c r="AE541" s="165">
        <f ca="1">IMSS[[#This Row],[P TOTAL]]+IMSS[[#This Row],[O TOTAL]]</f>
        <v>2373.5497293150688</v>
      </c>
      <c r="AF541" s="163"/>
      <c r="AG541" s="163">
        <f>VLOOKUP(IMSS[[#This Row],[SUE MENS]],$AG$110:$AJ$120,1,1)</f>
        <v>5470.93</v>
      </c>
      <c r="AH541" s="163">
        <f>IMSS[[#This Row],[SUE MENS]]-IMSS[[#This Row],[LIM INF]]</f>
        <v>4070.0699999999997</v>
      </c>
      <c r="AI541" s="163">
        <f>IMSS[[#This Row],[EXC LIM INF]]*(VLOOKUP(IMSS[[#This Row],[LIM INF]],$AG$110:$AJ$120,4,0))</f>
        <v>442.82361600000002</v>
      </c>
      <c r="AJ541" s="163">
        <f>VLOOKUP(IMSS[[#This Row],[LIM INF]],$AG$110:$AJ$120,3)</f>
        <v>321.26</v>
      </c>
      <c r="AK541" s="163">
        <f>SUM(IMSS[[#This Row],[TASA EXC]]+IMSS[[#This Row],[CUOTA FIJA]])</f>
        <v>764.08361600000001</v>
      </c>
      <c r="AL541" s="163">
        <f>VLOOKUP(IMSS[[#This Row],[SUE MENS]],$AL$110:$AN$120,3,1)</f>
        <v>0</v>
      </c>
      <c r="AM541" s="248">
        <f>IF(IMSS[[#This Row],[ISR CARGO]]-IMSS[[#This Row],[SUBS ISR]]&gt;0,IMSS[[#This Row],[ISR CARGO]]-IMSS[[#This Row],[SUBS ISR]],0)</f>
        <v>764.08361600000001</v>
      </c>
      <c r="AN541" s="248">
        <f>IF(IMSS[[#This Row],[SUBS ISR]]-IMSS[[#This Row],[ISR CARGO]]&gt;0,IMSS[[#This Row],[SUBS ISR]]-IMSS[[#This Row],[ISR CARGO]],0)</f>
        <v>0</v>
      </c>
    </row>
    <row r="542" spans="3:40" ht="15" hidden="1" customHeight="1" x14ac:dyDescent="0.25">
      <c r="C542" s="243">
        <v>638</v>
      </c>
      <c r="D542" s="167" t="str">
        <f>VLOOKUP(IMSS[[#This Row],[NEM]],BDD[],2,0)</f>
        <v>Magdalena Leon Peña</v>
      </c>
      <c r="E542" s="167" t="str">
        <f>VLOOKUP(IMSS[[#This Row],[NEM]],BDD[],9,0)</f>
        <v>SOLUCIONES</v>
      </c>
      <c r="F542" s="168">
        <v>30</v>
      </c>
      <c r="G542" s="139">
        <f>VLOOKUP(IMSS[[#This Row],[NEM]],BDD[],3,0)</f>
        <v>7445</v>
      </c>
      <c r="H542" s="139">
        <f ca="1">VLOOKUP(IMSS[[#This Row],[NEM]],BDD[],25,0)</f>
        <v>260.06506849315065</v>
      </c>
      <c r="I542" s="143">
        <f>VLOOKUP(IMSS[[#This Row],[DEPT]],$B$3:$G$49,6,0)</f>
        <v>5.4355000000000002E-3</v>
      </c>
      <c r="J542" s="163">
        <f ca="1">IMSS[[#This Row],[DIAS LAB]]*IMSS[[#This Row],[SDI]]*IMSS[[#This Row],[% RSG]]*$Q$108</f>
        <v>42.407510393835615</v>
      </c>
      <c r="K542" s="163">
        <f>IMSS[[#This Row],[DIAS LAB]]*$J$110*$Q$109</f>
        <v>548.47440000000006</v>
      </c>
      <c r="L542" s="166">
        <f ca="1">IMSS[[#This Row],[DIAS LAB]]*IF(IMSS[[#This Row],[SDI]]-$J$113&gt;0,IMSS[[#This Row],[SDI]]-$J$113,0)*$Q$110</f>
        <v>0</v>
      </c>
      <c r="M542" s="166">
        <f ca="1">IMSS[[#This Row],[DIAS LAB]]*IMSS[[#This Row],[SDI]]*$Q$111</f>
        <v>81.920496575342455</v>
      </c>
      <c r="N542" s="163">
        <f ca="1">IMSS[[#This Row],[DIAS LAB]]*IMSS[[#This Row],[SDI]]*$Q$112</f>
        <v>54.613664383561634</v>
      </c>
      <c r="O542" s="166">
        <f ca="1">IMSS[[#This Row],[DIAS LAB]]*IMSS[[#This Row],[SDI]]*$Q$113</f>
        <v>136.5341609589041</v>
      </c>
      <c r="P542" s="163">
        <f ca="1">IMSS[[#This Row],[DIAS LAB]]*IMSS[[#This Row],[SDI]]*$Q$114</f>
        <v>78.019520547945191</v>
      </c>
      <c r="Q542" s="166">
        <f ca="1">IMSS[[#This Row],[DIAS LAB]]*IMSS[[#This Row],[SDI]]*$Q$115</f>
        <v>156.03904109589038</v>
      </c>
      <c r="R542" s="163">
        <f ca="1">IMSS[[#This Row],[DIAS LAB]]*IMSS[[#This Row],[SDI]]*$Q$116</f>
        <v>245.76148972602738</v>
      </c>
      <c r="S542" s="163">
        <f ca="1">IMSS[[#This Row],[DIAS LAB]]*IMSS[[#This Row],[SDI]]*$Q$117</f>
        <v>390.09760273972597</v>
      </c>
      <c r="T542" s="164">
        <f ca="1">SUM(IMSS[[#This Row],[P RSG TRB]:[P INFONAVIT]])</f>
        <v>1733.8678864212327</v>
      </c>
      <c r="U542" s="163">
        <f ca="1">IMSS[[#This Row],[DIAS LAB]]*IMSS[[#This Row],[SDI]]*IMSS[[#This Row],[% RSG]]*$R$108</f>
        <v>0</v>
      </c>
      <c r="V542" s="163">
        <f ca="1">IMSS[[#This Row],[DIAS LAB]]*IMSS[[#This Row],[SDI]]*$R$112</f>
        <v>19.504880136986298</v>
      </c>
      <c r="W542" s="163"/>
      <c r="X542" s="163">
        <f ca="1">IMSS[[#This Row],[DIAS LAB]]*IMSS[[#This Row],[SDI]]*$R$113</f>
        <v>49.152297945205476</v>
      </c>
      <c r="Y542" s="163">
        <f ca="1">IMSS[[#This Row],[DIAS LAB]]*IMSS[[#This Row],[SDI]]*$R$114</f>
        <v>0</v>
      </c>
      <c r="Z542" s="163">
        <f ca="1">IMSS[[#This Row],[DIAS LAB]]*IMSS[[#This Row],[SDI]]*$R$115</f>
        <v>0</v>
      </c>
      <c r="AA542" s="163">
        <f ca="1">IMSS[[#This Row],[DIAS LAB]]*IMSS[[#This Row],[SDI]]*$R$116</f>
        <v>88.162058219178064</v>
      </c>
      <c r="AB542" s="163">
        <f ca="1">IMSS[[#This Row],[DIAS LAB]]*IMSS[[#This Row],[SDI]]*$R$117</f>
        <v>0</v>
      </c>
      <c r="AC542" s="247">
        <f ca="1">SUM(IMSS[[#This Row],[O RSG TRB]:[O INFONAVIT]])</f>
        <v>156.81923630136984</v>
      </c>
      <c r="AD542" s="163"/>
      <c r="AE542" s="165">
        <f ca="1">IMSS[[#This Row],[P TOTAL]]+IMSS[[#This Row],[O TOTAL]]</f>
        <v>1890.6871227226025</v>
      </c>
      <c r="AF542" s="163"/>
      <c r="AG542" s="163">
        <f>VLOOKUP(IMSS[[#This Row],[SUE MENS]],$AG$110:$AJ$120,1,1)</f>
        <v>5470.93</v>
      </c>
      <c r="AH542" s="163">
        <f>IMSS[[#This Row],[SUE MENS]]-IMSS[[#This Row],[LIM INF]]</f>
        <v>1974.0699999999997</v>
      </c>
      <c r="AI542" s="163">
        <f>IMSS[[#This Row],[EXC LIM INF]]*(VLOOKUP(IMSS[[#This Row],[LIM INF]],$AG$110:$AJ$120,4,0))</f>
        <v>214.77881599999998</v>
      </c>
      <c r="AJ542" s="163">
        <f>VLOOKUP(IMSS[[#This Row],[LIM INF]],$AG$110:$AJ$120,3)</f>
        <v>321.26</v>
      </c>
      <c r="AK542" s="163">
        <f>SUM(IMSS[[#This Row],[TASA EXC]]+IMSS[[#This Row],[CUOTA FIJA]])</f>
        <v>536.038816</v>
      </c>
      <c r="AL542" s="163">
        <f>VLOOKUP(IMSS[[#This Row],[SUE MENS]],$AL$110:$AN$120,3,1)</f>
        <v>0</v>
      </c>
      <c r="AM542" s="248">
        <f>IF(IMSS[[#This Row],[ISR CARGO]]-IMSS[[#This Row],[SUBS ISR]]&gt;0,IMSS[[#This Row],[ISR CARGO]]-IMSS[[#This Row],[SUBS ISR]],0)</f>
        <v>536.038816</v>
      </c>
      <c r="AN542" s="248">
        <f>IF(IMSS[[#This Row],[SUBS ISR]]-IMSS[[#This Row],[ISR CARGO]]&gt;0,IMSS[[#This Row],[SUBS ISR]]-IMSS[[#This Row],[ISR CARGO]],0)</f>
        <v>0</v>
      </c>
    </row>
    <row r="543" spans="3:40" ht="15" hidden="1" customHeight="1" x14ac:dyDescent="0.25">
      <c r="C543" s="243">
        <v>639</v>
      </c>
      <c r="D543" s="167" t="str">
        <f>VLOOKUP(IMSS[[#This Row],[NEM]],BDD[],2,0)</f>
        <v>Esthefanía Ramírez Ocampo</v>
      </c>
      <c r="E543" s="167" t="str">
        <f>VLOOKUP(IMSS[[#This Row],[NEM]],BDD[],9,0)</f>
        <v>AUDIT PROY</v>
      </c>
      <c r="F543" s="168">
        <v>30</v>
      </c>
      <c r="G543" s="139">
        <f>VLOOKUP(IMSS[[#This Row],[NEM]],BDD[],3,0)</f>
        <v>7445</v>
      </c>
      <c r="H543" s="139">
        <f ca="1">VLOOKUP(IMSS[[#This Row],[NEM]],BDD[],25,0)</f>
        <v>271.96347031963467</v>
      </c>
      <c r="I543" s="143">
        <f>VLOOKUP(IMSS[[#This Row],[DEPT]],$B$3:$G$49,6,0)</f>
        <v>1.130658E-2</v>
      </c>
      <c r="J543" s="163">
        <f ca="1">IMSS[[#This Row],[DIAS LAB]]*IMSS[[#This Row],[SDI]]*IMSS[[#This Row],[% RSG]]*$Q$108</f>
        <v>92.249302027397249</v>
      </c>
      <c r="K543" s="163">
        <f>IMSS[[#This Row],[DIAS LAB]]*$J$110*$Q$109</f>
        <v>548.47440000000006</v>
      </c>
      <c r="L543" s="166">
        <f ca="1">IMSS[[#This Row],[DIAS LAB]]*IF(IMSS[[#This Row],[SDI]]-$J$113&gt;0,IMSS[[#This Row],[SDI]]-$J$113,0)*$Q$110</f>
        <v>1.0241452054794353</v>
      </c>
      <c r="M543" s="166">
        <f ca="1">IMSS[[#This Row],[DIAS LAB]]*IMSS[[#This Row],[SDI]]*$Q$111</f>
        <v>85.668493150684924</v>
      </c>
      <c r="N543" s="163">
        <f ca="1">IMSS[[#This Row],[DIAS LAB]]*IMSS[[#This Row],[SDI]]*$Q$112</f>
        <v>57.11232876712328</v>
      </c>
      <c r="O543" s="166">
        <f ca="1">IMSS[[#This Row],[DIAS LAB]]*IMSS[[#This Row],[SDI]]*$Q$113</f>
        <v>142.7808219178082</v>
      </c>
      <c r="P543" s="163">
        <f ca="1">IMSS[[#This Row],[DIAS LAB]]*IMSS[[#This Row],[SDI]]*$Q$114</f>
        <v>81.589041095890394</v>
      </c>
      <c r="Q543" s="166">
        <f ca="1">IMSS[[#This Row],[DIAS LAB]]*IMSS[[#This Row],[SDI]]*$Q$115</f>
        <v>163.17808219178079</v>
      </c>
      <c r="R543" s="163">
        <f ca="1">IMSS[[#This Row],[DIAS LAB]]*IMSS[[#This Row],[SDI]]*$Q$116</f>
        <v>257.00547945205477</v>
      </c>
      <c r="S543" s="163">
        <f ca="1">IMSS[[#This Row],[DIAS LAB]]*IMSS[[#This Row],[SDI]]*$Q$117</f>
        <v>407.945205479452</v>
      </c>
      <c r="T543" s="164">
        <f ca="1">SUM(IMSS[[#This Row],[P RSG TRB]:[P INFONAVIT]])</f>
        <v>1837.027299287671</v>
      </c>
      <c r="U543" s="163">
        <f ca="1">IMSS[[#This Row],[DIAS LAB]]*IMSS[[#This Row],[SDI]]*IMSS[[#This Row],[% RSG]]*$R$108</f>
        <v>0</v>
      </c>
      <c r="V543" s="163">
        <f ca="1">IMSS[[#This Row],[DIAS LAB]]*IMSS[[#This Row],[SDI]]*$R$112</f>
        <v>20.397260273972599</v>
      </c>
      <c r="W543" s="163"/>
      <c r="X543" s="163">
        <f ca="1">IMSS[[#This Row],[DIAS LAB]]*IMSS[[#This Row],[SDI]]*$R$113</f>
        <v>51.40109589041095</v>
      </c>
      <c r="Y543" s="163">
        <f ca="1">IMSS[[#This Row],[DIAS LAB]]*IMSS[[#This Row],[SDI]]*$R$114</f>
        <v>0</v>
      </c>
      <c r="Z543" s="163">
        <f ca="1">IMSS[[#This Row],[DIAS LAB]]*IMSS[[#This Row],[SDI]]*$R$115</f>
        <v>0</v>
      </c>
      <c r="AA543" s="163">
        <f ca="1">IMSS[[#This Row],[DIAS LAB]]*IMSS[[#This Row],[SDI]]*$R$116</f>
        <v>92.19561643835614</v>
      </c>
      <c r="AB543" s="163">
        <f ca="1">IMSS[[#This Row],[DIAS LAB]]*IMSS[[#This Row],[SDI]]*$R$117</f>
        <v>0</v>
      </c>
      <c r="AC543" s="247">
        <f ca="1">SUM(IMSS[[#This Row],[O RSG TRB]:[O INFONAVIT]])</f>
        <v>163.99397260273969</v>
      </c>
      <c r="AD543" s="163"/>
      <c r="AE543" s="165">
        <f ca="1">IMSS[[#This Row],[P TOTAL]]+IMSS[[#This Row],[O TOTAL]]</f>
        <v>2001.0212718904106</v>
      </c>
      <c r="AF543" s="163"/>
      <c r="AG543" s="163">
        <f>VLOOKUP(IMSS[[#This Row],[SUE MENS]],$AG$110:$AJ$120,1,1)</f>
        <v>5470.93</v>
      </c>
      <c r="AH543" s="163">
        <f>IMSS[[#This Row],[SUE MENS]]-IMSS[[#This Row],[LIM INF]]</f>
        <v>1974.0699999999997</v>
      </c>
      <c r="AI543" s="163">
        <f>IMSS[[#This Row],[EXC LIM INF]]*(VLOOKUP(IMSS[[#This Row],[LIM INF]],$AG$110:$AJ$120,4,0))</f>
        <v>214.77881599999998</v>
      </c>
      <c r="AJ543" s="163">
        <f>VLOOKUP(IMSS[[#This Row],[LIM INF]],$AG$110:$AJ$120,3)</f>
        <v>321.26</v>
      </c>
      <c r="AK543" s="163">
        <f>SUM(IMSS[[#This Row],[TASA EXC]]+IMSS[[#This Row],[CUOTA FIJA]])</f>
        <v>536.038816</v>
      </c>
      <c r="AL543" s="163">
        <f>VLOOKUP(IMSS[[#This Row],[SUE MENS]],$AL$110:$AN$120,3,1)</f>
        <v>0</v>
      </c>
      <c r="AM543" s="248">
        <f>IF(IMSS[[#This Row],[ISR CARGO]]-IMSS[[#This Row],[SUBS ISR]]&gt;0,IMSS[[#This Row],[ISR CARGO]]-IMSS[[#This Row],[SUBS ISR]],0)</f>
        <v>536.038816</v>
      </c>
      <c r="AN543" s="248">
        <f>IF(IMSS[[#This Row],[SUBS ISR]]-IMSS[[#This Row],[ISR CARGO]]&gt;0,IMSS[[#This Row],[SUBS ISR]]-IMSS[[#This Row],[ISR CARGO]],0)</f>
        <v>0</v>
      </c>
    </row>
    <row r="544" spans="3:40" ht="15" hidden="1" customHeight="1" x14ac:dyDescent="0.25">
      <c r="C544" s="243">
        <v>642</v>
      </c>
      <c r="D544" s="167" t="str">
        <f>VLOOKUP(IMSS[[#This Row],[NEM]],BDD[],2,0)</f>
        <v>Omar Trevino Padilla</v>
      </c>
      <c r="E544" s="167" t="str">
        <f>VLOOKUP(IMSS[[#This Row],[NEM]],BDD[],9,0)</f>
        <v>SOLUCIONES</v>
      </c>
      <c r="F544" s="168">
        <v>30</v>
      </c>
      <c r="G544" s="139">
        <f>VLOOKUP(IMSS[[#This Row],[NEM]],BDD[],3,0)</f>
        <v>7445</v>
      </c>
      <c r="H544" s="139">
        <f ca="1">VLOOKUP(IMSS[[#This Row],[NEM]],BDD[],25,0)</f>
        <v>271.96347031963467</v>
      </c>
      <c r="I544" s="143">
        <f>VLOOKUP(IMSS[[#This Row],[DEPT]],$B$3:$G$49,6,0)</f>
        <v>5.4355000000000002E-3</v>
      </c>
      <c r="J544" s="163">
        <f ca="1">IMSS[[#This Row],[DIAS LAB]]*IMSS[[#This Row],[SDI]]*IMSS[[#This Row],[% RSG]]*$Q$108</f>
        <v>44.347723287671229</v>
      </c>
      <c r="K544" s="163">
        <f>IMSS[[#This Row],[DIAS LAB]]*$J$110*$Q$109</f>
        <v>548.47440000000006</v>
      </c>
      <c r="L544" s="166">
        <f ca="1">IMSS[[#This Row],[DIAS LAB]]*IF(IMSS[[#This Row],[SDI]]-$J$113&gt;0,IMSS[[#This Row],[SDI]]-$J$113,0)*$Q$110</f>
        <v>1.0241452054794353</v>
      </c>
      <c r="M544" s="166">
        <f ca="1">IMSS[[#This Row],[DIAS LAB]]*IMSS[[#This Row],[SDI]]*$Q$111</f>
        <v>85.668493150684924</v>
      </c>
      <c r="N544" s="163">
        <f ca="1">IMSS[[#This Row],[DIAS LAB]]*IMSS[[#This Row],[SDI]]*$Q$112</f>
        <v>57.11232876712328</v>
      </c>
      <c r="O544" s="166">
        <f ca="1">IMSS[[#This Row],[DIAS LAB]]*IMSS[[#This Row],[SDI]]*$Q$113</f>
        <v>142.7808219178082</v>
      </c>
      <c r="P544" s="163">
        <f ca="1">IMSS[[#This Row],[DIAS LAB]]*IMSS[[#This Row],[SDI]]*$Q$114</f>
        <v>81.589041095890394</v>
      </c>
      <c r="Q544" s="166">
        <f ca="1">IMSS[[#This Row],[DIAS LAB]]*IMSS[[#This Row],[SDI]]*$Q$115</f>
        <v>163.17808219178079</v>
      </c>
      <c r="R544" s="163">
        <f ca="1">IMSS[[#This Row],[DIAS LAB]]*IMSS[[#This Row],[SDI]]*$Q$116</f>
        <v>257.00547945205477</v>
      </c>
      <c r="S544" s="163">
        <f ca="1">IMSS[[#This Row],[DIAS LAB]]*IMSS[[#This Row],[SDI]]*$Q$117</f>
        <v>407.945205479452</v>
      </c>
      <c r="T544" s="164">
        <f ca="1">SUM(IMSS[[#This Row],[P RSG TRB]:[P INFONAVIT]])</f>
        <v>1789.1257205479449</v>
      </c>
      <c r="U544" s="163">
        <f ca="1">IMSS[[#This Row],[DIAS LAB]]*IMSS[[#This Row],[SDI]]*IMSS[[#This Row],[% RSG]]*$R$108</f>
        <v>0</v>
      </c>
      <c r="V544" s="163">
        <f ca="1">IMSS[[#This Row],[DIAS LAB]]*IMSS[[#This Row],[SDI]]*$R$112</f>
        <v>20.397260273972599</v>
      </c>
      <c r="W544" s="163"/>
      <c r="X544" s="163">
        <f ca="1">IMSS[[#This Row],[DIAS LAB]]*IMSS[[#This Row],[SDI]]*$R$113</f>
        <v>51.40109589041095</v>
      </c>
      <c r="Y544" s="163">
        <f ca="1">IMSS[[#This Row],[DIAS LAB]]*IMSS[[#This Row],[SDI]]*$R$114</f>
        <v>0</v>
      </c>
      <c r="Z544" s="163">
        <f ca="1">IMSS[[#This Row],[DIAS LAB]]*IMSS[[#This Row],[SDI]]*$R$115</f>
        <v>0</v>
      </c>
      <c r="AA544" s="163">
        <f ca="1">IMSS[[#This Row],[DIAS LAB]]*IMSS[[#This Row],[SDI]]*$R$116</f>
        <v>92.19561643835614</v>
      </c>
      <c r="AB544" s="163">
        <f ca="1">IMSS[[#This Row],[DIAS LAB]]*IMSS[[#This Row],[SDI]]*$R$117</f>
        <v>0</v>
      </c>
      <c r="AC544" s="247">
        <f ca="1">SUM(IMSS[[#This Row],[O RSG TRB]:[O INFONAVIT]])</f>
        <v>163.99397260273969</v>
      </c>
      <c r="AD544" s="163"/>
      <c r="AE544" s="165">
        <f ca="1">IMSS[[#This Row],[P TOTAL]]+IMSS[[#This Row],[O TOTAL]]</f>
        <v>1953.1196931506845</v>
      </c>
      <c r="AF544" s="163"/>
      <c r="AG544" s="163">
        <f>VLOOKUP(IMSS[[#This Row],[SUE MENS]],$AG$110:$AJ$120,1,1)</f>
        <v>5470.93</v>
      </c>
      <c r="AH544" s="163">
        <f>IMSS[[#This Row],[SUE MENS]]-IMSS[[#This Row],[LIM INF]]</f>
        <v>1974.0699999999997</v>
      </c>
      <c r="AI544" s="163">
        <f>IMSS[[#This Row],[EXC LIM INF]]*(VLOOKUP(IMSS[[#This Row],[LIM INF]],$AG$110:$AJ$120,4,0))</f>
        <v>214.77881599999998</v>
      </c>
      <c r="AJ544" s="163">
        <f>VLOOKUP(IMSS[[#This Row],[LIM INF]],$AG$110:$AJ$120,3)</f>
        <v>321.26</v>
      </c>
      <c r="AK544" s="163">
        <f>SUM(IMSS[[#This Row],[TASA EXC]]+IMSS[[#This Row],[CUOTA FIJA]])</f>
        <v>536.038816</v>
      </c>
      <c r="AL544" s="163">
        <f>VLOOKUP(IMSS[[#This Row],[SUE MENS]],$AL$110:$AN$120,3,1)</f>
        <v>0</v>
      </c>
      <c r="AM544" s="248">
        <f>IF(IMSS[[#This Row],[ISR CARGO]]-IMSS[[#This Row],[SUBS ISR]]&gt;0,IMSS[[#This Row],[ISR CARGO]]-IMSS[[#This Row],[SUBS ISR]],0)</f>
        <v>536.038816</v>
      </c>
      <c r="AN544" s="248">
        <f>IF(IMSS[[#This Row],[SUBS ISR]]-IMSS[[#This Row],[ISR CARGO]]&gt;0,IMSS[[#This Row],[SUBS ISR]]-IMSS[[#This Row],[ISR CARGO]],0)</f>
        <v>0</v>
      </c>
    </row>
    <row r="545" spans="3:40" ht="15" hidden="1" customHeight="1" x14ac:dyDescent="0.25">
      <c r="C545" s="243">
        <v>643</v>
      </c>
      <c r="D545" s="167" t="str">
        <f>VLOOKUP(IMSS[[#This Row],[NEM]],BDD[],2,0)</f>
        <v>Arlet Samadhi Reyes Ochoa</v>
      </c>
      <c r="E545" s="167" t="str">
        <f>VLOOKUP(IMSS[[#This Row],[NEM]],BDD[],9,0)</f>
        <v>ADMINCIÓN</v>
      </c>
      <c r="F545" s="168">
        <v>30</v>
      </c>
      <c r="G545" s="139">
        <f>VLOOKUP(IMSS[[#This Row],[NEM]],BDD[],3,0)</f>
        <v>7445</v>
      </c>
      <c r="H545" s="139">
        <f ca="1">VLOOKUP(IMSS[[#This Row],[NEM]],BDD[],25,0)</f>
        <v>271.96347031963467</v>
      </c>
      <c r="I545" s="143">
        <f>VLOOKUP(IMSS[[#This Row],[DEPT]],$B$3:$G$49,6,0)</f>
        <v>5.4355000000000002E-3</v>
      </c>
      <c r="J545" s="163">
        <f ca="1">IMSS[[#This Row],[DIAS LAB]]*IMSS[[#This Row],[SDI]]*IMSS[[#This Row],[% RSG]]*$Q$108</f>
        <v>44.347723287671229</v>
      </c>
      <c r="K545" s="163">
        <f>IMSS[[#This Row],[DIAS LAB]]*$J$110*$Q$109</f>
        <v>548.47440000000006</v>
      </c>
      <c r="L545" s="166">
        <f ca="1">IMSS[[#This Row],[DIAS LAB]]*IF(IMSS[[#This Row],[SDI]]-$J$113&gt;0,IMSS[[#This Row],[SDI]]-$J$113,0)*$Q$110</f>
        <v>1.0241452054794353</v>
      </c>
      <c r="M545" s="166">
        <f ca="1">IMSS[[#This Row],[DIAS LAB]]*IMSS[[#This Row],[SDI]]*$Q$111</f>
        <v>85.668493150684924</v>
      </c>
      <c r="N545" s="163">
        <f ca="1">IMSS[[#This Row],[DIAS LAB]]*IMSS[[#This Row],[SDI]]*$Q$112</f>
        <v>57.11232876712328</v>
      </c>
      <c r="O545" s="166">
        <f ca="1">IMSS[[#This Row],[DIAS LAB]]*IMSS[[#This Row],[SDI]]*$Q$113</f>
        <v>142.7808219178082</v>
      </c>
      <c r="P545" s="163">
        <f ca="1">IMSS[[#This Row],[DIAS LAB]]*IMSS[[#This Row],[SDI]]*$Q$114</f>
        <v>81.589041095890394</v>
      </c>
      <c r="Q545" s="166">
        <f ca="1">IMSS[[#This Row],[DIAS LAB]]*IMSS[[#This Row],[SDI]]*$Q$115</f>
        <v>163.17808219178079</v>
      </c>
      <c r="R545" s="163">
        <f ca="1">IMSS[[#This Row],[DIAS LAB]]*IMSS[[#This Row],[SDI]]*$Q$116</f>
        <v>257.00547945205477</v>
      </c>
      <c r="S545" s="163">
        <f ca="1">IMSS[[#This Row],[DIAS LAB]]*IMSS[[#This Row],[SDI]]*$Q$117</f>
        <v>407.945205479452</v>
      </c>
      <c r="T545" s="164">
        <f ca="1">SUM(IMSS[[#This Row],[P RSG TRB]:[P INFONAVIT]])</f>
        <v>1789.1257205479449</v>
      </c>
      <c r="U545" s="163">
        <f ca="1">IMSS[[#This Row],[DIAS LAB]]*IMSS[[#This Row],[SDI]]*IMSS[[#This Row],[% RSG]]*$R$108</f>
        <v>0</v>
      </c>
      <c r="V545" s="163">
        <f ca="1">IMSS[[#This Row],[DIAS LAB]]*IMSS[[#This Row],[SDI]]*$R$112</f>
        <v>20.397260273972599</v>
      </c>
      <c r="W545" s="163"/>
      <c r="X545" s="163">
        <f ca="1">IMSS[[#This Row],[DIAS LAB]]*IMSS[[#This Row],[SDI]]*$R$113</f>
        <v>51.40109589041095</v>
      </c>
      <c r="Y545" s="163">
        <f ca="1">IMSS[[#This Row],[DIAS LAB]]*IMSS[[#This Row],[SDI]]*$R$114</f>
        <v>0</v>
      </c>
      <c r="Z545" s="163">
        <f ca="1">IMSS[[#This Row],[DIAS LAB]]*IMSS[[#This Row],[SDI]]*$R$115</f>
        <v>0</v>
      </c>
      <c r="AA545" s="163">
        <f ca="1">IMSS[[#This Row],[DIAS LAB]]*IMSS[[#This Row],[SDI]]*$R$116</f>
        <v>92.19561643835614</v>
      </c>
      <c r="AB545" s="163">
        <f ca="1">IMSS[[#This Row],[DIAS LAB]]*IMSS[[#This Row],[SDI]]*$R$117</f>
        <v>0</v>
      </c>
      <c r="AC545" s="247">
        <f ca="1">SUM(IMSS[[#This Row],[O RSG TRB]:[O INFONAVIT]])</f>
        <v>163.99397260273969</v>
      </c>
      <c r="AD545" s="163"/>
      <c r="AE545" s="165">
        <f ca="1">IMSS[[#This Row],[P TOTAL]]+IMSS[[#This Row],[O TOTAL]]</f>
        <v>1953.1196931506845</v>
      </c>
      <c r="AF545" s="163"/>
      <c r="AG545" s="163">
        <f>VLOOKUP(IMSS[[#This Row],[SUE MENS]],$AG$110:$AJ$120,1,1)</f>
        <v>5470.93</v>
      </c>
      <c r="AH545" s="163">
        <f>IMSS[[#This Row],[SUE MENS]]-IMSS[[#This Row],[LIM INF]]</f>
        <v>1974.0699999999997</v>
      </c>
      <c r="AI545" s="163">
        <f>IMSS[[#This Row],[EXC LIM INF]]*(VLOOKUP(IMSS[[#This Row],[LIM INF]],$AG$110:$AJ$120,4,0))</f>
        <v>214.77881599999998</v>
      </c>
      <c r="AJ545" s="163">
        <f>VLOOKUP(IMSS[[#This Row],[LIM INF]],$AG$110:$AJ$120,3)</f>
        <v>321.26</v>
      </c>
      <c r="AK545" s="163">
        <f>SUM(IMSS[[#This Row],[TASA EXC]]+IMSS[[#This Row],[CUOTA FIJA]])</f>
        <v>536.038816</v>
      </c>
      <c r="AL545" s="163">
        <f>VLOOKUP(IMSS[[#This Row],[SUE MENS]],$AL$110:$AN$120,3,1)</f>
        <v>0</v>
      </c>
      <c r="AM545" s="248">
        <f>IF(IMSS[[#This Row],[ISR CARGO]]-IMSS[[#This Row],[SUBS ISR]]&gt;0,IMSS[[#This Row],[ISR CARGO]]-IMSS[[#This Row],[SUBS ISR]],0)</f>
        <v>536.038816</v>
      </c>
      <c r="AN545" s="248">
        <f>IF(IMSS[[#This Row],[SUBS ISR]]-IMSS[[#This Row],[ISR CARGO]]&gt;0,IMSS[[#This Row],[SUBS ISR]]-IMSS[[#This Row],[ISR CARGO]],0)</f>
        <v>0</v>
      </c>
    </row>
    <row r="546" spans="3:40" ht="15" hidden="1" customHeight="1" x14ac:dyDescent="0.25">
      <c r="C546" s="243">
        <v>644</v>
      </c>
      <c r="D546" s="167" t="str">
        <f>VLOOKUP(IMSS[[#This Row],[NEM]],BDD[],2,0)</f>
        <v>Nanci Zavala Perez</v>
      </c>
      <c r="E546" s="167" t="str">
        <f>VLOOKUP(IMSS[[#This Row],[NEM]],BDD[],9,0)</f>
        <v>MATERIALES</v>
      </c>
      <c r="F546" s="168">
        <v>30</v>
      </c>
      <c r="G546" s="139">
        <f>VLOOKUP(IMSS[[#This Row],[NEM]],BDD[],3,0)</f>
        <v>9541</v>
      </c>
      <c r="H546" s="139">
        <f ca="1">VLOOKUP(IMSS[[#This Row],[NEM]],BDD[],25,0)</f>
        <v>348.52968036529683</v>
      </c>
      <c r="I546" s="143">
        <f>VLOOKUP(IMSS[[#This Row],[DEPT]],$B$3:$G$49,6,0)</f>
        <v>4.6532499999999997E-2</v>
      </c>
      <c r="J546" s="163">
        <f ca="1">IMSS[[#This Row],[DIAS LAB]]*IMSS[[#This Row],[SDI]]*IMSS[[#This Row],[% RSG]]*$Q$108</f>
        <v>486.53872054794527</v>
      </c>
      <c r="K546" s="163">
        <f>IMSS[[#This Row],[DIAS LAB]]*$J$110*$Q$109</f>
        <v>548.47440000000006</v>
      </c>
      <c r="L546" s="166">
        <f ca="1">IMSS[[#This Row],[DIAS LAB]]*IF(IMSS[[#This Row],[SDI]]-$J$113&gt;0,IMSS[[#This Row],[SDI]]-$J$113,0)*$Q$110</f>
        <v>26.290994520547951</v>
      </c>
      <c r="M546" s="166">
        <f ca="1">IMSS[[#This Row],[DIAS LAB]]*IMSS[[#This Row],[SDI]]*$Q$111</f>
        <v>109.78684931506852</v>
      </c>
      <c r="N546" s="163">
        <f ca="1">IMSS[[#This Row],[DIAS LAB]]*IMSS[[#This Row],[SDI]]*$Q$112</f>
        <v>73.191232876712348</v>
      </c>
      <c r="O546" s="166">
        <f ca="1">IMSS[[#This Row],[DIAS LAB]]*IMSS[[#This Row],[SDI]]*$Q$113</f>
        <v>182.97808219178086</v>
      </c>
      <c r="P546" s="163">
        <f ca="1">IMSS[[#This Row],[DIAS LAB]]*IMSS[[#This Row],[SDI]]*$Q$114</f>
        <v>104.55890410958907</v>
      </c>
      <c r="Q546" s="166">
        <f ca="1">IMSS[[#This Row],[DIAS LAB]]*IMSS[[#This Row],[SDI]]*$Q$115</f>
        <v>209.11780821917813</v>
      </c>
      <c r="R546" s="163">
        <f ca="1">IMSS[[#This Row],[DIAS LAB]]*IMSS[[#This Row],[SDI]]*$Q$116</f>
        <v>329.36054794520555</v>
      </c>
      <c r="S546" s="163">
        <f ca="1">IMSS[[#This Row],[DIAS LAB]]*IMSS[[#This Row],[SDI]]*$Q$117</f>
        <v>522.79452054794535</v>
      </c>
      <c r="T546" s="164">
        <f ca="1">SUM(IMSS[[#This Row],[P RSG TRB]:[P INFONAVIT]])</f>
        <v>2593.0920602739734</v>
      </c>
      <c r="U546" s="163">
        <f ca="1">IMSS[[#This Row],[DIAS LAB]]*IMSS[[#This Row],[SDI]]*IMSS[[#This Row],[% RSG]]*$R$108</f>
        <v>0</v>
      </c>
      <c r="V546" s="163">
        <f ca="1">IMSS[[#This Row],[DIAS LAB]]*IMSS[[#This Row],[SDI]]*$R$112</f>
        <v>26.139726027397266</v>
      </c>
      <c r="W546" s="163"/>
      <c r="X546" s="163">
        <f ca="1">IMSS[[#This Row],[DIAS LAB]]*IMSS[[#This Row],[SDI]]*$R$113</f>
        <v>65.872109589041102</v>
      </c>
      <c r="Y546" s="163">
        <f ca="1">IMSS[[#This Row],[DIAS LAB]]*IMSS[[#This Row],[SDI]]*$R$114</f>
        <v>0</v>
      </c>
      <c r="Z546" s="163">
        <f ca="1">IMSS[[#This Row],[DIAS LAB]]*IMSS[[#This Row],[SDI]]*$R$115</f>
        <v>0</v>
      </c>
      <c r="AA546" s="163">
        <f ca="1">IMSS[[#This Row],[DIAS LAB]]*IMSS[[#This Row],[SDI]]*$R$116</f>
        <v>118.15156164383562</v>
      </c>
      <c r="AB546" s="163">
        <f ca="1">IMSS[[#This Row],[DIAS LAB]]*IMSS[[#This Row],[SDI]]*$R$117</f>
        <v>0</v>
      </c>
      <c r="AC546" s="247">
        <f ca="1">SUM(IMSS[[#This Row],[O RSG TRB]:[O INFONAVIT]])</f>
        <v>210.163397260274</v>
      </c>
      <c r="AD546" s="163"/>
      <c r="AE546" s="165">
        <f ca="1">IMSS[[#This Row],[P TOTAL]]+IMSS[[#This Row],[O TOTAL]]</f>
        <v>2803.2554575342474</v>
      </c>
      <c r="AF546" s="163"/>
      <c r="AG546" s="163">
        <f>VLOOKUP(IMSS[[#This Row],[SUE MENS]],$AG$110:$AJ$120,1,1)</f>
        <v>5470.93</v>
      </c>
      <c r="AH546" s="163">
        <f>IMSS[[#This Row],[SUE MENS]]-IMSS[[#This Row],[LIM INF]]</f>
        <v>4070.0699999999997</v>
      </c>
      <c r="AI546" s="163">
        <f>IMSS[[#This Row],[EXC LIM INF]]*(VLOOKUP(IMSS[[#This Row],[LIM INF]],$AG$110:$AJ$120,4,0))</f>
        <v>442.82361600000002</v>
      </c>
      <c r="AJ546" s="163">
        <f>VLOOKUP(IMSS[[#This Row],[LIM INF]],$AG$110:$AJ$120,3)</f>
        <v>321.26</v>
      </c>
      <c r="AK546" s="163">
        <f>SUM(IMSS[[#This Row],[TASA EXC]]+IMSS[[#This Row],[CUOTA FIJA]])</f>
        <v>764.08361600000001</v>
      </c>
      <c r="AL546" s="163">
        <f>VLOOKUP(IMSS[[#This Row],[SUE MENS]],$AL$110:$AN$120,3,1)</f>
        <v>0</v>
      </c>
      <c r="AM546" s="248">
        <f>IF(IMSS[[#This Row],[ISR CARGO]]-IMSS[[#This Row],[SUBS ISR]]&gt;0,IMSS[[#This Row],[ISR CARGO]]-IMSS[[#This Row],[SUBS ISR]],0)</f>
        <v>764.08361600000001</v>
      </c>
      <c r="AN546" s="248">
        <f>IF(IMSS[[#This Row],[SUBS ISR]]-IMSS[[#This Row],[ISR CARGO]]&gt;0,IMSS[[#This Row],[SUBS ISR]]-IMSS[[#This Row],[ISR CARGO]],0)</f>
        <v>0</v>
      </c>
    </row>
    <row r="547" spans="3:40" ht="15" hidden="1" customHeight="1" x14ac:dyDescent="0.25">
      <c r="C547" s="243">
        <v>647</v>
      </c>
      <c r="D547" s="167" t="str">
        <f>VLOOKUP(IMSS[[#This Row],[NEM]],BDD[],2,0)</f>
        <v>Carlos Jimenez Martinez</v>
      </c>
      <c r="E547" s="167" t="str">
        <f>VLOOKUP(IMSS[[#This Row],[NEM]],BDD[],9,0)</f>
        <v>RENDER</v>
      </c>
      <c r="F547" s="168">
        <v>30</v>
      </c>
      <c r="G547" s="139">
        <f>VLOOKUP(IMSS[[#This Row],[NEM]],BDD[],3,0)</f>
        <v>10860</v>
      </c>
      <c r="H547" s="139">
        <f ca="1">VLOOKUP(IMSS[[#This Row],[NEM]],BDD[],25,0)</f>
        <v>396.71232876712327</v>
      </c>
      <c r="I547" s="143">
        <f>VLOOKUP(IMSS[[#This Row],[DEPT]],$B$3:$G$49,6,0)</f>
        <v>2.5984400000000001E-2</v>
      </c>
      <c r="J547" s="163">
        <f ca="1">IMSS[[#This Row],[DIAS LAB]]*IMSS[[#This Row],[SDI]]*IMSS[[#This Row],[% RSG]]*$Q$108</f>
        <v>309.24995506849319</v>
      </c>
      <c r="K547" s="163">
        <f>IMSS[[#This Row],[DIAS LAB]]*$J$110*$Q$109</f>
        <v>548.47440000000006</v>
      </c>
      <c r="L547" s="166">
        <f ca="1">IMSS[[#This Row],[DIAS LAB]]*IF(IMSS[[#This Row],[SDI]]-$J$113&gt;0,IMSS[[#This Row],[SDI]]-$J$113,0)*$Q$110</f>
        <v>42.191268493150673</v>
      </c>
      <c r="M547" s="166">
        <f ca="1">IMSS[[#This Row],[DIAS LAB]]*IMSS[[#This Row],[SDI]]*$Q$111</f>
        <v>124.96438356164384</v>
      </c>
      <c r="N547" s="163">
        <f ca="1">IMSS[[#This Row],[DIAS LAB]]*IMSS[[#This Row],[SDI]]*$Q$112</f>
        <v>83.30958904109589</v>
      </c>
      <c r="O547" s="166">
        <f ca="1">IMSS[[#This Row],[DIAS LAB]]*IMSS[[#This Row],[SDI]]*$Q$113</f>
        <v>208.27397260273975</v>
      </c>
      <c r="P547" s="163">
        <f ca="1">IMSS[[#This Row],[DIAS LAB]]*IMSS[[#This Row],[SDI]]*$Q$114</f>
        <v>119.01369863013699</v>
      </c>
      <c r="Q547" s="166">
        <f ca="1">IMSS[[#This Row],[DIAS LAB]]*IMSS[[#This Row],[SDI]]*$Q$115</f>
        <v>238.02739726027397</v>
      </c>
      <c r="R547" s="163">
        <f ca="1">IMSS[[#This Row],[DIAS LAB]]*IMSS[[#This Row],[SDI]]*$Q$116</f>
        <v>374.89315068493153</v>
      </c>
      <c r="S547" s="163">
        <f ca="1">IMSS[[#This Row],[DIAS LAB]]*IMSS[[#This Row],[SDI]]*$Q$117</f>
        <v>595.06849315068496</v>
      </c>
      <c r="T547" s="164">
        <f ca="1">SUM(IMSS[[#This Row],[P RSG TRB]:[P INFONAVIT]])</f>
        <v>2643.4663084931508</v>
      </c>
      <c r="U547" s="163">
        <f ca="1">IMSS[[#This Row],[DIAS LAB]]*IMSS[[#This Row],[SDI]]*IMSS[[#This Row],[% RSG]]*$R$108</f>
        <v>0</v>
      </c>
      <c r="V547" s="163">
        <f ca="1">IMSS[[#This Row],[DIAS LAB]]*IMSS[[#This Row],[SDI]]*$R$112</f>
        <v>29.753424657534246</v>
      </c>
      <c r="W547" s="163"/>
      <c r="X547" s="163">
        <f ca="1">IMSS[[#This Row],[DIAS LAB]]*IMSS[[#This Row],[SDI]]*$R$113</f>
        <v>74.978630136986297</v>
      </c>
      <c r="Y547" s="163">
        <f ca="1">IMSS[[#This Row],[DIAS LAB]]*IMSS[[#This Row],[SDI]]*$R$114</f>
        <v>0</v>
      </c>
      <c r="Z547" s="163">
        <f ca="1">IMSS[[#This Row],[DIAS LAB]]*IMSS[[#This Row],[SDI]]*$R$115</f>
        <v>0</v>
      </c>
      <c r="AA547" s="163">
        <f ca="1">IMSS[[#This Row],[DIAS LAB]]*IMSS[[#This Row],[SDI]]*$R$116</f>
        <v>134.48547945205479</v>
      </c>
      <c r="AB547" s="163">
        <f ca="1">IMSS[[#This Row],[DIAS LAB]]*IMSS[[#This Row],[SDI]]*$R$117</f>
        <v>0</v>
      </c>
      <c r="AC547" s="247">
        <f ca="1">SUM(IMSS[[#This Row],[O RSG TRB]:[O INFONAVIT]])</f>
        <v>239.21753424657533</v>
      </c>
      <c r="AD547" s="163"/>
      <c r="AE547" s="165">
        <f ca="1">IMSS[[#This Row],[P TOTAL]]+IMSS[[#This Row],[O TOTAL]]</f>
        <v>2882.6838427397261</v>
      </c>
      <c r="AF547" s="163"/>
      <c r="AG547" s="163">
        <f>VLOOKUP(IMSS[[#This Row],[SUE MENS]],$AG$110:$AJ$120,1,1)</f>
        <v>9614.67</v>
      </c>
      <c r="AH547" s="163">
        <f>IMSS[[#This Row],[SUE MENS]]-IMSS[[#This Row],[LIM INF]]</f>
        <v>1245.33</v>
      </c>
      <c r="AI547" s="163">
        <f>IMSS[[#This Row],[EXC LIM INF]]*(VLOOKUP(IMSS[[#This Row],[LIM INF]],$AG$110:$AJ$120,4,0))</f>
        <v>199.25279999999998</v>
      </c>
      <c r="AJ547" s="163">
        <f>VLOOKUP(IMSS[[#This Row],[LIM INF]],$AG$110:$AJ$120,3)</f>
        <v>772.1</v>
      </c>
      <c r="AK547" s="163">
        <f>SUM(IMSS[[#This Row],[TASA EXC]]+IMSS[[#This Row],[CUOTA FIJA]])</f>
        <v>971.3528</v>
      </c>
      <c r="AL547" s="163">
        <f>VLOOKUP(IMSS[[#This Row],[SUE MENS]],$AL$110:$AN$120,3,1)</f>
        <v>0</v>
      </c>
      <c r="AM547" s="248">
        <f>IF(IMSS[[#This Row],[ISR CARGO]]-IMSS[[#This Row],[SUBS ISR]]&gt;0,IMSS[[#This Row],[ISR CARGO]]-IMSS[[#This Row],[SUBS ISR]],0)</f>
        <v>971.3528</v>
      </c>
      <c r="AN547" s="248">
        <f>IF(IMSS[[#This Row],[SUBS ISR]]-IMSS[[#This Row],[ISR CARGO]]&gt;0,IMSS[[#This Row],[SUBS ISR]]-IMSS[[#This Row],[ISR CARGO]],0)</f>
        <v>0</v>
      </c>
    </row>
    <row r="548" spans="3:40" ht="15" hidden="1" customHeight="1" x14ac:dyDescent="0.25">
      <c r="C548" s="243">
        <v>648</v>
      </c>
      <c r="D548" s="167" t="str">
        <f>VLOOKUP(IMSS[[#This Row],[NEM]],BDD[],2,0)</f>
        <v>Ana Victoria Fernandez Chavez</v>
      </c>
      <c r="E548" s="167" t="str">
        <f>VLOOKUP(IMSS[[#This Row],[NEM]],BDD[],9,0)</f>
        <v>INST CAMPO</v>
      </c>
      <c r="F548" s="168">
        <v>30</v>
      </c>
      <c r="G548" s="139">
        <f>VLOOKUP(IMSS[[#This Row],[NEM]],BDD[],3,0)</f>
        <v>9450</v>
      </c>
      <c r="H548" s="139">
        <f ca="1">VLOOKUP(IMSS[[#This Row],[NEM]],BDD[],25,0)</f>
        <v>345.20547945205476</v>
      </c>
      <c r="I548" s="143">
        <f>VLOOKUP(IMSS[[#This Row],[DEPT]],$B$3:$G$49,6,0)</f>
        <v>4.6532499999999997E-2</v>
      </c>
      <c r="J548" s="163">
        <f ca="1">IMSS[[#This Row],[DIAS LAB]]*IMSS[[#This Row],[SDI]]*IMSS[[#This Row],[% RSG]]*$Q$108</f>
        <v>481.89821917808212</v>
      </c>
      <c r="K548" s="163">
        <f>IMSS[[#This Row],[DIAS LAB]]*$J$110*$Q$109</f>
        <v>548.47440000000006</v>
      </c>
      <c r="L548" s="166">
        <f ca="1">IMSS[[#This Row],[DIAS LAB]]*IF(IMSS[[#This Row],[SDI]]-$J$113&gt;0,IMSS[[#This Row],[SDI]]-$J$113,0)*$Q$110</f>
        <v>25.194008219178063</v>
      </c>
      <c r="M548" s="166">
        <f ca="1">IMSS[[#This Row],[DIAS LAB]]*IMSS[[#This Row],[SDI]]*$Q$111</f>
        <v>108.73972602739727</v>
      </c>
      <c r="N548" s="163">
        <f ca="1">IMSS[[#This Row],[DIAS LAB]]*IMSS[[#This Row],[SDI]]*$Q$112</f>
        <v>72.493150684931507</v>
      </c>
      <c r="O548" s="166">
        <f ca="1">IMSS[[#This Row],[DIAS LAB]]*IMSS[[#This Row],[SDI]]*$Q$113</f>
        <v>181.23287671232876</v>
      </c>
      <c r="P548" s="163">
        <f ca="1">IMSS[[#This Row],[DIAS LAB]]*IMSS[[#This Row],[SDI]]*$Q$114</f>
        <v>103.56164383561644</v>
      </c>
      <c r="Q548" s="166">
        <f ca="1">IMSS[[#This Row],[DIAS LAB]]*IMSS[[#This Row],[SDI]]*$Q$115</f>
        <v>207.12328767123287</v>
      </c>
      <c r="R548" s="163">
        <f ca="1">IMSS[[#This Row],[DIAS LAB]]*IMSS[[#This Row],[SDI]]*$Q$116</f>
        <v>326.21917808219177</v>
      </c>
      <c r="S548" s="163">
        <f ca="1">IMSS[[#This Row],[DIAS LAB]]*IMSS[[#This Row],[SDI]]*$Q$117</f>
        <v>517.80821917808214</v>
      </c>
      <c r="T548" s="164">
        <f ca="1">SUM(IMSS[[#This Row],[P RSG TRB]:[P INFONAVIT]])</f>
        <v>2572.7447095890411</v>
      </c>
      <c r="U548" s="163">
        <f ca="1">IMSS[[#This Row],[DIAS LAB]]*IMSS[[#This Row],[SDI]]*IMSS[[#This Row],[% RSG]]*$R$108</f>
        <v>0</v>
      </c>
      <c r="V548" s="163">
        <f ca="1">IMSS[[#This Row],[DIAS LAB]]*IMSS[[#This Row],[SDI]]*$R$112</f>
        <v>25.890410958904109</v>
      </c>
      <c r="W548" s="163"/>
      <c r="X548" s="163">
        <f ca="1">IMSS[[#This Row],[DIAS LAB]]*IMSS[[#This Row],[SDI]]*$R$113</f>
        <v>65.243835616438346</v>
      </c>
      <c r="Y548" s="163">
        <f ca="1">IMSS[[#This Row],[DIAS LAB]]*IMSS[[#This Row],[SDI]]*$R$114</f>
        <v>0</v>
      </c>
      <c r="Z548" s="163">
        <f ca="1">IMSS[[#This Row],[DIAS LAB]]*IMSS[[#This Row],[SDI]]*$R$115</f>
        <v>0</v>
      </c>
      <c r="AA548" s="163">
        <f ca="1">IMSS[[#This Row],[DIAS LAB]]*IMSS[[#This Row],[SDI]]*$R$116</f>
        <v>117.02465753424656</v>
      </c>
      <c r="AB548" s="163">
        <f ca="1">IMSS[[#This Row],[DIAS LAB]]*IMSS[[#This Row],[SDI]]*$R$117</f>
        <v>0</v>
      </c>
      <c r="AC548" s="247">
        <f ca="1">SUM(IMSS[[#This Row],[O RSG TRB]:[O INFONAVIT]])</f>
        <v>208.158904109589</v>
      </c>
      <c r="AD548" s="163"/>
      <c r="AE548" s="165">
        <f ca="1">IMSS[[#This Row],[P TOTAL]]+IMSS[[#This Row],[O TOTAL]]</f>
        <v>2780.9036136986301</v>
      </c>
      <c r="AF548" s="163"/>
      <c r="AG548" s="163">
        <f>VLOOKUP(IMSS[[#This Row],[SUE MENS]],$AG$110:$AJ$120,1,1)</f>
        <v>5470.93</v>
      </c>
      <c r="AH548" s="163">
        <f>IMSS[[#This Row],[SUE MENS]]-IMSS[[#This Row],[LIM INF]]</f>
        <v>3979.0699999999997</v>
      </c>
      <c r="AI548" s="163">
        <f>IMSS[[#This Row],[EXC LIM INF]]*(VLOOKUP(IMSS[[#This Row],[LIM INF]],$AG$110:$AJ$120,4,0))</f>
        <v>432.92281600000001</v>
      </c>
      <c r="AJ548" s="163">
        <f>VLOOKUP(IMSS[[#This Row],[LIM INF]],$AG$110:$AJ$120,3)</f>
        <v>321.26</v>
      </c>
      <c r="AK548" s="163">
        <f>SUM(IMSS[[#This Row],[TASA EXC]]+IMSS[[#This Row],[CUOTA FIJA]])</f>
        <v>754.182816</v>
      </c>
      <c r="AL548" s="163">
        <f>VLOOKUP(IMSS[[#This Row],[SUE MENS]],$AL$110:$AN$120,3,1)</f>
        <v>0</v>
      </c>
      <c r="AM548" s="248">
        <f>IF(IMSS[[#This Row],[ISR CARGO]]-IMSS[[#This Row],[SUBS ISR]]&gt;0,IMSS[[#This Row],[ISR CARGO]]-IMSS[[#This Row],[SUBS ISR]],0)</f>
        <v>754.182816</v>
      </c>
      <c r="AN548" s="248">
        <f>IF(IMSS[[#This Row],[SUBS ISR]]-IMSS[[#This Row],[ISR CARGO]]&gt;0,IMSS[[#This Row],[SUBS ISR]]-IMSS[[#This Row],[ISR CARGO]],0)</f>
        <v>0</v>
      </c>
    </row>
    <row r="549" spans="3:40" ht="15" hidden="1" customHeight="1" x14ac:dyDescent="0.25">
      <c r="C549" s="246">
        <v>649</v>
      </c>
      <c r="D549" s="167" t="str">
        <f>VLOOKUP(IMSS[[#This Row],[NEM]],BDD[],2,0)</f>
        <v>Mayra Castañeda Guerrero</v>
      </c>
      <c r="E549" s="167" t="str">
        <f>VLOOKUP(IMSS[[#This Row],[NEM]],BDD[],9,0)</f>
        <v>ADMINCIÓN</v>
      </c>
      <c r="F549" s="168">
        <v>30</v>
      </c>
      <c r="G549" s="139">
        <f>VLOOKUP(IMSS[[#This Row],[NEM]],BDD[],3,0)</f>
        <v>6778</v>
      </c>
      <c r="H549" s="139">
        <f ca="1">VLOOKUP(IMSS[[#This Row],[NEM]],BDD[],25,0)</f>
        <v>236.76575342465753</v>
      </c>
      <c r="I549" s="143">
        <f>VLOOKUP(IMSS[[#This Row],[DEPT]],$B$3:$G$49,6,0)</f>
        <v>5.4355000000000002E-3</v>
      </c>
      <c r="J549" s="163">
        <f ca="1">IMSS[[#This Row],[DIAS LAB]]*IMSS[[#This Row],[SDI]]*IMSS[[#This Row],[% RSG]]*$Q$108</f>
        <v>38.608207582191781</v>
      </c>
      <c r="K549" s="163">
        <f>IMSS[[#This Row],[DIAS LAB]]*$J$110*$Q$109</f>
        <v>548.47440000000006</v>
      </c>
      <c r="L549" s="166">
        <f ca="1">IMSS[[#This Row],[DIAS LAB]]*IF(IMSS[[#This Row],[SDI]]-$J$113&gt;0,IMSS[[#This Row],[SDI]]-$J$113,0)*$Q$110</f>
        <v>0</v>
      </c>
      <c r="M549" s="166">
        <f ca="1">IMSS[[#This Row],[DIAS LAB]]*IMSS[[#This Row],[SDI]]*$Q$111</f>
        <v>74.581212328767137</v>
      </c>
      <c r="N549" s="163">
        <f ca="1">IMSS[[#This Row],[DIAS LAB]]*IMSS[[#This Row],[SDI]]*$Q$112</f>
        <v>49.720808219178089</v>
      </c>
      <c r="O549" s="166">
        <f ca="1">IMSS[[#This Row],[DIAS LAB]]*IMSS[[#This Row],[SDI]]*$Q$113</f>
        <v>124.30202054794522</v>
      </c>
      <c r="P549" s="163">
        <f ca="1">IMSS[[#This Row],[DIAS LAB]]*IMSS[[#This Row],[SDI]]*$Q$114</f>
        <v>71.02972602739726</v>
      </c>
      <c r="Q549" s="166">
        <f ca="1">IMSS[[#This Row],[DIAS LAB]]*IMSS[[#This Row],[SDI]]*$Q$115</f>
        <v>142.05945205479452</v>
      </c>
      <c r="R549" s="163">
        <f ca="1">IMSS[[#This Row],[DIAS LAB]]*IMSS[[#This Row],[SDI]]*$Q$116</f>
        <v>223.7436369863014</v>
      </c>
      <c r="S549" s="163">
        <f ca="1">IMSS[[#This Row],[DIAS LAB]]*IMSS[[#This Row],[SDI]]*$Q$117</f>
        <v>355.14863013698636</v>
      </c>
      <c r="T549" s="164">
        <f ca="1">SUM(IMSS[[#This Row],[P RSG TRB]:[P INFONAVIT]])</f>
        <v>1627.6680938835618</v>
      </c>
      <c r="U549" s="163">
        <f ca="1">IMSS[[#This Row],[DIAS LAB]]*IMSS[[#This Row],[SDI]]*IMSS[[#This Row],[% RSG]]*$R$108</f>
        <v>0</v>
      </c>
      <c r="V549" s="163">
        <f ca="1">IMSS[[#This Row],[DIAS LAB]]*IMSS[[#This Row],[SDI]]*$R$112</f>
        <v>17.757431506849315</v>
      </c>
      <c r="W549" s="163"/>
      <c r="X549" s="163">
        <f ca="1">IMSS[[#This Row],[DIAS LAB]]*IMSS[[#This Row],[SDI]]*$R$113</f>
        <v>44.748727397260275</v>
      </c>
      <c r="Y549" s="163">
        <f ca="1">IMSS[[#This Row],[DIAS LAB]]*IMSS[[#This Row],[SDI]]*$R$114</f>
        <v>0</v>
      </c>
      <c r="Z549" s="163">
        <f ca="1">IMSS[[#This Row],[DIAS LAB]]*IMSS[[#This Row],[SDI]]*$R$115</f>
        <v>0</v>
      </c>
      <c r="AA549" s="163">
        <f ca="1">IMSS[[#This Row],[DIAS LAB]]*IMSS[[#This Row],[SDI]]*$R$116</f>
        <v>80.263590410958898</v>
      </c>
      <c r="AB549" s="163">
        <f ca="1">IMSS[[#This Row],[DIAS LAB]]*IMSS[[#This Row],[SDI]]*$R$117</f>
        <v>0</v>
      </c>
      <c r="AC549" s="247">
        <f ca="1">SUM(IMSS[[#This Row],[O RSG TRB]:[O INFONAVIT]])</f>
        <v>142.76974931506848</v>
      </c>
      <c r="AD549" s="163"/>
      <c r="AE549" s="165">
        <f ca="1">IMSS[[#This Row],[P TOTAL]]+IMSS[[#This Row],[O TOTAL]]</f>
        <v>1770.4378431986304</v>
      </c>
      <c r="AF549" s="163"/>
      <c r="AG549" s="163">
        <f>VLOOKUP(IMSS[[#This Row],[SUE MENS]],$AG$110:$AJ$120,1,1)</f>
        <v>5470.93</v>
      </c>
      <c r="AH549" s="163">
        <f>IMSS[[#This Row],[SUE MENS]]-IMSS[[#This Row],[LIM INF]]</f>
        <v>1307.0699999999997</v>
      </c>
      <c r="AI549" s="163">
        <f>IMSS[[#This Row],[EXC LIM INF]]*(VLOOKUP(IMSS[[#This Row],[LIM INF]],$AG$110:$AJ$120,4,0))</f>
        <v>142.20921599999997</v>
      </c>
      <c r="AJ549" s="163">
        <f>VLOOKUP(IMSS[[#This Row],[LIM INF]],$AG$110:$AJ$120,3)</f>
        <v>321.26</v>
      </c>
      <c r="AK549" s="163">
        <f>SUM(IMSS[[#This Row],[TASA EXC]]+IMSS[[#This Row],[CUOTA FIJA]])</f>
        <v>463.46921599999996</v>
      </c>
      <c r="AL549" s="163">
        <f>VLOOKUP(IMSS[[#This Row],[SUE MENS]],$AL$110:$AN$120,3,1)</f>
        <v>253.54</v>
      </c>
      <c r="AM549" s="248">
        <f>IF(IMSS[[#This Row],[ISR CARGO]]-IMSS[[#This Row],[SUBS ISR]]&gt;0,IMSS[[#This Row],[ISR CARGO]]-IMSS[[#This Row],[SUBS ISR]],0)</f>
        <v>209.92921599999997</v>
      </c>
      <c r="AN549" s="248">
        <f>IF(IMSS[[#This Row],[SUBS ISR]]-IMSS[[#This Row],[ISR CARGO]]&gt;0,IMSS[[#This Row],[SUBS ISR]]-IMSS[[#This Row],[ISR CARGO]],0)</f>
        <v>0</v>
      </c>
    </row>
    <row r="550" spans="3:40" ht="15" hidden="1" customHeight="1" x14ac:dyDescent="0.25">
      <c r="C550" s="243">
        <v>650</v>
      </c>
      <c r="D550" s="167" t="str">
        <f>VLOOKUP(IMSS[[#This Row],[NEM]],BDD[],2,0)</f>
        <v>Lilia Janice Estrada Esparza</v>
      </c>
      <c r="E550" s="167" t="str">
        <f>VLOOKUP(IMSS[[#This Row],[NEM]],BDD[],9,0)</f>
        <v>AUDIT ADMN</v>
      </c>
      <c r="F550" s="168">
        <v>30</v>
      </c>
      <c r="G550" s="139">
        <f>VLOOKUP(IMSS[[#This Row],[NEM]],BDD[],3,0)</f>
        <v>9541</v>
      </c>
      <c r="H550" s="139">
        <f ca="1">VLOOKUP(IMSS[[#This Row],[NEM]],BDD[],25,0)</f>
        <v>348.52968036529683</v>
      </c>
      <c r="I550" s="143">
        <f>VLOOKUP(IMSS[[#This Row],[DEPT]],$B$3:$G$49,6,0)</f>
        <v>5.4355000000000002E-3</v>
      </c>
      <c r="J550" s="163">
        <f ca="1">IMSS[[#This Row],[DIAS LAB]]*IMSS[[#This Row],[SDI]]*IMSS[[#This Row],[% RSG]]*$Q$108</f>
        <v>56.832992328767133</v>
      </c>
      <c r="K550" s="163">
        <f>IMSS[[#This Row],[DIAS LAB]]*$J$110*$Q$109</f>
        <v>548.47440000000006</v>
      </c>
      <c r="L550" s="166">
        <f ca="1">IMSS[[#This Row],[DIAS LAB]]*IF(IMSS[[#This Row],[SDI]]-$J$113&gt;0,IMSS[[#This Row],[SDI]]-$J$113,0)*$Q$110</f>
        <v>26.290994520547951</v>
      </c>
      <c r="M550" s="166">
        <f ca="1">IMSS[[#This Row],[DIAS LAB]]*IMSS[[#This Row],[SDI]]*$Q$111</f>
        <v>109.78684931506852</v>
      </c>
      <c r="N550" s="163">
        <f ca="1">IMSS[[#This Row],[DIAS LAB]]*IMSS[[#This Row],[SDI]]*$Q$112</f>
        <v>73.191232876712348</v>
      </c>
      <c r="O550" s="166">
        <f ca="1">IMSS[[#This Row],[DIAS LAB]]*IMSS[[#This Row],[SDI]]*$Q$113</f>
        <v>182.97808219178086</v>
      </c>
      <c r="P550" s="163">
        <f ca="1">IMSS[[#This Row],[DIAS LAB]]*IMSS[[#This Row],[SDI]]*$Q$114</f>
        <v>104.55890410958907</v>
      </c>
      <c r="Q550" s="166">
        <f ca="1">IMSS[[#This Row],[DIAS LAB]]*IMSS[[#This Row],[SDI]]*$Q$115</f>
        <v>209.11780821917813</v>
      </c>
      <c r="R550" s="163">
        <f ca="1">IMSS[[#This Row],[DIAS LAB]]*IMSS[[#This Row],[SDI]]*$Q$116</f>
        <v>329.36054794520555</v>
      </c>
      <c r="S550" s="163">
        <f ca="1">IMSS[[#This Row],[DIAS LAB]]*IMSS[[#This Row],[SDI]]*$Q$117</f>
        <v>522.79452054794535</v>
      </c>
      <c r="T550" s="164">
        <f ca="1">SUM(IMSS[[#This Row],[P RSG TRB]:[P INFONAVIT]])</f>
        <v>2163.3863320547948</v>
      </c>
      <c r="U550" s="163">
        <f ca="1">IMSS[[#This Row],[DIAS LAB]]*IMSS[[#This Row],[SDI]]*IMSS[[#This Row],[% RSG]]*$R$108</f>
        <v>0</v>
      </c>
      <c r="V550" s="163">
        <f ca="1">IMSS[[#This Row],[DIAS LAB]]*IMSS[[#This Row],[SDI]]*$R$112</f>
        <v>26.139726027397266</v>
      </c>
      <c r="W550" s="163"/>
      <c r="X550" s="163">
        <f ca="1">IMSS[[#This Row],[DIAS LAB]]*IMSS[[#This Row],[SDI]]*$R$113</f>
        <v>65.872109589041102</v>
      </c>
      <c r="Y550" s="163">
        <f ca="1">IMSS[[#This Row],[DIAS LAB]]*IMSS[[#This Row],[SDI]]*$R$114</f>
        <v>0</v>
      </c>
      <c r="Z550" s="163">
        <f ca="1">IMSS[[#This Row],[DIAS LAB]]*IMSS[[#This Row],[SDI]]*$R$115</f>
        <v>0</v>
      </c>
      <c r="AA550" s="163">
        <f ca="1">IMSS[[#This Row],[DIAS LAB]]*IMSS[[#This Row],[SDI]]*$R$116</f>
        <v>118.15156164383562</v>
      </c>
      <c r="AB550" s="163">
        <f ca="1">IMSS[[#This Row],[DIAS LAB]]*IMSS[[#This Row],[SDI]]*$R$117</f>
        <v>0</v>
      </c>
      <c r="AC550" s="247">
        <f ca="1">SUM(IMSS[[#This Row],[O RSG TRB]:[O INFONAVIT]])</f>
        <v>210.163397260274</v>
      </c>
      <c r="AD550" s="163"/>
      <c r="AE550" s="165">
        <f ca="1">IMSS[[#This Row],[P TOTAL]]+IMSS[[#This Row],[O TOTAL]]</f>
        <v>2373.5497293150688</v>
      </c>
      <c r="AF550" s="163"/>
      <c r="AG550" s="163">
        <f>VLOOKUP(IMSS[[#This Row],[SUE MENS]],$AG$110:$AJ$120,1,1)</f>
        <v>5470.93</v>
      </c>
      <c r="AH550" s="163">
        <f>IMSS[[#This Row],[SUE MENS]]-IMSS[[#This Row],[LIM INF]]</f>
        <v>4070.0699999999997</v>
      </c>
      <c r="AI550" s="163">
        <f>IMSS[[#This Row],[EXC LIM INF]]*(VLOOKUP(IMSS[[#This Row],[LIM INF]],$AG$110:$AJ$120,4,0))</f>
        <v>442.82361600000002</v>
      </c>
      <c r="AJ550" s="163">
        <f>VLOOKUP(IMSS[[#This Row],[LIM INF]],$AG$110:$AJ$120,3)</f>
        <v>321.26</v>
      </c>
      <c r="AK550" s="163">
        <f>SUM(IMSS[[#This Row],[TASA EXC]]+IMSS[[#This Row],[CUOTA FIJA]])</f>
        <v>764.08361600000001</v>
      </c>
      <c r="AL550" s="163">
        <f>VLOOKUP(IMSS[[#This Row],[SUE MENS]],$AL$110:$AN$120,3,1)</f>
        <v>0</v>
      </c>
      <c r="AM550" s="248">
        <f>IF(IMSS[[#This Row],[ISR CARGO]]-IMSS[[#This Row],[SUBS ISR]]&gt;0,IMSS[[#This Row],[ISR CARGO]]-IMSS[[#This Row],[SUBS ISR]],0)</f>
        <v>764.08361600000001</v>
      </c>
      <c r="AN550" s="248">
        <f>IF(IMSS[[#This Row],[SUBS ISR]]-IMSS[[#This Row],[ISR CARGO]]&gt;0,IMSS[[#This Row],[SUBS ISR]]-IMSS[[#This Row],[ISR CARGO]],0)</f>
        <v>0</v>
      </c>
    </row>
    <row r="551" spans="3:40" ht="15" hidden="1" customHeight="1" x14ac:dyDescent="0.25">
      <c r="C551" s="243">
        <v>651</v>
      </c>
      <c r="D551" s="167" t="str">
        <f>VLOOKUP(IMSS[[#This Row],[NEM]],BDD[],2,0)</f>
        <v>Eden Francisco Ortega Rodriguez</v>
      </c>
      <c r="E551" s="167" t="str">
        <f>VLOOKUP(IMSS[[#This Row],[NEM]],BDD[],9,0)</f>
        <v>ADMINCIÓN</v>
      </c>
      <c r="F551" s="168">
        <v>30</v>
      </c>
      <c r="G551" s="139">
        <f>VLOOKUP(IMSS[[#This Row],[NEM]],BDD[],3,0)</f>
        <v>10860</v>
      </c>
      <c r="H551" s="139">
        <f ca="1">VLOOKUP(IMSS[[#This Row],[NEM]],BDD[],25,0)</f>
        <v>396.71232876712327</v>
      </c>
      <c r="I551" s="143">
        <f>VLOOKUP(IMSS[[#This Row],[DEPT]],$B$3:$G$49,6,0)</f>
        <v>5.4355000000000002E-3</v>
      </c>
      <c r="J551" s="163">
        <f ca="1">IMSS[[#This Row],[DIAS LAB]]*IMSS[[#This Row],[SDI]]*IMSS[[#This Row],[% RSG]]*$Q$108</f>
        <v>64.689895890410966</v>
      </c>
      <c r="K551" s="163">
        <f>IMSS[[#This Row],[DIAS LAB]]*$J$110*$Q$109</f>
        <v>548.47440000000006</v>
      </c>
      <c r="L551" s="166">
        <f ca="1">IMSS[[#This Row],[DIAS LAB]]*IF(IMSS[[#This Row],[SDI]]-$J$113&gt;0,IMSS[[#This Row],[SDI]]-$J$113,0)*$Q$110</f>
        <v>42.191268493150673</v>
      </c>
      <c r="M551" s="166">
        <f ca="1">IMSS[[#This Row],[DIAS LAB]]*IMSS[[#This Row],[SDI]]*$Q$111</f>
        <v>124.96438356164384</v>
      </c>
      <c r="N551" s="163">
        <f ca="1">IMSS[[#This Row],[DIAS LAB]]*IMSS[[#This Row],[SDI]]*$Q$112</f>
        <v>83.30958904109589</v>
      </c>
      <c r="O551" s="166">
        <f ca="1">IMSS[[#This Row],[DIAS LAB]]*IMSS[[#This Row],[SDI]]*$Q$113</f>
        <v>208.27397260273975</v>
      </c>
      <c r="P551" s="163">
        <f ca="1">IMSS[[#This Row],[DIAS LAB]]*IMSS[[#This Row],[SDI]]*$Q$114</f>
        <v>119.01369863013699</v>
      </c>
      <c r="Q551" s="166">
        <f ca="1">IMSS[[#This Row],[DIAS LAB]]*IMSS[[#This Row],[SDI]]*$Q$115</f>
        <v>238.02739726027397</v>
      </c>
      <c r="R551" s="163">
        <f ca="1">IMSS[[#This Row],[DIAS LAB]]*IMSS[[#This Row],[SDI]]*$Q$116</f>
        <v>374.89315068493153</v>
      </c>
      <c r="S551" s="163">
        <f ca="1">IMSS[[#This Row],[DIAS LAB]]*IMSS[[#This Row],[SDI]]*$Q$117</f>
        <v>595.06849315068496</v>
      </c>
      <c r="T551" s="164">
        <f ca="1">SUM(IMSS[[#This Row],[P RSG TRB]:[P INFONAVIT]])</f>
        <v>2398.9062493150686</v>
      </c>
      <c r="U551" s="163">
        <f ca="1">IMSS[[#This Row],[DIAS LAB]]*IMSS[[#This Row],[SDI]]*IMSS[[#This Row],[% RSG]]*$R$108</f>
        <v>0</v>
      </c>
      <c r="V551" s="163">
        <f ca="1">IMSS[[#This Row],[DIAS LAB]]*IMSS[[#This Row],[SDI]]*$R$112</f>
        <v>29.753424657534246</v>
      </c>
      <c r="W551" s="163"/>
      <c r="X551" s="163">
        <f ca="1">IMSS[[#This Row],[DIAS LAB]]*IMSS[[#This Row],[SDI]]*$R$113</f>
        <v>74.978630136986297</v>
      </c>
      <c r="Y551" s="163">
        <f ca="1">IMSS[[#This Row],[DIAS LAB]]*IMSS[[#This Row],[SDI]]*$R$114</f>
        <v>0</v>
      </c>
      <c r="Z551" s="163">
        <f ca="1">IMSS[[#This Row],[DIAS LAB]]*IMSS[[#This Row],[SDI]]*$R$115</f>
        <v>0</v>
      </c>
      <c r="AA551" s="163">
        <f ca="1">IMSS[[#This Row],[DIAS LAB]]*IMSS[[#This Row],[SDI]]*$R$116</f>
        <v>134.48547945205479</v>
      </c>
      <c r="AB551" s="163">
        <f ca="1">IMSS[[#This Row],[DIAS LAB]]*IMSS[[#This Row],[SDI]]*$R$117</f>
        <v>0</v>
      </c>
      <c r="AC551" s="247">
        <f ca="1">SUM(IMSS[[#This Row],[O RSG TRB]:[O INFONAVIT]])</f>
        <v>239.21753424657533</v>
      </c>
      <c r="AD551" s="163"/>
      <c r="AE551" s="165">
        <f ca="1">IMSS[[#This Row],[P TOTAL]]+IMSS[[#This Row],[O TOTAL]]</f>
        <v>2638.1237835616439</v>
      </c>
      <c r="AF551" s="163"/>
      <c r="AG551" s="163">
        <f>VLOOKUP(IMSS[[#This Row],[SUE MENS]],$AG$110:$AJ$120,1,1)</f>
        <v>9614.67</v>
      </c>
      <c r="AH551" s="163">
        <f>IMSS[[#This Row],[SUE MENS]]-IMSS[[#This Row],[LIM INF]]</f>
        <v>1245.33</v>
      </c>
      <c r="AI551" s="163">
        <f>IMSS[[#This Row],[EXC LIM INF]]*(VLOOKUP(IMSS[[#This Row],[LIM INF]],$AG$110:$AJ$120,4,0))</f>
        <v>199.25279999999998</v>
      </c>
      <c r="AJ551" s="163">
        <f>VLOOKUP(IMSS[[#This Row],[LIM INF]],$AG$110:$AJ$120,3)</f>
        <v>772.1</v>
      </c>
      <c r="AK551" s="163">
        <f>SUM(IMSS[[#This Row],[TASA EXC]]+IMSS[[#This Row],[CUOTA FIJA]])</f>
        <v>971.3528</v>
      </c>
      <c r="AL551" s="163">
        <f>VLOOKUP(IMSS[[#This Row],[SUE MENS]],$AL$110:$AN$120,3,1)</f>
        <v>0</v>
      </c>
      <c r="AM551" s="248">
        <f>IF(IMSS[[#This Row],[ISR CARGO]]-IMSS[[#This Row],[SUBS ISR]]&gt;0,IMSS[[#This Row],[ISR CARGO]]-IMSS[[#This Row],[SUBS ISR]],0)</f>
        <v>971.3528</v>
      </c>
      <c r="AN551" s="248">
        <f>IF(IMSS[[#This Row],[SUBS ISR]]-IMSS[[#This Row],[ISR CARGO]]&gt;0,IMSS[[#This Row],[SUBS ISR]]-IMSS[[#This Row],[ISR CARGO]],0)</f>
        <v>0</v>
      </c>
    </row>
    <row r="552" spans="3:40" ht="15" hidden="1" customHeight="1" x14ac:dyDescent="0.25">
      <c r="C552" s="243">
        <v>652</v>
      </c>
      <c r="D552" s="167" t="str">
        <f>VLOOKUP(IMSS[[#This Row],[NEM]],BDD[],2,0)</f>
        <v>Tatiana Lara Sánchez</v>
      </c>
      <c r="E552" s="167" t="str">
        <f>VLOOKUP(IMSS[[#This Row],[NEM]],BDD[],9,0)</f>
        <v>MATERIALES</v>
      </c>
      <c r="F552" s="168">
        <v>30</v>
      </c>
      <c r="G552" s="139">
        <f>VLOOKUP(IMSS[[#This Row],[NEM]],BDD[],3,0)</f>
        <v>8825</v>
      </c>
      <c r="H552" s="139">
        <f ca="1">VLOOKUP(IMSS[[#This Row],[NEM]],BDD[],25,0)</f>
        <v>322.3744292237443</v>
      </c>
      <c r="I552" s="143">
        <f>VLOOKUP(IMSS[[#This Row],[DEPT]],$B$3:$G$49,6,0)</f>
        <v>4.6532499999999997E-2</v>
      </c>
      <c r="J552" s="163">
        <f ca="1">IMSS[[#This Row],[DIAS LAB]]*IMSS[[#This Row],[SDI]]*IMSS[[#This Row],[% RSG]]*$Q$108</f>
        <v>450.02664383561643</v>
      </c>
      <c r="K552" s="163">
        <f>IMSS[[#This Row],[DIAS LAB]]*$J$110*$Q$109</f>
        <v>548.47440000000006</v>
      </c>
      <c r="L552" s="166">
        <f ca="1">IMSS[[#This Row],[DIAS LAB]]*IF(IMSS[[#This Row],[SDI]]-$J$113&gt;0,IMSS[[#This Row],[SDI]]-$J$113,0)*$Q$110</f>
        <v>17.659761643835612</v>
      </c>
      <c r="M552" s="166">
        <f ca="1">IMSS[[#This Row],[DIAS LAB]]*IMSS[[#This Row],[SDI]]*$Q$111</f>
        <v>101.54794520547946</v>
      </c>
      <c r="N552" s="163">
        <f ca="1">IMSS[[#This Row],[DIAS LAB]]*IMSS[[#This Row],[SDI]]*$Q$112</f>
        <v>67.69863013698631</v>
      </c>
      <c r="O552" s="166">
        <f ca="1">IMSS[[#This Row],[DIAS LAB]]*IMSS[[#This Row],[SDI]]*$Q$113</f>
        <v>169.24657534246577</v>
      </c>
      <c r="P552" s="163">
        <f ca="1">IMSS[[#This Row],[DIAS LAB]]*IMSS[[#This Row],[SDI]]*$Q$114</f>
        <v>96.712328767123296</v>
      </c>
      <c r="Q552" s="166">
        <f ca="1">IMSS[[#This Row],[DIAS LAB]]*IMSS[[#This Row],[SDI]]*$Q$115</f>
        <v>193.42465753424659</v>
      </c>
      <c r="R552" s="163">
        <f ca="1">IMSS[[#This Row],[DIAS LAB]]*IMSS[[#This Row],[SDI]]*$Q$116</f>
        <v>304.64383561643837</v>
      </c>
      <c r="S552" s="163">
        <f ca="1">IMSS[[#This Row],[DIAS LAB]]*IMSS[[#This Row],[SDI]]*$Q$117</f>
        <v>483.56164383561645</v>
      </c>
      <c r="T552" s="164">
        <f ca="1">SUM(IMSS[[#This Row],[P RSG TRB]:[P INFONAVIT]])</f>
        <v>2432.9964219178082</v>
      </c>
      <c r="U552" s="163">
        <f ca="1">IMSS[[#This Row],[DIAS LAB]]*IMSS[[#This Row],[SDI]]*IMSS[[#This Row],[% RSG]]*$R$108</f>
        <v>0</v>
      </c>
      <c r="V552" s="163">
        <f ca="1">IMSS[[#This Row],[DIAS LAB]]*IMSS[[#This Row],[SDI]]*$R$112</f>
        <v>24.178082191780824</v>
      </c>
      <c r="W552" s="163"/>
      <c r="X552" s="163">
        <f ca="1">IMSS[[#This Row],[DIAS LAB]]*IMSS[[#This Row],[SDI]]*$R$113</f>
        <v>60.92876712328767</v>
      </c>
      <c r="Y552" s="163">
        <f ca="1">IMSS[[#This Row],[DIAS LAB]]*IMSS[[#This Row],[SDI]]*$R$114</f>
        <v>0</v>
      </c>
      <c r="Z552" s="163">
        <f ca="1">IMSS[[#This Row],[DIAS LAB]]*IMSS[[#This Row],[SDI]]*$R$115</f>
        <v>0</v>
      </c>
      <c r="AA552" s="163">
        <f ca="1">IMSS[[#This Row],[DIAS LAB]]*IMSS[[#This Row],[SDI]]*$R$116</f>
        <v>109.2849315068493</v>
      </c>
      <c r="AB552" s="163">
        <f ca="1">IMSS[[#This Row],[DIAS LAB]]*IMSS[[#This Row],[SDI]]*$R$117</f>
        <v>0</v>
      </c>
      <c r="AC552" s="247">
        <f ca="1">SUM(IMSS[[#This Row],[O RSG TRB]:[O INFONAVIT]])</f>
        <v>194.39178082191779</v>
      </c>
      <c r="AD552" s="163"/>
      <c r="AE552" s="165">
        <f ca="1">IMSS[[#This Row],[P TOTAL]]+IMSS[[#This Row],[O TOTAL]]</f>
        <v>2627.3882027397258</v>
      </c>
      <c r="AF552" s="163"/>
      <c r="AG552" s="163">
        <f>VLOOKUP(IMSS[[#This Row],[SUE MENS]],$AG$110:$AJ$120,1,1)</f>
        <v>5470.93</v>
      </c>
      <c r="AH552" s="163">
        <f>IMSS[[#This Row],[SUE MENS]]-IMSS[[#This Row],[LIM INF]]</f>
        <v>3354.0699999999997</v>
      </c>
      <c r="AI552" s="163">
        <f>IMSS[[#This Row],[EXC LIM INF]]*(VLOOKUP(IMSS[[#This Row],[LIM INF]],$AG$110:$AJ$120,4,0))</f>
        <v>364.92281600000001</v>
      </c>
      <c r="AJ552" s="163">
        <f>VLOOKUP(IMSS[[#This Row],[LIM INF]],$AG$110:$AJ$120,3)</f>
        <v>321.26</v>
      </c>
      <c r="AK552" s="163">
        <f>SUM(IMSS[[#This Row],[TASA EXC]]+IMSS[[#This Row],[CUOTA FIJA]])</f>
        <v>686.182816</v>
      </c>
      <c r="AL552" s="163">
        <f>VLOOKUP(IMSS[[#This Row],[SUE MENS]],$AL$110:$AN$120,3,1)</f>
        <v>0</v>
      </c>
      <c r="AM552" s="248">
        <f>IF(IMSS[[#This Row],[ISR CARGO]]-IMSS[[#This Row],[SUBS ISR]]&gt;0,IMSS[[#This Row],[ISR CARGO]]-IMSS[[#This Row],[SUBS ISR]],0)</f>
        <v>686.182816</v>
      </c>
      <c r="AN552" s="248">
        <f>IF(IMSS[[#This Row],[SUBS ISR]]-IMSS[[#This Row],[ISR CARGO]]&gt;0,IMSS[[#This Row],[SUBS ISR]]-IMSS[[#This Row],[ISR CARGO]],0)</f>
        <v>0</v>
      </c>
    </row>
    <row r="553" spans="3:40" ht="15" hidden="1" customHeight="1" x14ac:dyDescent="0.25">
      <c r="C553" s="243">
        <v>653</v>
      </c>
      <c r="D553" s="167" t="str">
        <f>VLOOKUP(IMSS[[#This Row],[NEM]],BDD[],2,0)</f>
        <v>Erika Alicia Ortiz Castro</v>
      </c>
      <c r="E553" s="167" t="str">
        <f>VLOOKUP(IMSS[[#This Row],[NEM]],BDD[],9,0)</f>
        <v>ARQUITECT</v>
      </c>
      <c r="F553" s="168">
        <v>30</v>
      </c>
      <c r="G553" s="139">
        <f>VLOOKUP(IMSS[[#This Row],[NEM]],BDD[],3,0)</f>
        <v>8825</v>
      </c>
      <c r="H553" s="139">
        <f ca="1">VLOOKUP(IMSS[[#This Row],[NEM]],BDD[],25,0)</f>
        <v>322.3744292237443</v>
      </c>
      <c r="I553" s="143">
        <f>VLOOKUP(IMSS[[#This Row],[DEPT]],$B$3:$G$49,6,0)</f>
        <v>2.5984400000000001E-2</v>
      </c>
      <c r="J553" s="163">
        <f ca="1">IMSS[[#This Row],[DIAS LAB]]*IMSS[[#This Row],[SDI]]*IMSS[[#This Row],[% RSG]]*$Q$108</f>
        <v>251.30118356164385</v>
      </c>
      <c r="K553" s="163">
        <f>IMSS[[#This Row],[DIAS LAB]]*$J$110*$Q$109</f>
        <v>548.47440000000006</v>
      </c>
      <c r="L553" s="166">
        <f ca="1">IMSS[[#This Row],[DIAS LAB]]*IF(IMSS[[#This Row],[SDI]]-$J$113&gt;0,IMSS[[#This Row],[SDI]]-$J$113,0)*$Q$110</f>
        <v>17.659761643835612</v>
      </c>
      <c r="M553" s="166">
        <f ca="1">IMSS[[#This Row],[DIAS LAB]]*IMSS[[#This Row],[SDI]]*$Q$111</f>
        <v>101.54794520547946</v>
      </c>
      <c r="N553" s="163">
        <f ca="1">IMSS[[#This Row],[DIAS LAB]]*IMSS[[#This Row],[SDI]]*$Q$112</f>
        <v>67.69863013698631</v>
      </c>
      <c r="O553" s="166">
        <f ca="1">IMSS[[#This Row],[DIAS LAB]]*IMSS[[#This Row],[SDI]]*$Q$113</f>
        <v>169.24657534246577</v>
      </c>
      <c r="P553" s="163">
        <f ca="1">IMSS[[#This Row],[DIAS LAB]]*IMSS[[#This Row],[SDI]]*$Q$114</f>
        <v>96.712328767123296</v>
      </c>
      <c r="Q553" s="166">
        <f ca="1">IMSS[[#This Row],[DIAS LAB]]*IMSS[[#This Row],[SDI]]*$Q$115</f>
        <v>193.42465753424659</v>
      </c>
      <c r="R553" s="163">
        <f ca="1">IMSS[[#This Row],[DIAS LAB]]*IMSS[[#This Row],[SDI]]*$Q$116</f>
        <v>304.64383561643837</v>
      </c>
      <c r="S553" s="163">
        <f ca="1">IMSS[[#This Row],[DIAS LAB]]*IMSS[[#This Row],[SDI]]*$Q$117</f>
        <v>483.56164383561645</v>
      </c>
      <c r="T553" s="164">
        <f ca="1">SUM(IMSS[[#This Row],[P RSG TRB]:[P INFONAVIT]])</f>
        <v>2234.270961643836</v>
      </c>
      <c r="U553" s="163">
        <f ca="1">IMSS[[#This Row],[DIAS LAB]]*IMSS[[#This Row],[SDI]]*IMSS[[#This Row],[% RSG]]*$R$108</f>
        <v>0</v>
      </c>
      <c r="V553" s="163">
        <f ca="1">IMSS[[#This Row],[DIAS LAB]]*IMSS[[#This Row],[SDI]]*$R$112</f>
        <v>24.178082191780824</v>
      </c>
      <c r="W553" s="163"/>
      <c r="X553" s="163">
        <f ca="1">IMSS[[#This Row],[DIAS LAB]]*IMSS[[#This Row],[SDI]]*$R$113</f>
        <v>60.92876712328767</v>
      </c>
      <c r="Y553" s="163">
        <f ca="1">IMSS[[#This Row],[DIAS LAB]]*IMSS[[#This Row],[SDI]]*$R$114</f>
        <v>0</v>
      </c>
      <c r="Z553" s="163">
        <f ca="1">IMSS[[#This Row],[DIAS LAB]]*IMSS[[#This Row],[SDI]]*$R$115</f>
        <v>0</v>
      </c>
      <c r="AA553" s="163">
        <f ca="1">IMSS[[#This Row],[DIAS LAB]]*IMSS[[#This Row],[SDI]]*$R$116</f>
        <v>109.2849315068493</v>
      </c>
      <c r="AB553" s="163">
        <f ca="1">IMSS[[#This Row],[DIAS LAB]]*IMSS[[#This Row],[SDI]]*$R$117</f>
        <v>0</v>
      </c>
      <c r="AC553" s="247">
        <f ca="1">SUM(IMSS[[#This Row],[O RSG TRB]:[O INFONAVIT]])</f>
        <v>194.39178082191779</v>
      </c>
      <c r="AD553" s="163"/>
      <c r="AE553" s="165">
        <f ca="1">IMSS[[#This Row],[P TOTAL]]+IMSS[[#This Row],[O TOTAL]]</f>
        <v>2428.6627424657536</v>
      </c>
      <c r="AF553" s="163"/>
      <c r="AG553" s="163">
        <f>VLOOKUP(IMSS[[#This Row],[SUE MENS]],$AG$110:$AJ$120,1,1)</f>
        <v>5470.93</v>
      </c>
      <c r="AH553" s="163">
        <f>IMSS[[#This Row],[SUE MENS]]-IMSS[[#This Row],[LIM INF]]</f>
        <v>3354.0699999999997</v>
      </c>
      <c r="AI553" s="163">
        <f>IMSS[[#This Row],[EXC LIM INF]]*(VLOOKUP(IMSS[[#This Row],[LIM INF]],$AG$110:$AJ$120,4,0))</f>
        <v>364.92281600000001</v>
      </c>
      <c r="AJ553" s="163">
        <f>VLOOKUP(IMSS[[#This Row],[LIM INF]],$AG$110:$AJ$120,3)</f>
        <v>321.26</v>
      </c>
      <c r="AK553" s="163">
        <f>SUM(IMSS[[#This Row],[TASA EXC]]+IMSS[[#This Row],[CUOTA FIJA]])</f>
        <v>686.182816</v>
      </c>
      <c r="AL553" s="163">
        <f>VLOOKUP(IMSS[[#This Row],[SUE MENS]],$AL$110:$AN$120,3,1)</f>
        <v>0</v>
      </c>
      <c r="AM553" s="248">
        <f>IF(IMSS[[#This Row],[ISR CARGO]]-IMSS[[#This Row],[SUBS ISR]]&gt;0,IMSS[[#This Row],[ISR CARGO]]-IMSS[[#This Row],[SUBS ISR]],0)</f>
        <v>686.182816</v>
      </c>
      <c r="AN553" s="248">
        <f>IF(IMSS[[#This Row],[SUBS ISR]]-IMSS[[#This Row],[ISR CARGO]]&gt;0,IMSS[[#This Row],[SUBS ISR]]-IMSS[[#This Row],[ISR CARGO]],0)</f>
        <v>0</v>
      </c>
    </row>
    <row r="554" spans="3:40" ht="15" hidden="1" customHeight="1" x14ac:dyDescent="0.25">
      <c r="C554" s="243">
        <v>654</v>
      </c>
      <c r="D554" s="167" t="str">
        <f>VLOOKUP(IMSS[[#This Row],[NEM]],BDD[],2,0)</f>
        <v>Estefani  Gonzalez Carranza</v>
      </c>
      <c r="E554" s="167" t="str">
        <f>VLOOKUP(IMSS[[#This Row],[NEM]],BDD[],9,0)</f>
        <v>ARQUITECT</v>
      </c>
      <c r="F554" s="168">
        <v>30</v>
      </c>
      <c r="G554" s="139">
        <f>VLOOKUP(IMSS[[#This Row],[NEM]],BDD[],3,0)</f>
        <v>7445</v>
      </c>
      <c r="H554" s="139">
        <f ca="1">VLOOKUP(IMSS[[#This Row],[NEM]],BDD[],25,0)</f>
        <v>271.96347031963467</v>
      </c>
      <c r="I554" s="143">
        <f>VLOOKUP(IMSS[[#This Row],[DEPT]],$B$3:$G$49,6,0)</f>
        <v>2.5984400000000001E-2</v>
      </c>
      <c r="J554" s="163">
        <f ca="1">IMSS[[#This Row],[DIAS LAB]]*IMSS[[#This Row],[SDI]]*IMSS[[#This Row],[% RSG]]*$Q$108</f>
        <v>212.00422794520546</v>
      </c>
      <c r="K554" s="163">
        <f>IMSS[[#This Row],[DIAS LAB]]*$J$110*$Q$109</f>
        <v>548.47440000000006</v>
      </c>
      <c r="L554" s="166">
        <f ca="1">IMSS[[#This Row],[DIAS LAB]]*IF(IMSS[[#This Row],[SDI]]-$J$113&gt;0,IMSS[[#This Row],[SDI]]-$J$113,0)*$Q$110</f>
        <v>1.0241452054794353</v>
      </c>
      <c r="M554" s="166">
        <f ca="1">IMSS[[#This Row],[DIAS LAB]]*IMSS[[#This Row],[SDI]]*$Q$111</f>
        <v>85.668493150684924</v>
      </c>
      <c r="N554" s="163">
        <f ca="1">IMSS[[#This Row],[DIAS LAB]]*IMSS[[#This Row],[SDI]]*$Q$112</f>
        <v>57.11232876712328</v>
      </c>
      <c r="O554" s="166">
        <f ca="1">IMSS[[#This Row],[DIAS LAB]]*IMSS[[#This Row],[SDI]]*$Q$113</f>
        <v>142.7808219178082</v>
      </c>
      <c r="P554" s="163">
        <f ca="1">IMSS[[#This Row],[DIAS LAB]]*IMSS[[#This Row],[SDI]]*$Q$114</f>
        <v>81.589041095890394</v>
      </c>
      <c r="Q554" s="166">
        <f ca="1">IMSS[[#This Row],[DIAS LAB]]*IMSS[[#This Row],[SDI]]*$Q$115</f>
        <v>163.17808219178079</v>
      </c>
      <c r="R554" s="163">
        <f ca="1">IMSS[[#This Row],[DIAS LAB]]*IMSS[[#This Row],[SDI]]*$Q$116</f>
        <v>257.00547945205477</v>
      </c>
      <c r="S554" s="163">
        <f ca="1">IMSS[[#This Row],[DIAS LAB]]*IMSS[[#This Row],[SDI]]*$Q$117</f>
        <v>407.945205479452</v>
      </c>
      <c r="T554" s="164">
        <f ca="1">SUM(IMSS[[#This Row],[P RSG TRB]:[P INFONAVIT]])</f>
        <v>1956.7822252054791</v>
      </c>
      <c r="U554" s="163">
        <f ca="1">IMSS[[#This Row],[DIAS LAB]]*IMSS[[#This Row],[SDI]]*IMSS[[#This Row],[% RSG]]*$R$108</f>
        <v>0</v>
      </c>
      <c r="V554" s="163">
        <f ca="1">IMSS[[#This Row],[DIAS LAB]]*IMSS[[#This Row],[SDI]]*$R$112</f>
        <v>20.397260273972599</v>
      </c>
      <c r="W554" s="163"/>
      <c r="X554" s="163">
        <f ca="1">IMSS[[#This Row],[DIAS LAB]]*IMSS[[#This Row],[SDI]]*$R$113</f>
        <v>51.40109589041095</v>
      </c>
      <c r="Y554" s="163">
        <f ca="1">IMSS[[#This Row],[DIAS LAB]]*IMSS[[#This Row],[SDI]]*$R$114</f>
        <v>0</v>
      </c>
      <c r="Z554" s="163">
        <f ca="1">IMSS[[#This Row],[DIAS LAB]]*IMSS[[#This Row],[SDI]]*$R$115</f>
        <v>0</v>
      </c>
      <c r="AA554" s="163">
        <f ca="1">IMSS[[#This Row],[DIAS LAB]]*IMSS[[#This Row],[SDI]]*$R$116</f>
        <v>92.19561643835614</v>
      </c>
      <c r="AB554" s="163">
        <f ca="1">IMSS[[#This Row],[DIAS LAB]]*IMSS[[#This Row],[SDI]]*$R$117</f>
        <v>0</v>
      </c>
      <c r="AC554" s="247">
        <f ca="1">SUM(IMSS[[#This Row],[O RSG TRB]:[O INFONAVIT]])</f>
        <v>163.99397260273969</v>
      </c>
      <c r="AD554" s="163"/>
      <c r="AE554" s="165">
        <f ca="1">IMSS[[#This Row],[P TOTAL]]+IMSS[[#This Row],[O TOTAL]]</f>
        <v>2120.776197808219</v>
      </c>
      <c r="AF554" s="163"/>
      <c r="AG554" s="163">
        <f>VLOOKUP(IMSS[[#This Row],[SUE MENS]],$AG$110:$AJ$120,1,1)</f>
        <v>5470.93</v>
      </c>
      <c r="AH554" s="163">
        <f>IMSS[[#This Row],[SUE MENS]]-IMSS[[#This Row],[LIM INF]]</f>
        <v>1974.0699999999997</v>
      </c>
      <c r="AI554" s="163">
        <f>IMSS[[#This Row],[EXC LIM INF]]*(VLOOKUP(IMSS[[#This Row],[LIM INF]],$AG$110:$AJ$120,4,0))</f>
        <v>214.77881599999998</v>
      </c>
      <c r="AJ554" s="163">
        <f>VLOOKUP(IMSS[[#This Row],[LIM INF]],$AG$110:$AJ$120,3)</f>
        <v>321.26</v>
      </c>
      <c r="AK554" s="163">
        <f>SUM(IMSS[[#This Row],[TASA EXC]]+IMSS[[#This Row],[CUOTA FIJA]])</f>
        <v>536.038816</v>
      </c>
      <c r="AL554" s="163">
        <f>VLOOKUP(IMSS[[#This Row],[SUE MENS]],$AL$110:$AN$120,3,1)</f>
        <v>0</v>
      </c>
      <c r="AM554" s="248">
        <f>IF(IMSS[[#This Row],[ISR CARGO]]-IMSS[[#This Row],[SUBS ISR]]&gt;0,IMSS[[#This Row],[ISR CARGO]]-IMSS[[#This Row],[SUBS ISR]],0)</f>
        <v>536.038816</v>
      </c>
      <c r="AN554" s="248">
        <f>IF(IMSS[[#This Row],[SUBS ISR]]-IMSS[[#This Row],[ISR CARGO]]&gt;0,IMSS[[#This Row],[SUBS ISR]]-IMSS[[#This Row],[ISR CARGO]],0)</f>
        <v>0</v>
      </c>
    </row>
    <row r="555" spans="3:40" ht="15" hidden="1" customHeight="1" x14ac:dyDescent="0.25">
      <c r="C555" s="243">
        <v>657</v>
      </c>
      <c r="D555" s="167" t="str">
        <f>VLOOKUP(IMSS[[#This Row],[NEM]],BDD[],2,0)</f>
        <v>José Gilberto Hernández López</v>
      </c>
      <c r="E555" s="167" t="str">
        <f>VLOOKUP(IMSS[[#This Row],[NEM]],BDD[],9,0)</f>
        <v>CONTROL</v>
      </c>
      <c r="F555" s="168">
        <v>30</v>
      </c>
      <c r="G555" s="139">
        <f>VLOOKUP(IMSS[[#This Row],[NEM]],BDD[],3,0)</f>
        <v>7445</v>
      </c>
      <c r="H555" s="139">
        <f ca="1">VLOOKUP(IMSS[[#This Row],[NEM]],BDD[],25,0)</f>
        <v>271.96347031963467</v>
      </c>
      <c r="I555" s="143">
        <f>VLOOKUP(IMSS[[#This Row],[DEPT]],$B$3:$G$49,6,0)</f>
        <v>5.4355000000000002E-3</v>
      </c>
      <c r="J555" s="163">
        <f ca="1">IMSS[[#This Row],[DIAS LAB]]*IMSS[[#This Row],[SDI]]*IMSS[[#This Row],[% RSG]]*$Q$108</f>
        <v>44.347723287671229</v>
      </c>
      <c r="K555" s="163">
        <f>IMSS[[#This Row],[DIAS LAB]]*$J$110*$Q$109</f>
        <v>548.47440000000006</v>
      </c>
      <c r="L555" s="166">
        <f ca="1">IMSS[[#This Row],[DIAS LAB]]*IF(IMSS[[#This Row],[SDI]]-$J$113&gt;0,IMSS[[#This Row],[SDI]]-$J$113,0)*$Q$110</f>
        <v>1.0241452054794353</v>
      </c>
      <c r="M555" s="166">
        <f ca="1">IMSS[[#This Row],[DIAS LAB]]*IMSS[[#This Row],[SDI]]*$Q$111</f>
        <v>85.668493150684924</v>
      </c>
      <c r="N555" s="163">
        <f ca="1">IMSS[[#This Row],[DIAS LAB]]*IMSS[[#This Row],[SDI]]*$Q$112</f>
        <v>57.11232876712328</v>
      </c>
      <c r="O555" s="166">
        <f ca="1">IMSS[[#This Row],[DIAS LAB]]*IMSS[[#This Row],[SDI]]*$Q$113</f>
        <v>142.7808219178082</v>
      </c>
      <c r="P555" s="163">
        <f ca="1">IMSS[[#This Row],[DIAS LAB]]*IMSS[[#This Row],[SDI]]*$Q$114</f>
        <v>81.589041095890394</v>
      </c>
      <c r="Q555" s="166">
        <f ca="1">IMSS[[#This Row],[DIAS LAB]]*IMSS[[#This Row],[SDI]]*$Q$115</f>
        <v>163.17808219178079</v>
      </c>
      <c r="R555" s="163">
        <f ca="1">IMSS[[#This Row],[DIAS LAB]]*IMSS[[#This Row],[SDI]]*$Q$116</f>
        <v>257.00547945205477</v>
      </c>
      <c r="S555" s="163">
        <f ca="1">IMSS[[#This Row],[DIAS LAB]]*IMSS[[#This Row],[SDI]]*$Q$117</f>
        <v>407.945205479452</v>
      </c>
      <c r="T555" s="164">
        <f ca="1">SUM(IMSS[[#This Row],[P RSG TRB]:[P INFONAVIT]])</f>
        <v>1789.1257205479449</v>
      </c>
      <c r="U555" s="163">
        <f ca="1">IMSS[[#This Row],[DIAS LAB]]*IMSS[[#This Row],[SDI]]*IMSS[[#This Row],[% RSG]]*$R$108</f>
        <v>0</v>
      </c>
      <c r="V555" s="163">
        <f ca="1">IMSS[[#This Row],[DIAS LAB]]*IMSS[[#This Row],[SDI]]*$R$112</f>
        <v>20.397260273972599</v>
      </c>
      <c r="W555" s="163"/>
      <c r="X555" s="163">
        <f ca="1">IMSS[[#This Row],[DIAS LAB]]*IMSS[[#This Row],[SDI]]*$R$113</f>
        <v>51.40109589041095</v>
      </c>
      <c r="Y555" s="163">
        <f ca="1">IMSS[[#This Row],[DIAS LAB]]*IMSS[[#This Row],[SDI]]*$R$114</f>
        <v>0</v>
      </c>
      <c r="Z555" s="163">
        <f ca="1">IMSS[[#This Row],[DIAS LAB]]*IMSS[[#This Row],[SDI]]*$R$115</f>
        <v>0</v>
      </c>
      <c r="AA555" s="163">
        <f ca="1">IMSS[[#This Row],[DIAS LAB]]*IMSS[[#This Row],[SDI]]*$R$116</f>
        <v>92.19561643835614</v>
      </c>
      <c r="AB555" s="163">
        <f ca="1">IMSS[[#This Row],[DIAS LAB]]*IMSS[[#This Row],[SDI]]*$R$117</f>
        <v>0</v>
      </c>
      <c r="AC555" s="247">
        <f ca="1">SUM(IMSS[[#This Row],[O RSG TRB]:[O INFONAVIT]])</f>
        <v>163.99397260273969</v>
      </c>
      <c r="AD555" s="163"/>
      <c r="AE555" s="165">
        <f ca="1">IMSS[[#This Row],[P TOTAL]]+IMSS[[#This Row],[O TOTAL]]</f>
        <v>1953.1196931506845</v>
      </c>
      <c r="AF555" s="163"/>
      <c r="AG555" s="163">
        <f>VLOOKUP(IMSS[[#This Row],[SUE MENS]],$AG$110:$AJ$120,1,1)</f>
        <v>5470.93</v>
      </c>
      <c r="AH555" s="163">
        <f>IMSS[[#This Row],[SUE MENS]]-IMSS[[#This Row],[LIM INF]]</f>
        <v>1974.0699999999997</v>
      </c>
      <c r="AI555" s="163">
        <f>IMSS[[#This Row],[EXC LIM INF]]*(VLOOKUP(IMSS[[#This Row],[LIM INF]],$AG$110:$AJ$120,4,0))</f>
        <v>214.77881599999998</v>
      </c>
      <c r="AJ555" s="163">
        <f>VLOOKUP(IMSS[[#This Row],[LIM INF]],$AG$110:$AJ$120,3)</f>
        <v>321.26</v>
      </c>
      <c r="AK555" s="163">
        <f>SUM(IMSS[[#This Row],[TASA EXC]]+IMSS[[#This Row],[CUOTA FIJA]])</f>
        <v>536.038816</v>
      </c>
      <c r="AL555" s="163">
        <f>VLOOKUP(IMSS[[#This Row],[SUE MENS]],$AL$110:$AN$120,3,1)</f>
        <v>0</v>
      </c>
      <c r="AM555" s="248">
        <f>IF(IMSS[[#This Row],[ISR CARGO]]-IMSS[[#This Row],[SUBS ISR]]&gt;0,IMSS[[#This Row],[ISR CARGO]]-IMSS[[#This Row],[SUBS ISR]],0)</f>
        <v>536.038816</v>
      </c>
      <c r="AN555" s="248">
        <f>IF(IMSS[[#This Row],[SUBS ISR]]-IMSS[[#This Row],[ISR CARGO]]&gt;0,IMSS[[#This Row],[SUBS ISR]]-IMSS[[#This Row],[ISR CARGO]],0)</f>
        <v>0</v>
      </c>
    </row>
    <row r="556" spans="3:40" ht="15" hidden="1" customHeight="1" x14ac:dyDescent="0.25">
      <c r="C556" s="243">
        <v>658</v>
      </c>
      <c r="D556" s="167" t="str">
        <f>VLOOKUP(IMSS[[#This Row],[NEM]],BDD[],2,0)</f>
        <v>Albino Rivera Carranza</v>
      </c>
      <c r="E556" s="167" t="str">
        <f>VLOOKUP(IMSS[[#This Row],[NEM]],BDD[],9,0)</f>
        <v>SOLUCIONES</v>
      </c>
      <c r="F556" s="168">
        <v>30</v>
      </c>
      <c r="G556" s="139">
        <f>VLOOKUP(IMSS[[#This Row],[NEM]],BDD[],3,0)</f>
        <v>7445</v>
      </c>
      <c r="H556" s="139">
        <f ca="1">VLOOKUP(IMSS[[#This Row],[NEM]],BDD[],25,0)</f>
        <v>271.96347031963467</v>
      </c>
      <c r="I556" s="143">
        <f>VLOOKUP(IMSS[[#This Row],[DEPT]],$B$3:$G$49,6,0)</f>
        <v>5.4355000000000002E-3</v>
      </c>
      <c r="J556" s="163">
        <f ca="1">IMSS[[#This Row],[DIAS LAB]]*IMSS[[#This Row],[SDI]]*IMSS[[#This Row],[% RSG]]*$Q$108</f>
        <v>44.347723287671229</v>
      </c>
      <c r="K556" s="163">
        <f>IMSS[[#This Row],[DIAS LAB]]*$J$110*$Q$109</f>
        <v>548.47440000000006</v>
      </c>
      <c r="L556" s="166">
        <f ca="1">IMSS[[#This Row],[DIAS LAB]]*IF(IMSS[[#This Row],[SDI]]-$J$113&gt;0,IMSS[[#This Row],[SDI]]-$J$113,0)*$Q$110</f>
        <v>1.0241452054794353</v>
      </c>
      <c r="M556" s="166">
        <f ca="1">IMSS[[#This Row],[DIAS LAB]]*IMSS[[#This Row],[SDI]]*$Q$111</f>
        <v>85.668493150684924</v>
      </c>
      <c r="N556" s="163">
        <f ca="1">IMSS[[#This Row],[DIAS LAB]]*IMSS[[#This Row],[SDI]]*$Q$112</f>
        <v>57.11232876712328</v>
      </c>
      <c r="O556" s="166">
        <f ca="1">IMSS[[#This Row],[DIAS LAB]]*IMSS[[#This Row],[SDI]]*$Q$113</f>
        <v>142.7808219178082</v>
      </c>
      <c r="P556" s="163">
        <f ca="1">IMSS[[#This Row],[DIAS LAB]]*IMSS[[#This Row],[SDI]]*$Q$114</f>
        <v>81.589041095890394</v>
      </c>
      <c r="Q556" s="166">
        <f ca="1">IMSS[[#This Row],[DIAS LAB]]*IMSS[[#This Row],[SDI]]*$Q$115</f>
        <v>163.17808219178079</v>
      </c>
      <c r="R556" s="163">
        <f ca="1">IMSS[[#This Row],[DIAS LAB]]*IMSS[[#This Row],[SDI]]*$Q$116</f>
        <v>257.00547945205477</v>
      </c>
      <c r="S556" s="163">
        <f ca="1">IMSS[[#This Row],[DIAS LAB]]*IMSS[[#This Row],[SDI]]*$Q$117</f>
        <v>407.945205479452</v>
      </c>
      <c r="T556" s="164">
        <f ca="1">SUM(IMSS[[#This Row],[P RSG TRB]:[P INFONAVIT]])</f>
        <v>1789.1257205479449</v>
      </c>
      <c r="U556" s="163">
        <f ca="1">IMSS[[#This Row],[DIAS LAB]]*IMSS[[#This Row],[SDI]]*IMSS[[#This Row],[% RSG]]*$R$108</f>
        <v>0</v>
      </c>
      <c r="V556" s="163">
        <f ca="1">IMSS[[#This Row],[DIAS LAB]]*IMSS[[#This Row],[SDI]]*$R$112</f>
        <v>20.397260273972599</v>
      </c>
      <c r="W556" s="163"/>
      <c r="X556" s="163">
        <f ca="1">IMSS[[#This Row],[DIAS LAB]]*IMSS[[#This Row],[SDI]]*$R$113</f>
        <v>51.40109589041095</v>
      </c>
      <c r="Y556" s="163">
        <f ca="1">IMSS[[#This Row],[DIAS LAB]]*IMSS[[#This Row],[SDI]]*$R$114</f>
        <v>0</v>
      </c>
      <c r="Z556" s="163">
        <f ca="1">IMSS[[#This Row],[DIAS LAB]]*IMSS[[#This Row],[SDI]]*$R$115</f>
        <v>0</v>
      </c>
      <c r="AA556" s="163">
        <f ca="1">IMSS[[#This Row],[DIAS LAB]]*IMSS[[#This Row],[SDI]]*$R$116</f>
        <v>92.19561643835614</v>
      </c>
      <c r="AB556" s="163">
        <f ca="1">IMSS[[#This Row],[DIAS LAB]]*IMSS[[#This Row],[SDI]]*$R$117</f>
        <v>0</v>
      </c>
      <c r="AC556" s="247">
        <f ca="1">SUM(IMSS[[#This Row],[O RSG TRB]:[O INFONAVIT]])</f>
        <v>163.99397260273969</v>
      </c>
      <c r="AD556" s="163"/>
      <c r="AE556" s="165">
        <f ca="1">IMSS[[#This Row],[P TOTAL]]+IMSS[[#This Row],[O TOTAL]]</f>
        <v>1953.1196931506845</v>
      </c>
      <c r="AF556" s="163"/>
      <c r="AG556" s="163">
        <f>VLOOKUP(IMSS[[#This Row],[SUE MENS]],$AG$110:$AJ$120,1,1)</f>
        <v>5470.93</v>
      </c>
      <c r="AH556" s="163">
        <f>IMSS[[#This Row],[SUE MENS]]-IMSS[[#This Row],[LIM INF]]</f>
        <v>1974.0699999999997</v>
      </c>
      <c r="AI556" s="163">
        <f>IMSS[[#This Row],[EXC LIM INF]]*(VLOOKUP(IMSS[[#This Row],[LIM INF]],$AG$110:$AJ$120,4,0))</f>
        <v>214.77881599999998</v>
      </c>
      <c r="AJ556" s="163">
        <f>VLOOKUP(IMSS[[#This Row],[LIM INF]],$AG$110:$AJ$120,3)</f>
        <v>321.26</v>
      </c>
      <c r="AK556" s="163">
        <f>SUM(IMSS[[#This Row],[TASA EXC]]+IMSS[[#This Row],[CUOTA FIJA]])</f>
        <v>536.038816</v>
      </c>
      <c r="AL556" s="163">
        <f>VLOOKUP(IMSS[[#This Row],[SUE MENS]],$AL$110:$AN$120,3,1)</f>
        <v>0</v>
      </c>
      <c r="AM556" s="248">
        <f>IF(IMSS[[#This Row],[ISR CARGO]]-IMSS[[#This Row],[SUBS ISR]]&gt;0,IMSS[[#This Row],[ISR CARGO]]-IMSS[[#This Row],[SUBS ISR]],0)</f>
        <v>536.038816</v>
      </c>
      <c r="AN556" s="248">
        <f>IF(IMSS[[#This Row],[SUBS ISR]]-IMSS[[#This Row],[ISR CARGO]]&gt;0,IMSS[[#This Row],[SUBS ISR]]-IMSS[[#This Row],[ISR CARGO]],0)</f>
        <v>0</v>
      </c>
    </row>
    <row r="557" spans="3:40" ht="15" hidden="1" customHeight="1" x14ac:dyDescent="0.25">
      <c r="C557" s="243">
        <v>659</v>
      </c>
      <c r="D557" s="167" t="str">
        <f>VLOOKUP(IMSS[[#This Row],[NEM]],BDD[],2,0)</f>
        <v>Yamin Cardenas Martines</v>
      </c>
      <c r="E557" s="167" t="str">
        <f>VLOOKUP(IMSS[[#This Row],[NEM]],BDD[],9,0)</f>
        <v>INST CAMPO</v>
      </c>
      <c r="F557" s="168">
        <v>30</v>
      </c>
      <c r="G557" s="139">
        <f>VLOOKUP(IMSS[[#This Row],[NEM]],BDD[],3,0)</f>
        <v>9541</v>
      </c>
      <c r="H557" s="139">
        <f ca="1">VLOOKUP(IMSS[[#This Row],[NEM]],BDD[],25,0)</f>
        <v>348.52968036529683</v>
      </c>
      <c r="I557" s="143">
        <f>VLOOKUP(IMSS[[#This Row],[DEPT]],$B$3:$G$49,6,0)</f>
        <v>4.6532499999999997E-2</v>
      </c>
      <c r="J557" s="163">
        <f ca="1">IMSS[[#This Row],[DIAS LAB]]*IMSS[[#This Row],[SDI]]*IMSS[[#This Row],[% RSG]]*$Q$108</f>
        <v>486.53872054794527</v>
      </c>
      <c r="K557" s="163">
        <f>IMSS[[#This Row],[DIAS LAB]]*$J$110*$Q$109</f>
        <v>548.47440000000006</v>
      </c>
      <c r="L557" s="166">
        <f ca="1">IMSS[[#This Row],[DIAS LAB]]*IF(IMSS[[#This Row],[SDI]]-$J$113&gt;0,IMSS[[#This Row],[SDI]]-$J$113,0)*$Q$110</f>
        <v>26.290994520547951</v>
      </c>
      <c r="M557" s="166">
        <f ca="1">IMSS[[#This Row],[DIAS LAB]]*IMSS[[#This Row],[SDI]]*$Q$111</f>
        <v>109.78684931506852</v>
      </c>
      <c r="N557" s="163">
        <f ca="1">IMSS[[#This Row],[DIAS LAB]]*IMSS[[#This Row],[SDI]]*$Q$112</f>
        <v>73.191232876712348</v>
      </c>
      <c r="O557" s="166">
        <f ca="1">IMSS[[#This Row],[DIAS LAB]]*IMSS[[#This Row],[SDI]]*$Q$113</f>
        <v>182.97808219178086</v>
      </c>
      <c r="P557" s="163">
        <f ca="1">IMSS[[#This Row],[DIAS LAB]]*IMSS[[#This Row],[SDI]]*$Q$114</f>
        <v>104.55890410958907</v>
      </c>
      <c r="Q557" s="166">
        <f ca="1">IMSS[[#This Row],[DIAS LAB]]*IMSS[[#This Row],[SDI]]*$Q$115</f>
        <v>209.11780821917813</v>
      </c>
      <c r="R557" s="163">
        <f ca="1">IMSS[[#This Row],[DIAS LAB]]*IMSS[[#This Row],[SDI]]*$Q$116</f>
        <v>329.36054794520555</v>
      </c>
      <c r="S557" s="163">
        <f ca="1">IMSS[[#This Row],[DIAS LAB]]*IMSS[[#This Row],[SDI]]*$Q$117</f>
        <v>522.79452054794535</v>
      </c>
      <c r="T557" s="164">
        <f ca="1">SUM(IMSS[[#This Row],[P RSG TRB]:[P INFONAVIT]])</f>
        <v>2593.0920602739734</v>
      </c>
      <c r="U557" s="163">
        <f ca="1">IMSS[[#This Row],[DIAS LAB]]*IMSS[[#This Row],[SDI]]*IMSS[[#This Row],[% RSG]]*$R$108</f>
        <v>0</v>
      </c>
      <c r="V557" s="163">
        <f ca="1">IMSS[[#This Row],[DIAS LAB]]*IMSS[[#This Row],[SDI]]*$R$112</f>
        <v>26.139726027397266</v>
      </c>
      <c r="W557" s="163"/>
      <c r="X557" s="163">
        <f ca="1">IMSS[[#This Row],[DIAS LAB]]*IMSS[[#This Row],[SDI]]*$R$113</f>
        <v>65.872109589041102</v>
      </c>
      <c r="Y557" s="163">
        <f ca="1">IMSS[[#This Row],[DIAS LAB]]*IMSS[[#This Row],[SDI]]*$R$114</f>
        <v>0</v>
      </c>
      <c r="Z557" s="163">
        <f ca="1">IMSS[[#This Row],[DIAS LAB]]*IMSS[[#This Row],[SDI]]*$R$115</f>
        <v>0</v>
      </c>
      <c r="AA557" s="163">
        <f ca="1">IMSS[[#This Row],[DIAS LAB]]*IMSS[[#This Row],[SDI]]*$R$116</f>
        <v>118.15156164383562</v>
      </c>
      <c r="AB557" s="163">
        <f ca="1">IMSS[[#This Row],[DIAS LAB]]*IMSS[[#This Row],[SDI]]*$R$117</f>
        <v>0</v>
      </c>
      <c r="AC557" s="247">
        <f ca="1">SUM(IMSS[[#This Row],[O RSG TRB]:[O INFONAVIT]])</f>
        <v>210.163397260274</v>
      </c>
      <c r="AD557" s="163"/>
      <c r="AE557" s="165">
        <f ca="1">IMSS[[#This Row],[P TOTAL]]+IMSS[[#This Row],[O TOTAL]]</f>
        <v>2803.2554575342474</v>
      </c>
      <c r="AF557" s="163"/>
      <c r="AG557" s="163">
        <f>VLOOKUP(IMSS[[#This Row],[SUE MENS]],$AG$110:$AJ$120,1,1)</f>
        <v>5470.93</v>
      </c>
      <c r="AH557" s="163">
        <f>IMSS[[#This Row],[SUE MENS]]-IMSS[[#This Row],[LIM INF]]</f>
        <v>4070.0699999999997</v>
      </c>
      <c r="AI557" s="163">
        <f>IMSS[[#This Row],[EXC LIM INF]]*(VLOOKUP(IMSS[[#This Row],[LIM INF]],$AG$110:$AJ$120,4,0))</f>
        <v>442.82361600000002</v>
      </c>
      <c r="AJ557" s="163">
        <f>VLOOKUP(IMSS[[#This Row],[LIM INF]],$AG$110:$AJ$120,3)</f>
        <v>321.26</v>
      </c>
      <c r="AK557" s="163">
        <f>SUM(IMSS[[#This Row],[TASA EXC]]+IMSS[[#This Row],[CUOTA FIJA]])</f>
        <v>764.08361600000001</v>
      </c>
      <c r="AL557" s="163">
        <f>VLOOKUP(IMSS[[#This Row],[SUE MENS]],$AL$110:$AN$120,3,1)</f>
        <v>0</v>
      </c>
      <c r="AM557" s="248">
        <f>IF(IMSS[[#This Row],[ISR CARGO]]-IMSS[[#This Row],[SUBS ISR]]&gt;0,IMSS[[#This Row],[ISR CARGO]]-IMSS[[#This Row],[SUBS ISR]],0)</f>
        <v>764.08361600000001</v>
      </c>
      <c r="AN557" s="248">
        <f>IF(IMSS[[#This Row],[SUBS ISR]]-IMSS[[#This Row],[ISR CARGO]]&gt;0,IMSS[[#This Row],[SUBS ISR]]-IMSS[[#This Row],[ISR CARGO]],0)</f>
        <v>0</v>
      </c>
    </row>
    <row r="558" spans="3:40" ht="15" hidden="1" customHeight="1" x14ac:dyDescent="0.25">
      <c r="C558" s="243">
        <v>663</v>
      </c>
      <c r="D558" s="167" t="str">
        <f>VLOOKUP(IMSS[[#This Row],[NEM]],BDD[],2,0)</f>
        <v>Lizeth Velazquez Lopez</v>
      </c>
      <c r="E558" s="167" t="str">
        <f>VLOOKUP(IMSS[[#This Row],[NEM]],BDD[],9,0)</f>
        <v>MATERIALES</v>
      </c>
      <c r="F558" s="168">
        <v>30</v>
      </c>
      <c r="G558" s="139">
        <f>VLOOKUP(IMSS[[#This Row],[NEM]],BDD[],3,0)</f>
        <v>8825</v>
      </c>
      <c r="H558" s="139">
        <f ca="1">VLOOKUP(IMSS[[#This Row],[NEM]],BDD[],25,0)</f>
        <v>322.3744292237443</v>
      </c>
      <c r="I558" s="143">
        <f>VLOOKUP(IMSS[[#This Row],[DEPT]],$B$3:$G$49,6,0)</f>
        <v>4.6532499999999997E-2</v>
      </c>
      <c r="J558" s="163">
        <f ca="1">IMSS[[#This Row],[DIAS LAB]]*IMSS[[#This Row],[SDI]]*IMSS[[#This Row],[% RSG]]*$Q$108</f>
        <v>450.02664383561643</v>
      </c>
      <c r="K558" s="163">
        <f>IMSS[[#This Row],[DIAS LAB]]*$J$110*$Q$109</f>
        <v>548.47440000000006</v>
      </c>
      <c r="L558" s="166">
        <f ca="1">IMSS[[#This Row],[DIAS LAB]]*IF(IMSS[[#This Row],[SDI]]-$J$113&gt;0,IMSS[[#This Row],[SDI]]-$J$113,0)*$Q$110</f>
        <v>17.659761643835612</v>
      </c>
      <c r="M558" s="166">
        <f ca="1">IMSS[[#This Row],[DIAS LAB]]*IMSS[[#This Row],[SDI]]*$Q$111</f>
        <v>101.54794520547946</v>
      </c>
      <c r="N558" s="163">
        <f ca="1">IMSS[[#This Row],[DIAS LAB]]*IMSS[[#This Row],[SDI]]*$Q$112</f>
        <v>67.69863013698631</v>
      </c>
      <c r="O558" s="166">
        <f ca="1">IMSS[[#This Row],[DIAS LAB]]*IMSS[[#This Row],[SDI]]*$Q$113</f>
        <v>169.24657534246577</v>
      </c>
      <c r="P558" s="163">
        <f ca="1">IMSS[[#This Row],[DIAS LAB]]*IMSS[[#This Row],[SDI]]*$Q$114</f>
        <v>96.712328767123296</v>
      </c>
      <c r="Q558" s="166">
        <f ca="1">IMSS[[#This Row],[DIAS LAB]]*IMSS[[#This Row],[SDI]]*$Q$115</f>
        <v>193.42465753424659</v>
      </c>
      <c r="R558" s="163">
        <f ca="1">IMSS[[#This Row],[DIAS LAB]]*IMSS[[#This Row],[SDI]]*$Q$116</f>
        <v>304.64383561643837</v>
      </c>
      <c r="S558" s="163">
        <f ca="1">IMSS[[#This Row],[DIAS LAB]]*IMSS[[#This Row],[SDI]]*$Q$117</f>
        <v>483.56164383561645</v>
      </c>
      <c r="T558" s="164">
        <f ca="1">SUM(IMSS[[#This Row],[P RSG TRB]:[P INFONAVIT]])</f>
        <v>2432.9964219178082</v>
      </c>
      <c r="U558" s="163">
        <f ca="1">IMSS[[#This Row],[DIAS LAB]]*IMSS[[#This Row],[SDI]]*IMSS[[#This Row],[% RSG]]*$R$108</f>
        <v>0</v>
      </c>
      <c r="V558" s="163">
        <f ca="1">IMSS[[#This Row],[DIAS LAB]]*IMSS[[#This Row],[SDI]]*$R$112</f>
        <v>24.178082191780824</v>
      </c>
      <c r="W558" s="163"/>
      <c r="X558" s="163">
        <f ca="1">IMSS[[#This Row],[DIAS LAB]]*IMSS[[#This Row],[SDI]]*$R$113</f>
        <v>60.92876712328767</v>
      </c>
      <c r="Y558" s="163">
        <f ca="1">IMSS[[#This Row],[DIAS LAB]]*IMSS[[#This Row],[SDI]]*$R$114</f>
        <v>0</v>
      </c>
      <c r="Z558" s="163">
        <f ca="1">IMSS[[#This Row],[DIAS LAB]]*IMSS[[#This Row],[SDI]]*$R$115</f>
        <v>0</v>
      </c>
      <c r="AA558" s="163">
        <f ca="1">IMSS[[#This Row],[DIAS LAB]]*IMSS[[#This Row],[SDI]]*$R$116</f>
        <v>109.2849315068493</v>
      </c>
      <c r="AB558" s="163">
        <f ca="1">IMSS[[#This Row],[DIAS LAB]]*IMSS[[#This Row],[SDI]]*$R$117</f>
        <v>0</v>
      </c>
      <c r="AC558" s="247">
        <f ca="1">SUM(IMSS[[#This Row],[O RSG TRB]:[O INFONAVIT]])</f>
        <v>194.39178082191779</v>
      </c>
      <c r="AD558" s="163"/>
      <c r="AE558" s="165">
        <f ca="1">IMSS[[#This Row],[P TOTAL]]+IMSS[[#This Row],[O TOTAL]]</f>
        <v>2627.3882027397258</v>
      </c>
      <c r="AF558" s="163"/>
      <c r="AG558" s="163">
        <f>VLOOKUP(IMSS[[#This Row],[SUE MENS]],$AG$110:$AJ$120,1,1)</f>
        <v>5470.93</v>
      </c>
      <c r="AH558" s="163">
        <f>IMSS[[#This Row],[SUE MENS]]-IMSS[[#This Row],[LIM INF]]</f>
        <v>3354.0699999999997</v>
      </c>
      <c r="AI558" s="163">
        <f>IMSS[[#This Row],[EXC LIM INF]]*(VLOOKUP(IMSS[[#This Row],[LIM INF]],$AG$110:$AJ$120,4,0))</f>
        <v>364.92281600000001</v>
      </c>
      <c r="AJ558" s="163">
        <f>VLOOKUP(IMSS[[#This Row],[LIM INF]],$AG$110:$AJ$120,3)</f>
        <v>321.26</v>
      </c>
      <c r="AK558" s="163">
        <f>SUM(IMSS[[#This Row],[TASA EXC]]+IMSS[[#This Row],[CUOTA FIJA]])</f>
        <v>686.182816</v>
      </c>
      <c r="AL558" s="163">
        <f>VLOOKUP(IMSS[[#This Row],[SUE MENS]],$AL$110:$AN$120,3,1)</f>
        <v>0</v>
      </c>
      <c r="AM558" s="248">
        <f>IF(IMSS[[#This Row],[ISR CARGO]]-IMSS[[#This Row],[SUBS ISR]]&gt;0,IMSS[[#This Row],[ISR CARGO]]-IMSS[[#This Row],[SUBS ISR]],0)</f>
        <v>686.182816</v>
      </c>
      <c r="AN558" s="248">
        <f>IF(IMSS[[#This Row],[SUBS ISR]]-IMSS[[#This Row],[ISR CARGO]]&gt;0,IMSS[[#This Row],[SUBS ISR]]-IMSS[[#This Row],[ISR CARGO]],0)</f>
        <v>0</v>
      </c>
    </row>
    <row r="559" spans="3:40" ht="15" hidden="1" customHeight="1" x14ac:dyDescent="0.25">
      <c r="C559" s="243">
        <v>664</v>
      </c>
      <c r="D559" s="167" t="str">
        <f>VLOOKUP(IMSS[[#This Row],[NEM]],BDD[],2,0)</f>
        <v>Marcela Camarillo García</v>
      </c>
      <c r="E559" s="167" t="str">
        <f>VLOOKUP(IMSS[[#This Row],[NEM]],BDD[],9,0)</f>
        <v>CONTA</v>
      </c>
      <c r="F559" s="168">
        <v>30</v>
      </c>
      <c r="G559" s="139">
        <f>VLOOKUP(IMSS[[#This Row],[NEM]],BDD[],3,0)</f>
        <v>9541</v>
      </c>
      <c r="H559" s="139">
        <f ca="1">VLOOKUP(IMSS[[#This Row],[NEM]],BDD[],25,0)</f>
        <v>348.52968036529683</v>
      </c>
      <c r="I559" s="143">
        <f>VLOOKUP(IMSS[[#This Row],[DEPT]],$B$3:$G$49,6,0)</f>
        <v>5.4355000000000002E-3</v>
      </c>
      <c r="J559" s="163">
        <f ca="1">IMSS[[#This Row],[DIAS LAB]]*IMSS[[#This Row],[SDI]]*IMSS[[#This Row],[% RSG]]*$Q$108</f>
        <v>56.832992328767133</v>
      </c>
      <c r="K559" s="163">
        <f>IMSS[[#This Row],[DIAS LAB]]*$J$110*$Q$109</f>
        <v>548.47440000000006</v>
      </c>
      <c r="L559" s="166">
        <f ca="1">IMSS[[#This Row],[DIAS LAB]]*IF(IMSS[[#This Row],[SDI]]-$J$113&gt;0,IMSS[[#This Row],[SDI]]-$J$113,0)*$Q$110</f>
        <v>26.290994520547951</v>
      </c>
      <c r="M559" s="166">
        <f ca="1">IMSS[[#This Row],[DIAS LAB]]*IMSS[[#This Row],[SDI]]*$Q$111</f>
        <v>109.78684931506852</v>
      </c>
      <c r="N559" s="163">
        <f ca="1">IMSS[[#This Row],[DIAS LAB]]*IMSS[[#This Row],[SDI]]*$Q$112</f>
        <v>73.191232876712348</v>
      </c>
      <c r="O559" s="166">
        <f ca="1">IMSS[[#This Row],[DIAS LAB]]*IMSS[[#This Row],[SDI]]*$Q$113</f>
        <v>182.97808219178086</v>
      </c>
      <c r="P559" s="163">
        <f ca="1">IMSS[[#This Row],[DIAS LAB]]*IMSS[[#This Row],[SDI]]*$Q$114</f>
        <v>104.55890410958907</v>
      </c>
      <c r="Q559" s="166">
        <f ca="1">IMSS[[#This Row],[DIAS LAB]]*IMSS[[#This Row],[SDI]]*$Q$115</f>
        <v>209.11780821917813</v>
      </c>
      <c r="R559" s="163">
        <f ca="1">IMSS[[#This Row],[DIAS LAB]]*IMSS[[#This Row],[SDI]]*$Q$116</f>
        <v>329.36054794520555</v>
      </c>
      <c r="S559" s="163">
        <f ca="1">IMSS[[#This Row],[DIAS LAB]]*IMSS[[#This Row],[SDI]]*$Q$117</f>
        <v>522.79452054794535</v>
      </c>
      <c r="T559" s="164">
        <f ca="1">SUM(IMSS[[#This Row],[P RSG TRB]:[P INFONAVIT]])</f>
        <v>2163.3863320547948</v>
      </c>
      <c r="U559" s="163">
        <f ca="1">IMSS[[#This Row],[DIAS LAB]]*IMSS[[#This Row],[SDI]]*IMSS[[#This Row],[% RSG]]*$R$108</f>
        <v>0</v>
      </c>
      <c r="V559" s="163">
        <f ca="1">IMSS[[#This Row],[DIAS LAB]]*IMSS[[#This Row],[SDI]]*$R$112</f>
        <v>26.139726027397266</v>
      </c>
      <c r="W559" s="163"/>
      <c r="X559" s="163">
        <f ca="1">IMSS[[#This Row],[DIAS LAB]]*IMSS[[#This Row],[SDI]]*$R$113</f>
        <v>65.872109589041102</v>
      </c>
      <c r="Y559" s="163">
        <f ca="1">IMSS[[#This Row],[DIAS LAB]]*IMSS[[#This Row],[SDI]]*$R$114</f>
        <v>0</v>
      </c>
      <c r="Z559" s="163">
        <f ca="1">IMSS[[#This Row],[DIAS LAB]]*IMSS[[#This Row],[SDI]]*$R$115</f>
        <v>0</v>
      </c>
      <c r="AA559" s="163">
        <f ca="1">IMSS[[#This Row],[DIAS LAB]]*IMSS[[#This Row],[SDI]]*$R$116</f>
        <v>118.15156164383562</v>
      </c>
      <c r="AB559" s="163">
        <f ca="1">IMSS[[#This Row],[DIAS LAB]]*IMSS[[#This Row],[SDI]]*$R$117</f>
        <v>0</v>
      </c>
      <c r="AC559" s="247">
        <f ca="1">SUM(IMSS[[#This Row],[O RSG TRB]:[O INFONAVIT]])</f>
        <v>210.163397260274</v>
      </c>
      <c r="AD559" s="163"/>
      <c r="AE559" s="165">
        <f ca="1">IMSS[[#This Row],[P TOTAL]]+IMSS[[#This Row],[O TOTAL]]</f>
        <v>2373.5497293150688</v>
      </c>
      <c r="AF559" s="163"/>
      <c r="AG559" s="163">
        <f>VLOOKUP(IMSS[[#This Row],[SUE MENS]],$AG$110:$AJ$120,1,1)</f>
        <v>5470.93</v>
      </c>
      <c r="AH559" s="163">
        <f>IMSS[[#This Row],[SUE MENS]]-IMSS[[#This Row],[LIM INF]]</f>
        <v>4070.0699999999997</v>
      </c>
      <c r="AI559" s="163">
        <f>IMSS[[#This Row],[EXC LIM INF]]*(VLOOKUP(IMSS[[#This Row],[LIM INF]],$AG$110:$AJ$120,4,0))</f>
        <v>442.82361600000002</v>
      </c>
      <c r="AJ559" s="163">
        <f>VLOOKUP(IMSS[[#This Row],[LIM INF]],$AG$110:$AJ$120,3)</f>
        <v>321.26</v>
      </c>
      <c r="AK559" s="163">
        <f>SUM(IMSS[[#This Row],[TASA EXC]]+IMSS[[#This Row],[CUOTA FIJA]])</f>
        <v>764.08361600000001</v>
      </c>
      <c r="AL559" s="163">
        <f>VLOOKUP(IMSS[[#This Row],[SUE MENS]],$AL$110:$AN$120,3,1)</f>
        <v>0</v>
      </c>
      <c r="AM559" s="248">
        <f>IF(IMSS[[#This Row],[ISR CARGO]]-IMSS[[#This Row],[SUBS ISR]]&gt;0,IMSS[[#This Row],[ISR CARGO]]-IMSS[[#This Row],[SUBS ISR]],0)</f>
        <v>764.08361600000001</v>
      </c>
      <c r="AN559" s="248">
        <f>IF(IMSS[[#This Row],[SUBS ISR]]-IMSS[[#This Row],[ISR CARGO]]&gt;0,IMSS[[#This Row],[SUBS ISR]]-IMSS[[#This Row],[ISR CARGO]],0)</f>
        <v>0</v>
      </c>
    </row>
    <row r="560" spans="3:40" ht="15" hidden="1" customHeight="1" x14ac:dyDescent="0.25">
      <c r="C560" s="243">
        <v>665</v>
      </c>
      <c r="D560" s="167" t="str">
        <f>VLOOKUP(IMSS[[#This Row],[NEM]],BDD[],2,0)</f>
        <v>Felipe Hipolito Carbajal</v>
      </c>
      <c r="E560" s="167" t="str">
        <f>VLOOKUP(IMSS[[#This Row],[NEM]],BDD[],9,0)</f>
        <v>CONTA</v>
      </c>
      <c r="F560" s="168">
        <v>30</v>
      </c>
      <c r="G560" s="139">
        <f>VLOOKUP(IMSS[[#This Row],[NEM]],BDD[],3,0)</f>
        <v>9541</v>
      </c>
      <c r="H560" s="139">
        <f ca="1">VLOOKUP(IMSS[[#This Row],[NEM]],BDD[],25,0)</f>
        <v>348.52968036529683</v>
      </c>
      <c r="I560" s="143">
        <f>VLOOKUP(IMSS[[#This Row],[DEPT]],$B$3:$G$49,6,0)</f>
        <v>5.4355000000000002E-3</v>
      </c>
      <c r="J560" s="163">
        <f ca="1">IMSS[[#This Row],[DIAS LAB]]*IMSS[[#This Row],[SDI]]*IMSS[[#This Row],[% RSG]]*$Q$108</f>
        <v>56.832992328767133</v>
      </c>
      <c r="K560" s="163">
        <f>IMSS[[#This Row],[DIAS LAB]]*$J$110*$Q$109</f>
        <v>548.47440000000006</v>
      </c>
      <c r="L560" s="166">
        <f ca="1">IMSS[[#This Row],[DIAS LAB]]*IF(IMSS[[#This Row],[SDI]]-$J$113&gt;0,IMSS[[#This Row],[SDI]]-$J$113,0)*$Q$110</f>
        <v>26.290994520547951</v>
      </c>
      <c r="M560" s="166">
        <f ca="1">IMSS[[#This Row],[DIAS LAB]]*IMSS[[#This Row],[SDI]]*$Q$111</f>
        <v>109.78684931506852</v>
      </c>
      <c r="N560" s="163">
        <f ca="1">IMSS[[#This Row],[DIAS LAB]]*IMSS[[#This Row],[SDI]]*$Q$112</f>
        <v>73.191232876712348</v>
      </c>
      <c r="O560" s="166">
        <f ca="1">IMSS[[#This Row],[DIAS LAB]]*IMSS[[#This Row],[SDI]]*$Q$113</f>
        <v>182.97808219178086</v>
      </c>
      <c r="P560" s="163">
        <f ca="1">IMSS[[#This Row],[DIAS LAB]]*IMSS[[#This Row],[SDI]]*$Q$114</f>
        <v>104.55890410958907</v>
      </c>
      <c r="Q560" s="166">
        <f ca="1">IMSS[[#This Row],[DIAS LAB]]*IMSS[[#This Row],[SDI]]*$Q$115</f>
        <v>209.11780821917813</v>
      </c>
      <c r="R560" s="163">
        <f ca="1">IMSS[[#This Row],[DIAS LAB]]*IMSS[[#This Row],[SDI]]*$Q$116</f>
        <v>329.36054794520555</v>
      </c>
      <c r="S560" s="163">
        <f ca="1">IMSS[[#This Row],[DIAS LAB]]*IMSS[[#This Row],[SDI]]*$Q$117</f>
        <v>522.79452054794535</v>
      </c>
      <c r="T560" s="164">
        <f ca="1">SUM(IMSS[[#This Row],[P RSG TRB]:[P INFONAVIT]])</f>
        <v>2163.3863320547948</v>
      </c>
      <c r="U560" s="163">
        <f ca="1">IMSS[[#This Row],[DIAS LAB]]*IMSS[[#This Row],[SDI]]*IMSS[[#This Row],[% RSG]]*$R$108</f>
        <v>0</v>
      </c>
      <c r="V560" s="163">
        <f ca="1">IMSS[[#This Row],[DIAS LAB]]*IMSS[[#This Row],[SDI]]*$R$112</f>
        <v>26.139726027397266</v>
      </c>
      <c r="W560" s="163"/>
      <c r="X560" s="163">
        <f ca="1">IMSS[[#This Row],[DIAS LAB]]*IMSS[[#This Row],[SDI]]*$R$113</f>
        <v>65.872109589041102</v>
      </c>
      <c r="Y560" s="163">
        <f ca="1">IMSS[[#This Row],[DIAS LAB]]*IMSS[[#This Row],[SDI]]*$R$114</f>
        <v>0</v>
      </c>
      <c r="Z560" s="163">
        <f ca="1">IMSS[[#This Row],[DIAS LAB]]*IMSS[[#This Row],[SDI]]*$R$115</f>
        <v>0</v>
      </c>
      <c r="AA560" s="163">
        <f ca="1">IMSS[[#This Row],[DIAS LAB]]*IMSS[[#This Row],[SDI]]*$R$116</f>
        <v>118.15156164383562</v>
      </c>
      <c r="AB560" s="163">
        <f ca="1">IMSS[[#This Row],[DIAS LAB]]*IMSS[[#This Row],[SDI]]*$R$117</f>
        <v>0</v>
      </c>
      <c r="AC560" s="247">
        <f ca="1">SUM(IMSS[[#This Row],[O RSG TRB]:[O INFONAVIT]])</f>
        <v>210.163397260274</v>
      </c>
      <c r="AD560" s="163"/>
      <c r="AE560" s="165">
        <f ca="1">IMSS[[#This Row],[P TOTAL]]+IMSS[[#This Row],[O TOTAL]]</f>
        <v>2373.5497293150688</v>
      </c>
      <c r="AF560" s="163"/>
      <c r="AG560" s="163">
        <f>VLOOKUP(IMSS[[#This Row],[SUE MENS]],$AG$110:$AJ$120,1,1)</f>
        <v>5470.93</v>
      </c>
      <c r="AH560" s="163">
        <f>IMSS[[#This Row],[SUE MENS]]-IMSS[[#This Row],[LIM INF]]</f>
        <v>4070.0699999999997</v>
      </c>
      <c r="AI560" s="163">
        <f>IMSS[[#This Row],[EXC LIM INF]]*(VLOOKUP(IMSS[[#This Row],[LIM INF]],$AG$110:$AJ$120,4,0))</f>
        <v>442.82361600000002</v>
      </c>
      <c r="AJ560" s="163">
        <f>VLOOKUP(IMSS[[#This Row],[LIM INF]],$AG$110:$AJ$120,3)</f>
        <v>321.26</v>
      </c>
      <c r="AK560" s="163">
        <f>SUM(IMSS[[#This Row],[TASA EXC]]+IMSS[[#This Row],[CUOTA FIJA]])</f>
        <v>764.08361600000001</v>
      </c>
      <c r="AL560" s="163">
        <f>VLOOKUP(IMSS[[#This Row],[SUE MENS]],$AL$110:$AN$120,3,1)</f>
        <v>0</v>
      </c>
      <c r="AM560" s="248">
        <f>IF(IMSS[[#This Row],[ISR CARGO]]-IMSS[[#This Row],[SUBS ISR]]&gt;0,IMSS[[#This Row],[ISR CARGO]]-IMSS[[#This Row],[SUBS ISR]],0)</f>
        <v>764.08361600000001</v>
      </c>
      <c r="AN560" s="248">
        <f>IF(IMSS[[#This Row],[SUBS ISR]]-IMSS[[#This Row],[ISR CARGO]]&gt;0,IMSS[[#This Row],[SUBS ISR]]-IMSS[[#This Row],[ISR CARGO]],0)</f>
        <v>0</v>
      </c>
    </row>
    <row r="561" spans="3:40" ht="15" hidden="1" customHeight="1" x14ac:dyDescent="0.25">
      <c r="C561" s="243">
        <v>666</v>
      </c>
      <c r="D561" s="167" t="str">
        <f>VLOOKUP(IMSS[[#This Row],[NEM]],BDD[],2,0)</f>
        <v>Lisset Guadalupe Cristobal Valdez</v>
      </c>
      <c r="E561" s="167" t="str">
        <f>VLOOKUP(IMSS[[#This Row],[NEM]],BDD[],9,0)</f>
        <v>ADMINCIÓN</v>
      </c>
      <c r="F561" s="168">
        <v>30</v>
      </c>
      <c r="G561" s="139">
        <f>VLOOKUP(IMSS[[#This Row],[NEM]],BDD[],3,0)</f>
        <v>9541</v>
      </c>
      <c r="H561" s="139">
        <f ca="1">VLOOKUP(IMSS[[#This Row],[NEM]],BDD[],25,0)</f>
        <v>348.52968036529683</v>
      </c>
      <c r="I561" s="143">
        <f>VLOOKUP(IMSS[[#This Row],[DEPT]],$B$3:$G$49,6,0)</f>
        <v>5.4355000000000002E-3</v>
      </c>
      <c r="J561" s="163">
        <f ca="1">IMSS[[#This Row],[DIAS LAB]]*IMSS[[#This Row],[SDI]]*IMSS[[#This Row],[% RSG]]*$Q$108</f>
        <v>56.832992328767133</v>
      </c>
      <c r="K561" s="163">
        <f>IMSS[[#This Row],[DIAS LAB]]*$J$110*$Q$109</f>
        <v>548.47440000000006</v>
      </c>
      <c r="L561" s="166">
        <f ca="1">IMSS[[#This Row],[DIAS LAB]]*IF(IMSS[[#This Row],[SDI]]-$J$113&gt;0,IMSS[[#This Row],[SDI]]-$J$113,0)*$Q$110</f>
        <v>26.290994520547951</v>
      </c>
      <c r="M561" s="166">
        <f ca="1">IMSS[[#This Row],[DIAS LAB]]*IMSS[[#This Row],[SDI]]*$Q$111</f>
        <v>109.78684931506852</v>
      </c>
      <c r="N561" s="163">
        <f ca="1">IMSS[[#This Row],[DIAS LAB]]*IMSS[[#This Row],[SDI]]*$Q$112</f>
        <v>73.191232876712348</v>
      </c>
      <c r="O561" s="166">
        <f ca="1">IMSS[[#This Row],[DIAS LAB]]*IMSS[[#This Row],[SDI]]*$Q$113</f>
        <v>182.97808219178086</v>
      </c>
      <c r="P561" s="163">
        <f ca="1">IMSS[[#This Row],[DIAS LAB]]*IMSS[[#This Row],[SDI]]*$Q$114</f>
        <v>104.55890410958907</v>
      </c>
      <c r="Q561" s="166">
        <f ca="1">IMSS[[#This Row],[DIAS LAB]]*IMSS[[#This Row],[SDI]]*$Q$115</f>
        <v>209.11780821917813</v>
      </c>
      <c r="R561" s="163">
        <f ca="1">IMSS[[#This Row],[DIAS LAB]]*IMSS[[#This Row],[SDI]]*$Q$116</f>
        <v>329.36054794520555</v>
      </c>
      <c r="S561" s="163">
        <f ca="1">IMSS[[#This Row],[DIAS LAB]]*IMSS[[#This Row],[SDI]]*$Q$117</f>
        <v>522.79452054794535</v>
      </c>
      <c r="T561" s="164">
        <f ca="1">SUM(IMSS[[#This Row],[P RSG TRB]:[P INFONAVIT]])</f>
        <v>2163.3863320547948</v>
      </c>
      <c r="U561" s="163">
        <f ca="1">IMSS[[#This Row],[DIAS LAB]]*IMSS[[#This Row],[SDI]]*IMSS[[#This Row],[% RSG]]*$R$108</f>
        <v>0</v>
      </c>
      <c r="V561" s="163">
        <f ca="1">IMSS[[#This Row],[DIAS LAB]]*IMSS[[#This Row],[SDI]]*$R$112</f>
        <v>26.139726027397266</v>
      </c>
      <c r="W561" s="163"/>
      <c r="X561" s="163">
        <f ca="1">IMSS[[#This Row],[DIAS LAB]]*IMSS[[#This Row],[SDI]]*$R$113</f>
        <v>65.872109589041102</v>
      </c>
      <c r="Y561" s="163">
        <f ca="1">IMSS[[#This Row],[DIAS LAB]]*IMSS[[#This Row],[SDI]]*$R$114</f>
        <v>0</v>
      </c>
      <c r="Z561" s="163">
        <f ca="1">IMSS[[#This Row],[DIAS LAB]]*IMSS[[#This Row],[SDI]]*$R$115</f>
        <v>0</v>
      </c>
      <c r="AA561" s="163">
        <f ca="1">IMSS[[#This Row],[DIAS LAB]]*IMSS[[#This Row],[SDI]]*$R$116</f>
        <v>118.15156164383562</v>
      </c>
      <c r="AB561" s="163">
        <f ca="1">IMSS[[#This Row],[DIAS LAB]]*IMSS[[#This Row],[SDI]]*$R$117</f>
        <v>0</v>
      </c>
      <c r="AC561" s="247">
        <f ca="1">SUM(IMSS[[#This Row],[O RSG TRB]:[O INFONAVIT]])</f>
        <v>210.163397260274</v>
      </c>
      <c r="AD561" s="163"/>
      <c r="AE561" s="165">
        <f ca="1">IMSS[[#This Row],[P TOTAL]]+IMSS[[#This Row],[O TOTAL]]</f>
        <v>2373.5497293150688</v>
      </c>
      <c r="AF561" s="163"/>
      <c r="AG561" s="163">
        <f>VLOOKUP(IMSS[[#This Row],[SUE MENS]],$AG$110:$AJ$120,1,1)</f>
        <v>5470.93</v>
      </c>
      <c r="AH561" s="163">
        <f>IMSS[[#This Row],[SUE MENS]]-IMSS[[#This Row],[LIM INF]]</f>
        <v>4070.0699999999997</v>
      </c>
      <c r="AI561" s="163">
        <f>IMSS[[#This Row],[EXC LIM INF]]*(VLOOKUP(IMSS[[#This Row],[LIM INF]],$AG$110:$AJ$120,4,0))</f>
        <v>442.82361600000002</v>
      </c>
      <c r="AJ561" s="163">
        <f>VLOOKUP(IMSS[[#This Row],[LIM INF]],$AG$110:$AJ$120,3)</f>
        <v>321.26</v>
      </c>
      <c r="AK561" s="163">
        <f>SUM(IMSS[[#This Row],[TASA EXC]]+IMSS[[#This Row],[CUOTA FIJA]])</f>
        <v>764.08361600000001</v>
      </c>
      <c r="AL561" s="163">
        <f>VLOOKUP(IMSS[[#This Row],[SUE MENS]],$AL$110:$AN$120,3,1)</f>
        <v>0</v>
      </c>
      <c r="AM561" s="248">
        <f>IF(IMSS[[#This Row],[ISR CARGO]]-IMSS[[#This Row],[SUBS ISR]]&gt;0,IMSS[[#This Row],[ISR CARGO]]-IMSS[[#This Row],[SUBS ISR]],0)</f>
        <v>764.08361600000001</v>
      </c>
      <c r="AN561" s="248">
        <f>IF(IMSS[[#This Row],[SUBS ISR]]-IMSS[[#This Row],[ISR CARGO]]&gt;0,IMSS[[#This Row],[SUBS ISR]]-IMSS[[#This Row],[ISR CARGO]],0)</f>
        <v>0</v>
      </c>
    </row>
    <row r="562" spans="3:40" ht="15" hidden="1" customHeight="1" x14ac:dyDescent="0.25">
      <c r="C562" s="243">
        <v>667</v>
      </c>
      <c r="D562" s="167" t="str">
        <f>VLOOKUP(IMSS[[#This Row],[NEM]],BDD[],2,0)</f>
        <v>Angélica Justiniano Galvez</v>
      </c>
      <c r="E562" s="167" t="str">
        <f>VLOOKUP(IMSS[[#This Row],[NEM]],BDD[],9,0)</f>
        <v>ESTRUCTURA</v>
      </c>
      <c r="F562" s="168">
        <v>30</v>
      </c>
      <c r="G562" s="139">
        <f>VLOOKUP(IMSS[[#This Row],[NEM]],BDD[],3,0)</f>
        <v>10860</v>
      </c>
      <c r="H562" s="139">
        <f ca="1">VLOOKUP(IMSS[[#This Row],[NEM]],BDD[],25,0)</f>
        <v>396.71232876712327</v>
      </c>
      <c r="I562" s="143">
        <f>VLOOKUP(IMSS[[#This Row],[DEPT]],$B$3:$G$49,6,0)</f>
        <v>2.5984400000000001E-2</v>
      </c>
      <c r="J562" s="163">
        <f ca="1">IMSS[[#This Row],[DIAS LAB]]*IMSS[[#This Row],[SDI]]*IMSS[[#This Row],[% RSG]]*$Q$108</f>
        <v>309.24995506849319</v>
      </c>
      <c r="K562" s="163">
        <f>IMSS[[#This Row],[DIAS LAB]]*$J$110*$Q$109</f>
        <v>548.47440000000006</v>
      </c>
      <c r="L562" s="166">
        <f ca="1">IMSS[[#This Row],[DIAS LAB]]*IF(IMSS[[#This Row],[SDI]]-$J$113&gt;0,IMSS[[#This Row],[SDI]]-$J$113,0)*$Q$110</f>
        <v>42.191268493150673</v>
      </c>
      <c r="M562" s="166">
        <f ca="1">IMSS[[#This Row],[DIAS LAB]]*IMSS[[#This Row],[SDI]]*$Q$111</f>
        <v>124.96438356164384</v>
      </c>
      <c r="N562" s="163">
        <f ca="1">IMSS[[#This Row],[DIAS LAB]]*IMSS[[#This Row],[SDI]]*$Q$112</f>
        <v>83.30958904109589</v>
      </c>
      <c r="O562" s="166">
        <f ca="1">IMSS[[#This Row],[DIAS LAB]]*IMSS[[#This Row],[SDI]]*$Q$113</f>
        <v>208.27397260273975</v>
      </c>
      <c r="P562" s="163">
        <f ca="1">IMSS[[#This Row],[DIAS LAB]]*IMSS[[#This Row],[SDI]]*$Q$114</f>
        <v>119.01369863013699</v>
      </c>
      <c r="Q562" s="166">
        <f ca="1">IMSS[[#This Row],[DIAS LAB]]*IMSS[[#This Row],[SDI]]*$Q$115</f>
        <v>238.02739726027397</v>
      </c>
      <c r="R562" s="163">
        <f ca="1">IMSS[[#This Row],[DIAS LAB]]*IMSS[[#This Row],[SDI]]*$Q$116</f>
        <v>374.89315068493153</v>
      </c>
      <c r="S562" s="163">
        <f ca="1">IMSS[[#This Row],[DIAS LAB]]*IMSS[[#This Row],[SDI]]*$Q$117</f>
        <v>595.06849315068496</v>
      </c>
      <c r="T562" s="164">
        <f ca="1">SUM(IMSS[[#This Row],[P RSG TRB]:[P INFONAVIT]])</f>
        <v>2643.4663084931508</v>
      </c>
      <c r="U562" s="163">
        <f ca="1">IMSS[[#This Row],[DIAS LAB]]*IMSS[[#This Row],[SDI]]*IMSS[[#This Row],[% RSG]]*$R$108</f>
        <v>0</v>
      </c>
      <c r="V562" s="163">
        <f ca="1">IMSS[[#This Row],[DIAS LAB]]*IMSS[[#This Row],[SDI]]*$R$112</f>
        <v>29.753424657534246</v>
      </c>
      <c r="W562" s="163"/>
      <c r="X562" s="163">
        <f ca="1">IMSS[[#This Row],[DIAS LAB]]*IMSS[[#This Row],[SDI]]*$R$113</f>
        <v>74.978630136986297</v>
      </c>
      <c r="Y562" s="163">
        <f ca="1">IMSS[[#This Row],[DIAS LAB]]*IMSS[[#This Row],[SDI]]*$R$114</f>
        <v>0</v>
      </c>
      <c r="Z562" s="163">
        <f ca="1">IMSS[[#This Row],[DIAS LAB]]*IMSS[[#This Row],[SDI]]*$R$115</f>
        <v>0</v>
      </c>
      <c r="AA562" s="163">
        <f ca="1">IMSS[[#This Row],[DIAS LAB]]*IMSS[[#This Row],[SDI]]*$R$116</f>
        <v>134.48547945205479</v>
      </c>
      <c r="AB562" s="163">
        <f ca="1">IMSS[[#This Row],[DIAS LAB]]*IMSS[[#This Row],[SDI]]*$R$117</f>
        <v>0</v>
      </c>
      <c r="AC562" s="247">
        <f ca="1">SUM(IMSS[[#This Row],[O RSG TRB]:[O INFONAVIT]])</f>
        <v>239.21753424657533</v>
      </c>
      <c r="AD562" s="163"/>
      <c r="AE562" s="165">
        <f ca="1">IMSS[[#This Row],[P TOTAL]]+IMSS[[#This Row],[O TOTAL]]</f>
        <v>2882.6838427397261</v>
      </c>
      <c r="AF562" s="163"/>
      <c r="AG562" s="163">
        <f>VLOOKUP(IMSS[[#This Row],[SUE MENS]],$AG$110:$AJ$120,1,1)</f>
        <v>9614.67</v>
      </c>
      <c r="AH562" s="163">
        <f>IMSS[[#This Row],[SUE MENS]]-IMSS[[#This Row],[LIM INF]]</f>
        <v>1245.33</v>
      </c>
      <c r="AI562" s="163">
        <f>IMSS[[#This Row],[EXC LIM INF]]*(VLOOKUP(IMSS[[#This Row],[LIM INF]],$AG$110:$AJ$120,4,0))</f>
        <v>199.25279999999998</v>
      </c>
      <c r="AJ562" s="163">
        <f>VLOOKUP(IMSS[[#This Row],[LIM INF]],$AG$110:$AJ$120,3)</f>
        <v>772.1</v>
      </c>
      <c r="AK562" s="163">
        <f>SUM(IMSS[[#This Row],[TASA EXC]]+IMSS[[#This Row],[CUOTA FIJA]])</f>
        <v>971.3528</v>
      </c>
      <c r="AL562" s="163">
        <f>VLOOKUP(IMSS[[#This Row],[SUE MENS]],$AL$110:$AN$120,3,1)</f>
        <v>0</v>
      </c>
      <c r="AM562" s="248">
        <f>IF(IMSS[[#This Row],[ISR CARGO]]-IMSS[[#This Row],[SUBS ISR]]&gt;0,IMSS[[#This Row],[ISR CARGO]]-IMSS[[#This Row],[SUBS ISR]],0)</f>
        <v>971.3528</v>
      </c>
      <c r="AN562" s="248">
        <f>IF(IMSS[[#This Row],[SUBS ISR]]-IMSS[[#This Row],[ISR CARGO]]&gt;0,IMSS[[#This Row],[SUBS ISR]]-IMSS[[#This Row],[ISR CARGO]],0)</f>
        <v>0</v>
      </c>
    </row>
    <row r="563" spans="3:40" ht="15" hidden="1" customHeight="1" x14ac:dyDescent="0.25">
      <c r="C563" s="243">
        <v>669</v>
      </c>
      <c r="D563" s="167" t="str">
        <f>VLOOKUP(IMSS[[#This Row],[NEM]],BDD[],2,0)</f>
        <v>Cristina Rivas Vinalay</v>
      </c>
      <c r="E563" s="167" t="str">
        <f>VLOOKUP(IMSS[[#This Row],[NEM]],BDD[],9,0)</f>
        <v>CRÉDITOS</v>
      </c>
      <c r="F563" s="168">
        <v>30</v>
      </c>
      <c r="G563" s="139">
        <f>VLOOKUP(IMSS[[#This Row],[NEM]],BDD[],3,0)</f>
        <v>7445</v>
      </c>
      <c r="H563" s="139">
        <f ca="1">VLOOKUP(IMSS[[#This Row],[NEM]],BDD[],25,0)</f>
        <v>271.96347031963467</v>
      </c>
      <c r="I563" s="143">
        <f>VLOOKUP(IMSS[[#This Row],[DEPT]],$B$3:$G$49,6,0)</f>
        <v>5.4355000000000002E-3</v>
      </c>
      <c r="J563" s="163">
        <f ca="1">IMSS[[#This Row],[DIAS LAB]]*IMSS[[#This Row],[SDI]]*IMSS[[#This Row],[% RSG]]*$Q$108</f>
        <v>44.347723287671229</v>
      </c>
      <c r="K563" s="163">
        <f>IMSS[[#This Row],[DIAS LAB]]*$J$110*$Q$109</f>
        <v>548.47440000000006</v>
      </c>
      <c r="L563" s="166">
        <f ca="1">IMSS[[#This Row],[DIAS LAB]]*IF(IMSS[[#This Row],[SDI]]-$J$113&gt;0,IMSS[[#This Row],[SDI]]-$J$113,0)*$Q$110</f>
        <v>1.0241452054794353</v>
      </c>
      <c r="M563" s="166">
        <f ca="1">IMSS[[#This Row],[DIAS LAB]]*IMSS[[#This Row],[SDI]]*$Q$111</f>
        <v>85.668493150684924</v>
      </c>
      <c r="N563" s="163">
        <f ca="1">IMSS[[#This Row],[DIAS LAB]]*IMSS[[#This Row],[SDI]]*$Q$112</f>
        <v>57.11232876712328</v>
      </c>
      <c r="O563" s="166">
        <f ca="1">IMSS[[#This Row],[DIAS LAB]]*IMSS[[#This Row],[SDI]]*$Q$113</f>
        <v>142.7808219178082</v>
      </c>
      <c r="P563" s="163">
        <f ca="1">IMSS[[#This Row],[DIAS LAB]]*IMSS[[#This Row],[SDI]]*$Q$114</f>
        <v>81.589041095890394</v>
      </c>
      <c r="Q563" s="166">
        <f ca="1">IMSS[[#This Row],[DIAS LAB]]*IMSS[[#This Row],[SDI]]*$Q$115</f>
        <v>163.17808219178079</v>
      </c>
      <c r="R563" s="163">
        <f ca="1">IMSS[[#This Row],[DIAS LAB]]*IMSS[[#This Row],[SDI]]*$Q$116</f>
        <v>257.00547945205477</v>
      </c>
      <c r="S563" s="163">
        <f ca="1">IMSS[[#This Row],[DIAS LAB]]*IMSS[[#This Row],[SDI]]*$Q$117</f>
        <v>407.945205479452</v>
      </c>
      <c r="T563" s="164">
        <f ca="1">SUM(IMSS[[#This Row],[P RSG TRB]:[P INFONAVIT]])</f>
        <v>1789.1257205479449</v>
      </c>
      <c r="U563" s="163">
        <f ca="1">IMSS[[#This Row],[DIAS LAB]]*IMSS[[#This Row],[SDI]]*IMSS[[#This Row],[% RSG]]*$R$108</f>
        <v>0</v>
      </c>
      <c r="V563" s="163">
        <f ca="1">IMSS[[#This Row],[DIAS LAB]]*IMSS[[#This Row],[SDI]]*$R$112</f>
        <v>20.397260273972599</v>
      </c>
      <c r="W563" s="163"/>
      <c r="X563" s="163">
        <f ca="1">IMSS[[#This Row],[DIAS LAB]]*IMSS[[#This Row],[SDI]]*$R$113</f>
        <v>51.40109589041095</v>
      </c>
      <c r="Y563" s="163">
        <f ca="1">IMSS[[#This Row],[DIAS LAB]]*IMSS[[#This Row],[SDI]]*$R$114</f>
        <v>0</v>
      </c>
      <c r="Z563" s="163">
        <f ca="1">IMSS[[#This Row],[DIAS LAB]]*IMSS[[#This Row],[SDI]]*$R$115</f>
        <v>0</v>
      </c>
      <c r="AA563" s="163">
        <f ca="1">IMSS[[#This Row],[DIAS LAB]]*IMSS[[#This Row],[SDI]]*$R$116</f>
        <v>92.19561643835614</v>
      </c>
      <c r="AB563" s="163">
        <f ca="1">IMSS[[#This Row],[DIAS LAB]]*IMSS[[#This Row],[SDI]]*$R$117</f>
        <v>0</v>
      </c>
      <c r="AC563" s="247">
        <f ca="1">SUM(IMSS[[#This Row],[O RSG TRB]:[O INFONAVIT]])</f>
        <v>163.99397260273969</v>
      </c>
      <c r="AD563" s="163"/>
      <c r="AE563" s="165">
        <f ca="1">IMSS[[#This Row],[P TOTAL]]+IMSS[[#This Row],[O TOTAL]]</f>
        <v>1953.1196931506845</v>
      </c>
      <c r="AF563" s="163"/>
      <c r="AG563" s="163">
        <f>VLOOKUP(IMSS[[#This Row],[SUE MENS]],$AG$110:$AJ$120,1,1)</f>
        <v>5470.93</v>
      </c>
      <c r="AH563" s="163">
        <f>IMSS[[#This Row],[SUE MENS]]-IMSS[[#This Row],[LIM INF]]</f>
        <v>1974.0699999999997</v>
      </c>
      <c r="AI563" s="163">
        <f>IMSS[[#This Row],[EXC LIM INF]]*(VLOOKUP(IMSS[[#This Row],[LIM INF]],$AG$110:$AJ$120,4,0))</f>
        <v>214.77881599999998</v>
      </c>
      <c r="AJ563" s="163">
        <f>VLOOKUP(IMSS[[#This Row],[LIM INF]],$AG$110:$AJ$120,3)</f>
        <v>321.26</v>
      </c>
      <c r="AK563" s="163">
        <f>SUM(IMSS[[#This Row],[TASA EXC]]+IMSS[[#This Row],[CUOTA FIJA]])</f>
        <v>536.038816</v>
      </c>
      <c r="AL563" s="163">
        <f>VLOOKUP(IMSS[[#This Row],[SUE MENS]],$AL$110:$AN$120,3,1)</f>
        <v>0</v>
      </c>
      <c r="AM563" s="248">
        <f>IF(IMSS[[#This Row],[ISR CARGO]]-IMSS[[#This Row],[SUBS ISR]]&gt;0,IMSS[[#This Row],[ISR CARGO]]-IMSS[[#This Row],[SUBS ISR]],0)</f>
        <v>536.038816</v>
      </c>
      <c r="AN563" s="248">
        <f>IF(IMSS[[#This Row],[SUBS ISR]]-IMSS[[#This Row],[ISR CARGO]]&gt;0,IMSS[[#This Row],[SUBS ISR]]-IMSS[[#This Row],[ISR CARGO]],0)</f>
        <v>0</v>
      </c>
    </row>
    <row r="564" spans="3:40" ht="15" hidden="1" customHeight="1" x14ac:dyDescent="0.25">
      <c r="C564" s="243">
        <v>670</v>
      </c>
      <c r="D564" s="167" t="str">
        <f>VLOOKUP(IMSS[[#This Row],[NEM]],BDD[],2,0)</f>
        <v>Ana Bertha Cortez Bautista</v>
      </c>
      <c r="E564" s="167" t="str">
        <f>VLOOKUP(IMSS[[#This Row],[NEM]],BDD[],9,0)</f>
        <v>ADMINCIÓN</v>
      </c>
      <c r="F564" s="168">
        <v>30</v>
      </c>
      <c r="G564" s="139">
        <f>VLOOKUP(IMSS[[#This Row],[NEM]],BDD[],3,0)</f>
        <v>10350</v>
      </c>
      <c r="H564" s="139">
        <f ca="1">VLOOKUP(IMSS[[#This Row],[NEM]],BDD[],25,0)</f>
        <v>378.08219178082192</v>
      </c>
      <c r="I564" s="143">
        <f>VLOOKUP(IMSS[[#This Row],[DEPT]],$B$3:$G$49,6,0)</f>
        <v>5.4355000000000002E-3</v>
      </c>
      <c r="J564" s="163">
        <f ca="1">IMSS[[#This Row],[DIAS LAB]]*IMSS[[#This Row],[SDI]]*IMSS[[#This Row],[% RSG]]*$Q$108</f>
        <v>61.651972602739733</v>
      </c>
      <c r="K564" s="163">
        <f>IMSS[[#This Row],[DIAS LAB]]*$J$110*$Q$109</f>
        <v>548.47440000000006</v>
      </c>
      <c r="L564" s="166">
        <f ca="1">IMSS[[#This Row],[DIAS LAB]]*IF(IMSS[[#This Row],[SDI]]-$J$113&gt;0,IMSS[[#This Row],[SDI]]-$J$113,0)*$Q$110</f>
        <v>36.043323287671221</v>
      </c>
      <c r="M564" s="166">
        <f ca="1">IMSS[[#This Row],[DIAS LAB]]*IMSS[[#This Row],[SDI]]*$Q$111</f>
        <v>119.09589041095892</v>
      </c>
      <c r="N564" s="163">
        <f ca="1">IMSS[[#This Row],[DIAS LAB]]*IMSS[[#This Row],[SDI]]*$Q$112</f>
        <v>79.397260273972606</v>
      </c>
      <c r="O564" s="166">
        <f ca="1">IMSS[[#This Row],[DIAS LAB]]*IMSS[[#This Row],[SDI]]*$Q$113</f>
        <v>198.49315068493152</v>
      </c>
      <c r="P564" s="163">
        <f ca="1">IMSS[[#This Row],[DIAS LAB]]*IMSS[[#This Row],[SDI]]*$Q$114</f>
        <v>113.42465753424658</v>
      </c>
      <c r="Q564" s="166">
        <f ca="1">IMSS[[#This Row],[DIAS LAB]]*IMSS[[#This Row],[SDI]]*$Q$115</f>
        <v>226.84931506849315</v>
      </c>
      <c r="R564" s="163">
        <f ca="1">IMSS[[#This Row],[DIAS LAB]]*IMSS[[#This Row],[SDI]]*$Q$116</f>
        <v>357.28767123287673</v>
      </c>
      <c r="S564" s="163">
        <f ca="1">IMSS[[#This Row],[DIAS LAB]]*IMSS[[#This Row],[SDI]]*$Q$117</f>
        <v>567.1232876712329</v>
      </c>
      <c r="T564" s="164">
        <f ca="1">SUM(IMSS[[#This Row],[P RSG TRB]:[P INFONAVIT]])</f>
        <v>2307.8409287671234</v>
      </c>
      <c r="U564" s="163">
        <f ca="1">IMSS[[#This Row],[DIAS LAB]]*IMSS[[#This Row],[SDI]]*IMSS[[#This Row],[% RSG]]*$R$108</f>
        <v>0</v>
      </c>
      <c r="V564" s="163">
        <f ca="1">IMSS[[#This Row],[DIAS LAB]]*IMSS[[#This Row],[SDI]]*$R$112</f>
        <v>28.356164383561644</v>
      </c>
      <c r="W564" s="163"/>
      <c r="X564" s="163">
        <f ca="1">IMSS[[#This Row],[DIAS LAB]]*IMSS[[#This Row],[SDI]]*$R$113</f>
        <v>71.457534246575349</v>
      </c>
      <c r="Y564" s="163">
        <f ca="1">IMSS[[#This Row],[DIAS LAB]]*IMSS[[#This Row],[SDI]]*$R$114</f>
        <v>0</v>
      </c>
      <c r="Z564" s="163">
        <f ca="1">IMSS[[#This Row],[DIAS LAB]]*IMSS[[#This Row],[SDI]]*$R$115</f>
        <v>0</v>
      </c>
      <c r="AA564" s="163">
        <f ca="1">IMSS[[#This Row],[DIAS LAB]]*IMSS[[#This Row],[SDI]]*$R$116</f>
        <v>128.16986301369863</v>
      </c>
      <c r="AB564" s="163">
        <f ca="1">IMSS[[#This Row],[DIAS LAB]]*IMSS[[#This Row],[SDI]]*$R$117</f>
        <v>0</v>
      </c>
      <c r="AC564" s="247">
        <f ca="1">SUM(IMSS[[#This Row],[O RSG TRB]:[O INFONAVIT]])</f>
        <v>227.98356164383563</v>
      </c>
      <c r="AD564" s="163"/>
      <c r="AE564" s="165">
        <f ca="1">IMSS[[#This Row],[P TOTAL]]+IMSS[[#This Row],[O TOTAL]]</f>
        <v>2535.8244904109588</v>
      </c>
      <c r="AF564" s="163"/>
      <c r="AG564" s="163">
        <f>VLOOKUP(IMSS[[#This Row],[SUE MENS]],$AG$110:$AJ$120,1,1)</f>
        <v>9614.67</v>
      </c>
      <c r="AH564" s="163">
        <f>IMSS[[#This Row],[SUE MENS]]-IMSS[[#This Row],[LIM INF]]</f>
        <v>735.32999999999993</v>
      </c>
      <c r="AI564" s="163">
        <f>IMSS[[#This Row],[EXC LIM INF]]*(VLOOKUP(IMSS[[#This Row],[LIM INF]],$AG$110:$AJ$120,4,0))</f>
        <v>117.65279999999998</v>
      </c>
      <c r="AJ564" s="163">
        <f>VLOOKUP(IMSS[[#This Row],[LIM INF]],$AG$110:$AJ$120,3)</f>
        <v>772.1</v>
      </c>
      <c r="AK564" s="163">
        <f>SUM(IMSS[[#This Row],[TASA EXC]]+IMSS[[#This Row],[CUOTA FIJA]])</f>
        <v>889.75279999999998</v>
      </c>
      <c r="AL564" s="163">
        <f>VLOOKUP(IMSS[[#This Row],[SUE MENS]],$AL$110:$AN$120,3,1)</f>
        <v>0</v>
      </c>
      <c r="AM564" s="248">
        <f>IF(IMSS[[#This Row],[ISR CARGO]]-IMSS[[#This Row],[SUBS ISR]]&gt;0,IMSS[[#This Row],[ISR CARGO]]-IMSS[[#This Row],[SUBS ISR]],0)</f>
        <v>889.75279999999998</v>
      </c>
      <c r="AN564" s="248">
        <f>IF(IMSS[[#This Row],[SUBS ISR]]-IMSS[[#This Row],[ISR CARGO]]&gt;0,IMSS[[#This Row],[SUBS ISR]]-IMSS[[#This Row],[ISR CARGO]],0)</f>
        <v>0</v>
      </c>
    </row>
    <row r="565" spans="3:40" ht="15" hidden="1" customHeight="1" x14ac:dyDescent="0.25">
      <c r="C565" s="243">
        <v>671</v>
      </c>
      <c r="D565" s="167" t="str">
        <f>VLOOKUP(IMSS[[#This Row],[NEM]],BDD[],2,0)</f>
        <v>Diana Laura Lomas Rangel</v>
      </c>
      <c r="E565" s="167" t="str">
        <f>VLOOKUP(IMSS[[#This Row],[NEM]],BDD[],9,0)</f>
        <v>ANLIS COST</v>
      </c>
      <c r="F565" s="168">
        <v>30</v>
      </c>
      <c r="G565" s="139">
        <f>VLOOKUP(IMSS[[#This Row],[NEM]],BDD[],3,0)</f>
        <v>7445</v>
      </c>
      <c r="H565" s="139">
        <f ca="1">VLOOKUP(IMSS[[#This Row],[NEM]],BDD[],25,0)</f>
        <v>271.96347031963467</v>
      </c>
      <c r="I565" s="143">
        <f>VLOOKUP(IMSS[[#This Row],[DEPT]],$B$3:$G$49,6,0)</f>
        <v>1.130658E-2</v>
      </c>
      <c r="J565" s="163">
        <f ca="1">IMSS[[#This Row],[DIAS LAB]]*IMSS[[#This Row],[SDI]]*IMSS[[#This Row],[% RSG]]*$Q$108</f>
        <v>92.249302027397249</v>
      </c>
      <c r="K565" s="163">
        <f>IMSS[[#This Row],[DIAS LAB]]*$J$110*$Q$109</f>
        <v>548.47440000000006</v>
      </c>
      <c r="L565" s="166">
        <f ca="1">IMSS[[#This Row],[DIAS LAB]]*IF(IMSS[[#This Row],[SDI]]-$J$113&gt;0,IMSS[[#This Row],[SDI]]-$J$113,0)*$Q$110</f>
        <v>1.0241452054794353</v>
      </c>
      <c r="M565" s="166">
        <f ca="1">IMSS[[#This Row],[DIAS LAB]]*IMSS[[#This Row],[SDI]]*$Q$111</f>
        <v>85.668493150684924</v>
      </c>
      <c r="N565" s="163">
        <f ca="1">IMSS[[#This Row],[DIAS LAB]]*IMSS[[#This Row],[SDI]]*$Q$112</f>
        <v>57.11232876712328</v>
      </c>
      <c r="O565" s="166">
        <f ca="1">IMSS[[#This Row],[DIAS LAB]]*IMSS[[#This Row],[SDI]]*$Q$113</f>
        <v>142.7808219178082</v>
      </c>
      <c r="P565" s="163">
        <f ca="1">IMSS[[#This Row],[DIAS LAB]]*IMSS[[#This Row],[SDI]]*$Q$114</f>
        <v>81.589041095890394</v>
      </c>
      <c r="Q565" s="166">
        <f ca="1">IMSS[[#This Row],[DIAS LAB]]*IMSS[[#This Row],[SDI]]*$Q$115</f>
        <v>163.17808219178079</v>
      </c>
      <c r="R565" s="163">
        <f ca="1">IMSS[[#This Row],[DIAS LAB]]*IMSS[[#This Row],[SDI]]*$Q$116</f>
        <v>257.00547945205477</v>
      </c>
      <c r="S565" s="163">
        <f ca="1">IMSS[[#This Row],[DIAS LAB]]*IMSS[[#This Row],[SDI]]*$Q$117</f>
        <v>407.945205479452</v>
      </c>
      <c r="T565" s="164">
        <f ca="1">SUM(IMSS[[#This Row],[P RSG TRB]:[P INFONAVIT]])</f>
        <v>1837.027299287671</v>
      </c>
      <c r="U565" s="163">
        <f ca="1">IMSS[[#This Row],[DIAS LAB]]*IMSS[[#This Row],[SDI]]*IMSS[[#This Row],[% RSG]]*$R$108</f>
        <v>0</v>
      </c>
      <c r="V565" s="163">
        <f ca="1">IMSS[[#This Row],[DIAS LAB]]*IMSS[[#This Row],[SDI]]*$R$112</f>
        <v>20.397260273972599</v>
      </c>
      <c r="W565" s="163"/>
      <c r="X565" s="163">
        <f ca="1">IMSS[[#This Row],[DIAS LAB]]*IMSS[[#This Row],[SDI]]*$R$113</f>
        <v>51.40109589041095</v>
      </c>
      <c r="Y565" s="163">
        <f ca="1">IMSS[[#This Row],[DIAS LAB]]*IMSS[[#This Row],[SDI]]*$R$114</f>
        <v>0</v>
      </c>
      <c r="Z565" s="163">
        <f ca="1">IMSS[[#This Row],[DIAS LAB]]*IMSS[[#This Row],[SDI]]*$R$115</f>
        <v>0</v>
      </c>
      <c r="AA565" s="163">
        <f ca="1">IMSS[[#This Row],[DIAS LAB]]*IMSS[[#This Row],[SDI]]*$R$116</f>
        <v>92.19561643835614</v>
      </c>
      <c r="AB565" s="163">
        <f ca="1">IMSS[[#This Row],[DIAS LAB]]*IMSS[[#This Row],[SDI]]*$R$117</f>
        <v>0</v>
      </c>
      <c r="AC565" s="247">
        <f ca="1">SUM(IMSS[[#This Row],[O RSG TRB]:[O INFONAVIT]])</f>
        <v>163.99397260273969</v>
      </c>
      <c r="AD565" s="163"/>
      <c r="AE565" s="165">
        <f ca="1">IMSS[[#This Row],[P TOTAL]]+IMSS[[#This Row],[O TOTAL]]</f>
        <v>2001.0212718904106</v>
      </c>
      <c r="AF565" s="163"/>
      <c r="AG565" s="163">
        <f>VLOOKUP(IMSS[[#This Row],[SUE MENS]],$AG$110:$AJ$120,1,1)</f>
        <v>5470.93</v>
      </c>
      <c r="AH565" s="163">
        <f>IMSS[[#This Row],[SUE MENS]]-IMSS[[#This Row],[LIM INF]]</f>
        <v>1974.0699999999997</v>
      </c>
      <c r="AI565" s="163">
        <f>IMSS[[#This Row],[EXC LIM INF]]*(VLOOKUP(IMSS[[#This Row],[LIM INF]],$AG$110:$AJ$120,4,0))</f>
        <v>214.77881599999998</v>
      </c>
      <c r="AJ565" s="163">
        <f>VLOOKUP(IMSS[[#This Row],[LIM INF]],$AG$110:$AJ$120,3)</f>
        <v>321.26</v>
      </c>
      <c r="AK565" s="163">
        <f>SUM(IMSS[[#This Row],[TASA EXC]]+IMSS[[#This Row],[CUOTA FIJA]])</f>
        <v>536.038816</v>
      </c>
      <c r="AL565" s="163">
        <f>VLOOKUP(IMSS[[#This Row],[SUE MENS]],$AL$110:$AN$120,3,1)</f>
        <v>0</v>
      </c>
      <c r="AM565" s="248">
        <f>IF(IMSS[[#This Row],[ISR CARGO]]-IMSS[[#This Row],[SUBS ISR]]&gt;0,IMSS[[#This Row],[ISR CARGO]]-IMSS[[#This Row],[SUBS ISR]],0)</f>
        <v>536.038816</v>
      </c>
      <c r="AN565" s="248">
        <f>IF(IMSS[[#This Row],[SUBS ISR]]-IMSS[[#This Row],[ISR CARGO]]&gt;0,IMSS[[#This Row],[SUBS ISR]]-IMSS[[#This Row],[ISR CARGO]],0)</f>
        <v>0</v>
      </c>
    </row>
    <row r="566" spans="3:40" ht="15" hidden="1" customHeight="1" x14ac:dyDescent="0.25">
      <c r="C566" s="243">
        <v>673</v>
      </c>
      <c r="D566" s="167" t="str">
        <f>VLOOKUP(IMSS[[#This Row],[NEM]],BDD[],2,0)</f>
        <v>Aldo Alejandro Quiroga Vargas</v>
      </c>
      <c r="E566" s="167" t="str">
        <f>VLOOKUP(IMSS[[#This Row],[NEM]],BDD[],9,0)</f>
        <v>RENDER</v>
      </c>
      <c r="F566" s="168">
        <v>30</v>
      </c>
      <c r="G566" s="139">
        <f>VLOOKUP(IMSS[[#This Row],[NEM]],BDD[],3,0)</f>
        <v>7445</v>
      </c>
      <c r="H566" s="139">
        <f ca="1">VLOOKUP(IMSS[[#This Row],[NEM]],BDD[],25,0)</f>
        <v>271.96347031963467</v>
      </c>
      <c r="I566" s="143">
        <f>VLOOKUP(IMSS[[#This Row],[DEPT]],$B$3:$G$49,6,0)</f>
        <v>2.5984400000000001E-2</v>
      </c>
      <c r="J566" s="163">
        <f ca="1">IMSS[[#This Row],[DIAS LAB]]*IMSS[[#This Row],[SDI]]*IMSS[[#This Row],[% RSG]]*$Q$108</f>
        <v>212.00422794520546</v>
      </c>
      <c r="K566" s="163">
        <f>IMSS[[#This Row],[DIAS LAB]]*$J$110*$Q$109</f>
        <v>548.47440000000006</v>
      </c>
      <c r="L566" s="166">
        <f ca="1">IMSS[[#This Row],[DIAS LAB]]*IF(IMSS[[#This Row],[SDI]]-$J$113&gt;0,IMSS[[#This Row],[SDI]]-$J$113,0)*$Q$110</f>
        <v>1.0241452054794353</v>
      </c>
      <c r="M566" s="166">
        <f ca="1">IMSS[[#This Row],[DIAS LAB]]*IMSS[[#This Row],[SDI]]*$Q$111</f>
        <v>85.668493150684924</v>
      </c>
      <c r="N566" s="163">
        <f ca="1">IMSS[[#This Row],[DIAS LAB]]*IMSS[[#This Row],[SDI]]*$Q$112</f>
        <v>57.11232876712328</v>
      </c>
      <c r="O566" s="166">
        <f ca="1">IMSS[[#This Row],[DIAS LAB]]*IMSS[[#This Row],[SDI]]*$Q$113</f>
        <v>142.7808219178082</v>
      </c>
      <c r="P566" s="163">
        <f ca="1">IMSS[[#This Row],[DIAS LAB]]*IMSS[[#This Row],[SDI]]*$Q$114</f>
        <v>81.589041095890394</v>
      </c>
      <c r="Q566" s="166">
        <f ca="1">IMSS[[#This Row],[DIAS LAB]]*IMSS[[#This Row],[SDI]]*$Q$115</f>
        <v>163.17808219178079</v>
      </c>
      <c r="R566" s="163">
        <f ca="1">IMSS[[#This Row],[DIAS LAB]]*IMSS[[#This Row],[SDI]]*$Q$116</f>
        <v>257.00547945205477</v>
      </c>
      <c r="S566" s="163">
        <f ca="1">IMSS[[#This Row],[DIAS LAB]]*IMSS[[#This Row],[SDI]]*$Q$117</f>
        <v>407.945205479452</v>
      </c>
      <c r="T566" s="164">
        <f ca="1">SUM(IMSS[[#This Row],[P RSG TRB]:[P INFONAVIT]])</f>
        <v>1956.7822252054791</v>
      </c>
      <c r="U566" s="163">
        <f ca="1">IMSS[[#This Row],[DIAS LAB]]*IMSS[[#This Row],[SDI]]*IMSS[[#This Row],[% RSG]]*$R$108</f>
        <v>0</v>
      </c>
      <c r="V566" s="163">
        <f ca="1">IMSS[[#This Row],[DIAS LAB]]*IMSS[[#This Row],[SDI]]*$R$112</f>
        <v>20.397260273972599</v>
      </c>
      <c r="W566" s="163"/>
      <c r="X566" s="163">
        <f ca="1">IMSS[[#This Row],[DIAS LAB]]*IMSS[[#This Row],[SDI]]*$R$113</f>
        <v>51.40109589041095</v>
      </c>
      <c r="Y566" s="163">
        <f ca="1">IMSS[[#This Row],[DIAS LAB]]*IMSS[[#This Row],[SDI]]*$R$114</f>
        <v>0</v>
      </c>
      <c r="Z566" s="163">
        <f ca="1">IMSS[[#This Row],[DIAS LAB]]*IMSS[[#This Row],[SDI]]*$R$115</f>
        <v>0</v>
      </c>
      <c r="AA566" s="163">
        <f ca="1">IMSS[[#This Row],[DIAS LAB]]*IMSS[[#This Row],[SDI]]*$R$116</f>
        <v>92.19561643835614</v>
      </c>
      <c r="AB566" s="163">
        <f ca="1">IMSS[[#This Row],[DIAS LAB]]*IMSS[[#This Row],[SDI]]*$R$117</f>
        <v>0</v>
      </c>
      <c r="AC566" s="247">
        <f ca="1">SUM(IMSS[[#This Row],[O RSG TRB]:[O INFONAVIT]])</f>
        <v>163.99397260273969</v>
      </c>
      <c r="AD566" s="163"/>
      <c r="AE566" s="165">
        <f ca="1">IMSS[[#This Row],[P TOTAL]]+IMSS[[#This Row],[O TOTAL]]</f>
        <v>2120.776197808219</v>
      </c>
      <c r="AF566" s="163"/>
      <c r="AG566" s="163">
        <f>VLOOKUP(IMSS[[#This Row],[SUE MENS]],$AG$110:$AJ$120,1,1)</f>
        <v>5470.93</v>
      </c>
      <c r="AH566" s="163">
        <f>IMSS[[#This Row],[SUE MENS]]-IMSS[[#This Row],[LIM INF]]</f>
        <v>1974.0699999999997</v>
      </c>
      <c r="AI566" s="163">
        <f>IMSS[[#This Row],[EXC LIM INF]]*(VLOOKUP(IMSS[[#This Row],[LIM INF]],$AG$110:$AJ$120,4,0))</f>
        <v>214.77881599999998</v>
      </c>
      <c r="AJ566" s="163">
        <f>VLOOKUP(IMSS[[#This Row],[LIM INF]],$AG$110:$AJ$120,3)</f>
        <v>321.26</v>
      </c>
      <c r="AK566" s="163">
        <f>SUM(IMSS[[#This Row],[TASA EXC]]+IMSS[[#This Row],[CUOTA FIJA]])</f>
        <v>536.038816</v>
      </c>
      <c r="AL566" s="163">
        <f>VLOOKUP(IMSS[[#This Row],[SUE MENS]],$AL$110:$AN$120,3,1)</f>
        <v>0</v>
      </c>
      <c r="AM566" s="248">
        <f>IF(IMSS[[#This Row],[ISR CARGO]]-IMSS[[#This Row],[SUBS ISR]]&gt;0,IMSS[[#This Row],[ISR CARGO]]-IMSS[[#This Row],[SUBS ISR]],0)</f>
        <v>536.038816</v>
      </c>
      <c r="AN566" s="248">
        <f>IF(IMSS[[#This Row],[SUBS ISR]]-IMSS[[#This Row],[ISR CARGO]]&gt;0,IMSS[[#This Row],[SUBS ISR]]-IMSS[[#This Row],[ISR CARGO]],0)</f>
        <v>0</v>
      </c>
    </row>
    <row r="567" spans="3:40" ht="15" hidden="1" customHeight="1" x14ac:dyDescent="0.25">
      <c r="C567" s="243">
        <v>674</v>
      </c>
      <c r="D567" s="167" t="str">
        <f>VLOOKUP(IMSS[[#This Row],[NEM]],BDD[],2,0)</f>
        <v>María Mendez Mendez</v>
      </c>
      <c r="E567" s="167" t="str">
        <f>VLOOKUP(IMSS[[#This Row],[NEM]],BDD[],9,0)</f>
        <v>SOFTWARE</v>
      </c>
      <c r="F567" s="168">
        <v>30</v>
      </c>
      <c r="G567" s="139">
        <f>VLOOKUP(IMSS[[#This Row],[NEM]],BDD[],3,0)</f>
        <v>7950</v>
      </c>
      <c r="H567" s="139">
        <f ca="1">VLOOKUP(IMSS[[#This Row],[NEM]],BDD[],25,0)</f>
        <v>290.41095890410958</v>
      </c>
      <c r="I567" s="143">
        <f>VLOOKUP(IMSS[[#This Row],[DEPT]],$B$3:$G$49,6,0)</f>
        <v>1.130658E-2</v>
      </c>
      <c r="J567" s="163">
        <f ca="1">IMSS[[#This Row],[DIAS LAB]]*IMSS[[#This Row],[SDI]]*IMSS[[#This Row],[% RSG]]*$Q$108</f>
        <v>98.506642191780813</v>
      </c>
      <c r="K567" s="163">
        <f>IMSS[[#This Row],[DIAS LAB]]*$J$110*$Q$109</f>
        <v>548.47440000000006</v>
      </c>
      <c r="L567" s="166">
        <f ca="1">IMSS[[#This Row],[DIAS LAB]]*IF(IMSS[[#This Row],[SDI]]-$J$113&gt;0,IMSS[[#This Row],[SDI]]-$J$113,0)*$Q$110</f>
        <v>7.111816438356156</v>
      </c>
      <c r="M567" s="166">
        <f ca="1">IMSS[[#This Row],[DIAS LAB]]*IMSS[[#This Row],[SDI]]*$Q$111</f>
        <v>91.479452054794521</v>
      </c>
      <c r="N567" s="163">
        <f ca="1">IMSS[[#This Row],[DIAS LAB]]*IMSS[[#This Row],[SDI]]*$Q$112</f>
        <v>60.986301369863007</v>
      </c>
      <c r="O567" s="166">
        <f ca="1">IMSS[[#This Row],[DIAS LAB]]*IMSS[[#This Row],[SDI]]*$Q$113</f>
        <v>152.46575342465752</v>
      </c>
      <c r="P567" s="163">
        <f ca="1">IMSS[[#This Row],[DIAS LAB]]*IMSS[[#This Row],[SDI]]*$Q$114</f>
        <v>87.123287671232873</v>
      </c>
      <c r="Q567" s="166">
        <f ca="1">IMSS[[#This Row],[DIAS LAB]]*IMSS[[#This Row],[SDI]]*$Q$115</f>
        <v>174.24657534246575</v>
      </c>
      <c r="R567" s="163">
        <f ca="1">IMSS[[#This Row],[DIAS LAB]]*IMSS[[#This Row],[SDI]]*$Q$116</f>
        <v>274.43835616438355</v>
      </c>
      <c r="S567" s="163">
        <f ca="1">IMSS[[#This Row],[DIAS LAB]]*IMSS[[#This Row],[SDI]]*$Q$117</f>
        <v>435.61643835616434</v>
      </c>
      <c r="T567" s="164">
        <f ca="1">SUM(IMSS[[#This Row],[P RSG TRB]:[P INFONAVIT]])</f>
        <v>1930.4490230136985</v>
      </c>
      <c r="U567" s="163">
        <f ca="1">IMSS[[#This Row],[DIAS LAB]]*IMSS[[#This Row],[SDI]]*IMSS[[#This Row],[% RSG]]*$R$108</f>
        <v>0</v>
      </c>
      <c r="V567" s="163">
        <f ca="1">IMSS[[#This Row],[DIAS LAB]]*IMSS[[#This Row],[SDI]]*$R$112</f>
        <v>21.780821917808218</v>
      </c>
      <c r="W567" s="163"/>
      <c r="X567" s="163">
        <f ca="1">IMSS[[#This Row],[DIAS LAB]]*IMSS[[#This Row],[SDI]]*$R$113</f>
        <v>54.887671232876706</v>
      </c>
      <c r="Y567" s="163">
        <f ca="1">IMSS[[#This Row],[DIAS LAB]]*IMSS[[#This Row],[SDI]]*$R$114</f>
        <v>0</v>
      </c>
      <c r="Z567" s="163">
        <f ca="1">IMSS[[#This Row],[DIAS LAB]]*IMSS[[#This Row],[SDI]]*$R$115</f>
        <v>0</v>
      </c>
      <c r="AA567" s="163">
        <f ca="1">IMSS[[#This Row],[DIAS LAB]]*IMSS[[#This Row],[SDI]]*$R$116</f>
        <v>98.449315068493135</v>
      </c>
      <c r="AB567" s="163">
        <f ca="1">IMSS[[#This Row],[DIAS LAB]]*IMSS[[#This Row],[SDI]]*$R$117</f>
        <v>0</v>
      </c>
      <c r="AC567" s="247">
        <f ca="1">SUM(IMSS[[#This Row],[O RSG TRB]:[O INFONAVIT]])</f>
        <v>175.11780821917807</v>
      </c>
      <c r="AD567" s="163"/>
      <c r="AE567" s="165">
        <f ca="1">IMSS[[#This Row],[P TOTAL]]+IMSS[[#This Row],[O TOTAL]]</f>
        <v>2105.5668312328767</v>
      </c>
      <c r="AF567" s="163"/>
      <c r="AG567" s="163">
        <f>VLOOKUP(IMSS[[#This Row],[SUE MENS]],$AG$110:$AJ$120,1,1)</f>
        <v>5470.93</v>
      </c>
      <c r="AH567" s="163">
        <f>IMSS[[#This Row],[SUE MENS]]-IMSS[[#This Row],[LIM INF]]</f>
        <v>2479.0699999999997</v>
      </c>
      <c r="AI567" s="163">
        <f>IMSS[[#This Row],[EXC LIM INF]]*(VLOOKUP(IMSS[[#This Row],[LIM INF]],$AG$110:$AJ$120,4,0))</f>
        <v>269.72281599999997</v>
      </c>
      <c r="AJ567" s="163">
        <f>VLOOKUP(IMSS[[#This Row],[LIM INF]],$AG$110:$AJ$120,3)</f>
        <v>321.26</v>
      </c>
      <c r="AK567" s="163">
        <f>SUM(IMSS[[#This Row],[TASA EXC]]+IMSS[[#This Row],[CUOTA FIJA]])</f>
        <v>590.98281599999996</v>
      </c>
      <c r="AL567" s="163">
        <f>VLOOKUP(IMSS[[#This Row],[SUE MENS]],$AL$110:$AN$120,3,1)</f>
        <v>0</v>
      </c>
      <c r="AM567" s="248">
        <f>IF(IMSS[[#This Row],[ISR CARGO]]-IMSS[[#This Row],[SUBS ISR]]&gt;0,IMSS[[#This Row],[ISR CARGO]]-IMSS[[#This Row],[SUBS ISR]],0)</f>
        <v>590.98281599999996</v>
      </c>
      <c r="AN567" s="248">
        <f>IF(IMSS[[#This Row],[SUBS ISR]]-IMSS[[#This Row],[ISR CARGO]]&gt;0,IMSS[[#This Row],[SUBS ISR]]-IMSS[[#This Row],[ISR CARGO]],0)</f>
        <v>0</v>
      </c>
    </row>
    <row r="568" spans="3:40" ht="15" hidden="1" customHeight="1" x14ac:dyDescent="0.25">
      <c r="C568" s="243">
        <v>675</v>
      </c>
      <c r="D568" s="167" t="str">
        <f>VLOOKUP(IMSS[[#This Row],[NEM]],BDD[],2,0)</f>
        <v>Paola Alejandra Alvarado Guerrero</v>
      </c>
      <c r="E568" s="167" t="str">
        <f>VLOOKUP(IMSS[[#This Row],[NEM]],BDD[],9,0)</f>
        <v>NÓMINAS</v>
      </c>
      <c r="F568" s="168">
        <v>30</v>
      </c>
      <c r="G568" s="139">
        <f>VLOOKUP(IMSS[[#This Row],[NEM]],BDD[],3,0)</f>
        <v>9450</v>
      </c>
      <c r="H568" s="139">
        <f ca="1">VLOOKUP(IMSS[[#This Row],[NEM]],BDD[],25,0)</f>
        <v>345.20547945205476</v>
      </c>
      <c r="I568" s="143">
        <f>VLOOKUP(IMSS[[#This Row],[DEPT]],$B$3:$G$49,6,0)</f>
        <v>5.4355000000000002E-3</v>
      </c>
      <c r="J568" s="163">
        <f ca="1">IMSS[[#This Row],[DIAS LAB]]*IMSS[[#This Row],[SDI]]*IMSS[[#This Row],[% RSG]]*$Q$108</f>
        <v>56.290931506849311</v>
      </c>
      <c r="K568" s="163">
        <f>IMSS[[#This Row],[DIAS LAB]]*$J$110*$Q$109</f>
        <v>548.47440000000006</v>
      </c>
      <c r="L568" s="166">
        <f ca="1">IMSS[[#This Row],[DIAS LAB]]*IF(IMSS[[#This Row],[SDI]]-$J$113&gt;0,IMSS[[#This Row],[SDI]]-$J$113,0)*$Q$110</f>
        <v>25.194008219178063</v>
      </c>
      <c r="M568" s="166">
        <f ca="1">IMSS[[#This Row],[DIAS LAB]]*IMSS[[#This Row],[SDI]]*$Q$111</f>
        <v>108.73972602739727</v>
      </c>
      <c r="N568" s="163">
        <f ca="1">IMSS[[#This Row],[DIAS LAB]]*IMSS[[#This Row],[SDI]]*$Q$112</f>
        <v>72.493150684931507</v>
      </c>
      <c r="O568" s="166">
        <f ca="1">IMSS[[#This Row],[DIAS LAB]]*IMSS[[#This Row],[SDI]]*$Q$113</f>
        <v>181.23287671232876</v>
      </c>
      <c r="P568" s="163">
        <f ca="1">IMSS[[#This Row],[DIAS LAB]]*IMSS[[#This Row],[SDI]]*$Q$114</f>
        <v>103.56164383561644</v>
      </c>
      <c r="Q568" s="166">
        <f ca="1">IMSS[[#This Row],[DIAS LAB]]*IMSS[[#This Row],[SDI]]*$Q$115</f>
        <v>207.12328767123287</v>
      </c>
      <c r="R568" s="163">
        <f ca="1">IMSS[[#This Row],[DIAS LAB]]*IMSS[[#This Row],[SDI]]*$Q$116</f>
        <v>326.21917808219177</v>
      </c>
      <c r="S568" s="163">
        <f ca="1">IMSS[[#This Row],[DIAS LAB]]*IMSS[[#This Row],[SDI]]*$Q$117</f>
        <v>517.80821917808214</v>
      </c>
      <c r="T568" s="164">
        <f ca="1">SUM(IMSS[[#This Row],[P RSG TRB]:[P INFONAVIT]])</f>
        <v>2147.1374219178083</v>
      </c>
      <c r="U568" s="163">
        <f ca="1">IMSS[[#This Row],[DIAS LAB]]*IMSS[[#This Row],[SDI]]*IMSS[[#This Row],[% RSG]]*$R$108</f>
        <v>0</v>
      </c>
      <c r="V568" s="163">
        <f ca="1">IMSS[[#This Row],[DIAS LAB]]*IMSS[[#This Row],[SDI]]*$R$112</f>
        <v>25.890410958904109</v>
      </c>
      <c r="W568" s="163"/>
      <c r="X568" s="163">
        <f ca="1">IMSS[[#This Row],[DIAS LAB]]*IMSS[[#This Row],[SDI]]*$R$113</f>
        <v>65.243835616438346</v>
      </c>
      <c r="Y568" s="163">
        <f ca="1">IMSS[[#This Row],[DIAS LAB]]*IMSS[[#This Row],[SDI]]*$R$114</f>
        <v>0</v>
      </c>
      <c r="Z568" s="163">
        <f ca="1">IMSS[[#This Row],[DIAS LAB]]*IMSS[[#This Row],[SDI]]*$R$115</f>
        <v>0</v>
      </c>
      <c r="AA568" s="163">
        <f ca="1">IMSS[[#This Row],[DIAS LAB]]*IMSS[[#This Row],[SDI]]*$R$116</f>
        <v>117.02465753424656</v>
      </c>
      <c r="AB568" s="163">
        <f ca="1">IMSS[[#This Row],[DIAS LAB]]*IMSS[[#This Row],[SDI]]*$R$117</f>
        <v>0</v>
      </c>
      <c r="AC568" s="247">
        <f ca="1">SUM(IMSS[[#This Row],[O RSG TRB]:[O INFONAVIT]])</f>
        <v>208.158904109589</v>
      </c>
      <c r="AD568" s="163"/>
      <c r="AE568" s="165">
        <f ca="1">IMSS[[#This Row],[P TOTAL]]+IMSS[[#This Row],[O TOTAL]]</f>
        <v>2355.2963260273973</v>
      </c>
      <c r="AF568" s="163"/>
      <c r="AG568" s="163">
        <f>VLOOKUP(IMSS[[#This Row],[SUE MENS]],$AG$110:$AJ$120,1,1)</f>
        <v>5470.93</v>
      </c>
      <c r="AH568" s="163">
        <f>IMSS[[#This Row],[SUE MENS]]-IMSS[[#This Row],[LIM INF]]</f>
        <v>3979.0699999999997</v>
      </c>
      <c r="AI568" s="163">
        <f>IMSS[[#This Row],[EXC LIM INF]]*(VLOOKUP(IMSS[[#This Row],[LIM INF]],$AG$110:$AJ$120,4,0))</f>
        <v>432.92281600000001</v>
      </c>
      <c r="AJ568" s="163">
        <f>VLOOKUP(IMSS[[#This Row],[LIM INF]],$AG$110:$AJ$120,3)</f>
        <v>321.26</v>
      </c>
      <c r="AK568" s="163">
        <f>SUM(IMSS[[#This Row],[TASA EXC]]+IMSS[[#This Row],[CUOTA FIJA]])</f>
        <v>754.182816</v>
      </c>
      <c r="AL568" s="163">
        <f>VLOOKUP(IMSS[[#This Row],[SUE MENS]],$AL$110:$AN$120,3,1)</f>
        <v>0</v>
      </c>
      <c r="AM568" s="248">
        <f>IF(IMSS[[#This Row],[ISR CARGO]]-IMSS[[#This Row],[SUBS ISR]]&gt;0,IMSS[[#This Row],[ISR CARGO]]-IMSS[[#This Row],[SUBS ISR]],0)</f>
        <v>754.182816</v>
      </c>
      <c r="AN568" s="248">
        <f>IF(IMSS[[#This Row],[SUBS ISR]]-IMSS[[#This Row],[ISR CARGO]]&gt;0,IMSS[[#This Row],[SUBS ISR]]-IMSS[[#This Row],[ISR CARGO]],0)</f>
        <v>0</v>
      </c>
    </row>
    <row r="569" spans="3:40" ht="15" hidden="1" customHeight="1" x14ac:dyDescent="0.25">
      <c r="C569" s="243">
        <v>677</v>
      </c>
      <c r="D569" s="167" t="str">
        <f>VLOOKUP(IMSS[[#This Row],[NEM]],BDD[],2,0)</f>
        <v>Francisco Lopez Adame</v>
      </c>
      <c r="E569" s="167" t="str">
        <f>VLOOKUP(IMSS[[#This Row],[NEM]],BDD[],9,0)</f>
        <v>ARQUITECT</v>
      </c>
      <c r="F569" s="168">
        <v>30</v>
      </c>
      <c r="G569" s="139">
        <f>VLOOKUP(IMSS[[#This Row],[NEM]],BDD[],3,0)</f>
        <v>6778</v>
      </c>
      <c r="H569" s="139">
        <f ca="1">VLOOKUP(IMSS[[#This Row],[NEM]],BDD[],25,0)</f>
        <v>236.76575342465753</v>
      </c>
      <c r="I569" s="143">
        <f>VLOOKUP(IMSS[[#This Row],[DEPT]],$B$3:$G$49,6,0)</f>
        <v>2.5984400000000001E-2</v>
      </c>
      <c r="J569" s="163">
        <f ca="1">IMSS[[#This Row],[DIAS LAB]]*IMSS[[#This Row],[SDI]]*IMSS[[#This Row],[% RSG]]*$Q$108</f>
        <v>184.56648129863015</v>
      </c>
      <c r="K569" s="163">
        <f>IMSS[[#This Row],[DIAS LAB]]*$J$110*$Q$109</f>
        <v>548.47440000000006</v>
      </c>
      <c r="L569" s="166">
        <f ca="1">IMSS[[#This Row],[DIAS LAB]]*IF(IMSS[[#This Row],[SDI]]-$J$113&gt;0,IMSS[[#This Row],[SDI]]-$J$113,0)*$Q$110</f>
        <v>0</v>
      </c>
      <c r="M569" s="166">
        <f ca="1">IMSS[[#This Row],[DIAS LAB]]*IMSS[[#This Row],[SDI]]*$Q$111</f>
        <v>74.581212328767137</v>
      </c>
      <c r="N569" s="163">
        <f ca="1">IMSS[[#This Row],[DIAS LAB]]*IMSS[[#This Row],[SDI]]*$Q$112</f>
        <v>49.720808219178089</v>
      </c>
      <c r="O569" s="166">
        <f ca="1">IMSS[[#This Row],[DIAS LAB]]*IMSS[[#This Row],[SDI]]*$Q$113</f>
        <v>124.30202054794522</v>
      </c>
      <c r="P569" s="163">
        <f ca="1">IMSS[[#This Row],[DIAS LAB]]*IMSS[[#This Row],[SDI]]*$Q$114</f>
        <v>71.02972602739726</v>
      </c>
      <c r="Q569" s="166">
        <f ca="1">IMSS[[#This Row],[DIAS LAB]]*IMSS[[#This Row],[SDI]]*$Q$115</f>
        <v>142.05945205479452</v>
      </c>
      <c r="R569" s="163">
        <f ca="1">IMSS[[#This Row],[DIAS LAB]]*IMSS[[#This Row],[SDI]]*$Q$116</f>
        <v>223.7436369863014</v>
      </c>
      <c r="S569" s="163">
        <f ca="1">IMSS[[#This Row],[DIAS LAB]]*IMSS[[#This Row],[SDI]]*$Q$117</f>
        <v>355.14863013698636</v>
      </c>
      <c r="T569" s="164">
        <f ca="1">SUM(IMSS[[#This Row],[P RSG TRB]:[P INFONAVIT]])</f>
        <v>1773.6263676000003</v>
      </c>
      <c r="U569" s="163">
        <f ca="1">IMSS[[#This Row],[DIAS LAB]]*IMSS[[#This Row],[SDI]]*IMSS[[#This Row],[% RSG]]*$R$108</f>
        <v>0</v>
      </c>
      <c r="V569" s="163">
        <f ca="1">IMSS[[#This Row],[DIAS LAB]]*IMSS[[#This Row],[SDI]]*$R$112</f>
        <v>17.757431506849315</v>
      </c>
      <c r="W569" s="163"/>
      <c r="X569" s="163">
        <f ca="1">IMSS[[#This Row],[DIAS LAB]]*IMSS[[#This Row],[SDI]]*$R$113</f>
        <v>44.748727397260275</v>
      </c>
      <c r="Y569" s="163">
        <f ca="1">IMSS[[#This Row],[DIAS LAB]]*IMSS[[#This Row],[SDI]]*$R$114</f>
        <v>0</v>
      </c>
      <c r="Z569" s="163">
        <f ca="1">IMSS[[#This Row],[DIAS LAB]]*IMSS[[#This Row],[SDI]]*$R$115</f>
        <v>0</v>
      </c>
      <c r="AA569" s="163">
        <f ca="1">IMSS[[#This Row],[DIAS LAB]]*IMSS[[#This Row],[SDI]]*$R$116</f>
        <v>80.263590410958898</v>
      </c>
      <c r="AB569" s="163">
        <f ca="1">IMSS[[#This Row],[DIAS LAB]]*IMSS[[#This Row],[SDI]]*$R$117</f>
        <v>0</v>
      </c>
      <c r="AC569" s="247">
        <f ca="1">SUM(IMSS[[#This Row],[O RSG TRB]:[O INFONAVIT]])</f>
        <v>142.76974931506848</v>
      </c>
      <c r="AD569" s="163"/>
      <c r="AE569" s="165">
        <f ca="1">IMSS[[#This Row],[P TOTAL]]+IMSS[[#This Row],[O TOTAL]]</f>
        <v>1916.3961169150689</v>
      </c>
      <c r="AF569" s="163"/>
      <c r="AG569" s="163">
        <f>VLOOKUP(IMSS[[#This Row],[SUE MENS]],$AG$110:$AJ$120,1,1)</f>
        <v>5470.93</v>
      </c>
      <c r="AH569" s="163">
        <f>IMSS[[#This Row],[SUE MENS]]-IMSS[[#This Row],[LIM INF]]</f>
        <v>1307.0699999999997</v>
      </c>
      <c r="AI569" s="163">
        <f>IMSS[[#This Row],[EXC LIM INF]]*(VLOOKUP(IMSS[[#This Row],[LIM INF]],$AG$110:$AJ$120,4,0))</f>
        <v>142.20921599999997</v>
      </c>
      <c r="AJ569" s="163">
        <f>VLOOKUP(IMSS[[#This Row],[LIM INF]],$AG$110:$AJ$120,3)</f>
        <v>321.26</v>
      </c>
      <c r="AK569" s="163">
        <f>SUM(IMSS[[#This Row],[TASA EXC]]+IMSS[[#This Row],[CUOTA FIJA]])</f>
        <v>463.46921599999996</v>
      </c>
      <c r="AL569" s="163">
        <f>VLOOKUP(IMSS[[#This Row],[SUE MENS]],$AL$110:$AN$120,3,1)</f>
        <v>253.54</v>
      </c>
      <c r="AM569" s="248">
        <f>IF(IMSS[[#This Row],[ISR CARGO]]-IMSS[[#This Row],[SUBS ISR]]&gt;0,IMSS[[#This Row],[ISR CARGO]]-IMSS[[#This Row],[SUBS ISR]],0)</f>
        <v>209.92921599999997</v>
      </c>
      <c r="AN569" s="248">
        <f>IF(IMSS[[#This Row],[SUBS ISR]]-IMSS[[#This Row],[ISR CARGO]]&gt;0,IMSS[[#This Row],[SUBS ISR]]-IMSS[[#This Row],[ISR CARGO]],0)</f>
        <v>0</v>
      </c>
    </row>
    <row r="570" spans="3:40" ht="15" hidden="1" customHeight="1" x14ac:dyDescent="0.25">
      <c r="C570" s="243">
        <v>678</v>
      </c>
      <c r="D570" s="167" t="str">
        <f>VLOOKUP(IMSS[[#This Row],[NEM]],BDD[],2,0)</f>
        <v>Eduardo Isai Longoria Hernández</v>
      </c>
      <c r="E570" s="167" t="str">
        <f>VLOOKUP(IMSS[[#This Row],[NEM]],BDD[],9,0)</f>
        <v>AUDIT PROY</v>
      </c>
      <c r="F570" s="168">
        <v>30</v>
      </c>
      <c r="G570" s="139">
        <f>VLOOKUP(IMSS[[#This Row],[NEM]],BDD[],3,0)</f>
        <v>7445</v>
      </c>
      <c r="H570" s="139">
        <f ca="1">VLOOKUP(IMSS[[#This Row],[NEM]],BDD[],25,0)</f>
        <v>271.96347031963467</v>
      </c>
      <c r="I570" s="143">
        <f>VLOOKUP(IMSS[[#This Row],[DEPT]],$B$3:$G$49,6,0)</f>
        <v>1.130658E-2</v>
      </c>
      <c r="J570" s="163">
        <f ca="1">IMSS[[#This Row],[DIAS LAB]]*IMSS[[#This Row],[SDI]]*IMSS[[#This Row],[% RSG]]*$Q$108</f>
        <v>92.249302027397249</v>
      </c>
      <c r="K570" s="163">
        <f>IMSS[[#This Row],[DIAS LAB]]*$J$110*$Q$109</f>
        <v>548.47440000000006</v>
      </c>
      <c r="L570" s="166">
        <f ca="1">IMSS[[#This Row],[DIAS LAB]]*IF(IMSS[[#This Row],[SDI]]-$J$113&gt;0,IMSS[[#This Row],[SDI]]-$J$113,0)*$Q$110</f>
        <v>1.0241452054794353</v>
      </c>
      <c r="M570" s="166">
        <f ca="1">IMSS[[#This Row],[DIAS LAB]]*IMSS[[#This Row],[SDI]]*$Q$111</f>
        <v>85.668493150684924</v>
      </c>
      <c r="N570" s="163">
        <f ca="1">IMSS[[#This Row],[DIAS LAB]]*IMSS[[#This Row],[SDI]]*$Q$112</f>
        <v>57.11232876712328</v>
      </c>
      <c r="O570" s="166">
        <f ca="1">IMSS[[#This Row],[DIAS LAB]]*IMSS[[#This Row],[SDI]]*$Q$113</f>
        <v>142.7808219178082</v>
      </c>
      <c r="P570" s="163">
        <f ca="1">IMSS[[#This Row],[DIAS LAB]]*IMSS[[#This Row],[SDI]]*$Q$114</f>
        <v>81.589041095890394</v>
      </c>
      <c r="Q570" s="166">
        <f ca="1">IMSS[[#This Row],[DIAS LAB]]*IMSS[[#This Row],[SDI]]*$Q$115</f>
        <v>163.17808219178079</v>
      </c>
      <c r="R570" s="163">
        <f ca="1">IMSS[[#This Row],[DIAS LAB]]*IMSS[[#This Row],[SDI]]*$Q$116</f>
        <v>257.00547945205477</v>
      </c>
      <c r="S570" s="163">
        <f ca="1">IMSS[[#This Row],[DIAS LAB]]*IMSS[[#This Row],[SDI]]*$Q$117</f>
        <v>407.945205479452</v>
      </c>
      <c r="T570" s="164">
        <f ca="1">SUM(IMSS[[#This Row],[P RSG TRB]:[P INFONAVIT]])</f>
        <v>1837.027299287671</v>
      </c>
      <c r="U570" s="163">
        <f ca="1">IMSS[[#This Row],[DIAS LAB]]*IMSS[[#This Row],[SDI]]*IMSS[[#This Row],[% RSG]]*$R$108</f>
        <v>0</v>
      </c>
      <c r="V570" s="163">
        <f ca="1">IMSS[[#This Row],[DIAS LAB]]*IMSS[[#This Row],[SDI]]*$R$112</f>
        <v>20.397260273972599</v>
      </c>
      <c r="W570" s="163"/>
      <c r="X570" s="163">
        <f ca="1">IMSS[[#This Row],[DIAS LAB]]*IMSS[[#This Row],[SDI]]*$R$113</f>
        <v>51.40109589041095</v>
      </c>
      <c r="Y570" s="163">
        <f ca="1">IMSS[[#This Row],[DIAS LAB]]*IMSS[[#This Row],[SDI]]*$R$114</f>
        <v>0</v>
      </c>
      <c r="Z570" s="163">
        <f ca="1">IMSS[[#This Row],[DIAS LAB]]*IMSS[[#This Row],[SDI]]*$R$115</f>
        <v>0</v>
      </c>
      <c r="AA570" s="163">
        <f ca="1">IMSS[[#This Row],[DIAS LAB]]*IMSS[[#This Row],[SDI]]*$R$116</f>
        <v>92.19561643835614</v>
      </c>
      <c r="AB570" s="163">
        <f ca="1">IMSS[[#This Row],[DIAS LAB]]*IMSS[[#This Row],[SDI]]*$R$117</f>
        <v>0</v>
      </c>
      <c r="AC570" s="247">
        <f ca="1">SUM(IMSS[[#This Row],[O RSG TRB]:[O INFONAVIT]])</f>
        <v>163.99397260273969</v>
      </c>
      <c r="AD570" s="163"/>
      <c r="AE570" s="165">
        <f ca="1">IMSS[[#This Row],[P TOTAL]]+IMSS[[#This Row],[O TOTAL]]</f>
        <v>2001.0212718904106</v>
      </c>
      <c r="AF570" s="163"/>
      <c r="AG570" s="163">
        <f>VLOOKUP(IMSS[[#This Row],[SUE MENS]],$AG$110:$AJ$120,1,1)</f>
        <v>5470.93</v>
      </c>
      <c r="AH570" s="163">
        <f>IMSS[[#This Row],[SUE MENS]]-IMSS[[#This Row],[LIM INF]]</f>
        <v>1974.0699999999997</v>
      </c>
      <c r="AI570" s="163">
        <f>IMSS[[#This Row],[EXC LIM INF]]*(VLOOKUP(IMSS[[#This Row],[LIM INF]],$AG$110:$AJ$120,4,0))</f>
        <v>214.77881599999998</v>
      </c>
      <c r="AJ570" s="163">
        <f>VLOOKUP(IMSS[[#This Row],[LIM INF]],$AG$110:$AJ$120,3)</f>
        <v>321.26</v>
      </c>
      <c r="AK570" s="163">
        <f>SUM(IMSS[[#This Row],[TASA EXC]]+IMSS[[#This Row],[CUOTA FIJA]])</f>
        <v>536.038816</v>
      </c>
      <c r="AL570" s="163">
        <f>VLOOKUP(IMSS[[#This Row],[SUE MENS]],$AL$110:$AN$120,3,1)</f>
        <v>0</v>
      </c>
      <c r="AM570" s="248">
        <f>IF(IMSS[[#This Row],[ISR CARGO]]-IMSS[[#This Row],[SUBS ISR]]&gt;0,IMSS[[#This Row],[ISR CARGO]]-IMSS[[#This Row],[SUBS ISR]],0)</f>
        <v>536.038816</v>
      </c>
      <c r="AN570" s="248">
        <f>IF(IMSS[[#This Row],[SUBS ISR]]-IMSS[[#This Row],[ISR CARGO]]&gt;0,IMSS[[#This Row],[SUBS ISR]]-IMSS[[#This Row],[ISR CARGO]],0)</f>
        <v>0</v>
      </c>
    </row>
    <row r="571" spans="3:40" ht="15" hidden="1" customHeight="1" x14ac:dyDescent="0.25">
      <c r="C571" s="243">
        <v>679</v>
      </c>
      <c r="D571" s="167" t="str">
        <f>VLOOKUP(IMSS[[#This Row],[NEM]],BDD[],2,0)</f>
        <v>Edson Ricardo Rivera Luna</v>
      </c>
      <c r="E571" s="167" t="str">
        <f>VLOOKUP(IMSS[[#This Row],[NEM]],BDD[],9,0)</f>
        <v>ESTRUCTURA</v>
      </c>
      <c r="F571" s="168">
        <v>30</v>
      </c>
      <c r="G571" s="139">
        <f>VLOOKUP(IMSS[[#This Row],[NEM]],BDD[],3,0)</f>
        <v>7950</v>
      </c>
      <c r="H571" s="139">
        <f ca="1">VLOOKUP(IMSS[[#This Row],[NEM]],BDD[],25,0)</f>
        <v>290.41095890410958</v>
      </c>
      <c r="I571" s="143">
        <f>VLOOKUP(IMSS[[#This Row],[DEPT]],$B$3:$G$49,6,0)</f>
        <v>2.5984400000000001E-2</v>
      </c>
      <c r="J571" s="163">
        <f ca="1">IMSS[[#This Row],[DIAS LAB]]*IMSS[[#This Row],[SDI]]*IMSS[[#This Row],[% RSG]]*$Q$108</f>
        <v>226.38463561643835</v>
      </c>
      <c r="K571" s="163">
        <f>IMSS[[#This Row],[DIAS LAB]]*$J$110*$Q$109</f>
        <v>548.47440000000006</v>
      </c>
      <c r="L571" s="166">
        <f ca="1">IMSS[[#This Row],[DIAS LAB]]*IF(IMSS[[#This Row],[SDI]]-$J$113&gt;0,IMSS[[#This Row],[SDI]]-$J$113,0)*$Q$110</f>
        <v>7.111816438356156</v>
      </c>
      <c r="M571" s="166">
        <f ca="1">IMSS[[#This Row],[DIAS LAB]]*IMSS[[#This Row],[SDI]]*$Q$111</f>
        <v>91.479452054794521</v>
      </c>
      <c r="N571" s="163">
        <f ca="1">IMSS[[#This Row],[DIAS LAB]]*IMSS[[#This Row],[SDI]]*$Q$112</f>
        <v>60.986301369863007</v>
      </c>
      <c r="O571" s="166">
        <f ca="1">IMSS[[#This Row],[DIAS LAB]]*IMSS[[#This Row],[SDI]]*$Q$113</f>
        <v>152.46575342465752</v>
      </c>
      <c r="P571" s="163">
        <f ca="1">IMSS[[#This Row],[DIAS LAB]]*IMSS[[#This Row],[SDI]]*$Q$114</f>
        <v>87.123287671232873</v>
      </c>
      <c r="Q571" s="166">
        <f ca="1">IMSS[[#This Row],[DIAS LAB]]*IMSS[[#This Row],[SDI]]*$Q$115</f>
        <v>174.24657534246575</v>
      </c>
      <c r="R571" s="163">
        <f ca="1">IMSS[[#This Row],[DIAS LAB]]*IMSS[[#This Row],[SDI]]*$Q$116</f>
        <v>274.43835616438355</v>
      </c>
      <c r="S571" s="163">
        <f ca="1">IMSS[[#This Row],[DIAS LAB]]*IMSS[[#This Row],[SDI]]*$Q$117</f>
        <v>435.61643835616434</v>
      </c>
      <c r="T571" s="164">
        <f ca="1">SUM(IMSS[[#This Row],[P RSG TRB]:[P INFONAVIT]])</f>
        <v>2058.3270164383562</v>
      </c>
      <c r="U571" s="163">
        <f ca="1">IMSS[[#This Row],[DIAS LAB]]*IMSS[[#This Row],[SDI]]*IMSS[[#This Row],[% RSG]]*$R$108</f>
        <v>0</v>
      </c>
      <c r="V571" s="163">
        <f ca="1">IMSS[[#This Row],[DIAS LAB]]*IMSS[[#This Row],[SDI]]*$R$112</f>
        <v>21.780821917808218</v>
      </c>
      <c r="W571" s="163"/>
      <c r="X571" s="163">
        <f ca="1">IMSS[[#This Row],[DIAS LAB]]*IMSS[[#This Row],[SDI]]*$R$113</f>
        <v>54.887671232876706</v>
      </c>
      <c r="Y571" s="163">
        <f ca="1">IMSS[[#This Row],[DIAS LAB]]*IMSS[[#This Row],[SDI]]*$R$114</f>
        <v>0</v>
      </c>
      <c r="Z571" s="163">
        <f ca="1">IMSS[[#This Row],[DIAS LAB]]*IMSS[[#This Row],[SDI]]*$R$115</f>
        <v>0</v>
      </c>
      <c r="AA571" s="163">
        <f ca="1">IMSS[[#This Row],[DIAS LAB]]*IMSS[[#This Row],[SDI]]*$R$116</f>
        <v>98.449315068493135</v>
      </c>
      <c r="AB571" s="163">
        <f ca="1">IMSS[[#This Row],[DIAS LAB]]*IMSS[[#This Row],[SDI]]*$R$117</f>
        <v>0</v>
      </c>
      <c r="AC571" s="247">
        <f ca="1">SUM(IMSS[[#This Row],[O RSG TRB]:[O INFONAVIT]])</f>
        <v>175.11780821917807</v>
      </c>
      <c r="AD571" s="163"/>
      <c r="AE571" s="165">
        <f ca="1">IMSS[[#This Row],[P TOTAL]]+IMSS[[#This Row],[O TOTAL]]</f>
        <v>2233.4448246575344</v>
      </c>
      <c r="AF571" s="163"/>
      <c r="AG571" s="163">
        <f>VLOOKUP(IMSS[[#This Row],[SUE MENS]],$AG$110:$AJ$120,1,1)</f>
        <v>5470.93</v>
      </c>
      <c r="AH571" s="163">
        <f>IMSS[[#This Row],[SUE MENS]]-IMSS[[#This Row],[LIM INF]]</f>
        <v>2479.0699999999997</v>
      </c>
      <c r="AI571" s="163">
        <f>IMSS[[#This Row],[EXC LIM INF]]*(VLOOKUP(IMSS[[#This Row],[LIM INF]],$AG$110:$AJ$120,4,0))</f>
        <v>269.72281599999997</v>
      </c>
      <c r="AJ571" s="163">
        <f>VLOOKUP(IMSS[[#This Row],[LIM INF]],$AG$110:$AJ$120,3)</f>
        <v>321.26</v>
      </c>
      <c r="AK571" s="163">
        <f>SUM(IMSS[[#This Row],[TASA EXC]]+IMSS[[#This Row],[CUOTA FIJA]])</f>
        <v>590.98281599999996</v>
      </c>
      <c r="AL571" s="163">
        <f>VLOOKUP(IMSS[[#This Row],[SUE MENS]],$AL$110:$AN$120,3,1)</f>
        <v>0</v>
      </c>
      <c r="AM571" s="248">
        <f>IF(IMSS[[#This Row],[ISR CARGO]]-IMSS[[#This Row],[SUBS ISR]]&gt;0,IMSS[[#This Row],[ISR CARGO]]-IMSS[[#This Row],[SUBS ISR]],0)</f>
        <v>590.98281599999996</v>
      </c>
      <c r="AN571" s="248">
        <f>IF(IMSS[[#This Row],[SUBS ISR]]-IMSS[[#This Row],[ISR CARGO]]&gt;0,IMSS[[#This Row],[SUBS ISR]]-IMSS[[#This Row],[ISR CARGO]],0)</f>
        <v>0</v>
      </c>
    </row>
    <row r="572" spans="3:40" ht="15" hidden="1" customHeight="1" x14ac:dyDescent="0.25">
      <c r="C572" s="243">
        <v>680</v>
      </c>
      <c r="D572" s="167" t="str">
        <f>VLOOKUP(IMSS[[#This Row],[NEM]],BDD[],2,0)</f>
        <v>Aide Ortega Anell</v>
      </c>
      <c r="E572" s="167" t="str">
        <f>VLOOKUP(IMSS[[#This Row],[NEM]],BDD[],9,0)</f>
        <v>INST CAMPO</v>
      </c>
      <c r="F572" s="168">
        <v>30</v>
      </c>
      <c r="G572" s="139">
        <f>VLOOKUP(IMSS[[#This Row],[NEM]],BDD[],3,0)</f>
        <v>7445</v>
      </c>
      <c r="H572" s="139">
        <f ca="1">VLOOKUP(IMSS[[#This Row],[NEM]],BDD[],25,0)</f>
        <v>271.96347031963467</v>
      </c>
      <c r="I572" s="143">
        <f>VLOOKUP(IMSS[[#This Row],[DEPT]],$B$3:$G$49,6,0)</f>
        <v>4.6532499999999997E-2</v>
      </c>
      <c r="J572" s="163">
        <f ca="1">IMSS[[#This Row],[DIAS LAB]]*IMSS[[#This Row],[SDI]]*IMSS[[#This Row],[% RSG]]*$Q$108</f>
        <v>379.65420547945195</v>
      </c>
      <c r="K572" s="163">
        <f>IMSS[[#This Row],[DIAS LAB]]*$J$110*$Q$109</f>
        <v>548.47440000000006</v>
      </c>
      <c r="L572" s="166">
        <f ca="1">IMSS[[#This Row],[DIAS LAB]]*IF(IMSS[[#This Row],[SDI]]-$J$113&gt;0,IMSS[[#This Row],[SDI]]-$J$113,0)*$Q$110</f>
        <v>1.0241452054794353</v>
      </c>
      <c r="M572" s="166">
        <f ca="1">IMSS[[#This Row],[DIAS LAB]]*IMSS[[#This Row],[SDI]]*$Q$111</f>
        <v>85.668493150684924</v>
      </c>
      <c r="N572" s="163">
        <f ca="1">IMSS[[#This Row],[DIAS LAB]]*IMSS[[#This Row],[SDI]]*$Q$112</f>
        <v>57.11232876712328</v>
      </c>
      <c r="O572" s="166">
        <f ca="1">IMSS[[#This Row],[DIAS LAB]]*IMSS[[#This Row],[SDI]]*$Q$113</f>
        <v>142.7808219178082</v>
      </c>
      <c r="P572" s="163">
        <f ca="1">IMSS[[#This Row],[DIAS LAB]]*IMSS[[#This Row],[SDI]]*$Q$114</f>
        <v>81.589041095890394</v>
      </c>
      <c r="Q572" s="166">
        <f ca="1">IMSS[[#This Row],[DIAS LAB]]*IMSS[[#This Row],[SDI]]*$Q$115</f>
        <v>163.17808219178079</v>
      </c>
      <c r="R572" s="163">
        <f ca="1">IMSS[[#This Row],[DIAS LAB]]*IMSS[[#This Row],[SDI]]*$Q$116</f>
        <v>257.00547945205477</v>
      </c>
      <c r="S572" s="163">
        <f ca="1">IMSS[[#This Row],[DIAS LAB]]*IMSS[[#This Row],[SDI]]*$Q$117</f>
        <v>407.945205479452</v>
      </c>
      <c r="T572" s="164">
        <f ca="1">SUM(IMSS[[#This Row],[P RSG TRB]:[P INFONAVIT]])</f>
        <v>2124.4322027397257</v>
      </c>
      <c r="U572" s="163">
        <f ca="1">IMSS[[#This Row],[DIAS LAB]]*IMSS[[#This Row],[SDI]]*IMSS[[#This Row],[% RSG]]*$R$108</f>
        <v>0</v>
      </c>
      <c r="V572" s="163">
        <f ca="1">IMSS[[#This Row],[DIAS LAB]]*IMSS[[#This Row],[SDI]]*$R$112</f>
        <v>20.397260273972599</v>
      </c>
      <c r="W572" s="163"/>
      <c r="X572" s="163">
        <f ca="1">IMSS[[#This Row],[DIAS LAB]]*IMSS[[#This Row],[SDI]]*$R$113</f>
        <v>51.40109589041095</v>
      </c>
      <c r="Y572" s="163">
        <f ca="1">IMSS[[#This Row],[DIAS LAB]]*IMSS[[#This Row],[SDI]]*$R$114</f>
        <v>0</v>
      </c>
      <c r="Z572" s="163">
        <f ca="1">IMSS[[#This Row],[DIAS LAB]]*IMSS[[#This Row],[SDI]]*$R$115</f>
        <v>0</v>
      </c>
      <c r="AA572" s="163">
        <f ca="1">IMSS[[#This Row],[DIAS LAB]]*IMSS[[#This Row],[SDI]]*$R$116</f>
        <v>92.19561643835614</v>
      </c>
      <c r="AB572" s="163">
        <f ca="1">IMSS[[#This Row],[DIAS LAB]]*IMSS[[#This Row],[SDI]]*$R$117</f>
        <v>0</v>
      </c>
      <c r="AC572" s="247">
        <f ca="1">SUM(IMSS[[#This Row],[O RSG TRB]:[O INFONAVIT]])</f>
        <v>163.99397260273969</v>
      </c>
      <c r="AD572" s="163"/>
      <c r="AE572" s="165">
        <f ca="1">IMSS[[#This Row],[P TOTAL]]+IMSS[[#This Row],[O TOTAL]]</f>
        <v>2288.4261753424653</v>
      </c>
      <c r="AF572" s="163"/>
      <c r="AG572" s="163">
        <f>VLOOKUP(IMSS[[#This Row],[SUE MENS]],$AG$110:$AJ$120,1,1)</f>
        <v>5470.93</v>
      </c>
      <c r="AH572" s="163">
        <f>IMSS[[#This Row],[SUE MENS]]-IMSS[[#This Row],[LIM INF]]</f>
        <v>1974.0699999999997</v>
      </c>
      <c r="AI572" s="163">
        <f>IMSS[[#This Row],[EXC LIM INF]]*(VLOOKUP(IMSS[[#This Row],[LIM INF]],$AG$110:$AJ$120,4,0))</f>
        <v>214.77881599999998</v>
      </c>
      <c r="AJ572" s="163">
        <f>VLOOKUP(IMSS[[#This Row],[LIM INF]],$AG$110:$AJ$120,3)</f>
        <v>321.26</v>
      </c>
      <c r="AK572" s="163">
        <f>SUM(IMSS[[#This Row],[TASA EXC]]+IMSS[[#This Row],[CUOTA FIJA]])</f>
        <v>536.038816</v>
      </c>
      <c r="AL572" s="163">
        <f>VLOOKUP(IMSS[[#This Row],[SUE MENS]],$AL$110:$AN$120,3,1)</f>
        <v>0</v>
      </c>
      <c r="AM572" s="248">
        <f>IF(IMSS[[#This Row],[ISR CARGO]]-IMSS[[#This Row],[SUBS ISR]]&gt;0,IMSS[[#This Row],[ISR CARGO]]-IMSS[[#This Row],[SUBS ISR]],0)</f>
        <v>536.038816</v>
      </c>
      <c r="AN572" s="248">
        <f>IF(IMSS[[#This Row],[SUBS ISR]]-IMSS[[#This Row],[ISR CARGO]]&gt;0,IMSS[[#This Row],[SUBS ISR]]-IMSS[[#This Row],[ISR CARGO]],0)</f>
        <v>0</v>
      </c>
    </row>
    <row r="573" spans="3:40" ht="15" hidden="1" customHeight="1" x14ac:dyDescent="0.25">
      <c r="C573" s="243">
        <v>682</v>
      </c>
      <c r="D573" s="167" t="str">
        <f>VLOOKUP(IMSS[[#This Row],[NEM]],BDD[],2,0)</f>
        <v>Cecilia Tamara Farías Flores</v>
      </c>
      <c r="E573" s="167" t="str">
        <f>VLOOKUP(IMSS[[#This Row],[NEM]],BDD[],9,0)</f>
        <v>CONTROL</v>
      </c>
      <c r="F573" s="168">
        <v>30</v>
      </c>
      <c r="G573" s="139">
        <f>VLOOKUP(IMSS[[#This Row],[NEM]],BDD[],3,0)</f>
        <v>9450</v>
      </c>
      <c r="H573" s="139">
        <f ca="1">VLOOKUP(IMSS[[#This Row],[NEM]],BDD[],25,0)</f>
        <v>345.20547945205476</v>
      </c>
      <c r="I573" s="143">
        <f>VLOOKUP(IMSS[[#This Row],[DEPT]],$B$3:$G$49,6,0)</f>
        <v>5.4355000000000002E-3</v>
      </c>
      <c r="J573" s="163">
        <f ca="1">IMSS[[#This Row],[DIAS LAB]]*IMSS[[#This Row],[SDI]]*IMSS[[#This Row],[% RSG]]*$Q$108</f>
        <v>56.290931506849311</v>
      </c>
      <c r="K573" s="163">
        <f>IMSS[[#This Row],[DIAS LAB]]*$J$110*$Q$109</f>
        <v>548.47440000000006</v>
      </c>
      <c r="L573" s="166">
        <f ca="1">IMSS[[#This Row],[DIAS LAB]]*IF(IMSS[[#This Row],[SDI]]-$J$113&gt;0,IMSS[[#This Row],[SDI]]-$J$113,0)*$Q$110</f>
        <v>25.194008219178063</v>
      </c>
      <c r="M573" s="166">
        <f ca="1">IMSS[[#This Row],[DIAS LAB]]*IMSS[[#This Row],[SDI]]*$Q$111</f>
        <v>108.73972602739727</v>
      </c>
      <c r="N573" s="163">
        <f ca="1">IMSS[[#This Row],[DIAS LAB]]*IMSS[[#This Row],[SDI]]*$Q$112</f>
        <v>72.493150684931507</v>
      </c>
      <c r="O573" s="166">
        <f ca="1">IMSS[[#This Row],[DIAS LAB]]*IMSS[[#This Row],[SDI]]*$Q$113</f>
        <v>181.23287671232876</v>
      </c>
      <c r="P573" s="163">
        <f ca="1">IMSS[[#This Row],[DIAS LAB]]*IMSS[[#This Row],[SDI]]*$Q$114</f>
        <v>103.56164383561644</v>
      </c>
      <c r="Q573" s="166">
        <f ca="1">IMSS[[#This Row],[DIAS LAB]]*IMSS[[#This Row],[SDI]]*$Q$115</f>
        <v>207.12328767123287</v>
      </c>
      <c r="R573" s="163">
        <f ca="1">IMSS[[#This Row],[DIAS LAB]]*IMSS[[#This Row],[SDI]]*$Q$116</f>
        <v>326.21917808219177</v>
      </c>
      <c r="S573" s="163">
        <f ca="1">IMSS[[#This Row],[DIAS LAB]]*IMSS[[#This Row],[SDI]]*$Q$117</f>
        <v>517.80821917808214</v>
      </c>
      <c r="T573" s="164">
        <f ca="1">SUM(IMSS[[#This Row],[P RSG TRB]:[P INFONAVIT]])</f>
        <v>2147.1374219178083</v>
      </c>
      <c r="U573" s="163">
        <f ca="1">IMSS[[#This Row],[DIAS LAB]]*IMSS[[#This Row],[SDI]]*IMSS[[#This Row],[% RSG]]*$R$108</f>
        <v>0</v>
      </c>
      <c r="V573" s="163">
        <f ca="1">IMSS[[#This Row],[DIAS LAB]]*IMSS[[#This Row],[SDI]]*$R$112</f>
        <v>25.890410958904109</v>
      </c>
      <c r="W573" s="163"/>
      <c r="X573" s="163">
        <f ca="1">IMSS[[#This Row],[DIAS LAB]]*IMSS[[#This Row],[SDI]]*$R$113</f>
        <v>65.243835616438346</v>
      </c>
      <c r="Y573" s="163">
        <f ca="1">IMSS[[#This Row],[DIAS LAB]]*IMSS[[#This Row],[SDI]]*$R$114</f>
        <v>0</v>
      </c>
      <c r="Z573" s="163">
        <f ca="1">IMSS[[#This Row],[DIAS LAB]]*IMSS[[#This Row],[SDI]]*$R$115</f>
        <v>0</v>
      </c>
      <c r="AA573" s="163">
        <f ca="1">IMSS[[#This Row],[DIAS LAB]]*IMSS[[#This Row],[SDI]]*$R$116</f>
        <v>117.02465753424656</v>
      </c>
      <c r="AB573" s="163">
        <f ca="1">IMSS[[#This Row],[DIAS LAB]]*IMSS[[#This Row],[SDI]]*$R$117</f>
        <v>0</v>
      </c>
      <c r="AC573" s="247">
        <f ca="1">SUM(IMSS[[#This Row],[O RSG TRB]:[O INFONAVIT]])</f>
        <v>208.158904109589</v>
      </c>
      <c r="AD573" s="163"/>
      <c r="AE573" s="165">
        <f ca="1">IMSS[[#This Row],[P TOTAL]]+IMSS[[#This Row],[O TOTAL]]</f>
        <v>2355.2963260273973</v>
      </c>
      <c r="AF573" s="163"/>
      <c r="AG573" s="163">
        <f>VLOOKUP(IMSS[[#This Row],[SUE MENS]],$AG$110:$AJ$120,1,1)</f>
        <v>5470.93</v>
      </c>
      <c r="AH573" s="163">
        <f>IMSS[[#This Row],[SUE MENS]]-IMSS[[#This Row],[LIM INF]]</f>
        <v>3979.0699999999997</v>
      </c>
      <c r="AI573" s="163">
        <f>IMSS[[#This Row],[EXC LIM INF]]*(VLOOKUP(IMSS[[#This Row],[LIM INF]],$AG$110:$AJ$120,4,0))</f>
        <v>432.92281600000001</v>
      </c>
      <c r="AJ573" s="163">
        <f>VLOOKUP(IMSS[[#This Row],[LIM INF]],$AG$110:$AJ$120,3)</f>
        <v>321.26</v>
      </c>
      <c r="AK573" s="163">
        <f>SUM(IMSS[[#This Row],[TASA EXC]]+IMSS[[#This Row],[CUOTA FIJA]])</f>
        <v>754.182816</v>
      </c>
      <c r="AL573" s="163">
        <f>VLOOKUP(IMSS[[#This Row],[SUE MENS]],$AL$110:$AN$120,3,1)</f>
        <v>0</v>
      </c>
      <c r="AM573" s="248">
        <f>IF(IMSS[[#This Row],[ISR CARGO]]-IMSS[[#This Row],[SUBS ISR]]&gt;0,IMSS[[#This Row],[ISR CARGO]]-IMSS[[#This Row],[SUBS ISR]],0)</f>
        <v>754.182816</v>
      </c>
      <c r="AN573" s="248">
        <f>IF(IMSS[[#This Row],[SUBS ISR]]-IMSS[[#This Row],[ISR CARGO]]&gt;0,IMSS[[#This Row],[SUBS ISR]]-IMSS[[#This Row],[ISR CARGO]],0)</f>
        <v>0</v>
      </c>
    </row>
    <row r="574" spans="3:40" ht="15" hidden="1" customHeight="1" x14ac:dyDescent="0.25">
      <c r="C574" s="243">
        <v>683</v>
      </c>
      <c r="D574" s="167" t="str">
        <f>VLOOKUP(IMSS[[#This Row],[NEM]],BDD[],2,0)</f>
        <v>Jair De Jesús Frausto González</v>
      </c>
      <c r="E574" s="167" t="str">
        <f>VLOOKUP(IMSS[[#This Row],[NEM]],BDD[],9,0)</f>
        <v>ARQUITECT</v>
      </c>
      <c r="F574" s="168">
        <v>30</v>
      </c>
      <c r="G574" s="139">
        <f>VLOOKUP(IMSS[[#This Row],[NEM]],BDD[],3,0)</f>
        <v>7950</v>
      </c>
      <c r="H574" s="139">
        <f ca="1">VLOOKUP(IMSS[[#This Row],[NEM]],BDD[],25,0)</f>
        <v>290.41095890410958</v>
      </c>
      <c r="I574" s="143">
        <f>VLOOKUP(IMSS[[#This Row],[DEPT]],$B$3:$G$49,6,0)</f>
        <v>2.5984400000000001E-2</v>
      </c>
      <c r="J574" s="163">
        <f ca="1">IMSS[[#This Row],[DIAS LAB]]*IMSS[[#This Row],[SDI]]*IMSS[[#This Row],[% RSG]]*$Q$108</f>
        <v>226.38463561643835</v>
      </c>
      <c r="K574" s="163">
        <f>IMSS[[#This Row],[DIAS LAB]]*$J$110*$Q$109</f>
        <v>548.47440000000006</v>
      </c>
      <c r="L574" s="166">
        <f ca="1">IMSS[[#This Row],[DIAS LAB]]*IF(IMSS[[#This Row],[SDI]]-$J$113&gt;0,IMSS[[#This Row],[SDI]]-$J$113,0)*$Q$110</f>
        <v>7.111816438356156</v>
      </c>
      <c r="M574" s="166">
        <f ca="1">IMSS[[#This Row],[DIAS LAB]]*IMSS[[#This Row],[SDI]]*$Q$111</f>
        <v>91.479452054794521</v>
      </c>
      <c r="N574" s="163">
        <f ca="1">IMSS[[#This Row],[DIAS LAB]]*IMSS[[#This Row],[SDI]]*$Q$112</f>
        <v>60.986301369863007</v>
      </c>
      <c r="O574" s="166">
        <f ca="1">IMSS[[#This Row],[DIAS LAB]]*IMSS[[#This Row],[SDI]]*$Q$113</f>
        <v>152.46575342465752</v>
      </c>
      <c r="P574" s="163">
        <f ca="1">IMSS[[#This Row],[DIAS LAB]]*IMSS[[#This Row],[SDI]]*$Q$114</f>
        <v>87.123287671232873</v>
      </c>
      <c r="Q574" s="166">
        <f ca="1">IMSS[[#This Row],[DIAS LAB]]*IMSS[[#This Row],[SDI]]*$Q$115</f>
        <v>174.24657534246575</v>
      </c>
      <c r="R574" s="163">
        <f ca="1">IMSS[[#This Row],[DIAS LAB]]*IMSS[[#This Row],[SDI]]*$Q$116</f>
        <v>274.43835616438355</v>
      </c>
      <c r="S574" s="163">
        <f ca="1">IMSS[[#This Row],[DIAS LAB]]*IMSS[[#This Row],[SDI]]*$Q$117</f>
        <v>435.61643835616434</v>
      </c>
      <c r="T574" s="164">
        <f ca="1">SUM(IMSS[[#This Row],[P RSG TRB]:[P INFONAVIT]])</f>
        <v>2058.3270164383562</v>
      </c>
      <c r="U574" s="163">
        <f ca="1">IMSS[[#This Row],[DIAS LAB]]*IMSS[[#This Row],[SDI]]*IMSS[[#This Row],[% RSG]]*$R$108</f>
        <v>0</v>
      </c>
      <c r="V574" s="163">
        <f ca="1">IMSS[[#This Row],[DIAS LAB]]*IMSS[[#This Row],[SDI]]*$R$112</f>
        <v>21.780821917808218</v>
      </c>
      <c r="W574" s="163"/>
      <c r="X574" s="163">
        <f ca="1">IMSS[[#This Row],[DIAS LAB]]*IMSS[[#This Row],[SDI]]*$R$113</f>
        <v>54.887671232876706</v>
      </c>
      <c r="Y574" s="163">
        <f ca="1">IMSS[[#This Row],[DIAS LAB]]*IMSS[[#This Row],[SDI]]*$R$114</f>
        <v>0</v>
      </c>
      <c r="Z574" s="163">
        <f ca="1">IMSS[[#This Row],[DIAS LAB]]*IMSS[[#This Row],[SDI]]*$R$115</f>
        <v>0</v>
      </c>
      <c r="AA574" s="163">
        <f ca="1">IMSS[[#This Row],[DIAS LAB]]*IMSS[[#This Row],[SDI]]*$R$116</f>
        <v>98.449315068493135</v>
      </c>
      <c r="AB574" s="163">
        <f ca="1">IMSS[[#This Row],[DIAS LAB]]*IMSS[[#This Row],[SDI]]*$R$117</f>
        <v>0</v>
      </c>
      <c r="AC574" s="247">
        <f ca="1">SUM(IMSS[[#This Row],[O RSG TRB]:[O INFONAVIT]])</f>
        <v>175.11780821917807</v>
      </c>
      <c r="AD574" s="163"/>
      <c r="AE574" s="165">
        <f ca="1">IMSS[[#This Row],[P TOTAL]]+IMSS[[#This Row],[O TOTAL]]</f>
        <v>2233.4448246575344</v>
      </c>
      <c r="AF574" s="163"/>
      <c r="AG574" s="163">
        <f>VLOOKUP(IMSS[[#This Row],[SUE MENS]],$AG$110:$AJ$120,1,1)</f>
        <v>5470.93</v>
      </c>
      <c r="AH574" s="163">
        <f>IMSS[[#This Row],[SUE MENS]]-IMSS[[#This Row],[LIM INF]]</f>
        <v>2479.0699999999997</v>
      </c>
      <c r="AI574" s="163">
        <f>IMSS[[#This Row],[EXC LIM INF]]*(VLOOKUP(IMSS[[#This Row],[LIM INF]],$AG$110:$AJ$120,4,0))</f>
        <v>269.72281599999997</v>
      </c>
      <c r="AJ574" s="163">
        <f>VLOOKUP(IMSS[[#This Row],[LIM INF]],$AG$110:$AJ$120,3)</f>
        <v>321.26</v>
      </c>
      <c r="AK574" s="163">
        <f>SUM(IMSS[[#This Row],[TASA EXC]]+IMSS[[#This Row],[CUOTA FIJA]])</f>
        <v>590.98281599999996</v>
      </c>
      <c r="AL574" s="163">
        <f>VLOOKUP(IMSS[[#This Row],[SUE MENS]],$AL$110:$AN$120,3,1)</f>
        <v>0</v>
      </c>
      <c r="AM574" s="248">
        <f>IF(IMSS[[#This Row],[ISR CARGO]]-IMSS[[#This Row],[SUBS ISR]]&gt;0,IMSS[[#This Row],[ISR CARGO]]-IMSS[[#This Row],[SUBS ISR]],0)</f>
        <v>590.98281599999996</v>
      </c>
      <c r="AN574" s="248">
        <f>IF(IMSS[[#This Row],[SUBS ISR]]-IMSS[[#This Row],[ISR CARGO]]&gt;0,IMSS[[#This Row],[SUBS ISR]]-IMSS[[#This Row],[ISR CARGO]],0)</f>
        <v>0</v>
      </c>
    </row>
    <row r="575" spans="3:40" ht="15" hidden="1" customHeight="1" x14ac:dyDescent="0.25">
      <c r="C575" s="243">
        <v>684</v>
      </c>
      <c r="D575" s="167" t="str">
        <f>VLOOKUP(IMSS[[#This Row],[NEM]],BDD[],2,0)</f>
        <v>Mayra Dolores Hernandez García</v>
      </c>
      <c r="E575" s="167" t="str">
        <f>VLOOKUP(IMSS[[#This Row],[NEM]],BDD[],9,0)</f>
        <v>INST CAMPO</v>
      </c>
      <c r="F575" s="168">
        <v>30</v>
      </c>
      <c r="G575" s="139">
        <f>VLOOKUP(IMSS[[#This Row],[NEM]],BDD[],3,0)</f>
        <v>8825</v>
      </c>
      <c r="H575" s="139">
        <f ca="1">VLOOKUP(IMSS[[#This Row],[NEM]],BDD[],25,0)</f>
        <v>322.3744292237443</v>
      </c>
      <c r="I575" s="143">
        <f>VLOOKUP(IMSS[[#This Row],[DEPT]],$B$3:$G$49,6,0)</f>
        <v>4.6532499999999997E-2</v>
      </c>
      <c r="J575" s="163">
        <f ca="1">IMSS[[#This Row],[DIAS LAB]]*IMSS[[#This Row],[SDI]]*IMSS[[#This Row],[% RSG]]*$Q$108</f>
        <v>450.02664383561643</v>
      </c>
      <c r="K575" s="163">
        <f>IMSS[[#This Row],[DIAS LAB]]*$J$110*$Q$109</f>
        <v>548.47440000000006</v>
      </c>
      <c r="L575" s="166">
        <f ca="1">IMSS[[#This Row],[DIAS LAB]]*IF(IMSS[[#This Row],[SDI]]-$J$113&gt;0,IMSS[[#This Row],[SDI]]-$J$113,0)*$Q$110</f>
        <v>17.659761643835612</v>
      </c>
      <c r="M575" s="166">
        <f ca="1">IMSS[[#This Row],[DIAS LAB]]*IMSS[[#This Row],[SDI]]*$Q$111</f>
        <v>101.54794520547946</v>
      </c>
      <c r="N575" s="163">
        <f ca="1">IMSS[[#This Row],[DIAS LAB]]*IMSS[[#This Row],[SDI]]*$Q$112</f>
        <v>67.69863013698631</v>
      </c>
      <c r="O575" s="166">
        <f ca="1">IMSS[[#This Row],[DIAS LAB]]*IMSS[[#This Row],[SDI]]*$Q$113</f>
        <v>169.24657534246577</v>
      </c>
      <c r="P575" s="163">
        <f ca="1">IMSS[[#This Row],[DIAS LAB]]*IMSS[[#This Row],[SDI]]*$Q$114</f>
        <v>96.712328767123296</v>
      </c>
      <c r="Q575" s="166">
        <f ca="1">IMSS[[#This Row],[DIAS LAB]]*IMSS[[#This Row],[SDI]]*$Q$115</f>
        <v>193.42465753424659</v>
      </c>
      <c r="R575" s="163">
        <f ca="1">IMSS[[#This Row],[DIAS LAB]]*IMSS[[#This Row],[SDI]]*$Q$116</f>
        <v>304.64383561643837</v>
      </c>
      <c r="S575" s="163">
        <f ca="1">IMSS[[#This Row],[DIAS LAB]]*IMSS[[#This Row],[SDI]]*$Q$117</f>
        <v>483.56164383561645</v>
      </c>
      <c r="T575" s="164">
        <f ca="1">SUM(IMSS[[#This Row],[P RSG TRB]:[P INFONAVIT]])</f>
        <v>2432.9964219178082</v>
      </c>
      <c r="U575" s="163">
        <f ca="1">IMSS[[#This Row],[DIAS LAB]]*IMSS[[#This Row],[SDI]]*IMSS[[#This Row],[% RSG]]*$R$108</f>
        <v>0</v>
      </c>
      <c r="V575" s="163">
        <f ca="1">IMSS[[#This Row],[DIAS LAB]]*IMSS[[#This Row],[SDI]]*$R$112</f>
        <v>24.178082191780824</v>
      </c>
      <c r="W575" s="163"/>
      <c r="X575" s="163">
        <f ca="1">IMSS[[#This Row],[DIAS LAB]]*IMSS[[#This Row],[SDI]]*$R$113</f>
        <v>60.92876712328767</v>
      </c>
      <c r="Y575" s="163">
        <f ca="1">IMSS[[#This Row],[DIAS LAB]]*IMSS[[#This Row],[SDI]]*$R$114</f>
        <v>0</v>
      </c>
      <c r="Z575" s="163">
        <f ca="1">IMSS[[#This Row],[DIAS LAB]]*IMSS[[#This Row],[SDI]]*$R$115</f>
        <v>0</v>
      </c>
      <c r="AA575" s="163">
        <f ca="1">IMSS[[#This Row],[DIAS LAB]]*IMSS[[#This Row],[SDI]]*$R$116</f>
        <v>109.2849315068493</v>
      </c>
      <c r="AB575" s="163">
        <f ca="1">IMSS[[#This Row],[DIAS LAB]]*IMSS[[#This Row],[SDI]]*$R$117</f>
        <v>0</v>
      </c>
      <c r="AC575" s="247">
        <f ca="1">SUM(IMSS[[#This Row],[O RSG TRB]:[O INFONAVIT]])</f>
        <v>194.39178082191779</v>
      </c>
      <c r="AD575" s="163"/>
      <c r="AE575" s="165">
        <f ca="1">IMSS[[#This Row],[P TOTAL]]+IMSS[[#This Row],[O TOTAL]]</f>
        <v>2627.3882027397258</v>
      </c>
      <c r="AF575" s="163"/>
      <c r="AG575" s="163">
        <f>VLOOKUP(IMSS[[#This Row],[SUE MENS]],$AG$110:$AJ$120,1,1)</f>
        <v>5470.93</v>
      </c>
      <c r="AH575" s="163">
        <f>IMSS[[#This Row],[SUE MENS]]-IMSS[[#This Row],[LIM INF]]</f>
        <v>3354.0699999999997</v>
      </c>
      <c r="AI575" s="163">
        <f>IMSS[[#This Row],[EXC LIM INF]]*(VLOOKUP(IMSS[[#This Row],[LIM INF]],$AG$110:$AJ$120,4,0))</f>
        <v>364.92281600000001</v>
      </c>
      <c r="AJ575" s="163">
        <f>VLOOKUP(IMSS[[#This Row],[LIM INF]],$AG$110:$AJ$120,3)</f>
        <v>321.26</v>
      </c>
      <c r="AK575" s="163">
        <f>SUM(IMSS[[#This Row],[TASA EXC]]+IMSS[[#This Row],[CUOTA FIJA]])</f>
        <v>686.182816</v>
      </c>
      <c r="AL575" s="163">
        <f>VLOOKUP(IMSS[[#This Row],[SUE MENS]],$AL$110:$AN$120,3,1)</f>
        <v>0</v>
      </c>
      <c r="AM575" s="248">
        <f>IF(IMSS[[#This Row],[ISR CARGO]]-IMSS[[#This Row],[SUBS ISR]]&gt;0,IMSS[[#This Row],[ISR CARGO]]-IMSS[[#This Row],[SUBS ISR]],0)</f>
        <v>686.182816</v>
      </c>
      <c r="AN575" s="248">
        <f>IF(IMSS[[#This Row],[SUBS ISR]]-IMSS[[#This Row],[ISR CARGO]]&gt;0,IMSS[[#This Row],[SUBS ISR]]-IMSS[[#This Row],[ISR CARGO]],0)</f>
        <v>0</v>
      </c>
    </row>
    <row r="576" spans="3:40" ht="15" hidden="1" customHeight="1" x14ac:dyDescent="0.25">
      <c r="C576" s="243">
        <v>688</v>
      </c>
      <c r="D576" s="167" t="str">
        <f>VLOOKUP(IMSS[[#This Row],[NEM]],BDD[],2,0)</f>
        <v>Rafael Lopez Lopez</v>
      </c>
      <c r="E576" s="167" t="str">
        <f>VLOOKUP(IMSS[[#This Row],[NEM]],BDD[],9,0)</f>
        <v>SOFTWARE</v>
      </c>
      <c r="F576" s="168">
        <v>30</v>
      </c>
      <c r="G576" s="139">
        <f>VLOOKUP(IMSS[[#This Row],[NEM]],BDD[],3,0)</f>
        <v>10350</v>
      </c>
      <c r="H576" s="139">
        <f ca="1">VLOOKUP(IMSS[[#This Row],[NEM]],BDD[],25,0)</f>
        <v>378.08219178082192</v>
      </c>
      <c r="I576" s="143">
        <f>VLOOKUP(IMSS[[#This Row],[DEPT]],$B$3:$G$49,6,0)</f>
        <v>1.130658E-2</v>
      </c>
      <c r="J576" s="163">
        <f ca="1">IMSS[[#This Row],[DIAS LAB]]*IMSS[[#This Row],[SDI]]*IMSS[[#This Row],[% RSG]]*$Q$108</f>
        <v>128.24449643835618</v>
      </c>
      <c r="K576" s="163">
        <f>IMSS[[#This Row],[DIAS LAB]]*$J$110*$Q$109</f>
        <v>548.47440000000006</v>
      </c>
      <c r="L576" s="166">
        <f ca="1">IMSS[[#This Row],[DIAS LAB]]*IF(IMSS[[#This Row],[SDI]]-$J$113&gt;0,IMSS[[#This Row],[SDI]]-$J$113,0)*$Q$110</f>
        <v>36.043323287671221</v>
      </c>
      <c r="M576" s="166">
        <f ca="1">IMSS[[#This Row],[DIAS LAB]]*IMSS[[#This Row],[SDI]]*$Q$111</f>
        <v>119.09589041095892</v>
      </c>
      <c r="N576" s="163">
        <f ca="1">IMSS[[#This Row],[DIAS LAB]]*IMSS[[#This Row],[SDI]]*$Q$112</f>
        <v>79.397260273972606</v>
      </c>
      <c r="O576" s="166">
        <f ca="1">IMSS[[#This Row],[DIAS LAB]]*IMSS[[#This Row],[SDI]]*$Q$113</f>
        <v>198.49315068493152</v>
      </c>
      <c r="P576" s="163">
        <f ca="1">IMSS[[#This Row],[DIAS LAB]]*IMSS[[#This Row],[SDI]]*$Q$114</f>
        <v>113.42465753424658</v>
      </c>
      <c r="Q576" s="166">
        <f ca="1">IMSS[[#This Row],[DIAS LAB]]*IMSS[[#This Row],[SDI]]*$Q$115</f>
        <v>226.84931506849315</v>
      </c>
      <c r="R576" s="163">
        <f ca="1">IMSS[[#This Row],[DIAS LAB]]*IMSS[[#This Row],[SDI]]*$Q$116</f>
        <v>357.28767123287673</v>
      </c>
      <c r="S576" s="163">
        <f ca="1">IMSS[[#This Row],[DIAS LAB]]*IMSS[[#This Row],[SDI]]*$Q$117</f>
        <v>567.1232876712329</v>
      </c>
      <c r="T576" s="164">
        <f ca="1">SUM(IMSS[[#This Row],[P RSG TRB]:[P INFONAVIT]])</f>
        <v>2374.4334526027396</v>
      </c>
      <c r="U576" s="163">
        <f ca="1">IMSS[[#This Row],[DIAS LAB]]*IMSS[[#This Row],[SDI]]*IMSS[[#This Row],[% RSG]]*$R$108</f>
        <v>0</v>
      </c>
      <c r="V576" s="163">
        <f ca="1">IMSS[[#This Row],[DIAS LAB]]*IMSS[[#This Row],[SDI]]*$R$112</f>
        <v>28.356164383561644</v>
      </c>
      <c r="W576" s="163"/>
      <c r="X576" s="163">
        <f ca="1">IMSS[[#This Row],[DIAS LAB]]*IMSS[[#This Row],[SDI]]*$R$113</f>
        <v>71.457534246575349</v>
      </c>
      <c r="Y576" s="163">
        <f ca="1">IMSS[[#This Row],[DIAS LAB]]*IMSS[[#This Row],[SDI]]*$R$114</f>
        <v>0</v>
      </c>
      <c r="Z576" s="163">
        <f ca="1">IMSS[[#This Row],[DIAS LAB]]*IMSS[[#This Row],[SDI]]*$R$115</f>
        <v>0</v>
      </c>
      <c r="AA576" s="163">
        <f ca="1">IMSS[[#This Row],[DIAS LAB]]*IMSS[[#This Row],[SDI]]*$R$116</f>
        <v>128.16986301369863</v>
      </c>
      <c r="AB576" s="163">
        <f ca="1">IMSS[[#This Row],[DIAS LAB]]*IMSS[[#This Row],[SDI]]*$R$117</f>
        <v>0</v>
      </c>
      <c r="AC576" s="247">
        <f ca="1">SUM(IMSS[[#This Row],[O RSG TRB]:[O INFONAVIT]])</f>
        <v>227.98356164383563</v>
      </c>
      <c r="AD576" s="163"/>
      <c r="AE576" s="165">
        <f ca="1">IMSS[[#This Row],[P TOTAL]]+IMSS[[#This Row],[O TOTAL]]</f>
        <v>2602.4170142465755</v>
      </c>
      <c r="AF576" s="163"/>
      <c r="AG576" s="163">
        <f>VLOOKUP(IMSS[[#This Row],[SUE MENS]],$AG$110:$AJ$120,1,1)</f>
        <v>9614.67</v>
      </c>
      <c r="AH576" s="163">
        <f>IMSS[[#This Row],[SUE MENS]]-IMSS[[#This Row],[LIM INF]]</f>
        <v>735.32999999999993</v>
      </c>
      <c r="AI576" s="163">
        <f>IMSS[[#This Row],[EXC LIM INF]]*(VLOOKUP(IMSS[[#This Row],[LIM INF]],$AG$110:$AJ$120,4,0))</f>
        <v>117.65279999999998</v>
      </c>
      <c r="AJ576" s="163">
        <f>VLOOKUP(IMSS[[#This Row],[LIM INF]],$AG$110:$AJ$120,3)</f>
        <v>772.1</v>
      </c>
      <c r="AK576" s="163">
        <f>SUM(IMSS[[#This Row],[TASA EXC]]+IMSS[[#This Row],[CUOTA FIJA]])</f>
        <v>889.75279999999998</v>
      </c>
      <c r="AL576" s="163">
        <f>VLOOKUP(IMSS[[#This Row],[SUE MENS]],$AL$110:$AN$120,3,1)</f>
        <v>0</v>
      </c>
      <c r="AM576" s="248">
        <f>IF(IMSS[[#This Row],[ISR CARGO]]-IMSS[[#This Row],[SUBS ISR]]&gt;0,IMSS[[#This Row],[ISR CARGO]]-IMSS[[#This Row],[SUBS ISR]],0)</f>
        <v>889.75279999999998</v>
      </c>
      <c r="AN576" s="248">
        <f>IF(IMSS[[#This Row],[SUBS ISR]]-IMSS[[#This Row],[ISR CARGO]]&gt;0,IMSS[[#This Row],[SUBS ISR]]-IMSS[[#This Row],[ISR CARGO]],0)</f>
        <v>0</v>
      </c>
    </row>
    <row r="577" spans="3:40" ht="15" hidden="1" customHeight="1" x14ac:dyDescent="0.25">
      <c r="C577" s="243">
        <v>689</v>
      </c>
      <c r="D577" s="167" t="str">
        <f>VLOOKUP(IMSS[[#This Row],[NEM]],BDD[],2,0)</f>
        <v>Alfredo Perez Lopez</v>
      </c>
      <c r="E577" s="167" t="str">
        <f>VLOOKUP(IMSS[[#This Row],[NEM]],BDD[],9,0)</f>
        <v>ADMINCIÓN</v>
      </c>
      <c r="F577" s="168">
        <v>30</v>
      </c>
      <c r="G577" s="139">
        <f>VLOOKUP(IMSS[[#This Row],[NEM]],BDD[],3,0)</f>
        <v>6778</v>
      </c>
      <c r="H577" s="139">
        <f ca="1">VLOOKUP(IMSS[[#This Row],[NEM]],BDD[],25,0)</f>
        <v>236.76575342465753</v>
      </c>
      <c r="I577" s="143">
        <f>VLOOKUP(IMSS[[#This Row],[DEPT]],$B$3:$G$49,6,0)</f>
        <v>5.4355000000000002E-3</v>
      </c>
      <c r="J577" s="163">
        <f ca="1">IMSS[[#This Row],[DIAS LAB]]*IMSS[[#This Row],[SDI]]*IMSS[[#This Row],[% RSG]]*$Q$108</f>
        <v>38.608207582191781</v>
      </c>
      <c r="K577" s="163">
        <f>IMSS[[#This Row],[DIAS LAB]]*$J$110*$Q$109</f>
        <v>548.47440000000006</v>
      </c>
      <c r="L577" s="166">
        <f ca="1">IMSS[[#This Row],[DIAS LAB]]*IF(IMSS[[#This Row],[SDI]]-$J$113&gt;0,IMSS[[#This Row],[SDI]]-$J$113,0)*$Q$110</f>
        <v>0</v>
      </c>
      <c r="M577" s="166">
        <f ca="1">IMSS[[#This Row],[DIAS LAB]]*IMSS[[#This Row],[SDI]]*$Q$111</f>
        <v>74.581212328767137</v>
      </c>
      <c r="N577" s="163">
        <f ca="1">IMSS[[#This Row],[DIAS LAB]]*IMSS[[#This Row],[SDI]]*$Q$112</f>
        <v>49.720808219178089</v>
      </c>
      <c r="O577" s="166">
        <f ca="1">IMSS[[#This Row],[DIAS LAB]]*IMSS[[#This Row],[SDI]]*$Q$113</f>
        <v>124.30202054794522</v>
      </c>
      <c r="P577" s="163">
        <f ca="1">IMSS[[#This Row],[DIAS LAB]]*IMSS[[#This Row],[SDI]]*$Q$114</f>
        <v>71.02972602739726</v>
      </c>
      <c r="Q577" s="166">
        <f ca="1">IMSS[[#This Row],[DIAS LAB]]*IMSS[[#This Row],[SDI]]*$Q$115</f>
        <v>142.05945205479452</v>
      </c>
      <c r="R577" s="163">
        <f ca="1">IMSS[[#This Row],[DIAS LAB]]*IMSS[[#This Row],[SDI]]*$Q$116</f>
        <v>223.7436369863014</v>
      </c>
      <c r="S577" s="163">
        <f ca="1">IMSS[[#This Row],[DIAS LAB]]*IMSS[[#This Row],[SDI]]*$Q$117</f>
        <v>355.14863013698636</v>
      </c>
      <c r="T577" s="164">
        <f ca="1">SUM(IMSS[[#This Row],[P RSG TRB]:[P INFONAVIT]])</f>
        <v>1627.6680938835618</v>
      </c>
      <c r="U577" s="163">
        <f ca="1">IMSS[[#This Row],[DIAS LAB]]*IMSS[[#This Row],[SDI]]*IMSS[[#This Row],[% RSG]]*$R$108</f>
        <v>0</v>
      </c>
      <c r="V577" s="163">
        <f ca="1">IMSS[[#This Row],[DIAS LAB]]*IMSS[[#This Row],[SDI]]*$R$112</f>
        <v>17.757431506849315</v>
      </c>
      <c r="W577" s="163"/>
      <c r="X577" s="163">
        <f ca="1">IMSS[[#This Row],[DIAS LAB]]*IMSS[[#This Row],[SDI]]*$R$113</f>
        <v>44.748727397260275</v>
      </c>
      <c r="Y577" s="163">
        <f ca="1">IMSS[[#This Row],[DIAS LAB]]*IMSS[[#This Row],[SDI]]*$R$114</f>
        <v>0</v>
      </c>
      <c r="Z577" s="163">
        <f ca="1">IMSS[[#This Row],[DIAS LAB]]*IMSS[[#This Row],[SDI]]*$R$115</f>
        <v>0</v>
      </c>
      <c r="AA577" s="163">
        <f ca="1">IMSS[[#This Row],[DIAS LAB]]*IMSS[[#This Row],[SDI]]*$R$116</f>
        <v>80.263590410958898</v>
      </c>
      <c r="AB577" s="163">
        <f ca="1">IMSS[[#This Row],[DIAS LAB]]*IMSS[[#This Row],[SDI]]*$R$117</f>
        <v>0</v>
      </c>
      <c r="AC577" s="247">
        <f ca="1">SUM(IMSS[[#This Row],[O RSG TRB]:[O INFONAVIT]])</f>
        <v>142.76974931506848</v>
      </c>
      <c r="AD577" s="163"/>
      <c r="AE577" s="165">
        <f ca="1">IMSS[[#This Row],[P TOTAL]]+IMSS[[#This Row],[O TOTAL]]</f>
        <v>1770.4378431986304</v>
      </c>
      <c r="AF577" s="163"/>
      <c r="AG577" s="163">
        <f>VLOOKUP(IMSS[[#This Row],[SUE MENS]],$AG$110:$AJ$120,1,1)</f>
        <v>5470.93</v>
      </c>
      <c r="AH577" s="163">
        <f>IMSS[[#This Row],[SUE MENS]]-IMSS[[#This Row],[LIM INF]]</f>
        <v>1307.0699999999997</v>
      </c>
      <c r="AI577" s="163">
        <f>IMSS[[#This Row],[EXC LIM INF]]*(VLOOKUP(IMSS[[#This Row],[LIM INF]],$AG$110:$AJ$120,4,0))</f>
        <v>142.20921599999997</v>
      </c>
      <c r="AJ577" s="163">
        <f>VLOOKUP(IMSS[[#This Row],[LIM INF]],$AG$110:$AJ$120,3)</f>
        <v>321.26</v>
      </c>
      <c r="AK577" s="163">
        <f>SUM(IMSS[[#This Row],[TASA EXC]]+IMSS[[#This Row],[CUOTA FIJA]])</f>
        <v>463.46921599999996</v>
      </c>
      <c r="AL577" s="163">
        <f>VLOOKUP(IMSS[[#This Row],[SUE MENS]],$AL$110:$AN$120,3,1)</f>
        <v>253.54</v>
      </c>
      <c r="AM577" s="248">
        <f>IF(IMSS[[#This Row],[ISR CARGO]]-IMSS[[#This Row],[SUBS ISR]]&gt;0,IMSS[[#This Row],[ISR CARGO]]-IMSS[[#This Row],[SUBS ISR]],0)</f>
        <v>209.92921599999997</v>
      </c>
      <c r="AN577" s="248">
        <f>IF(IMSS[[#This Row],[SUBS ISR]]-IMSS[[#This Row],[ISR CARGO]]&gt;0,IMSS[[#This Row],[SUBS ISR]]-IMSS[[#This Row],[ISR CARGO]],0)</f>
        <v>0</v>
      </c>
    </row>
    <row r="578" spans="3:40" ht="15" hidden="1" customHeight="1" x14ac:dyDescent="0.25">
      <c r="C578" s="243">
        <v>690</v>
      </c>
      <c r="D578" s="167" t="str">
        <f>VLOOKUP(IMSS[[#This Row],[NEM]],BDD[],2,0)</f>
        <v>Mónica Samantha López Lara</v>
      </c>
      <c r="E578" s="167" t="str">
        <f>VLOOKUP(IMSS[[#This Row],[NEM]],BDD[],9,0)</f>
        <v>RECLTMTO</v>
      </c>
      <c r="F578" s="168">
        <v>30</v>
      </c>
      <c r="G578" s="139">
        <f>VLOOKUP(IMSS[[#This Row],[NEM]],BDD[],3,0)</f>
        <v>7445</v>
      </c>
      <c r="H578" s="139">
        <f ca="1">VLOOKUP(IMSS[[#This Row],[NEM]],BDD[],25,0)</f>
        <v>271.96347031963467</v>
      </c>
      <c r="I578" s="143">
        <f>VLOOKUP(IMSS[[#This Row],[DEPT]],$B$3:$G$49,6,0)</f>
        <v>5.4355000000000002E-3</v>
      </c>
      <c r="J578" s="163">
        <f ca="1">IMSS[[#This Row],[DIAS LAB]]*IMSS[[#This Row],[SDI]]*IMSS[[#This Row],[% RSG]]*$Q$108</f>
        <v>44.347723287671229</v>
      </c>
      <c r="K578" s="163">
        <f>IMSS[[#This Row],[DIAS LAB]]*$J$110*$Q$109</f>
        <v>548.47440000000006</v>
      </c>
      <c r="L578" s="166">
        <f ca="1">IMSS[[#This Row],[DIAS LAB]]*IF(IMSS[[#This Row],[SDI]]-$J$113&gt;0,IMSS[[#This Row],[SDI]]-$J$113,0)*$Q$110</f>
        <v>1.0241452054794353</v>
      </c>
      <c r="M578" s="166">
        <f ca="1">IMSS[[#This Row],[DIAS LAB]]*IMSS[[#This Row],[SDI]]*$Q$111</f>
        <v>85.668493150684924</v>
      </c>
      <c r="N578" s="163">
        <f ca="1">IMSS[[#This Row],[DIAS LAB]]*IMSS[[#This Row],[SDI]]*$Q$112</f>
        <v>57.11232876712328</v>
      </c>
      <c r="O578" s="166">
        <f ca="1">IMSS[[#This Row],[DIAS LAB]]*IMSS[[#This Row],[SDI]]*$Q$113</f>
        <v>142.7808219178082</v>
      </c>
      <c r="P578" s="163">
        <f ca="1">IMSS[[#This Row],[DIAS LAB]]*IMSS[[#This Row],[SDI]]*$Q$114</f>
        <v>81.589041095890394</v>
      </c>
      <c r="Q578" s="166">
        <f ca="1">IMSS[[#This Row],[DIAS LAB]]*IMSS[[#This Row],[SDI]]*$Q$115</f>
        <v>163.17808219178079</v>
      </c>
      <c r="R578" s="163">
        <f ca="1">IMSS[[#This Row],[DIAS LAB]]*IMSS[[#This Row],[SDI]]*$Q$116</f>
        <v>257.00547945205477</v>
      </c>
      <c r="S578" s="163">
        <f ca="1">IMSS[[#This Row],[DIAS LAB]]*IMSS[[#This Row],[SDI]]*$Q$117</f>
        <v>407.945205479452</v>
      </c>
      <c r="T578" s="164">
        <f ca="1">SUM(IMSS[[#This Row],[P RSG TRB]:[P INFONAVIT]])</f>
        <v>1789.1257205479449</v>
      </c>
      <c r="U578" s="163">
        <f ca="1">IMSS[[#This Row],[DIAS LAB]]*IMSS[[#This Row],[SDI]]*IMSS[[#This Row],[% RSG]]*$R$108</f>
        <v>0</v>
      </c>
      <c r="V578" s="163">
        <f ca="1">IMSS[[#This Row],[DIAS LAB]]*IMSS[[#This Row],[SDI]]*$R$112</f>
        <v>20.397260273972599</v>
      </c>
      <c r="W578" s="163"/>
      <c r="X578" s="163">
        <f ca="1">IMSS[[#This Row],[DIAS LAB]]*IMSS[[#This Row],[SDI]]*$R$113</f>
        <v>51.40109589041095</v>
      </c>
      <c r="Y578" s="163">
        <f ca="1">IMSS[[#This Row],[DIAS LAB]]*IMSS[[#This Row],[SDI]]*$R$114</f>
        <v>0</v>
      </c>
      <c r="Z578" s="163">
        <f ca="1">IMSS[[#This Row],[DIAS LAB]]*IMSS[[#This Row],[SDI]]*$R$115</f>
        <v>0</v>
      </c>
      <c r="AA578" s="163">
        <f ca="1">IMSS[[#This Row],[DIAS LAB]]*IMSS[[#This Row],[SDI]]*$R$116</f>
        <v>92.19561643835614</v>
      </c>
      <c r="AB578" s="163">
        <f ca="1">IMSS[[#This Row],[DIAS LAB]]*IMSS[[#This Row],[SDI]]*$R$117</f>
        <v>0</v>
      </c>
      <c r="AC578" s="247">
        <f ca="1">SUM(IMSS[[#This Row],[O RSG TRB]:[O INFONAVIT]])</f>
        <v>163.99397260273969</v>
      </c>
      <c r="AD578" s="163"/>
      <c r="AE578" s="165">
        <f ca="1">IMSS[[#This Row],[P TOTAL]]+IMSS[[#This Row],[O TOTAL]]</f>
        <v>1953.1196931506845</v>
      </c>
      <c r="AF578" s="163"/>
      <c r="AG578" s="163">
        <f>VLOOKUP(IMSS[[#This Row],[SUE MENS]],$AG$110:$AJ$120,1,1)</f>
        <v>5470.93</v>
      </c>
      <c r="AH578" s="163">
        <f>IMSS[[#This Row],[SUE MENS]]-IMSS[[#This Row],[LIM INF]]</f>
        <v>1974.0699999999997</v>
      </c>
      <c r="AI578" s="163">
        <f>IMSS[[#This Row],[EXC LIM INF]]*(VLOOKUP(IMSS[[#This Row],[LIM INF]],$AG$110:$AJ$120,4,0))</f>
        <v>214.77881599999998</v>
      </c>
      <c r="AJ578" s="163">
        <f>VLOOKUP(IMSS[[#This Row],[LIM INF]],$AG$110:$AJ$120,3)</f>
        <v>321.26</v>
      </c>
      <c r="AK578" s="163">
        <f>SUM(IMSS[[#This Row],[TASA EXC]]+IMSS[[#This Row],[CUOTA FIJA]])</f>
        <v>536.038816</v>
      </c>
      <c r="AL578" s="163">
        <f>VLOOKUP(IMSS[[#This Row],[SUE MENS]],$AL$110:$AN$120,3,1)</f>
        <v>0</v>
      </c>
      <c r="AM578" s="248">
        <f>IF(IMSS[[#This Row],[ISR CARGO]]-IMSS[[#This Row],[SUBS ISR]]&gt;0,IMSS[[#This Row],[ISR CARGO]]-IMSS[[#This Row],[SUBS ISR]],0)</f>
        <v>536.038816</v>
      </c>
      <c r="AN578" s="248">
        <f>IF(IMSS[[#This Row],[SUBS ISR]]-IMSS[[#This Row],[ISR CARGO]]&gt;0,IMSS[[#This Row],[SUBS ISR]]-IMSS[[#This Row],[ISR CARGO]],0)</f>
        <v>0</v>
      </c>
    </row>
    <row r="579" spans="3:40" ht="15" hidden="1" customHeight="1" x14ac:dyDescent="0.25">
      <c r="C579" s="243">
        <v>691</v>
      </c>
      <c r="D579" s="167" t="str">
        <f>VLOOKUP(IMSS[[#This Row],[NEM]],BDD[],2,0)</f>
        <v>Julio Cesar Angel Silva</v>
      </c>
      <c r="E579" s="167" t="str">
        <f>VLOOKUP(IMSS[[#This Row],[NEM]],BDD[],9,0)</f>
        <v>EQUIPOS</v>
      </c>
      <c r="F579" s="168">
        <v>30</v>
      </c>
      <c r="G579" s="139">
        <f>VLOOKUP(IMSS[[#This Row],[NEM]],BDD[],3,0)</f>
        <v>9450</v>
      </c>
      <c r="H579" s="139">
        <f ca="1">VLOOKUP(IMSS[[#This Row],[NEM]],BDD[],25,0)</f>
        <v>345.20547945205476</v>
      </c>
      <c r="I579" s="143">
        <f>VLOOKUP(IMSS[[#This Row],[DEPT]],$B$3:$G$49,6,0)</f>
        <v>1.130658E-2</v>
      </c>
      <c r="J579" s="163">
        <f ca="1">IMSS[[#This Row],[DIAS LAB]]*IMSS[[#This Row],[SDI]]*IMSS[[#This Row],[% RSG]]*$Q$108</f>
        <v>117.09280109589041</v>
      </c>
      <c r="K579" s="163">
        <f>IMSS[[#This Row],[DIAS LAB]]*$J$110*$Q$109</f>
        <v>548.47440000000006</v>
      </c>
      <c r="L579" s="166">
        <f ca="1">IMSS[[#This Row],[DIAS LAB]]*IF(IMSS[[#This Row],[SDI]]-$J$113&gt;0,IMSS[[#This Row],[SDI]]-$J$113,0)*$Q$110</f>
        <v>25.194008219178063</v>
      </c>
      <c r="M579" s="166">
        <f ca="1">IMSS[[#This Row],[DIAS LAB]]*IMSS[[#This Row],[SDI]]*$Q$111</f>
        <v>108.73972602739727</v>
      </c>
      <c r="N579" s="163">
        <f ca="1">IMSS[[#This Row],[DIAS LAB]]*IMSS[[#This Row],[SDI]]*$Q$112</f>
        <v>72.493150684931507</v>
      </c>
      <c r="O579" s="166">
        <f ca="1">IMSS[[#This Row],[DIAS LAB]]*IMSS[[#This Row],[SDI]]*$Q$113</f>
        <v>181.23287671232876</v>
      </c>
      <c r="P579" s="163">
        <f ca="1">IMSS[[#This Row],[DIAS LAB]]*IMSS[[#This Row],[SDI]]*$Q$114</f>
        <v>103.56164383561644</v>
      </c>
      <c r="Q579" s="166">
        <f ca="1">IMSS[[#This Row],[DIAS LAB]]*IMSS[[#This Row],[SDI]]*$Q$115</f>
        <v>207.12328767123287</v>
      </c>
      <c r="R579" s="163">
        <f ca="1">IMSS[[#This Row],[DIAS LAB]]*IMSS[[#This Row],[SDI]]*$Q$116</f>
        <v>326.21917808219177</v>
      </c>
      <c r="S579" s="163">
        <f ca="1">IMSS[[#This Row],[DIAS LAB]]*IMSS[[#This Row],[SDI]]*$Q$117</f>
        <v>517.80821917808214</v>
      </c>
      <c r="T579" s="164">
        <f ca="1">SUM(IMSS[[#This Row],[P RSG TRB]:[P INFONAVIT]])</f>
        <v>2207.9392915068493</v>
      </c>
      <c r="U579" s="163">
        <f ca="1">IMSS[[#This Row],[DIAS LAB]]*IMSS[[#This Row],[SDI]]*IMSS[[#This Row],[% RSG]]*$R$108</f>
        <v>0</v>
      </c>
      <c r="V579" s="163">
        <f ca="1">IMSS[[#This Row],[DIAS LAB]]*IMSS[[#This Row],[SDI]]*$R$112</f>
        <v>25.890410958904109</v>
      </c>
      <c r="W579" s="163"/>
      <c r="X579" s="163">
        <f ca="1">IMSS[[#This Row],[DIAS LAB]]*IMSS[[#This Row],[SDI]]*$R$113</f>
        <v>65.243835616438346</v>
      </c>
      <c r="Y579" s="163">
        <f ca="1">IMSS[[#This Row],[DIAS LAB]]*IMSS[[#This Row],[SDI]]*$R$114</f>
        <v>0</v>
      </c>
      <c r="Z579" s="163">
        <f ca="1">IMSS[[#This Row],[DIAS LAB]]*IMSS[[#This Row],[SDI]]*$R$115</f>
        <v>0</v>
      </c>
      <c r="AA579" s="163">
        <f ca="1">IMSS[[#This Row],[DIAS LAB]]*IMSS[[#This Row],[SDI]]*$R$116</f>
        <v>117.02465753424656</v>
      </c>
      <c r="AB579" s="163">
        <f ca="1">IMSS[[#This Row],[DIAS LAB]]*IMSS[[#This Row],[SDI]]*$R$117</f>
        <v>0</v>
      </c>
      <c r="AC579" s="247">
        <f ca="1">SUM(IMSS[[#This Row],[O RSG TRB]:[O INFONAVIT]])</f>
        <v>208.158904109589</v>
      </c>
      <c r="AD579" s="163"/>
      <c r="AE579" s="165">
        <f ca="1">IMSS[[#This Row],[P TOTAL]]+IMSS[[#This Row],[O TOTAL]]</f>
        <v>2416.0981956164383</v>
      </c>
      <c r="AF579" s="163"/>
      <c r="AG579" s="163">
        <f>VLOOKUP(IMSS[[#This Row],[SUE MENS]],$AG$110:$AJ$120,1,1)</f>
        <v>5470.93</v>
      </c>
      <c r="AH579" s="163">
        <f>IMSS[[#This Row],[SUE MENS]]-IMSS[[#This Row],[LIM INF]]</f>
        <v>3979.0699999999997</v>
      </c>
      <c r="AI579" s="163">
        <f>IMSS[[#This Row],[EXC LIM INF]]*(VLOOKUP(IMSS[[#This Row],[LIM INF]],$AG$110:$AJ$120,4,0))</f>
        <v>432.92281600000001</v>
      </c>
      <c r="AJ579" s="163">
        <f>VLOOKUP(IMSS[[#This Row],[LIM INF]],$AG$110:$AJ$120,3)</f>
        <v>321.26</v>
      </c>
      <c r="AK579" s="163">
        <f>SUM(IMSS[[#This Row],[TASA EXC]]+IMSS[[#This Row],[CUOTA FIJA]])</f>
        <v>754.182816</v>
      </c>
      <c r="AL579" s="163">
        <f>VLOOKUP(IMSS[[#This Row],[SUE MENS]],$AL$110:$AN$120,3,1)</f>
        <v>0</v>
      </c>
      <c r="AM579" s="248">
        <f>IF(IMSS[[#This Row],[ISR CARGO]]-IMSS[[#This Row],[SUBS ISR]]&gt;0,IMSS[[#This Row],[ISR CARGO]]-IMSS[[#This Row],[SUBS ISR]],0)</f>
        <v>754.182816</v>
      </c>
      <c r="AN579" s="248">
        <f>IF(IMSS[[#This Row],[SUBS ISR]]-IMSS[[#This Row],[ISR CARGO]]&gt;0,IMSS[[#This Row],[SUBS ISR]]-IMSS[[#This Row],[ISR CARGO]],0)</f>
        <v>0</v>
      </c>
    </row>
    <row r="580" spans="3:40" ht="15" hidden="1" customHeight="1" x14ac:dyDescent="0.25">
      <c r="C580" s="243">
        <v>692</v>
      </c>
      <c r="D580" s="167" t="str">
        <f>VLOOKUP(IMSS[[#This Row],[NEM]],BDD[],2,0)</f>
        <v>Amalia Marino Valdovinos</v>
      </c>
      <c r="E580" s="167" t="str">
        <f>VLOOKUP(IMSS[[#This Row],[NEM]],BDD[],9,0)</f>
        <v>SOLUCIONES</v>
      </c>
      <c r="F580" s="168">
        <v>30</v>
      </c>
      <c r="G580" s="139">
        <f>VLOOKUP(IMSS[[#This Row],[NEM]],BDD[],3,0)</f>
        <v>7445</v>
      </c>
      <c r="H580" s="139">
        <f ca="1">VLOOKUP(IMSS[[#This Row],[NEM]],BDD[],25,0)</f>
        <v>271.96347031963467</v>
      </c>
      <c r="I580" s="143">
        <f>VLOOKUP(IMSS[[#This Row],[DEPT]],$B$3:$G$49,6,0)</f>
        <v>5.4355000000000002E-3</v>
      </c>
      <c r="J580" s="163">
        <f ca="1">IMSS[[#This Row],[DIAS LAB]]*IMSS[[#This Row],[SDI]]*IMSS[[#This Row],[% RSG]]*$Q$108</f>
        <v>44.347723287671229</v>
      </c>
      <c r="K580" s="163">
        <f>IMSS[[#This Row],[DIAS LAB]]*$J$110*$Q$109</f>
        <v>548.47440000000006</v>
      </c>
      <c r="L580" s="166">
        <f ca="1">IMSS[[#This Row],[DIAS LAB]]*IF(IMSS[[#This Row],[SDI]]-$J$113&gt;0,IMSS[[#This Row],[SDI]]-$J$113,0)*$Q$110</f>
        <v>1.0241452054794353</v>
      </c>
      <c r="M580" s="166">
        <f ca="1">IMSS[[#This Row],[DIAS LAB]]*IMSS[[#This Row],[SDI]]*$Q$111</f>
        <v>85.668493150684924</v>
      </c>
      <c r="N580" s="163">
        <f ca="1">IMSS[[#This Row],[DIAS LAB]]*IMSS[[#This Row],[SDI]]*$Q$112</f>
        <v>57.11232876712328</v>
      </c>
      <c r="O580" s="166">
        <f ca="1">IMSS[[#This Row],[DIAS LAB]]*IMSS[[#This Row],[SDI]]*$Q$113</f>
        <v>142.7808219178082</v>
      </c>
      <c r="P580" s="163">
        <f ca="1">IMSS[[#This Row],[DIAS LAB]]*IMSS[[#This Row],[SDI]]*$Q$114</f>
        <v>81.589041095890394</v>
      </c>
      <c r="Q580" s="166">
        <f ca="1">IMSS[[#This Row],[DIAS LAB]]*IMSS[[#This Row],[SDI]]*$Q$115</f>
        <v>163.17808219178079</v>
      </c>
      <c r="R580" s="163">
        <f ca="1">IMSS[[#This Row],[DIAS LAB]]*IMSS[[#This Row],[SDI]]*$Q$116</f>
        <v>257.00547945205477</v>
      </c>
      <c r="S580" s="163">
        <f ca="1">IMSS[[#This Row],[DIAS LAB]]*IMSS[[#This Row],[SDI]]*$Q$117</f>
        <v>407.945205479452</v>
      </c>
      <c r="T580" s="164">
        <f ca="1">SUM(IMSS[[#This Row],[P RSG TRB]:[P INFONAVIT]])</f>
        <v>1789.1257205479449</v>
      </c>
      <c r="U580" s="163">
        <f ca="1">IMSS[[#This Row],[DIAS LAB]]*IMSS[[#This Row],[SDI]]*IMSS[[#This Row],[% RSG]]*$R$108</f>
        <v>0</v>
      </c>
      <c r="V580" s="163">
        <f ca="1">IMSS[[#This Row],[DIAS LAB]]*IMSS[[#This Row],[SDI]]*$R$112</f>
        <v>20.397260273972599</v>
      </c>
      <c r="W580" s="163"/>
      <c r="X580" s="163">
        <f ca="1">IMSS[[#This Row],[DIAS LAB]]*IMSS[[#This Row],[SDI]]*$R$113</f>
        <v>51.40109589041095</v>
      </c>
      <c r="Y580" s="163">
        <f ca="1">IMSS[[#This Row],[DIAS LAB]]*IMSS[[#This Row],[SDI]]*$R$114</f>
        <v>0</v>
      </c>
      <c r="Z580" s="163">
        <f ca="1">IMSS[[#This Row],[DIAS LAB]]*IMSS[[#This Row],[SDI]]*$R$115</f>
        <v>0</v>
      </c>
      <c r="AA580" s="163">
        <f ca="1">IMSS[[#This Row],[DIAS LAB]]*IMSS[[#This Row],[SDI]]*$R$116</f>
        <v>92.19561643835614</v>
      </c>
      <c r="AB580" s="163">
        <f ca="1">IMSS[[#This Row],[DIAS LAB]]*IMSS[[#This Row],[SDI]]*$R$117</f>
        <v>0</v>
      </c>
      <c r="AC580" s="247">
        <f ca="1">SUM(IMSS[[#This Row],[O RSG TRB]:[O INFONAVIT]])</f>
        <v>163.99397260273969</v>
      </c>
      <c r="AD580" s="163"/>
      <c r="AE580" s="165">
        <f ca="1">IMSS[[#This Row],[P TOTAL]]+IMSS[[#This Row],[O TOTAL]]</f>
        <v>1953.1196931506845</v>
      </c>
      <c r="AF580" s="163"/>
      <c r="AG580" s="163">
        <f>VLOOKUP(IMSS[[#This Row],[SUE MENS]],$AG$110:$AJ$120,1,1)</f>
        <v>5470.93</v>
      </c>
      <c r="AH580" s="163">
        <f>IMSS[[#This Row],[SUE MENS]]-IMSS[[#This Row],[LIM INF]]</f>
        <v>1974.0699999999997</v>
      </c>
      <c r="AI580" s="163">
        <f>IMSS[[#This Row],[EXC LIM INF]]*(VLOOKUP(IMSS[[#This Row],[LIM INF]],$AG$110:$AJ$120,4,0))</f>
        <v>214.77881599999998</v>
      </c>
      <c r="AJ580" s="163">
        <f>VLOOKUP(IMSS[[#This Row],[LIM INF]],$AG$110:$AJ$120,3)</f>
        <v>321.26</v>
      </c>
      <c r="AK580" s="163">
        <f>SUM(IMSS[[#This Row],[TASA EXC]]+IMSS[[#This Row],[CUOTA FIJA]])</f>
        <v>536.038816</v>
      </c>
      <c r="AL580" s="163">
        <f>VLOOKUP(IMSS[[#This Row],[SUE MENS]],$AL$110:$AN$120,3,1)</f>
        <v>0</v>
      </c>
      <c r="AM580" s="248">
        <f>IF(IMSS[[#This Row],[ISR CARGO]]-IMSS[[#This Row],[SUBS ISR]]&gt;0,IMSS[[#This Row],[ISR CARGO]]-IMSS[[#This Row],[SUBS ISR]],0)</f>
        <v>536.038816</v>
      </c>
      <c r="AN580" s="248">
        <f>IF(IMSS[[#This Row],[SUBS ISR]]-IMSS[[#This Row],[ISR CARGO]]&gt;0,IMSS[[#This Row],[SUBS ISR]]-IMSS[[#This Row],[ISR CARGO]],0)</f>
        <v>0</v>
      </c>
    </row>
    <row r="581" spans="3:40" ht="15" hidden="1" customHeight="1" x14ac:dyDescent="0.25">
      <c r="C581" s="243">
        <v>693</v>
      </c>
      <c r="D581" s="167" t="str">
        <f>VLOOKUP(IMSS[[#This Row],[NEM]],BDD[],2,0)</f>
        <v>María Del Carmen Luna Acosta</v>
      </c>
      <c r="E581" s="167" t="str">
        <f>VLOOKUP(IMSS[[#This Row],[NEM]],BDD[],9,0)</f>
        <v>MATERIALES</v>
      </c>
      <c r="F581" s="168">
        <v>30</v>
      </c>
      <c r="G581" s="139">
        <f>VLOOKUP(IMSS[[#This Row],[NEM]],BDD[],3,0)</f>
        <v>9541</v>
      </c>
      <c r="H581" s="139">
        <f ca="1">VLOOKUP(IMSS[[#This Row],[NEM]],BDD[],25,0)</f>
        <v>348.52968036529683</v>
      </c>
      <c r="I581" s="143">
        <f>VLOOKUP(IMSS[[#This Row],[DEPT]],$B$3:$G$49,6,0)</f>
        <v>4.6532499999999997E-2</v>
      </c>
      <c r="J581" s="163">
        <f ca="1">IMSS[[#This Row],[DIAS LAB]]*IMSS[[#This Row],[SDI]]*IMSS[[#This Row],[% RSG]]*$Q$108</f>
        <v>486.53872054794527</v>
      </c>
      <c r="K581" s="163">
        <f>IMSS[[#This Row],[DIAS LAB]]*$J$110*$Q$109</f>
        <v>548.47440000000006</v>
      </c>
      <c r="L581" s="166">
        <f ca="1">IMSS[[#This Row],[DIAS LAB]]*IF(IMSS[[#This Row],[SDI]]-$J$113&gt;0,IMSS[[#This Row],[SDI]]-$J$113,0)*$Q$110</f>
        <v>26.290994520547951</v>
      </c>
      <c r="M581" s="166">
        <f ca="1">IMSS[[#This Row],[DIAS LAB]]*IMSS[[#This Row],[SDI]]*$Q$111</f>
        <v>109.78684931506852</v>
      </c>
      <c r="N581" s="163">
        <f ca="1">IMSS[[#This Row],[DIAS LAB]]*IMSS[[#This Row],[SDI]]*$Q$112</f>
        <v>73.191232876712348</v>
      </c>
      <c r="O581" s="166">
        <f ca="1">IMSS[[#This Row],[DIAS LAB]]*IMSS[[#This Row],[SDI]]*$Q$113</f>
        <v>182.97808219178086</v>
      </c>
      <c r="P581" s="163">
        <f ca="1">IMSS[[#This Row],[DIAS LAB]]*IMSS[[#This Row],[SDI]]*$Q$114</f>
        <v>104.55890410958907</v>
      </c>
      <c r="Q581" s="166">
        <f ca="1">IMSS[[#This Row],[DIAS LAB]]*IMSS[[#This Row],[SDI]]*$Q$115</f>
        <v>209.11780821917813</v>
      </c>
      <c r="R581" s="163">
        <f ca="1">IMSS[[#This Row],[DIAS LAB]]*IMSS[[#This Row],[SDI]]*$Q$116</f>
        <v>329.36054794520555</v>
      </c>
      <c r="S581" s="163">
        <f ca="1">IMSS[[#This Row],[DIAS LAB]]*IMSS[[#This Row],[SDI]]*$Q$117</f>
        <v>522.79452054794535</v>
      </c>
      <c r="T581" s="164">
        <f ca="1">SUM(IMSS[[#This Row],[P RSG TRB]:[P INFONAVIT]])</f>
        <v>2593.0920602739734</v>
      </c>
      <c r="U581" s="163">
        <f ca="1">IMSS[[#This Row],[DIAS LAB]]*IMSS[[#This Row],[SDI]]*IMSS[[#This Row],[% RSG]]*$R$108</f>
        <v>0</v>
      </c>
      <c r="V581" s="163">
        <f ca="1">IMSS[[#This Row],[DIAS LAB]]*IMSS[[#This Row],[SDI]]*$R$112</f>
        <v>26.139726027397266</v>
      </c>
      <c r="W581" s="163"/>
      <c r="X581" s="163">
        <f ca="1">IMSS[[#This Row],[DIAS LAB]]*IMSS[[#This Row],[SDI]]*$R$113</f>
        <v>65.872109589041102</v>
      </c>
      <c r="Y581" s="163">
        <f ca="1">IMSS[[#This Row],[DIAS LAB]]*IMSS[[#This Row],[SDI]]*$R$114</f>
        <v>0</v>
      </c>
      <c r="Z581" s="163">
        <f ca="1">IMSS[[#This Row],[DIAS LAB]]*IMSS[[#This Row],[SDI]]*$R$115</f>
        <v>0</v>
      </c>
      <c r="AA581" s="163">
        <f ca="1">IMSS[[#This Row],[DIAS LAB]]*IMSS[[#This Row],[SDI]]*$R$116</f>
        <v>118.15156164383562</v>
      </c>
      <c r="AB581" s="163">
        <f ca="1">IMSS[[#This Row],[DIAS LAB]]*IMSS[[#This Row],[SDI]]*$R$117</f>
        <v>0</v>
      </c>
      <c r="AC581" s="247">
        <f ca="1">SUM(IMSS[[#This Row],[O RSG TRB]:[O INFONAVIT]])</f>
        <v>210.163397260274</v>
      </c>
      <c r="AD581" s="163"/>
      <c r="AE581" s="165">
        <f ca="1">IMSS[[#This Row],[P TOTAL]]+IMSS[[#This Row],[O TOTAL]]</f>
        <v>2803.2554575342474</v>
      </c>
      <c r="AF581" s="163"/>
      <c r="AG581" s="163">
        <f>VLOOKUP(IMSS[[#This Row],[SUE MENS]],$AG$110:$AJ$120,1,1)</f>
        <v>5470.93</v>
      </c>
      <c r="AH581" s="163">
        <f>IMSS[[#This Row],[SUE MENS]]-IMSS[[#This Row],[LIM INF]]</f>
        <v>4070.0699999999997</v>
      </c>
      <c r="AI581" s="163">
        <f>IMSS[[#This Row],[EXC LIM INF]]*(VLOOKUP(IMSS[[#This Row],[LIM INF]],$AG$110:$AJ$120,4,0))</f>
        <v>442.82361600000002</v>
      </c>
      <c r="AJ581" s="163">
        <f>VLOOKUP(IMSS[[#This Row],[LIM INF]],$AG$110:$AJ$120,3)</f>
        <v>321.26</v>
      </c>
      <c r="AK581" s="163">
        <f>SUM(IMSS[[#This Row],[TASA EXC]]+IMSS[[#This Row],[CUOTA FIJA]])</f>
        <v>764.08361600000001</v>
      </c>
      <c r="AL581" s="163">
        <f>VLOOKUP(IMSS[[#This Row],[SUE MENS]],$AL$110:$AN$120,3,1)</f>
        <v>0</v>
      </c>
      <c r="AM581" s="248">
        <f>IF(IMSS[[#This Row],[ISR CARGO]]-IMSS[[#This Row],[SUBS ISR]]&gt;0,IMSS[[#This Row],[ISR CARGO]]-IMSS[[#This Row],[SUBS ISR]],0)</f>
        <v>764.08361600000001</v>
      </c>
      <c r="AN581" s="248">
        <f>IF(IMSS[[#This Row],[SUBS ISR]]-IMSS[[#This Row],[ISR CARGO]]&gt;0,IMSS[[#This Row],[SUBS ISR]]-IMSS[[#This Row],[ISR CARGO]],0)</f>
        <v>0</v>
      </c>
    </row>
    <row r="582" spans="3:40" ht="15" hidden="1" customHeight="1" x14ac:dyDescent="0.25">
      <c r="C582" s="243">
        <v>694</v>
      </c>
      <c r="D582" s="167" t="str">
        <f>VLOOKUP(IMSS[[#This Row],[NEM]],BDD[],2,0)</f>
        <v>Verónica Lucía Hernández Mata</v>
      </c>
      <c r="E582" s="167" t="str">
        <f>VLOOKUP(IMSS[[#This Row],[NEM]],BDD[],9,0)</f>
        <v>ANLIS COST</v>
      </c>
      <c r="F582" s="168">
        <v>30</v>
      </c>
      <c r="G582" s="139">
        <f>VLOOKUP(IMSS[[#This Row],[NEM]],BDD[],3,0)</f>
        <v>7445</v>
      </c>
      <c r="H582" s="139">
        <f ca="1">VLOOKUP(IMSS[[#This Row],[NEM]],BDD[],25,0)</f>
        <v>271.96347031963467</v>
      </c>
      <c r="I582" s="143">
        <f>VLOOKUP(IMSS[[#This Row],[DEPT]],$B$3:$G$49,6,0)</f>
        <v>1.130658E-2</v>
      </c>
      <c r="J582" s="163">
        <f ca="1">IMSS[[#This Row],[DIAS LAB]]*IMSS[[#This Row],[SDI]]*IMSS[[#This Row],[% RSG]]*$Q$108</f>
        <v>92.249302027397249</v>
      </c>
      <c r="K582" s="163">
        <f>IMSS[[#This Row],[DIAS LAB]]*$J$110*$Q$109</f>
        <v>548.47440000000006</v>
      </c>
      <c r="L582" s="166">
        <f ca="1">IMSS[[#This Row],[DIAS LAB]]*IF(IMSS[[#This Row],[SDI]]-$J$113&gt;0,IMSS[[#This Row],[SDI]]-$J$113,0)*$Q$110</f>
        <v>1.0241452054794353</v>
      </c>
      <c r="M582" s="166">
        <f ca="1">IMSS[[#This Row],[DIAS LAB]]*IMSS[[#This Row],[SDI]]*$Q$111</f>
        <v>85.668493150684924</v>
      </c>
      <c r="N582" s="163">
        <f ca="1">IMSS[[#This Row],[DIAS LAB]]*IMSS[[#This Row],[SDI]]*$Q$112</f>
        <v>57.11232876712328</v>
      </c>
      <c r="O582" s="166">
        <f ca="1">IMSS[[#This Row],[DIAS LAB]]*IMSS[[#This Row],[SDI]]*$Q$113</f>
        <v>142.7808219178082</v>
      </c>
      <c r="P582" s="163">
        <f ca="1">IMSS[[#This Row],[DIAS LAB]]*IMSS[[#This Row],[SDI]]*$Q$114</f>
        <v>81.589041095890394</v>
      </c>
      <c r="Q582" s="166">
        <f ca="1">IMSS[[#This Row],[DIAS LAB]]*IMSS[[#This Row],[SDI]]*$Q$115</f>
        <v>163.17808219178079</v>
      </c>
      <c r="R582" s="163">
        <f ca="1">IMSS[[#This Row],[DIAS LAB]]*IMSS[[#This Row],[SDI]]*$Q$116</f>
        <v>257.00547945205477</v>
      </c>
      <c r="S582" s="163">
        <f ca="1">IMSS[[#This Row],[DIAS LAB]]*IMSS[[#This Row],[SDI]]*$Q$117</f>
        <v>407.945205479452</v>
      </c>
      <c r="T582" s="164">
        <f ca="1">SUM(IMSS[[#This Row],[P RSG TRB]:[P INFONAVIT]])</f>
        <v>1837.027299287671</v>
      </c>
      <c r="U582" s="163">
        <f ca="1">IMSS[[#This Row],[DIAS LAB]]*IMSS[[#This Row],[SDI]]*IMSS[[#This Row],[% RSG]]*$R$108</f>
        <v>0</v>
      </c>
      <c r="V582" s="163">
        <f ca="1">IMSS[[#This Row],[DIAS LAB]]*IMSS[[#This Row],[SDI]]*$R$112</f>
        <v>20.397260273972599</v>
      </c>
      <c r="W582" s="163"/>
      <c r="X582" s="163">
        <f ca="1">IMSS[[#This Row],[DIAS LAB]]*IMSS[[#This Row],[SDI]]*$R$113</f>
        <v>51.40109589041095</v>
      </c>
      <c r="Y582" s="163">
        <f ca="1">IMSS[[#This Row],[DIAS LAB]]*IMSS[[#This Row],[SDI]]*$R$114</f>
        <v>0</v>
      </c>
      <c r="Z582" s="163">
        <f ca="1">IMSS[[#This Row],[DIAS LAB]]*IMSS[[#This Row],[SDI]]*$R$115</f>
        <v>0</v>
      </c>
      <c r="AA582" s="163">
        <f ca="1">IMSS[[#This Row],[DIAS LAB]]*IMSS[[#This Row],[SDI]]*$R$116</f>
        <v>92.19561643835614</v>
      </c>
      <c r="AB582" s="163">
        <f ca="1">IMSS[[#This Row],[DIAS LAB]]*IMSS[[#This Row],[SDI]]*$R$117</f>
        <v>0</v>
      </c>
      <c r="AC582" s="247">
        <f ca="1">SUM(IMSS[[#This Row],[O RSG TRB]:[O INFONAVIT]])</f>
        <v>163.99397260273969</v>
      </c>
      <c r="AD582" s="163"/>
      <c r="AE582" s="165">
        <f ca="1">IMSS[[#This Row],[P TOTAL]]+IMSS[[#This Row],[O TOTAL]]</f>
        <v>2001.0212718904106</v>
      </c>
      <c r="AF582" s="163"/>
      <c r="AG582" s="163">
        <f>VLOOKUP(IMSS[[#This Row],[SUE MENS]],$AG$110:$AJ$120,1,1)</f>
        <v>5470.93</v>
      </c>
      <c r="AH582" s="163">
        <f>IMSS[[#This Row],[SUE MENS]]-IMSS[[#This Row],[LIM INF]]</f>
        <v>1974.0699999999997</v>
      </c>
      <c r="AI582" s="163">
        <f>IMSS[[#This Row],[EXC LIM INF]]*(VLOOKUP(IMSS[[#This Row],[LIM INF]],$AG$110:$AJ$120,4,0))</f>
        <v>214.77881599999998</v>
      </c>
      <c r="AJ582" s="163">
        <f>VLOOKUP(IMSS[[#This Row],[LIM INF]],$AG$110:$AJ$120,3)</f>
        <v>321.26</v>
      </c>
      <c r="AK582" s="163">
        <f>SUM(IMSS[[#This Row],[TASA EXC]]+IMSS[[#This Row],[CUOTA FIJA]])</f>
        <v>536.038816</v>
      </c>
      <c r="AL582" s="163">
        <f>VLOOKUP(IMSS[[#This Row],[SUE MENS]],$AL$110:$AN$120,3,1)</f>
        <v>0</v>
      </c>
      <c r="AM582" s="248">
        <f>IF(IMSS[[#This Row],[ISR CARGO]]-IMSS[[#This Row],[SUBS ISR]]&gt;0,IMSS[[#This Row],[ISR CARGO]]-IMSS[[#This Row],[SUBS ISR]],0)</f>
        <v>536.038816</v>
      </c>
      <c r="AN582" s="248">
        <f>IF(IMSS[[#This Row],[SUBS ISR]]-IMSS[[#This Row],[ISR CARGO]]&gt;0,IMSS[[#This Row],[SUBS ISR]]-IMSS[[#This Row],[ISR CARGO]],0)</f>
        <v>0</v>
      </c>
    </row>
    <row r="583" spans="3:40" ht="15" hidden="1" customHeight="1" x14ac:dyDescent="0.25">
      <c r="C583" s="243">
        <v>695</v>
      </c>
      <c r="D583" s="167" t="str">
        <f>VLOOKUP(IMSS[[#This Row],[NEM]],BDD[],2,0)</f>
        <v>Rosa Liz Chavez Cortez</v>
      </c>
      <c r="E583" s="167" t="str">
        <f>VLOOKUP(IMSS[[#This Row],[NEM]],BDD[],9,0)</f>
        <v>SOLUCIONES</v>
      </c>
      <c r="F583" s="168">
        <v>30</v>
      </c>
      <c r="G583" s="139">
        <f>VLOOKUP(IMSS[[#This Row],[NEM]],BDD[],3,0)</f>
        <v>9541</v>
      </c>
      <c r="H583" s="139">
        <f ca="1">VLOOKUP(IMSS[[#This Row],[NEM]],BDD[],25,0)</f>
        <v>348.52968036529683</v>
      </c>
      <c r="I583" s="143">
        <f>VLOOKUP(IMSS[[#This Row],[DEPT]],$B$3:$G$49,6,0)</f>
        <v>5.4355000000000002E-3</v>
      </c>
      <c r="J583" s="163">
        <f ca="1">IMSS[[#This Row],[DIAS LAB]]*IMSS[[#This Row],[SDI]]*IMSS[[#This Row],[% RSG]]*$Q$108</f>
        <v>56.832992328767133</v>
      </c>
      <c r="K583" s="163">
        <f>IMSS[[#This Row],[DIAS LAB]]*$J$110*$Q$109</f>
        <v>548.47440000000006</v>
      </c>
      <c r="L583" s="166">
        <f ca="1">IMSS[[#This Row],[DIAS LAB]]*IF(IMSS[[#This Row],[SDI]]-$J$113&gt;0,IMSS[[#This Row],[SDI]]-$J$113,0)*$Q$110</f>
        <v>26.290994520547951</v>
      </c>
      <c r="M583" s="166">
        <f ca="1">IMSS[[#This Row],[DIAS LAB]]*IMSS[[#This Row],[SDI]]*$Q$111</f>
        <v>109.78684931506852</v>
      </c>
      <c r="N583" s="163">
        <f ca="1">IMSS[[#This Row],[DIAS LAB]]*IMSS[[#This Row],[SDI]]*$Q$112</f>
        <v>73.191232876712348</v>
      </c>
      <c r="O583" s="166">
        <f ca="1">IMSS[[#This Row],[DIAS LAB]]*IMSS[[#This Row],[SDI]]*$Q$113</f>
        <v>182.97808219178086</v>
      </c>
      <c r="P583" s="163">
        <f ca="1">IMSS[[#This Row],[DIAS LAB]]*IMSS[[#This Row],[SDI]]*$Q$114</f>
        <v>104.55890410958907</v>
      </c>
      <c r="Q583" s="166">
        <f ca="1">IMSS[[#This Row],[DIAS LAB]]*IMSS[[#This Row],[SDI]]*$Q$115</f>
        <v>209.11780821917813</v>
      </c>
      <c r="R583" s="163">
        <f ca="1">IMSS[[#This Row],[DIAS LAB]]*IMSS[[#This Row],[SDI]]*$Q$116</f>
        <v>329.36054794520555</v>
      </c>
      <c r="S583" s="163">
        <f ca="1">IMSS[[#This Row],[DIAS LAB]]*IMSS[[#This Row],[SDI]]*$Q$117</f>
        <v>522.79452054794535</v>
      </c>
      <c r="T583" s="164">
        <f ca="1">SUM(IMSS[[#This Row],[P RSG TRB]:[P INFONAVIT]])</f>
        <v>2163.3863320547948</v>
      </c>
      <c r="U583" s="163">
        <f ca="1">IMSS[[#This Row],[DIAS LAB]]*IMSS[[#This Row],[SDI]]*IMSS[[#This Row],[% RSG]]*$R$108</f>
        <v>0</v>
      </c>
      <c r="V583" s="163">
        <f ca="1">IMSS[[#This Row],[DIAS LAB]]*IMSS[[#This Row],[SDI]]*$R$112</f>
        <v>26.139726027397266</v>
      </c>
      <c r="W583" s="163"/>
      <c r="X583" s="163">
        <f ca="1">IMSS[[#This Row],[DIAS LAB]]*IMSS[[#This Row],[SDI]]*$R$113</f>
        <v>65.872109589041102</v>
      </c>
      <c r="Y583" s="163">
        <f ca="1">IMSS[[#This Row],[DIAS LAB]]*IMSS[[#This Row],[SDI]]*$R$114</f>
        <v>0</v>
      </c>
      <c r="Z583" s="163">
        <f ca="1">IMSS[[#This Row],[DIAS LAB]]*IMSS[[#This Row],[SDI]]*$R$115</f>
        <v>0</v>
      </c>
      <c r="AA583" s="163">
        <f ca="1">IMSS[[#This Row],[DIAS LAB]]*IMSS[[#This Row],[SDI]]*$R$116</f>
        <v>118.15156164383562</v>
      </c>
      <c r="AB583" s="163">
        <f ca="1">IMSS[[#This Row],[DIAS LAB]]*IMSS[[#This Row],[SDI]]*$R$117</f>
        <v>0</v>
      </c>
      <c r="AC583" s="247">
        <f ca="1">SUM(IMSS[[#This Row],[O RSG TRB]:[O INFONAVIT]])</f>
        <v>210.163397260274</v>
      </c>
      <c r="AD583" s="163"/>
      <c r="AE583" s="165">
        <f ca="1">IMSS[[#This Row],[P TOTAL]]+IMSS[[#This Row],[O TOTAL]]</f>
        <v>2373.5497293150688</v>
      </c>
      <c r="AF583" s="163"/>
      <c r="AG583" s="163">
        <f>VLOOKUP(IMSS[[#This Row],[SUE MENS]],$AG$110:$AJ$120,1,1)</f>
        <v>5470.93</v>
      </c>
      <c r="AH583" s="163">
        <f>IMSS[[#This Row],[SUE MENS]]-IMSS[[#This Row],[LIM INF]]</f>
        <v>4070.0699999999997</v>
      </c>
      <c r="AI583" s="163">
        <f>IMSS[[#This Row],[EXC LIM INF]]*(VLOOKUP(IMSS[[#This Row],[LIM INF]],$AG$110:$AJ$120,4,0))</f>
        <v>442.82361600000002</v>
      </c>
      <c r="AJ583" s="163">
        <f>VLOOKUP(IMSS[[#This Row],[LIM INF]],$AG$110:$AJ$120,3)</f>
        <v>321.26</v>
      </c>
      <c r="AK583" s="163">
        <f>SUM(IMSS[[#This Row],[TASA EXC]]+IMSS[[#This Row],[CUOTA FIJA]])</f>
        <v>764.08361600000001</v>
      </c>
      <c r="AL583" s="163">
        <f>VLOOKUP(IMSS[[#This Row],[SUE MENS]],$AL$110:$AN$120,3,1)</f>
        <v>0</v>
      </c>
      <c r="AM583" s="248">
        <f>IF(IMSS[[#This Row],[ISR CARGO]]-IMSS[[#This Row],[SUBS ISR]]&gt;0,IMSS[[#This Row],[ISR CARGO]]-IMSS[[#This Row],[SUBS ISR]],0)</f>
        <v>764.08361600000001</v>
      </c>
      <c r="AN583" s="248">
        <f>IF(IMSS[[#This Row],[SUBS ISR]]-IMSS[[#This Row],[ISR CARGO]]&gt;0,IMSS[[#This Row],[SUBS ISR]]-IMSS[[#This Row],[ISR CARGO]],0)</f>
        <v>0</v>
      </c>
    </row>
    <row r="584" spans="3:40" ht="15" hidden="1" customHeight="1" x14ac:dyDescent="0.25">
      <c r="C584" s="243">
        <v>697</v>
      </c>
      <c r="D584" s="167" t="str">
        <f>VLOOKUP(IMSS[[#This Row],[NEM]],BDD[],2,0)</f>
        <v>Daniel Antonio García Marine</v>
      </c>
      <c r="E584" s="167" t="str">
        <f>VLOOKUP(IMSS[[#This Row],[NEM]],BDD[],9,0)</f>
        <v>ESTRUCTURA</v>
      </c>
      <c r="F584" s="168">
        <v>30</v>
      </c>
      <c r="G584" s="139">
        <f>VLOOKUP(IMSS[[#This Row],[NEM]],BDD[],3,0)</f>
        <v>9450</v>
      </c>
      <c r="H584" s="139">
        <f ca="1">VLOOKUP(IMSS[[#This Row],[NEM]],BDD[],25,0)</f>
        <v>345.20547945205476</v>
      </c>
      <c r="I584" s="143">
        <f>VLOOKUP(IMSS[[#This Row],[DEPT]],$B$3:$G$49,6,0)</f>
        <v>2.5984400000000001E-2</v>
      </c>
      <c r="J584" s="163">
        <f ca="1">IMSS[[#This Row],[DIAS LAB]]*IMSS[[#This Row],[SDI]]*IMSS[[#This Row],[% RSG]]*$Q$108</f>
        <v>269.09871780821919</v>
      </c>
      <c r="K584" s="163">
        <f>IMSS[[#This Row],[DIAS LAB]]*$J$110*$Q$109</f>
        <v>548.47440000000006</v>
      </c>
      <c r="L584" s="166">
        <f ca="1">IMSS[[#This Row],[DIAS LAB]]*IF(IMSS[[#This Row],[SDI]]-$J$113&gt;0,IMSS[[#This Row],[SDI]]-$J$113,0)*$Q$110</f>
        <v>25.194008219178063</v>
      </c>
      <c r="M584" s="166">
        <f ca="1">IMSS[[#This Row],[DIAS LAB]]*IMSS[[#This Row],[SDI]]*$Q$111</f>
        <v>108.73972602739727</v>
      </c>
      <c r="N584" s="163">
        <f ca="1">IMSS[[#This Row],[DIAS LAB]]*IMSS[[#This Row],[SDI]]*$Q$112</f>
        <v>72.493150684931507</v>
      </c>
      <c r="O584" s="166">
        <f ca="1">IMSS[[#This Row],[DIAS LAB]]*IMSS[[#This Row],[SDI]]*$Q$113</f>
        <v>181.23287671232876</v>
      </c>
      <c r="P584" s="163">
        <f ca="1">IMSS[[#This Row],[DIAS LAB]]*IMSS[[#This Row],[SDI]]*$Q$114</f>
        <v>103.56164383561644</v>
      </c>
      <c r="Q584" s="166">
        <f ca="1">IMSS[[#This Row],[DIAS LAB]]*IMSS[[#This Row],[SDI]]*$Q$115</f>
        <v>207.12328767123287</v>
      </c>
      <c r="R584" s="163">
        <f ca="1">IMSS[[#This Row],[DIAS LAB]]*IMSS[[#This Row],[SDI]]*$Q$116</f>
        <v>326.21917808219177</v>
      </c>
      <c r="S584" s="163">
        <f ca="1">IMSS[[#This Row],[DIAS LAB]]*IMSS[[#This Row],[SDI]]*$Q$117</f>
        <v>517.80821917808214</v>
      </c>
      <c r="T584" s="164">
        <f ca="1">SUM(IMSS[[#This Row],[P RSG TRB]:[P INFONAVIT]])</f>
        <v>2359.9452082191783</v>
      </c>
      <c r="U584" s="163">
        <f ca="1">IMSS[[#This Row],[DIAS LAB]]*IMSS[[#This Row],[SDI]]*IMSS[[#This Row],[% RSG]]*$R$108</f>
        <v>0</v>
      </c>
      <c r="V584" s="163">
        <f ca="1">IMSS[[#This Row],[DIAS LAB]]*IMSS[[#This Row],[SDI]]*$R$112</f>
        <v>25.890410958904109</v>
      </c>
      <c r="W584" s="163"/>
      <c r="X584" s="163">
        <f ca="1">IMSS[[#This Row],[DIAS LAB]]*IMSS[[#This Row],[SDI]]*$R$113</f>
        <v>65.243835616438346</v>
      </c>
      <c r="Y584" s="163">
        <f ca="1">IMSS[[#This Row],[DIAS LAB]]*IMSS[[#This Row],[SDI]]*$R$114</f>
        <v>0</v>
      </c>
      <c r="Z584" s="163">
        <f ca="1">IMSS[[#This Row],[DIAS LAB]]*IMSS[[#This Row],[SDI]]*$R$115</f>
        <v>0</v>
      </c>
      <c r="AA584" s="163">
        <f ca="1">IMSS[[#This Row],[DIAS LAB]]*IMSS[[#This Row],[SDI]]*$R$116</f>
        <v>117.02465753424656</v>
      </c>
      <c r="AB584" s="163">
        <f ca="1">IMSS[[#This Row],[DIAS LAB]]*IMSS[[#This Row],[SDI]]*$R$117</f>
        <v>0</v>
      </c>
      <c r="AC584" s="247">
        <f ca="1">SUM(IMSS[[#This Row],[O RSG TRB]:[O INFONAVIT]])</f>
        <v>208.158904109589</v>
      </c>
      <c r="AD584" s="163"/>
      <c r="AE584" s="165">
        <f ca="1">IMSS[[#This Row],[P TOTAL]]+IMSS[[#This Row],[O TOTAL]]</f>
        <v>2568.1041123287673</v>
      </c>
      <c r="AF584" s="163"/>
      <c r="AG584" s="163">
        <f>VLOOKUP(IMSS[[#This Row],[SUE MENS]],$AG$110:$AJ$120,1,1)</f>
        <v>5470.93</v>
      </c>
      <c r="AH584" s="163">
        <f>IMSS[[#This Row],[SUE MENS]]-IMSS[[#This Row],[LIM INF]]</f>
        <v>3979.0699999999997</v>
      </c>
      <c r="AI584" s="163">
        <f>IMSS[[#This Row],[EXC LIM INF]]*(VLOOKUP(IMSS[[#This Row],[LIM INF]],$AG$110:$AJ$120,4,0))</f>
        <v>432.92281600000001</v>
      </c>
      <c r="AJ584" s="163">
        <f>VLOOKUP(IMSS[[#This Row],[LIM INF]],$AG$110:$AJ$120,3)</f>
        <v>321.26</v>
      </c>
      <c r="AK584" s="163">
        <f>SUM(IMSS[[#This Row],[TASA EXC]]+IMSS[[#This Row],[CUOTA FIJA]])</f>
        <v>754.182816</v>
      </c>
      <c r="AL584" s="163">
        <f>VLOOKUP(IMSS[[#This Row],[SUE MENS]],$AL$110:$AN$120,3,1)</f>
        <v>0</v>
      </c>
      <c r="AM584" s="248">
        <f>IF(IMSS[[#This Row],[ISR CARGO]]-IMSS[[#This Row],[SUBS ISR]]&gt;0,IMSS[[#This Row],[ISR CARGO]]-IMSS[[#This Row],[SUBS ISR]],0)</f>
        <v>754.182816</v>
      </c>
      <c r="AN584" s="248">
        <f>IF(IMSS[[#This Row],[SUBS ISR]]-IMSS[[#This Row],[ISR CARGO]]&gt;0,IMSS[[#This Row],[SUBS ISR]]-IMSS[[#This Row],[ISR CARGO]],0)</f>
        <v>0</v>
      </c>
    </row>
    <row r="585" spans="3:40" ht="15" hidden="1" customHeight="1" x14ac:dyDescent="0.25">
      <c r="C585" s="243">
        <v>701</v>
      </c>
      <c r="D585" s="167" t="str">
        <f>VLOOKUP(IMSS[[#This Row],[NEM]],BDD[],2,0)</f>
        <v>Marilu Valdovinos Blanco</v>
      </c>
      <c r="E585" s="167" t="str">
        <f>VLOOKUP(IMSS[[#This Row],[NEM]],BDD[],9,0)</f>
        <v>CONTA</v>
      </c>
      <c r="F585" s="168">
        <v>30</v>
      </c>
      <c r="G585" s="139">
        <f>VLOOKUP(IMSS[[#This Row],[NEM]],BDD[],3,0)</f>
        <v>7445</v>
      </c>
      <c r="H585" s="139">
        <f ca="1">VLOOKUP(IMSS[[#This Row],[NEM]],BDD[],25,0)</f>
        <v>271.96347031963467</v>
      </c>
      <c r="I585" s="143">
        <f>VLOOKUP(IMSS[[#This Row],[DEPT]],$B$3:$G$49,6,0)</f>
        <v>5.4355000000000002E-3</v>
      </c>
      <c r="J585" s="163">
        <f ca="1">IMSS[[#This Row],[DIAS LAB]]*IMSS[[#This Row],[SDI]]*IMSS[[#This Row],[% RSG]]*$Q$108</f>
        <v>44.347723287671229</v>
      </c>
      <c r="K585" s="163">
        <f>IMSS[[#This Row],[DIAS LAB]]*$J$110*$Q$109</f>
        <v>548.47440000000006</v>
      </c>
      <c r="L585" s="166">
        <f ca="1">IMSS[[#This Row],[DIAS LAB]]*IF(IMSS[[#This Row],[SDI]]-$J$113&gt;0,IMSS[[#This Row],[SDI]]-$J$113,0)*$Q$110</f>
        <v>1.0241452054794353</v>
      </c>
      <c r="M585" s="166">
        <f ca="1">IMSS[[#This Row],[DIAS LAB]]*IMSS[[#This Row],[SDI]]*$Q$111</f>
        <v>85.668493150684924</v>
      </c>
      <c r="N585" s="163">
        <f ca="1">IMSS[[#This Row],[DIAS LAB]]*IMSS[[#This Row],[SDI]]*$Q$112</f>
        <v>57.11232876712328</v>
      </c>
      <c r="O585" s="166">
        <f ca="1">IMSS[[#This Row],[DIAS LAB]]*IMSS[[#This Row],[SDI]]*$Q$113</f>
        <v>142.7808219178082</v>
      </c>
      <c r="P585" s="163">
        <f ca="1">IMSS[[#This Row],[DIAS LAB]]*IMSS[[#This Row],[SDI]]*$Q$114</f>
        <v>81.589041095890394</v>
      </c>
      <c r="Q585" s="166">
        <f ca="1">IMSS[[#This Row],[DIAS LAB]]*IMSS[[#This Row],[SDI]]*$Q$115</f>
        <v>163.17808219178079</v>
      </c>
      <c r="R585" s="163">
        <f ca="1">IMSS[[#This Row],[DIAS LAB]]*IMSS[[#This Row],[SDI]]*$Q$116</f>
        <v>257.00547945205477</v>
      </c>
      <c r="S585" s="163">
        <f ca="1">IMSS[[#This Row],[DIAS LAB]]*IMSS[[#This Row],[SDI]]*$Q$117</f>
        <v>407.945205479452</v>
      </c>
      <c r="T585" s="164">
        <f ca="1">SUM(IMSS[[#This Row],[P RSG TRB]:[P INFONAVIT]])</f>
        <v>1789.1257205479449</v>
      </c>
      <c r="U585" s="163">
        <f ca="1">IMSS[[#This Row],[DIAS LAB]]*IMSS[[#This Row],[SDI]]*IMSS[[#This Row],[% RSG]]*$R$108</f>
        <v>0</v>
      </c>
      <c r="V585" s="163">
        <f ca="1">IMSS[[#This Row],[DIAS LAB]]*IMSS[[#This Row],[SDI]]*$R$112</f>
        <v>20.397260273972599</v>
      </c>
      <c r="W585" s="163"/>
      <c r="X585" s="163">
        <f ca="1">IMSS[[#This Row],[DIAS LAB]]*IMSS[[#This Row],[SDI]]*$R$113</f>
        <v>51.40109589041095</v>
      </c>
      <c r="Y585" s="163">
        <f ca="1">IMSS[[#This Row],[DIAS LAB]]*IMSS[[#This Row],[SDI]]*$R$114</f>
        <v>0</v>
      </c>
      <c r="Z585" s="163">
        <f ca="1">IMSS[[#This Row],[DIAS LAB]]*IMSS[[#This Row],[SDI]]*$R$115</f>
        <v>0</v>
      </c>
      <c r="AA585" s="163">
        <f ca="1">IMSS[[#This Row],[DIAS LAB]]*IMSS[[#This Row],[SDI]]*$R$116</f>
        <v>92.19561643835614</v>
      </c>
      <c r="AB585" s="163">
        <f ca="1">IMSS[[#This Row],[DIAS LAB]]*IMSS[[#This Row],[SDI]]*$R$117</f>
        <v>0</v>
      </c>
      <c r="AC585" s="247">
        <f ca="1">SUM(IMSS[[#This Row],[O RSG TRB]:[O INFONAVIT]])</f>
        <v>163.99397260273969</v>
      </c>
      <c r="AD585" s="163"/>
      <c r="AE585" s="165">
        <f ca="1">IMSS[[#This Row],[P TOTAL]]+IMSS[[#This Row],[O TOTAL]]</f>
        <v>1953.1196931506845</v>
      </c>
      <c r="AF585" s="163"/>
      <c r="AG585" s="163">
        <f>VLOOKUP(IMSS[[#This Row],[SUE MENS]],$AG$110:$AJ$120,1,1)</f>
        <v>5470.93</v>
      </c>
      <c r="AH585" s="163">
        <f>IMSS[[#This Row],[SUE MENS]]-IMSS[[#This Row],[LIM INF]]</f>
        <v>1974.0699999999997</v>
      </c>
      <c r="AI585" s="163">
        <f>IMSS[[#This Row],[EXC LIM INF]]*(VLOOKUP(IMSS[[#This Row],[LIM INF]],$AG$110:$AJ$120,4,0))</f>
        <v>214.77881599999998</v>
      </c>
      <c r="AJ585" s="163">
        <f>VLOOKUP(IMSS[[#This Row],[LIM INF]],$AG$110:$AJ$120,3)</f>
        <v>321.26</v>
      </c>
      <c r="AK585" s="163">
        <f>SUM(IMSS[[#This Row],[TASA EXC]]+IMSS[[#This Row],[CUOTA FIJA]])</f>
        <v>536.038816</v>
      </c>
      <c r="AL585" s="163">
        <f>VLOOKUP(IMSS[[#This Row],[SUE MENS]],$AL$110:$AN$120,3,1)</f>
        <v>0</v>
      </c>
      <c r="AM585" s="248">
        <f>IF(IMSS[[#This Row],[ISR CARGO]]-IMSS[[#This Row],[SUBS ISR]]&gt;0,IMSS[[#This Row],[ISR CARGO]]-IMSS[[#This Row],[SUBS ISR]],0)</f>
        <v>536.038816</v>
      </c>
      <c r="AN585" s="248">
        <f>IF(IMSS[[#This Row],[SUBS ISR]]-IMSS[[#This Row],[ISR CARGO]]&gt;0,IMSS[[#This Row],[SUBS ISR]]-IMSS[[#This Row],[ISR CARGO]],0)</f>
        <v>0</v>
      </c>
    </row>
    <row r="586" spans="3:40" ht="15" hidden="1" customHeight="1" x14ac:dyDescent="0.25">
      <c r="C586" s="243">
        <v>702</v>
      </c>
      <c r="D586" s="167" t="str">
        <f>VLOOKUP(IMSS[[#This Row],[NEM]],BDD[],2,0)</f>
        <v>Roberto Alejandro Jaramillo González</v>
      </c>
      <c r="E586" s="167" t="str">
        <f>VLOOKUP(IMSS[[#This Row],[NEM]],BDD[],9,0)</f>
        <v>ARQUITECT</v>
      </c>
      <c r="F586" s="168">
        <v>30</v>
      </c>
      <c r="G586" s="139">
        <f>VLOOKUP(IMSS[[#This Row],[NEM]],BDD[],3,0)</f>
        <v>10860</v>
      </c>
      <c r="H586" s="139">
        <f ca="1">VLOOKUP(IMSS[[#This Row],[NEM]],BDD[],25,0)</f>
        <v>396.71232876712327</v>
      </c>
      <c r="I586" s="143">
        <f>VLOOKUP(IMSS[[#This Row],[DEPT]],$B$3:$G$49,6,0)</f>
        <v>2.5984400000000001E-2</v>
      </c>
      <c r="J586" s="163">
        <f ca="1">IMSS[[#This Row],[DIAS LAB]]*IMSS[[#This Row],[SDI]]*IMSS[[#This Row],[% RSG]]*$Q$108</f>
        <v>309.24995506849319</v>
      </c>
      <c r="K586" s="163">
        <f>IMSS[[#This Row],[DIAS LAB]]*$J$110*$Q$109</f>
        <v>548.47440000000006</v>
      </c>
      <c r="L586" s="166">
        <f ca="1">IMSS[[#This Row],[DIAS LAB]]*IF(IMSS[[#This Row],[SDI]]-$J$113&gt;0,IMSS[[#This Row],[SDI]]-$J$113,0)*$Q$110</f>
        <v>42.191268493150673</v>
      </c>
      <c r="M586" s="166">
        <f ca="1">IMSS[[#This Row],[DIAS LAB]]*IMSS[[#This Row],[SDI]]*$Q$111</f>
        <v>124.96438356164384</v>
      </c>
      <c r="N586" s="163">
        <f ca="1">IMSS[[#This Row],[DIAS LAB]]*IMSS[[#This Row],[SDI]]*$Q$112</f>
        <v>83.30958904109589</v>
      </c>
      <c r="O586" s="166">
        <f ca="1">IMSS[[#This Row],[DIAS LAB]]*IMSS[[#This Row],[SDI]]*$Q$113</f>
        <v>208.27397260273975</v>
      </c>
      <c r="P586" s="163">
        <f ca="1">IMSS[[#This Row],[DIAS LAB]]*IMSS[[#This Row],[SDI]]*$Q$114</f>
        <v>119.01369863013699</v>
      </c>
      <c r="Q586" s="166">
        <f ca="1">IMSS[[#This Row],[DIAS LAB]]*IMSS[[#This Row],[SDI]]*$Q$115</f>
        <v>238.02739726027397</v>
      </c>
      <c r="R586" s="163">
        <f ca="1">IMSS[[#This Row],[DIAS LAB]]*IMSS[[#This Row],[SDI]]*$Q$116</f>
        <v>374.89315068493153</v>
      </c>
      <c r="S586" s="163">
        <f ca="1">IMSS[[#This Row],[DIAS LAB]]*IMSS[[#This Row],[SDI]]*$Q$117</f>
        <v>595.06849315068496</v>
      </c>
      <c r="T586" s="164">
        <f ca="1">SUM(IMSS[[#This Row],[P RSG TRB]:[P INFONAVIT]])</f>
        <v>2643.4663084931508</v>
      </c>
      <c r="U586" s="163">
        <f ca="1">IMSS[[#This Row],[DIAS LAB]]*IMSS[[#This Row],[SDI]]*IMSS[[#This Row],[% RSG]]*$R$108</f>
        <v>0</v>
      </c>
      <c r="V586" s="163">
        <f ca="1">IMSS[[#This Row],[DIAS LAB]]*IMSS[[#This Row],[SDI]]*$R$112</f>
        <v>29.753424657534246</v>
      </c>
      <c r="W586" s="163"/>
      <c r="X586" s="163">
        <f ca="1">IMSS[[#This Row],[DIAS LAB]]*IMSS[[#This Row],[SDI]]*$R$113</f>
        <v>74.978630136986297</v>
      </c>
      <c r="Y586" s="163">
        <f ca="1">IMSS[[#This Row],[DIAS LAB]]*IMSS[[#This Row],[SDI]]*$R$114</f>
        <v>0</v>
      </c>
      <c r="Z586" s="163">
        <f ca="1">IMSS[[#This Row],[DIAS LAB]]*IMSS[[#This Row],[SDI]]*$R$115</f>
        <v>0</v>
      </c>
      <c r="AA586" s="163">
        <f ca="1">IMSS[[#This Row],[DIAS LAB]]*IMSS[[#This Row],[SDI]]*$R$116</f>
        <v>134.48547945205479</v>
      </c>
      <c r="AB586" s="163">
        <f ca="1">IMSS[[#This Row],[DIAS LAB]]*IMSS[[#This Row],[SDI]]*$R$117</f>
        <v>0</v>
      </c>
      <c r="AC586" s="247">
        <f ca="1">SUM(IMSS[[#This Row],[O RSG TRB]:[O INFONAVIT]])</f>
        <v>239.21753424657533</v>
      </c>
      <c r="AD586" s="163"/>
      <c r="AE586" s="165">
        <f ca="1">IMSS[[#This Row],[P TOTAL]]+IMSS[[#This Row],[O TOTAL]]</f>
        <v>2882.6838427397261</v>
      </c>
      <c r="AF586" s="163"/>
      <c r="AG586" s="163">
        <f>VLOOKUP(IMSS[[#This Row],[SUE MENS]],$AG$110:$AJ$120,1,1)</f>
        <v>9614.67</v>
      </c>
      <c r="AH586" s="163">
        <f>IMSS[[#This Row],[SUE MENS]]-IMSS[[#This Row],[LIM INF]]</f>
        <v>1245.33</v>
      </c>
      <c r="AI586" s="163">
        <f>IMSS[[#This Row],[EXC LIM INF]]*(VLOOKUP(IMSS[[#This Row],[LIM INF]],$AG$110:$AJ$120,4,0))</f>
        <v>199.25279999999998</v>
      </c>
      <c r="AJ586" s="163">
        <f>VLOOKUP(IMSS[[#This Row],[LIM INF]],$AG$110:$AJ$120,3)</f>
        <v>772.1</v>
      </c>
      <c r="AK586" s="163">
        <f>SUM(IMSS[[#This Row],[TASA EXC]]+IMSS[[#This Row],[CUOTA FIJA]])</f>
        <v>971.3528</v>
      </c>
      <c r="AL586" s="163">
        <f>VLOOKUP(IMSS[[#This Row],[SUE MENS]],$AL$110:$AN$120,3,1)</f>
        <v>0</v>
      </c>
      <c r="AM586" s="248">
        <f>IF(IMSS[[#This Row],[ISR CARGO]]-IMSS[[#This Row],[SUBS ISR]]&gt;0,IMSS[[#This Row],[ISR CARGO]]-IMSS[[#This Row],[SUBS ISR]],0)</f>
        <v>971.3528</v>
      </c>
      <c r="AN586" s="248">
        <f>IF(IMSS[[#This Row],[SUBS ISR]]-IMSS[[#This Row],[ISR CARGO]]&gt;0,IMSS[[#This Row],[SUBS ISR]]-IMSS[[#This Row],[ISR CARGO]],0)</f>
        <v>0</v>
      </c>
    </row>
    <row r="587" spans="3:40" ht="15" hidden="1" customHeight="1" x14ac:dyDescent="0.25">
      <c r="C587" s="243">
        <v>703</v>
      </c>
      <c r="D587" s="167" t="str">
        <f>VLOOKUP(IMSS[[#This Row],[NEM]],BDD[],2,0)</f>
        <v>Yesenia Reyes Cordoba</v>
      </c>
      <c r="E587" s="167" t="str">
        <f>VLOOKUP(IMSS[[#This Row],[NEM]],BDD[],9,0)</f>
        <v>CONTROL</v>
      </c>
      <c r="F587" s="168">
        <v>30</v>
      </c>
      <c r="G587" s="139">
        <f>VLOOKUP(IMSS[[#This Row],[NEM]],BDD[],3,0)</f>
        <v>10860</v>
      </c>
      <c r="H587" s="139">
        <f ca="1">VLOOKUP(IMSS[[#This Row],[NEM]],BDD[],25,0)</f>
        <v>396.71232876712327</v>
      </c>
      <c r="I587" s="143">
        <f>VLOOKUP(IMSS[[#This Row],[DEPT]],$B$3:$G$49,6,0)</f>
        <v>5.4355000000000002E-3</v>
      </c>
      <c r="J587" s="163">
        <f ca="1">IMSS[[#This Row],[DIAS LAB]]*IMSS[[#This Row],[SDI]]*IMSS[[#This Row],[% RSG]]*$Q$108</f>
        <v>64.689895890410966</v>
      </c>
      <c r="K587" s="163">
        <f>IMSS[[#This Row],[DIAS LAB]]*$J$110*$Q$109</f>
        <v>548.47440000000006</v>
      </c>
      <c r="L587" s="166">
        <f ca="1">IMSS[[#This Row],[DIAS LAB]]*IF(IMSS[[#This Row],[SDI]]-$J$113&gt;0,IMSS[[#This Row],[SDI]]-$J$113,0)*$Q$110</f>
        <v>42.191268493150673</v>
      </c>
      <c r="M587" s="166">
        <f ca="1">IMSS[[#This Row],[DIAS LAB]]*IMSS[[#This Row],[SDI]]*$Q$111</f>
        <v>124.96438356164384</v>
      </c>
      <c r="N587" s="163">
        <f ca="1">IMSS[[#This Row],[DIAS LAB]]*IMSS[[#This Row],[SDI]]*$Q$112</f>
        <v>83.30958904109589</v>
      </c>
      <c r="O587" s="166">
        <f ca="1">IMSS[[#This Row],[DIAS LAB]]*IMSS[[#This Row],[SDI]]*$Q$113</f>
        <v>208.27397260273975</v>
      </c>
      <c r="P587" s="163">
        <f ca="1">IMSS[[#This Row],[DIAS LAB]]*IMSS[[#This Row],[SDI]]*$Q$114</f>
        <v>119.01369863013699</v>
      </c>
      <c r="Q587" s="166">
        <f ca="1">IMSS[[#This Row],[DIAS LAB]]*IMSS[[#This Row],[SDI]]*$Q$115</f>
        <v>238.02739726027397</v>
      </c>
      <c r="R587" s="163">
        <f ca="1">IMSS[[#This Row],[DIAS LAB]]*IMSS[[#This Row],[SDI]]*$Q$116</f>
        <v>374.89315068493153</v>
      </c>
      <c r="S587" s="163">
        <f ca="1">IMSS[[#This Row],[DIAS LAB]]*IMSS[[#This Row],[SDI]]*$Q$117</f>
        <v>595.06849315068496</v>
      </c>
      <c r="T587" s="164">
        <f ca="1">SUM(IMSS[[#This Row],[P RSG TRB]:[P INFONAVIT]])</f>
        <v>2398.9062493150686</v>
      </c>
      <c r="U587" s="163">
        <f ca="1">IMSS[[#This Row],[DIAS LAB]]*IMSS[[#This Row],[SDI]]*IMSS[[#This Row],[% RSG]]*$R$108</f>
        <v>0</v>
      </c>
      <c r="V587" s="163">
        <f ca="1">IMSS[[#This Row],[DIAS LAB]]*IMSS[[#This Row],[SDI]]*$R$112</f>
        <v>29.753424657534246</v>
      </c>
      <c r="W587" s="163"/>
      <c r="X587" s="163">
        <f ca="1">IMSS[[#This Row],[DIAS LAB]]*IMSS[[#This Row],[SDI]]*$R$113</f>
        <v>74.978630136986297</v>
      </c>
      <c r="Y587" s="163">
        <f ca="1">IMSS[[#This Row],[DIAS LAB]]*IMSS[[#This Row],[SDI]]*$R$114</f>
        <v>0</v>
      </c>
      <c r="Z587" s="163">
        <f ca="1">IMSS[[#This Row],[DIAS LAB]]*IMSS[[#This Row],[SDI]]*$R$115</f>
        <v>0</v>
      </c>
      <c r="AA587" s="163">
        <f ca="1">IMSS[[#This Row],[DIAS LAB]]*IMSS[[#This Row],[SDI]]*$R$116</f>
        <v>134.48547945205479</v>
      </c>
      <c r="AB587" s="163">
        <f ca="1">IMSS[[#This Row],[DIAS LAB]]*IMSS[[#This Row],[SDI]]*$R$117</f>
        <v>0</v>
      </c>
      <c r="AC587" s="247">
        <f ca="1">SUM(IMSS[[#This Row],[O RSG TRB]:[O INFONAVIT]])</f>
        <v>239.21753424657533</v>
      </c>
      <c r="AD587" s="163"/>
      <c r="AE587" s="165">
        <f ca="1">IMSS[[#This Row],[P TOTAL]]+IMSS[[#This Row],[O TOTAL]]</f>
        <v>2638.1237835616439</v>
      </c>
      <c r="AF587" s="163"/>
      <c r="AG587" s="163">
        <f>VLOOKUP(IMSS[[#This Row],[SUE MENS]],$AG$110:$AJ$120,1,1)</f>
        <v>9614.67</v>
      </c>
      <c r="AH587" s="163">
        <f>IMSS[[#This Row],[SUE MENS]]-IMSS[[#This Row],[LIM INF]]</f>
        <v>1245.33</v>
      </c>
      <c r="AI587" s="163">
        <f>IMSS[[#This Row],[EXC LIM INF]]*(VLOOKUP(IMSS[[#This Row],[LIM INF]],$AG$110:$AJ$120,4,0))</f>
        <v>199.25279999999998</v>
      </c>
      <c r="AJ587" s="163">
        <f>VLOOKUP(IMSS[[#This Row],[LIM INF]],$AG$110:$AJ$120,3)</f>
        <v>772.1</v>
      </c>
      <c r="AK587" s="163">
        <f>SUM(IMSS[[#This Row],[TASA EXC]]+IMSS[[#This Row],[CUOTA FIJA]])</f>
        <v>971.3528</v>
      </c>
      <c r="AL587" s="163">
        <f>VLOOKUP(IMSS[[#This Row],[SUE MENS]],$AL$110:$AN$120,3,1)</f>
        <v>0</v>
      </c>
      <c r="AM587" s="248">
        <f>IF(IMSS[[#This Row],[ISR CARGO]]-IMSS[[#This Row],[SUBS ISR]]&gt;0,IMSS[[#This Row],[ISR CARGO]]-IMSS[[#This Row],[SUBS ISR]],0)</f>
        <v>971.3528</v>
      </c>
      <c r="AN587" s="248">
        <f>IF(IMSS[[#This Row],[SUBS ISR]]-IMSS[[#This Row],[ISR CARGO]]&gt;0,IMSS[[#This Row],[SUBS ISR]]-IMSS[[#This Row],[ISR CARGO]],0)</f>
        <v>0</v>
      </c>
    </row>
    <row r="588" spans="3:40" ht="15" hidden="1" customHeight="1" x14ac:dyDescent="0.25">
      <c r="C588" s="243">
        <v>704</v>
      </c>
      <c r="D588" s="167" t="str">
        <f>VLOOKUP(IMSS[[#This Row],[NEM]],BDD[],2,0)</f>
        <v>Miriam Denisse Cisneros Sánchez</v>
      </c>
      <c r="E588" s="167" t="str">
        <f>VLOOKUP(IMSS[[#This Row],[NEM]],BDD[],9,0)</f>
        <v>ANLIS COST</v>
      </c>
      <c r="F588" s="168">
        <v>30</v>
      </c>
      <c r="G588" s="139">
        <f>VLOOKUP(IMSS[[#This Row],[NEM]],BDD[],3,0)</f>
        <v>9450</v>
      </c>
      <c r="H588" s="139">
        <f ca="1">VLOOKUP(IMSS[[#This Row],[NEM]],BDD[],25,0)</f>
        <v>345.20547945205476</v>
      </c>
      <c r="I588" s="143">
        <f>VLOOKUP(IMSS[[#This Row],[DEPT]],$B$3:$G$49,6,0)</f>
        <v>1.130658E-2</v>
      </c>
      <c r="J588" s="163">
        <f ca="1">IMSS[[#This Row],[DIAS LAB]]*IMSS[[#This Row],[SDI]]*IMSS[[#This Row],[% RSG]]*$Q$108</f>
        <v>117.09280109589041</v>
      </c>
      <c r="K588" s="163">
        <f>IMSS[[#This Row],[DIAS LAB]]*$J$110*$Q$109</f>
        <v>548.47440000000006</v>
      </c>
      <c r="L588" s="166">
        <f ca="1">IMSS[[#This Row],[DIAS LAB]]*IF(IMSS[[#This Row],[SDI]]-$J$113&gt;0,IMSS[[#This Row],[SDI]]-$J$113,0)*$Q$110</f>
        <v>25.194008219178063</v>
      </c>
      <c r="M588" s="166">
        <f ca="1">IMSS[[#This Row],[DIAS LAB]]*IMSS[[#This Row],[SDI]]*$Q$111</f>
        <v>108.73972602739727</v>
      </c>
      <c r="N588" s="163">
        <f ca="1">IMSS[[#This Row],[DIAS LAB]]*IMSS[[#This Row],[SDI]]*$Q$112</f>
        <v>72.493150684931507</v>
      </c>
      <c r="O588" s="166">
        <f ca="1">IMSS[[#This Row],[DIAS LAB]]*IMSS[[#This Row],[SDI]]*$Q$113</f>
        <v>181.23287671232876</v>
      </c>
      <c r="P588" s="163">
        <f ca="1">IMSS[[#This Row],[DIAS LAB]]*IMSS[[#This Row],[SDI]]*$Q$114</f>
        <v>103.56164383561644</v>
      </c>
      <c r="Q588" s="166">
        <f ca="1">IMSS[[#This Row],[DIAS LAB]]*IMSS[[#This Row],[SDI]]*$Q$115</f>
        <v>207.12328767123287</v>
      </c>
      <c r="R588" s="163">
        <f ca="1">IMSS[[#This Row],[DIAS LAB]]*IMSS[[#This Row],[SDI]]*$Q$116</f>
        <v>326.21917808219177</v>
      </c>
      <c r="S588" s="163">
        <f ca="1">IMSS[[#This Row],[DIAS LAB]]*IMSS[[#This Row],[SDI]]*$Q$117</f>
        <v>517.80821917808214</v>
      </c>
      <c r="T588" s="164">
        <f ca="1">SUM(IMSS[[#This Row],[P RSG TRB]:[P INFONAVIT]])</f>
        <v>2207.9392915068493</v>
      </c>
      <c r="U588" s="163">
        <f ca="1">IMSS[[#This Row],[DIAS LAB]]*IMSS[[#This Row],[SDI]]*IMSS[[#This Row],[% RSG]]*$R$108</f>
        <v>0</v>
      </c>
      <c r="V588" s="163">
        <f ca="1">IMSS[[#This Row],[DIAS LAB]]*IMSS[[#This Row],[SDI]]*$R$112</f>
        <v>25.890410958904109</v>
      </c>
      <c r="W588" s="163"/>
      <c r="X588" s="163">
        <f ca="1">IMSS[[#This Row],[DIAS LAB]]*IMSS[[#This Row],[SDI]]*$R$113</f>
        <v>65.243835616438346</v>
      </c>
      <c r="Y588" s="163">
        <f ca="1">IMSS[[#This Row],[DIAS LAB]]*IMSS[[#This Row],[SDI]]*$R$114</f>
        <v>0</v>
      </c>
      <c r="Z588" s="163">
        <f ca="1">IMSS[[#This Row],[DIAS LAB]]*IMSS[[#This Row],[SDI]]*$R$115</f>
        <v>0</v>
      </c>
      <c r="AA588" s="163">
        <f ca="1">IMSS[[#This Row],[DIAS LAB]]*IMSS[[#This Row],[SDI]]*$R$116</f>
        <v>117.02465753424656</v>
      </c>
      <c r="AB588" s="163">
        <f ca="1">IMSS[[#This Row],[DIAS LAB]]*IMSS[[#This Row],[SDI]]*$R$117</f>
        <v>0</v>
      </c>
      <c r="AC588" s="247">
        <f ca="1">SUM(IMSS[[#This Row],[O RSG TRB]:[O INFONAVIT]])</f>
        <v>208.158904109589</v>
      </c>
      <c r="AD588" s="163"/>
      <c r="AE588" s="165">
        <f ca="1">IMSS[[#This Row],[P TOTAL]]+IMSS[[#This Row],[O TOTAL]]</f>
        <v>2416.0981956164383</v>
      </c>
      <c r="AF588" s="163"/>
      <c r="AG588" s="163">
        <f>VLOOKUP(IMSS[[#This Row],[SUE MENS]],$AG$110:$AJ$120,1,1)</f>
        <v>5470.93</v>
      </c>
      <c r="AH588" s="163">
        <f>IMSS[[#This Row],[SUE MENS]]-IMSS[[#This Row],[LIM INF]]</f>
        <v>3979.0699999999997</v>
      </c>
      <c r="AI588" s="163">
        <f>IMSS[[#This Row],[EXC LIM INF]]*(VLOOKUP(IMSS[[#This Row],[LIM INF]],$AG$110:$AJ$120,4,0))</f>
        <v>432.92281600000001</v>
      </c>
      <c r="AJ588" s="163">
        <f>VLOOKUP(IMSS[[#This Row],[LIM INF]],$AG$110:$AJ$120,3)</f>
        <v>321.26</v>
      </c>
      <c r="AK588" s="163">
        <f>SUM(IMSS[[#This Row],[TASA EXC]]+IMSS[[#This Row],[CUOTA FIJA]])</f>
        <v>754.182816</v>
      </c>
      <c r="AL588" s="163">
        <f>VLOOKUP(IMSS[[#This Row],[SUE MENS]],$AL$110:$AN$120,3,1)</f>
        <v>0</v>
      </c>
      <c r="AM588" s="248">
        <f>IF(IMSS[[#This Row],[ISR CARGO]]-IMSS[[#This Row],[SUBS ISR]]&gt;0,IMSS[[#This Row],[ISR CARGO]]-IMSS[[#This Row],[SUBS ISR]],0)</f>
        <v>754.182816</v>
      </c>
      <c r="AN588" s="248">
        <f>IF(IMSS[[#This Row],[SUBS ISR]]-IMSS[[#This Row],[ISR CARGO]]&gt;0,IMSS[[#This Row],[SUBS ISR]]-IMSS[[#This Row],[ISR CARGO]],0)</f>
        <v>0</v>
      </c>
    </row>
    <row r="589" spans="3:40" ht="15" hidden="1" customHeight="1" x14ac:dyDescent="0.25">
      <c r="C589" s="243">
        <v>705</v>
      </c>
      <c r="D589" s="167" t="str">
        <f>VLOOKUP(IMSS[[#This Row],[NEM]],BDD[],2,0)</f>
        <v>William Ulises Gómez González</v>
      </c>
      <c r="E589" s="167" t="str">
        <f>VLOOKUP(IMSS[[#This Row],[NEM]],BDD[],9,0)</f>
        <v>NÓMINAS</v>
      </c>
      <c r="F589" s="168">
        <v>30</v>
      </c>
      <c r="G589" s="139">
        <f>VLOOKUP(IMSS[[#This Row],[NEM]],BDD[],3,0)</f>
        <v>6778</v>
      </c>
      <c r="H589" s="139">
        <f ca="1">VLOOKUP(IMSS[[#This Row],[NEM]],BDD[],25,0)</f>
        <v>236.76575342465753</v>
      </c>
      <c r="I589" s="143">
        <f>VLOOKUP(IMSS[[#This Row],[DEPT]],$B$3:$G$49,6,0)</f>
        <v>5.4355000000000002E-3</v>
      </c>
      <c r="J589" s="163">
        <f ca="1">IMSS[[#This Row],[DIAS LAB]]*IMSS[[#This Row],[SDI]]*IMSS[[#This Row],[% RSG]]*$Q$108</f>
        <v>38.608207582191781</v>
      </c>
      <c r="K589" s="163">
        <f>IMSS[[#This Row],[DIAS LAB]]*$J$110*$Q$109</f>
        <v>548.47440000000006</v>
      </c>
      <c r="L589" s="166">
        <f ca="1">IMSS[[#This Row],[DIAS LAB]]*IF(IMSS[[#This Row],[SDI]]-$J$113&gt;0,IMSS[[#This Row],[SDI]]-$J$113,0)*$Q$110</f>
        <v>0</v>
      </c>
      <c r="M589" s="166">
        <f ca="1">IMSS[[#This Row],[DIAS LAB]]*IMSS[[#This Row],[SDI]]*$Q$111</f>
        <v>74.581212328767137</v>
      </c>
      <c r="N589" s="163">
        <f ca="1">IMSS[[#This Row],[DIAS LAB]]*IMSS[[#This Row],[SDI]]*$Q$112</f>
        <v>49.720808219178089</v>
      </c>
      <c r="O589" s="166">
        <f ca="1">IMSS[[#This Row],[DIAS LAB]]*IMSS[[#This Row],[SDI]]*$Q$113</f>
        <v>124.30202054794522</v>
      </c>
      <c r="P589" s="163">
        <f ca="1">IMSS[[#This Row],[DIAS LAB]]*IMSS[[#This Row],[SDI]]*$Q$114</f>
        <v>71.02972602739726</v>
      </c>
      <c r="Q589" s="166">
        <f ca="1">IMSS[[#This Row],[DIAS LAB]]*IMSS[[#This Row],[SDI]]*$Q$115</f>
        <v>142.05945205479452</v>
      </c>
      <c r="R589" s="163">
        <f ca="1">IMSS[[#This Row],[DIAS LAB]]*IMSS[[#This Row],[SDI]]*$Q$116</f>
        <v>223.7436369863014</v>
      </c>
      <c r="S589" s="163">
        <f ca="1">IMSS[[#This Row],[DIAS LAB]]*IMSS[[#This Row],[SDI]]*$Q$117</f>
        <v>355.14863013698636</v>
      </c>
      <c r="T589" s="164">
        <f ca="1">SUM(IMSS[[#This Row],[P RSG TRB]:[P INFONAVIT]])</f>
        <v>1627.6680938835618</v>
      </c>
      <c r="U589" s="163">
        <f ca="1">IMSS[[#This Row],[DIAS LAB]]*IMSS[[#This Row],[SDI]]*IMSS[[#This Row],[% RSG]]*$R$108</f>
        <v>0</v>
      </c>
      <c r="V589" s="163">
        <f ca="1">IMSS[[#This Row],[DIAS LAB]]*IMSS[[#This Row],[SDI]]*$R$112</f>
        <v>17.757431506849315</v>
      </c>
      <c r="W589" s="163"/>
      <c r="X589" s="163">
        <f ca="1">IMSS[[#This Row],[DIAS LAB]]*IMSS[[#This Row],[SDI]]*$R$113</f>
        <v>44.748727397260275</v>
      </c>
      <c r="Y589" s="163">
        <f ca="1">IMSS[[#This Row],[DIAS LAB]]*IMSS[[#This Row],[SDI]]*$R$114</f>
        <v>0</v>
      </c>
      <c r="Z589" s="163">
        <f ca="1">IMSS[[#This Row],[DIAS LAB]]*IMSS[[#This Row],[SDI]]*$R$115</f>
        <v>0</v>
      </c>
      <c r="AA589" s="163">
        <f ca="1">IMSS[[#This Row],[DIAS LAB]]*IMSS[[#This Row],[SDI]]*$R$116</f>
        <v>80.263590410958898</v>
      </c>
      <c r="AB589" s="163">
        <f ca="1">IMSS[[#This Row],[DIAS LAB]]*IMSS[[#This Row],[SDI]]*$R$117</f>
        <v>0</v>
      </c>
      <c r="AC589" s="247">
        <f ca="1">SUM(IMSS[[#This Row],[O RSG TRB]:[O INFONAVIT]])</f>
        <v>142.76974931506848</v>
      </c>
      <c r="AD589" s="163"/>
      <c r="AE589" s="165">
        <f ca="1">IMSS[[#This Row],[P TOTAL]]+IMSS[[#This Row],[O TOTAL]]</f>
        <v>1770.4378431986304</v>
      </c>
      <c r="AF589" s="163"/>
      <c r="AG589" s="163">
        <f>VLOOKUP(IMSS[[#This Row],[SUE MENS]],$AG$110:$AJ$120,1,1)</f>
        <v>5470.93</v>
      </c>
      <c r="AH589" s="163">
        <f>IMSS[[#This Row],[SUE MENS]]-IMSS[[#This Row],[LIM INF]]</f>
        <v>1307.0699999999997</v>
      </c>
      <c r="AI589" s="163">
        <f>IMSS[[#This Row],[EXC LIM INF]]*(VLOOKUP(IMSS[[#This Row],[LIM INF]],$AG$110:$AJ$120,4,0))</f>
        <v>142.20921599999997</v>
      </c>
      <c r="AJ589" s="163">
        <f>VLOOKUP(IMSS[[#This Row],[LIM INF]],$AG$110:$AJ$120,3)</f>
        <v>321.26</v>
      </c>
      <c r="AK589" s="163">
        <f>SUM(IMSS[[#This Row],[TASA EXC]]+IMSS[[#This Row],[CUOTA FIJA]])</f>
        <v>463.46921599999996</v>
      </c>
      <c r="AL589" s="163">
        <f>VLOOKUP(IMSS[[#This Row],[SUE MENS]],$AL$110:$AN$120,3,1)</f>
        <v>253.54</v>
      </c>
      <c r="AM589" s="248">
        <f>IF(IMSS[[#This Row],[ISR CARGO]]-IMSS[[#This Row],[SUBS ISR]]&gt;0,IMSS[[#This Row],[ISR CARGO]]-IMSS[[#This Row],[SUBS ISR]],0)</f>
        <v>209.92921599999997</v>
      </c>
      <c r="AN589" s="248">
        <f>IF(IMSS[[#This Row],[SUBS ISR]]-IMSS[[#This Row],[ISR CARGO]]&gt;0,IMSS[[#This Row],[SUBS ISR]]-IMSS[[#This Row],[ISR CARGO]],0)</f>
        <v>0</v>
      </c>
    </row>
    <row r="590" spans="3:40" ht="15" hidden="1" customHeight="1" x14ac:dyDescent="0.25">
      <c r="C590" s="243">
        <v>708</v>
      </c>
      <c r="D590" s="167" t="str">
        <f>VLOOKUP(IMSS[[#This Row],[NEM]],BDD[],2,0)</f>
        <v>Jair Elihu Olguin Valdes</v>
      </c>
      <c r="E590" s="167" t="str">
        <f>VLOOKUP(IMSS[[#This Row],[NEM]],BDD[],9,0)</f>
        <v>ARQUITECT</v>
      </c>
      <c r="F590" s="168">
        <v>30</v>
      </c>
      <c r="G590" s="139">
        <f>VLOOKUP(IMSS[[#This Row],[NEM]],BDD[],3,0)</f>
        <v>9541</v>
      </c>
      <c r="H590" s="139">
        <f ca="1">VLOOKUP(IMSS[[#This Row],[NEM]],BDD[],25,0)</f>
        <v>348.52968036529683</v>
      </c>
      <c r="I590" s="143">
        <f>VLOOKUP(IMSS[[#This Row],[DEPT]],$B$3:$G$49,6,0)</f>
        <v>2.5984400000000001E-2</v>
      </c>
      <c r="J590" s="163">
        <f ca="1">IMSS[[#This Row],[DIAS LAB]]*IMSS[[#This Row],[SDI]]*IMSS[[#This Row],[% RSG]]*$Q$108</f>
        <v>271.6900387945206</v>
      </c>
      <c r="K590" s="163">
        <f>IMSS[[#This Row],[DIAS LAB]]*$J$110*$Q$109</f>
        <v>548.47440000000006</v>
      </c>
      <c r="L590" s="166">
        <f ca="1">IMSS[[#This Row],[DIAS LAB]]*IF(IMSS[[#This Row],[SDI]]-$J$113&gt;0,IMSS[[#This Row],[SDI]]-$J$113,0)*$Q$110</f>
        <v>26.290994520547951</v>
      </c>
      <c r="M590" s="166">
        <f ca="1">IMSS[[#This Row],[DIAS LAB]]*IMSS[[#This Row],[SDI]]*$Q$111</f>
        <v>109.78684931506852</v>
      </c>
      <c r="N590" s="163">
        <f ca="1">IMSS[[#This Row],[DIAS LAB]]*IMSS[[#This Row],[SDI]]*$Q$112</f>
        <v>73.191232876712348</v>
      </c>
      <c r="O590" s="166">
        <f ca="1">IMSS[[#This Row],[DIAS LAB]]*IMSS[[#This Row],[SDI]]*$Q$113</f>
        <v>182.97808219178086</v>
      </c>
      <c r="P590" s="163">
        <f ca="1">IMSS[[#This Row],[DIAS LAB]]*IMSS[[#This Row],[SDI]]*$Q$114</f>
        <v>104.55890410958907</v>
      </c>
      <c r="Q590" s="166">
        <f ca="1">IMSS[[#This Row],[DIAS LAB]]*IMSS[[#This Row],[SDI]]*$Q$115</f>
        <v>209.11780821917813</v>
      </c>
      <c r="R590" s="163">
        <f ca="1">IMSS[[#This Row],[DIAS LAB]]*IMSS[[#This Row],[SDI]]*$Q$116</f>
        <v>329.36054794520555</v>
      </c>
      <c r="S590" s="163">
        <f ca="1">IMSS[[#This Row],[DIAS LAB]]*IMSS[[#This Row],[SDI]]*$Q$117</f>
        <v>522.79452054794535</v>
      </c>
      <c r="T590" s="164">
        <f ca="1">SUM(IMSS[[#This Row],[P RSG TRB]:[P INFONAVIT]])</f>
        <v>2378.2433785205485</v>
      </c>
      <c r="U590" s="163">
        <f ca="1">IMSS[[#This Row],[DIAS LAB]]*IMSS[[#This Row],[SDI]]*IMSS[[#This Row],[% RSG]]*$R$108</f>
        <v>0</v>
      </c>
      <c r="V590" s="163">
        <f ca="1">IMSS[[#This Row],[DIAS LAB]]*IMSS[[#This Row],[SDI]]*$R$112</f>
        <v>26.139726027397266</v>
      </c>
      <c r="W590" s="163"/>
      <c r="X590" s="163">
        <f ca="1">IMSS[[#This Row],[DIAS LAB]]*IMSS[[#This Row],[SDI]]*$R$113</f>
        <v>65.872109589041102</v>
      </c>
      <c r="Y590" s="163">
        <f ca="1">IMSS[[#This Row],[DIAS LAB]]*IMSS[[#This Row],[SDI]]*$R$114</f>
        <v>0</v>
      </c>
      <c r="Z590" s="163">
        <f ca="1">IMSS[[#This Row],[DIAS LAB]]*IMSS[[#This Row],[SDI]]*$R$115</f>
        <v>0</v>
      </c>
      <c r="AA590" s="163">
        <f ca="1">IMSS[[#This Row],[DIAS LAB]]*IMSS[[#This Row],[SDI]]*$R$116</f>
        <v>118.15156164383562</v>
      </c>
      <c r="AB590" s="163">
        <f ca="1">IMSS[[#This Row],[DIAS LAB]]*IMSS[[#This Row],[SDI]]*$R$117</f>
        <v>0</v>
      </c>
      <c r="AC590" s="247">
        <f ca="1">SUM(IMSS[[#This Row],[O RSG TRB]:[O INFONAVIT]])</f>
        <v>210.163397260274</v>
      </c>
      <c r="AD590" s="163"/>
      <c r="AE590" s="165">
        <f ca="1">IMSS[[#This Row],[P TOTAL]]+IMSS[[#This Row],[O TOTAL]]</f>
        <v>2588.4067757808225</v>
      </c>
      <c r="AF590" s="163"/>
      <c r="AG590" s="163">
        <f>VLOOKUP(IMSS[[#This Row],[SUE MENS]],$AG$110:$AJ$120,1,1)</f>
        <v>5470.93</v>
      </c>
      <c r="AH590" s="163">
        <f>IMSS[[#This Row],[SUE MENS]]-IMSS[[#This Row],[LIM INF]]</f>
        <v>4070.0699999999997</v>
      </c>
      <c r="AI590" s="163">
        <f>IMSS[[#This Row],[EXC LIM INF]]*(VLOOKUP(IMSS[[#This Row],[LIM INF]],$AG$110:$AJ$120,4,0))</f>
        <v>442.82361600000002</v>
      </c>
      <c r="AJ590" s="163">
        <f>VLOOKUP(IMSS[[#This Row],[LIM INF]],$AG$110:$AJ$120,3)</f>
        <v>321.26</v>
      </c>
      <c r="AK590" s="163">
        <f>SUM(IMSS[[#This Row],[TASA EXC]]+IMSS[[#This Row],[CUOTA FIJA]])</f>
        <v>764.08361600000001</v>
      </c>
      <c r="AL590" s="163">
        <f>VLOOKUP(IMSS[[#This Row],[SUE MENS]],$AL$110:$AN$120,3,1)</f>
        <v>0</v>
      </c>
      <c r="AM590" s="248">
        <f>IF(IMSS[[#This Row],[ISR CARGO]]-IMSS[[#This Row],[SUBS ISR]]&gt;0,IMSS[[#This Row],[ISR CARGO]]-IMSS[[#This Row],[SUBS ISR]],0)</f>
        <v>764.08361600000001</v>
      </c>
      <c r="AN590" s="248">
        <f>IF(IMSS[[#This Row],[SUBS ISR]]-IMSS[[#This Row],[ISR CARGO]]&gt;0,IMSS[[#This Row],[SUBS ISR]]-IMSS[[#This Row],[ISR CARGO]],0)</f>
        <v>0</v>
      </c>
    </row>
    <row r="591" spans="3:40" ht="15" hidden="1" customHeight="1" x14ac:dyDescent="0.25">
      <c r="C591" s="243">
        <v>709</v>
      </c>
      <c r="D591" s="167" t="str">
        <f>VLOOKUP(IMSS[[#This Row],[NEM]],BDD[],2,0)</f>
        <v>Lorena Cortes Torralbo</v>
      </c>
      <c r="E591" s="167" t="str">
        <f>VLOOKUP(IMSS[[#This Row],[NEM]],BDD[],9,0)</f>
        <v>ARQUITECT</v>
      </c>
      <c r="F591" s="168">
        <v>30</v>
      </c>
      <c r="G591" s="139">
        <f>VLOOKUP(IMSS[[#This Row],[NEM]],BDD[],3,0)</f>
        <v>10350</v>
      </c>
      <c r="H591" s="139">
        <f ca="1">VLOOKUP(IMSS[[#This Row],[NEM]],BDD[],25,0)</f>
        <v>378.08219178082192</v>
      </c>
      <c r="I591" s="143">
        <f>VLOOKUP(IMSS[[#This Row],[DEPT]],$B$3:$G$49,6,0)</f>
        <v>2.5984400000000001E-2</v>
      </c>
      <c r="J591" s="163">
        <f ca="1">IMSS[[#This Row],[DIAS LAB]]*IMSS[[#This Row],[SDI]]*IMSS[[#This Row],[% RSG]]*$Q$108</f>
        <v>294.7271671232877</v>
      </c>
      <c r="K591" s="163">
        <f>IMSS[[#This Row],[DIAS LAB]]*$J$110*$Q$109</f>
        <v>548.47440000000006</v>
      </c>
      <c r="L591" s="166">
        <f ca="1">IMSS[[#This Row],[DIAS LAB]]*IF(IMSS[[#This Row],[SDI]]-$J$113&gt;0,IMSS[[#This Row],[SDI]]-$J$113,0)*$Q$110</f>
        <v>36.043323287671221</v>
      </c>
      <c r="M591" s="166">
        <f ca="1">IMSS[[#This Row],[DIAS LAB]]*IMSS[[#This Row],[SDI]]*$Q$111</f>
        <v>119.09589041095892</v>
      </c>
      <c r="N591" s="163">
        <f ca="1">IMSS[[#This Row],[DIAS LAB]]*IMSS[[#This Row],[SDI]]*$Q$112</f>
        <v>79.397260273972606</v>
      </c>
      <c r="O591" s="166">
        <f ca="1">IMSS[[#This Row],[DIAS LAB]]*IMSS[[#This Row],[SDI]]*$Q$113</f>
        <v>198.49315068493152</v>
      </c>
      <c r="P591" s="163">
        <f ca="1">IMSS[[#This Row],[DIAS LAB]]*IMSS[[#This Row],[SDI]]*$Q$114</f>
        <v>113.42465753424658</v>
      </c>
      <c r="Q591" s="166">
        <f ca="1">IMSS[[#This Row],[DIAS LAB]]*IMSS[[#This Row],[SDI]]*$Q$115</f>
        <v>226.84931506849315</v>
      </c>
      <c r="R591" s="163">
        <f ca="1">IMSS[[#This Row],[DIAS LAB]]*IMSS[[#This Row],[SDI]]*$Q$116</f>
        <v>357.28767123287673</v>
      </c>
      <c r="S591" s="163">
        <f ca="1">IMSS[[#This Row],[DIAS LAB]]*IMSS[[#This Row],[SDI]]*$Q$117</f>
        <v>567.1232876712329</v>
      </c>
      <c r="T591" s="164">
        <f ca="1">SUM(IMSS[[#This Row],[P RSG TRB]:[P INFONAVIT]])</f>
        <v>2540.9161232876713</v>
      </c>
      <c r="U591" s="163">
        <f ca="1">IMSS[[#This Row],[DIAS LAB]]*IMSS[[#This Row],[SDI]]*IMSS[[#This Row],[% RSG]]*$R$108</f>
        <v>0</v>
      </c>
      <c r="V591" s="163">
        <f ca="1">IMSS[[#This Row],[DIAS LAB]]*IMSS[[#This Row],[SDI]]*$R$112</f>
        <v>28.356164383561644</v>
      </c>
      <c r="W591" s="163"/>
      <c r="X591" s="163">
        <f ca="1">IMSS[[#This Row],[DIAS LAB]]*IMSS[[#This Row],[SDI]]*$R$113</f>
        <v>71.457534246575349</v>
      </c>
      <c r="Y591" s="163">
        <f ca="1">IMSS[[#This Row],[DIAS LAB]]*IMSS[[#This Row],[SDI]]*$R$114</f>
        <v>0</v>
      </c>
      <c r="Z591" s="163">
        <f ca="1">IMSS[[#This Row],[DIAS LAB]]*IMSS[[#This Row],[SDI]]*$R$115</f>
        <v>0</v>
      </c>
      <c r="AA591" s="163">
        <f ca="1">IMSS[[#This Row],[DIAS LAB]]*IMSS[[#This Row],[SDI]]*$R$116</f>
        <v>128.16986301369863</v>
      </c>
      <c r="AB591" s="163">
        <f ca="1">IMSS[[#This Row],[DIAS LAB]]*IMSS[[#This Row],[SDI]]*$R$117</f>
        <v>0</v>
      </c>
      <c r="AC591" s="247">
        <f ca="1">SUM(IMSS[[#This Row],[O RSG TRB]:[O INFONAVIT]])</f>
        <v>227.98356164383563</v>
      </c>
      <c r="AD591" s="163"/>
      <c r="AE591" s="165">
        <f ca="1">IMSS[[#This Row],[P TOTAL]]+IMSS[[#This Row],[O TOTAL]]</f>
        <v>2768.8996849315072</v>
      </c>
      <c r="AF591" s="163"/>
      <c r="AG591" s="163">
        <f>VLOOKUP(IMSS[[#This Row],[SUE MENS]],$AG$110:$AJ$120,1,1)</f>
        <v>9614.67</v>
      </c>
      <c r="AH591" s="163">
        <f>IMSS[[#This Row],[SUE MENS]]-IMSS[[#This Row],[LIM INF]]</f>
        <v>735.32999999999993</v>
      </c>
      <c r="AI591" s="163">
        <f>IMSS[[#This Row],[EXC LIM INF]]*(VLOOKUP(IMSS[[#This Row],[LIM INF]],$AG$110:$AJ$120,4,0))</f>
        <v>117.65279999999998</v>
      </c>
      <c r="AJ591" s="163">
        <f>VLOOKUP(IMSS[[#This Row],[LIM INF]],$AG$110:$AJ$120,3)</f>
        <v>772.1</v>
      </c>
      <c r="AK591" s="163">
        <f>SUM(IMSS[[#This Row],[TASA EXC]]+IMSS[[#This Row],[CUOTA FIJA]])</f>
        <v>889.75279999999998</v>
      </c>
      <c r="AL591" s="163">
        <f>VLOOKUP(IMSS[[#This Row],[SUE MENS]],$AL$110:$AN$120,3,1)</f>
        <v>0</v>
      </c>
      <c r="AM591" s="248">
        <f>IF(IMSS[[#This Row],[ISR CARGO]]-IMSS[[#This Row],[SUBS ISR]]&gt;0,IMSS[[#This Row],[ISR CARGO]]-IMSS[[#This Row],[SUBS ISR]],0)</f>
        <v>889.75279999999998</v>
      </c>
      <c r="AN591" s="248">
        <f>IF(IMSS[[#This Row],[SUBS ISR]]-IMSS[[#This Row],[ISR CARGO]]&gt;0,IMSS[[#This Row],[SUBS ISR]]-IMSS[[#This Row],[ISR CARGO]],0)</f>
        <v>0</v>
      </c>
    </row>
    <row r="592" spans="3:40" ht="15" hidden="1" customHeight="1" x14ac:dyDescent="0.25">
      <c r="C592" s="243">
        <v>710</v>
      </c>
      <c r="D592" s="167" t="str">
        <f>VLOOKUP(IMSS[[#This Row],[NEM]],BDD[],2,0)</f>
        <v>Angel Estrada Abundiz</v>
      </c>
      <c r="E592" s="167" t="str">
        <f>VLOOKUP(IMSS[[#This Row],[NEM]],BDD[],9,0)</f>
        <v>CONTA</v>
      </c>
      <c r="F592" s="168">
        <v>30</v>
      </c>
      <c r="G592" s="139">
        <f>VLOOKUP(IMSS[[#This Row],[NEM]],BDD[],3,0)</f>
        <v>9450</v>
      </c>
      <c r="H592" s="139">
        <f ca="1">VLOOKUP(IMSS[[#This Row],[NEM]],BDD[],25,0)</f>
        <v>345.20547945205476</v>
      </c>
      <c r="I592" s="143">
        <f>VLOOKUP(IMSS[[#This Row],[DEPT]],$B$3:$G$49,6,0)</f>
        <v>5.4355000000000002E-3</v>
      </c>
      <c r="J592" s="163">
        <f ca="1">IMSS[[#This Row],[DIAS LAB]]*IMSS[[#This Row],[SDI]]*IMSS[[#This Row],[% RSG]]*$Q$108</f>
        <v>56.290931506849311</v>
      </c>
      <c r="K592" s="163">
        <f>IMSS[[#This Row],[DIAS LAB]]*$J$110*$Q$109</f>
        <v>548.47440000000006</v>
      </c>
      <c r="L592" s="166">
        <f ca="1">IMSS[[#This Row],[DIAS LAB]]*IF(IMSS[[#This Row],[SDI]]-$J$113&gt;0,IMSS[[#This Row],[SDI]]-$J$113,0)*$Q$110</f>
        <v>25.194008219178063</v>
      </c>
      <c r="M592" s="166">
        <f ca="1">IMSS[[#This Row],[DIAS LAB]]*IMSS[[#This Row],[SDI]]*$Q$111</f>
        <v>108.73972602739727</v>
      </c>
      <c r="N592" s="163">
        <f ca="1">IMSS[[#This Row],[DIAS LAB]]*IMSS[[#This Row],[SDI]]*$Q$112</f>
        <v>72.493150684931507</v>
      </c>
      <c r="O592" s="166">
        <f ca="1">IMSS[[#This Row],[DIAS LAB]]*IMSS[[#This Row],[SDI]]*$Q$113</f>
        <v>181.23287671232876</v>
      </c>
      <c r="P592" s="163">
        <f ca="1">IMSS[[#This Row],[DIAS LAB]]*IMSS[[#This Row],[SDI]]*$Q$114</f>
        <v>103.56164383561644</v>
      </c>
      <c r="Q592" s="166">
        <f ca="1">IMSS[[#This Row],[DIAS LAB]]*IMSS[[#This Row],[SDI]]*$Q$115</f>
        <v>207.12328767123287</v>
      </c>
      <c r="R592" s="163">
        <f ca="1">IMSS[[#This Row],[DIAS LAB]]*IMSS[[#This Row],[SDI]]*$Q$116</f>
        <v>326.21917808219177</v>
      </c>
      <c r="S592" s="163">
        <f ca="1">IMSS[[#This Row],[DIAS LAB]]*IMSS[[#This Row],[SDI]]*$Q$117</f>
        <v>517.80821917808214</v>
      </c>
      <c r="T592" s="164">
        <f ca="1">SUM(IMSS[[#This Row],[P RSG TRB]:[P INFONAVIT]])</f>
        <v>2147.1374219178083</v>
      </c>
      <c r="U592" s="163">
        <f ca="1">IMSS[[#This Row],[DIAS LAB]]*IMSS[[#This Row],[SDI]]*IMSS[[#This Row],[% RSG]]*$R$108</f>
        <v>0</v>
      </c>
      <c r="V592" s="163">
        <f ca="1">IMSS[[#This Row],[DIAS LAB]]*IMSS[[#This Row],[SDI]]*$R$112</f>
        <v>25.890410958904109</v>
      </c>
      <c r="W592" s="163"/>
      <c r="X592" s="163">
        <f ca="1">IMSS[[#This Row],[DIAS LAB]]*IMSS[[#This Row],[SDI]]*$R$113</f>
        <v>65.243835616438346</v>
      </c>
      <c r="Y592" s="163">
        <f ca="1">IMSS[[#This Row],[DIAS LAB]]*IMSS[[#This Row],[SDI]]*$R$114</f>
        <v>0</v>
      </c>
      <c r="Z592" s="163">
        <f ca="1">IMSS[[#This Row],[DIAS LAB]]*IMSS[[#This Row],[SDI]]*$R$115</f>
        <v>0</v>
      </c>
      <c r="AA592" s="163">
        <f ca="1">IMSS[[#This Row],[DIAS LAB]]*IMSS[[#This Row],[SDI]]*$R$116</f>
        <v>117.02465753424656</v>
      </c>
      <c r="AB592" s="163">
        <f ca="1">IMSS[[#This Row],[DIAS LAB]]*IMSS[[#This Row],[SDI]]*$R$117</f>
        <v>0</v>
      </c>
      <c r="AC592" s="247">
        <f ca="1">SUM(IMSS[[#This Row],[O RSG TRB]:[O INFONAVIT]])</f>
        <v>208.158904109589</v>
      </c>
      <c r="AD592" s="163"/>
      <c r="AE592" s="165">
        <f ca="1">IMSS[[#This Row],[P TOTAL]]+IMSS[[#This Row],[O TOTAL]]</f>
        <v>2355.2963260273973</v>
      </c>
      <c r="AF592" s="163"/>
      <c r="AG592" s="163">
        <f>VLOOKUP(IMSS[[#This Row],[SUE MENS]],$AG$110:$AJ$120,1,1)</f>
        <v>5470.93</v>
      </c>
      <c r="AH592" s="163">
        <f>IMSS[[#This Row],[SUE MENS]]-IMSS[[#This Row],[LIM INF]]</f>
        <v>3979.0699999999997</v>
      </c>
      <c r="AI592" s="163">
        <f>IMSS[[#This Row],[EXC LIM INF]]*(VLOOKUP(IMSS[[#This Row],[LIM INF]],$AG$110:$AJ$120,4,0))</f>
        <v>432.92281600000001</v>
      </c>
      <c r="AJ592" s="163">
        <f>VLOOKUP(IMSS[[#This Row],[LIM INF]],$AG$110:$AJ$120,3)</f>
        <v>321.26</v>
      </c>
      <c r="AK592" s="163">
        <f>SUM(IMSS[[#This Row],[TASA EXC]]+IMSS[[#This Row],[CUOTA FIJA]])</f>
        <v>754.182816</v>
      </c>
      <c r="AL592" s="163">
        <f>VLOOKUP(IMSS[[#This Row],[SUE MENS]],$AL$110:$AN$120,3,1)</f>
        <v>0</v>
      </c>
      <c r="AM592" s="248">
        <f>IF(IMSS[[#This Row],[ISR CARGO]]-IMSS[[#This Row],[SUBS ISR]]&gt;0,IMSS[[#This Row],[ISR CARGO]]-IMSS[[#This Row],[SUBS ISR]],0)</f>
        <v>754.182816</v>
      </c>
      <c r="AN592" s="248">
        <f>IF(IMSS[[#This Row],[SUBS ISR]]-IMSS[[#This Row],[ISR CARGO]]&gt;0,IMSS[[#This Row],[SUBS ISR]]-IMSS[[#This Row],[ISR CARGO]],0)</f>
        <v>0</v>
      </c>
    </row>
    <row r="593" spans="3:40" ht="15" hidden="1" customHeight="1" x14ac:dyDescent="0.25">
      <c r="C593" s="243">
        <v>711</v>
      </c>
      <c r="D593" s="139" t="str">
        <f>VLOOKUP(IMSS[[#This Row],[NEM]],BDD[],2,0)</f>
        <v>Victor Jesus Mota Gomez</v>
      </c>
      <c r="E593" s="139" t="str">
        <f>VLOOKUP(IMSS[[#This Row],[NEM]],BDD[],9,0)</f>
        <v>MATERIALES</v>
      </c>
      <c r="F593" s="168">
        <v>30</v>
      </c>
      <c r="G593" s="139">
        <f>VLOOKUP(IMSS[[#This Row],[NEM]],BDD[],3,0)</f>
        <v>9450</v>
      </c>
      <c r="H593" s="139">
        <f ca="1">VLOOKUP(IMSS[[#This Row],[NEM]],BDD[],25,0)</f>
        <v>345.20547945205476</v>
      </c>
      <c r="I593" s="143">
        <f>VLOOKUP(IMSS[[#This Row],[DEPT]],$B$3:$G$49,6,0)</f>
        <v>4.6532499999999997E-2</v>
      </c>
      <c r="J593" s="163">
        <f ca="1">IMSS[[#This Row],[DIAS LAB]]*IMSS[[#This Row],[SDI]]*IMSS[[#This Row],[% RSG]]*$Q$108</f>
        <v>481.89821917808212</v>
      </c>
      <c r="K593" s="166">
        <f>IMSS[[#This Row],[DIAS LAB]]*$J$110*$Q$109</f>
        <v>548.47440000000006</v>
      </c>
      <c r="L593" s="163">
        <f ca="1">IMSS[[#This Row],[DIAS LAB]]*IF(IMSS[[#This Row],[SDI]]-$J$113&gt;0,IMSS[[#This Row],[SDI]]-$J$113,0)*$Q$110</f>
        <v>25.194008219178063</v>
      </c>
      <c r="M593" s="163">
        <f ca="1">IMSS[[#This Row],[DIAS LAB]]*IMSS[[#This Row],[SDI]]*$Q$111</f>
        <v>108.73972602739727</v>
      </c>
      <c r="N593" s="163">
        <f ca="1">IMSS[[#This Row],[DIAS LAB]]*IMSS[[#This Row],[SDI]]*$Q$112</f>
        <v>72.493150684931507</v>
      </c>
      <c r="O593" s="163">
        <f ca="1">IMSS[[#This Row],[DIAS LAB]]*IMSS[[#This Row],[SDI]]*$Q$113</f>
        <v>181.23287671232876</v>
      </c>
      <c r="P593" s="163">
        <f ca="1">IMSS[[#This Row],[DIAS LAB]]*IMSS[[#This Row],[SDI]]*$Q$114</f>
        <v>103.56164383561644</v>
      </c>
      <c r="Q593" s="163">
        <f ca="1">IMSS[[#This Row],[DIAS LAB]]*IMSS[[#This Row],[SDI]]*$Q$115</f>
        <v>207.12328767123287</v>
      </c>
      <c r="R593" s="163">
        <f ca="1">IMSS[[#This Row],[DIAS LAB]]*IMSS[[#This Row],[SDI]]*$Q$116</f>
        <v>326.21917808219177</v>
      </c>
      <c r="S593" s="163">
        <f ca="1">IMSS[[#This Row],[DIAS LAB]]*IMSS[[#This Row],[SDI]]*$Q$117</f>
        <v>517.80821917808214</v>
      </c>
      <c r="T593" s="164">
        <f ca="1">SUM(IMSS[[#This Row],[P RSG TRB]:[P INFONAVIT]])</f>
        <v>2572.7447095890411</v>
      </c>
      <c r="U593" s="163">
        <f ca="1">IMSS[[#This Row],[DIAS LAB]]*IMSS[[#This Row],[SDI]]*IMSS[[#This Row],[% RSG]]*$R$108</f>
        <v>0</v>
      </c>
      <c r="V593" s="163">
        <f ca="1">IMSS[[#This Row],[DIAS LAB]]*IMSS[[#This Row],[SDI]]*$R$112</f>
        <v>25.890410958904109</v>
      </c>
      <c r="W593" s="163"/>
      <c r="X593" s="163">
        <f ca="1">IMSS[[#This Row],[DIAS LAB]]*IMSS[[#This Row],[SDI]]*$R$113</f>
        <v>65.243835616438346</v>
      </c>
      <c r="Y593" s="163">
        <f ca="1">IMSS[[#This Row],[DIAS LAB]]*IMSS[[#This Row],[SDI]]*$R$114</f>
        <v>0</v>
      </c>
      <c r="Z593" s="163">
        <f ca="1">IMSS[[#This Row],[DIAS LAB]]*IMSS[[#This Row],[SDI]]*$R$115</f>
        <v>0</v>
      </c>
      <c r="AA593" s="163">
        <f ca="1">IMSS[[#This Row],[DIAS LAB]]*IMSS[[#This Row],[SDI]]*$R$116</f>
        <v>117.02465753424656</v>
      </c>
      <c r="AB593" s="163">
        <f ca="1">IMSS[[#This Row],[DIAS LAB]]*IMSS[[#This Row],[SDI]]*$R$117</f>
        <v>0</v>
      </c>
      <c r="AC593" s="247">
        <f ca="1">SUM(IMSS[[#This Row],[O RSG TRB]:[O INFONAVIT]])</f>
        <v>208.158904109589</v>
      </c>
      <c r="AD593" s="163"/>
      <c r="AE593" s="165">
        <f ca="1">IMSS[[#This Row],[P TOTAL]]+IMSS[[#This Row],[O TOTAL]]</f>
        <v>2780.9036136986301</v>
      </c>
      <c r="AF593" s="163"/>
      <c r="AG593" s="163">
        <f>VLOOKUP(IMSS[[#This Row],[SUE MENS]],$AG$110:$AJ$120,1,1)</f>
        <v>5470.93</v>
      </c>
      <c r="AH593" s="163">
        <f>IMSS[[#This Row],[SUE MENS]]-IMSS[[#This Row],[LIM INF]]</f>
        <v>3979.0699999999997</v>
      </c>
      <c r="AI593" s="163">
        <f>IMSS[[#This Row],[EXC LIM INF]]*(VLOOKUP(IMSS[[#This Row],[LIM INF]],$AG$110:$AJ$120,4,0))</f>
        <v>432.92281600000001</v>
      </c>
      <c r="AJ593" s="163">
        <f>VLOOKUP(IMSS[[#This Row],[LIM INF]],$AG$110:$AJ$120,3)</f>
        <v>321.26</v>
      </c>
      <c r="AK593" s="163">
        <f>SUM(IMSS[[#This Row],[TASA EXC]]+IMSS[[#This Row],[CUOTA FIJA]])</f>
        <v>754.182816</v>
      </c>
      <c r="AL593" s="163">
        <f>VLOOKUP(IMSS[[#This Row],[SUE MENS]],$AL$110:$AN$120,3,1)</f>
        <v>0</v>
      </c>
      <c r="AM593" s="248">
        <f>IF(IMSS[[#This Row],[ISR CARGO]]-IMSS[[#This Row],[SUBS ISR]]&gt;0,IMSS[[#This Row],[ISR CARGO]]-IMSS[[#This Row],[SUBS ISR]],0)</f>
        <v>754.182816</v>
      </c>
      <c r="AN593" s="248">
        <f>IF(IMSS[[#This Row],[SUBS ISR]]-IMSS[[#This Row],[ISR CARGO]]&gt;0,IMSS[[#This Row],[SUBS ISR]]-IMSS[[#This Row],[ISR CARGO]],0)</f>
        <v>0</v>
      </c>
    </row>
    <row r="594" spans="3:40" ht="15" hidden="1" customHeight="1" x14ac:dyDescent="0.25">
      <c r="C594" s="243">
        <v>712</v>
      </c>
      <c r="D594" s="167" t="str">
        <f>VLOOKUP(IMSS[[#This Row],[NEM]],BDD[],2,0)</f>
        <v>Daniel Alejandro Rojo Berlanga</v>
      </c>
      <c r="E594" s="167" t="str">
        <f>VLOOKUP(IMSS[[#This Row],[NEM]],BDD[],9,0)</f>
        <v>MATERIALES</v>
      </c>
      <c r="F594" s="168">
        <v>30</v>
      </c>
      <c r="G594" s="139">
        <f>VLOOKUP(IMSS[[#This Row],[NEM]],BDD[],3,0)</f>
        <v>27150</v>
      </c>
      <c r="H594" s="139">
        <f ca="1">VLOOKUP(IMSS[[#This Row],[NEM]],BDD[],25,0)</f>
        <v>991.78082191780811</v>
      </c>
      <c r="I594" s="143">
        <f>VLOOKUP(IMSS[[#This Row],[DEPT]],$B$3:$G$49,6,0)</f>
        <v>4.6532499999999997E-2</v>
      </c>
      <c r="J594" s="163">
        <f ca="1">IMSS[[#This Row],[DIAS LAB]]*IMSS[[#This Row],[SDI]]*IMSS[[#This Row],[% RSG]]*$Q$108</f>
        <v>1384.501232876712</v>
      </c>
      <c r="K594" s="163">
        <f>IMSS[[#This Row],[DIAS LAB]]*$J$110*$Q$109</f>
        <v>548.47440000000006</v>
      </c>
      <c r="L594" s="166">
        <f ca="1">IMSS[[#This Row],[DIAS LAB]]*IF(IMSS[[#This Row],[SDI]]-$J$113&gt;0,IMSS[[#This Row],[SDI]]-$J$113,0)*$Q$110</f>
        <v>238.56387123287666</v>
      </c>
      <c r="M594" s="166">
        <f ca="1">IMSS[[#This Row],[DIAS LAB]]*IMSS[[#This Row],[SDI]]*$Q$111</f>
        <v>312.41095890410958</v>
      </c>
      <c r="N594" s="163">
        <f ca="1">IMSS[[#This Row],[DIAS LAB]]*IMSS[[#This Row],[SDI]]*$Q$112</f>
        <v>208.27397260273972</v>
      </c>
      <c r="O594" s="166">
        <f ca="1">IMSS[[#This Row],[DIAS LAB]]*IMSS[[#This Row],[SDI]]*$Q$113</f>
        <v>520.68493150684935</v>
      </c>
      <c r="P594" s="163">
        <f ca="1">IMSS[[#This Row],[DIAS LAB]]*IMSS[[#This Row],[SDI]]*$Q$114</f>
        <v>297.53424657534242</v>
      </c>
      <c r="Q594" s="166">
        <f ca="1">IMSS[[#This Row],[DIAS LAB]]*IMSS[[#This Row],[SDI]]*$Q$115</f>
        <v>595.06849315068484</v>
      </c>
      <c r="R594" s="163">
        <f ca="1">IMSS[[#This Row],[DIAS LAB]]*IMSS[[#This Row],[SDI]]*$Q$116</f>
        <v>937.23287671232868</v>
      </c>
      <c r="S594" s="163">
        <f ca="1">IMSS[[#This Row],[DIAS LAB]]*IMSS[[#This Row],[SDI]]*$Q$117</f>
        <v>1487.6712328767123</v>
      </c>
      <c r="T594" s="164">
        <f ca="1">SUM(IMSS[[#This Row],[P RSG TRB]:[P INFONAVIT]])</f>
        <v>6530.416216438357</v>
      </c>
      <c r="U594" s="163">
        <f ca="1">IMSS[[#This Row],[DIAS LAB]]*IMSS[[#This Row],[SDI]]*IMSS[[#This Row],[% RSG]]*$R$108</f>
        <v>0</v>
      </c>
      <c r="V594" s="163">
        <f ca="1">IMSS[[#This Row],[DIAS LAB]]*IMSS[[#This Row],[SDI]]*$R$112</f>
        <v>74.383561643835606</v>
      </c>
      <c r="W594" s="163"/>
      <c r="X594" s="163">
        <f ca="1">IMSS[[#This Row],[DIAS LAB]]*IMSS[[#This Row],[SDI]]*$R$113</f>
        <v>187.44657534246574</v>
      </c>
      <c r="Y594" s="163">
        <f ca="1">IMSS[[#This Row],[DIAS LAB]]*IMSS[[#This Row],[SDI]]*$R$114</f>
        <v>0</v>
      </c>
      <c r="Z594" s="163">
        <f ca="1">IMSS[[#This Row],[DIAS LAB]]*IMSS[[#This Row],[SDI]]*$R$115</f>
        <v>0</v>
      </c>
      <c r="AA594" s="163">
        <f ca="1">IMSS[[#This Row],[DIAS LAB]]*IMSS[[#This Row],[SDI]]*$R$116</f>
        <v>336.21369863013695</v>
      </c>
      <c r="AB594" s="163">
        <f ca="1">IMSS[[#This Row],[DIAS LAB]]*IMSS[[#This Row],[SDI]]*$R$117</f>
        <v>0</v>
      </c>
      <c r="AC594" s="247">
        <f ca="1">SUM(IMSS[[#This Row],[O RSG TRB]:[O INFONAVIT]])</f>
        <v>598.04383561643829</v>
      </c>
      <c r="AD594" s="163"/>
      <c r="AE594" s="165">
        <f ca="1">IMSS[[#This Row],[P TOTAL]]+IMSS[[#This Row],[O TOTAL]]</f>
        <v>7128.4600520547956</v>
      </c>
      <c r="AF594" s="163"/>
      <c r="AG594" s="163">
        <f>VLOOKUP(IMSS[[#This Row],[SUE MENS]],$AG$110:$AJ$120,1,1)</f>
        <v>26988.51</v>
      </c>
      <c r="AH594" s="163">
        <f>IMSS[[#This Row],[SUE MENS]]-IMSS[[#This Row],[LIM INF]]</f>
        <v>161.4900000000016</v>
      </c>
      <c r="AI594" s="163">
        <f>IMSS[[#This Row],[EXC LIM INF]]*(VLOOKUP(IMSS[[#This Row],[LIM INF]],$AG$110:$AJ$120,4,0))</f>
        <v>37.982448000000375</v>
      </c>
      <c r="AJ594" s="163">
        <f>VLOOKUP(IMSS[[#This Row],[LIM INF]],$AG$110:$AJ$120,3)</f>
        <v>4323.58</v>
      </c>
      <c r="AK594" s="163">
        <f>SUM(IMSS[[#This Row],[TASA EXC]]+IMSS[[#This Row],[CUOTA FIJA]])</f>
        <v>4361.5624480000006</v>
      </c>
      <c r="AL594" s="163">
        <f>VLOOKUP(IMSS[[#This Row],[SUE MENS]],$AL$110:$AN$120,3,1)</f>
        <v>0</v>
      </c>
      <c r="AM594" s="248">
        <f>IF(IMSS[[#This Row],[ISR CARGO]]-IMSS[[#This Row],[SUBS ISR]]&gt;0,IMSS[[#This Row],[ISR CARGO]]-IMSS[[#This Row],[SUBS ISR]],0)</f>
        <v>4361.5624480000006</v>
      </c>
      <c r="AN594" s="248">
        <f>IF(IMSS[[#This Row],[SUBS ISR]]-IMSS[[#This Row],[ISR CARGO]]&gt;0,IMSS[[#This Row],[SUBS ISR]]-IMSS[[#This Row],[ISR CARGO]],0)</f>
        <v>0</v>
      </c>
    </row>
    <row r="595" spans="3:40" ht="15" hidden="1" customHeight="1" x14ac:dyDescent="0.25">
      <c r="C595" s="243">
        <v>713</v>
      </c>
      <c r="D595" s="167" t="str">
        <f>VLOOKUP(IMSS[[#This Row],[NEM]],BDD[],2,0)</f>
        <v>Daniela Alejandra Delgado Domínguez</v>
      </c>
      <c r="E595" s="167" t="str">
        <f>VLOOKUP(IMSS[[#This Row],[NEM]],BDD[],9,0)</f>
        <v>AUDIT PROY</v>
      </c>
      <c r="F595" s="168">
        <v>30</v>
      </c>
      <c r="G595" s="139">
        <f>VLOOKUP(IMSS[[#This Row],[NEM]],BDD[],3,0)</f>
        <v>7445</v>
      </c>
      <c r="H595" s="139">
        <f ca="1">VLOOKUP(IMSS[[#This Row],[NEM]],BDD[],25,0)</f>
        <v>271.96347031963467</v>
      </c>
      <c r="I595" s="143">
        <f>VLOOKUP(IMSS[[#This Row],[DEPT]],$B$3:$G$49,6,0)</f>
        <v>1.130658E-2</v>
      </c>
      <c r="J595" s="163">
        <f ca="1">IMSS[[#This Row],[DIAS LAB]]*IMSS[[#This Row],[SDI]]*IMSS[[#This Row],[% RSG]]*$Q$108</f>
        <v>92.249302027397249</v>
      </c>
      <c r="K595" s="163">
        <f>IMSS[[#This Row],[DIAS LAB]]*$J$110*$Q$109</f>
        <v>548.47440000000006</v>
      </c>
      <c r="L595" s="166">
        <f ca="1">IMSS[[#This Row],[DIAS LAB]]*IF(IMSS[[#This Row],[SDI]]-$J$113&gt;0,IMSS[[#This Row],[SDI]]-$J$113,0)*$Q$110</f>
        <v>1.0241452054794353</v>
      </c>
      <c r="M595" s="166">
        <f ca="1">IMSS[[#This Row],[DIAS LAB]]*IMSS[[#This Row],[SDI]]*$Q$111</f>
        <v>85.668493150684924</v>
      </c>
      <c r="N595" s="163">
        <f ca="1">IMSS[[#This Row],[DIAS LAB]]*IMSS[[#This Row],[SDI]]*$Q$112</f>
        <v>57.11232876712328</v>
      </c>
      <c r="O595" s="166">
        <f ca="1">IMSS[[#This Row],[DIAS LAB]]*IMSS[[#This Row],[SDI]]*$Q$113</f>
        <v>142.7808219178082</v>
      </c>
      <c r="P595" s="163">
        <f ca="1">IMSS[[#This Row],[DIAS LAB]]*IMSS[[#This Row],[SDI]]*$Q$114</f>
        <v>81.589041095890394</v>
      </c>
      <c r="Q595" s="166">
        <f ca="1">IMSS[[#This Row],[DIAS LAB]]*IMSS[[#This Row],[SDI]]*$Q$115</f>
        <v>163.17808219178079</v>
      </c>
      <c r="R595" s="163">
        <f ca="1">IMSS[[#This Row],[DIAS LAB]]*IMSS[[#This Row],[SDI]]*$Q$116</f>
        <v>257.00547945205477</v>
      </c>
      <c r="S595" s="163">
        <f ca="1">IMSS[[#This Row],[DIAS LAB]]*IMSS[[#This Row],[SDI]]*$Q$117</f>
        <v>407.945205479452</v>
      </c>
      <c r="T595" s="164">
        <f ca="1">SUM(IMSS[[#This Row],[P RSG TRB]:[P INFONAVIT]])</f>
        <v>1837.027299287671</v>
      </c>
      <c r="U595" s="163">
        <f ca="1">IMSS[[#This Row],[DIAS LAB]]*IMSS[[#This Row],[SDI]]*IMSS[[#This Row],[% RSG]]*$R$108</f>
        <v>0</v>
      </c>
      <c r="V595" s="163">
        <f ca="1">IMSS[[#This Row],[DIAS LAB]]*IMSS[[#This Row],[SDI]]*$R$112</f>
        <v>20.397260273972599</v>
      </c>
      <c r="W595" s="163"/>
      <c r="X595" s="163">
        <f ca="1">IMSS[[#This Row],[DIAS LAB]]*IMSS[[#This Row],[SDI]]*$R$113</f>
        <v>51.40109589041095</v>
      </c>
      <c r="Y595" s="163">
        <f ca="1">IMSS[[#This Row],[DIAS LAB]]*IMSS[[#This Row],[SDI]]*$R$114</f>
        <v>0</v>
      </c>
      <c r="Z595" s="163">
        <f ca="1">IMSS[[#This Row],[DIAS LAB]]*IMSS[[#This Row],[SDI]]*$R$115</f>
        <v>0</v>
      </c>
      <c r="AA595" s="163">
        <f ca="1">IMSS[[#This Row],[DIAS LAB]]*IMSS[[#This Row],[SDI]]*$R$116</f>
        <v>92.19561643835614</v>
      </c>
      <c r="AB595" s="163">
        <f ca="1">IMSS[[#This Row],[DIAS LAB]]*IMSS[[#This Row],[SDI]]*$R$117</f>
        <v>0</v>
      </c>
      <c r="AC595" s="247">
        <f ca="1">SUM(IMSS[[#This Row],[O RSG TRB]:[O INFONAVIT]])</f>
        <v>163.99397260273969</v>
      </c>
      <c r="AD595" s="163"/>
      <c r="AE595" s="165">
        <f ca="1">IMSS[[#This Row],[P TOTAL]]+IMSS[[#This Row],[O TOTAL]]</f>
        <v>2001.0212718904106</v>
      </c>
      <c r="AF595" s="163"/>
      <c r="AG595" s="163">
        <f>VLOOKUP(IMSS[[#This Row],[SUE MENS]],$AG$110:$AJ$120,1,1)</f>
        <v>5470.93</v>
      </c>
      <c r="AH595" s="163">
        <f>IMSS[[#This Row],[SUE MENS]]-IMSS[[#This Row],[LIM INF]]</f>
        <v>1974.0699999999997</v>
      </c>
      <c r="AI595" s="163">
        <f>IMSS[[#This Row],[EXC LIM INF]]*(VLOOKUP(IMSS[[#This Row],[LIM INF]],$AG$110:$AJ$120,4,0))</f>
        <v>214.77881599999998</v>
      </c>
      <c r="AJ595" s="163">
        <f>VLOOKUP(IMSS[[#This Row],[LIM INF]],$AG$110:$AJ$120,3)</f>
        <v>321.26</v>
      </c>
      <c r="AK595" s="163">
        <f>SUM(IMSS[[#This Row],[TASA EXC]]+IMSS[[#This Row],[CUOTA FIJA]])</f>
        <v>536.038816</v>
      </c>
      <c r="AL595" s="163">
        <f>VLOOKUP(IMSS[[#This Row],[SUE MENS]],$AL$110:$AN$120,3,1)</f>
        <v>0</v>
      </c>
      <c r="AM595" s="248">
        <f>IF(IMSS[[#This Row],[ISR CARGO]]-IMSS[[#This Row],[SUBS ISR]]&gt;0,IMSS[[#This Row],[ISR CARGO]]-IMSS[[#This Row],[SUBS ISR]],0)</f>
        <v>536.038816</v>
      </c>
      <c r="AN595" s="248">
        <f>IF(IMSS[[#This Row],[SUBS ISR]]-IMSS[[#This Row],[ISR CARGO]]&gt;0,IMSS[[#This Row],[SUBS ISR]]-IMSS[[#This Row],[ISR CARGO]],0)</f>
        <v>0</v>
      </c>
    </row>
    <row r="596" spans="3:40" ht="15" hidden="1" customHeight="1" x14ac:dyDescent="0.25">
      <c r="C596" s="243">
        <v>714</v>
      </c>
      <c r="D596" s="167" t="str">
        <f>VLOOKUP(IMSS[[#This Row],[NEM]],BDD[],2,0)</f>
        <v>Damaris Michelle Ambriz Ruiz</v>
      </c>
      <c r="E596" s="167" t="str">
        <f>VLOOKUP(IMSS[[#This Row],[NEM]],BDD[],9,0)</f>
        <v>AUDIT PROY</v>
      </c>
      <c r="F596" s="168">
        <v>30</v>
      </c>
      <c r="G596" s="139">
        <f>VLOOKUP(IMSS[[#This Row],[NEM]],BDD[],3,0)</f>
        <v>7445</v>
      </c>
      <c r="H596" s="139">
        <f ca="1">VLOOKUP(IMSS[[#This Row],[NEM]],BDD[],25,0)</f>
        <v>271.96347031963467</v>
      </c>
      <c r="I596" s="143">
        <f>VLOOKUP(IMSS[[#This Row],[DEPT]],$B$3:$G$49,6,0)</f>
        <v>1.130658E-2</v>
      </c>
      <c r="J596" s="163">
        <f ca="1">IMSS[[#This Row],[DIAS LAB]]*IMSS[[#This Row],[SDI]]*IMSS[[#This Row],[% RSG]]*$Q$108</f>
        <v>92.249302027397249</v>
      </c>
      <c r="K596" s="163">
        <f>IMSS[[#This Row],[DIAS LAB]]*$J$110*$Q$109</f>
        <v>548.47440000000006</v>
      </c>
      <c r="L596" s="166">
        <f ca="1">IMSS[[#This Row],[DIAS LAB]]*IF(IMSS[[#This Row],[SDI]]-$J$113&gt;0,IMSS[[#This Row],[SDI]]-$J$113,0)*$Q$110</f>
        <v>1.0241452054794353</v>
      </c>
      <c r="M596" s="166">
        <f ca="1">IMSS[[#This Row],[DIAS LAB]]*IMSS[[#This Row],[SDI]]*$Q$111</f>
        <v>85.668493150684924</v>
      </c>
      <c r="N596" s="163">
        <f ca="1">IMSS[[#This Row],[DIAS LAB]]*IMSS[[#This Row],[SDI]]*$Q$112</f>
        <v>57.11232876712328</v>
      </c>
      <c r="O596" s="166">
        <f ca="1">IMSS[[#This Row],[DIAS LAB]]*IMSS[[#This Row],[SDI]]*$Q$113</f>
        <v>142.7808219178082</v>
      </c>
      <c r="P596" s="163">
        <f ca="1">IMSS[[#This Row],[DIAS LAB]]*IMSS[[#This Row],[SDI]]*$Q$114</f>
        <v>81.589041095890394</v>
      </c>
      <c r="Q596" s="166">
        <f ca="1">IMSS[[#This Row],[DIAS LAB]]*IMSS[[#This Row],[SDI]]*$Q$115</f>
        <v>163.17808219178079</v>
      </c>
      <c r="R596" s="163">
        <f ca="1">IMSS[[#This Row],[DIAS LAB]]*IMSS[[#This Row],[SDI]]*$Q$116</f>
        <v>257.00547945205477</v>
      </c>
      <c r="S596" s="163">
        <f ca="1">IMSS[[#This Row],[DIAS LAB]]*IMSS[[#This Row],[SDI]]*$Q$117</f>
        <v>407.945205479452</v>
      </c>
      <c r="T596" s="164">
        <f ca="1">SUM(IMSS[[#This Row],[P RSG TRB]:[P INFONAVIT]])</f>
        <v>1837.027299287671</v>
      </c>
      <c r="U596" s="163">
        <f ca="1">IMSS[[#This Row],[DIAS LAB]]*IMSS[[#This Row],[SDI]]*IMSS[[#This Row],[% RSG]]*$R$108</f>
        <v>0</v>
      </c>
      <c r="V596" s="163">
        <f ca="1">IMSS[[#This Row],[DIAS LAB]]*IMSS[[#This Row],[SDI]]*$R$112</f>
        <v>20.397260273972599</v>
      </c>
      <c r="W596" s="163"/>
      <c r="X596" s="163">
        <f ca="1">IMSS[[#This Row],[DIAS LAB]]*IMSS[[#This Row],[SDI]]*$R$113</f>
        <v>51.40109589041095</v>
      </c>
      <c r="Y596" s="163">
        <f ca="1">IMSS[[#This Row],[DIAS LAB]]*IMSS[[#This Row],[SDI]]*$R$114</f>
        <v>0</v>
      </c>
      <c r="Z596" s="163">
        <f ca="1">IMSS[[#This Row],[DIAS LAB]]*IMSS[[#This Row],[SDI]]*$R$115</f>
        <v>0</v>
      </c>
      <c r="AA596" s="163">
        <f ca="1">IMSS[[#This Row],[DIAS LAB]]*IMSS[[#This Row],[SDI]]*$R$116</f>
        <v>92.19561643835614</v>
      </c>
      <c r="AB596" s="163">
        <f ca="1">IMSS[[#This Row],[DIAS LAB]]*IMSS[[#This Row],[SDI]]*$R$117</f>
        <v>0</v>
      </c>
      <c r="AC596" s="247">
        <f ca="1">SUM(IMSS[[#This Row],[O RSG TRB]:[O INFONAVIT]])</f>
        <v>163.99397260273969</v>
      </c>
      <c r="AD596" s="163"/>
      <c r="AE596" s="165">
        <f ca="1">IMSS[[#This Row],[P TOTAL]]+IMSS[[#This Row],[O TOTAL]]</f>
        <v>2001.0212718904106</v>
      </c>
      <c r="AF596" s="163"/>
      <c r="AG596" s="163">
        <f>VLOOKUP(IMSS[[#This Row],[SUE MENS]],$AG$110:$AJ$120,1,1)</f>
        <v>5470.93</v>
      </c>
      <c r="AH596" s="163">
        <f>IMSS[[#This Row],[SUE MENS]]-IMSS[[#This Row],[LIM INF]]</f>
        <v>1974.0699999999997</v>
      </c>
      <c r="AI596" s="163">
        <f>IMSS[[#This Row],[EXC LIM INF]]*(VLOOKUP(IMSS[[#This Row],[LIM INF]],$AG$110:$AJ$120,4,0))</f>
        <v>214.77881599999998</v>
      </c>
      <c r="AJ596" s="163">
        <f>VLOOKUP(IMSS[[#This Row],[LIM INF]],$AG$110:$AJ$120,3)</f>
        <v>321.26</v>
      </c>
      <c r="AK596" s="163">
        <f>SUM(IMSS[[#This Row],[TASA EXC]]+IMSS[[#This Row],[CUOTA FIJA]])</f>
        <v>536.038816</v>
      </c>
      <c r="AL596" s="163">
        <f>VLOOKUP(IMSS[[#This Row],[SUE MENS]],$AL$110:$AN$120,3,1)</f>
        <v>0</v>
      </c>
      <c r="AM596" s="248">
        <f>IF(IMSS[[#This Row],[ISR CARGO]]-IMSS[[#This Row],[SUBS ISR]]&gt;0,IMSS[[#This Row],[ISR CARGO]]-IMSS[[#This Row],[SUBS ISR]],0)</f>
        <v>536.038816</v>
      </c>
      <c r="AN596" s="248">
        <f>IF(IMSS[[#This Row],[SUBS ISR]]-IMSS[[#This Row],[ISR CARGO]]&gt;0,IMSS[[#This Row],[SUBS ISR]]-IMSS[[#This Row],[ISR CARGO]],0)</f>
        <v>0</v>
      </c>
    </row>
    <row r="597" spans="3:40" ht="15" hidden="1" customHeight="1" x14ac:dyDescent="0.25">
      <c r="C597" s="243">
        <v>715</v>
      </c>
      <c r="D597" s="167" t="str">
        <f>VLOOKUP(IMSS[[#This Row],[NEM]],BDD[],2,0)</f>
        <v>Perla Yamileth García Olivo</v>
      </c>
      <c r="E597" s="167" t="str">
        <f>VLOOKUP(IMSS[[#This Row],[NEM]],BDD[],9,0)</f>
        <v>FACTURAS</v>
      </c>
      <c r="F597" s="168">
        <v>30</v>
      </c>
      <c r="G597" s="139">
        <f>VLOOKUP(IMSS[[#This Row],[NEM]],BDD[],3,0)</f>
        <v>27150</v>
      </c>
      <c r="H597" s="139">
        <f ca="1">VLOOKUP(IMSS[[#This Row],[NEM]],BDD[],25,0)</f>
        <v>991.78082191780811</v>
      </c>
      <c r="I597" s="143">
        <f>VLOOKUP(IMSS[[#This Row],[DEPT]],$B$3:$G$49,6,0)</f>
        <v>5.4355000000000002E-3</v>
      </c>
      <c r="J597" s="163">
        <f ca="1">IMSS[[#This Row],[DIAS LAB]]*IMSS[[#This Row],[SDI]]*IMSS[[#This Row],[% RSG]]*$Q$108</f>
        <v>161.72473972602739</v>
      </c>
      <c r="K597" s="163">
        <f>IMSS[[#This Row],[DIAS LAB]]*$J$110*$Q$109</f>
        <v>548.47440000000006</v>
      </c>
      <c r="L597" s="166">
        <f ca="1">IMSS[[#This Row],[DIAS LAB]]*IF(IMSS[[#This Row],[SDI]]-$J$113&gt;0,IMSS[[#This Row],[SDI]]-$J$113,0)*$Q$110</f>
        <v>238.56387123287666</v>
      </c>
      <c r="M597" s="166">
        <f ca="1">IMSS[[#This Row],[DIAS LAB]]*IMSS[[#This Row],[SDI]]*$Q$111</f>
        <v>312.41095890410958</v>
      </c>
      <c r="N597" s="163">
        <f ca="1">IMSS[[#This Row],[DIAS LAB]]*IMSS[[#This Row],[SDI]]*$Q$112</f>
        <v>208.27397260273972</v>
      </c>
      <c r="O597" s="166">
        <f ca="1">IMSS[[#This Row],[DIAS LAB]]*IMSS[[#This Row],[SDI]]*$Q$113</f>
        <v>520.68493150684935</v>
      </c>
      <c r="P597" s="163">
        <f ca="1">IMSS[[#This Row],[DIAS LAB]]*IMSS[[#This Row],[SDI]]*$Q$114</f>
        <v>297.53424657534242</v>
      </c>
      <c r="Q597" s="166">
        <f ca="1">IMSS[[#This Row],[DIAS LAB]]*IMSS[[#This Row],[SDI]]*$Q$115</f>
        <v>595.06849315068484</v>
      </c>
      <c r="R597" s="163">
        <f ca="1">IMSS[[#This Row],[DIAS LAB]]*IMSS[[#This Row],[SDI]]*$Q$116</f>
        <v>937.23287671232868</v>
      </c>
      <c r="S597" s="163">
        <f ca="1">IMSS[[#This Row],[DIAS LAB]]*IMSS[[#This Row],[SDI]]*$Q$117</f>
        <v>1487.6712328767123</v>
      </c>
      <c r="T597" s="164">
        <f ca="1">SUM(IMSS[[#This Row],[P RSG TRB]:[P INFONAVIT]])</f>
        <v>5307.6397232876707</v>
      </c>
      <c r="U597" s="163">
        <f ca="1">IMSS[[#This Row],[DIAS LAB]]*IMSS[[#This Row],[SDI]]*IMSS[[#This Row],[% RSG]]*$R$108</f>
        <v>0</v>
      </c>
      <c r="V597" s="163">
        <f ca="1">IMSS[[#This Row],[DIAS LAB]]*IMSS[[#This Row],[SDI]]*$R$112</f>
        <v>74.383561643835606</v>
      </c>
      <c r="W597" s="163"/>
      <c r="X597" s="163">
        <f ca="1">IMSS[[#This Row],[DIAS LAB]]*IMSS[[#This Row],[SDI]]*$R$113</f>
        <v>187.44657534246574</v>
      </c>
      <c r="Y597" s="163">
        <f ca="1">IMSS[[#This Row],[DIAS LAB]]*IMSS[[#This Row],[SDI]]*$R$114</f>
        <v>0</v>
      </c>
      <c r="Z597" s="163">
        <f ca="1">IMSS[[#This Row],[DIAS LAB]]*IMSS[[#This Row],[SDI]]*$R$115</f>
        <v>0</v>
      </c>
      <c r="AA597" s="163">
        <f ca="1">IMSS[[#This Row],[DIAS LAB]]*IMSS[[#This Row],[SDI]]*$R$116</f>
        <v>336.21369863013695</v>
      </c>
      <c r="AB597" s="163">
        <f ca="1">IMSS[[#This Row],[DIAS LAB]]*IMSS[[#This Row],[SDI]]*$R$117</f>
        <v>0</v>
      </c>
      <c r="AC597" s="247">
        <f ca="1">SUM(IMSS[[#This Row],[O RSG TRB]:[O INFONAVIT]])</f>
        <v>598.04383561643829</v>
      </c>
      <c r="AD597" s="163"/>
      <c r="AE597" s="165">
        <f ca="1">IMSS[[#This Row],[P TOTAL]]+IMSS[[#This Row],[O TOTAL]]</f>
        <v>5905.6835589041093</v>
      </c>
      <c r="AF597" s="163"/>
      <c r="AG597" s="163">
        <f>VLOOKUP(IMSS[[#This Row],[SUE MENS]],$AG$110:$AJ$120,1,1)</f>
        <v>26988.51</v>
      </c>
      <c r="AH597" s="163">
        <f>IMSS[[#This Row],[SUE MENS]]-IMSS[[#This Row],[LIM INF]]</f>
        <v>161.4900000000016</v>
      </c>
      <c r="AI597" s="163">
        <f>IMSS[[#This Row],[EXC LIM INF]]*(VLOOKUP(IMSS[[#This Row],[LIM INF]],$AG$110:$AJ$120,4,0))</f>
        <v>37.982448000000375</v>
      </c>
      <c r="AJ597" s="163">
        <f>VLOOKUP(IMSS[[#This Row],[LIM INF]],$AG$110:$AJ$120,3)</f>
        <v>4323.58</v>
      </c>
      <c r="AK597" s="163">
        <f>SUM(IMSS[[#This Row],[TASA EXC]]+IMSS[[#This Row],[CUOTA FIJA]])</f>
        <v>4361.5624480000006</v>
      </c>
      <c r="AL597" s="163">
        <f>VLOOKUP(IMSS[[#This Row],[SUE MENS]],$AL$110:$AN$120,3,1)</f>
        <v>0</v>
      </c>
      <c r="AM597" s="248">
        <f>IF(IMSS[[#This Row],[ISR CARGO]]-IMSS[[#This Row],[SUBS ISR]]&gt;0,IMSS[[#This Row],[ISR CARGO]]-IMSS[[#This Row],[SUBS ISR]],0)</f>
        <v>4361.5624480000006</v>
      </c>
      <c r="AN597" s="248">
        <f>IF(IMSS[[#This Row],[SUBS ISR]]-IMSS[[#This Row],[ISR CARGO]]&gt;0,IMSS[[#This Row],[SUBS ISR]]-IMSS[[#This Row],[ISR CARGO]],0)</f>
        <v>0</v>
      </c>
    </row>
    <row r="598" spans="3:40" ht="15" hidden="1" customHeight="1" x14ac:dyDescent="0.25">
      <c r="C598" s="243">
        <v>716</v>
      </c>
      <c r="D598" s="167" t="str">
        <f>VLOOKUP(IMSS[[#This Row],[NEM]],BDD[],2,0)</f>
        <v>Humberto Pacheco Cabrera</v>
      </c>
      <c r="E598" s="167" t="str">
        <f>VLOOKUP(IMSS[[#This Row],[NEM]],BDD[],9,0)</f>
        <v>ESTRUCTURA</v>
      </c>
      <c r="F598" s="168">
        <v>30</v>
      </c>
      <c r="G598" s="139">
        <f>VLOOKUP(IMSS[[#This Row],[NEM]],BDD[],3,0)</f>
        <v>9450</v>
      </c>
      <c r="H598" s="139">
        <f ca="1">VLOOKUP(IMSS[[#This Row],[NEM]],BDD[],25,0)</f>
        <v>345.20547945205476</v>
      </c>
      <c r="I598" s="143">
        <f>VLOOKUP(IMSS[[#This Row],[DEPT]],$B$3:$G$49,6,0)</f>
        <v>2.5984400000000001E-2</v>
      </c>
      <c r="J598" s="163">
        <f ca="1">IMSS[[#This Row],[DIAS LAB]]*IMSS[[#This Row],[SDI]]*IMSS[[#This Row],[% RSG]]*$Q$108</f>
        <v>269.09871780821919</v>
      </c>
      <c r="K598" s="163">
        <f>IMSS[[#This Row],[DIAS LAB]]*$J$110*$Q$109</f>
        <v>548.47440000000006</v>
      </c>
      <c r="L598" s="166">
        <f ca="1">IMSS[[#This Row],[DIAS LAB]]*IF(IMSS[[#This Row],[SDI]]-$J$113&gt;0,IMSS[[#This Row],[SDI]]-$J$113,0)*$Q$110</f>
        <v>25.194008219178063</v>
      </c>
      <c r="M598" s="166">
        <f ca="1">IMSS[[#This Row],[DIAS LAB]]*IMSS[[#This Row],[SDI]]*$Q$111</f>
        <v>108.73972602739727</v>
      </c>
      <c r="N598" s="163">
        <f ca="1">IMSS[[#This Row],[DIAS LAB]]*IMSS[[#This Row],[SDI]]*$Q$112</f>
        <v>72.493150684931507</v>
      </c>
      <c r="O598" s="166">
        <f ca="1">IMSS[[#This Row],[DIAS LAB]]*IMSS[[#This Row],[SDI]]*$Q$113</f>
        <v>181.23287671232876</v>
      </c>
      <c r="P598" s="163">
        <f ca="1">IMSS[[#This Row],[DIAS LAB]]*IMSS[[#This Row],[SDI]]*$Q$114</f>
        <v>103.56164383561644</v>
      </c>
      <c r="Q598" s="166">
        <f ca="1">IMSS[[#This Row],[DIAS LAB]]*IMSS[[#This Row],[SDI]]*$Q$115</f>
        <v>207.12328767123287</v>
      </c>
      <c r="R598" s="163">
        <f ca="1">IMSS[[#This Row],[DIAS LAB]]*IMSS[[#This Row],[SDI]]*$Q$116</f>
        <v>326.21917808219177</v>
      </c>
      <c r="S598" s="163">
        <f ca="1">IMSS[[#This Row],[DIAS LAB]]*IMSS[[#This Row],[SDI]]*$Q$117</f>
        <v>517.80821917808214</v>
      </c>
      <c r="T598" s="164">
        <f ca="1">SUM(IMSS[[#This Row],[P RSG TRB]:[P INFONAVIT]])</f>
        <v>2359.9452082191783</v>
      </c>
      <c r="U598" s="163">
        <f ca="1">IMSS[[#This Row],[DIAS LAB]]*IMSS[[#This Row],[SDI]]*IMSS[[#This Row],[% RSG]]*$R$108</f>
        <v>0</v>
      </c>
      <c r="V598" s="163">
        <f ca="1">IMSS[[#This Row],[DIAS LAB]]*IMSS[[#This Row],[SDI]]*$R$112</f>
        <v>25.890410958904109</v>
      </c>
      <c r="W598" s="163"/>
      <c r="X598" s="163">
        <f ca="1">IMSS[[#This Row],[DIAS LAB]]*IMSS[[#This Row],[SDI]]*$R$113</f>
        <v>65.243835616438346</v>
      </c>
      <c r="Y598" s="163">
        <f ca="1">IMSS[[#This Row],[DIAS LAB]]*IMSS[[#This Row],[SDI]]*$R$114</f>
        <v>0</v>
      </c>
      <c r="Z598" s="163">
        <f ca="1">IMSS[[#This Row],[DIAS LAB]]*IMSS[[#This Row],[SDI]]*$R$115</f>
        <v>0</v>
      </c>
      <c r="AA598" s="163">
        <f ca="1">IMSS[[#This Row],[DIAS LAB]]*IMSS[[#This Row],[SDI]]*$R$116</f>
        <v>117.02465753424656</v>
      </c>
      <c r="AB598" s="163">
        <f ca="1">IMSS[[#This Row],[DIAS LAB]]*IMSS[[#This Row],[SDI]]*$R$117</f>
        <v>0</v>
      </c>
      <c r="AC598" s="247">
        <f ca="1">SUM(IMSS[[#This Row],[O RSG TRB]:[O INFONAVIT]])</f>
        <v>208.158904109589</v>
      </c>
      <c r="AD598" s="163"/>
      <c r="AE598" s="165">
        <f ca="1">IMSS[[#This Row],[P TOTAL]]+IMSS[[#This Row],[O TOTAL]]</f>
        <v>2568.1041123287673</v>
      </c>
      <c r="AF598" s="163"/>
      <c r="AG598" s="163">
        <f>VLOOKUP(IMSS[[#This Row],[SUE MENS]],$AG$110:$AJ$120,1,1)</f>
        <v>5470.93</v>
      </c>
      <c r="AH598" s="163">
        <f>IMSS[[#This Row],[SUE MENS]]-IMSS[[#This Row],[LIM INF]]</f>
        <v>3979.0699999999997</v>
      </c>
      <c r="AI598" s="163">
        <f>IMSS[[#This Row],[EXC LIM INF]]*(VLOOKUP(IMSS[[#This Row],[LIM INF]],$AG$110:$AJ$120,4,0))</f>
        <v>432.92281600000001</v>
      </c>
      <c r="AJ598" s="163">
        <f>VLOOKUP(IMSS[[#This Row],[LIM INF]],$AG$110:$AJ$120,3)</f>
        <v>321.26</v>
      </c>
      <c r="AK598" s="163">
        <f>SUM(IMSS[[#This Row],[TASA EXC]]+IMSS[[#This Row],[CUOTA FIJA]])</f>
        <v>754.182816</v>
      </c>
      <c r="AL598" s="163">
        <f>VLOOKUP(IMSS[[#This Row],[SUE MENS]],$AL$110:$AN$120,3,1)</f>
        <v>0</v>
      </c>
      <c r="AM598" s="248">
        <f>IF(IMSS[[#This Row],[ISR CARGO]]-IMSS[[#This Row],[SUBS ISR]]&gt;0,IMSS[[#This Row],[ISR CARGO]]-IMSS[[#This Row],[SUBS ISR]],0)</f>
        <v>754.182816</v>
      </c>
      <c r="AN598" s="248">
        <f>IF(IMSS[[#This Row],[SUBS ISR]]-IMSS[[#This Row],[ISR CARGO]]&gt;0,IMSS[[#This Row],[SUBS ISR]]-IMSS[[#This Row],[ISR CARGO]],0)</f>
        <v>0</v>
      </c>
    </row>
    <row r="599" spans="3:40" ht="15" hidden="1" customHeight="1" x14ac:dyDescent="0.25">
      <c r="C599" s="243">
        <v>717</v>
      </c>
      <c r="D599" s="167" t="str">
        <f>VLOOKUP(IMSS[[#This Row],[NEM]],BDD[],2,0)</f>
        <v>Miguel Ángel Arroyo Villegas</v>
      </c>
      <c r="E599" s="167" t="str">
        <f>VLOOKUP(IMSS[[#This Row],[NEM]],BDD[],9,0)</f>
        <v>AUDIT ADMN</v>
      </c>
      <c r="F599" s="168">
        <v>30</v>
      </c>
      <c r="G599" s="139">
        <f>VLOOKUP(IMSS[[#This Row],[NEM]],BDD[],3,0)</f>
        <v>9450</v>
      </c>
      <c r="H599" s="139">
        <f ca="1">VLOOKUP(IMSS[[#This Row],[NEM]],BDD[],25,0)</f>
        <v>343.47945205479454</v>
      </c>
      <c r="I599" s="143">
        <f>VLOOKUP(IMSS[[#This Row],[DEPT]],$B$3:$G$49,6,0)</f>
        <v>5.4355000000000002E-3</v>
      </c>
      <c r="J599" s="163">
        <f ca="1">IMSS[[#This Row],[DIAS LAB]]*IMSS[[#This Row],[SDI]]*IMSS[[#This Row],[% RSG]]*$Q$108</f>
        <v>56.009476849315071</v>
      </c>
      <c r="K599" s="163">
        <f>IMSS[[#This Row],[DIAS LAB]]*$J$110*$Q$109</f>
        <v>548.47440000000006</v>
      </c>
      <c r="L599" s="166">
        <f ca="1">IMSS[[#This Row],[DIAS LAB]]*IF(IMSS[[#This Row],[SDI]]-$J$113&gt;0,IMSS[[#This Row],[SDI]]-$J$113,0)*$Q$110</f>
        <v>24.624419178082192</v>
      </c>
      <c r="M599" s="166">
        <f ca="1">IMSS[[#This Row],[DIAS LAB]]*IMSS[[#This Row],[SDI]]*$Q$111</f>
        <v>108.19602739726028</v>
      </c>
      <c r="N599" s="163">
        <f ca="1">IMSS[[#This Row],[DIAS LAB]]*IMSS[[#This Row],[SDI]]*$Q$112</f>
        <v>72.130684931506849</v>
      </c>
      <c r="O599" s="166">
        <f ca="1">IMSS[[#This Row],[DIAS LAB]]*IMSS[[#This Row],[SDI]]*$Q$113</f>
        <v>180.32671232876714</v>
      </c>
      <c r="P599" s="163">
        <f ca="1">IMSS[[#This Row],[DIAS LAB]]*IMSS[[#This Row],[SDI]]*$Q$114</f>
        <v>103.04383561643836</v>
      </c>
      <c r="Q599" s="166">
        <f ca="1">IMSS[[#This Row],[DIAS LAB]]*IMSS[[#This Row],[SDI]]*$Q$115</f>
        <v>206.08767123287672</v>
      </c>
      <c r="R599" s="163">
        <f ca="1">IMSS[[#This Row],[DIAS LAB]]*IMSS[[#This Row],[SDI]]*$Q$116</f>
        <v>324.58808219178081</v>
      </c>
      <c r="S599" s="163">
        <f ca="1">IMSS[[#This Row],[DIAS LAB]]*IMSS[[#This Row],[SDI]]*$Q$117</f>
        <v>515.21917808219177</v>
      </c>
      <c r="T599" s="164">
        <f ca="1">SUM(IMSS[[#This Row],[P RSG TRB]:[P INFONAVIT]])</f>
        <v>2138.7004878082193</v>
      </c>
      <c r="U599" s="163">
        <f ca="1">IMSS[[#This Row],[DIAS LAB]]*IMSS[[#This Row],[SDI]]*IMSS[[#This Row],[% RSG]]*$R$108</f>
        <v>0</v>
      </c>
      <c r="V599" s="163">
        <f ca="1">IMSS[[#This Row],[DIAS LAB]]*IMSS[[#This Row],[SDI]]*$R$112</f>
        <v>25.760958904109589</v>
      </c>
      <c r="W599" s="163"/>
      <c r="X599" s="163">
        <f ca="1">IMSS[[#This Row],[DIAS LAB]]*IMSS[[#This Row],[SDI]]*$R$113</f>
        <v>64.917616438356163</v>
      </c>
      <c r="Y599" s="163">
        <f ca="1">IMSS[[#This Row],[DIAS LAB]]*IMSS[[#This Row],[SDI]]*$R$114</f>
        <v>0</v>
      </c>
      <c r="Z599" s="163">
        <f ca="1">IMSS[[#This Row],[DIAS LAB]]*IMSS[[#This Row],[SDI]]*$R$115</f>
        <v>0</v>
      </c>
      <c r="AA599" s="163">
        <f ca="1">IMSS[[#This Row],[DIAS LAB]]*IMSS[[#This Row],[SDI]]*$R$116</f>
        <v>116.43953424657533</v>
      </c>
      <c r="AB599" s="163">
        <f ca="1">IMSS[[#This Row],[DIAS LAB]]*IMSS[[#This Row],[SDI]]*$R$117</f>
        <v>0</v>
      </c>
      <c r="AC599" s="247">
        <f ca="1">SUM(IMSS[[#This Row],[O RSG TRB]:[O INFONAVIT]])</f>
        <v>207.11810958904107</v>
      </c>
      <c r="AD599" s="163"/>
      <c r="AE599" s="165">
        <f ca="1">IMSS[[#This Row],[P TOTAL]]+IMSS[[#This Row],[O TOTAL]]</f>
        <v>2345.8185973972604</v>
      </c>
      <c r="AF599" s="163"/>
      <c r="AG599" s="163">
        <f>VLOOKUP(IMSS[[#This Row],[SUE MENS]],$AG$110:$AJ$120,1,1)</f>
        <v>5470.93</v>
      </c>
      <c r="AH599" s="163">
        <f>IMSS[[#This Row],[SUE MENS]]-IMSS[[#This Row],[LIM INF]]</f>
        <v>3979.0699999999997</v>
      </c>
      <c r="AI599" s="163">
        <f>IMSS[[#This Row],[EXC LIM INF]]*(VLOOKUP(IMSS[[#This Row],[LIM INF]],$AG$110:$AJ$120,4,0))</f>
        <v>432.92281600000001</v>
      </c>
      <c r="AJ599" s="163">
        <f>VLOOKUP(IMSS[[#This Row],[LIM INF]],$AG$110:$AJ$120,3)</f>
        <v>321.26</v>
      </c>
      <c r="AK599" s="163">
        <f>SUM(IMSS[[#This Row],[TASA EXC]]+IMSS[[#This Row],[CUOTA FIJA]])</f>
        <v>754.182816</v>
      </c>
      <c r="AL599" s="163">
        <f>VLOOKUP(IMSS[[#This Row],[SUE MENS]],$AL$110:$AN$120,3,1)</f>
        <v>0</v>
      </c>
      <c r="AM599" s="248">
        <f>IF(IMSS[[#This Row],[ISR CARGO]]-IMSS[[#This Row],[SUBS ISR]]&gt;0,IMSS[[#This Row],[ISR CARGO]]-IMSS[[#This Row],[SUBS ISR]],0)</f>
        <v>754.182816</v>
      </c>
      <c r="AN599" s="248">
        <f>IF(IMSS[[#This Row],[SUBS ISR]]-IMSS[[#This Row],[ISR CARGO]]&gt;0,IMSS[[#This Row],[SUBS ISR]]-IMSS[[#This Row],[ISR CARGO]],0)</f>
        <v>0</v>
      </c>
    </row>
    <row r="600" spans="3:40" ht="15" hidden="1" customHeight="1" x14ac:dyDescent="0.25">
      <c r="C600" s="246">
        <v>719</v>
      </c>
      <c r="D600" s="167" t="str">
        <f>VLOOKUP(IMSS[[#This Row],[NEM]],BDD[],2,0)</f>
        <v>Carlos Peña González</v>
      </c>
      <c r="E600" s="167" t="str">
        <f>VLOOKUP(IMSS[[#This Row],[NEM]],BDD[],9,0)</f>
        <v>CONTROL</v>
      </c>
      <c r="F600" s="168">
        <v>30</v>
      </c>
      <c r="G600" s="139">
        <f>VLOOKUP(IMSS[[#This Row],[NEM]],BDD[],3,0)</f>
        <v>6778</v>
      </c>
      <c r="H600" s="139">
        <f ca="1">VLOOKUP(IMSS[[#This Row],[NEM]],BDD[],25,0)</f>
        <v>236.1467579908676</v>
      </c>
      <c r="I600" s="143">
        <f>VLOOKUP(IMSS[[#This Row],[DEPT]],$B$3:$G$49,6,0)</f>
        <v>5.4355000000000002E-3</v>
      </c>
      <c r="J600" s="163">
        <f ca="1">IMSS[[#This Row],[DIAS LAB]]*IMSS[[#This Row],[SDI]]*IMSS[[#This Row],[% RSG]]*$Q$108</f>
        <v>38.507271091780829</v>
      </c>
      <c r="K600" s="163">
        <f>IMSS[[#This Row],[DIAS LAB]]*$J$110*$Q$109</f>
        <v>548.47440000000006</v>
      </c>
      <c r="L600" s="166">
        <f ca="1">IMSS[[#This Row],[DIAS LAB]]*IF(IMSS[[#This Row],[SDI]]-$J$113&gt;0,IMSS[[#This Row],[SDI]]-$J$113,0)*$Q$110</f>
        <v>0</v>
      </c>
      <c r="M600" s="166">
        <f ca="1">IMSS[[#This Row],[DIAS LAB]]*IMSS[[#This Row],[SDI]]*$Q$111</f>
        <v>74.386228767123299</v>
      </c>
      <c r="N600" s="163">
        <f ca="1">IMSS[[#This Row],[DIAS LAB]]*IMSS[[#This Row],[SDI]]*$Q$112</f>
        <v>49.590819178082199</v>
      </c>
      <c r="O600" s="166">
        <f ca="1">IMSS[[#This Row],[DIAS LAB]]*IMSS[[#This Row],[SDI]]*$Q$113</f>
        <v>123.9770479452055</v>
      </c>
      <c r="P600" s="163">
        <f ca="1">IMSS[[#This Row],[DIAS LAB]]*IMSS[[#This Row],[SDI]]*$Q$114</f>
        <v>70.844027397260277</v>
      </c>
      <c r="Q600" s="166">
        <f ca="1">IMSS[[#This Row],[DIAS LAB]]*IMSS[[#This Row],[SDI]]*$Q$115</f>
        <v>141.68805479452055</v>
      </c>
      <c r="R600" s="163">
        <f ca="1">IMSS[[#This Row],[DIAS LAB]]*IMSS[[#This Row],[SDI]]*$Q$116</f>
        <v>223.15868630136987</v>
      </c>
      <c r="S600" s="163">
        <f ca="1">IMSS[[#This Row],[DIAS LAB]]*IMSS[[#This Row],[SDI]]*$Q$117</f>
        <v>354.22013698630144</v>
      </c>
      <c r="T600" s="164">
        <f ca="1">SUM(IMSS[[#This Row],[P RSG TRB]:[P INFONAVIT]])</f>
        <v>1624.8466724616442</v>
      </c>
      <c r="U600" s="163">
        <f ca="1">IMSS[[#This Row],[DIAS LAB]]*IMSS[[#This Row],[SDI]]*IMSS[[#This Row],[% RSG]]*$R$108</f>
        <v>0</v>
      </c>
      <c r="V600" s="163">
        <f ca="1">IMSS[[#This Row],[DIAS LAB]]*IMSS[[#This Row],[SDI]]*$R$112</f>
        <v>17.711006849315069</v>
      </c>
      <c r="W600" s="163"/>
      <c r="X600" s="163">
        <f ca="1">IMSS[[#This Row],[DIAS LAB]]*IMSS[[#This Row],[SDI]]*$R$113</f>
        <v>44.631737260273979</v>
      </c>
      <c r="Y600" s="163">
        <f ca="1">IMSS[[#This Row],[DIAS LAB]]*IMSS[[#This Row],[SDI]]*$R$114</f>
        <v>0</v>
      </c>
      <c r="Z600" s="163">
        <f ca="1">IMSS[[#This Row],[DIAS LAB]]*IMSS[[#This Row],[SDI]]*$R$115</f>
        <v>0</v>
      </c>
      <c r="AA600" s="163">
        <f ca="1">IMSS[[#This Row],[DIAS LAB]]*IMSS[[#This Row],[SDI]]*$R$116</f>
        <v>80.053750958904104</v>
      </c>
      <c r="AB600" s="163">
        <f ca="1">IMSS[[#This Row],[DIAS LAB]]*IMSS[[#This Row],[SDI]]*$R$117</f>
        <v>0</v>
      </c>
      <c r="AC600" s="247">
        <f ca="1">SUM(IMSS[[#This Row],[O RSG TRB]:[O INFONAVIT]])</f>
        <v>142.39649506849315</v>
      </c>
      <c r="AD600" s="163"/>
      <c r="AE600" s="165">
        <f ca="1">IMSS[[#This Row],[P TOTAL]]+IMSS[[#This Row],[O TOTAL]]</f>
        <v>1767.2431675301373</v>
      </c>
      <c r="AF600" s="163"/>
      <c r="AG600" s="163">
        <f>VLOOKUP(IMSS[[#This Row],[SUE MENS]],$AG$110:$AJ$120,1,1)</f>
        <v>5470.93</v>
      </c>
      <c r="AH600" s="163">
        <f>IMSS[[#This Row],[SUE MENS]]-IMSS[[#This Row],[LIM INF]]</f>
        <v>1307.0699999999997</v>
      </c>
      <c r="AI600" s="163">
        <f>IMSS[[#This Row],[EXC LIM INF]]*(VLOOKUP(IMSS[[#This Row],[LIM INF]],$AG$110:$AJ$120,4,0))</f>
        <v>142.20921599999997</v>
      </c>
      <c r="AJ600" s="163">
        <f>VLOOKUP(IMSS[[#This Row],[LIM INF]],$AG$110:$AJ$120,3)</f>
        <v>321.26</v>
      </c>
      <c r="AK600" s="163">
        <f>SUM(IMSS[[#This Row],[TASA EXC]]+IMSS[[#This Row],[CUOTA FIJA]])</f>
        <v>463.46921599999996</v>
      </c>
      <c r="AL600" s="163">
        <f>VLOOKUP(IMSS[[#This Row],[SUE MENS]],$AL$110:$AN$120,3,1)</f>
        <v>253.54</v>
      </c>
      <c r="AM600" s="248">
        <f>IF(IMSS[[#This Row],[ISR CARGO]]-IMSS[[#This Row],[SUBS ISR]]&gt;0,IMSS[[#This Row],[ISR CARGO]]-IMSS[[#This Row],[SUBS ISR]],0)</f>
        <v>209.92921599999997</v>
      </c>
      <c r="AN600" s="248">
        <f>IF(IMSS[[#This Row],[SUBS ISR]]-IMSS[[#This Row],[ISR CARGO]]&gt;0,IMSS[[#This Row],[SUBS ISR]]-IMSS[[#This Row],[ISR CARGO]],0)</f>
        <v>0</v>
      </c>
    </row>
    <row r="601" spans="3:40" ht="15" hidden="1" customHeight="1" x14ac:dyDescent="0.25">
      <c r="C601" s="243">
        <v>720</v>
      </c>
      <c r="D601" s="167" t="str">
        <f>VLOOKUP(IMSS[[#This Row],[NEM]],BDD[],2,0)</f>
        <v>Julian Mejia Hernandez</v>
      </c>
      <c r="E601" s="167" t="str">
        <f>VLOOKUP(IMSS[[#This Row],[NEM]],BDD[],9,0)</f>
        <v>FACTURAS</v>
      </c>
      <c r="F601" s="168">
        <v>30</v>
      </c>
      <c r="G601" s="139">
        <f>VLOOKUP(IMSS[[#This Row],[NEM]],BDD[],3,0)</f>
        <v>10350</v>
      </c>
      <c r="H601" s="139">
        <f ca="1">VLOOKUP(IMSS[[#This Row],[NEM]],BDD[],25,0)</f>
        <v>376.1917808219178</v>
      </c>
      <c r="I601" s="143">
        <f>VLOOKUP(IMSS[[#This Row],[DEPT]],$B$3:$G$49,6,0)</f>
        <v>5.4355000000000002E-3</v>
      </c>
      <c r="J601" s="163">
        <f ca="1">IMSS[[#This Row],[DIAS LAB]]*IMSS[[#This Row],[SDI]]*IMSS[[#This Row],[% RSG]]*$Q$108</f>
        <v>61.34371273972603</v>
      </c>
      <c r="K601" s="163">
        <f>IMSS[[#This Row],[DIAS LAB]]*$J$110*$Q$109</f>
        <v>548.47440000000006</v>
      </c>
      <c r="L601" s="166">
        <f ca="1">IMSS[[#This Row],[DIAS LAB]]*IF(IMSS[[#This Row],[SDI]]-$J$113&gt;0,IMSS[[#This Row],[SDI]]-$J$113,0)*$Q$110</f>
        <v>35.419487671232865</v>
      </c>
      <c r="M601" s="166">
        <f ca="1">IMSS[[#This Row],[DIAS LAB]]*IMSS[[#This Row],[SDI]]*$Q$111</f>
        <v>118.50041095890411</v>
      </c>
      <c r="N601" s="163">
        <f ca="1">IMSS[[#This Row],[DIAS LAB]]*IMSS[[#This Row],[SDI]]*$Q$112</f>
        <v>79.000273972602741</v>
      </c>
      <c r="O601" s="166">
        <f ca="1">IMSS[[#This Row],[DIAS LAB]]*IMSS[[#This Row],[SDI]]*$Q$113</f>
        <v>197.50068493150687</v>
      </c>
      <c r="P601" s="163">
        <f ca="1">IMSS[[#This Row],[DIAS LAB]]*IMSS[[#This Row],[SDI]]*$Q$114</f>
        <v>112.85753424657534</v>
      </c>
      <c r="Q601" s="166">
        <f ca="1">IMSS[[#This Row],[DIAS LAB]]*IMSS[[#This Row],[SDI]]*$Q$115</f>
        <v>225.71506849315068</v>
      </c>
      <c r="R601" s="163">
        <f ca="1">IMSS[[#This Row],[DIAS LAB]]*IMSS[[#This Row],[SDI]]*$Q$116</f>
        <v>355.50123287671232</v>
      </c>
      <c r="S601" s="163">
        <f ca="1">IMSS[[#This Row],[DIAS LAB]]*IMSS[[#This Row],[SDI]]*$Q$117</f>
        <v>564.28767123287673</v>
      </c>
      <c r="T601" s="164">
        <f ca="1">SUM(IMSS[[#This Row],[P RSG TRB]:[P INFONAVIT]])</f>
        <v>2298.6004771232879</v>
      </c>
      <c r="U601" s="163">
        <f ca="1">IMSS[[#This Row],[DIAS LAB]]*IMSS[[#This Row],[SDI]]*IMSS[[#This Row],[% RSG]]*$R$108</f>
        <v>0</v>
      </c>
      <c r="V601" s="163">
        <f ca="1">IMSS[[#This Row],[DIAS LAB]]*IMSS[[#This Row],[SDI]]*$R$112</f>
        <v>28.214383561643835</v>
      </c>
      <c r="W601" s="163"/>
      <c r="X601" s="163">
        <f ca="1">IMSS[[#This Row],[DIAS LAB]]*IMSS[[#This Row],[SDI]]*$R$113</f>
        <v>71.100246575342467</v>
      </c>
      <c r="Y601" s="163">
        <f ca="1">IMSS[[#This Row],[DIAS LAB]]*IMSS[[#This Row],[SDI]]*$R$114</f>
        <v>0</v>
      </c>
      <c r="Z601" s="163">
        <f ca="1">IMSS[[#This Row],[DIAS LAB]]*IMSS[[#This Row],[SDI]]*$R$115</f>
        <v>0</v>
      </c>
      <c r="AA601" s="163">
        <f ca="1">IMSS[[#This Row],[DIAS LAB]]*IMSS[[#This Row],[SDI]]*$R$116</f>
        <v>127.52901369863012</v>
      </c>
      <c r="AB601" s="163">
        <f ca="1">IMSS[[#This Row],[DIAS LAB]]*IMSS[[#This Row],[SDI]]*$R$117</f>
        <v>0</v>
      </c>
      <c r="AC601" s="247">
        <f ca="1">SUM(IMSS[[#This Row],[O RSG TRB]:[O INFONAVIT]])</f>
        <v>226.84364383561643</v>
      </c>
      <c r="AD601" s="163"/>
      <c r="AE601" s="165">
        <f ca="1">IMSS[[#This Row],[P TOTAL]]+IMSS[[#This Row],[O TOTAL]]</f>
        <v>2525.4441209589045</v>
      </c>
      <c r="AF601" s="163"/>
      <c r="AG601" s="163">
        <f>VLOOKUP(IMSS[[#This Row],[SUE MENS]],$AG$110:$AJ$120,1,1)</f>
        <v>9614.67</v>
      </c>
      <c r="AH601" s="163">
        <f>IMSS[[#This Row],[SUE MENS]]-IMSS[[#This Row],[LIM INF]]</f>
        <v>735.32999999999993</v>
      </c>
      <c r="AI601" s="163">
        <f>IMSS[[#This Row],[EXC LIM INF]]*(VLOOKUP(IMSS[[#This Row],[LIM INF]],$AG$110:$AJ$120,4,0))</f>
        <v>117.65279999999998</v>
      </c>
      <c r="AJ601" s="163">
        <f>VLOOKUP(IMSS[[#This Row],[LIM INF]],$AG$110:$AJ$120,3)</f>
        <v>772.1</v>
      </c>
      <c r="AK601" s="163">
        <f>SUM(IMSS[[#This Row],[TASA EXC]]+IMSS[[#This Row],[CUOTA FIJA]])</f>
        <v>889.75279999999998</v>
      </c>
      <c r="AL601" s="163">
        <f>VLOOKUP(IMSS[[#This Row],[SUE MENS]],$AL$110:$AN$120,3,1)</f>
        <v>0</v>
      </c>
      <c r="AM601" s="248">
        <f>IF(IMSS[[#This Row],[ISR CARGO]]-IMSS[[#This Row],[SUBS ISR]]&gt;0,IMSS[[#This Row],[ISR CARGO]]-IMSS[[#This Row],[SUBS ISR]],0)</f>
        <v>889.75279999999998</v>
      </c>
      <c r="AN601" s="248">
        <f>IF(IMSS[[#This Row],[SUBS ISR]]-IMSS[[#This Row],[ISR CARGO]]&gt;0,IMSS[[#This Row],[SUBS ISR]]-IMSS[[#This Row],[ISR CARGO]],0)</f>
        <v>0</v>
      </c>
    </row>
    <row r="602" spans="3:40" ht="15" hidden="1" customHeight="1" x14ac:dyDescent="0.25">
      <c r="C602" s="243">
        <v>721</v>
      </c>
      <c r="D602" s="167" t="str">
        <f>VLOOKUP(IMSS[[#This Row],[NEM]],BDD[],2,0)</f>
        <v>Edwin Palma Alvarez</v>
      </c>
      <c r="E602" s="167" t="str">
        <f>VLOOKUP(IMSS[[#This Row],[NEM]],BDD[],9,0)</f>
        <v>COLECTIVOS</v>
      </c>
      <c r="F602" s="168">
        <v>30</v>
      </c>
      <c r="G602" s="139">
        <f>VLOOKUP(IMSS[[#This Row],[NEM]],BDD[],3,0)</f>
        <v>9541</v>
      </c>
      <c r="H602" s="139">
        <f ca="1">VLOOKUP(IMSS[[#This Row],[NEM]],BDD[],25,0)</f>
        <v>346.78703196347033</v>
      </c>
      <c r="I602" s="143">
        <f>VLOOKUP(IMSS[[#This Row],[DEPT]],$B$3:$G$49,6,0)</f>
        <v>5.4355000000000002E-3</v>
      </c>
      <c r="J602" s="163">
        <f ca="1">IMSS[[#This Row],[DIAS LAB]]*IMSS[[#This Row],[SDI]]*IMSS[[#This Row],[% RSG]]*$Q$108</f>
        <v>56.548827367123295</v>
      </c>
      <c r="K602" s="163">
        <f>IMSS[[#This Row],[DIAS LAB]]*$J$110*$Q$109</f>
        <v>548.47440000000006</v>
      </c>
      <c r="L602" s="166">
        <f ca="1">IMSS[[#This Row],[DIAS LAB]]*IF(IMSS[[#This Row],[SDI]]-$J$113&gt;0,IMSS[[#This Row],[SDI]]-$J$113,0)*$Q$110</f>
        <v>25.715920547945203</v>
      </c>
      <c r="M602" s="166">
        <f ca="1">IMSS[[#This Row],[DIAS LAB]]*IMSS[[#This Row],[SDI]]*$Q$111</f>
        <v>109.23791506849317</v>
      </c>
      <c r="N602" s="163">
        <f ca="1">IMSS[[#This Row],[DIAS LAB]]*IMSS[[#This Row],[SDI]]*$Q$112</f>
        <v>72.825276712328773</v>
      </c>
      <c r="O602" s="166">
        <f ca="1">IMSS[[#This Row],[DIAS LAB]]*IMSS[[#This Row],[SDI]]*$Q$113</f>
        <v>182.06319178082194</v>
      </c>
      <c r="P602" s="163">
        <f ca="1">IMSS[[#This Row],[DIAS LAB]]*IMSS[[#This Row],[SDI]]*$Q$114</f>
        <v>104.0361095890411</v>
      </c>
      <c r="Q602" s="166">
        <f ca="1">IMSS[[#This Row],[DIAS LAB]]*IMSS[[#This Row],[SDI]]*$Q$115</f>
        <v>208.07221917808221</v>
      </c>
      <c r="R602" s="163">
        <f ca="1">IMSS[[#This Row],[DIAS LAB]]*IMSS[[#This Row],[SDI]]*$Q$116</f>
        <v>327.71374520547948</v>
      </c>
      <c r="S602" s="163">
        <f ca="1">IMSS[[#This Row],[DIAS LAB]]*IMSS[[#This Row],[SDI]]*$Q$117</f>
        <v>520.18054794520549</v>
      </c>
      <c r="T602" s="164">
        <f ca="1">SUM(IMSS[[#This Row],[P RSG TRB]:[P INFONAVIT]])</f>
        <v>2154.868153394521</v>
      </c>
      <c r="U602" s="163">
        <f ca="1">IMSS[[#This Row],[DIAS LAB]]*IMSS[[#This Row],[SDI]]*IMSS[[#This Row],[% RSG]]*$R$108</f>
        <v>0</v>
      </c>
      <c r="V602" s="163">
        <f ca="1">IMSS[[#This Row],[DIAS LAB]]*IMSS[[#This Row],[SDI]]*$R$112</f>
        <v>26.009027397260276</v>
      </c>
      <c r="W602" s="163"/>
      <c r="X602" s="163">
        <f ca="1">IMSS[[#This Row],[DIAS LAB]]*IMSS[[#This Row],[SDI]]*$R$113</f>
        <v>65.542749041095888</v>
      </c>
      <c r="Y602" s="163">
        <f ca="1">IMSS[[#This Row],[DIAS LAB]]*IMSS[[#This Row],[SDI]]*$R$114</f>
        <v>0</v>
      </c>
      <c r="Z602" s="163">
        <f ca="1">IMSS[[#This Row],[DIAS LAB]]*IMSS[[#This Row],[SDI]]*$R$115</f>
        <v>0</v>
      </c>
      <c r="AA602" s="163">
        <f ca="1">IMSS[[#This Row],[DIAS LAB]]*IMSS[[#This Row],[SDI]]*$R$116</f>
        <v>117.56080383561644</v>
      </c>
      <c r="AB602" s="163">
        <f ca="1">IMSS[[#This Row],[DIAS LAB]]*IMSS[[#This Row],[SDI]]*$R$117</f>
        <v>0</v>
      </c>
      <c r="AC602" s="247">
        <f ca="1">SUM(IMSS[[#This Row],[O RSG TRB]:[O INFONAVIT]])</f>
        <v>209.11258027397261</v>
      </c>
      <c r="AD602" s="163"/>
      <c r="AE602" s="165">
        <f ca="1">IMSS[[#This Row],[P TOTAL]]+IMSS[[#This Row],[O TOTAL]]</f>
        <v>2363.9807336684935</v>
      </c>
      <c r="AF602" s="163"/>
      <c r="AG602" s="163">
        <f>VLOOKUP(IMSS[[#This Row],[SUE MENS]],$AG$110:$AJ$120,1,1)</f>
        <v>5470.93</v>
      </c>
      <c r="AH602" s="163">
        <f>IMSS[[#This Row],[SUE MENS]]-IMSS[[#This Row],[LIM INF]]</f>
        <v>4070.0699999999997</v>
      </c>
      <c r="AI602" s="163">
        <f>IMSS[[#This Row],[EXC LIM INF]]*(VLOOKUP(IMSS[[#This Row],[LIM INF]],$AG$110:$AJ$120,4,0))</f>
        <v>442.82361600000002</v>
      </c>
      <c r="AJ602" s="163">
        <f>VLOOKUP(IMSS[[#This Row],[LIM INF]],$AG$110:$AJ$120,3)</f>
        <v>321.26</v>
      </c>
      <c r="AK602" s="163">
        <f>SUM(IMSS[[#This Row],[TASA EXC]]+IMSS[[#This Row],[CUOTA FIJA]])</f>
        <v>764.08361600000001</v>
      </c>
      <c r="AL602" s="163">
        <f>VLOOKUP(IMSS[[#This Row],[SUE MENS]],$AL$110:$AN$120,3,1)</f>
        <v>0</v>
      </c>
      <c r="AM602" s="248">
        <f>IF(IMSS[[#This Row],[ISR CARGO]]-IMSS[[#This Row],[SUBS ISR]]&gt;0,IMSS[[#This Row],[ISR CARGO]]-IMSS[[#This Row],[SUBS ISR]],0)</f>
        <v>764.08361600000001</v>
      </c>
      <c r="AN602" s="248">
        <f>IF(IMSS[[#This Row],[SUBS ISR]]-IMSS[[#This Row],[ISR CARGO]]&gt;0,IMSS[[#This Row],[SUBS ISR]]-IMSS[[#This Row],[ISR CARGO]],0)</f>
        <v>0</v>
      </c>
    </row>
    <row r="603" spans="3:40" ht="15" hidden="1" customHeight="1" x14ac:dyDescent="0.25">
      <c r="C603" s="243">
        <v>722</v>
      </c>
      <c r="D603" s="167" t="str">
        <f>VLOOKUP(IMSS[[#This Row],[NEM]],BDD[],2,0)</f>
        <v>Clara Guadalupe Ramirez Mata</v>
      </c>
      <c r="E603" s="167" t="str">
        <f>VLOOKUP(IMSS[[#This Row],[NEM]],BDD[],9,0)</f>
        <v>ANLIS COST</v>
      </c>
      <c r="F603" s="168">
        <v>30</v>
      </c>
      <c r="G603" s="139">
        <f>VLOOKUP(IMSS[[#This Row],[NEM]],BDD[],3,0)</f>
        <v>7445</v>
      </c>
      <c r="H603" s="139">
        <f ca="1">VLOOKUP(IMSS[[#This Row],[NEM]],BDD[],25,0)</f>
        <v>270.6036529680365</v>
      </c>
      <c r="I603" s="143">
        <f>VLOOKUP(IMSS[[#This Row],[DEPT]],$B$3:$G$49,6,0)</f>
        <v>1.130658E-2</v>
      </c>
      <c r="J603" s="163">
        <f ca="1">IMSS[[#This Row],[DIAS LAB]]*IMSS[[#This Row],[SDI]]*IMSS[[#This Row],[% RSG]]*$Q$108</f>
        <v>91.788055517260261</v>
      </c>
      <c r="K603" s="163">
        <f>IMSS[[#This Row],[DIAS LAB]]*$J$110*$Q$109</f>
        <v>548.47440000000006</v>
      </c>
      <c r="L603" s="166">
        <f ca="1">IMSS[[#This Row],[DIAS LAB]]*IF(IMSS[[#This Row],[SDI]]-$J$113&gt;0,IMSS[[#This Row],[SDI]]-$J$113,0)*$Q$110</f>
        <v>0.57540547945204024</v>
      </c>
      <c r="M603" s="166">
        <f ca="1">IMSS[[#This Row],[DIAS LAB]]*IMSS[[#This Row],[SDI]]*$Q$111</f>
        <v>85.240150684931507</v>
      </c>
      <c r="N603" s="163">
        <f ca="1">IMSS[[#This Row],[DIAS LAB]]*IMSS[[#This Row],[SDI]]*$Q$112</f>
        <v>56.826767123287667</v>
      </c>
      <c r="O603" s="166">
        <f ca="1">IMSS[[#This Row],[DIAS LAB]]*IMSS[[#This Row],[SDI]]*$Q$113</f>
        <v>142.06691780821919</v>
      </c>
      <c r="P603" s="163">
        <f ca="1">IMSS[[#This Row],[DIAS LAB]]*IMSS[[#This Row],[SDI]]*$Q$114</f>
        <v>81.181095890410958</v>
      </c>
      <c r="Q603" s="166">
        <f ca="1">IMSS[[#This Row],[DIAS LAB]]*IMSS[[#This Row],[SDI]]*$Q$115</f>
        <v>162.36219178082192</v>
      </c>
      <c r="R603" s="163">
        <f ca="1">IMSS[[#This Row],[DIAS LAB]]*IMSS[[#This Row],[SDI]]*$Q$116</f>
        <v>255.72045205479449</v>
      </c>
      <c r="S603" s="163">
        <f ca="1">IMSS[[#This Row],[DIAS LAB]]*IMSS[[#This Row],[SDI]]*$Q$117</f>
        <v>405.90547945205481</v>
      </c>
      <c r="T603" s="164">
        <f ca="1">SUM(IMSS[[#This Row],[P RSG TRB]:[P INFONAVIT]])</f>
        <v>1830.1409157912328</v>
      </c>
      <c r="U603" s="163">
        <f ca="1">IMSS[[#This Row],[DIAS LAB]]*IMSS[[#This Row],[SDI]]*IMSS[[#This Row],[% RSG]]*$R$108</f>
        <v>0</v>
      </c>
      <c r="V603" s="163">
        <f ca="1">IMSS[[#This Row],[DIAS LAB]]*IMSS[[#This Row],[SDI]]*$R$112</f>
        <v>20.29527397260274</v>
      </c>
      <c r="W603" s="163"/>
      <c r="X603" s="163">
        <f ca="1">IMSS[[#This Row],[DIAS LAB]]*IMSS[[#This Row],[SDI]]*$R$113</f>
        <v>51.144090410958903</v>
      </c>
      <c r="Y603" s="163">
        <f ca="1">IMSS[[#This Row],[DIAS LAB]]*IMSS[[#This Row],[SDI]]*$R$114</f>
        <v>0</v>
      </c>
      <c r="Z603" s="163">
        <f ca="1">IMSS[[#This Row],[DIAS LAB]]*IMSS[[#This Row],[SDI]]*$R$115</f>
        <v>0</v>
      </c>
      <c r="AA603" s="163">
        <f ca="1">IMSS[[#This Row],[DIAS LAB]]*IMSS[[#This Row],[SDI]]*$R$116</f>
        <v>91.734638356164368</v>
      </c>
      <c r="AB603" s="163">
        <f ca="1">IMSS[[#This Row],[DIAS LAB]]*IMSS[[#This Row],[SDI]]*$R$117</f>
        <v>0</v>
      </c>
      <c r="AC603" s="247">
        <f ca="1">SUM(IMSS[[#This Row],[O RSG TRB]:[O INFONAVIT]])</f>
        <v>163.17400273972601</v>
      </c>
      <c r="AD603" s="163"/>
      <c r="AE603" s="165">
        <f ca="1">IMSS[[#This Row],[P TOTAL]]+IMSS[[#This Row],[O TOTAL]]</f>
        <v>1993.3149185309589</v>
      </c>
      <c r="AF603" s="163"/>
      <c r="AG603" s="163">
        <f>VLOOKUP(IMSS[[#This Row],[SUE MENS]],$AG$110:$AJ$120,1,1)</f>
        <v>5470.93</v>
      </c>
      <c r="AH603" s="163">
        <f>IMSS[[#This Row],[SUE MENS]]-IMSS[[#This Row],[LIM INF]]</f>
        <v>1974.0699999999997</v>
      </c>
      <c r="AI603" s="163">
        <f>IMSS[[#This Row],[EXC LIM INF]]*(VLOOKUP(IMSS[[#This Row],[LIM INF]],$AG$110:$AJ$120,4,0))</f>
        <v>214.77881599999998</v>
      </c>
      <c r="AJ603" s="163">
        <f>VLOOKUP(IMSS[[#This Row],[LIM INF]],$AG$110:$AJ$120,3)</f>
        <v>321.26</v>
      </c>
      <c r="AK603" s="163">
        <f>SUM(IMSS[[#This Row],[TASA EXC]]+IMSS[[#This Row],[CUOTA FIJA]])</f>
        <v>536.038816</v>
      </c>
      <c r="AL603" s="163">
        <f>VLOOKUP(IMSS[[#This Row],[SUE MENS]],$AL$110:$AN$120,3,1)</f>
        <v>0</v>
      </c>
      <c r="AM603" s="248">
        <f>IF(IMSS[[#This Row],[ISR CARGO]]-IMSS[[#This Row],[SUBS ISR]]&gt;0,IMSS[[#This Row],[ISR CARGO]]-IMSS[[#This Row],[SUBS ISR]],0)</f>
        <v>536.038816</v>
      </c>
      <c r="AN603" s="248">
        <f>IF(IMSS[[#This Row],[SUBS ISR]]-IMSS[[#This Row],[ISR CARGO]]&gt;0,IMSS[[#This Row],[SUBS ISR]]-IMSS[[#This Row],[ISR CARGO]],0)</f>
        <v>0</v>
      </c>
    </row>
    <row r="604" spans="3:40" ht="15" hidden="1" customHeight="1" x14ac:dyDescent="0.25">
      <c r="C604" s="243">
        <v>723</v>
      </c>
      <c r="D604" s="167" t="str">
        <f>VLOOKUP(IMSS[[#This Row],[NEM]],BDD[],2,0)</f>
        <v>Jair Alejandro Garza Elizondo</v>
      </c>
      <c r="E604" s="167" t="str">
        <f>VLOOKUP(IMSS[[#This Row],[NEM]],BDD[],9,0)</f>
        <v>NÓMINAS</v>
      </c>
      <c r="F604" s="168">
        <v>30</v>
      </c>
      <c r="G604" s="139">
        <f>VLOOKUP(IMSS[[#This Row],[NEM]],BDD[],3,0)</f>
        <v>7445</v>
      </c>
      <c r="H604" s="139">
        <f ca="1">VLOOKUP(IMSS[[#This Row],[NEM]],BDD[],25,0)</f>
        <v>270.6036529680365</v>
      </c>
      <c r="I604" s="143">
        <f>VLOOKUP(IMSS[[#This Row],[DEPT]],$B$3:$G$49,6,0)</f>
        <v>5.4355000000000002E-3</v>
      </c>
      <c r="J604" s="163">
        <f ca="1">IMSS[[#This Row],[DIAS LAB]]*IMSS[[#This Row],[SDI]]*IMSS[[#This Row],[% RSG]]*$Q$108</f>
        <v>44.125984671232878</v>
      </c>
      <c r="K604" s="163">
        <f>IMSS[[#This Row],[DIAS LAB]]*$J$110*$Q$109</f>
        <v>548.47440000000006</v>
      </c>
      <c r="L604" s="166">
        <f ca="1">IMSS[[#This Row],[DIAS LAB]]*IF(IMSS[[#This Row],[SDI]]-$J$113&gt;0,IMSS[[#This Row],[SDI]]-$J$113,0)*$Q$110</f>
        <v>0.57540547945204024</v>
      </c>
      <c r="M604" s="166">
        <f ca="1">IMSS[[#This Row],[DIAS LAB]]*IMSS[[#This Row],[SDI]]*$Q$111</f>
        <v>85.240150684931507</v>
      </c>
      <c r="N604" s="163">
        <f ca="1">IMSS[[#This Row],[DIAS LAB]]*IMSS[[#This Row],[SDI]]*$Q$112</f>
        <v>56.826767123287667</v>
      </c>
      <c r="O604" s="166">
        <f ca="1">IMSS[[#This Row],[DIAS LAB]]*IMSS[[#This Row],[SDI]]*$Q$113</f>
        <v>142.06691780821919</v>
      </c>
      <c r="P604" s="163">
        <f ca="1">IMSS[[#This Row],[DIAS LAB]]*IMSS[[#This Row],[SDI]]*$Q$114</f>
        <v>81.181095890410958</v>
      </c>
      <c r="Q604" s="166">
        <f ca="1">IMSS[[#This Row],[DIAS LAB]]*IMSS[[#This Row],[SDI]]*$Q$115</f>
        <v>162.36219178082192</v>
      </c>
      <c r="R604" s="163">
        <f ca="1">IMSS[[#This Row],[DIAS LAB]]*IMSS[[#This Row],[SDI]]*$Q$116</f>
        <v>255.72045205479449</v>
      </c>
      <c r="S604" s="163">
        <f ca="1">IMSS[[#This Row],[DIAS LAB]]*IMSS[[#This Row],[SDI]]*$Q$117</f>
        <v>405.90547945205481</v>
      </c>
      <c r="T604" s="164">
        <f ca="1">SUM(IMSS[[#This Row],[P RSG TRB]:[P INFONAVIT]])</f>
        <v>1782.4788449452055</v>
      </c>
      <c r="U604" s="163">
        <f ca="1">IMSS[[#This Row],[DIAS LAB]]*IMSS[[#This Row],[SDI]]*IMSS[[#This Row],[% RSG]]*$R$108</f>
        <v>0</v>
      </c>
      <c r="V604" s="163">
        <f ca="1">IMSS[[#This Row],[DIAS LAB]]*IMSS[[#This Row],[SDI]]*$R$112</f>
        <v>20.29527397260274</v>
      </c>
      <c r="W604" s="163"/>
      <c r="X604" s="163">
        <f ca="1">IMSS[[#This Row],[DIAS LAB]]*IMSS[[#This Row],[SDI]]*$R$113</f>
        <v>51.144090410958903</v>
      </c>
      <c r="Y604" s="163">
        <f ca="1">IMSS[[#This Row],[DIAS LAB]]*IMSS[[#This Row],[SDI]]*$R$114</f>
        <v>0</v>
      </c>
      <c r="Z604" s="163">
        <f ca="1">IMSS[[#This Row],[DIAS LAB]]*IMSS[[#This Row],[SDI]]*$R$115</f>
        <v>0</v>
      </c>
      <c r="AA604" s="163">
        <f ca="1">IMSS[[#This Row],[DIAS LAB]]*IMSS[[#This Row],[SDI]]*$R$116</f>
        <v>91.734638356164368</v>
      </c>
      <c r="AB604" s="163">
        <f ca="1">IMSS[[#This Row],[DIAS LAB]]*IMSS[[#This Row],[SDI]]*$R$117</f>
        <v>0</v>
      </c>
      <c r="AC604" s="247">
        <f ca="1">SUM(IMSS[[#This Row],[O RSG TRB]:[O INFONAVIT]])</f>
        <v>163.17400273972601</v>
      </c>
      <c r="AD604" s="163"/>
      <c r="AE604" s="165">
        <f ca="1">IMSS[[#This Row],[P TOTAL]]+IMSS[[#This Row],[O TOTAL]]</f>
        <v>1945.6528476849317</v>
      </c>
      <c r="AF604" s="163"/>
      <c r="AG604" s="163">
        <f>VLOOKUP(IMSS[[#This Row],[SUE MENS]],$AG$110:$AJ$120,1,1)</f>
        <v>5470.93</v>
      </c>
      <c r="AH604" s="163">
        <f>IMSS[[#This Row],[SUE MENS]]-IMSS[[#This Row],[LIM INF]]</f>
        <v>1974.0699999999997</v>
      </c>
      <c r="AI604" s="163">
        <f>IMSS[[#This Row],[EXC LIM INF]]*(VLOOKUP(IMSS[[#This Row],[LIM INF]],$AG$110:$AJ$120,4,0))</f>
        <v>214.77881599999998</v>
      </c>
      <c r="AJ604" s="163">
        <f>VLOOKUP(IMSS[[#This Row],[LIM INF]],$AG$110:$AJ$120,3)</f>
        <v>321.26</v>
      </c>
      <c r="AK604" s="163">
        <f>SUM(IMSS[[#This Row],[TASA EXC]]+IMSS[[#This Row],[CUOTA FIJA]])</f>
        <v>536.038816</v>
      </c>
      <c r="AL604" s="163">
        <f>VLOOKUP(IMSS[[#This Row],[SUE MENS]],$AL$110:$AN$120,3,1)</f>
        <v>0</v>
      </c>
      <c r="AM604" s="248">
        <f>IF(IMSS[[#This Row],[ISR CARGO]]-IMSS[[#This Row],[SUBS ISR]]&gt;0,IMSS[[#This Row],[ISR CARGO]]-IMSS[[#This Row],[SUBS ISR]],0)</f>
        <v>536.038816</v>
      </c>
      <c r="AN604" s="248">
        <f>IF(IMSS[[#This Row],[SUBS ISR]]-IMSS[[#This Row],[ISR CARGO]]&gt;0,IMSS[[#This Row],[SUBS ISR]]-IMSS[[#This Row],[ISR CARGO]],0)</f>
        <v>0</v>
      </c>
    </row>
    <row r="605" spans="3:40" ht="15" hidden="1" customHeight="1" x14ac:dyDescent="0.25">
      <c r="C605" s="243">
        <v>724</v>
      </c>
      <c r="D605" s="167" t="str">
        <f>VLOOKUP(IMSS[[#This Row],[NEM]],BDD[],2,0)</f>
        <v>Stephany Alondra Sarmiento Hernández</v>
      </c>
      <c r="E605" s="167" t="str">
        <f>VLOOKUP(IMSS[[#This Row],[NEM]],BDD[],9,0)</f>
        <v>ADMINCIÓN</v>
      </c>
      <c r="F605" s="168">
        <v>30</v>
      </c>
      <c r="G605" s="139">
        <f>VLOOKUP(IMSS[[#This Row],[NEM]],BDD[],3,0)</f>
        <v>7950</v>
      </c>
      <c r="H605" s="139">
        <f ca="1">VLOOKUP(IMSS[[#This Row],[NEM]],BDD[],25,0)</f>
        <v>288.95890410958901</v>
      </c>
      <c r="I605" s="143">
        <f>VLOOKUP(IMSS[[#This Row],[DEPT]],$B$3:$G$49,6,0)</f>
        <v>5.4355000000000002E-3</v>
      </c>
      <c r="J605" s="163">
        <f ca="1">IMSS[[#This Row],[DIAS LAB]]*IMSS[[#This Row],[SDI]]*IMSS[[#This Row],[% RSG]]*$Q$108</f>
        <v>47.119083698630135</v>
      </c>
      <c r="K605" s="163">
        <f>IMSS[[#This Row],[DIAS LAB]]*$J$110*$Q$109</f>
        <v>548.47440000000006</v>
      </c>
      <c r="L605" s="166">
        <f ca="1">IMSS[[#This Row],[DIAS LAB]]*IF(IMSS[[#This Row],[SDI]]-$J$113&gt;0,IMSS[[#This Row],[SDI]]-$J$113,0)*$Q$110</f>
        <v>6.63263835616437</v>
      </c>
      <c r="M605" s="166">
        <f ca="1">IMSS[[#This Row],[DIAS LAB]]*IMSS[[#This Row],[SDI]]*$Q$111</f>
        <v>91.022054794520557</v>
      </c>
      <c r="N605" s="163">
        <f ca="1">IMSS[[#This Row],[DIAS LAB]]*IMSS[[#This Row],[SDI]]*$Q$112</f>
        <v>60.6813698630137</v>
      </c>
      <c r="O605" s="166">
        <f ca="1">IMSS[[#This Row],[DIAS LAB]]*IMSS[[#This Row],[SDI]]*$Q$113</f>
        <v>151.70342465753427</v>
      </c>
      <c r="P605" s="163">
        <f ca="1">IMSS[[#This Row],[DIAS LAB]]*IMSS[[#This Row],[SDI]]*$Q$114</f>
        <v>86.68767123287671</v>
      </c>
      <c r="Q605" s="166">
        <f ca="1">IMSS[[#This Row],[DIAS LAB]]*IMSS[[#This Row],[SDI]]*$Q$115</f>
        <v>173.37534246575342</v>
      </c>
      <c r="R605" s="163">
        <f ca="1">IMSS[[#This Row],[DIAS LAB]]*IMSS[[#This Row],[SDI]]*$Q$116</f>
        <v>273.06616438356161</v>
      </c>
      <c r="S605" s="163">
        <f ca="1">IMSS[[#This Row],[DIAS LAB]]*IMSS[[#This Row],[SDI]]*$Q$117</f>
        <v>433.43835616438355</v>
      </c>
      <c r="T605" s="164">
        <f ca="1">SUM(IMSS[[#This Row],[P RSG TRB]:[P INFONAVIT]])</f>
        <v>1872.2005056164385</v>
      </c>
      <c r="U605" s="163">
        <f ca="1">IMSS[[#This Row],[DIAS LAB]]*IMSS[[#This Row],[SDI]]*IMSS[[#This Row],[% RSG]]*$R$108</f>
        <v>0</v>
      </c>
      <c r="V605" s="163">
        <f ca="1">IMSS[[#This Row],[DIAS LAB]]*IMSS[[#This Row],[SDI]]*$R$112</f>
        <v>21.671917808219177</v>
      </c>
      <c r="W605" s="163"/>
      <c r="X605" s="163">
        <f ca="1">IMSS[[#This Row],[DIAS LAB]]*IMSS[[#This Row],[SDI]]*$R$113</f>
        <v>54.613232876712324</v>
      </c>
      <c r="Y605" s="163">
        <f ca="1">IMSS[[#This Row],[DIAS LAB]]*IMSS[[#This Row],[SDI]]*$R$114</f>
        <v>0</v>
      </c>
      <c r="Z605" s="163">
        <f ca="1">IMSS[[#This Row],[DIAS LAB]]*IMSS[[#This Row],[SDI]]*$R$115</f>
        <v>0</v>
      </c>
      <c r="AA605" s="163">
        <f ca="1">IMSS[[#This Row],[DIAS LAB]]*IMSS[[#This Row],[SDI]]*$R$116</f>
        <v>97.957068493150672</v>
      </c>
      <c r="AB605" s="163">
        <f ca="1">IMSS[[#This Row],[DIAS LAB]]*IMSS[[#This Row],[SDI]]*$R$117</f>
        <v>0</v>
      </c>
      <c r="AC605" s="247">
        <f ca="1">SUM(IMSS[[#This Row],[O RSG TRB]:[O INFONAVIT]])</f>
        <v>174.24221917808217</v>
      </c>
      <c r="AD605" s="163"/>
      <c r="AE605" s="165">
        <f ca="1">IMSS[[#This Row],[P TOTAL]]+IMSS[[#This Row],[O TOTAL]]</f>
        <v>2046.4427247945207</v>
      </c>
      <c r="AF605" s="163"/>
      <c r="AG605" s="163">
        <f>VLOOKUP(IMSS[[#This Row],[SUE MENS]],$AG$110:$AJ$120,1,1)</f>
        <v>5470.93</v>
      </c>
      <c r="AH605" s="163">
        <f>IMSS[[#This Row],[SUE MENS]]-IMSS[[#This Row],[LIM INF]]</f>
        <v>2479.0699999999997</v>
      </c>
      <c r="AI605" s="163">
        <f>IMSS[[#This Row],[EXC LIM INF]]*(VLOOKUP(IMSS[[#This Row],[LIM INF]],$AG$110:$AJ$120,4,0))</f>
        <v>269.72281599999997</v>
      </c>
      <c r="AJ605" s="163">
        <f>VLOOKUP(IMSS[[#This Row],[LIM INF]],$AG$110:$AJ$120,3)</f>
        <v>321.26</v>
      </c>
      <c r="AK605" s="163">
        <f>SUM(IMSS[[#This Row],[TASA EXC]]+IMSS[[#This Row],[CUOTA FIJA]])</f>
        <v>590.98281599999996</v>
      </c>
      <c r="AL605" s="163">
        <f>VLOOKUP(IMSS[[#This Row],[SUE MENS]],$AL$110:$AN$120,3,1)</f>
        <v>0</v>
      </c>
      <c r="AM605" s="248">
        <f>IF(IMSS[[#This Row],[ISR CARGO]]-IMSS[[#This Row],[SUBS ISR]]&gt;0,IMSS[[#This Row],[ISR CARGO]]-IMSS[[#This Row],[SUBS ISR]],0)</f>
        <v>590.98281599999996</v>
      </c>
      <c r="AN605" s="248">
        <f>IF(IMSS[[#This Row],[SUBS ISR]]-IMSS[[#This Row],[ISR CARGO]]&gt;0,IMSS[[#This Row],[SUBS ISR]]-IMSS[[#This Row],[ISR CARGO]],0)</f>
        <v>0</v>
      </c>
    </row>
    <row r="606" spans="3:40" ht="15" hidden="1" customHeight="1" x14ac:dyDescent="0.25">
      <c r="C606" s="243">
        <v>725</v>
      </c>
      <c r="D606" s="167" t="str">
        <f>VLOOKUP(IMSS[[#This Row],[NEM]],BDD[],2,0)</f>
        <v>Nancy Abigail Cazares Herrera</v>
      </c>
      <c r="E606" s="167" t="str">
        <f>VLOOKUP(IMSS[[#This Row],[NEM]],BDD[],9,0)</f>
        <v>COLECTIVOS</v>
      </c>
      <c r="F606" s="168">
        <v>30</v>
      </c>
      <c r="G606" s="139">
        <f>VLOOKUP(IMSS[[#This Row],[NEM]],BDD[],3,0)</f>
        <v>9450</v>
      </c>
      <c r="H606" s="139">
        <f ca="1">VLOOKUP(IMSS[[#This Row],[NEM]],BDD[],25,0)</f>
        <v>343.47945205479454</v>
      </c>
      <c r="I606" s="143">
        <f>VLOOKUP(IMSS[[#This Row],[DEPT]],$B$3:$G$49,6,0)</f>
        <v>5.4355000000000002E-3</v>
      </c>
      <c r="J606" s="163">
        <f ca="1">IMSS[[#This Row],[DIAS LAB]]*IMSS[[#This Row],[SDI]]*IMSS[[#This Row],[% RSG]]*$Q$108</f>
        <v>56.009476849315071</v>
      </c>
      <c r="K606" s="163">
        <f>IMSS[[#This Row],[DIAS LAB]]*$J$110*$Q$109</f>
        <v>548.47440000000006</v>
      </c>
      <c r="L606" s="166">
        <f ca="1">IMSS[[#This Row],[DIAS LAB]]*IF(IMSS[[#This Row],[SDI]]-$J$113&gt;0,IMSS[[#This Row],[SDI]]-$J$113,0)*$Q$110</f>
        <v>24.624419178082192</v>
      </c>
      <c r="M606" s="166">
        <f ca="1">IMSS[[#This Row],[DIAS LAB]]*IMSS[[#This Row],[SDI]]*$Q$111</f>
        <v>108.19602739726028</v>
      </c>
      <c r="N606" s="163">
        <f ca="1">IMSS[[#This Row],[DIAS LAB]]*IMSS[[#This Row],[SDI]]*$Q$112</f>
        <v>72.130684931506849</v>
      </c>
      <c r="O606" s="166">
        <f ca="1">IMSS[[#This Row],[DIAS LAB]]*IMSS[[#This Row],[SDI]]*$Q$113</f>
        <v>180.32671232876714</v>
      </c>
      <c r="P606" s="163">
        <f ca="1">IMSS[[#This Row],[DIAS LAB]]*IMSS[[#This Row],[SDI]]*$Q$114</f>
        <v>103.04383561643836</v>
      </c>
      <c r="Q606" s="166">
        <f ca="1">IMSS[[#This Row],[DIAS LAB]]*IMSS[[#This Row],[SDI]]*$Q$115</f>
        <v>206.08767123287672</v>
      </c>
      <c r="R606" s="163">
        <f ca="1">IMSS[[#This Row],[DIAS LAB]]*IMSS[[#This Row],[SDI]]*$Q$116</f>
        <v>324.58808219178081</v>
      </c>
      <c r="S606" s="163">
        <f ca="1">IMSS[[#This Row],[DIAS LAB]]*IMSS[[#This Row],[SDI]]*$Q$117</f>
        <v>515.21917808219177</v>
      </c>
      <c r="T606" s="164">
        <f ca="1">SUM(IMSS[[#This Row],[P RSG TRB]:[P INFONAVIT]])</f>
        <v>2138.7004878082193</v>
      </c>
      <c r="U606" s="163">
        <f ca="1">IMSS[[#This Row],[DIAS LAB]]*IMSS[[#This Row],[SDI]]*IMSS[[#This Row],[% RSG]]*$R$108</f>
        <v>0</v>
      </c>
      <c r="V606" s="163">
        <f ca="1">IMSS[[#This Row],[DIAS LAB]]*IMSS[[#This Row],[SDI]]*$R$112</f>
        <v>25.760958904109589</v>
      </c>
      <c r="W606" s="163"/>
      <c r="X606" s="163">
        <f ca="1">IMSS[[#This Row],[DIAS LAB]]*IMSS[[#This Row],[SDI]]*$R$113</f>
        <v>64.917616438356163</v>
      </c>
      <c r="Y606" s="163">
        <f ca="1">IMSS[[#This Row],[DIAS LAB]]*IMSS[[#This Row],[SDI]]*$R$114</f>
        <v>0</v>
      </c>
      <c r="Z606" s="163">
        <f ca="1">IMSS[[#This Row],[DIAS LAB]]*IMSS[[#This Row],[SDI]]*$R$115</f>
        <v>0</v>
      </c>
      <c r="AA606" s="163">
        <f ca="1">IMSS[[#This Row],[DIAS LAB]]*IMSS[[#This Row],[SDI]]*$R$116</f>
        <v>116.43953424657533</v>
      </c>
      <c r="AB606" s="163">
        <f ca="1">IMSS[[#This Row],[DIAS LAB]]*IMSS[[#This Row],[SDI]]*$R$117</f>
        <v>0</v>
      </c>
      <c r="AC606" s="247">
        <f ca="1">SUM(IMSS[[#This Row],[O RSG TRB]:[O INFONAVIT]])</f>
        <v>207.11810958904107</v>
      </c>
      <c r="AD606" s="163"/>
      <c r="AE606" s="165">
        <f ca="1">IMSS[[#This Row],[P TOTAL]]+IMSS[[#This Row],[O TOTAL]]</f>
        <v>2345.8185973972604</v>
      </c>
      <c r="AF606" s="163"/>
      <c r="AG606" s="163">
        <f>VLOOKUP(IMSS[[#This Row],[SUE MENS]],$AG$110:$AJ$120,1,1)</f>
        <v>5470.93</v>
      </c>
      <c r="AH606" s="163">
        <f>IMSS[[#This Row],[SUE MENS]]-IMSS[[#This Row],[LIM INF]]</f>
        <v>3979.0699999999997</v>
      </c>
      <c r="AI606" s="163">
        <f>IMSS[[#This Row],[EXC LIM INF]]*(VLOOKUP(IMSS[[#This Row],[LIM INF]],$AG$110:$AJ$120,4,0))</f>
        <v>432.92281600000001</v>
      </c>
      <c r="AJ606" s="163">
        <f>VLOOKUP(IMSS[[#This Row],[LIM INF]],$AG$110:$AJ$120,3)</f>
        <v>321.26</v>
      </c>
      <c r="AK606" s="163">
        <f>SUM(IMSS[[#This Row],[TASA EXC]]+IMSS[[#This Row],[CUOTA FIJA]])</f>
        <v>754.182816</v>
      </c>
      <c r="AL606" s="163">
        <f>VLOOKUP(IMSS[[#This Row],[SUE MENS]],$AL$110:$AN$120,3,1)</f>
        <v>0</v>
      </c>
      <c r="AM606" s="248">
        <f>IF(IMSS[[#This Row],[ISR CARGO]]-IMSS[[#This Row],[SUBS ISR]]&gt;0,IMSS[[#This Row],[ISR CARGO]]-IMSS[[#This Row],[SUBS ISR]],0)</f>
        <v>754.182816</v>
      </c>
      <c r="AN606" s="248">
        <f>IF(IMSS[[#This Row],[SUBS ISR]]-IMSS[[#This Row],[ISR CARGO]]&gt;0,IMSS[[#This Row],[SUBS ISR]]-IMSS[[#This Row],[ISR CARGO]],0)</f>
        <v>0</v>
      </c>
    </row>
    <row r="607" spans="3:40" ht="15" hidden="1" customHeight="1" x14ac:dyDescent="0.25">
      <c r="C607" s="243">
        <v>726</v>
      </c>
      <c r="D607" s="167" t="str">
        <f>VLOOKUP(IMSS[[#This Row],[NEM]],BDD[],2,0)</f>
        <v>Devany Maríana Galvan Galvan</v>
      </c>
      <c r="E607" s="167" t="str">
        <f>VLOOKUP(IMSS[[#This Row],[NEM]],BDD[],9,0)</f>
        <v>EXTERNOS</v>
      </c>
      <c r="F607" s="168">
        <v>30</v>
      </c>
      <c r="G607" s="139">
        <f>VLOOKUP(IMSS[[#This Row],[NEM]],BDD[],3,0)</f>
        <v>9541</v>
      </c>
      <c r="H607" s="139">
        <f ca="1">VLOOKUP(IMSS[[#This Row],[NEM]],BDD[],25,0)</f>
        <v>346.78703196347033</v>
      </c>
      <c r="I607" s="143">
        <f>VLOOKUP(IMSS[[#This Row],[DEPT]],$B$3:$G$49,6,0)</f>
        <v>5.4355000000000002E-3</v>
      </c>
      <c r="J607" s="163">
        <f ca="1">IMSS[[#This Row],[DIAS LAB]]*IMSS[[#This Row],[SDI]]*IMSS[[#This Row],[% RSG]]*$Q$108</f>
        <v>56.548827367123295</v>
      </c>
      <c r="K607" s="163">
        <f>IMSS[[#This Row],[DIAS LAB]]*$J$110*$Q$109</f>
        <v>548.47440000000006</v>
      </c>
      <c r="L607" s="166">
        <f ca="1">IMSS[[#This Row],[DIAS LAB]]*IF(IMSS[[#This Row],[SDI]]-$J$113&gt;0,IMSS[[#This Row],[SDI]]-$J$113,0)*$Q$110</f>
        <v>25.715920547945203</v>
      </c>
      <c r="M607" s="166">
        <f ca="1">IMSS[[#This Row],[DIAS LAB]]*IMSS[[#This Row],[SDI]]*$Q$111</f>
        <v>109.23791506849317</v>
      </c>
      <c r="N607" s="163">
        <f ca="1">IMSS[[#This Row],[DIAS LAB]]*IMSS[[#This Row],[SDI]]*$Q$112</f>
        <v>72.825276712328773</v>
      </c>
      <c r="O607" s="166">
        <f ca="1">IMSS[[#This Row],[DIAS LAB]]*IMSS[[#This Row],[SDI]]*$Q$113</f>
        <v>182.06319178082194</v>
      </c>
      <c r="P607" s="163">
        <f ca="1">IMSS[[#This Row],[DIAS LAB]]*IMSS[[#This Row],[SDI]]*$Q$114</f>
        <v>104.0361095890411</v>
      </c>
      <c r="Q607" s="166">
        <f ca="1">IMSS[[#This Row],[DIAS LAB]]*IMSS[[#This Row],[SDI]]*$Q$115</f>
        <v>208.07221917808221</v>
      </c>
      <c r="R607" s="163">
        <f ca="1">IMSS[[#This Row],[DIAS LAB]]*IMSS[[#This Row],[SDI]]*$Q$116</f>
        <v>327.71374520547948</v>
      </c>
      <c r="S607" s="163">
        <f ca="1">IMSS[[#This Row],[DIAS LAB]]*IMSS[[#This Row],[SDI]]*$Q$117</f>
        <v>520.18054794520549</v>
      </c>
      <c r="T607" s="164">
        <f ca="1">SUM(IMSS[[#This Row],[P RSG TRB]:[P INFONAVIT]])</f>
        <v>2154.868153394521</v>
      </c>
      <c r="U607" s="163">
        <f ca="1">IMSS[[#This Row],[DIAS LAB]]*IMSS[[#This Row],[SDI]]*IMSS[[#This Row],[% RSG]]*$R$108</f>
        <v>0</v>
      </c>
      <c r="V607" s="163">
        <f ca="1">IMSS[[#This Row],[DIAS LAB]]*IMSS[[#This Row],[SDI]]*$R$112</f>
        <v>26.009027397260276</v>
      </c>
      <c r="W607" s="163"/>
      <c r="X607" s="163">
        <f ca="1">IMSS[[#This Row],[DIAS LAB]]*IMSS[[#This Row],[SDI]]*$R$113</f>
        <v>65.542749041095888</v>
      </c>
      <c r="Y607" s="163">
        <f ca="1">IMSS[[#This Row],[DIAS LAB]]*IMSS[[#This Row],[SDI]]*$R$114</f>
        <v>0</v>
      </c>
      <c r="Z607" s="163">
        <f ca="1">IMSS[[#This Row],[DIAS LAB]]*IMSS[[#This Row],[SDI]]*$R$115</f>
        <v>0</v>
      </c>
      <c r="AA607" s="163">
        <f ca="1">IMSS[[#This Row],[DIAS LAB]]*IMSS[[#This Row],[SDI]]*$R$116</f>
        <v>117.56080383561644</v>
      </c>
      <c r="AB607" s="163">
        <f ca="1">IMSS[[#This Row],[DIAS LAB]]*IMSS[[#This Row],[SDI]]*$R$117</f>
        <v>0</v>
      </c>
      <c r="AC607" s="247">
        <f ca="1">SUM(IMSS[[#This Row],[O RSG TRB]:[O INFONAVIT]])</f>
        <v>209.11258027397261</v>
      </c>
      <c r="AD607" s="163"/>
      <c r="AE607" s="165">
        <f ca="1">IMSS[[#This Row],[P TOTAL]]+IMSS[[#This Row],[O TOTAL]]</f>
        <v>2363.9807336684935</v>
      </c>
      <c r="AF607" s="163"/>
      <c r="AG607" s="163">
        <f>VLOOKUP(IMSS[[#This Row],[SUE MENS]],$AG$110:$AJ$120,1,1)</f>
        <v>5470.93</v>
      </c>
      <c r="AH607" s="163">
        <f>IMSS[[#This Row],[SUE MENS]]-IMSS[[#This Row],[LIM INF]]</f>
        <v>4070.0699999999997</v>
      </c>
      <c r="AI607" s="163">
        <f>IMSS[[#This Row],[EXC LIM INF]]*(VLOOKUP(IMSS[[#This Row],[LIM INF]],$AG$110:$AJ$120,4,0))</f>
        <v>442.82361600000002</v>
      </c>
      <c r="AJ607" s="163">
        <f>VLOOKUP(IMSS[[#This Row],[LIM INF]],$AG$110:$AJ$120,3)</f>
        <v>321.26</v>
      </c>
      <c r="AK607" s="163">
        <f>SUM(IMSS[[#This Row],[TASA EXC]]+IMSS[[#This Row],[CUOTA FIJA]])</f>
        <v>764.08361600000001</v>
      </c>
      <c r="AL607" s="163">
        <f>VLOOKUP(IMSS[[#This Row],[SUE MENS]],$AL$110:$AN$120,3,1)</f>
        <v>0</v>
      </c>
      <c r="AM607" s="248">
        <f>IF(IMSS[[#This Row],[ISR CARGO]]-IMSS[[#This Row],[SUBS ISR]]&gt;0,IMSS[[#This Row],[ISR CARGO]]-IMSS[[#This Row],[SUBS ISR]],0)</f>
        <v>764.08361600000001</v>
      </c>
      <c r="AN607" s="248">
        <f>IF(IMSS[[#This Row],[SUBS ISR]]-IMSS[[#This Row],[ISR CARGO]]&gt;0,IMSS[[#This Row],[SUBS ISR]]-IMSS[[#This Row],[ISR CARGO]],0)</f>
        <v>0</v>
      </c>
    </row>
    <row r="608" spans="3:40" ht="15" hidden="1" customHeight="1" x14ac:dyDescent="0.25">
      <c r="C608" s="243">
        <v>728</v>
      </c>
      <c r="D608" s="167" t="str">
        <f>VLOOKUP(IMSS[[#This Row],[NEM]],BDD[],2,0)</f>
        <v>Maritza Samantha Ramos Serna</v>
      </c>
      <c r="E608" s="167" t="str">
        <f>VLOOKUP(IMSS[[#This Row],[NEM]],BDD[],9,0)</f>
        <v>CONTA</v>
      </c>
      <c r="F608" s="168">
        <v>30</v>
      </c>
      <c r="G608" s="139">
        <f>VLOOKUP(IMSS[[#This Row],[NEM]],BDD[],3,0)</f>
        <v>9541</v>
      </c>
      <c r="H608" s="139">
        <f ca="1">VLOOKUP(IMSS[[#This Row],[NEM]],BDD[],25,0)</f>
        <v>346.78703196347033</v>
      </c>
      <c r="I608" s="143">
        <f>VLOOKUP(IMSS[[#This Row],[DEPT]],$B$3:$G$49,6,0)</f>
        <v>5.4355000000000002E-3</v>
      </c>
      <c r="J608" s="163">
        <f ca="1">IMSS[[#This Row],[DIAS LAB]]*IMSS[[#This Row],[SDI]]*IMSS[[#This Row],[% RSG]]*$Q$108</f>
        <v>56.548827367123295</v>
      </c>
      <c r="K608" s="163">
        <f>IMSS[[#This Row],[DIAS LAB]]*$J$110*$Q$109</f>
        <v>548.47440000000006</v>
      </c>
      <c r="L608" s="166">
        <f ca="1">IMSS[[#This Row],[DIAS LAB]]*IF(IMSS[[#This Row],[SDI]]-$J$113&gt;0,IMSS[[#This Row],[SDI]]-$J$113,0)*$Q$110</f>
        <v>25.715920547945203</v>
      </c>
      <c r="M608" s="166">
        <f ca="1">IMSS[[#This Row],[DIAS LAB]]*IMSS[[#This Row],[SDI]]*$Q$111</f>
        <v>109.23791506849317</v>
      </c>
      <c r="N608" s="163">
        <f ca="1">IMSS[[#This Row],[DIAS LAB]]*IMSS[[#This Row],[SDI]]*$Q$112</f>
        <v>72.825276712328773</v>
      </c>
      <c r="O608" s="166">
        <f ca="1">IMSS[[#This Row],[DIAS LAB]]*IMSS[[#This Row],[SDI]]*$Q$113</f>
        <v>182.06319178082194</v>
      </c>
      <c r="P608" s="163">
        <f ca="1">IMSS[[#This Row],[DIAS LAB]]*IMSS[[#This Row],[SDI]]*$Q$114</f>
        <v>104.0361095890411</v>
      </c>
      <c r="Q608" s="166">
        <f ca="1">IMSS[[#This Row],[DIAS LAB]]*IMSS[[#This Row],[SDI]]*$Q$115</f>
        <v>208.07221917808221</v>
      </c>
      <c r="R608" s="163">
        <f ca="1">IMSS[[#This Row],[DIAS LAB]]*IMSS[[#This Row],[SDI]]*$Q$116</f>
        <v>327.71374520547948</v>
      </c>
      <c r="S608" s="163">
        <f ca="1">IMSS[[#This Row],[DIAS LAB]]*IMSS[[#This Row],[SDI]]*$Q$117</f>
        <v>520.18054794520549</v>
      </c>
      <c r="T608" s="164">
        <f ca="1">SUM(IMSS[[#This Row],[P RSG TRB]:[P INFONAVIT]])</f>
        <v>2154.868153394521</v>
      </c>
      <c r="U608" s="163">
        <f ca="1">IMSS[[#This Row],[DIAS LAB]]*IMSS[[#This Row],[SDI]]*IMSS[[#This Row],[% RSG]]*$R$108</f>
        <v>0</v>
      </c>
      <c r="V608" s="163">
        <f ca="1">IMSS[[#This Row],[DIAS LAB]]*IMSS[[#This Row],[SDI]]*$R$112</f>
        <v>26.009027397260276</v>
      </c>
      <c r="W608" s="163"/>
      <c r="X608" s="163">
        <f ca="1">IMSS[[#This Row],[DIAS LAB]]*IMSS[[#This Row],[SDI]]*$R$113</f>
        <v>65.542749041095888</v>
      </c>
      <c r="Y608" s="163">
        <f ca="1">IMSS[[#This Row],[DIAS LAB]]*IMSS[[#This Row],[SDI]]*$R$114</f>
        <v>0</v>
      </c>
      <c r="Z608" s="163">
        <f ca="1">IMSS[[#This Row],[DIAS LAB]]*IMSS[[#This Row],[SDI]]*$R$115</f>
        <v>0</v>
      </c>
      <c r="AA608" s="163">
        <f ca="1">IMSS[[#This Row],[DIAS LAB]]*IMSS[[#This Row],[SDI]]*$R$116</f>
        <v>117.56080383561644</v>
      </c>
      <c r="AB608" s="163">
        <f ca="1">IMSS[[#This Row],[DIAS LAB]]*IMSS[[#This Row],[SDI]]*$R$117</f>
        <v>0</v>
      </c>
      <c r="AC608" s="247">
        <f ca="1">SUM(IMSS[[#This Row],[O RSG TRB]:[O INFONAVIT]])</f>
        <v>209.11258027397261</v>
      </c>
      <c r="AD608" s="163"/>
      <c r="AE608" s="165">
        <f ca="1">IMSS[[#This Row],[P TOTAL]]+IMSS[[#This Row],[O TOTAL]]</f>
        <v>2363.9807336684935</v>
      </c>
      <c r="AF608" s="163"/>
      <c r="AG608" s="163">
        <f>VLOOKUP(IMSS[[#This Row],[SUE MENS]],$AG$110:$AJ$120,1,1)</f>
        <v>5470.93</v>
      </c>
      <c r="AH608" s="163">
        <f>IMSS[[#This Row],[SUE MENS]]-IMSS[[#This Row],[LIM INF]]</f>
        <v>4070.0699999999997</v>
      </c>
      <c r="AI608" s="163">
        <f>IMSS[[#This Row],[EXC LIM INF]]*(VLOOKUP(IMSS[[#This Row],[LIM INF]],$AG$110:$AJ$120,4,0))</f>
        <v>442.82361600000002</v>
      </c>
      <c r="AJ608" s="163">
        <f>VLOOKUP(IMSS[[#This Row],[LIM INF]],$AG$110:$AJ$120,3)</f>
        <v>321.26</v>
      </c>
      <c r="AK608" s="163">
        <f>SUM(IMSS[[#This Row],[TASA EXC]]+IMSS[[#This Row],[CUOTA FIJA]])</f>
        <v>764.08361600000001</v>
      </c>
      <c r="AL608" s="163">
        <f>VLOOKUP(IMSS[[#This Row],[SUE MENS]],$AL$110:$AN$120,3,1)</f>
        <v>0</v>
      </c>
      <c r="AM608" s="248">
        <f>IF(IMSS[[#This Row],[ISR CARGO]]-IMSS[[#This Row],[SUBS ISR]]&gt;0,IMSS[[#This Row],[ISR CARGO]]-IMSS[[#This Row],[SUBS ISR]],0)</f>
        <v>764.08361600000001</v>
      </c>
      <c r="AN608" s="248">
        <f>IF(IMSS[[#This Row],[SUBS ISR]]-IMSS[[#This Row],[ISR CARGO]]&gt;0,IMSS[[#This Row],[SUBS ISR]]-IMSS[[#This Row],[ISR CARGO]],0)</f>
        <v>0</v>
      </c>
    </row>
    <row r="609" spans="3:40" ht="15" hidden="1" customHeight="1" x14ac:dyDescent="0.25">
      <c r="C609" s="243">
        <v>730</v>
      </c>
      <c r="D609" s="167" t="str">
        <f>VLOOKUP(IMSS[[#This Row],[NEM]],BDD[],2,0)</f>
        <v>Areli Suzette Vázquez Hernández</v>
      </c>
      <c r="E609" s="167" t="str">
        <f>VLOOKUP(IMSS[[#This Row],[NEM]],BDD[],9,0)</f>
        <v>SOLUCIONES</v>
      </c>
      <c r="F609" s="168">
        <v>30</v>
      </c>
      <c r="G609" s="139">
        <f>VLOOKUP(IMSS[[#This Row],[NEM]],BDD[],3,0)</f>
        <v>9450</v>
      </c>
      <c r="H609" s="139">
        <f ca="1">VLOOKUP(IMSS[[#This Row],[NEM]],BDD[],25,0)</f>
        <v>343.47945205479454</v>
      </c>
      <c r="I609" s="143">
        <f>VLOOKUP(IMSS[[#This Row],[DEPT]],$B$3:$G$49,6,0)</f>
        <v>5.4355000000000002E-3</v>
      </c>
      <c r="J609" s="163">
        <f ca="1">IMSS[[#This Row],[DIAS LAB]]*IMSS[[#This Row],[SDI]]*IMSS[[#This Row],[% RSG]]*$Q$108</f>
        <v>56.009476849315071</v>
      </c>
      <c r="K609" s="163">
        <f>IMSS[[#This Row],[DIAS LAB]]*$J$110*$Q$109</f>
        <v>548.47440000000006</v>
      </c>
      <c r="L609" s="166">
        <f ca="1">IMSS[[#This Row],[DIAS LAB]]*IF(IMSS[[#This Row],[SDI]]-$J$113&gt;0,IMSS[[#This Row],[SDI]]-$J$113,0)*$Q$110</f>
        <v>24.624419178082192</v>
      </c>
      <c r="M609" s="166">
        <f ca="1">IMSS[[#This Row],[DIAS LAB]]*IMSS[[#This Row],[SDI]]*$Q$111</f>
        <v>108.19602739726028</v>
      </c>
      <c r="N609" s="163">
        <f ca="1">IMSS[[#This Row],[DIAS LAB]]*IMSS[[#This Row],[SDI]]*$Q$112</f>
        <v>72.130684931506849</v>
      </c>
      <c r="O609" s="166">
        <f ca="1">IMSS[[#This Row],[DIAS LAB]]*IMSS[[#This Row],[SDI]]*$Q$113</f>
        <v>180.32671232876714</v>
      </c>
      <c r="P609" s="163">
        <f ca="1">IMSS[[#This Row],[DIAS LAB]]*IMSS[[#This Row],[SDI]]*$Q$114</f>
        <v>103.04383561643836</v>
      </c>
      <c r="Q609" s="166">
        <f ca="1">IMSS[[#This Row],[DIAS LAB]]*IMSS[[#This Row],[SDI]]*$Q$115</f>
        <v>206.08767123287672</v>
      </c>
      <c r="R609" s="163">
        <f ca="1">IMSS[[#This Row],[DIAS LAB]]*IMSS[[#This Row],[SDI]]*$Q$116</f>
        <v>324.58808219178081</v>
      </c>
      <c r="S609" s="163">
        <f ca="1">IMSS[[#This Row],[DIAS LAB]]*IMSS[[#This Row],[SDI]]*$Q$117</f>
        <v>515.21917808219177</v>
      </c>
      <c r="T609" s="164">
        <f ca="1">SUM(IMSS[[#This Row],[P RSG TRB]:[P INFONAVIT]])</f>
        <v>2138.7004878082193</v>
      </c>
      <c r="U609" s="163">
        <f ca="1">IMSS[[#This Row],[DIAS LAB]]*IMSS[[#This Row],[SDI]]*IMSS[[#This Row],[% RSG]]*$R$108</f>
        <v>0</v>
      </c>
      <c r="V609" s="163">
        <f ca="1">IMSS[[#This Row],[DIAS LAB]]*IMSS[[#This Row],[SDI]]*$R$112</f>
        <v>25.760958904109589</v>
      </c>
      <c r="W609" s="163"/>
      <c r="X609" s="163">
        <f ca="1">IMSS[[#This Row],[DIAS LAB]]*IMSS[[#This Row],[SDI]]*$R$113</f>
        <v>64.917616438356163</v>
      </c>
      <c r="Y609" s="163">
        <f ca="1">IMSS[[#This Row],[DIAS LAB]]*IMSS[[#This Row],[SDI]]*$R$114</f>
        <v>0</v>
      </c>
      <c r="Z609" s="163">
        <f ca="1">IMSS[[#This Row],[DIAS LAB]]*IMSS[[#This Row],[SDI]]*$R$115</f>
        <v>0</v>
      </c>
      <c r="AA609" s="163">
        <f ca="1">IMSS[[#This Row],[DIAS LAB]]*IMSS[[#This Row],[SDI]]*$R$116</f>
        <v>116.43953424657533</v>
      </c>
      <c r="AB609" s="163">
        <f ca="1">IMSS[[#This Row],[DIAS LAB]]*IMSS[[#This Row],[SDI]]*$R$117</f>
        <v>0</v>
      </c>
      <c r="AC609" s="247">
        <f ca="1">SUM(IMSS[[#This Row],[O RSG TRB]:[O INFONAVIT]])</f>
        <v>207.11810958904107</v>
      </c>
      <c r="AD609" s="163"/>
      <c r="AE609" s="165">
        <f ca="1">IMSS[[#This Row],[P TOTAL]]+IMSS[[#This Row],[O TOTAL]]</f>
        <v>2345.8185973972604</v>
      </c>
      <c r="AF609" s="163"/>
      <c r="AG609" s="163">
        <f>VLOOKUP(IMSS[[#This Row],[SUE MENS]],$AG$110:$AJ$120,1,1)</f>
        <v>5470.93</v>
      </c>
      <c r="AH609" s="163">
        <f>IMSS[[#This Row],[SUE MENS]]-IMSS[[#This Row],[LIM INF]]</f>
        <v>3979.0699999999997</v>
      </c>
      <c r="AI609" s="163">
        <f>IMSS[[#This Row],[EXC LIM INF]]*(VLOOKUP(IMSS[[#This Row],[LIM INF]],$AG$110:$AJ$120,4,0))</f>
        <v>432.92281600000001</v>
      </c>
      <c r="AJ609" s="163">
        <f>VLOOKUP(IMSS[[#This Row],[LIM INF]],$AG$110:$AJ$120,3)</f>
        <v>321.26</v>
      </c>
      <c r="AK609" s="163">
        <f>SUM(IMSS[[#This Row],[TASA EXC]]+IMSS[[#This Row],[CUOTA FIJA]])</f>
        <v>754.182816</v>
      </c>
      <c r="AL609" s="163">
        <f>VLOOKUP(IMSS[[#This Row],[SUE MENS]],$AL$110:$AN$120,3,1)</f>
        <v>0</v>
      </c>
      <c r="AM609" s="248">
        <f>IF(IMSS[[#This Row],[ISR CARGO]]-IMSS[[#This Row],[SUBS ISR]]&gt;0,IMSS[[#This Row],[ISR CARGO]]-IMSS[[#This Row],[SUBS ISR]],0)</f>
        <v>754.182816</v>
      </c>
      <c r="AN609" s="248">
        <f>IF(IMSS[[#This Row],[SUBS ISR]]-IMSS[[#This Row],[ISR CARGO]]&gt;0,IMSS[[#This Row],[SUBS ISR]]-IMSS[[#This Row],[ISR CARGO]],0)</f>
        <v>0</v>
      </c>
    </row>
    <row r="610" spans="3:40" ht="15" hidden="1" customHeight="1" x14ac:dyDescent="0.25">
      <c r="C610" s="243">
        <v>731</v>
      </c>
      <c r="D610" s="167" t="str">
        <f>VLOOKUP(IMSS[[#This Row],[NEM]],BDD[],2,0)</f>
        <v>Silvia Villalva Guzman</v>
      </c>
      <c r="E610" s="167" t="str">
        <f>VLOOKUP(IMSS[[#This Row],[NEM]],BDD[],9,0)</f>
        <v>INST CAMPO</v>
      </c>
      <c r="F610" s="168">
        <v>30</v>
      </c>
      <c r="G610" s="139">
        <f>VLOOKUP(IMSS[[#This Row],[NEM]],BDD[],3,0)</f>
        <v>8825</v>
      </c>
      <c r="H610" s="139">
        <f ca="1">VLOOKUP(IMSS[[#This Row],[NEM]],BDD[],25,0)</f>
        <v>320.76255707762556</v>
      </c>
      <c r="I610" s="143">
        <f>VLOOKUP(IMSS[[#This Row],[DEPT]],$B$3:$G$49,6,0)</f>
        <v>4.6532499999999997E-2</v>
      </c>
      <c r="J610" s="163">
        <f ca="1">IMSS[[#This Row],[DIAS LAB]]*IMSS[[#This Row],[SDI]]*IMSS[[#This Row],[% RSG]]*$Q$108</f>
        <v>447.77651061643832</v>
      </c>
      <c r="K610" s="163">
        <f>IMSS[[#This Row],[DIAS LAB]]*$J$110*$Q$109</f>
        <v>548.47440000000006</v>
      </c>
      <c r="L610" s="166">
        <f ca="1">IMSS[[#This Row],[DIAS LAB]]*IF(IMSS[[#This Row],[SDI]]-$J$113&gt;0,IMSS[[#This Row],[SDI]]-$J$113,0)*$Q$110</f>
        <v>17.127843835616432</v>
      </c>
      <c r="M610" s="166">
        <f ca="1">IMSS[[#This Row],[DIAS LAB]]*IMSS[[#This Row],[SDI]]*$Q$111</f>
        <v>101.04020547945206</v>
      </c>
      <c r="N610" s="163">
        <f ca="1">IMSS[[#This Row],[DIAS LAB]]*IMSS[[#This Row],[SDI]]*$Q$112</f>
        <v>67.36013698630137</v>
      </c>
      <c r="O610" s="166">
        <f ca="1">IMSS[[#This Row],[DIAS LAB]]*IMSS[[#This Row],[SDI]]*$Q$113</f>
        <v>168.40034246575345</v>
      </c>
      <c r="P610" s="163">
        <f ca="1">IMSS[[#This Row],[DIAS LAB]]*IMSS[[#This Row],[SDI]]*$Q$114</f>
        <v>96.228767123287668</v>
      </c>
      <c r="Q610" s="166">
        <f ca="1">IMSS[[#This Row],[DIAS LAB]]*IMSS[[#This Row],[SDI]]*$Q$115</f>
        <v>192.45753424657534</v>
      </c>
      <c r="R610" s="163">
        <f ca="1">IMSS[[#This Row],[DIAS LAB]]*IMSS[[#This Row],[SDI]]*$Q$116</f>
        <v>303.12061643835619</v>
      </c>
      <c r="S610" s="163">
        <f ca="1">IMSS[[#This Row],[DIAS LAB]]*IMSS[[#This Row],[SDI]]*$Q$117</f>
        <v>481.14383561643837</v>
      </c>
      <c r="T610" s="164">
        <f ca="1">SUM(IMSS[[#This Row],[P RSG TRB]:[P INFONAVIT]])</f>
        <v>2423.1301928082194</v>
      </c>
      <c r="U610" s="163">
        <f ca="1">IMSS[[#This Row],[DIAS LAB]]*IMSS[[#This Row],[SDI]]*IMSS[[#This Row],[% RSG]]*$R$108</f>
        <v>0</v>
      </c>
      <c r="V610" s="163">
        <f ca="1">IMSS[[#This Row],[DIAS LAB]]*IMSS[[#This Row],[SDI]]*$R$112</f>
        <v>24.057191780821917</v>
      </c>
      <c r="W610" s="163"/>
      <c r="X610" s="163">
        <f ca="1">IMSS[[#This Row],[DIAS LAB]]*IMSS[[#This Row],[SDI]]*$R$113</f>
        <v>60.624123287671232</v>
      </c>
      <c r="Y610" s="163">
        <f ca="1">IMSS[[#This Row],[DIAS LAB]]*IMSS[[#This Row],[SDI]]*$R$114</f>
        <v>0</v>
      </c>
      <c r="Z610" s="163">
        <f ca="1">IMSS[[#This Row],[DIAS LAB]]*IMSS[[#This Row],[SDI]]*$R$115</f>
        <v>0</v>
      </c>
      <c r="AA610" s="163">
        <f ca="1">IMSS[[#This Row],[DIAS LAB]]*IMSS[[#This Row],[SDI]]*$R$116</f>
        <v>108.73850684931506</v>
      </c>
      <c r="AB610" s="163">
        <f ca="1">IMSS[[#This Row],[DIAS LAB]]*IMSS[[#This Row],[SDI]]*$R$117</f>
        <v>0</v>
      </c>
      <c r="AC610" s="247">
        <f ca="1">SUM(IMSS[[#This Row],[O RSG TRB]:[O INFONAVIT]])</f>
        <v>193.41982191780821</v>
      </c>
      <c r="AD610" s="163"/>
      <c r="AE610" s="165">
        <f ca="1">IMSS[[#This Row],[P TOTAL]]+IMSS[[#This Row],[O TOTAL]]</f>
        <v>2616.5500147260277</v>
      </c>
      <c r="AF610" s="163"/>
      <c r="AG610" s="163">
        <f>VLOOKUP(IMSS[[#This Row],[SUE MENS]],$AG$110:$AJ$120,1,1)</f>
        <v>5470.93</v>
      </c>
      <c r="AH610" s="163">
        <f>IMSS[[#This Row],[SUE MENS]]-IMSS[[#This Row],[LIM INF]]</f>
        <v>3354.0699999999997</v>
      </c>
      <c r="AI610" s="163">
        <f>IMSS[[#This Row],[EXC LIM INF]]*(VLOOKUP(IMSS[[#This Row],[LIM INF]],$AG$110:$AJ$120,4,0))</f>
        <v>364.92281600000001</v>
      </c>
      <c r="AJ610" s="163">
        <f>VLOOKUP(IMSS[[#This Row],[LIM INF]],$AG$110:$AJ$120,3)</f>
        <v>321.26</v>
      </c>
      <c r="AK610" s="163">
        <f>SUM(IMSS[[#This Row],[TASA EXC]]+IMSS[[#This Row],[CUOTA FIJA]])</f>
        <v>686.182816</v>
      </c>
      <c r="AL610" s="163">
        <f>VLOOKUP(IMSS[[#This Row],[SUE MENS]],$AL$110:$AN$120,3,1)</f>
        <v>0</v>
      </c>
      <c r="AM610" s="248">
        <f>IF(IMSS[[#This Row],[ISR CARGO]]-IMSS[[#This Row],[SUBS ISR]]&gt;0,IMSS[[#This Row],[ISR CARGO]]-IMSS[[#This Row],[SUBS ISR]],0)</f>
        <v>686.182816</v>
      </c>
      <c r="AN610" s="248">
        <f>IF(IMSS[[#This Row],[SUBS ISR]]-IMSS[[#This Row],[ISR CARGO]]&gt;0,IMSS[[#This Row],[SUBS ISR]]-IMSS[[#This Row],[ISR CARGO]],0)</f>
        <v>0</v>
      </c>
    </row>
    <row r="611" spans="3:40" ht="15" hidden="1" customHeight="1" x14ac:dyDescent="0.25">
      <c r="C611" s="243">
        <v>733</v>
      </c>
      <c r="D611" s="167" t="str">
        <f>VLOOKUP(IMSS[[#This Row],[NEM]],BDD[],2,0)</f>
        <v>María Guadalupe Carrillo Chavez</v>
      </c>
      <c r="E611" s="167" t="str">
        <f>VLOOKUP(IMSS[[#This Row],[NEM]],BDD[],9,0)</f>
        <v>COLECTIVOS</v>
      </c>
      <c r="F611" s="168">
        <v>30</v>
      </c>
      <c r="G611" s="139">
        <f>VLOOKUP(IMSS[[#This Row],[NEM]],BDD[],3,0)</f>
        <v>7445</v>
      </c>
      <c r="H611" s="139">
        <f ca="1">VLOOKUP(IMSS[[#This Row],[NEM]],BDD[],25,0)</f>
        <v>270.6036529680365</v>
      </c>
      <c r="I611" s="143">
        <f>VLOOKUP(IMSS[[#This Row],[DEPT]],$B$3:$G$49,6,0)</f>
        <v>5.4355000000000002E-3</v>
      </c>
      <c r="J611" s="163">
        <f ca="1">IMSS[[#This Row],[DIAS LAB]]*IMSS[[#This Row],[SDI]]*IMSS[[#This Row],[% RSG]]*$Q$108</f>
        <v>44.125984671232878</v>
      </c>
      <c r="K611" s="163">
        <f>IMSS[[#This Row],[DIAS LAB]]*$J$110*$Q$109</f>
        <v>548.47440000000006</v>
      </c>
      <c r="L611" s="166">
        <f ca="1">IMSS[[#This Row],[DIAS LAB]]*IF(IMSS[[#This Row],[SDI]]-$J$113&gt;0,IMSS[[#This Row],[SDI]]-$J$113,0)*$Q$110</f>
        <v>0.57540547945204024</v>
      </c>
      <c r="M611" s="166">
        <f ca="1">IMSS[[#This Row],[DIAS LAB]]*IMSS[[#This Row],[SDI]]*$Q$111</f>
        <v>85.240150684931507</v>
      </c>
      <c r="N611" s="163">
        <f ca="1">IMSS[[#This Row],[DIAS LAB]]*IMSS[[#This Row],[SDI]]*$Q$112</f>
        <v>56.826767123287667</v>
      </c>
      <c r="O611" s="166">
        <f ca="1">IMSS[[#This Row],[DIAS LAB]]*IMSS[[#This Row],[SDI]]*$Q$113</f>
        <v>142.06691780821919</v>
      </c>
      <c r="P611" s="163">
        <f ca="1">IMSS[[#This Row],[DIAS LAB]]*IMSS[[#This Row],[SDI]]*$Q$114</f>
        <v>81.181095890410958</v>
      </c>
      <c r="Q611" s="166">
        <f ca="1">IMSS[[#This Row],[DIAS LAB]]*IMSS[[#This Row],[SDI]]*$Q$115</f>
        <v>162.36219178082192</v>
      </c>
      <c r="R611" s="163">
        <f ca="1">IMSS[[#This Row],[DIAS LAB]]*IMSS[[#This Row],[SDI]]*$Q$116</f>
        <v>255.72045205479449</v>
      </c>
      <c r="S611" s="163">
        <f ca="1">IMSS[[#This Row],[DIAS LAB]]*IMSS[[#This Row],[SDI]]*$Q$117</f>
        <v>405.90547945205481</v>
      </c>
      <c r="T611" s="164">
        <f ca="1">SUM(IMSS[[#This Row],[P RSG TRB]:[P INFONAVIT]])</f>
        <v>1782.4788449452055</v>
      </c>
      <c r="U611" s="163">
        <f ca="1">IMSS[[#This Row],[DIAS LAB]]*IMSS[[#This Row],[SDI]]*IMSS[[#This Row],[% RSG]]*$R$108</f>
        <v>0</v>
      </c>
      <c r="V611" s="163">
        <f ca="1">IMSS[[#This Row],[DIAS LAB]]*IMSS[[#This Row],[SDI]]*$R$112</f>
        <v>20.29527397260274</v>
      </c>
      <c r="W611" s="163"/>
      <c r="X611" s="163">
        <f ca="1">IMSS[[#This Row],[DIAS LAB]]*IMSS[[#This Row],[SDI]]*$R$113</f>
        <v>51.144090410958903</v>
      </c>
      <c r="Y611" s="163">
        <f ca="1">IMSS[[#This Row],[DIAS LAB]]*IMSS[[#This Row],[SDI]]*$R$114</f>
        <v>0</v>
      </c>
      <c r="Z611" s="163">
        <f ca="1">IMSS[[#This Row],[DIAS LAB]]*IMSS[[#This Row],[SDI]]*$R$115</f>
        <v>0</v>
      </c>
      <c r="AA611" s="163">
        <f ca="1">IMSS[[#This Row],[DIAS LAB]]*IMSS[[#This Row],[SDI]]*$R$116</f>
        <v>91.734638356164368</v>
      </c>
      <c r="AB611" s="163">
        <f ca="1">IMSS[[#This Row],[DIAS LAB]]*IMSS[[#This Row],[SDI]]*$R$117</f>
        <v>0</v>
      </c>
      <c r="AC611" s="247">
        <f ca="1">SUM(IMSS[[#This Row],[O RSG TRB]:[O INFONAVIT]])</f>
        <v>163.17400273972601</v>
      </c>
      <c r="AD611" s="163"/>
      <c r="AE611" s="165">
        <f ca="1">IMSS[[#This Row],[P TOTAL]]+IMSS[[#This Row],[O TOTAL]]</f>
        <v>1945.6528476849317</v>
      </c>
      <c r="AF611" s="163"/>
      <c r="AG611" s="163">
        <f>VLOOKUP(IMSS[[#This Row],[SUE MENS]],$AG$110:$AJ$120,1,1)</f>
        <v>5470.93</v>
      </c>
      <c r="AH611" s="163">
        <f>IMSS[[#This Row],[SUE MENS]]-IMSS[[#This Row],[LIM INF]]</f>
        <v>1974.0699999999997</v>
      </c>
      <c r="AI611" s="163">
        <f>IMSS[[#This Row],[EXC LIM INF]]*(VLOOKUP(IMSS[[#This Row],[LIM INF]],$AG$110:$AJ$120,4,0))</f>
        <v>214.77881599999998</v>
      </c>
      <c r="AJ611" s="163">
        <f>VLOOKUP(IMSS[[#This Row],[LIM INF]],$AG$110:$AJ$120,3)</f>
        <v>321.26</v>
      </c>
      <c r="AK611" s="163">
        <f>SUM(IMSS[[#This Row],[TASA EXC]]+IMSS[[#This Row],[CUOTA FIJA]])</f>
        <v>536.038816</v>
      </c>
      <c r="AL611" s="163">
        <f>VLOOKUP(IMSS[[#This Row],[SUE MENS]],$AL$110:$AN$120,3,1)</f>
        <v>0</v>
      </c>
      <c r="AM611" s="248">
        <f>IF(IMSS[[#This Row],[ISR CARGO]]-IMSS[[#This Row],[SUBS ISR]]&gt;0,IMSS[[#This Row],[ISR CARGO]]-IMSS[[#This Row],[SUBS ISR]],0)</f>
        <v>536.038816</v>
      </c>
      <c r="AN611" s="248">
        <f>IF(IMSS[[#This Row],[SUBS ISR]]-IMSS[[#This Row],[ISR CARGO]]&gt;0,IMSS[[#This Row],[SUBS ISR]]-IMSS[[#This Row],[ISR CARGO]],0)</f>
        <v>0</v>
      </c>
    </row>
    <row r="612" spans="3:40" ht="15" hidden="1" customHeight="1" x14ac:dyDescent="0.25">
      <c r="C612" s="243">
        <v>734</v>
      </c>
      <c r="D612" s="167" t="str">
        <f>VLOOKUP(IMSS[[#This Row],[NEM]],BDD[],2,0)</f>
        <v>Ruby Isela Tolentino Bernal</v>
      </c>
      <c r="E612" s="167" t="str">
        <f>VLOOKUP(IMSS[[#This Row],[NEM]],BDD[],9,0)</f>
        <v>INST CAMPO</v>
      </c>
      <c r="F612" s="168">
        <v>30</v>
      </c>
      <c r="G612" s="139">
        <f>VLOOKUP(IMSS[[#This Row],[NEM]],BDD[],3,0)</f>
        <v>9541</v>
      </c>
      <c r="H612" s="139">
        <f ca="1">VLOOKUP(IMSS[[#This Row],[NEM]],BDD[],25,0)</f>
        <v>346.78703196347033</v>
      </c>
      <c r="I612" s="143">
        <f>VLOOKUP(IMSS[[#This Row],[DEPT]],$B$3:$G$49,6,0)</f>
        <v>4.6532499999999997E-2</v>
      </c>
      <c r="J612" s="163">
        <f ca="1">IMSS[[#This Row],[DIAS LAB]]*IMSS[[#This Row],[SDI]]*IMSS[[#This Row],[% RSG]]*$Q$108</f>
        <v>484.10602694520549</v>
      </c>
      <c r="K612" s="163">
        <f>IMSS[[#This Row],[DIAS LAB]]*$J$110*$Q$109</f>
        <v>548.47440000000006</v>
      </c>
      <c r="L612" s="166">
        <f ca="1">IMSS[[#This Row],[DIAS LAB]]*IF(IMSS[[#This Row],[SDI]]-$J$113&gt;0,IMSS[[#This Row],[SDI]]-$J$113,0)*$Q$110</f>
        <v>25.715920547945203</v>
      </c>
      <c r="M612" s="166">
        <f ca="1">IMSS[[#This Row],[DIAS LAB]]*IMSS[[#This Row],[SDI]]*$Q$111</f>
        <v>109.23791506849317</v>
      </c>
      <c r="N612" s="163">
        <f ca="1">IMSS[[#This Row],[DIAS LAB]]*IMSS[[#This Row],[SDI]]*$Q$112</f>
        <v>72.825276712328773</v>
      </c>
      <c r="O612" s="166">
        <f ca="1">IMSS[[#This Row],[DIAS LAB]]*IMSS[[#This Row],[SDI]]*$Q$113</f>
        <v>182.06319178082194</v>
      </c>
      <c r="P612" s="163">
        <f ca="1">IMSS[[#This Row],[DIAS LAB]]*IMSS[[#This Row],[SDI]]*$Q$114</f>
        <v>104.0361095890411</v>
      </c>
      <c r="Q612" s="166">
        <f ca="1">IMSS[[#This Row],[DIAS LAB]]*IMSS[[#This Row],[SDI]]*$Q$115</f>
        <v>208.07221917808221</v>
      </c>
      <c r="R612" s="163">
        <f ca="1">IMSS[[#This Row],[DIAS LAB]]*IMSS[[#This Row],[SDI]]*$Q$116</f>
        <v>327.71374520547948</v>
      </c>
      <c r="S612" s="163">
        <f ca="1">IMSS[[#This Row],[DIAS LAB]]*IMSS[[#This Row],[SDI]]*$Q$117</f>
        <v>520.18054794520549</v>
      </c>
      <c r="T612" s="164">
        <f ca="1">SUM(IMSS[[#This Row],[P RSG TRB]:[P INFONAVIT]])</f>
        <v>2582.4253529726029</v>
      </c>
      <c r="U612" s="163">
        <f ca="1">IMSS[[#This Row],[DIAS LAB]]*IMSS[[#This Row],[SDI]]*IMSS[[#This Row],[% RSG]]*$R$108</f>
        <v>0</v>
      </c>
      <c r="V612" s="163">
        <f ca="1">IMSS[[#This Row],[DIAS LAB]]*IMSS[[#This Row],[SDI]]*$R$112</f>
        <v>26.009027397260276</v>
      </c>
      <c r="W612" s="163"/>
      <c r="X612" s="163">
        <f ca="1">IMSS[[#This Row],[DIAS LAB]]*IMSS[[#This Row],[SDI]]*$R$113</f>
        <v>65.542749041095888</v>
      </c>
      <c r="Y612" s="163">
        <f ca="1">IMSS[[#This Row],[DIAS LAB]]*IMSS[[#This Row],[SDI]]*$R$114</f>
        <v>0</v>
      </c>
      <c r="Z612" s="163">
        <f ca="1">IMSS[[#This Row],[DIAS LAB]]*IMSS[[#This Row],[SDI]]*$R$115</f>
        <v>0</v>
      </c>
      <c r="AA612" s="163">
        <f ca="1">IMSS[[#This Row],[DIAS LAB]]*IMSS[[#This Row],[SDI]]*$R$116</f>
        <v>117.56080383561644</v>
      </c>
      <c r="AB612" s="163">
        <f ca="1">IMSS[[#This Row],[DIAS LAB]]*IMSS[[#This Row],[SDI]]*$R$117</f>
        <v>0</v>
      </c>
      <c r="AC612" s="247">
        <f ca="1">SUM(IMSS[[#This Row],[O RSG TRB]:[O INFONAVIT]])</f>
        <v>209.11258027397261</v>
      </c>
      <c r="AD612" s="163"/>
      <c r="AE612" s="165">
        <f ca="1">IMSS[[#This Row],[P TOTAL]]+IMSS[[#This Row],[O TOTAL]]</f>
        <v>2791.5379332465754</v>
      </c>
      <c r="AF612" s="163"/>
      <c r="AG612" s="163">
        <f>VLOOKUP(IMSS[[#This Row],[SUE MENS]],$AG$110:$AJ$120,1,1)</f>
        <v>5470.93</v>
      </c>
      <c r="AH612" s="163">
        <f>IMSS[[#This Row],[SUE MENS]]-IMSS[[#This Row],[LIM INF]]</f>
        <v>4070.0699999999997</v>
      </c>
      <c r="AI612" s="163">
        <f>IMSS[[#This Row],[EXC LIM INF]]*(VLOOKUP(IMSS[[#This Row],[LIM INF]],$AG$110:$AJ$120,4,0))</f>
        <v>442.82361600000002</v>
      </c>
      <c r="AJ612" s="163">
        <f>VLOOKUP(IMSS[[#This Row],[LIM INF]],$AG$110:$AJ$120,3)</f>
        <v>321.26</v>
      </c>
      <c r="AK612" s="163">
        <f>SUM(IMSS[[#This Row],[TASA EXC]]+IMSS[[#This Row],[CUOTA FIJA]])</f>
        <v>764.08361600000001</v>
      </c>
      <c r="AL612" s="163">
        <f>VLOOKUP(IMSS[[#This Row],[SUE MENS]],$AL$110:$AN$120,3,1)</f>
        <v>0</v>
      </c>
      <c r="AM612" s="248">
        <f>IF(IMSS[[#This Row],[ISR CARGO]]-IMSS[[#This Row],[SUBS ISR]]&gt;0,IMSS[[#This Row],[ISR CARGO]]-IMSS[[#This Row],[SUBS ISR]],0)</f>
        <v>764.08361600000001</v>
      </c>
      <c r="AN612" s="248">
        <f>IF(IMSS[[#This Row],[SUBS ISR]]-IMSS[[#This Row],[ISR CARGO]]&gt;0,IMSS[[#This Row],[SUBS ISR]]-IMSS[[#This Row],[ISR CARGO]],0)</f>
        <v>0</v>
      </c>
    </row>
    <row r="613" spans="3:40" ht="15" hidden="1" customHeight="1" x14ac:dyDescent="0.25">
      <c r="C613" s="243">
        <v>735</v>
      </c>
      <c r="D613" s="167" t="str">
        <f>VLOOKUP(IMSS[[#This Row],[NEM]],BDD[],2,0)</f>
        <v>Emiliana Cruz Ramirez</v>
      </c>
      <c r="E613" s="167" t="str">
        <f>VLOOKUP(IMSS[[#This Row],[NEM]],BDD[],9,0)</f>
        <v>INST CAMPO</v>
      </c>
      <c r="F613" s="168">
        <v>30</v>
      </c>
      <c r="G613" s="139">
        <f>VLOOKUP(IMSS[[#This Row],[NEM]],BDD[],3,0)</f>
        <v>7445</v>
      </c>
      <c r="H613" s="139">
        <f ca="1">VLOOKUP(IMSS[[#This Row],[NEM]],BDD[],25,0)</f>
        <v>270.6036529680365</v>
      </c>
      <c r="I613" s="143">
        <f>VLOOKUP(IMSS[[#This Row],[DEPT]],$B$3:$G$49,6,0)</f>
        <v>4.6532499999999997E-2</v>
      </c>
      <c r="J613" s="163">
        <f ca="1">IMSS[[#This Row],[DIAS LAB]]*IMSS[[#This Row],[SDI]]*IMSS[[#This Row],[% RSG]]*$Q$108</f>
        <v>377.75593445205476</v>
      </c>
      <c r="K613" s="163">
        <f>IMSS[[#This Row],[DIAS LAB]]*$J$110*$Q$109</f>
        <v>548.47440000000006</v>
      </c>
      <c r="L613" s="166">
        <f ca="1">IMSS[[#This Row],[DIAS LAB]]*IF(IMSS[[#This Row],[SDI]]-$J$113&gt;0,IMSS[[#This Row],[SDI]]-$J$113,0)*$Q$110</f>
        <v>0.57540547945204024</v>
      </c>
      <c r="M613" s="166">
        <f ca="1">IMSS[[#This Row],[DIAS LAB]]*IMSS[[#This Row],[SDI]]*$Q$111</f>
        <v>85.240150684931507</v>
      </c>
      <c r="N613" s="163">
        <f ca="1">IMSS[[#This Row],[DIAS LAB]]*IMSS[[#This Row],[SDI]]*$Q$112</f>
        <v>56.826767123287667</v>
      </c>
      <c r="O613" s="166">
        <f ca="1">IMSS[[#This Row],[DIAS LAB]]*IMSS[[#This Row],[SDI]]*$Q$113</f>
        <v>142.06691780821919</v>
      </c>
      <c r="P613" s="163">
        <f ca="1">IMSS[[#This Row],[DIAS LAB]]*IMSS[[#This Row],[SDI]]*$Q$114</f>
        <v>81.181095890410958</v>
      </c>
      <c r="Q613" s="166">
        <f ca="1">IMSS[[#This Row],[DIAS LAB]]*IMSS[[#This Row],[SDI]]*$Q$115</f>
        <v>162.36219178082192</v>
      </c>
      <c r="R613" s="163">
        <f ca="1">IMSS[[#This Row],[DIAS LAB]]*IMSS[[#This Row],[SDI]]*$Q$116</f>
        <v>255.72045205479449</v>
      </c>
      <c r="S613" s="163">
        <f ca="1">IMSS[[#This Row],[DIAS LAB]]*IMSS[[#This Row],[SDI]]*$Q$117</f>
        <v>405.90547945205481</v>
      </c>
      <c r="T613" s="164">
        <f ca="1">SUM(IMSS[[#This Row],[P RSG TRB]:[P INFONAVIT]])</f>
        <v>2116.1087947260276</v>
      </c>
      <c r="U613" s="163">
        <f ca="1">IMSS[[#This Row],[DIAS LAB]]*IMSS[[#This Row],[SDI]]*IMSS[[#This Row],[% RSG]]*$R$108</f>
        <v>0</v>
      </c>
      <c r="V613" s="163">
        <f ca="1">IMSS[[#This Row],[DIAS LAB]]*IMSS[[#This Row],[SDI]]*$R$112</f>
        <v>20.29527397260274</v>
      </c>
      <c r="W613" s="163"/>
      <c r="X613" s="163">
        <f ca="1">IMSS[[#This Row],[DIAS LAB]]*IMSS[[#This Row],[SDI]]*$R$113</f>
        <v>51.144090410958903</v>
      </c>
      <c r="Y613" s="163">
        <f ca="1">IMSS[[#This Row],[DIAS LAB]]*IMSS[[#This Row],[SDI]]*$R$114</f>
        <v>0</v>
      </c>
      <c r="Z613" s="163">
        <f ca="1">IMSS[[#This Row],[DIAS LAB]]*IMSS[[#This Row],[SDI]]*$R$115</f>
        <v>0</v>
      </c>
      <c r="AA613" s="163">
        <f ca="1">IMSS[[#This Row],[DIAS LAB]]*IMSS[[#This Row],[SDI]]*$R$116</f>
        <v>91.734638356164368</v>
      </c>
      <c r="AB613" s="163">
        <f ca="1">IMSS[[#This Row],[DIAS LAB]]*IMSS[[#This Row],[SDI]]*$R$117</f>
        <v>0</v>
      </c>
      <c r="AC613" s="247">
        <f ca="1">SUM(IMSS[[#This Row],[O RSG TRB]:[O INFONAVIT]])</f>
        <v>163.17400273972601</v>
      </c>
      <c r="AD613" s="163"/>
      <c r="AE613" s="165">
        <f ca="1">IMSS[[#This Row],[P TOTAL]]+IMSS[[#This Row],[O TOTAL]]</f>
        <v>2279.2827974657534</v>
      </c>
      <c r="AF613" s="163"/>
      <c r="AG613" s="163">
        <f>VLOOKUP(IMSS[[#This Row],[SUE MENS]],$AG$110:$AJ$120,1,1)</f>
        <v>5470.93</v>
      </c>
      <c r="AH613" s="163">
        <f>IMSS[[#This Row],[SUE MENS]]-IMSS[[#This Row],[LIM INF]]</f>
        <v>1974.0699999999997</v>
      </c>
      <c r="AI613" s="163">
        <f>IMSS[[#This Row],[EXC LIM INF]]*(VLOOKUP(IMSS[[#This Row],[LIM INF]],$AG$110:$AJ$120,4,0))</f>
        <v>214.77881599999998</v>
      </c>
      <c r="AJ613" s="163">
        <f>VLOOKUP(IMSS[[#This Row],[LIM INF]],$AG$110:$AJ$120,3)</f>
        <v>321.26</v>
      </c>
      <c r="AK613" s="163">
        <f>SUM(IMSS[[#This Row],[TASA EXC]]+IMSS[[#This Row],[CUOTA FIJA]])</f>
        <v>536.038816</v>
      </c>
      <c r="AL613" s="163">
        <f>VLOOKUP(IMSS[[#This Row],[SUE MENS]],$AL$110:$AN$120,3,1)</f>
        <v>0</v>
      </c>
      <c r="AM613" s="248">
        <f>IF(IMSS[[#This Row],[ISR CARGO]]-IMSS[[#This Row],[SUBS ISR]]&gt;0,IMSS[[#This Row],[ISR CARGO]]-IMSS[[#This Row],[SUBS ISR]],0)</f>
        <v>536.038816</v>
      </c>
      <c r="AN613" s="248">
        <f>IF(IMSS[[#This Row],[SUBS ISR]]-IMSS[[#This Row],[ISR CARGO]]&gt;0,IMSS[[#This Row],[SUBS ISR]]-IMSS[[#This Row],[ISR CARGO]],0)</f>
        <v>0</v>
      </c>
    </row>
    <row r="614" spans="3:40" ht="15" hidden="1" customHeight="1" x14ac:dyDescent="0.25">
      <c r="C614" s="243">
        <v>736</v>
      </c>
      <c r="D614" s="167" t="str">
        <f>VLOOKUP(IMSS[[#This Row],[NEM]],BDD[],2,0)</f>
        <v>Marco Antonio Martínez Guerrero</v>
      </c>
      <c r="E614" s="167" t="str">
        <f>VLOOKUP(IMSS[[#This Row],[NEM]],BDD[],9,0)</f>
        <v>INST CAMPO</v>
      </c>
      <c r="F614" s="168">
        <v>30</v>
      </c>
      <c r="G614" s="139">
        <f>VLOOKUP(IMSS[[#This Row],[NEM]],BDD[],3,0)</f>
        <v>7950</v>
      </c>
      <c r="H614" s="139">
        <f ca="1">VLOOKUP(IMSS[[#This Row],[NEM]],BDD[],25,0)</f>
        <v>288.95890410958901</v>
      </c>
      <c r="I614" s="143">
        <f>VLOOKUP(IMSS[[#This Row],[DEPT]],$B$3:$G$49,6,0)</f>
        <v>4.6532499999999997E-2</v>
      </c>
      <c r="J614" s="163">
        <f ca="1">IMSS[[#This Row],[DIAS LAB]]*IMSS[[#This Row],[SDI]]*IMSS[[#This Row],[% RSG]]*$Q$108</f>
        <v>403.37940616438351</v>
      </c>
      <c r="K614" s="163">
        <f>IMSS[[#This Row],[DIAS LAB]]*$J$110*$Q$109</f>
        <v>548.47440000000006</v>
      </c>
      <c r="L614" s="166">
        <f ca="1">IMSS[[#This Row],[DIAS LAB]]*IF(IMSS[[#This Row],[SDI]]-$J$113&gt;0,IMSS[[#This Row],[SDI]]-$J$113,0)*$Q$110</f>
        <v>6.63263835616437</v>
      </c>
      <c r="M614" s="166">
        <f ca="1">IMSS[[#This Row],[DIAS LAB]]*IMSS[[#This Row],[SDI]]*$Q$111</f>
        <v>91.022054794520557</v>
      </c>
      <c r="N614" s="163">
        <f ca="1">IMSS[[#This Row],[DIAS LAB]]*IMSS[[#This Row],[SDI]]*$Q$112</f>
        <v>60.6813698630137</v>
      </c>
      <c r="O614" s="166">
        <f ca="1">IMSS[[#This Row],[DIAS LAB]]*IMSS[[#This Row],[SDI]]*$Q$113</f>
        <v>151.70342465753427</v>
      </c>
      <c r="P614" s="163">
        <f ca="1">IMSS[[#This Row],[DIAS LAB]]*IMSS[[#This Row],[SDI]]*$Q$114</f>
        <v>86.68767123287671</v>
      </c>
      <c r="Q614" s="166">
        <f ca="1">IMSS[[#This Row],[DIAS LAB]]*IMSS[[#This Row],[SDI]]*$Q$115</f>
        <v>173.37534246575342</v>
      </c>
      <c r="R614" s="163">
        <f ca="1">IMSS[[#This Row],[DIAS LAB]]*IMSS[[#This Row],[SDI]]*$Q$116</f>
        <v>273.06616438356161</v>
      </c>
      <c r="S614" s="163">
        <f ca="1">IMSS[[#This Row],[DIAS LAB]]*IMSS[[#This Row],[SDI]]*$Q$117</f>
        <v>433.43835616438355</v>
      </c>
      <c r="T614" s="164">
        <f ca="1">SUM(IMSS[[#This Row],[P RSG TRB]:[P INFONAVIT]])</f>
        <v>2228.4608280821917</v>
      </c>
      <c r="U614" s="163">
        <f ca="1">IMSS[[#This Row],[DIAS LAB]]*IMSS[[#This Row],[SDI]]*IMSS[[#This Row],[% RSG]]*$R$108</f>
        <v>0</v>
      </c>
      <c r="V614" s="163">
        <f ca="1">IMSS[[#This Row],[DIAS LAB]]*IMSS[[#This Row],[SDI]]*$R$112</f>
        <v>21.671917808219177</v>
      </c>
      <c r="W614" s="163"/>
      <c r="X614" s="163">
        <f ca="1">IMSS[[#This Row],[DIAS LAB]]*IMSS[[#This Row],[SDI]]*$R$113</f>
        <v>54.613232876712324</v>
      </c>
      <c r="Y614" s="163">
        <f ca="1">IMSS[[#This Row],[DIAS LAB]]*IMSS[[#This Row],[SDI]]*$R$114</f>
        <v>0</v>
      </c>
      <c r="Z614" s="163">
        <f ca="1">IMSS[[#This Row],[DIAS LAB]]*IMSS[[#This Row],[SDI]]*$R$115</f>
        <v>0</v>
      </c>
      <c r="AA614" s="163">
        <f ca="1">IMSS[[#This Row],[DIAS LAB]]*IMSS[[#This Row],[SDI]]*$R$116</f>
        <v>97.957068493150672</v>
      </c>
      <c r="AB614" s="163">
        <f ca="1">IMSS[[#This Row],[DIAS LAB]]*IMSS[[#This Row],[SDI]]*$R$117</f>
        <v>0</v>
      </c>
      <c r="AC614" s="247">
        <f ca="1">SUM(IMSS[[#This Row],[O RSG TRB]:[O INFONAVIT]])</f>
        <v>174.24221917808217</v>
      </c>
      <c r="AD614" s="163"/>
      <c r="AE614" s="165">
        <f ca="1">IMSS[[#This Row],[P TOTAL]]+IMSS[[#This Row],[O TOTAL]]</f>
        <v>2402.7030472602737</v>
      </c>
      <c r="AF614" s="163"/>
      <c r="AG614" s="163">
        <f>VLOOKUP(IMSS[[#This Row],[SUE MENS]],$AG$110:$AJ$120,1,1)</f>
        <v>5470.93</v>
      </c>
      <c r="AH614" s="163">
        <f>IMSS[[#This Row],[SUE MENS]]-IMSS[[#This Row],[LIM INF]]</f>
        <v>2479.0699999999997</v>
      </c>
      <c r="AI614" s="163">
        <f>IMSS[[#This Row],[EXC LIM INF]]*(VLOOKUP(IMSS[[#This Row],[LIM INF]],$AG$110:$AJ$120,4,0))</f>
        <v>269.72281599999997</v>
      </c>
      <c r="AJ614" s="163">
        <f>VLOOKUP(IMSS[[#This Row],[LIM INF]],$AG$110:$AJ$120,3)</f>
        <v>321.26</v>
      </c>
      <c r="AK614" s="163">
        <f>SUM(IMSS[[#This Row],[TASA EXC]]+IMSS[[#This Row],[CUOTA FIJA]])</f>
        <v>590.98281599999996</v>
      </c>
      <c r="AL614" s="163">
        <f>VLOOKUP(IMSS[[#This Row],[SUE MENS]],$AL$110:$AN$120,3,1)</f>
        <v>0</v>
      </c>
      <c r="AM614" s="248">
        <f>IF(IMSS[[#This Row],[ISR CARGO]]-IMSS[[#This Row],[SUBS ISR]]&gt;0,IMSS[[#This Row],[ISR CARGO]]-IMSS[[#This Row],[SUBS ISR]],0)</f>
        <v>590.98281599999996</v>
      </c>
      <c r="AN614" s="248">
        <f>IF(IMSS[[#This Row],[SUBS ISR]]-IMSS[[#This Row],[ISR CARGO]]&gt;0,IMSS[[#This Row],[SUBS ISR]]-IMSS[[#This Row],[ISR CARGO]],0)</f>
        <v>0</v>
      </c>
    </row>
    <row r="615" spans="3:40" ht="15" hidden="1" customHeight="1" x14ac:dyDescent="0.25">
      <c r="C615" s="243">
        <v>737</v>
      </c>
      <c r="D615" s="167" t="str">
        <f>VLOOKUP(IMSS[[#This Row],[NEM]],BDD[],2,0)</f>
        <v>Josélyn Lara Garza</v>
      </c>
      <c r="E615" s="167" t="str">
        <f>VLOOKUP(IMSS[[#This Row],[NEM]],BDD[],9,0)</f>
        <v>AUDIT ADMN</v>
      </c>
      <c r="F615" s="168"/>
      <c r="G615" s="244">
        <f>VLOOKUP(IMSS[[#This Row],[NEM]],BDD[],3,0)</f>
        <v>7445</v>
      </c>
      <c r="H615" s="244">
        <f ca="1">VLOOKUP(IMSS[[#This Row],[NEM]],BDD[],25,0)</f>
        <v>270.6036529680365</v>
      </c>
      <c r="I615" s="143">
        <f>VLOOKUP(IMSS[[#This Row],[DEPT]],$B$3:$G$49,6,0)</f>
        <v>5.4355000000000002E-3</v>
      </c>
      <c r="J615" s="163">
        <f ca="1">IMSS[[#This Row],[DIAS LAB]]*IMSS[[#This Row],[SDI]]*IMSS[[#This Row],[% RSG]]*$Q$108</f>
        <v>0</v>
      </c>
      <c r="K615" s="163">
        <f>IMSS[[#This Row],[DIAS LAB]]*$J$110*$Q$109</f>
        <v>0</v>
      </c>
      <c r="L615" s="166">
        <f ca="1">IMSS[[#This Row],[DIAS LAB]]*IF(IMSS[[#This Row],[SDI]]-$J$113&gt;0,IMSS[[#This Row],[SDI]]-$J$113,0)*$Q$110</f>
        <v>0</v>
      </c>
      <c r="M615" s="163">
        <f ca="1">IMSS[[#This Row],[DIAS LAB]]*IMSS[[#This Row],[SDI]]*$Q$111</f>
        <v>0</v>
      </c>
      <c r="N615" s="166">
        <f ca="1">IMSS[[#This Row],[DIAS LAB]]*IMSS[[#This Row],[SDI]]*$Q$112</f>
        <v>0</v>
      </c>
      <c r="O615" s="163">
        <f ca="1">IMSS[[#This Row],[DIAS LAB]]*IMSS[[#This Row],[SDI]]*$Q$113</f>
        <v>0</v>
      </c>
      <c r="P615" s="166">
        <f ca="1">IMSS[[#This Row],[DIAS LAB]]*IMSS[[#This Row],[SDI]]*$Q$114</f>
        <v>0</v>
      </c>
      <c r="Q615" s="163">
        <f ca="1">IMSS[[#This Row],[DIAS LAB]]*IMSS[[#This Row],[SDI]]*$Q$115</f>
        <v>0</v>
      </c>
      <c r="R615" s="163">
        <f ca="1">IMSS[[#This Row],[DIAS LAB]]*IMSS[[#This Row],[SDI]]*$Q$116</f>
        <v>0</v>
      </c>
      <c r="S615" s="163">
        <f ca="1">IMSS[[#This Row],[DIAS LAB]]*IMSS[[#This Row],[SDI]]*$Q$117</f>
        <v>0</v>
      </c>
      <c r="T615" s="164">
        <f ca="1">SUM(IMSS[[#This Row],[P RSG TRB]:[P INFONAVIT]])</f>
        <v>0</v>
      </c>
      <c r="U615" s="163">
        <f ca="1">IMSS[[#This Row],[DIAS LAB]]*IMSS[[#This Row],[SDI]]*IMSS[[#This Row],[% RSG]]*$R$108</f>
        <v>0</v>
      </c>
      <c r="V615" s="163">
        <f ca="1">IMSS[[#This Row],[DIAS LAB]]*IMSS[[#This Row],[SDI]]*$R$112</f>
        <v>0</v>
      </c>
      <c r="W615" s="163"/>
      <c r="X615" s="163">
        <f ca="1">IMSS[[#This Row],[DIAS LAB]]*IMSS[[#This Row],[SDI]]*$R$113</f>
        <v>0</v>
      </c>
      <c r="Y615" s="163">
        <f ca="1">IMSS[[#This Row],[DIAS LAB]]*IMSS[[#This Row],[SDI]]*$R$114</f>
        <v>0</v>
      </c>
      <c r="Z615" s="163">
        <f ca="1">IMSS[[#This Row],[DIAS LAB]]*IMSS[[#This Row],[SDI]]*$R$115</f>
        <v>0</v>
      </c>
      <c r="AA615" s="163">
        <f ca="1">IMSS[[#This Row],[DIAS LAB]]*IMSS[[#This Row],[SDI]]*$R$116</f>
        <v>0</v>
      </c>
      <c r="AB615" s="163">
        <f ca="1">IMSS[[#This Row],[DIAS LAB]]*IMSS[[#This Row],[SDI]]*$R$117</f>
        <v>0</v>
      </c>
      <c r="AC615" s="247">
        <f ca="1">SUM(IMSS[[#This Row],[O RSG TRB]:[O INFONAVIT]])</f>
        <v>0</v>
      </c>
      <c r="AD615" s="163"/>
      <c r="AE615" s="165">
        <f ca="1">IMSS[[#This Row],[P TOTAL]]+IMSS[[#This Row],[O TOTAL]]</f>
        <v>0</v>
      </c>
      <c r="AG615" s="244">
        <f>VLOOKUP(IMSS[[#This Row],[SUE MENS]],$AG$110:$AJ$120,1,1)</f>
        <v>5470.93</v>
      </c>
      <c r="AH615" s="244">
        <f>IMSS[[#This Row],[SUE MENS]]-IMSS[[#This Row],[LIM INF]]</f>
        <v>1974.0699999999997</v>
      </c>
      <c r="AI615" s="163">
        <f>IMSS[[#This Row],[EXC LIM INF]]*(VLOOKUP(IMSS[[#This Row],[LIM INF]],$AG$110:$AJ$120,4,0))</f>
        <v>214.77881599999998</v>
      </c>
      <c r="AJ615" s="163">
        <f>VLOOKUP(IMSS[[#This Row],[LIM INF]],$AG$110:$AJ$120,3)</f>
        <v>321.26</v>
      </c>
      <c r="AK615" s="163">
        <f>SUM(IMSS[[#This Row],[TASA EXC]]+IMSS[[#This Row],[CUOTA FIJA]])</f>
        <v>536.038816</v>
      </c>
      <c r="AL615" s="163">
        <f>VLOOKUP(IMSS[[#This Row],[SUE MENS]],$AL$110:$AN$120,3,1)</f>
        <v>0</v>
      </c>
      <c r="AM615" s="248">
        <f>IF(IMSS[[#This Row],[ISR CARGO]]-IMSS[[#This Row],[SUBS ISR]]&gt;0,IMSS[[#This Row],[ISR CARGO]]-IMSS[[#This Row],[SUBS ISR]],0)</f>
        <v>536.038816</v>
      </c>
      <c r="AN615" s="248">
        <f>IF(IMSS[[#This Row],[SUBS ISR]]-IMSS[[#This Row],[ISR CARGO]]&gt;0,IMSS[[#This Row],[SUBS ISR]]-IMSS[[#This Row],[ISR CARGO]],0)</f>
        <v>0</v>
      </c>
    </row>
    <row r="616" spans="3:40" ht="15" hidden="1" customHeight="1" x14ac:dyDescent="0.25"/>
    <row r="617" spans="3:40" ht="15" hidden="1" customHeight="1" x14ac:dyDescent="0.25"/>
    <row r="618" spans="3:40" ht="15" hidden="1" customHeight="1" x14ac:dyDescent="0.25"/>
    <row r="619" spans="3:40" ht="15" hidden="1" customHeight="1" x14ac:dyDescent="0.25"/>
    <row r="620" spans="3:40" ht="15" hidden="1" customHeight="1" x14ac:dyDescent="0.25"/>
    <row r="621" spans="3:40" ht="15" hidden="1" customHeight="1" x14ac:dyDescent="0.25"/>
    <row r="622" spans="3:40" ht="15" hidden="1" customHeight="1" x14ac:dyDescent="0.25">
      <c r="C622" s="139"/>
      <c r="D622" s="139"/>
    </row>
    <row r="623" spans="3:40" ht="15" hidden="1" customHeight="1" x14ac:dyDescent="0.25">
      <c r="C623" s="139"/>
      <c r="D623" s="139"/>
    </row>
    <row r="624" spans="3:40" ht="15" hidden="1" customHeight="1" x14ac:dyDescent="0.25">
      <c r="C624" s="139"/>
      <c r="D624" s="139"/>
      <c r="L624" s="139" t="s">
        <v>60</v>
      </c>
      <c r="M624" s="143"/>
      <c r="N624" s="139"/>
      <c r="O624" s="143"/>
      <c r="P624" s="139"/>
    </row>
    <row r="625" spans="3:16" hidden="1" x14ac:dyDescent="0.25">
      <c r="C625" s="139"/>
      <c r="D625" s="139"/>
      <c r="L625" s="139"/>
      <c r="M625" s="143"/>
      <c r="N625" s="139"/>
      <c r="O625" s="143"/>
      <c r="P625" s="139"/>
    </row>
    <row r="626" spans="3:16" hidden="1" x14ac:dyDescent="0.25">
      <c r="C626" s="139"/>
      <c r="D626" s="139"/>
      <c r="L626" s="139"/>
      <c r="M626" s="143"/>
      <c r="N626" s="139"/>
      <c r="O626" s="143"/>
      <c r="P626" s="139"/>
    </row>
    <row r="627" spans="3:16" hidden="1" x14ac:dyDescent="0.25">
      <c r="C627" s="139"/>
      <c r="D627" s="139"/>
      <c r="L627" s="139"/>
      <c r="M627" s="143"/>
      <c r="N627" s="139"/>
      <c r="O627" s="143"/>
      <c r="P627" s="139"/>
    </row>
    <row r="628" spans="3:16" hidden="1" x14ac:dyDescent="0.25">
      <c r="C628" s="139"/>
      <c r="D628" s="139"/>
      <c r="L628" s="139"/>
      <c r="M628" s="143"/>
      <c r="N628" s="139"/>
      <c r="O628" s="143"/>
      <c r="P628" s="139"/>
    </row>
    <row r="629" spans="3:16" hidden="1" x14ac:dyDescent="0.25">
      <c r="C629" s="139"/>
      <c r="D629" s="139"/>
      <c r="L629" s="139"/>
      <c r="M629" s="143"/>
      <c r="N629" s="139"/>
      <c r="O629" s="143"/>
      <c r="P629" s="139"/>
    </row>
    <row r="630" spans="3:16" hidden="1" x14ac:dyDescent="0.25">
      <c r="C630" s="139"/>
      <c r="D630" s="139"/>
      <c r="L630" s="139"/>
      <c r="M630" s="143"/>
      <c r="N630" s="139"/>
      <c r="O630" s="143"/>
      <c r="P630" s="139"/>
    </row>
    <row r="631" spans="3:16" hidden="1" x14ac:dyDescent="0.25">
      <c r="C631" s="139"/>
      <c r="D631" s="139"/>
      <c r="L631" s="139"/>
      <c r="M631" s="143"/>
      <c r="N631" s="139"/>
      <c r="O631" s="143"/>
      <c r="P631" s="139"/>
    </row>
    <row r="632" spans="3:16" hidden="1" x14ac:dyDescent="0.25">
      <c r="C632" s="139"/>
      <c r="D632" s="139"/>
      <c r="L632" s="139"/>
      <c r="M632" s="143"/>
      <c r="N632" s="139"/>
      <c r="O632" s="143"/>
      <c r="P632" s="139"/>
    </row>
    <row r="633" spans="3:16" hidden="1" x14ac:dyDescent="0.25">
      <c r="C633" s="139"/>
      <c r="D633" s="139"/>
      <c r="L633" s="139"/>
      <c r="M633" s="143"/>
      <c r="N633" s="139"/>
      <c r="O633" s="143"/>
      <c r="P633" s="139"/>
    </row>
    <row r="634" spans="3:16" hidden="1" x14ac:dyDescent="0.25">
      <c r="C634" s="139"/>
      <c r="D634" s="139"/>
      <c r="L634" s="139"/>
      <c r="M634" s="143"/>
      <c r="N634" s="139"/>
      <c r="O634" s="143"/>
      <c r="P634" s="139"/>
    </row>
    <row r="635" spans="3:16" hidden="1" x14ac:dyDescent="0.25">
      <c r="C635" s="139"/>
      <c r="D635" s="139"/>
      <c r="L635" s="139"/>
      <c r="M635" s="143"/>
      <c r="N635" s="139"/>
      <c r="O635" s="143"/>
      <c r="P635" s="139"/>
    </row>
    <row r="636" spans="3:16" hidden="1" x14ac:dyDescent="0.25">
      <c r="C636" s="142"/>
      <c r="D636" s="139"/>
      <c r="K636" s="143"/>
      <c r="L636" s="139"/>
      <c r="M636" s="143"/>
      <c r="N636" s="139"/>
      <c r="O636" s="143"/>
      <c r="P636" s="139"/>
    </row>
    <row r="637" spans="3:16" hidden="1" x14ac:dyDescent="0.25">
      <c r="C637" s="142"/>
      <c r="D637" s="139"/>
      <c r="K637" s="143"/>
      <c r="L637" s="139"/>
      <c r="M637" s="143"/>
      <c r="N637" s="139"/>
      <c r="O637" s="143"/>
      <c r="P637" s="139"/>
    </row>
    <row r="638" spans="3:16" hidden="1" x14ac:dyDescent="0.25">
      <c r="O638" s="139" t="s">
        <v>44</v>
      </c>
      <c r="P638" s="139"/>
    </row>
    <row r="639" spans="3:16" hidden="1" x14ac:dyDescent="0.25">
      <c r="P639" s="139"/>
    </row>
    <row r="640" spans="3:16" hidden="1" x14ac:dyDescent="0.25">
      <c r="P640" s="139"/>
    </row>
    <row r="641" spans="16:16" hidden="1" x14ac:dyDescent="0.25">
      <c r="P641" s="139"/>
    </row>
    <row r="642" spans="16:16" hidden="1" x14ac:dyDescent="0.25">
      <c r="P642" s="139"/>
    </row>
    <row r="643" spans="16:16" hidden="1" x14ac:dyDescent="0.25">
      <c r="P643" s="139"/>
    </row>
    <row r="644" spans="16:16" hidden="1" x14ac:dyDescent="0.25">
      <c r="P644" s="139"/>
    </row>
    <row r="645" spans="16:16" hidden="1" x14ac:dyDescent="0.25">
      <c r="P645" s="139"/>
    </row>
    <row r="646" spans="16:16" hidden="1" x14ac:dyDescent="0.25">
      <c r="P646" s="139"/>
    </row>
    <row r="647" spans="16:16" hidden="1" x14ac:dyDescent="0.25">
      <c r="P647" s="139"/>
    </row>
    <row r="648" spans="16:16" hidden="1" x14ac:dyDescent="0.25">
      <c r="P648" s="139"/>
    </row>
    <row r="649" spans="16:16" hidden="1" x14ac:dyDescent="0.25">
      <c r="P649" s="139"/>
    </row>
    <row r="650" spans="16:16" hidden="1" x14ac:dyDescent="0.25">
      <c r="P650" s="139"/>
    </row>
    <row r="651" spans="16:16" hidden="1" x14ac:dyDescent="0.25">
      <c r="P651" s="139"/>
    </row>
    <row r="652" spans="16:16" hidden="1" x14ac:dyDescent="0.25">
      <c r="P652" s="139"/>
    </row>
    <row r="653" spans="16:16" hidden="1" x14ac:dyDescent="0.25">
      <c r="P653" s="139"/>
    </row>
    <row r="654" spans="16:16" hidden="1" x14ac:dyDescent="0.25">
      <c r="P654" s="139"/>
    </row>
    <row r="655" spans="16:16" hidden="1" x14ac:dyDescent="0.25">
      <c r="P655" s="139"/>
    </row>
    <row r="656" spans="16:16" hidden="1" x14ac:dyDescent="0.25">
      <c r="P656" s="139"/>
    </row>
    <row r="657" spans="16:16" hidden="1" x14ac:dyDescent="0.25">
      <c r="P657" s="139"/>
    </row>
    <row r="658" spans="16:16" hidden="1" x14ac:dyDescent="0.25">
      <c r="P658" s="139"/>
    </row>
    <row r="659" spans="16:16" hidden="1" x14ac:dyDescent="0.25">
      <c r="P659" s="139"/>
    </row>
    <row r="660" spans="16:16" hidden="1" x14ac:dyDescent="0.25">
      <c r="P660" s="139"/>
    </row>
    <row r="661" spans="16:16" hidden="1" x14ac:dyDescent="0.25">
      <c r="P661" s="139"/>
    </row>
    <row r="662" spans="16:16" hidden="1" x14ac:dyDescent="0.25">
      <c r="P662" s="139"/>
    </row>
    <row r="663" spans="16:16" hidden="1" x14ac:dyDescent="0.25">
      <c r="P663" s="139"/>
    </row>
    <row r="664" spans="16:16" hidden="1" x14ac:dyDescent="0.25">
      <c r="P664" s="139"/>
    </row>
    <row r="665" spans="16:16" hidden="1" x14ac:dyDescent="0.25">
      <c r="P665" s="139"/>
    </row>
    <row r="666" spans="16:16" hidden="1" x14ac:dyDescent="0.25">
      <c r="P666" s="139"/>
    </row>
    <row r="667" spans="16:16" hidden="1" x14ac:dyDescent="0.25">
      <c r="P667" s="139"/>
    </row>
    <row r="668" spans="16:16" hidden="1" x14ac:dyDescent="0.25">
      <c r="P668" s="139"/>
    </row>
    <row r="669" spans="16:16" hidden="1" x14ac:dyDescent="0.25">
      <c r="P669" s="139"/>
    </row>
    <row r="670" spans="16:16" hidden="1" x14ac:dyDescent="0.25">
      <c r="P670" s="139"/>
    </row>
    <row r="671" spans="16:16" hidden="1" x14ac:dyDescent="0.25">
      <c r="P671" s="139"/>
    </row>
    <row r="672" spans="16:16" hidden="1" x14ac:dyDescent="0.25">
      <c r="P672" s="139"/>
    </row>
    <row r="673" spans="16:16" hidden="1" x14ac:dyDescent="0.25">
      <c r="P673" s="139"/>
    </row>
    <row r="674" spans="16:16" hidden="1" x14ac:dyDescent="0.25">
      <c r="P674" s="139"/>
    </row>
    <row r="675" spans="16:16" hidden="1" x14ac:dyDescent="0.25">
      <c r="P675" s="139"/>
    </row>
    <row r="676" spans="16:16" hidden="1" x14ac:dyDescent="0.25">
      <c r="P676" s="139"/>
    </row>
    <row r="677" spans="16:16" hidden="1" x14ac:dyDescent="0.25">
      <c r="P677" s="139"/>
    </row>
    <row r="678" spans="16:16" hidden="1" x14ac:dyDescent="0.25">
      <c r="P678" s="139"/>
    </row>
    <row r="679" spans="16:16" hidden="1" x14ac:dyDescent="0.25">
      <c r="P679" s="139"/>
    </row>
    <row r="680" spans="16:16" hidden="1" x14ac:dyDescent="0.25">
      <c r="P680" s="139"/>
    </row>
    <row r="681" spans="16:16" hidden="1" x14ac:dyDescent="0.25">
      <c r="P681" s="139"/>
    </row>
    <row r="682" spans="16:16" hidden="1" x14ac:dyDescent="0.25">
      <c r="P682" s="139"/>
    </row>
    <row r="683" spans="16:16" hidden="1" x14ac:dyDescent="0.25">
      <c r="P683" s="139"/>
    </row>
    <row r="684" spans="16:16" hidden="1" x14ac:dyDescent="0.25">
      <c r="P684" s="139"/>
    </row>
    <row r="685" spans="16:16" hidden="1" x14ac:dyDescent="0.25">
      <c r="P685" s="139"/>
    </row>
    <row r="686" spans="16:16" hidden="1" x14ac:dyDescent="0.25">
      <c r="P686" s="139"/>
    </row>
    <row r="687" spans="16:16" hidden="1" x14ac:dyDescent="0.25">
      <c r="P687" s="139"/>
    </row>
    <row r="688" spans="16:16" hidden="1" x14ac:dyDescent="0.25">
      <c r="P688" s="139"/>
    </row>
    <row r="689" spans="16:16" hidden="1" x14ac:dyDescent="0.25">
      <c r="P689" s="139"/>
    </row>
    <row r="690" spans="16:16" hidden="1" x14ac:dyDescent="0.25">
      <c r="P690" s="139"/>
    </row>
    <row r="691" spans="16:16" hidden="1" x14ac:dyDescent="0.25">
      <c r="P691" s="139"/>
    </row>
    <row r="692" spans="16:16" hidden="1" x14ac:dyDescent="0.25">
      <c r="P692" s="139"/>
    </row>
    <row r="693" spans="16:16" hidden="1" x14ac:dyDescent="0.25">
      <c r="P693" s="139"/>
    </row>
    <row r="694" spans="16:16" hidden="1" x14ac:dyDescent="0.25">
      <c r="P694" s="139"/>
    </row>
    <row r="695" spans="16:16" hidden="1" x14ac:dyDescent="0.25">
      <c r="P695" s="139"/>
    </row>
    <row r="696" spans="16:16" hidden="1" x14ac:dyDescent="0.25">
      <c r="P696" s="139"/>
    </row>
    <row r="697" spans="16:16" hidden="1" x14ac:dyDescent="0.25">
      <c r="P697" s="139"/>
    </row>
    <row r="698" spans="16:16" hidden="1" x14ac:dyDescent="0.25">
      <c r="P698" s="139"/>
    </row>
    <row r="699" spans="16:16" hidden="1" x14ac:dyDescent="0.25">
      <c r="P699" s="139"/>
    </row>
    <row r="700" spans="16:16" hidden="1" x14ac:dyDescent="0.25">
      <c r="P700" s="139"/>
    </row>
    <row r="701" spans="16:16" hidden="1" x14ac:dyDescent="0.25">
      <c r="P701" s="139"/>
    </row>
    <row r="702" spans="16:16" hidden="1" x14ac:dyDescent="0.25">
      <c r="P702" s="139"/>
    </row>
    <row r="703" spans="16:16" hidden="1" x14ac:dyDescent="0.25">
      <c r="P703" s="139"/>
    </row>
    <row r="704" spans="16:16" hidden="1" x14ac:dyDescent="0.25">
      <c r="P704" s="139"/>
    </row>
    <row r="705" spans="16:16" hidden="1" x14ac:dyDescent="0.25">
      <c r="P705" s="139"/>
    </row>
    <row r="706" spans="16:16" hidden="1" x14ac:dyDescent="0.25">
      <c r="P706" s="139"/>
    </row>
    <row r="707" spans="16:16" hidden="1" x14ac:dyDescent="0.25">
      <c r="P707" s="139"/>
    </row>
    <row r="708" spans="16:16" hidden="1" x14ac:dyDescent="0.25">
      <c r="P708" s="139"/>
    </row>
    <row r="709" spans="16:16" hidden="1" x14ac:dyDescent="0.25">
      <c r="P709" s="139"/>
    </row>
    <row r="710" spans="16:16" hidden="1" x14ac:dyDescent="0.25">
      <c r="P710" s="139"/>
    </row>
    <row r="711" spans="16:16" hidden="1" x14ac:dyDescent="0.25">
      <c r="P711" s="139"/>
    </row>
    <row r="712" spans="16:16" hidden="1" x14ac:dyDescent="0.25">
      <c r="P712" s="139"/>
    </row>
    <row r="713" spans="16:16" hidden="1" x14ac:dyDescent="0.25">
      <c r="P713" s="139"/>
    </row>
    <row r="714" spans="16:16" hidden="1" x14ac:dyDescent="0.25">
      <c r="P714" s="139"/>
    </row>
    <row r="715" spans="16:16" hidden="1" x14ac:dyDescent="0.25">
      <c r="P715" s="139"/>
    </row>
    <row r="716" spans="16:16" hidden="1" x14ac:dyDescent="0.25">
      <c r="P716" s="139"/>
    </row>
    <row r="717" spans="16:16" hidden="1" x14ac:dyDescent="0.25">
      <c r="P717" s="139"/>
    </row>
    <row r="718" spans="16:16" hidden="1" x14ac:dyDescent="0.25">
      <c r="P718" s="139"/>
    </row>
    <row r="719" spans="16:16" hidden="1" x14ac:dyDescent="0.25">
      <c r="P719" s="139"/>
    </row>
    <row r="720" spans="16:16" hidden="1" x14ac:dyDescent="0.25">
      <c r="P720" s="139"/>
    </row>
    <row r="721" spans="16:16" hidden="1" x14ac:dyDescent="0.25">
      <c r="P721" s="139"/>
    </row>
    <row r="722" spans="16:16" hidden="1" x14ac:dyDescent="0.25">
      <c r="P722" s="139"/>
    </row>
    <row r="723" spans="16:16" hidden="1" x14ac:dyDescent="0.25">
      <c r="P723" s="139"/>
    </row>
    <row r="724" spans="16:16" hidden="1" x14ac:dyDescent="0.25">
      <c r="P724" s="139"/>
    </row>
    <row r="725" spans="16:16" hidden="1" x14ac:dyDescent="0.25">
      <c r="P725" s="139"/>
    </row>
    <row r="726" spans="16:16" hidden="1" x14ac:dyDescent="0.25">
      <c r="P726" s="139"/>
    </row>
    <row r="727" spans="16:16" hidden="1" x14ac:dyDescent="0.25">
      <c r="P727" s="139"/>
    </row>
    <row r="728" spans="16:16" hidden="1" x14ac:dyDescent="0.25">
      <c r="P728" s="139"/>
    </row>
    <row r="729" spans="16:16" hidden="1" x14ac:dyDescent="0.25">
      <c r="P729" s="139"/>
    </row>
    <row r="730" spans="16:16" hidden="1" x14ac:dyDescent="0.25">
      <c r="P730" s="139"/>
    </row>
    <row r="731" spans="16:16" hidden="1" x14ac:dyDescent="0.25">
      <c r="P731" s="139"/>
    </row>
    <row r="732" spans="16:16" hidden="1" x14ac:dyDescent="0.25">
      <c r="P732" s="139"/>
    </row>
    <row r="733" spans="16:16" hidden="1" x14ac:dyDescent="0.25">
      <c r="P733" s="139"/>
    </row>
    <row r="734" spans="16:16" hidden="1" x14ac:dyDescent="0.25">
      <c r="P734" s="139"/>
    </row>
    <row r="735" spans="16:16" hidden="1" x14ac:dyDescent="0.25">
      <c r="P735" s="139"/>
    </row>
    <row r="736" spans="16:16" hidden="1" x14ac:dyDescent="0.25">
      <c r="P736" s="139"/>
    </row>
    <row r="737" spans="16:16" hidden="1" x14ac:dyDescent="0.25">
      <c r="P737" s="139"/>
    </row>
    <row r="738" spans="16:16" hidden="1" x14ac:dyDescent="0.25">
      <c r="P738" s="139"/>
    </row>
    <row r="739" spans="16:16" hidden="1" x14ac:dyDescent="0.25">
      <c r="P739" s="139"/>
    </row>
    <row r="740" spans="16:16" hidden="1" x14ac:dyDescent="0.25">
      <c r="P740" s="139"/>
    </row>
    <row r="741" spans="16:16" hidden="1" x14ac:dyDescent="0.25">
      <c r="P741" s="139"/>
    </row>
    <row r="742" spans="16:16" hidden="1" x14ac:dyDescent="0.25">
      <c r="P742" s="139"/>
    </row>
    <row r="743" spans="16:16" hidden="1" x14ac:dyDescent="0.25">
      <c r="P743" s="139"/>
    </row>
    <row r="744" spans="16:16" hidden="1" x14ac:dyDescent="0.25">
      <c r="P744" s="139"/>
    </row>
    <row r="745" spans="16:16" hidden="1" x14ac:dyDescent="0.25">
      <c r="P745" s="139"/>
    </row>
    <row r="746" spans="16:16" hidden="1" x14ac:dyDescent="0.25">
      <c r="P746" s="139"/>
    </row>
    <row r="747" spans="16:16" hidden="1" x14ac:dyDescent="0.25">
      <c r="P747" s="139"/>
    </row>
    <row r="748" spans="16:16" hidden="1" x14ac:dyDescent="0.25">
      <c r="P748" s="139"/>
    </row>
    <row r="749" spans="16:16" hidden="1" x14ac:dyDescent="0.25">
      <c r="P749" s="139"/>
    </row>
    <row r="750" spans="16:16" hidden="1" x14ac:dyDescent="0.25">
      <c r="P750" s="139"/>
    </row>
    <row r="751" spans="16:16" hidden="1" x14ac:dyDescent="0.25">
      <c r="P751" s="139"/>
    </row>
    <row r="752" spans="16:16" hidden="1" x14ac:dyDescent="0.25">
      <c r="P752" s="139"/>
    </row>
    <row r="753" spans="16:16" hidden="1" x14ac:dyDescent="0.25">
      <c r="P753" s="139"/>
    </row>
    <row r="754" spans="16:16" hidden="1" x14ac:dyDescent="0.25">
      <c r="P754" s="139"/>
    </row>
    <row r="755" spans="16:16" hidden="1" x14ac:dyDescent="0.25">
      <c r="P755" s="139"/>
    </row>
    <row r="756" spans="16:16" hidden="1" x14ac:dyDescent="0.25">
      <c r="P756" s="139"/>
    </row>
    <row r="757" spans="16:16" hidden="1" x14ac:dyDescent="0.25">
      <c r="P757" s="139"/>
    </row>
    <row r="758" spans="16:16" hidden="1" x14ac:dyDescent="0.25">
      <c r="P758" s="139"/>
    </row>
    <row r="759" spans="16:16" hidden="1" x14ac:dyDescent="0.25">
      <c r="P759" s="139"/>
    </row>
    <row r="760" spans="16:16" hidden="1" x14ac:dyDescent="0.25">
      <c r="P760" s="139"/>
    </row>
    <row r="761" spans="16:16" hidden="1" x14ac:dyDescent="0.25">
      <c r="P761" s="139"/>
    </row>
    <row r="762" spans="16:16" hidden="1" x14ac:dyDescent="0.25">
      <c r="P762" s="139"/>
    </row>
    <row r="763" spans="16:16" hidden="1" x14ac:dyDescent="0.25">
      <c r="P763" s="139"/>
    </row>
    <row r="764" spans="16:16" hidden="1" x14ac:dyDescent="0.25">
      <c r="P764" s="139"/>
    </row>
    <row r="765" spans="16:16" hidden="1" x14ac:dyDescent="0.25">
      <c r="P765" s="139"/>
    </row>
    <row r="766" spans="16:16" hidden="1" x14ac:dyDescent="0.25">
      <c r="P766" s="139"/>
    </row>
    <row r="767" spans="16:16" hidden="1" x14ac:dyDescent="0.25">
      <c r="P767" s="139"/>
    </row>
    <row r="768" spans="16:16" hidden="1" x14ac:dyDescent="0.25">
      <c r="P768" s="139"/>
    </row>
    <row r="769" spans="16:16" hidden="1" x14ac:dyDescent="0.25">
      <c r="P769" s="139"/>
    </row>
    <row r="770" spans="16:16" hidden="1" x14ac:dyDescent="0.25">
      <c r="P770" s="139"/>
    </row>
    <row r="771" spans="16:16" hidden="1" x14ac:dyDescent="0.25">
      <c r="P771" s="139"/>
    </row>
    <row r="772" spans="16:16" hidden="1" x14ac:dyDescent="0.25">
      <c r="P772" s="139"/>
    </row>
    <row r="773" spans="16:16" hidden="1" x14ac:dyDescent="0.25">
      <c r="P773" s="139"/>
    </row>
    <row r="774" spans="16:16" hidden="1" x14ac:dyDescent="0.25">
      <c r="P774" s="139"/>
    </row>
    <row r="775" spans="16:16" hidden="1" x14ac:dyDescent="0.25">
      <c r="P775" s="139"/>
    </row>
    <row r="776" spans="16:16" hidden="1" x14ac:dyDescent="0.25">
      <c r="P776" s="139"/>
    </row>
    <row r="777" spans="16:16" hidden="1" x14ac:dyDescent="0.25">
      <c r="P777" s="139"/>
    </row>
    <row r="778" spans="16:16" hidden="1" x14ac:dyDescent="0.25">
      <c r="P778" s="139"/>
    </row>
    <row r="779" spans="16:16" hidden="1" x14ac:dyDescent="0.25">
      <c r="P779" s="139"/>
    </row>
    <row r="780" spans="16:16" hidden="1" x14ac:dyDescent="0.25">
      <c r="P780" s="139"/>
    </row>
    <row r="781" spans="16:16" hidden="1" x14ac:dyDescent="0.25">
      <c r="P781" s="139"/>
    </row>
    <row r="782" spans="16:16" hidden="1" x14ac:dyDescent="0.25">
      <c r="P782" s="139"/>
    </row>
    <row r="783" spans="16:16" hidden="1" x14ac:dyDescent="0.25">
      <c r="P783" s="139"/>
    </row>
    <row r="784" spans="16:16" hidden="1" x14ac:dyDescent="0.25">
      <c r="P784" s="139"/>
    </row>
    <row r="785" spans="16:16" hidden="1" x14ac:dyDescent="0.25">
      <c r="P785" s="139"/>
    </row>
    <row r="786" spans="16:16" hidden="1" x14ac:dyDescent="0.25">
      <c r="P786" s="139"/>
    </row>
    <row r="787" spans="16:16" hidden="1" x14ac:dyDescent="0.25">
      <c r="P787" s="139"/>
    </row>
    <row r="788" spans="16:16" hidden="1" x14ac:dyDescent="0.25">
      <c r="P788" s="139"/>
    </row>
    <row r="789" spans="16:16" hidden="1" x14ac:dyDescent="0.25">
      <c r="P789" s="139"/>
    </row>
    <row r="790" spans="16:16" hidden="1" x14ac:dyDescent="0.25">
      <c r="P790" s="139"/>
    </row>
    <row r="791" spans="16:16" hidden="1" x14ac:dyDescent="0.25">
      <c r="P791" s="139"/>
    </row>
    <row r="792" spans="16:16" hidden="1" x14ac:dyDescent="0.25">
      <c r="P792" s="139"/>
    </row>
    <row r="793" spans="16:16" hidden="1" x14ac:dyDescent="0.25">
      <c r="P793" s="139"/>
    </row>
    <row r="794" spans="16:16" hidden="1" x14ac:dyDescent="0.25">
      <c r="P794" s="139"/>
    </row>
    <row r="795" spans="16:16" hidden="1" x14ac:dyDescent="0.25">
      <c r="P795" s="139"/>
    </row>
    <row r="796" spans="16:16" hidden="1" x14ac:dyDescent="0.25">
      <c r="P796" s="139"/>
    </row>
    <row r="797" spans="16:16" hidden="1" x14ac:dyDescent="0.25">
      <c r="P797" s="139"/>
    </row>
    <row r="798" spans="16:16" hidden="1" x14ac:dyDescent="0.25">
      <c r="P798" s="139"/>
    </row>
    <row r="799" spans="16:16" hidden="1" x14ac:dyDescent="0.25">
      <c r="P799" s="139"/>
    </row>
    <row r="800" spans="16:16" hidden="1" x14ac:dyDescent="0.25">
      <c r="P800" s="139"/>
    </row>
    <row r="801" spans="16:16" hidden="1" x14ac:dyDescent="0.25">
      <c r="P801" s="139"/>
    </row>
    <row r="802" spans="16:16" hidden="1" x14ac:dyDescent="0.25">
      <c r="P802" s="139"/>
    </row>
    <row r="803" spans="16:16" hidden="1" x14ac:dyDescent="0.25">
      <c r="P803" s="139"/>
    </row>
    <row r="804" spans="16:16" hidden="1" x14ac:dyDescent="0.25">
      <c r="P804" s="139"/>
    </row>
    <row r="805" spans="16:16" hidden="1" x14ac:dyDescent="0.25">
      <c r="P805" s="139"/>
    </row>
    <row r="806" spans="16:16" hidden="1" x14ac:dyDescent="0.25">
      <c r="P806" s="139"/>
    </row>
    <row r="807" spans="16:16" hidden="1" x14ac:dyDescent="0.25">
      <c r="P807" s="139"/>
    </row>
    <row r="808" spans="16:16" hidden="1" x14ac:dyDescent="0.25">
      <c r="P808" s="139"/>
    </row>
    <row r="809" spans="16:16" hidden="1" x14ac:dyDescent="0.25">
      <c r="P809" s="139"/>
    </row>
    <row r="810" spans="16:16" hidden="1" x14ac:dyDescent="0.25">
      <c r="P810" s="139"/>
    </row>
    <row r="811" spans="16:16" hidden="1" x14ac:dyDescent="0.25">
      <c r="P811" s="139"/>
    </row>
    <row r="812" spans="16:16" hidden="1" x14ac:dyDescent="0.25">
      <c r="P812" s="139"/>
    </row>
    <row r="813" spans="16:16" hidden="1" x14ac:dyDescent="0.25">
      <c r="P813" s="139"/>
    </row>
    <row r="814" spans="16:16" hidden="1" x14ac:dyDescent="0.25">
      <c r="P814" s="139"/>
    </row>
    <row r="815" spans="16:16" hidden="1" x14ac:dyDescent="0.25">
      <c r="P815" s="139"/>
    </row>
    <row r="816" spans="16:16" hidden="1" x14ac:dyDescent="0.25">
      <c r="P816" s="139"/>
    </row>
    <row r="817" spans="16:16" hidden="1" x14ac:dyDescent="0.25">
      <c r="P817" s="139"/>
    </row>
    <row r="818" spans="16:16" hidden="1" x14ac:dyDescent="0.25">
      <c r="P818" s="139"/>
    </row>
    <row r="819" spans="16:16" hidden="1" x14ac:dyDescent="0.25">
      <c r="P819" s="139"/>
    </row>
    <row r="820" spans="16:16" hidden="1" x14ac:dyDescent="0.25">
      <c r="P820" s="139"/>
    </row>
    <row r="821" spans="16:16" hidden="1" x14ac:dyDescent="0.25">
      <c r="P821" s="139"/>
    </row>
    <row r="822" spans="16:16" hidden="1" x14ac:dyDescent="0.25">
      <c r="P822" s="139"/>
    </row>
    <row r="823" spans="16:16" hidden="1" x14ac:dyDescent="0.25">
      <c r="P823" s="139"/>
    </row>
    <row r="824" spans="16:16" hidden="1" x14ac:dyDescent="0.25">
      <c r="P824" s="139"/>
    </row>
    <row r="825" spans="16:16" hidden="1" x14ac:dyDescent="0.25">
      <c r="P825" s="139"/>
    </row>
    <row r="826" spans="16:16" hidden="1" x14ac:dyDescent="0.25">
      <c r="P826" s="139"/>
    </row>
    <row r="827" spans="16:16" hidden="1" x14ac:dyDescent="0.25">
      <c r="P827" s="139"/>
    </row>
    <row r="828" spans="16:16" hidden="1" x14ac:dyDescent="0.25">
      <c r="P828" s="139"/>
    </row>
    <row r="829" spans="16:16" hidden="1" x14ac:dyDescent="0.25">
      <c r="P829" s="139"/>
    </row>
    <row r="830" spans="16:16" hidden="1" x14ac:dyDescent="0.25">
      <c r="P830" s="139"/>
    </row>
    <row r="831" spans="16:16" hidden="1" x14ac:dyDescent="0.25">
      <c r="P831" s="139"/>
    </row>
    <row r="832" spans="16:16" hidden="1" x14ac:dyDescent="0.25">
      <c r="P832" s="139"/>
    </row>
    <row r="833" spans="16:16" hidden="1" x14ac:dyDescent="0.25">
      <c r="P833" s="139"/>
    </row>
    <row r="834" spans="16:16" hidden="1" x14ac:dyDescent="0.25">
      <c r="P834" s="139"/>
    </row>
    <row r="835" spans="16:16" hidden="1" x14ac:dyDescent="0.25">
      <c r="P835" s="139"/>
    </row>
    <row r="836" spans="16:16" hidden="1" x14ac:dyDescent="0.25">
      <c r="P836" s="139"/>
    </row>
    <row r="837" spans="16:16" hidden="1" x14ac:dyDescent="0.25">
      <c r="P837" s="139"/>
    </row>
    <row r="838" spans="16:16" hidden="1" x14ac:dyDescent="0.25">
      <c r="P838" s="139"/>
    </row>
    <row r="839" spans="16:16" hidden="1" x14ac:dyDescent="0.25">
      <c r="P839" s="139"/>
    </row>
    <row r="840" spans="16:16" hidden="1" x14ac:dyDescent="0.25">
      <c r="P840" s="139"/>
    </row>
    <row r="841" spans="16:16" hidden="1" x14ac:dyDescent="0.25">
      <c r="P841" s="139"/>
    </row>
    <row r="842" spans="16:16" hidden="1" x14ac:dyDescent="0.25">
      <c r="P842" s="139"/>
    </row>
    <row r="843" spans="16:16" hidden="1" x14ac:dyDescent="0.25">
      <c r="P843" s="139"/>
    </row>
    <row r="844" spans="16:16" hidden="1" x14ac:dyDescent="0.25">
      <c r="P844" s="139"/>
    </row>
    <row r="845" spans="16:16" hidden="1" x14ac:dyDescent="0.25">
      <c r="P845" s="139"/>
    </row>
    <row r="846" spans="16:16" hidden="1" x14ac:dyDescent="0.25">
      <c r="P846" s="139"/>
    </row>
    <row r="847" spans="16:16" hidden="1" x14ac:dyDescent="0.25">
      <c r="P847" s="139"/>
    </row>
    <row r="848" spans="16:16" hidden="1" x14ac:dyDescent="0.25">
      <c r="P848" s="139"/>
    </row>
    <row r="849" spans="16:16" hidden="1" x14ac:dyDescent="0.25">
      <c r="P849" s="139"/>
    </row>
    <row r="850" spans="16:16" hidden="1" x14ac:dyDescent="0.25">
      <c r="P850" s="139"/>
    </row>
    <row r="851" spans="16:16" hidden="1" x14ac:dyDescent="0.25">
      <c r="P851" s="139"/>
    </row>
    <row r="852" spans="16:16" hidden="1" x14ac:dyDescent="0.25">
      <c r="P852" s="139"/>
    </row>
    <row r="853" spans="16:16" hidden="1" x14ac:dyDescent="0.25">
      <c r="P853" s="139"/>
    </row>
    <row r="854" spans="16:16" hidden="1" x14ac:dyDescent="0.25">
      <c r="P854" s="139"/>
    </row>
    <row r="855" spans="16:16" hidden="1" x14ac:dyDescent="0.25">
      <c r="P855" s="139"/>
    </row>
    <row r="856" spans="16:16" hidden="1" x14ac:dyDescent="0.25">
      <c r="P856" s="139"/>
    </row>
    <row r="857" spans="16:16" hidden="1" x14ac:dyDescent="0.25">
      <c r="P857" s="139"/>
    </row>
    <row r="858" spans="16:16" hidden="1" x14ac:dyDescent="0.25">
      <c r="P858" s="139"/>
    </row>
    <row r="859" spans="16:16" hidden="1" x14ac:dyDescent="0.25">
      <c r="P859" s="139"/>
    </row>
    <row r="860" spans="16:16" hidden="1" x14ac:dyDescent="0.25">
      <c r="P860" s="139"/>
    </row>
    <row r="861" spans="16:16" hidden="1" x14ac:dyDescent="0.25">
      <c r="P861" s="139"/>
    </row>
    <row r="862" spans="16:16" hidden="1" x14ac:dyDescent="0.25">
      <c r="P862" s="139"/>
    </row>
    <row r="863" spans="16:16" hidden="1" x14ac:dyDescent="0.25">
      <c r="P863" s="139"/>
    </row>
    <row r="864" spans="16:16" hidden="1" x14ac:dyDescent="0.25">
      <c r="P864" s="139"/>
    </row>
    <row r="865" spans="16:16" hidden="1" x14ac:dyDescent="0.25">
      <c r="P865" s="139"/>
    </row>
    <row r="866" spans="16:16" hidden="1" x14ac:dyDescent="0.25">
      <c r="P866" s="139"/>
    </row>
    <row r="867" spans="16:16" hidden="1" x14ac:dyDescent="0.25">
      <c r="P867" s="139"/>
    </row>
    <row r="868" spans="16:16" hidden="1" x14ac:dyDescent="0.25">
      <c r="P868" s="139"/>
    </row>
    <row r="869" spans="16:16" hidden="1" x14ac:dyDescent="0.25">
      <c r="P869" s="139"/>
    </row>
    <row r="870" spans="16:16" hidden="1" x14ac:dyDescent="0.25">
      <c r="P870" s="139"/>
    </row>
    <row r="871" spans="16:16" hidden="1" x14ac:dyDescent="0.25">
      <c r="P871" s="139"/>
    </row>
    <row r="872" spans="16:16" hidden="1" x14ac:dyDescent="0.25">
      <c r="P872" s="139"/>
    </row>
    <row r="873" spans="16:16" hidden="1" x14ac:dyDescent="0.25">
      <c r="P873" s="139"/>
    </row>
    <row r="874" spans="16:16" hidden="1" x14ac:dyDescent="0.25">
      <c r="P874" s="139"/>
    </row>
    <row r="875" spans="16:16" hidden="1" x14ac:dyDescent="0.25">
      <c r="P875" s="139"/>
    </row>
    <row r="876" spans="16:16" hidden="1" x14ac:dyDescent="0.25">
      <c r="P876" s="139"/>
    </row>
    <row r="877" spans="16:16" hidden="1" x14ac:dyDescent="0.25">
      <c r="P877" s="139"/>
    </row>
    <row r="878" spans="16:16" hidden="1" x14ac:dyDescent="0.25">
      <c r="P878" s="139"/>
    </row>
    <row r="879" spans="16:16" hidden="1" x14ac:dyDescent="0.25">
      <c r="P879" s="139"/>
    </row>
    <row r="880" spans="16:16" hidden="1" x14ac:dyDescent="0.25">
      <c r="P880" s="139"/>
    </row>
    <row r="881" spans="16:16" hidden="1" x14ac:dyDescent="0.25">
      <c r="P881" s="139"/>
    </row>
    <row r="882" spans="16:16" hidden="1" x14ac:dyDescent="0.25">
      <c r="P882" s="139"/>
    </row>
    <row r="883" spans="16:16" hidden="1" x14ac:dyDescent="0.25">
      <c r="P883" s="139"/>
    </row>
    <row r="884" spans="16:16" hidden="1" x14ac:dyDescent="0.25">
      <c r="P884" s="139"/>
    </row>
    <row r="885" spans="16:16" hidden="1" x14ac:dyDescent="0.25">
      <c r="P885" s="139"/>
    </row>
    <row r="886" spans="16:16" hidden="1" x14ac:dyDescent="0.25">
      <c r="P886" s="139"/>
    </row>
    <row r="887" spans="16:16" hidden="1" x14ac:dyDescent="0.25">
      <c r="P887" s="139"/>
    </row>
    <row r="888" spans="16:16" hidden="1" x14ac:dyDescent="0.25">
      <c r="P888" s="139"/>
    </row>
    <row r="889" spans="16:16" hidden="1" x14ac:dyDescent="0.25">
      <c r="P889" s="139"/>
    </row>
    <row r="890" spans="16:16" hidden="1" x14ac:dyDescent="0.25">
      <c r="P890" s="139"/>
    </row>
    <row r="891" spans="16:16" hidden="1" x14ac:dyDescent="0.25">
      <c r="P891" s="139"/>
    </row>
    <row r="892" spans="16:16" hidden="1" x14ac:dyDescent="0.25">
      <c r="P892" s="139"/>
    </row>
    <row r="893" spans="16:16" hidden="1" x14ac:dyDescent="0.25">
      <c r="P893" s="139"/>
    </row>
    <row r="894" spans="16:16" hidden="1" x14ac:dyDescent="0.25">
      <c r="P894" s="139"/>
    </row>
    <row r="895" spans="16:16" hidden="1" x14ac:dyDescent="0.25">
      <c r="P895" s="139"/>
    </row>
    <row r="896" spans="16:16" hidden="1" x14ac:dyDescent="0.25">
      <c r="P896" s="139"/>
    </row>
    <row r="897" spans="16:16" hidden="1" x14ac:dyDescent="0.25">
      <c r="P897" s="139"/>
    </row>
    <row r="898" spans="16:16" hidden="1" x14ac:dyDescent="0.25">
      <c r="P898" s="139"/>
    </row>
    <row r="899" spans="16:16" hidden="1" x14ac:dyDescent="0.25">
      <c r="P899" s="139"/>
    </row>
    <row r="900" spans="16:16" hidden="1" x14ac:dyDescent="0.25">
      <c r="P900" s="139"/>
    </row>
    <row r="901" spans="16:16" hidden="1" x14ac:dyDescent="0.25">
      <c r="P901" s="139"/>
    </row>
    <row r="902" spans="16:16" hidden="1" x14ac:dyDescent="0.25">
      <c r="P902" s="139"/>
    </row>
    <row r="903" spans="16:16" hidden="1" x14ac:dyDescent="0.25">
      <c r="P903" s="139"/>
    </row>
    <row r="904" spans="16:16" hidden="1" x14ac:dyDescent="0.25">
      <c r="P904" s="139"/>
    </row>
    <row r="905" spans="16:16" hidden="1" x14ac:dyDescent="0.25">
      <c r="P905" s="139"/>
    </row>
    <row r="906" spans="16:16" hidden="1" x14ac:dyDescent="0.25">
      <c r="P906" s="139"/>
    </row>
    <row r="907" spans="16:16" hidden="1" x14ac:dyDescent="0.25">
      <c r="P907" s="139"/>
    </row>
    <row r="908" spans="16:16" hidden="1" x14ac:dyDescent="0.25">
      <c r="P908" s="139"/>
    </row>
    <row r="909" spans="16:16" hidden="1" x14ac:dyDescent="0.25">
      <c r="P909" s="139"/>
    </row>
    <row r="910" spans="16:16" hidden="1" x14ac:dyDescent="0.25">
      <c r="P910" s="139"/>
    </row>
    <row r="911" spans="16:16" hidden="1" x14ac:dyDescent="0.25">
      <c r="P911" s="139"/>
    </row>
    <row r="912" spans="16:16" hidden="1" x14ac:dyDescent="0.25">
      <c r="P912" s="139"/>
    </row>
    <row r="913" spans="16:16" hidden="1" x14ac:dyDescent="0.25">
      <c r="P913" s="139"/>
    </row>
    <row r="914" spans="16:16" hidden="1" x14ac:dyDescent="0.25">
      <c r="P914" s="139"/>
    </row>
    <row r="915" spans="16:16" hidden="1" x14ac:dyDescent="0.25">
      <c r="P915" s="139"/>
    </row>
    <row r="916" spans="16:16" hidden="1" x14ac:dyDescent="0.25">
      <c r="P916" s="139"/>
    </row>
    <row r="917" spans="16:16" hidden="1" x14ac:dyDescent="0.25">
      <c r="P917" s="139"/>
    </row>
    <row r="918" spans="16:16" hidden="1" x14ac:dyDescent="0.25">
      <c r="P918" s="139"/>
    </row>
    <row r="919" spans="16:16" hidden="1" x14ac:dyDescent="0.25">
      <c r="P919" s="139"/>
    </row>
    <row r="920" spans="16:16" hidden="1" x14ac:dyDescent="0.25">
      <c r="P920" s="139"/>
    </row>
    <row r="921" spans="16:16" hidden="1" x14ac:dyDescent="0.25">
      <c r="P921" s="139"/>
    </row>
    <row r="922" spans="16:16" hidden="1" x14ac:dyDescent="0.25">
      <c r="P922" s="139"/>
    </row>
    <row r="923" spans="16:16" hidden="1" x14ac:dyDescent="0.25">
      <c r="P923" s="139"/>
    </row>
    <row r="924" spans="16:16" hidden="1" x14ac:dyDescent="0.25">
      <c r="P924" s="139"/>
    </row>
    <row r="925" spans="16:16" hidden="1" x14ac:dyDescent="0.25">
      <c r="P925" s="139"/>
    </row>
    <row r="926" spans="16:16" hidden="1" x14ac:dyDescent="0.25">
      <c r="P926" s="139"/>
    </row>
    <row r="927" spans="16:16" hidden="1" x14ac:dyDescent="0.25">
      <c r="P927" s="139"/>
    </row>
    <row r="928" spans="16:16" hidden="1" x14ac:dyDescent="0.25">
      <c r="P928" s="139"/>
    </row>
    <row r="929" spans="16:16" hidden="1" x14ac:dyDescent="0.25">
      <c r="P929" s="139"/>
    </row>
    <row r="930" spans="16:16" hidden="1" x14ac:dyDescent="0.25">
      <c r="P930" s="139"/>
    </row>
    <row r="931" spans="16:16" hidden="1" x14ac:dyDescent="0.25">
      <c r="P931" s="139"/>
    </row>
    <row r="932" spans="16:16" hidden="1" x14ac:dyDescent="0.25">
      <c r="P932" s="139"/>
    </row>
    <row r="933" spans="16:16" hidden="1" x14ac:dyDescent="0.25">
      <c r="P933" s="139"/>
    </row>
    <row r="934" spans="16:16" hidden="1" x14ac:dyDescent="0.25">
      <c r="P934" s="139"/>
    </row>
    <row r="935" spans="16:16" hidden="1" x14ac:dyDescent="0.25">
      <c r="P935" s="139"/>
    </row>
    <row r="936" spans="16:16" hidden="1" x14ac:dyDescent="0.25">
      <c r="P936" s="139"/>
    </row>
    <row r="937" spans="16:16" hidden="1" x14ac:dyDescent="0.25">
      <c r="P937" s="139"/>
    </row>
    <row r="938" spans="16:16" hidden="1" x14ac:dyDescent="0.25">
      <c r="P938" s="139"/>
    </row>
    <row r="939" spans="16:16" hidden="1" x14ac:dyDescent="0.25">
      <c r="P939" s="139"/>
    </row>
    <row r="940" spans="16:16" hidden="1" x14ac:dyDescent="0.25">
      <c r="P940" s="139"/>
    </row>
    <row r="941" spans="16:16" hidden="1" x14ac:dyDescent="0.25">
      <c r="P941" s="139"/>
    </row>
    <row r="942" spans="16:16" hidden="1" x14ac:dyDescent="0.25">
      <c r="P942" s="139"/>
    </row>
    <row r="943" spans="16:16" hidden="1" x14ac:dyDescent="0.25">
      <c r="P943" s="139"/>
    </row>
    <row r="944" spans="16:16" hidden="1" x14ac:dyDescent="0.25">
      <c r="P944" s="139"/>
    </row>
    <row r="945" spans="16:16" hidden="1" x14ac:dyDescent="0.25">
      <c r="P945" s="139"/>
    </row>
    <row r="946" spans="16:16" hidden="1" x14ac:dyDescent="0.25">
      <c r="P946" s="139"/>
    </row>
    <row r="947" spans="16:16" hidden="1" x14ac:dyDescent="0.25">
      <c r="P947" s="139"/>
    </row>
    <row r="948" spans="16:16" hidden="1" x14ac:dyDescent="0.25">
      <c r="P948" s="139"/>
    </row>
    <row r="949" spans="16:16" hidden="1" x14ac:dyDescent="0.25">
      <c r="P949" s="139"/>
    </row>
    <row r="950" spans="16:16" hidden="1" x14ac:dyDescent="0.25">
      <c r="P950" s="139"/>
    </row>
    <row r="951" spans="16:16" hidden="1" x14ac:dyDescent="0.25">
      <c r="P951" s="139"/>
    </row>
    <row r="952" spans="16:16" hidden="1" x14ac:dyDescent="0.25">
      <c r="P952" s="139"/>
    </row>
    <row r="953" spans="16:16" hidden="1" x14ac:dyDescent="0.25">
      <c r="P953" s="139"/>
    </row>
    <row r="954" spans="16:16" hidden="1" x14ac:dyDescent="0.25">
      <c r="P954" s="139"/>
    </row>
    <row r="955" spans="16:16" hidden="1" x14ac:dyDescent="0.25">
      <c r="P955" s="139"/>
    </row>
    <row r="956" spans="16:16" hidden="1" x14ac:dyDescent="0.25">
      <c r="P956" s="139"/>
    </row>
    <row r="957" spans="16:16" hidden="1" x14ac:dyDescent="0.25">
      <c r="P957" s="139"/>
    </row>
    <row r="958" spans="16:16" hidden="1" x14ac:dyDescent="0.25">
      <c r="P958" s="139"/>
    </row>
    <row r="959" spans="16:16" hidden="1" x14ac:dyDescent="0.25">
      <c r="P959" s="139"/>
    </row>
    <row r="960" spans="16:16" hidden="1" x14ac:dyDescent="0.25">
      <c r="P960" s="139"/>
    </row>
    <row r="961" spans="16:16" hidden="1" x14ac:dyDescent="0.25">
      <c r="P961" s="139"/>
    </row>
    <row r="962" spans="16:16" hidden="1" x14ac:dyDescent="0.25">
      <c r="P962" s="139"/>
    </row>
    <row r="963" spans="16:16" hidden="1" x14ac:dyDescent="0.25">
      <c r="P963" s="139"/>
    </row>
    <row r="964" spans="16:16" hidden="1" x14ac:dyDescent="0.25">
      <c r="P964" s="139"/>
    </row>
    <row r="965" spans="16:16" hidden="1" x14ac:dyDescent="0.25">
      <c r="P965" s="139"/>
    </row>
    <row r="966" spans="16:16" hidden="1" x14ac:dyDescent="0.25">
      <c r="P966" s="139"/>
    </row>
    <row r="967" spans="16:16" hidden="1" x14ac:dyDescent="0.25">
      <c r="P967" s="139"/>
    </row>
    <row r="968" spans="16:16" hidden="1" x14ac:dyDescent="0.25">
      <c r="P968" s="139"/>
    </row>
    <row r="969" spans="16:16" hidden="1" x14ac:dyDescent="0.25">
      <c r="P969" s="139"/>
    </row>
    <row r="970" spans="16:16" hidden="1" x14ac:dyDescent="0.25">
      <c r="P970" s="139"/>
    </row>
    <row r="971" spans="16:16" hidden="1" x14ac:dyDescent="0.25">
      <c r="P971" s="139"/>
    </row>
    <row r="972" spans="16:16" hidden="1" x14ac:dyDescent="0.25">
      <c r="P972" s="139"/>
    </row>
    <row r="973" spans="16:16" hidden="1" x14ac:dyDescent="0.25">
      <c r="P973" s="139"/>
    </row>
    <row r="974" spans="16:16" hidden="1" x14ac:dyDescent="0.25">
      <c r="P974" s="139"/>
    </row>
    <row r="975" spans="16:16" hidden="1" x14ac:dyDescent="0.25">
      <c r="P975" s="139"/>
    </row>
    <row r="976" spans="16:16" hidden="1" x14ac:dyDescent="0.25">
      <c r="P976" s="139"/>
    </row>
    <row r="977" spans="16:16" hidden="1" x14ac:dyDescent="0.25">
      <c r="P977" s="139"/>
    </row>
    <row r="978" spans="16:16" hidden="1" x14ac:dyDescent="0.25">
      <c r="P978" s="139"/>
    </row>
    <row r="979" spans="16:16" hidden="1" x14ac:dyDescent="0.25">
      <c r="P979" s="139"/>
    </row>
    <row r="980" spans="16:16" hidden="1" x14ac:dyDescent="0.25">
      <c r="P980" s="139"/>
    </row>
    <row r="981" spans="16:16" hidden="1" x14ac:dyDescent="0.25">
      <c r="P981" s="139"/>
    </row>
    <row r="982" spans="16:16" hidden="1" x14ac:dyDescent="0.25">
      <c r="P982" s="139"/>
    </row>
    <row r="983" spans="16:16" hidden="1" x14ac:dyDescent="0.25">
      <c r="P983" s="139"/>
    </row>
    <row r="984" spans="16:16" hidden="1" x14ac:dyDescent="0.25">
      <c r="P984" s="139"/>
    </row>
    <row r="985" spans="16:16" hidden="1" x14ac:dyDescent="0.25">
      <c r="P985" s="139"/>
    </row>
    <row r="986" spans="16:16" hidden="1" x14ac:dyDescent="0.25">
      <c r="P986" s="139"/>
    </row>
    <row r="987" spans="16:16" hidden="1" x14ac:dyDescent="0.25">
      <c r="P987" s="139"/>
    </row>
    <row r="988" spans="16:16" hidden="1" x14ac:dyDescent="0.25">
      <c r="P988" s="139"/>
    </row>
    <row r="989" spans="16:16" hidden="1" x14ac:dyDescent="0.25">
      <c r="P989" s="139"/>
    </row>
    <row r="990" spans="16:16" hidden="1" x14ac:dyDescent="0.25">
      <c r="P990" s="139"/>
    </row>
    <row r="991" spans="16:16" hidden="1" x14ac:dyDescent="0.25">
      <c r="P991" s="139"/>
    </row>
    <row r="992" spans="16:16" hidden="1" x14ac:dyDescent="0.25">
      <c r="P992" s="139"/>
    </row>
    <row r="993" spans="2:16" hidden="1" x14ac:dyDescent="0.25">
      <c r="P993" s="139"/>
    </row>
    <row r="994" spans="2:16" hidden="1" x14ac:dyDescent="0.25">
      <c r="P994" s="139"/>
    </row>
    <row r="995" spans="2:16" hidden="1" x14ac:dyDescent="0.25">
      <c r="P995" s="139"/>
    </row>
    <row r="996" spans="2:16" hidden="1" x14ac:dyDescent="0.25">
      <c r="P996" s="139"/>
    </row>
    <row r="997" spans="2:16" hidden="1" x14ac:dyDescent="0.25">
      <c r="P997" s="139"/>
    </row>
    <row r="998" spans="2:16" hidden="1" x14ac:dyDescent="0.25">
      <c r="P998" s="139"/>
    </row>
    <row r="999" spans="2:16" hidden="1" x14ac:dyDescent="0.25">
      <c r="P999" s="139"/>
    </row>
    <row r="1000" spans="2:16" s="210" customFormat="1" x14ac:dyDescent="0.25">
      <c r="C1000" s="211"/>
      <c r="D1000" s="212"/>
      <c r="L1000" s="213"/>
      <c r="N1000" s="213"/>
    </row>
    <row r="1001" spans="2:16" x14ac:dyDescent="0.25">
      <c r="P1001" s="139"/>
    </row>
    <row r="1002" spans="2:16" x14ac:dyDescent="0.25">
      <c r="B1002" s="215" t="s">
        <v>2</v>
      </c>
      <c r="P1002" s="139"/>
    </row>
    <row r="1003" spans="2:16" x14ac:dyDescent="0.25">
      <c r="P1003" s="139"/>
    </row>
    <row r="1004" spans="2:16" x14ac:dyDescent="0.25">
      <c r="P1004" s="139"/>
    </row>
    <row r="1005" spans="2:16" hidden="1" x14ac:dyDescent="0.25">
      <c r="P1005" s="139"/>
    </row>
    <row r="1006" spans="2:16" hidden="1" x14ac:dyDescent="0.25">
      <c r="P1006" s="139"/>
    </row>
    <row r="1007" spans="2:16" hidden="1" x14ac:dyDescent="0.25">
      <c r="O1007" s="186" t="s">
        <v>2267</v>
      </c>
      <c r="P1007" s="239">
        <f>V6</f>
        <v>44562</v>
      </c>
    </row>
    <row r="1008" spans="2:16" hidden="1" x14ac:dyDescent="0.25">
      <c r="O1008" s="186" t="s">
        <v>2268</v>
      </c>
      <c r="P1008" s="239">
        <f ca="1">W29</f>
        <v>44926</v>
      </c>
    </row>
    <row r="1009" spans="2:21" hidden="1" x14ac:dyDescent="0.25">
      <c r="P1009" s="268"/>
    </row>
    <row r="1010" spans="2:21" hidden="1" x14ac:dyDescent="0.25">
      <c r="O1010" s="139" t="s">
        <v>2277</v>
      </c>
      <c r="P1010" s="139"/>
    </row>
    <row r="1011" spans="2:21" hidden="1" x14ac:dyDescent="0.25">
      <c r="O1011" s="139" t="s">
        <v>2278</v>
      </c>
      <c r="P1011" s="139"/>
    </row>
    <row r="1012" spans="2:21" hidden="1" x14ac:dyDescent="0.25">
      <c r="P1012" s="139"/>
    </row>
    <row r="1013" spans="2:21" hidden="1" x14ac:dyDescent="0.25">
      <c r="P1013" s="139"/>
    </row>
    <row r="1014" spans="2:21" hidden="1" x14ac:dyDescent="0.25">
      <c r="P1014" s="139"/>
    </row>
    <row r="1015" spans="2:21" hidden="1" x14ac:dyDescent="0.25">
      <c r="P1015" s="139"/>
    </row>
    <row r="1016" spans="2:21" hidden="1" x14ac:dyDescent="0.25">
      <c r="P1016" s="139"/>
    </row>
    <row r="1017" spans="2:21" hidden="1" x14ac:dyDescent="0.25">
      <c r="P1017" s="139"/>
    </row>
    <row r="1018" spans="2:21" hidden="1" x14ac:dyDescent="0.25">
      <c r="P1018" s="139"/>
    </row>
    <row r="1019" spans="2:21" hidden="1" x14ac:dyDescent="0.25">
      <c r="P1019" s="139"/>
    </row>
    <row r="1020" spans="2:21" hidden="1" x14ac:dyDescent="0.25">
      <c r="P1020" s="139"/>
    </row>
    <row r="1021" spans="2:21" hidden="1" x14ac:dyDescent="0.25">
      <c r="P1021" s="139"/>
    </row>
    <row r="1022" spans="2:21" hidden="1" x14ac:dyDescent="0.25">
      <c r="B1022" s="511" t="s">
        <v>2258</v>
      </c>
      <c r="C1022" s="512"/>
      <c r="D1022" s="512"/>
      <c r="E1022" s="512"/>
      <c r="F1022" s="512"/>
      <c r="G1022" s="512"/>
      <c r="H1022" s="512"/>
      <c r="I1022" s="513"/>
      <c r="J1022" s="226" t="s">
        <v>75</v>
      </c>
      <c r="K1022" s="511" t="s">
        <v>51</v>
      </c>
      <c r="L1022" s="513"/>
      <c r="M1022" s="511" t="s">
        <v>2263</v>
      </c>
      <c r="N1022" s="513"/>
      <c r="O1022" s="511" t="s">
        <v>29</v>
      </c>
      <c r="P1022" s="512"/>
      <c r="Q1022" s="512"/>
      <c r="R1022" s="513"/>
      <c r="S1022" s="139" t="s">
        <v>14</v>
      </c>
      <c r="T1022" s="139" t="s">
        <v>52</v>
      </c>
    </row>
    <row r="1023" spans="2:21" hidden="1" x14ac:dyDescent="0.25">
      <c r="P1023" s="139"/>
    </row>
    <row r="1024" spans="2:21" s="224" customFormat="1" ht="15" hidden="1" customHeight="1" x14ac:dyDescent="0.2">
      <c r="B1024" s="223" t="s">
        <v>2273</v>
      </c>
      <c r="C1024" s="222" t="s">
        <v>380</v>
      </c>
      <c r="D1024" s="222" t="s">
        <v>298</v>
      </c>
      <c r="E1024" s="222" t="s">
        <v>330</v>
      </c>
      <c r="F1024" s="222" t="s">
        <v>299</v>
      </c>
      <c r="G1024" s="222" t="s">
        <v>290</v>
      </c>
      <c r="H1024" s="222" t="s">
        <v>293</v>
      </c>
      <c r="I1024" s="222" t="s">
        <v>2285</v>
      </c>
      <c r="J1024" s="223" t="s">
        <v>1597</v>
      </c>
      <c r="K1024" s="233" t="s">
        <v>2255</v>
      </c>
      <c r="L1024" s="223" t="s">
        <v>2262</v>
      </c>
      <c r="M1024" s="233" t="s">
        <v>2259</v>
      </c>
      <c r="N1024" s="223" t="s">
        <v>2260</v>
      </c>
      <c r="O1024" s="240" t="s">
        <v>2261</v>
      </c>
      <c r="P1024" s="222" t="s">
        <v>2280</v>
      </c>
      <c r="Q1024" s="236" t="s">
        <v>2281</v>
      </c>
      <c r="R1024" s="222" t="s">
        <v>2276</v>
      </c>
      <c r="S1024" s="222" t="s">
        <v>2282</v>
      </c>
      <c r="T1024" s="222" t="s">
        <v>2283</v>
      </c>
      <c r="U1024" s="222" t="s">
        <v>2284</v>
      </c>
    </row>
    <row r="1025" spans="2:21" hidden="1" x14ac:dyDescent="0.25">
      <c r="B1025" s="242">
        <v>101</v>
      </c>
      <c r="C1025" s="140" t="str">
        <f>VLOOKUP(B1025,BDD[],2,0)</f>
        <v>Joséline Miroslava Valdez Valadez</v>
      </c>
      <c r="D1025" s="140">
        <f>VLOOKUP(B1025,BDD[],3,0)</f>
        <v>45000</v>
      </c>
      <c r="E1025" s="140">
        <f>VLOOKUP(B1025,BDD[],4,0)</f>
        <v>1500</v>
      </c>
      <c r="F1025" s="142">
        <f>VLOOKUP(B1025,BDD[],26,0)</f>
        <v>166.66666666666666</v>
      </c>
      <c r="G1025" s="268">
        <f>VLOOKUP(B1025,BDD[],6,0)</f>
        <v>35736</v>
      </c>
      <c r="H1025" s="139">
        <f ca="1">VLOOKUP(B1025,BDD[],7,0)</f>
        <v>24</v>
      </c>
      <c r="I1025" s="139">
        <f ca="1">VLOOKUP(B1025,BDD[],22,0)</f>
        <v>10</v>
      </c>
      <c r="J1025" s="168">
        <v>15</v>
      </c>
      <c r="K1025" s="139">
        <f>Tabla1[[#This Row],[DIAS LAB]]*Tabla1[[#This Row],[SUE DIA]]</f>
        <v>22500</v>
      </c>
      <c r="L1025" s="168">
        <v>0</v>
      </c>
      <c r="M1025" s="198">
        <f>Tabla1[[#This Row],[HRS EXT]]*Tabla1[[#This Row],[SUE X HR]]</f>
        <v>0</v>
      </c>
      <c r="N1025" s="168">
        <v>0</v>
      </c>
      <c r="O1025" s="198">
        <f>Tabla1[[#This Row],[ASUETO]]*Tabla1[[#This Row],[SUE DIA]]</f>
        <v>0</v>
      </c>
      <c r="P1025" s="139">
        <f>IF(Tabla1[[#This Row],[FECHA ING]]&lt;$P$1007,365,_xlfn.DAYS($P$1008,Tabla1[[#This Row],[FECHA ING]])+1)</f>
        <v>365</v>
      </c>
      <c r="Q1025" s="198">
        <f>INT(30*(Tabla1[[#This Row],[FECHAS CONTB AGNLDO]]/365))</f>
        <v>30</v>
      </c>
      <c r="R1025" s="244">
        <f ca="1">IF($W$32=$W$26,Tabla1[[#This Row],[SUE DIA]]*Tabla1[[#This Row],[DIAS PAG AGNLDO]],0)</f>
        <v>0</v>
      </c>
      <c r="S1025" s="244">
        <f ca="1">(_xlfn.DAYS(TODAY(),Tabla1[[#This Row],[FECHA ING]])/365)</f>
        <v>24.723287671232878</v>
      </c>
      <c r="T1025" s="244">
        <f ca="1">IF(Tabla1[[#This Row],[DIAS VAC]]&gt;1,Tabla1[[#This Row],[DIAS VAC]]-Tabla1[[#This Row],[ANTIG]],Tabla1[[#This Row],[DIAS VAC]])</f>
        <v>0.72328767123287818</v>
      </c>
      <c r="U1025" s="244">
        <f ca="1">Tabla1[[#This Row],[VALID ANTIG]]*Tabla1[[#This Row],[SUE DIA]]*Tabla1[[#This Row],[DIAS VAC PAG]]</f>
        <v>10849.315068493172</v>
      </c>
    </row>
    <row r="1026" spans="2:21" hidden="1" x14ac:dyDescent="0.25">
      <c r="B1026" s="243">
        <v>102</v>
      </c>
      <c r="C1026" s="140" t="str">
        <f>VLOOKUP(B1026,BDD[],2,0)</f>
        <v>Deneb Santiago Altair Vega</v>
      </c>
      <c r="D1026" s="140">
        <f>VLOOKUP(B1026,BDD[],3,0)</f>
        <v>35000</v>
      </c>
      <c r="E1026" s="140">
        <f>VLOOKUP(B1026,BDD[],4,0)</f>
        <v>1166.6666666666667</v>
      </c>
      <c r="F1026" s="142">
        <f>VLOOKUP(B1026,BDD[],26,0)</f>
        <v>129.62962962962965</v>
      </c>
      <c r="G1026" s="268">
        <f>VLOOKUP(B1026,BDD[],6,0)</f>
        <v>42194</v>
      </c>
      <c r="H1026" s="139">
        <f ca="1">VLOOKUP(B1026,BDD[],7,0)</f>
        <v>7</v>
      </c>
      <c r="I1026" s="139">
        <f ca="1">VLOOKUP(B1026,BDD[],22,0)</f>
        <v>8</v>
      </c>
      <c r="J1026" s="168">
        <v>15</v>
      </c>
      <c r="K1026" s="139">
        <f>Tabla1[[#This Row],[DIAS LAB]]*Tabla1[[#This Row],[SUE DIA]]</f>
        <v>17500</v>
      </c>
      <c r="L1026" s="168">
        <v>0</v>
      </c>
      <c r="M1026" s="198">
        <f>Tabla1[[#This Row],[HRS EXT]]*Tabla1[[#This Row],[SUE X HR]]</f>
        <v>0</v>
      </c>
      <c r="N1026" s="168">
        <v>0</v>
      </c>
      <c r="O1026" s="198">
        <f>Tabla1[[#This Row],[ASUETO]]*Tabla1[[#This Row],[SUE DIA]]</f>
        <v>0</v>
      </c>
      <c r="P1026" s="139">
        <f>IF(Tabla1[[#This Row],[FECHA ING]]&lt;$P$1007,365,_xlfn.DAYS($P$1008,Tabla1[[#This Row],[FECHA ING]])+1)</f>
        <v>365</v>
      </c>
      <c r="Q1026" s="198">
        <f>INT(30*(Tabla1[[#This Row],[FECHAS CONTB AGNLDO]]/365))</f>
        <v>30</v>
      </c>
      <c r="R1026" s="244">
        <f ca="1">IF($W$32=$W$26,Tabla1[[#This Row],[SUE DIA]]*Tabla1[[#This Row],[DIAS PAG AGNLDO]],0)</f>
        <v>0</v>
      </c>
      <c r="S1026" s="244">
        <f ca="1">(_xlfn.DAYS(TODAY(),Tabla1[[#This Row],[FECHA ING]])/365)</f>
        <v>7.0301369863013701</v>
      </c>
      <c r="T1026" s="244">
        <f ca="1">IF(Tabla1[[#This Row],[DIAS VAC]]&gt;1,Tabla1[[#This Row],[DIAS VAC]]-Tabla1[[#This Row],[ANTIG]],Tabla1[[#This Row],[DIAS VAC]])</f>
        <v>3.0136986301370072E-2</v>
      </c>
      <c r="U1026" s="244">
        <f ca="1">Tabla1[[#This Row],[VALID ANTIG]]*Tabla1[[#This Row],[SUE DIA]]*Tabla1[[#This Row],[DIAS VAC PAG]]</f>
        <v>281.27853881278736</v>
      </c>
    </row>
    <row r="1027" spans="2:21" hidden="1" x14ac:dyDescent="0.25">
      <c r="B1027" s="243">
        <v>103</v>
      </c>
      <c r="C1027" s="140" t="str">
        <f>VLOOKUP(B1027,BDD[],2,0)</f>
        <v>Irie Dalí Antares Cortés</v>
      </c>
      <c r="D1027" s="140">
        <f>VLOOKUP(B1027,BDD[],3,0)</f>
        <v>48900</v>
      </c>
      <c r="E1027" s="140">
        <f>VLOOKUP(B1027,BDD[],4,0)</f>
        <v>1630</v>
      </c>
      <c r="F1027" s="142">
        <f>VLOOKUP(B1027,BDD[],26,0)</f>
        <v>181.11111111111111</v>
      </c>
      <c r="G1027" s="268">
        <f>VLOOKUP(B1027,BDD[],6,0)</f>
        <v>39115</v>
      </c>
      <c r="H1027" s="139">
        <f ca="1">VLOOKUP(B1027,BDD[],7,0)</f>
        <v>15</v>
      </c>
      <c r="I1027" s="139">
        <f ca="1">VLOOKUP(B1027,BDD[],22,0)</f>
        <v>10</v>
      </c>
      <c r="J1027" s="168">
        <v>15</v>
      </c>
      <c r="K1027" s="139">
        <f>Tabla1[[#This Row],[DIAS LAB]]*Tabla1[[#This Row],[SUE DIA]]</f>
        <v>24450</v>
      </c>
      <c r="L1027" s="168">
        <v>0</v>
      </c>
      <c r="M1027" s="198">
        <f>Tabla1[[#This Row],[HRS EXT]]*Tabla1[[#This Row],[SUE X HR]]</f>
        <v>0</v>
      </c>
      <c r="N1027" s="168">
        <v>0</v>
      </c>
      <c r="O1027" s="198">
        <f>Tabla1[[#This Row],[ASUETO]]*Tabla1[[#This Row],[SUE DIA]]</f>
        <v>0</v>
      </c>
      <c r="P1027" s="139">
        <f>IF(Tabla1[[#This Row],[FECHA ING]]&lt;$P$1007,365,_xlfn.DAYS($P$1008,Tabla1[[#This Row],[FECHA ING]])+1)</f>
        <v>365</v>
      </c>
      <c r="Q1027" s="198">
        <f>INT(30*(Tabla1[[#This Row],[FECHAS CONTB AGNLDO]]/365))</f>
        <v>30</v>
      </c>
      <c r="R1027" s="244">
        <f ca="1">IF($W$32=$W$26,Tabla1[[#This Row],[SUE DIA]]*Tabla1[[#This Row],[DIAS PAG AGNLDO]],0)</f>
        <v>0</v>
      </c>
      <c r="S1027" s="244">
        <f ca="1">(_xlfn.DAYS(TODAY(),Tabla1[[#This Row],[FECHA ING]])/365)</f>
        <v>15.465753424657533</v>
      </c>
      <c r="T1027" s="244">
        <f ca="1">IF(Tabla1[[#This Row],[DIAS VAC]]&gt;1,Tabla1[[#This Row],[DIAS VAC]]-Tabla1[[#This Row],[ANTIG]],Tabla1[[#This Row],[DIAS VAC]])</f>
        <v>0.46575342465753344</v>
      </c>
      <c r="U1027" s="244">
        <f ca="1">Tabla1[[#This Row],[VALID ANTIG]]*Tabla1[[#This Row],[SUE DIA]]*Tabla1[[#This Row],[DIAS VAC PAG]]</f>
        <v>7591.780821917795</v>
      </c>
    </row>
    <row r="1028" spans="2:21" hidden="1" x14ac:dyDescent="0.25">
      <c r="B1028" s="243">
        <v>104</v>
      </c>
      <c r="C1028" s="140" t="str">
        <f>VLOOKUP(B1028,BDD[],2,0)</f>
        <v>Diego Herrera Girón</v>
      </c>
      <c r="D1028" s="140">
        <f>VLOOKUP(B1028,BDD[],3,0)</f>
        <v>64200</v>
      </c>
      <c r="E1028" s="140">
        <f>VLOOKUP(B1028,BDD[],4,0)</f>
        <v>2140</v>
      </c>
      <c r="F1028" s="142">
        <f>VLOOKUP(B1028,BDD[],26,0)</f>
        <v>237.77777777777777</v>
      </c>
      <c r="G1028" s="268">
        <f>VLOOKUP(B1028,BDD[],6,0)</f>
        <v>37748</v>
      </c>
      <c r="H1028" s="139">
        <f ca="1">VLOOKUP(B1028,BDD[],7,0)</f>
        <v>19</v>
      </c>
      <c r="I1028" s="139">
        <f ca="1">VLOOKUP(B1028,BDD[],22,0)</f>
        <v>10</v>
      </c>
      <c r="J1028" s="168">
        <v>15</v>
      </c>
      <c r="K1028" s="139">
        <f>Tabla1[[#This Row],[DIAS LAB]]*Tabla1[[#This Row],[SUE DIA]]</f>
        <v>32100</v>
      </c>
      <c r="L1028" s="168">
        <v>0</v>
      </c>
      <c r="M1028" s="198">
        <f>Tabla1[[#This Row],[HRS EXT]]*Tabla1[[#This Row],[SUE X HR]]</f>
        <v>0</v>
      </c>
      <c r="N1028" s="168">
        <v>0</v>
      </c>
      <c r="O1028" s="198">
        <f>Tabla1[[#This Row],[ASUETO]]*Tabla1[[#This Row],[SUE DIA]]</f>
        <v>0</v>
      </c>
      <c r="P1028" s="139">
        <f>IF(Tabla1[[#This Row],[FECHA ING]]&lt;$P$1007,365,_xlfn.DAYS($P$1008,Tabla1[[#This Row],[FECHA ING]])+1)</f>
        <v>365</v>
      </c>
      <c r="Q1028" s="198">
        <f>INT(30*(Tabla1[[#This Row],[FECHAS CONTB AGNLDO]]/365))</f>
        <v>30</v>
      </c>
      <c r="R1028" s="244">
        <f ca="1">IF($W$32=$W$26,Tabla1[[#This Row],[SUE DIA]]*Tabla1[[#This Row],[DIAS PAG AGNLDO]],0)</f>
        <v>0</v>
      </c>
      <c r="S1028" s="244">
        <f ca="1">(_xlfn.DAYS(TODAY(),Tabla1[[#This Row],[FECHA ING]])/365)</f>
        <v>19.210958904109589</v>
      </c>
      <c r="T1028" s="244">
        <f ca="1">IF(Tabla1[[#This Row],[DIAS VAC]]&gt;1,Tabla1[[#This Row],[DIAS VAC]]-Tabla1[[#This Row],[ANTIG]],Tabla1[[#This Row],[DIAS VAC]])</f>
        <v>0.21095890410958873</v>
      </c>
      <c r="U1028" s="244">
        <f ca="1">Tabla1[[#This Row],[VALID ANTIG]]*Tabla1[[#This Row],[SUE DIA]]*Tabla1[[#This Row],[DIAS VAC PAG]]</f>
        <v>4514.5205479451988</v>
      </c>
    </row>
    <row r="1029" spans="2:21" hidden="1" x14ac:dyDescent="0.25">
      <c r="B1029" s="243">
        <v>105</v>
      </c>
      <c r="C1029" s="140" t="str">
        <f>VLOOKUP(B1029,BDD[],2,0)</f>
        <v>Carlos Alejandro Ponce Guerrero</v>
      </c>
      <c r="D1029" s="140">
        <f>VLOOKUP(B1029,BDD[],3,0)</f>
        <v>60000</v>
      </c>
      <c r="E1029" s="140">
        <f>VLOOKUP(B1029,BDD[],4,0)</f>
        <v>2000</v>
      </c>
      <c r="F1029" s="142">
        <f>VLOOKUP(B1029,BDD[],26,0)</f>
        <v>222.22222222222223</v>
      </c>
      <c r="G1029" s="268">
        <f>VLOOKUP(B1029,BDD[],6,0)</f>
        <v>35736</v>
      </c>
      <c r="H1029" s="139">
        <f ca="1">VLOOKUP(B1029,BDD[],7,0)</f>
        <v>24</v>
      </c>
      <c r="I1029" s="139">
        <f ca="1">VLOOKUP(B1029,BDD[],22,0)</f>
        <v>10</v>
      </c>
      <c r="J1029" s="168">
        <v>15</v>
      </c>
      <c r="K1029" s="139">
        <f>Tabla1[[#This Row],[DIAS LAB]]*Tabla1[[#This Row],[SUE DIA]]</f>
        <v>30000</v>
      </c>
      <c r="L1029" s="168">
        <v>0</v>
      </c>
      <c r="M1029" s="198">
        <f>Tabla1[[#This Row],[HRS EXT]]*Tabla1[[#This Row],[SUE X HR]]</f>
        <v>0</v>
      </c>
      <c r="N1029" s="168">
        <v>0</v>
      </c>
      <c r="O1029" s="198">
        <f>Tabla1[[#This Row],[ASUETO]]*Tabla1[[#This Row],[SUE DIA]]</f>
        <v>0</v>
      </c>
      <c r="P1029" s="139">
        <f>IF(Tabla1[[#This Row],[FECHA ING]]&lt;$P$1007,365,_xlfn.DAYS($P$1008,Tabla1[[#This Row],[FECHA ING]])+1)</f>
        <v>365</v>
      </c>
      <c r="Q1029" s="198">
        <f>INT(30*(Tabla1[[#This Row],[FECHAS CONTB AGNLDO]]/365))</f>
        <v>30</v>
      </c>
      <c r="R1029" s="244">
        <f ca="1">IF($W$32=$W$26,Tabla1[[#This Row],[SUE DIA]]*Tabla1[[#This Row],[DIAS PAG AGNLDO]],0)</f>
        <v>0</v>
      </c>
      <c r="S1029" s="244">
        <f ca="1">(_xlfn.DAYS(TODAY(),Tabla1[[#This Row],[FECHA ING]])/365)</f>
        <v>24.723287671232878</v>
      </c>
      <c r="T1029" s="244">
        <f ca="1">IF(Tabla1[[#This Row],[DIAS VAC]]&gt;1,Tabla1[[#This Row],[DIAS VAC]]-Tabla1[[#This Row],[ANTIG]],Tabla1[[#This Row],[DIAS VAC]])</f>
        <v>0.72328767123287818</v>
      </c>
      <c r="U1029" s="244">
        <f ca="1">Tabla1[[#This Row],[VALID ANTIG]]*Tabla1[[#This Row],[SUE DIA]]*Tabla1[[#This Row],[DIAS VAC PAG]]</f>
        <v>14465.753424657563</v>
      </c>
    </row>
    <row r="1030" spans="2:21" hidden="1" x14ac:dyDescent="0.25">
      <c r="B1030" s="243">
        <v>107</v>
      </c>
      <c r="C1030" s="140" t="str">
        <f>VLOOKUP(B1030,BDD[],2,0)</f>
        <v>Fatima Michelle Urbina Carreón</v>
      </c>
      <c r="D1030" s="140">
        <f>VLOOKUP(B1030,BDD[],3,0)</f>
        <v>25800</v>
      </c>
      <c r="E1030" s="140">
        <f>VLOOKUP(B1030,BDD[],4,0)</f>
        <v>860</v>
      </c>
      <c r="F1030" s="142">
        <f>VLOOKUP(B1030,BDD[],26,0)</f>
        <v>95.555555555555557</v>
      </c>
      <c r="G1030" s="268">
        <f>VLOOKUP(B1030,BDD[],6,0)</f>
        <v>42429</v>
      </c>
      <c r="H1030" s="139">
        <f ca="1">VLOOKUP(B1030,BDD[],7,0)</f>
        <v>6</v>
      </c>
      <c r="I1030" s="139">
        <f ca="1">VLOOKUP(B1030,BDD[],22,0)</f>
        <v>8</v>
      </c>
      <c r="J1030" s="168">
        <v>15</v>
      </c>
      <c r="K1030" s="139">
        <f>Tabla1[[#This Row],[DIAS LAB]]*Tabla1[[#This Row],[SUE DIA]]</f>
        <v>12900</v>
      </c>
      <c r="L1030" s="168">
        <v>0</v>
      </c>
      <c r="M1030" s="198">
        <f>Tabla1[[#This Row],[HRS EXT]]*Tabla1[[#This Row],[SUE X HR]]</f>
        <v>0</v>
      </c>
      <c r="N1030" s="168">
        <v>0</v>
      </c>
      <c r="O1030" s="198">
        <f>Tabla1[[#This Row],[ASUETO]]*Tabla1[[#This Row],[SUE DIA]]</f>
        <v>0</v>
      </c>
      <c r="P1030" s="139">
        <f>IF(Tabla1[[#This Row],[FECHA ING]]&lt;$P$1007,365,_xlfn.DAYS($P$1008,Tabla1[[#This Row],[FECHA ING]])+1)</f>
        <v>365</v>
      </c>
      <c r="Q1030" s="198">
        <f>INT(30*(Tabla1[[#This Row],[FECHAS CONTB AGNLDO]]/365))</f>
        <v>30</v>
      </c>
      <c r="R1030" s="244">
        <f ca="1">IF($W$32=$W$26,Tabla1[[#This Row],[SUE DIA]]*Tabla1[[#This Row],[DIAS PAG AGNLDO]],0)</f>
        <v>0</v>
      </c>
      <c r="S1030" s="244">
        <f ca="1">(_xlfn.DAYS(TODAY(),Tabla1[[#This Row],[FECHA ING]])/365)</f>
        <v>6.3863013698630136</v>
      </c>
      <c r="T1030" s="244">
        <f ca="1">IF(Tabla1[[#This Row],[DIAS VAC]]&gt;1,Tabla1[[#This Row],[DIAS VAC]]-Tabla1[[#This Row],[ANTIG]],Tabla1[[#This Row],[DIAS VAC]])</f>
        <v>0.38630136986301356</v>
      </c>
      <c r="U1030" s="244">
        <f ca="1">Tabla1[[#This Row],[VALID ANTIG]]*Tabla1[[#This Row],[SUE DIA]]*Tabla1[[#This Row],[DIAS VAC PAG]]</f>
        <v>2657.7534246575333</v>
      </c>
    </row>
    <row r="1031" spans="2:21" hidden="1" x14ac:dyDescent="0.25">
      <c r="B1031" s="243">
        <v>108</v>
      </c>
      <c r="C1031" s="140" t="str">
        <f>VLOOKUP(B1031,BDD[],2,0)</f>
        <v>Mérida Isela Medina Salinas</v>
      </c>
      <c r="D1031" s="140">
        <f>VLOOKUP(B1031,BDD[],3,0)</f>
        <v>64200</v>
      </c>
      <c r="E1031" s="140">
        <f>VLOOKUP(B1031,BDD[],4,0)</f>
        <v>2140</v>
      </c>
      <c r="F1031" s="142">
        <f>VLOOKUP(B1031,BDD[],26,0)</f>
        <v>237.77777777777777</v>
      </c>
      <c r="G1031" s="268">
        <f>VLOOKUP(B1031,BDD[],6,0)</f>
        <v>39419</v>
      </c>
      <c r="H1031" s="139">
        <f ca="1">VLOOKUP(B1031,BDD[],7,0)</f>
        <v>14</v>
      </c>
      <c r="I1031" s="139">
        <f ca="1">VLOOKUP(B1031,BDD[],22,0)</f>
        <v>10</v>
      </c>
      <c r="J1031" s="168">
        <v>15</v>
      </c>
      <c r="K1031" s="139">
        <f>Tabla1[[#This Row],[DIAS LAB]]*Tabla1[[#This Row],[SUE DIA]]</f>
        <v>32100</v>
      </c>
      <c r="L1031" s="168">
        <v>0</v>
      </c>
      <c r="M1031" s="198">
        <f>Tabla1[[#This Row],[HRS EXT]]*Tabla1[[#This Row],[SUE X HR]]</f>
        <v>0</v>
      </c>
      <c r="N1031" s="168">
        <v>0</v>
      </c>
      <c r="O1031" s="198">
        <f>Tabla1[[#This Row],[ASUETO]]*Tabla1[[#This Row],[SUE DIA]]</f>
        <v>0</v>
      </c>
      <c r="P1031" s="139">
        <f>IF(Tabla1[[#This Row],[FECHA ING]]&lt;$P$1007,365,_xlfn.DAYS($P$1008,Tabla1[[#This Row],[FECHA ING]])+1)</f>
        <v>365</v>
      </c>
      <c r="Q1031" s="198">
        <f>INT(30*(Tabla1[[#This Row],[FECHAS CONTB AGNLDO]]/365))</f>
        <v>30</v>
      </c>
      <c r="R1031" s="244">
        <f ca="1">IF($W$32=$W$26,Tabla1[[#This Row],[SUE DIA]]*Tabla1[[#This Row],[DIAS PAG AGNLDO]],0)</f>
        <v>0</v>
      </c>
      <c r="S1031" s="244">
        <f ca="1">(_xlfn.DAYS(TODAY(),Tabla1[[#This Row],[FECHA ING]])/365)</f>
        <v>14.632876712328768</v>
      </c>
      <c r="T1031" s="244">
        <f ca="1">IF(Tabla1[[#This Row],[DIAS VAC]]&gt;1,Tabla1[[#This Row],[DIAS VAC]]-Tabla1[[#This Row],[ANTIG]],Tabla1[[#This Row],[DIAS VAC]])</f>
        <v>0.63287671232876797</v>
      </c>
      <c r="U1031" s="244">
        <f ca="1">Tabla1[[#This Row],[VALID ANTIG]]*Tabla1[[#This Row],[SUE DIA]]*Tabla1[[#This Row],[DIAS VAC PAG]]</f>
        <v>13543.561643835636</v>
      </c>
    </row>
    <row r="1032" spans="2:21" hidden="1" x14ac:dyDescent="0.25">
      <c r="B1032" s="243">
        <v>109</v>
      </c>
      <c r="C1032" s="140" t="str">
        <f>VLOOKUP(B1032,BDD[],2,0)</f>
        <v>Melissa Estefanía Cruz Hernández</v>
      </c>
      <c r="D1032" s="140">
        <f>VLOOKUP(B1032,BDD[],3,0)</f>
        <v>32100</v>
      </c>
      <c r="E1032" s="140">
        <f>VLOOKUP(B1032,BDD[],4,0)</f>
        <v>1070</v>
      </c>
      <c r="F1032" s="142">
        <f>VLOOKUP(B1032,BDD[],26,0)</f>
        <v>118.88888888888889</v>
      </c>
      <c r="G1032" s="268">
        <f>VLOOKUP(B1032,BDD[],6,0)</f>
        <v>43439</v>
      </c>
      <c r="H1032" s="139">
        <f ca="1">VLOOKUP(B1032,BDD[],7,0)</f>
        <v>3</v>
      </c>
      <c r="I1032" s="139">
        <f ca="1">VLOOKUP(B1032,BDD[],22,0)</f>
        <v>7</v>
      </c>
      <c r="J1032" s="168">
        <v>15</v>
      </c>
      <c r="K1032" s="139">
        <f>Tabla1[[#This Row],[DIAS LAB]]*Tabla1[[#This Row],[SUE DIA]]</f>
        <v>16050</v>
      </c>
      <c r="L1032" s="168">
        <v>0</v>
      </c>
      <c r="M1032" s="198">
        <f>Tabla1[[#This Row],[HRS EXT]]*Tabla1[[#This Row],[SUE X HR]]</f>
        <v>0</v>
      </c>
      <c r="N1032" s="168">
        <v>0</v>
      </c>
      <c r="O1032" s="198">
        <f>Tabla1[[#This Row],[ASUETO]]*Tabla1[[#This Row],[SUE DIA]]</f>
        <v>0</v>
      </c>
      <c r="P1032" s="139">
        <f>IF(Tabla1[[#This Row],[FECHA ING]]&lt;$P$1007,365,_xlfn.DAYS($P$1008,Tabla1[[#This Row],[FECHA ING]])+1)</f>
        <v>365</v>
      </c>
      <c r="Q1032" s="198">
        <f>INT(30*(Tabla1[[#This Row],[FECHAS CONTB AGNLDO]]/365))</f>
        <v>30</v>
      </c>
      <c r="R1032" s="244">
        <f ca="1">IF($W$32=$W$26,Tabla1[[#This Row],[SUE DIA]]*Tabla1[[#This Row],[DIAS PAG AGNLDO]],0)</f>
        <v>0</v>
      </c>
      <c r="S1032" s="244">
        <f ca="1">(_xlfn.DAYS(TODAY(),Tabla1[[#This Row],[FECHA ING]])/365)</f>
        <v>3.6191780821917807</v>
      </c>
      <c r="T1032" s="244">
        <f ca="1">IF(Tabla1[[#This Row],[DIAS VAC]]&gt;1,Tabla1[[#This Row],[DIAS VAC]]-Tabla1[[#This Row],[ANTIG]],Tabla1[[#This Row],[DIAS VAC]])</f>
        <v>0.61917808219178072</v>
      </c>
      <c r="U1032" s="244">
        <f ca="1">Tabla1[[#This Row],[VALID ANTIG]]*Tabla1[[#This Row],[SUE DIA]]*Tabla1[[#This Row],[DIAS VAC PAG]]</f>
        <v>4637.6438356164381</v>
      </c>
    </row>
    <row r="1033" spans="2:21" hidden="1" x14ac:dyDescent="0.25">
      <c r="B1033" s="243">
        <v>110</v>
      </c>
      <c r="C1033" s="140" t="str">
        <f>VLOOKUP(B1033,BDD[],2,0)</f>
        <v>Edson Aldair Galván Ipiña</v>
      </c>
      <c r="D1033" s="140">
        <f>VLOOKUP(B1033,BDD[],3,0)</f>
        <v>22200</v>
      </c>
      <c r="E1033" s="140">
        <f>VLOOKUP(B1033,BDD[],4,0)</f>
        <v>740</v>
      </c>
      <c r="F1033" s="142">
        <f>VLOOKUP(B1033,BDD[],26,0)</f>
        <v>82.222222222222229</v>
      </c>
      <c r="G1033" s="268">
        <f>VLOOKUP(B1033,BDD[],6,0)</f>
        <v>39814</v>
      </c>
      <c r="H1033" s="139">
        <f ca="1">VLOOKUP(B1033,BDD[],7,0)</f>
        <v>13</v>
      </c>
      <c r="I1033" s="139">
        <f ca="1">VLOOKUP(B1033,BDD[],22,0)</f>
        <v>10</v>
      </c>
      <c r="J1033" s="168">
        <v>15</v>
      </c>
      <c r="K1033" s="139">
        <f>Tabla1[[#This Row],[DIAS LAB]]*Tabla1[[#This Row],[SUE DIA]]</f>
        <v>11100</v>
      </c>
      <c r="L1033" s="168">
        <v>0</v>
      </c>
      <c r="M1033" s="198">
        <f>Tabla1[[#This Row],[HRS EXT]]*Tabla1[[#This Row],[SUE X HR]]</f>
        <v>0</v>
      </c>
      <c r="N1033" s="168">
        <v>0</v>
      </c>
      <c r="O1033" s="198">
        <f>Tabla1[[#This Row],[ASUETO]]*Tabla1[[#This Row],[SUE DIA]]</f>
        <v>0</v>
      </c>
      <c r="P1033" s="139">
        <f>IF(Tabla1[[#This Row],[FECHA ING]]&lt;$P$1007,365,_xlfn.DAYS($P$1008,Tabla1[[#This Row],[FECHA ING]])+1)</f>
        <v>365</v>
      </c>
      <c r="Q1033" s="198">
        <f>INT(30*(Tabla1[[#This Row],[FECHAS CONTB AGNLDO]]/365))</f>
        <v>30</v>
      </c>
      <c r="R1033" s="244">
        <f ca="1">IF($W$32=$W$26,Tabla1[[#This Row],[SUE DIA]]*Tabla1[[#This Row],[DIAS PAG AGNLDO]],0)</f>
        <v>0</v>
      </c>
      <c r="S1033" s="244">
        <f ca="1">(_xlfn.DAYS(TODAY(),Tabla1[[#This Row],[FECHA ING]])/365)</f>
        <v>13.550684931506849</v>
      </c>
      <c r="T1033" s="244">
        <f ca="1">IF(Tabla1[[#This Row],[DIAS VAC]]&gt;1,Tabla1[[#This Row],[DIAS VAC]]-Tabla1[[#This Row],[ANTIG]],Tabla1[[#This Row],[DIAS VAC]])</f>
        <v>0.55068493150684894</v>
      </c>
      <c r="U1033" s="244">
        <f ca="1">Tabla1[[#This Row],[VALID ANTIG]]*Tabla1[[#This Row],[SUE DIA]]*Tabla1[[#This Row],[DIAS VAC PAG]]</f>
        <v>4075.0684931506821</v>
      </c>
    </row>
    <row r="1034" spans="2:21" hidden="1" x14ac:dyDescent="0.25">
      <c r="B1034" s="243">
        <v>111</v>
      </c>
      <c r="C1034" s="140" t="str">
        <f>VLOOKUP(B1034,BDD[],2,0)</f>
        <v>Edgar Mauricio Cáceres Rivera</v>
      </c>
      <c r="D1034" s="140">
        <f>VLOOKUP(B1034,BDD[],3,0)</f>
        <v>7445</v>
      </c>
      <c r="E1034" s="140">
        <f>VLOOKUP(B1034,BDD[],4,0)</f>
        <v>248.16666666666666</v>
      </c>
      <c r="F1034" s="142">
        <f>VLOOKUP(B1034,BDD[],26,0)</f>
        <v>27.574074074074073</v>
      </c>
      <c r="G1034" s="268">
        <f>VLOOKUP(B1034,BDD[],6,0)</f>
        <v>43416</v>
      </c>
      <c r="H1034" s="139">
        <f ca="1">VLOOKUP(B1034,BDD[],7,0)</f>
        <v>3</v>
      </c>
      <c r="I1034" s="139">
        <f ca="1">VLOOKUP(B1034,BDD[],22,0)</f>
        <v>7</v>
      </c>
      <c r="J1034" s="168">
        <v>15</v>
      </c>
      <c r="K1034" s="139">
        <f>Tabla1[[#This Row],[DIAS LAB]]*Tabla1[[#This Row],[SUE DIA]]</f>
        <v>3722.5</v>
      </c>
      <c r="L1034" s="168">
        <v>0</v>
      </c>
      <c r="M1034" s="198">
        <f>Tabla1[[#This Row],[HRS EXT]]*Tabla1[[#This Row],[SUE X HR]]</f>
        <v>0</v>
      </c>
      <c r="N1034" s="168">
        <v>0</v>
      </c>
      <c r="O1034" s="198">
        <f>Tabla1[[#This Row],[ASUETO]]*Tabla1[[#This Row],[SUE DIA]]</f>
        <v>0</v>
      </c>
      <c r="P1034" s="139">
        <f>IF(Tabla1[[#This Row],[FECHA ING]]&lt;$P$1007,365,_xlfn.DAYS($P$1008,Tabla1[[#This Row],[FECHA ING]])+1)</f>
        <v>365</v>
      </c>
      <c r="Q1034" s="198">
        <f>INT(30*(Tabla1[[#This Row],[FECHAS CONTB AGNLDO]]/365))</f>
        <v>30</v>
      </c>
      <c r="R1034" s="244">
        <f ca="1">IF($W$32=$W$26,Tabla1[[#This Row],[SUE DIA]]*Tabla1[[#This Row],[DIAS PAG AGNLDO]],0)</f>
        <v>0</v>
      </c>
      <c r="S1034" s="244">
        <f ca="1">(_xlfn.DAYS(TODAY(),Tabla1[[#This Row],[FECHA ING]])/365)</f>
        <v>3.6821917808219178</v>
      </c>
      <c r="T1034" s="244">
        <f ca="1">IF(Tabla1[[#This Row],[DIAS VAC]]&gt;1,Tabla1[[#This Row],[DIAS VAC]]-Tabla1[[#This Row],[ANTIG]],Tabla1[[#This Row],[DIAS VAC]])</f>
        <v>0.68219178082191778</v>
      </c>
      <c r="U1034" s="244">
        <f ca="1">Tabla1[[#This Row],[VALID ANTIG]]*Tabla1[[#This Row],[SUE DIA]]*Tabla1[[#This Row],[DIAS VAC PAG]]</f>
        <v>1185.0808219178082</v>
      </c>
    </row>
    <row r="1035" spans="2:21" hidden="1" x14ac:dyDescent="0.25">
      <c r="B1035" s="243">
        <v>112</v>
      </c>
      <c r="C1035" s="140" t="str">
        <f>VLOOKUP(B1035,BDD[],2,0)</f>
        <v>Marco Aurelio Urbino</v>
      </c>
      <c r="D1035" s="140">
        <f>VLOOKUP(B1035,BDD[],3,0)</f>
        <v>53600</v>
      </c>
      <c r="E1035" s="140">
        <f>VLOOKUP(B1035,BDD[],4,0)</f>
        <v>1786.6666666666667</v>
      </c>
      <c r="F1035" s="142">
        <f>VLOOKUP(B1035,BDD[],26,0)</f>
        <v>198.51851851851853</v>
      </c>
      <c r="G1035" s="268">
        <f>VLOOKUP(B1035,BDD[],6,0)</f>
        <v>38846</v>
      </c>
      <c r="H1035" s="139">
        <f ca="1">VLOOKUP(B1035,BDD[],7,0)</f>
        <v>16</v>
      </c>
      <c r="I1035" s="139">
        <f ca="1">VLOOKUP(B1035,BDD[],22,0)</f>
        <v>10</v>
      </c>
      <c r="J1035" s="168">
        <v>15</v>
      </c>
      <c r="K1035" s="139">
        <f>Tabla1[[#This Row],[DIAS LAB]]*Tabla1[[#This Row],[SUE DIA]]</f>
        <v>26800</v>
      </c>
      <c r="L1035" s="168">
        <v>0</v>
      </c>
      <c r="M1035" s="198">
        <f>Tabla1[[#This Row],[HRS EXT]]*Tabla1[[#This Row],[SUE X HR]]</f>
        <v>0</v>
      </c>
      <c r="N1035" s="168">
        <v>0</v>
      </c>
      <c r="O1035" s="198">
        <f>Tabla1[[#This Row],[ASUETO]]*Tabla1[[#This Row],[SUE DIA]]</f>
        <v>0</v>
      </c>
      <c r="P1035" s="139">
        <f>IF(Tabla1[[#This Row],[FECHA ING]]&lt;$P$1007,365,_xlfn.DAYS($P$1008,Tabla1[[#This Row],[FECHA ING]])+1)</f>
        <v>365</v>
      </c>
      <c r="Q1035" s="198">
        <f>INT(30*(Tabla1[[#This Row],[FECHAS CONTB AGNLDO]]/365))</f>
        <v>30</v>
      </c>
      <c r="R1035" s="244">
        <f ca="1">IF($W$32=$W$26,Tabla1[[#This Row],[SUE DIA]]*Tabla1[[#This Row],[DIAS PAG AGNLDO]],0)</f>
        <v>0</v>
      </c>
      <c r="S1035" s="244">
        <f ca="1">(_xlfn.DAYS(TODAY(),Tabla1[[#This Row],[FECHA ING]])/365)</f>
        <v>16.202739726027396</v>
      </c>
      <c r="T1035" s="244">
        <f ca="1">IF(Tabla1[[#This Row],[DIAS VAC]]&gt;1,Tabla1[[#This Row],[DIAS VAC]]-Tabla1[[#This Row],[ANTIG]],Tabla1[[#This Row],[DIAS VAC]])</f>
        <v>0.20273972602739576</v>
      </c>
      <c r="U1035" s="244">
        <f ca="1">Tabla1[[#This Row],[VALID ANTIG]]*Tabla1[[#This Row],[SUE DIA]]*Tabla1[[#This Row],[DIAS VAC PAG]]</f>
        <v>3622.2831050228046</v>
      </c>
    </row>
    <row r="1036" spans="2:21" hidden="1" x14ac:dyDescent="0.25">
      <c r="B1036" s="243">
        <v>113</v>
      </c>
      <c r="C1036" s="140" t="str">
        <f>VLOOKUP(B1036,BDD[],2,0)</f>
        <v>Lorien Geraldine Mauri Cervantes</v>
      </c>
      <c r="D1036" s="140">
        <f>VLOOKUP(B1036,BDD[],3,0)</f>
        <v>7445</v>
      </c>
      <c r="E1036" s="140">
        <f>VLOOKUP(B1036,BDD[],4,0)</f>
        <v>248.16666666666666</v>
      </c>
      <c r="F1036" s="142">
        <f>VLOOKUP(B1036,BDD[],26,0)</f>
        <v>27.574074074074073</v>
      </c>
      <c r="G1036" s="268">
        <f>VLOOKUP(B1036,BDD[],6,0)</f>
        <v>43318</v>
      </c>
      <c r="H1036" s="139">
        <f ca="1">VLOOKUP(B1036,BDD[],7,0)</f>
        <v>3</v>
      </c>
      <c r="I1036" s="139">
        <f ca="1">VLOOKUP(B1036,BDD[],22,0)</f>
        <v>7</v>
      </c>
      <c r="J1036" s="168">
        <v>15</v>
      </c>
      <c r="K1036" s="139">
        <f>Tabla1[[#This Row],[DIAS LAB]]*Tabla1[[#This Row],[SUE DIA]]</f>
        <v>3722.5</v>
      </c>
      <c r="L1036" s="168">
        <v>0</v>
      </c>
      <c r="M1036" s="198">
        <f>Tabla1[[#This Row],[HRS EXT]]*Tabla1[[#This Row],[SUE X HR]]</f>
        <v>0</v>
      </c>
      <c r="N1036" s="168">
        <v>0</v>
      </c>
      <c r="O1036" s="198">
        <f>Tabla1[[#This Row],[ASUETO]]*Tabla1[[#This Row],[SUE DIA]]</f>
        <v>0</v>
      </c>
      <c r="P1036" s="139">
        <f>IF(Tabla1[[#This Row],[FECHA ING]]&lt;$P$1007,365,_xlfn.DAYS($P$1008,Tabla1[[#This Row],[FECHA ING]])+1)</f>
        <v>365</v>
      </c>
      <c r="Q1036" s="198">
        <f>INT(30*(Tabla1[[#This Row],[FECHAS CONTB AGNLDO]]/365))</f>
        <v>30</v>
      </c>
      <c r="R1036" s="244">
        <f ca="1">IF($W$32=$W$26,Tabla1[[#This Row],[SUE DIA]]*Tabla1[[#This Row],[DIAS PAG AGNLDO]],0)</f>
        <v>0</v>
      </c>
      <c r="S1036" s="244">
        <f ca="1">(_xlfn.DAYS(TODAY(),Tabla1[[#This Row],[FECHA ING]])/365)</f>
        <v>3.9506849315068493</v>
      </c>
      <c r="T1036" s="244">
        <f ca="1">IF(Tabla1[[#This Row],[DIAS VAC]]&gt;1,Tabla1[[#This Row],[DIAS VAC]]-Tabla1[[#This Row],[ANTIG]],Tabla1[[#This Row],[DIAS VAC]])</f>
        <v>0.9506849315068493</v>
      </c>
      <c r="U1036" s="244">
        <f ca="1">Tabla1[[#This Row],[VALID ANTIG]]*Tabla1[[#This Row],[SUE DIA]]*Tabla1[[#This Row],[DIAS VAC PAG]]</f>
        <v>1651.4981735159818</v>
      </c>
    </row>
    <row r="1037" spans="2:21" hidden="1" x14ac:dyDescent="0.25">
      <c r="B1037" s="243">
        <v>114</v>
      </c>
      <c r="C1037" s="140" t="str">
        <f>VLOOKUP(B1037,BDD[],2,0)</f>
        <v>Paola Judith Fentanes Álvarez</v>
      </c>
      <c r="D1037" s="140">
        <f>VLOOKUP(B1037,BDD[],3,0)</f>
        <v>7445</v>
      </c>
      <c r="E1037" s="140">
        <f>VLOOKUP(B1037,BDD[],4,0)</f>
        <v>248.16666666666666</v>
      </c>
      <c r="F1037" s="142">
        <f>VLOOKUP(B1037,BDD[],26,0)</f>
        <v>27.574074074074073</v>
      </c>
      <c r="G1037" s="268">
        <f>VLOOKUP(B1037,BDD[],6,0)</f>
        <v>44000</v>
      </c>
      <c r="H1037" s="139">
        <f ca="1">VLOOKUP(B1037,BDD[],7,0)</f>
        <v>2</v>
      </c>
      <c r="I1037" s="139">
        <f ca="1">VLOOKUP(B1037,BDD[],22,0)</f>
        <v>5</v>
      </c>
      <c r="J1037" s="168">
        <v>15</v>
      </c>
      <c r="K1037" s="139">
        <f>Tabla1[[#This Row],[DIAS LAB]]*Tabla1[[#This Row],[SUE DIA]]</f>
        <v>3722.5</v>
      </c>
      <c r="L1037" s="168">
        <v>0</v>
      </c>
      <c r="M1037" s="198">
        <f>Tabla1[[#This Row],[HRS EXT]]*Tabla1[[#This Row],[SUE X HR]]</f>
        <v>0</v>
      </c>
      <c r="N1037" s="168">
        <v>0</v>
      </c>
      <c r="O1037" s="198">
        <f>Tabla1[[#This Row],[ASUETO]]*Tabla1[[#This Row],[SUE DIA]]</f>
        <v>0</v>
      </c>
      <c r="P1037" s="139">
        <f>IF(Tabla1[[#This Row],[FECHA ING]]&lt;$P$1007,365,_xlfn.DAYS($P$1008,Tabla1[[#This Row],[FECHA ING]])+1)</f>
        <v>365</v>
      </c>
      <c r="Q1037" s="198">
        <f>INT(30*(Tabla1[[#This Row],[FECHAS CONTB AGNLDO]]/365))</f>
        <v>30</v>
      </c>
      <c r="R1037" s="244">
        <f ca="1">IF($W$32=$W$26,Tabla1[[#This Row],[SUE DIA]]*Tabla1[[#This Row],[DIAS PAG AGNLDO]],0)</f>
        <v>0</v>
      </c>
      <c r="S1037" s="244">
        <f ca="1">(_xlfn.DAYS(TODAY(),Tabla1[[#This Row],[FECHA ING]])/365)</f>
        <v>2.0821917808219177</v>
      </c>
      <c r="T1037" s="244">
        <f ca="1">IF(Tabla1[[#This Row],[DIAS VAC]]&gt;1,Tabla1[[#This Row],[DIAS VAC]]-Tabla1[[#This Row],[ANTIG]],Tabla1[[#This Row],[DIAS VAC]])</f>
        <v>8.2191780821917693E-2</v>
      </c>
      <c r="U1037" s="244">
        <f ca="1">Tabla1[[#This Row],[VALID ANTIG]]*Tabla1[[#This Row],[SUE DIA]]*Tabla1[[#This Row],[DIAS VAC PAG]]</f>
        <v>101.98630136986287</v>
      </c>
    </row>
    <row r="1038" spans="2:21" hidden="1" x14ac:dyDescent="0.25">
      <c r="B1038" s="243">
        <v>115</v>
      </c>
      <c r="C1038" s="140" t="str">
        <f>VLOOKUP(B1038,BDD[],2,0)</f>
        <v>Emma Dariela García Lorca</v>
      </c>
      <c r="D1038" s="140">
        <f>VLOOKUP(B1038,BDD[],3,0)</f>
        <v>45000</v>
      </c>
      <c r="E1038" s="140">
        <f>VLOOKUP(B1038,BDD[],4,0)</f>
        <v>1500</v>
      </c>
      <c r="F1038" s="142">
        <f>VLOOKUP(B1038,BDD[],26,0)</f>
        <v>166.66666666666666</v>
      </c>
      <c r="G1038" s="268">
        <f>VLOOKUP(B1038,BDD[],6,0)</f>
        <v>38549</v>
      </c>
      <c r="H1038" s="139">
        <f ca="1">VLOOKUP(B1038,BDD[],7,0)</f>
        <v>17</v>
      </c>
      <c r="I1038" s="139">
        <f ca="1">VLOOKUP(B1038,BDD[],22,0)</f>
        <v>10</v>
      </c>
      <c r="J1038" s="168">
        <v>15</v>
      </c>
      <c r="K1038" s="139">
        <f>Tabla1[[#This Row],[DIAS LAB]]*Tabla1[[#This Row],[SUE DIA]]</f>
        <v>22500</v>
      </c>
      <c r="L1038" s="168">
        <v>0</v>
      </c>
      <c r="M1038" s="198">
        <f>Tabla1[[#This Row],[HRS EXT]]*Tabla1[[#This Row],[SUE X HR]]</f>
        <v>0</v>
      </c>
      <c r="N1038" s="168">
        <v>0</v>
      </c>
      <c r="O1038" s="198">
        <f>Tabla1[[#This Row],[ASUETO]]*Tabla1[[#This Row],[SUE DIA]]</f>
        <v>0</v>
      </c>
      <c r="P1038" s="139">
        <f>IF(Tabla1[[#This Row],[FECHA ING]]&lt;$P$1007,365,_xlfn.DAYS($P$1008,Tabla1[[#This Row],[FECHA ING]])+1)</f>
        <v>365</v>
      </c>
      <c r="Q1038" s="198">
        <f>INT(30*(Tabla1[[#This Row],[FECHAS CONTB AGNLDO]]/365))</f>
        <v>30</v>
      </c>
      <c r="R1038" s="244">
        <f ca="1">IF($W$32=$W$26,Tabla1[[#This Row],[SUE DIA]]*Tabla1[[#This Row],[DIAS PAG AGNLDO]],0)</f>
        <v>0</v>
      </c>
      <c r="S1038" s="244">
        <f ca="1">(_xlfn.DAYS(TODAY(),Tabla1[[#This Row],[FECHA ING]])/365)</f>
        <v>17.016438356164382</v>
      </c>
      <c r="T1038" s="244">
        <f ca="1">IF(Tabla1[[#This Row],[DIAS VAC]]&gt;1,Tabla1[[#This Row],[DIAS VAC]]-Tabla1[[#This Row],[ANTIG]],Tabla1[[#This Row],[DIAS VAC]])</f>
        <v>1.6438356164382384E-2</v>
      </c>
      <c r="U1038" s="244">
        <f ca="1">Tabla1[[#This Row],[VALID ANTIG]]*Tabla1[[#This Row],[SUE DIA]]*Tabla1[[#This Row],[DIAS VAC PAG]]</f>
        <v>246.57534246573576</v>
      </c>
    </row>
    <row r="1039" spans="2:21" hidden="1" x14ac:dyDescent="0.25">
      <c r="B1039" s="243">
        <v>116</v>
      </c>
      <c r="C1039" s="140" t="str">
        <f>VLOOKUP(B1039,BDD[],2,0)</f>
        <v>Idalia García Escrivá</v>
      </c>
      <c r="D1039" s="140">
        <f>VLOOKUP(B1039,BDD[],3,0)</f>
        <v>37500</v>
      </c>
      <c r="E1039" s="140">
        <f>VLOOKUP(B1039,BDD[],4,0)</f>
        <v>1250</v>
      </c>
      <c r="F1039" s="142">
        <f>VLOOKUP(B1039,BDD[],26,0)</f>
        <v>138.88888888888889</v>
      </c>
      <c r="G1039" s="268">
        <f>VLOOKUP(B1039,BDD[],6,0)</f>
        <v>40456</v>
      </c>
      <c r="H1039" s="139">
        <f ca="1">VLOOKUP(B1039,BDD[],7,0)</f>
        <v>11</v>
      </c>
      <c r="I1039" s="139">
        <f ca="1">VLOOKUP(B1039,BDD[],22,0)</f>
        <v>10</v>
      </c>
      <c r="J1039" s="168">
        <v>15</v>
      </c>
      <c r="K1039" s="139">
        <f>Tabla1[[#This Row],[DIAS LAB]]*Tabla1[[#This Row],[SUE DIA]]</f>
        <v>18750</v>
      </c>
      <c r="L1039" s="168">
        <v>0</v>
      </c>
      <c r="M1039" s="198">
        <f>Tabla1[[#This Row],[HRS EXT]]*Tabla1[[#This Row],[SUE X HR]]</f>
        <v>0</v>
      </c>
      <c r="N1039" s="168">
        <v>0</v>
      </c>
      <c r="O1039" s="198">
        <f>Tabla1[[#This Row],[ASUETO]]*Tabla1[[#This Row],[SUE DIA]]</f>
        <v>0</v>
      </c>
      <c r="P1039" s="139">
        <f>IF(Tabla1[[#This Row],[FECHA ING]]&lt;$P$1007,365,_xlfn.DAYS($P$1008,Tabla1[[#This Row],[FECHA ING]])+1)</f>
        <v>365</v>
      </c>
      <c r="Q1039" s="198">
        <f>INT(30*(Tabla1[[#This Row],[FECHAS CONTB AGNLDO]]/365))</f>
        <v>30</v>
      </c>
      <c r="R1039" s="244">
        <f ca="1">IF($W$32=$W$26,Tabla1[[#This Row],[SUE DIA]]*Tabla1[[#This Row],[DIAS PAG AGNLDO]],0)</f>
        <v>0</v>
      </c>
      <c r="S1039" s="244">
        <f ca="1">(_xlfn.DAYS(TODAY(),Tabla1[[#This Row],[FECHA ING]])/365)</f>
        <v>11.791780821917808</v>
      </c>
      <c r="T1039" s="244">
        <f ca="1">IF(Tabla1[[#This Row],[DIAS VAC]]&gt;1,Tabla1[[#This Row],[DIAS VAC]]-Tabla1[[#This Row],[ANTIG]],Tabla1[[#This Row],[DIAS VAC]])</f>
        <v>0.79178082191780774</v>
      </c>
      <c r="U1039" s="244">
        <f ca="1">Tabla1[[#This Row],[VALID ANTIG]]*Tabla1[[#This Row],[SUE DIA]]*Tabla1[[#This Row],[DIAS VAC PAG]]</f>
        <v>9897.2602739725971</v>
      </c>
    </row>
    <row r="1040" spans="2:21" hidden="1" x14ac:dyDescent="0.25">
      <c r="B1040" s="243">
        <v>117</v>
      </c>
      <c r="C1040" s="140" t="str">
        <f>VLOOKUP(B1040,BDD[],2,0)</f>
        <v>Andrea Arizpe Rodríguez</v>
      </c>
      <c r="D1040" s="140">
        <f>VLOOKUP(B1040,BDD[],3,0)</f>
        <v>9541</v>
      </c>
      <c r="E1040" s="140">
        <f>VLOOKUP(B1040,BDD[],4,0)</f>
        <v>318.03333333333336</v>
      </c>
      <c r="F1040" s="142">
        <f>VLOOKUP(B1040,BDD[],26,0)</f>
        <v>35.337037037037042</v>
      </c>
      <c r="G1040" s="268">
        <f>VLOOKUP(B1040,BDD[],6,0)</f>
        <v>41859</v>
      </c>
      <c r="H1040" s="139">
        <f ca="1">VLOOKUP(B1040,BDD[],7,0)</f>
        <v>7</v>
      </c>
      <c r="I1040" s="139">
        <f ca="1">VLOOKUP(B1040,BDD[],22,0)</f>
        <v>8</v>
      </c>
      <c r="J1040" s="168">
        <v>15</v>
      </c>
      <c r="K1040" s="139">
        <f>Tabla1[[#This Row],[DIAS LAB]]*Tabla1[[#This Row],[SUE DIA]]</f>
        <v>4770.5</v>
      </c>
      <c r="L1040" s="168">
        <v>0</v>
      </c>
      <c r="M1040" s="198">
        <f>Tabla1[[#This Row],[HRS EXT]]*Tabla1[[#This Row],[SUE X HR]]</f>
        <v>0</v>
      </c>
      <c r="N1040" s="168">
        <v>0</v>
      </c>
      <c r="O1040" s="198">
        <f>Tabla1[[#This Row],[ASUETO]]*Tabla1[[#This Row],[SUE DIA]]</f>
        <v>0</v>
      </c>
      <c r="P1040" s="139">
        <f>IF(Tabla1[[#This Row],[FECHA ING]]&lt;$P$1007,365,_xlfn.DAYS($P$1008,Tabla1[[#This Row],[FECHA ING]])+1)</f>
        <v>365</v>
      </c>
      <c r="Q1040" s="198">
        <f>INT(30*(Tabla1[[#This Row],[FECHAS CONTB AGNLDO]]/365))</f>
        <v>30</v>
      </c>
      <c r="R1040" s="244">
        <f ca="1">IF($W$32=$W$26,Tabla1[[#This Row],[SUE DIA]]*Tabla1[[#This Row],[DIAS PAG AGNLDO]],0)</f>
        <v>0</v>
      </c>
      <c r="S1040" s="244">
        <f ca="1">(_xlfn.DAYS(TODAY(),Tabla1[[#This Row],[FECHA ING]])/365)</f>
        <v>7.9479452054794519</v>
      </c>
      <c r="T1040" s="244">
        <f ca="1">IF(Tabla1[[#This Row],[DIAS VAC]]&gt;1,Tabla1[[#This Row],[DIAS VAC]]-Tabla1[[#This Row],[ANTIG]],Tabla1[[#This Row],[DIAS VAC]])</f>
        <v>0.94794520547945194</v>
      </c>
      <c r="U1040" s="244">
        <f ca="1">Tabla1[[#This Row],[VALID ANTIG]]*Tabla1[[#This Row],[SUE DIA]]*Tabla1[[#This Row],[DIAS VAC PAG]]</f>
        <v>2411.8253881278538</v>
      </c>
    </row>
    <row r="1041" spans="2:21" hidden="1" x14ac:dyDescent="0.25">
      <c r="B1041" s="243">
        <v>118</v>
      </c>
      <c r="C1041" s="140" t="str">
        <f>VLOOKUP(B1041,BDD[],2,0)</f>
        <v>Maríano Aldebarán</v>
      </c>
      <c r="D1041" s="140">
        <f>VLOOKUP(B1041,BDD[],3,0)</f>
        <v>64200</v>
      </c>
      <c r="E1041" s="140">
        <f>VLOOKUP(B1041,BDD[],4,0)</f>
        <v>2140</v>
      </c>
      <c r="F1041" s="142">
        <f>VLOOKUP(B1041,BDD[],26,0)</f>
        <v>237.77777777777777</v>
      </c>
      <c r="G1041" s="268">
        <f>VLOOKUP(B1041,BDD[],6,0)</f>
        <v>40791</v>
      </c>
      <c r="H1041" s="139">
        <f ca="1">VLOOKUP(B1041,BDD[],7,0)</f>
        <v>10</v>
      </c>
      <c r="I1041" s="139">
        <f ca="1">VLOOKUP(B1041,BDD[],22,0)</f>
        <v>10</v>
      </c>
      <c r="J1041" s="168">
        <v>15</v>
      </c>
      <c r="K1041" s="139">
        <f>Tabla1[[#This Row],[DIAS LAB]]*Tabla1[[#This Row],[SUE DIA]]</f>
        <v>32100</v>
      </c>
      <c r="L1041" s="168">
        <v>0</v>
      </c>
      <c r="M1041" s="198">
        <f>Tabla1[[#This Row],[HRS EXT]]*Tabla1[[#This Row],[SUE X HR]]</f>
        <v>0</v>
      </c>
      <c r="N1041" s="168">
        <v>0</v>
      </c>
      <c r="O1041" s="198">
        <f>Tabla1[[#This Row],[ASUETO]]*Tabla1[[#This Row],[SUE DIA]]</f>
        <v>0</v>
      </c>
      <c r="P1041" s="139">
        <f>IF(Tabla1[[#This Row],[FECHA ING]]&lt;$P$1007,365,_xlfn.DAYS($P$1008,Tabla1[[#This Row],[FECHA ING]])+1)</f>
        <v>365</v>
      </c>
      <c r="Q1041" s="198">
        <f>INT(30*(Tabla1[[#This Row],[FECHAS CONTB AGNLDO]]/365))</f>
        <v>30</v>
      </c>
      <c r="R1041" s="244">
        <f ca="1">IF($W$32=$W$26,Tabla1[[#This Row],[SUE DIA]]*Tabla1[[#This Row],[DIAS PAG AGNLDO]],0)</f>
        <v>0</v>
      </c>
      <c r="S1041" s="244">
        <f ca="1">(_xlfn.DAYS(TODAY(),Tabla1[[#This Row],[FECHA ING]])/365)</f>
        <v>10.873972602739727</v>
      </c>
      <c r="T1041" s="244">
        <f ca="1">IF(Tabla1[[#This Row],[DIAS VAC]]&gt;1,Tabla1[[#This Row],[DIAS VAC]]-Tabla1[[#This Row],[ANTIG]],Tabla1[[#This Row],[DIAS VAC]])</f>
        <v>0.87397260273972677</v>
      </c>
      <c r="U1041" s="244">
        <f ca="1">Tabla1[[#This Row],[VALID ANTIG]]*Tabla1[[#This Row],[SUE DIA]]*Tabla1[[#This Row],[DIAS VAC PAG]]</f>
        <v>18703.013698630151</v>
      </c>
    </row>
    <row r="1042" spans="2:21" hidden="1" x14ac:dyDescent="0.25">
      <c r="B1042" s="243">
        <v>119</v>
      </c>
      <c r="C1042" s="140" t="str">
        <f>VLOOKUP(B1042,BDD[],2,0)</f>
        <v>Gabriel García Márquez</v>
      </c>
      <c r="D1042" s="140">
        <f>VLOOKUP(B1042,BDD[],3,0)</f>
        <v>15850</v>
      </c>
      <c r="E1042" s="140">
        <f>VLOOKUP(B1042,BDD[],4,0)</f>
        <v>528.33333333333337</v>
      </c>
      <c r="F1042" s="142">
        <f>VLOOKUP(B1042,BDD[],26,0)</f>
        <v>58.703703703703709</v>
      </c>
      <c r="G1042" s="268">
        <f>VLOOKUP(B1042,BDD[],6,0)</f>
        <v>40974</v>
      </c>
      <c r="H1042" s="139">
        <f ca="1">VLOOKUP(B1042,BDD[],7,0)</f>
        <v>10</v>
      </c>
      <c r="I1042" s="139">
        <f ca="1">VLOOKUP(B1042,BDD[],22,0)</f>
        <v>10</v>
      </c>
      <c r="J1042" s="168">
        <v>15</v>
      </c>
      <c r="K1042" s="139">
        <f>Tabla1[[#This Row],[DIAS LAB]]*Tabla1[[#This Row],[SUE DIA]]</f>
        <v>7925.0000000000009</v>
      </c>
      <c r="L1042" s="168">
        <v>0</v>
      </c>
      <c r="M1042" s="198">
        <f>Tabla1[[#This Row],[HRS EXT]]*Tabla1[[#This Row],[SUE X HR]]</f>
        <v>0</v>
      </c>
      <c r="N1042" s="168">
        <v>0</v>
      </c>
      <c r="O1042" s="198">
        <f>Tabla1[[#This Row],[ASUETO]]*Tabla1[[#This Row],[SUE DIA]]</f>
        <v>0</v>
      </c>
      <c r="P1042" s="139">
        <f>IF(Tabla1[[#This Row],[FECHA ING]]&lt;$P$1007,365,_xlfn.DAYS($P$1008,Tabla1[[#This Row],[FECHA ING]])+1)</f>
        <v>365</v>
      </c>
      <c r="Q1042" s="198">
        <f>INT(30*(Tabla1[[#This Row],[FECHAS CONTB AGNLDO]]/365))</f>
        <v>30</v>
      </c>
      <c r="R1042" s="244">
        <f ca="1">IF($W$32=$W$26,Tabla1[[#This Row],[SUE DIA]]*Tabla1[[#This Row],[DIAS PAG AGNLDO]],0)</f>
        <v>0</v>
      </c>
      <c r="S1042" s="244">
        <f ca="1">(_xlfn.DAYS(TODAY(),Tabla1[[#This Row],[FECHA ING]])/365)</f>
        <v>10.372602739726027</v>
      </c>
      <c r="T1042" s="244">
        <f ca="1">IF(Tabla1[[#This Row],[DIAS VAC]]&gt;1,Tabla1[[#This Row],[DIAS VAC]]-Tabla1[[#This Row],[ANTIG]],Tabla1[[#This Row],[DIAS VAC]])</f>
        <v>0.37260273972602675</v>
      </c>
      <c r="U1042" s="244">
        <f ca="1">Tabla1[[#This Row],[VALID ANTIG]]*Tabla1[[#This Row],[SUE DIA]]*Tabla1[[#This Row],[DIAS VAC PAG]]</f>
        <v>1968.5844748858415</v>
      </c>
    </row>
    <row r="1043" spans="2:21" hidden="1" x14ac:dyDescent="0.25">
      <c r="B1043" s="243">
        <v>120</v>
      </c>
      <c r="C1043" s="140" t="str">
        <f>VLOOKUP(B1043,BDD[],2,0)</f>
        <v>Juan Carlos Ortega Huerta</v>
      </c>
      <c r="D1043" s="140">
        <f>VLOOKUP(B1043,BDD[],3,0)</f>
        <v>7445</v>
      </c>
      <c r="E1043" s="140">
        <f>VLOOKUP(B1043,BDD[],4,0)</f>
        <v>248.16666666666666</v>
      </c>
      <c r="F1043" s="142">
        <f>VLOOKUP(B1043,BDD[],26,0)</f>
        <v>27.574074074074073</v>
      </c>
      <c r="G1043" s="268">
        <f>VLOOKUP(B1043,BDD[],6,0)</f>
        <v>43803</v>
      </c>
      <c r="H1043" s="139">
        <f ca="1">VLOOKUP(B1043,BDD[],7,0)</f>
        <v>2</v>
      </c>
      <c r="I1043" s="139">
        <f ca="1">VLOOKUP(B1043,BDD[],22,0)</f>
        <v>5</v>
      </c>
      <c r="J1043" s="168">
        <v>15</v>
      </c>
      <c r="K1043" s="139">
        <f>Tabla1[[#This Row],[DIAS LAB]]*Tabla1[[#This Row],[SUE DIA]]</f>
        <v>3722.5</v>
      </c>
      <c r="L1043" s="168">
        <v>0</v>
      </c>
      <c r="M1043" s="198">
        <f>Tabla1[[#This Row],[HRS EXT]]*Tabla1[[#This Row],[SUE X HR]]</f>
        <v>0</v>
      </c>
      <c r="N1043" s="168">
        <v>0</v>
      </c>
      <c r="O1043" s="198">
        <f>Tabla1[[#This Row],[ASUETO]]*Tabla1[[#This Row],[SUE DIA]]</f>
        <v>0</v>
      </c>
      <c r="P1043" s="139">
        <f>IF(Tabla1[[#This Row],[FECHA ING]]&lt;$P$1007,365,_xlfn.DAYS($P$1008,Tabla1[[#This Row],[FECHA ING]])+1)</f>
        <v>365</v>
      </c>
      <c r="Q1043" s="198">
        <f>INT(30*(Tabla1[[#This Row],[FECHAS CONTB AGNLDO]]/365))</f>
        <v>30</v>
      </c>
      <c r="R1043" s="244">
        <f ca="1">IF($W$32=$W$26,Tabla1[[#This Row],[SUE DIA]]*Tabla1[[#This Row],[DIAS PAG AGNLDO]],0)</f>
        <v>0</v>
      </c>
      <c r="S1043" s="244">
        <f ca="1">(_xlfn.DAYS(TODAY(),Tabla1[[#This Row],[FECHA ING]])/365)</f>
        <v>2.6219178082191781</v>
      </c>
      <c r="T1043" s="244">
        <f ca="1">IF(Tabla1[[#This Row],[DIAS VAC]]&gt;1,Tabla1[[#This Row],[DIAS VAC]]-Tabla1[[#This Row],[ANTIG]],Tabla1[[#This Row],[DIAS VAC]])</f>
        <v>0.62191780821917808</v>
      </c>
      <c r="U1043" s="244">
        <f ca="1">Tabla1[[#This Row],[VALID ANTIG]]*Tabla1[[#This Row],[SUE DIA]]*Tabla1[[#This Row],[DIAS VAC PAG]]</f>
        <v>771.69634703196334</v>
      </c>
    </row>
    <row r="1044" spans="2:21" hidden="1" x14ac:dyDescent="0.25">
      <c r="B1044" s="243">
        <v>121</v>
      </c>
      <c r="C1044" s="140" t="str">
        <f>VLOOKUP(B1044,BDD[],2,0)</f>
        <v xml:space="preserve">Luis Jorge Boone </v>
      </c>
      <c r="D1044" s="140">
        <f>VLOOKUP(B1044,BDD[],3,0)</f>
        <v>7950</v>
      </c>
      <c r="E1044" s="140">
        <f>VLOOKUP(B1044,BDD[],4,0)</f>
        <v>265</v>
      </c>
      <c r="F1044" s="142">
        <f>VLOOKUP(B1044,BDD[],26,0)</f>
        <v>29.444444444444443</v>
      </c>
      <c r="G1044" s="268">
        <f>VLOOKUP(B1044,BDD[],6,0)</f>
        <v>43107</v>
      </c>
      <c r="H1044" s="139">
        <f ca="1">VLOOKUP(B1044,BDD[],7,0)</f>
        <v>4</v>
      </c>
      <c r="I1044" s="139">
        <f ca="1">VLOOKUP(B1044,BDD[],22,0)</f>
        <v>7</v>
      </c>
      <c r="J1044" s="168">
        <v>15</v>
      </c>
      <c r="K1044" s="139">
        <f>Tabla1[[#This Row],[DIAS LAB]]*Tabla1[[#This Row],[SUE DIA]]</f>
        <v>3975</v>
      </c>
      <c r="L1044" s="168">
        <v>0</v>
      </c>
      <c r="M1044" s="198">
        <f>Tabla1[[#This Row],[HRS EXT]]*Tabla1[[#This Row],[SUE X HR]]</f>
        <v>0</v>
      </c>
      <c r="N1044" s="168">
        <v>0</v>
      </c>
      <c r="O1044" s="198">
        <f>Tabla1[[#This Row],[ASUETO]]*Tabla1[[#This Row],[SUE DIA]]</f>
        <v>0</v>
      </c>
      <c r="P1044" s="139">
        <f>IF(Tabla1[[#This Row],[FECHA ING]]&lt;$P$1007,365,_xlfn.DAYS($P$1008,Tabla1[[#This Row],[FECHA ING]])+1)</f>
        <v>365</v>
      </c>
      <c r="Q1044" s="198">
        <f>INT(30*(Tabla1[[#This Row],[FECHAS CONTB AGNLDO]]/365))</f>
        <v>30</v>
      </c>
      <c r="R1044" s="244">
        <f ca="1">IF($W$32=$W$26,Tabla1[[#This Row],[SUE DIA]]*Tabla1[[#This Row],[DIAS PAG AGNLDO]],0)</f>
        <v>0</v>
      </c>
      <c r="S1044" s="244">
        <f ca="1">(_xlfn.DAYS(TODAY(),Tabla1[[#This Row],[FECHA ING]])/365)</f>
        <v>4.5287671232876709</v>
      </c>
      <c r="T1044" s="244">
        <f ca="1">IF(Tabla1[[#This Row],[DIAS VAC]]&gt;1,Tabla1[[#This Row],[DIAS VAC]]-Tabla1[[#This Row],[ANTIG]],Tabla1[[#This Row],[DIAS VAC]])</f>
        <v>0.52876712328767095</v>
      </c>
      <c r="U1044" s="244">
        <f ca="1">Tabla1[[#This Row],[VALID ANTIG]]*Tabla1[[#This Row],[SUE DIA]]*Tabla1[[#This Row],[DIAS VAC PAG]]</f>
        <v>980.86301369862952</v>
      </c>
    </row>
    <row r="1045" spans="2:21" hidden="1" x14ac:dyDescent="0.25">
      <c r="B1045" s="243">
        <v>122</v>
      </c>
      <c r="C1045" s="140" t="str">
        <f>VLOOKUP(B1045,BDD[],2,0)</f>
        <v>Fausto Eduardo Cedillo Oliva</v>
      </c>
      <c r="D1045" s="140">
        <f>VLOOKUP(B1045,BDD[],3,0)</f>
        <v>9541</v>
      </c>
      <c r="E1045" s="140">
        <f>VLOOKUP(B1045,BDD[],4,0)</f>
        <v>318.03333333333336</v>
      </c>
      <c r="F1045" s="142">
        <f>VLOOKUP(B1045,BDD[],26,0)</f>
        <v>35.337037037037042</v>
      </c>
      <c r="G1045" s="268">
        <f>VLOOKUP(B1045,BDD[],6,0)</f>
        <v>42205</v>
      </c>
      <c r="H1045" s="139">
        <f ca="1">VLOOKUP(B1045,BDD[],7,0)</f>
        <v>7</v>
      </c>
      <c r="I1045" s="139">
        <f ca="1">VLOOKUP(B1045,BDD[],22,0)</f>
        <v>8</v>
      </c>
      <c r="J1045" s="168">
        <v>15</v>
      </c>
      <c r="K1045" s="139">
        <f>Tabla1[[#This Row],[DIAS LAB]]*Tabla1[[#This Row],[SUE DIA]]</f>
        <v>4770.5</v>
      </c>
      <c r="L1045" s="168">
        <v>0</v>
      </c>
      <c r="M1045" s="198">
        <f>Tabla1[[#This Row],[HRS EXT]]*Tabla1[[#This Row],[SUE X HR]]</f>
        <v>0</v>
      </c>
      <c r="N1045" s="168">
        <v>0</v>
      </c>
      <c r="O1045" s="198">
        <f>Tabla1[[#This Row],[ASUETO]]*Tabla1[[#This Row],[SUE DIA]]</f>
        <v>0</v>
      </c>
      <c r="P1045" s="139">
        <f>IF(Tabla1[[#This Row],[FECHA ING]]&lt;$P$1007,365,_xlfn.DAYS($P$1008,Tabla1[[#This Row],[FECHA ING]])+1)</f>
        <v>365</v>
      </c>
      <c r="Q1045" s="198">
        <f>INT(30*(Tabla1[[#This Row],[FECHAS CONTB AGNLDO]]/365))</f>
        <v>30</v>
      </c>
      <c r="R1045" s="244">
        <f ca="1">IF($W$32=$W$26,Tabla1[[#This Row],[SUE DIA]]*Tabla1[[#This Row],[DIAS PAG AGNLDO]],0)</f>
        <v>0</v>
      </c>
      <c r="S1045" s="244">
        <f ca="1">(_xlfn.DAYS(TODAY(),Tabla1[[#This Row],[FECHA ING]])/365)</f>
        <v>7</v>
      </c>
      <c r="T1045" s="244">
        <f ca="1">IF(Tabla1[[#This Row],[DIAS VAC]]&gt;1,Tabla1[[#This Row],[DIAS VAC]]-Tabla1[[#This Row],[ANTIG]],Tabla1[[#This Row],[DIAS VAC]])</f>
        <v>0</v>
      </c>
      <c r="U1045" s="244">
        <f ca="1">Tabla1[[#This Row],[VALID ANTIG]]*Tabla1[[#This Row],[SUE DIA]]*Tabla1[[#This Row],[DIAS VAC PAG]]</f>
        <v>0</v>
      </c>
    </row>
    <row r="1046" spans="2:21" hidden="1" x14ac:dyDescent="0.25">
      <c r="B1046" s="243">
        <v>123</v>
      </c>
      <c r="C1046" s="140" t="str">
        <f>VLOOKUP(B1046,BDD[],2,0)</f>
        <v>Lorenzo Antonio Cruz Mendoza</v>
      </c>
      <c r="D1046" s="140">
        <f>VLOOKUP(B1046,BDD[],3,0)</f>
        <v>25800</v>
      </c>
      <c r="E1046" s="140">
        <f>VLOOKUP(B1046,BDD[],4,0)</f>
        <v>860</v>
      </c>
      <c r="F1046" s="142">
        <f>VLOOKUP(B1046,BDD[],26,0)</f>
        <v>95.555555555555557</v>
      </c>
      <c r="G1046" s="268">
        <f>VLOOKUP(B1046,BDD[],6,0)</f>
        <v>42598</v>
      </c>
      <c r="H1046" s="139">
        <f ca="1">VLOOKUP(B1046,BDD[],7,0)</f>
        <v>5</v>
      </c>
      <c r="I1046" s="139">
        <f ca="1">VLOOKUP(B1046,BDD[],22,0)</f>
        <v>8</v>
      </c>
      <c r="J1046" s="168">
        <v>15</v>
      </c>
      <c r="K1046" s="139">
        <f>Tabla1[[#This Row],[DIAS LAB]]*Tabla1[[#This Row],[SUE DIA]]</f>
        <v>12900</v>
      </c>
      <c r="L1046" s="168">
        <v>0</v>
      </c>
      <c r="M1046" s="198">
        <f>Tabla1[[#This Row],[HRS EXT]]*Tabla1[[#This Row],[SUE X HR]]</f>
        <v>0</v>
      </c>
      <c r="N1046" s="168">
        <v>0</v>
      </c>
      <c r="O1046" s="198">
        <f>Tabla1[[#This Row],[ASUETO]]*Tabla1[[#This Row],[SUE DIA]]</f>
        <v>0</v>
      </c>
      <c r="P1046" s="139">
        <f>IF(Tabla1[[#This Row],[FECHA ING]]&lt;$P$1007,365,_xlfn.DAYS($P$1008,Tabla1[[#This Row],[FECHA ING]])+1)</f>
        <v>365</v>
      </c>
      <c r="Q1046" s="198">
        <f>INT(30*(Tabla1[[#This Row],[FECHAS CONTB AGNLDO]]/365))</f>
        <v>30</v>
      </c>
      <c r="R1046" s="244">
        <f ca="1">IF($W$32=$W$26,Tabla1[[#This Row],[SUE DIA]]*Tabla1[[#This Row],[DIAS PAG AGNLDO]],0)</f>
        <v>0</v>
      </c>
      <c r="S1046" s="244">
        <f ca="1">(_xlfn.DAYS(TODAY(),Tabla1[[#This Row],[FECHA ING]])/365)</f>
        <v>5.9232876712328766</v>
      </c>
      <c r="T1046" s="244">
        <f ca="1">IF(Tabla1[[#This Row],[DIAS VAC]]&gt;1,Tabla1[[#This Row],[DIAS VAC]]-Tabla1[[#This Row],[ANTIG]],Tabla1[[#This Row],[DIAS VAC]])</f>
        <v>0.92328767123287658</v>
      </c>
      <c r="U1046" s="244">
        <f ca="1">Tabla1[[#This Row],[VALID ANTIG]]*Tabla1[[#This Row],[SUE DIA]]*Tabla1[[#This Row],[DIAS VAC PAG]]</f>
        <v>6352.2191780821913</v>
      </c>
    </row>
    <row r="1047" spans="2:21" hidden="1" x14ac:dyDescent="0.25">
      <c r="B1047" s="243">
        <v>124</v>
      </c>
      <c r="C1047" s="140" t="str">
        <f>VLOOKUP(B1047,BDD[],2,0)</f>
        <v>Walther Jonathan Urbina Guerrero</v>
      </c>
      <c r="D1047" s="140">
        <f>VLOOKUP(B1047,BDD[],3,0)</f>
        <v>9541</v>
      </c>
      <c r="E1047" s="140">
        <f>VLOOKUP(B1047,BDD[],4,0)</f>
        <v>318.03333333333336</v>
      </c>
      <c r="F1047" s="142">
        <f>VLOOKUP(B1047,BDD[],26,0)</f>
        <v>35.337037037037042</v>
      </c>
      <c r="G1047" s="268">
        <f>VLOOKUP(B1047,BDD[],6,0)</f>
        <v>41954</v>
      </c>
      <c r="H1047" s="139">
        <f ca="1">VLOOKUP(B1047,BDD[],7,0)</f>
        <v>7</v>
      </c>
      <c r="I1047" s="139">
        <f ca="1">VLOOKUP(B1047,BDD[],22,0)</f>
        <v>8</v>
      </c>
      <c r="J1047" s="168">
        <v>15</v>
      </c>
      <c r="K1047" s="139">
        <f>Tabla1[[#This Row],[DIAS LAB]]*Tabla1[[#This Row],[SUE DIA]]</f>
        <v>4770.5</v>
      </c>
      <c r="L1047" s="168">
        <v>0</v>
      </c>
      <c r="M1047" s="198">
        <f>Tabla1[[#This Row],[HRS EXT]]*Tabla1[[#This Row],[SUE X HR]]</f>
        <v>0</v>
      </c>
      <c r="N1047" s="168">
        <v>0</v>
      </c>
      <c r="O1047" s="198">
        <f>Tabla1[[#This Row],[ASUETO]]*Tabla1[[#This Row],[SUE DIA]]</f>
        <v>0</v>
      </c>
      <c r="P1047" s="139">
        <f>IF(Tabla1[[#This Row],[FECHA ING]]&lt;$P$1007,365,_xlfn.DAYS($P$1008,Tabla1[[#This Row],[FECHA ING]])+1)</f>
        <v>365</v>
      </c>
      <c r="Q1047" s="198">
        <f>INT(30*(Tabla1[[#This Row],[FECHAS CONTB AGNLDO]]/365))</f>
        <v>30</v>
      </c>
      <c r="R1047" s="244">
        <f ca="1">IF($W$32=$W$26,Tabla1[[#This Row],[SUE DIA]]*Tabla1[[#This Row],[DIAS PAG AGNLDO]],0)</f>
        <v>0</v>
      </c>
      <c r="S1047" s="244">
        <f ca="1">(_xlfn.DAYS(TODAY(),Tabla1[[#This Row],[FECHA ING]])/365)</f>
        <v>7.6876712328767125</v>
      </c>
      <c r="T1047" s="244">
        <f ca="1">IF(Tabla1[[#This Row],[DIAS VAC]]&gt;1,Tabla1[[#This Row],[DIAS VAC]]-Tabla1[[#This Row],[ANTIG]],Tabla1[[#This Row],[DIAS VAC]])</f>
        <v>0.6876712328767125</v>
      </c>
      <c r="U1047" s="244">
        <f ca="1">Tabla1[[#This Row],[VALID ANTIG]]*Tabla1[[#This Row],[SUE DIA]]*Tabla1[[#This Row],[DIAS VAC PAG]]</f>
        <v>1749.6189954337906</v>
      </c>
    </row>
    <row r="1048" spans="2:21" hidden="1" x14ac:dyDescent="0.25">
      <c r="B1048" s="243">
        <v>125</v>
      </c>
      <c r="C1048" s="140" t="str">
        <f>VLOOKUP(B1048,BDD[],2,0)</f>
        <v>Antonio de Jesús Hernández Quiroz</v>
      </c>
      <c r="D1048" s="140">
        <f>VLOOKUP(B1048,BDD[],3,0)</f>
        <v>22200</v>
      </c>
      <c r="E1048" s="140">
        <f>VLOOKUP(B1048,BDD[],4,0)</f>
        <v>740</v>
      </c>
      <c r="F1048" s="142">
        <f>VLOOKUP(B1048,BDD[],26,0)</f>
        <v>82.222222222222229</v>
      </c>
      <c r="G1048" s="268">
        <f>VLOOKUP(B1048,BDD[],6,0)</f>
        <v>42075</v>
      </c>
      <c r="H1048" s="139">
        <f ca="1">VLOOKUP(B1048,BDD[],7,0)</f>
        <v>7</v>
      </c>
      <c r="I1048" s="139">
        <f ca="1">VLOOKUP(B1048,BDD[],22,0)</f>
        <v>8</v>
      </c>
      <c r="J1048" s="168">
        <v>15</v>
      </c>
      <c r="K1048" s="139">
        <f>Tabla1[[#This Row],[DIAS LAB]]*Tabla1[[#This Row],[SUE DIA]]</f>
        <v>11100</v>
      </c>
      <c r="L1048" s="168">
        <v>0</v>
      </c>
      <c r="M1048" s="198">
        <f>Tabla1[[#This Row],[HRS EXT]]*Tabla1[[#This Row],[SUE X HR]]</f>
        <v>0</v>
      </c>
      <c r="N1048" s="168">
        <v>0</v>
      </c>
      <c r="O1048" s="198">
        <f>Tabla1[[#This Row],[ASUETO]]*Tabla1[[#This Row],[SUE DIA]]</f>
        <v>0</v>
      </c>
      <c r="P1048" s="139">
        <f>IF(Tabla1[[#This Row],[FECHA ING]]&lt;$P$1007,365,_xlfn.DAYS($P$1008,Tabla1[[#This Row],[FECHA ING]])+1)</f>
        <v>365</v>
      </c>
      <c r="Q1048" s="198">
        <f>INT(30*(Tabla1[[#This Row],[FECHAS CONTB AGNLDO]]/365))</f>
        <v>30</v>
      </c>
      <c r="R1048" s="244">
        <f ca="1">IF($W$32=$W$26,Tabla1[[#This Row],[SUE DIA]]*Tabla1[[#This Row],[DIAS PAG AGNLDO]],0)</f>
        <v>0</v>
      </c>
      <c r="S1048" s="244">
        <f ca="1">(_xlfn.DAYS(TODAY(),Tabla1[[#This Row],[FECHA ING]])/365)</f>
        <v>7.3561643835616435</v>
      </c>
      <c r="T1048" s="244">
        <f ca="1">IF(Tabla1[[#This Row],[DIAS VAC]]&gt;1,Tabla1[[#This Row],[DIAS VAC]]-Tabla1[[#This Row],[ANTIG]],Tabla1[[#This Row],[DIAS VAC]])</f>
        <v>0.35616438356164348</v>
      </c>
      <c r="U1048" s="244">
        <f ca="1">Tabla1[[#This Row],[VALID ANTIG]]*Tabla1[[#This Row],[SUE DIA]]*Tabla1[[#This Row],[DIAS VAC PAG]]</f>
        <v>2108.4931506849293</v>
      </c>
    </row>
    <row r="1049" spans="2:21" hidden="1" x14ac:dyDescent="0.25">
      <c r="B1049" s="243">
        <v>126</v>
      </c>
      <c r="C1049" s="140" t="str">
        <f>VLOOKUP(B1049,BDD[],2,0)</f>
        <v>Paola Alejandra Hernández Garza</v>
      </c>
      <c r="D1049" s="140">
        <f>VLOOKUP(B1049,BDD[],3,0)</f>
        <v>25800</v>
      </c>
      <c r="E1049" s="140">
        <f>VLOOKUP(B1049,BDD[],4,0)</f>
        <v>860</v>
      </c>
      <c r="F1049" s="142">
        <f>VLOOKUP(B1049,BDD[],26,0)</f>
        <v>95.555555555555557</v>
      </c>
      <c r="G1049" s="268">
        <f>VLOOKUP(B1049,BDD[],6,0)</f>
        <v>42377</v>
      </c>
      <c r="H1049" s="139">
        <f ca="1">VLOOKUP(B1049,BDD[],7,0)</f>
        <v>6</v>
      </c>
      <c r="I1049" s="139">
        <f ca="1">VLOOKUP(B1049,BDD[],22,0)</f>
        <v>8</v>
      </c>
      <c r="J1049" s="168">
        <v>15</v>
      </c>
      <c r="K1049" s="139">
        <f>Tabla1[[#This Row],[DIAS LAB]]*Tabla1[[#This Row],[SUE DIA]]</f>
        <v>12900</v>
      </c>
      <c r="L1049" s="168">
        <v>0</v>
      </c>
      <c r="M1049" s="198">
        <f>Tabla1[[#This Row],[HRS EXT]]*Tabla1[[#This Row],[SUE X HR]]</f>
        <v>0</v>
      </c>
      <c r="N1049" s="168">
        <v>0</v>
      </c>
      <c r="O1049" s="198">
        <f>Tabla1[[#This Row],[ASUETO]]*Tabla1[[#This Row],[SUE DIA]]</f>
        <v>0</v>
      </c>
      <c r="P1049" s="139">
        <f>IF(Tabla1[[#This Row],[FECHA ING]]&lt;$P$1007,365,_xlfn.DAYS($P$1008,Tabla1[[#This Row],[FECHA ING]])+1)</f>
        <v>365</v>
      </c>
      <c r="Q1049" s="198">
        <f>INT(30*(Tabla1[[#This Row],[FECHAS CONTB AGNLDO]]/365))</f>
        <v>30</v>
      </c>
      <c r="R1049" s="244">
        <f ca="1">IF($W$32=$W$26,Tabla1[[#This Row],[SUE DIA]]*Tabla1[[#This Row],[DIAS PAG AGNLDO]],0)</f>
        <v>0</v>
      </c>
      <c r="S1049" s="244">
        <f ca="1">(_xlfn.DAYS(TODAY(),Tabla1[[#This Row],[FECHA ING]])/365)</f>
        <v>6.5287671232876709</v>
      </c>
      <c r="T1049" s="244">
        <f ca="1">IF(Tabla1[[#This Row],[DIAS VAC]]&gt;1,Tabla1[[#This Row],[DIAS VAC]]-Tabla1[[#This Row],[ANTIG]],Tabla1[[#This Row],[DIAS VAC]])</f>
        <v>0.52876712328767095</v>
      </c>
      <c r="U1049" s="244">
        <f ca="1">Tabla1[[#This Row],[VALID ANTIG]]*Tabla1[[#This Row],[SUE DIA]]*Tabla1[[#This Row],[DIAS VAC PAG]]</f>
        <v>3637.9178082191761</v>
      </c>
    </row>
    <row r="1050" spans="2:21" hidden="1" x14ac:dyDescent="0.25">
      <c r="B1050" s="243">
        <v>127</v>
      </c>
      <c r="C1050" s="140" t="str">
        <f>VLOOKUP(B1050,BDD[],2,0)</f>
        <v>Ignacio José Fornés Olmo</v>
      </c>
      <c r="D1050" s="140">
        <f>VLOOKUP(B1050,BDD[],3,0)</f>
        <v>7445</v>
      </c>
      <c r="E1050" s="140">
        <f>VLOOKUP(B1050,BDD[],4,0)</f>
        <v>248.16666666666666</v>
      </c>
      <c r="F1050" s="142">
        <f>VLOOKUP(B1050,BDD[],26,0)</f>
        <v>27.574074074074073</v>
      </c>
      <c r="G1050" s="268">
        <f>VLOOKUP(B1050,BDD[],6,0)</f>
        <v>43994</v>
      </c>
      <c r="H1050" s="139">
        <f ca="1">VLOOKUP(B1050,BDD[],7,0)</f>
        <v>2</v>
      </c>
      <c r="I1050" s="139">
        <f ca="1">VLOOKUP(B1050,BDD[],22,0)</f>
        <v>5</v>
      </c>
      <c r="J1050" s="168">
        <v>15</v>
      </c>
      <c r="K1050" s="139">
        <f>Tabla1[[#This Row],[DIAS LAB]]*Tabla1[[#This Row],[SUE DIA]]</f>
        <v>3722.5</v>
      </c>
      <c r="L1050" s="168">
        <v>0</v>
      </c>
      <c r="M1050" s="198">
        <f>Tabla1[[#This Row],[HRS EXT]]*Tabla1[[#This Row],[SUE X HR]]</f>
        <v>0</v>
      </c>
      <c r="N1050" s="168">
        <v>0</v>
      </c>
      <c r="O1050" s="198">
        <f>Tabla1[[#This Row],[ASUETO]]*Tabla1[[#This Row],[SUE DIA]]</f>
        <v>0</v>
      </c>
      <c r="P1050" s="139">
        <f>IF(Tabla1[[#This Row],[FECHA ING]]&lt;$P$1007,365,_xlfn.DAYS($P$1008,Tabla1[[#This Row],[FECHA ING]])+1)</f>
        <v>365</v>
      </c>
      <c r="Q1050" s="198">
        <f>INT(30*(Tabla1[[#This Row],[FECHAS CONTB AGNLDO]]/365))</f>
        <v>30</v>
      </c>
      <c r="R1050" s="244">
        <f ca="1">IF($W$32=$W$26,Tabla1[[#This Row],[SUE DIA]]*Tabla1[[#This Row],[DIAS PAG AGNLDO]],0)</f>
        <v>0</v>
      </c>
      <c r="S1050" s="244">
        <f ca="1">(_xlfn.DAYS(TODAY(),Tabla1[[#This Row],[FECHA ING]])/365)</f>
        <v>2.0986301369863014</v>
      </c>
      <c r="T1050" s="244">
        <f ca="1">IF(Tabla1[[#This Row],[DIAS VAC]]&gt;1,Tabla1[[#This Row],[DIAS VAC]]-Tabla1[[#This Row],[ANTIG]],Tabla1[[#This Row],[DIAS VAC]])</f>
        <v>9.8630136986301409E-2</v>
      </c>
      <c r="U1050" s="244">
        <f ca="1">Tabla1[[#This Row],[VALID ANTIG]]*Tabla1[[#This Row],[SUE DIA]]*Tabla1[[#This Row],[DIAS VAC PAG]]</f>
        <v>122.38356164383566</v>
      </c>
    </row>
    <row r="1051" spans="2:21" hidden="1" x14ac:dyDescent="0.25">
      <c r="B1051" s="243">
        <v>128</v>
      </c>
      <c r="C1051" s="140" t="str">
        <f>VLOOKUP(B1051,BDD[],2,0)</f>
        <v>René Juan Pérez Joglar</v>
      </c>
      <c r="D1051" s="140">
        <f>VLOOKUP(B1051,BDD[],3,0)</f>
        <v>7950</v>
      </c>
      <c r="E1051" s="140">
        <f>VLOOKUP(B1051,BDD[],4,0)</f>
        <v>265</v>
      </c>
      <c r="F1051" s="142">
        <f>VLOOKUP(B1051,BDD[],26,0)</f>
        <v>29.444444444444443</v>
      </c>
      <c r="G1051" s="268">
        <f>VLOOKUP(B1051,BDD[],6,0)</f>
        <v>43212</v>
      </c>
      <c r="H1051" s="139">
        <f ca="1">VLOOKUP(B1051,BDD[],7,0)</f>
        <v>4</v>
      </c>
      <c r="I1051" s="139">
        <f ca="1">VLOOKUP(B1051,BDD[],22,0)</f>
        <v>7</v>
      </c>
      <c r="J1051" s="168">
        <v>15</v>
      </c>
      <c r="K1051" s="139">
        <f>Tabla1[[#This Row],[DIAS LAB]]*Tabla1[[#This Row],[SUE DIA]]</f>
        <v>3975</v>
      </c>
      <c r="L1051" s="168">
        <v>0</v>
      </c>
      <c r="M1051" s="198">
        <f>Tabla1[[#This Row],[HRS EXT]]*Tabla1[[#This Row],[SUE X HR]]</f>
        <v>0</v>
      </c>
      <c r="N1051" s="168">
        <v>0</v>
      </c>
      <c r="O1051" s="198">
        <f>Tabla1[[#This Row],[ASUETO]]*Tabla1[[#This Row],[SUE DIA]]</f>
        <v>0</v>
      </c>
      <c r="P1051" s="139">
        <f>IF(Tabla1[[#This Row],[FECHA ING]]&lt;$P$1007,365,_xlfn.DAYS($P$1008,Tabla1[[#This Row],[FECHA ING]])+1)</f>
        <v>365</v>
      </c>
      <c r="Q1051" s="198">
        <f>INT(30*(Tabla1[[#This Row],[FECHAS CONTB AGNLDO]]/365))</f>
        <v>30</v>
      </c>
      <c r="R1051" s="244">
        <f ca="1">IF($W$32=$W$26,Tabla1[[#This Row],[SUE DIA]]*Tabla1[[#This Row],[DIAS PAG AGNLDO]],0)</f>
        <v>0</v>
      </c>
      <c r="S1051" s="244">
        <f ca="1">(_xlfn.DAYS(TODAY(),Tabla1[[#This Row],[FECHA ING]])/365)</f>
        <v>4.2410958904109588</v>
      </c>
      <c r="T1051" s="244">
        <f ca="1">IF(Tabla1[[#This Row],[DIAS VAC]]&gt;1,Tabla1[[#This Row],[DIAS VAC]]-Tabla1[[#This Row],[ANTIG]],Tabla1[[#This Row],[DIAS VAC]])</f>
        <v>0.2410958904109588</v>
      </c>
      <c r="U1051" s="244">
        <f ca="1">Tabla1[[#This Row],[VALID ANTIG]]*Tabla1[[#This Row],[SUE DIA]]*Tabla1[[#This Row],[DIAS VAC PAG]]</f>
        <v>447.23287671232856</v>
      </c>
    </row>
    <row r="1052" spans="2:21" hidden="1" x14ac:dyDescent="0.25">
      <c r="B1052" s="243">
        <v>130</v>
      </c>
      <c r="C1052" s="140" t="str">
        <f>VLOOKUP(B1052,BDD[],2,0)</f>
        <v>Tirone José González Orama</v>
      </c>
      <c r="D1052" s="140">
        <f>VLOOKUP(B1052,BDD[],3,0)</f>
        <v>10860</v>
      </c>
      <c r="E1052" s="140">
        <f>VLOOKUP(B1052,BDD[],4,0)</f>
        <v>362</v>
      </c>
      <c r="F1052" s="142">
        <f>VLOOKUP(B1052,BDD[],26,0)</f>
        <v>40.222222222222221</v>
      </c>
      <c r="G1052" s="268">
        <f>VLOOKUP(B1052,BDD[],6,0)</f>
        <v>42024</v>
      </c>
      <c r="H1052" s="139">
        <f ca="1">VLOOKUP(B1052,BDD[],7,0)</f>
        <v>7</v>
      </c>
      <c r="I1052" s="139">
        <f ca="1">VLOOKUP(B1052,BDD[],22,0)</f>
        <v>8</v>
      </c>
      <c r="J1052" s="168">
        <v>15</v>
      </c>
      <c r="K1052" s="139">
        <f>Tabla1[[#This Row],[DIAS LAB]]*Tabla1[[#This Row],[SUE DIA]]</f>
        <v>5430</v>
      </c>
      <c r="L1052" s="168">
        <v>0</v>
      </c>
      <c r="M1052" s="198">
        <f>Tabla1[[#This Row],[HRS EXT]]*Tabla1[[#This Row],[SUE X HR]]</f>
        <v>0</v>
      </c>
      <c r="N1052" s="168">
        <v>0</v>
      </c>
      <c r="O1052" s="198">
        <f>Tabla1[[#This Row],[ASUETO]]*Tabla1[[#This Row],[SUE DIA]]</f>
        <v>0</v>
      </c>
      <c r="P1052" s="139">
        <f>IF(Tabla1[[#This Row],[FECHA ING]]&lt;$P$1007,365,_xlfn.DAYS($P$1008,Tabla1[[#This Row],[FECHA ING]])+1)</f>
        <v>365</v>
      </c>
      <c r="Q1052" s="198">
        <f>INT(30*(Tabla1[[#This Row],[FECHAS CONTB AGNLDO]]/365))</f>
        <v>30</v>
      </c>
      <c r="R1052" s="244">
        <f ca="1">IF($W$32=$W$26,Tabla1[[#This Row],[SUE DIA]]*Tabla1[[#This Row],[DIAS PAG AGNLDO]],0)</f>
        <v>0</v>
      </c>
      <c r="S1052" s="244">
        <f ca="1">(_xlfn.DAYS(TODAY(),Tabla1[[#This Row],[FECHA ING]])/365)</f>
        <v>7.4958904109589044</v>
      </c>
      <c r="T1052" s="244">
        <f ca="1">IF(Tabla1[[#This Row],[DIAS VAC]]&gt;1,Tabla1[[#This Row],[DIAS VAC]]-Tabla1[[#This Row],[ANTIG]],Tabla1[[#This Row],[DIAS VAC]])</f>
        <v>0.4958904109589044</v>
      </c>
      <c r="U1052" s="244">
        <f ca="1">Tabla1[[#This Row],[VALID ANTIG]]*Tabla1[[#This Row],[SUE DIA]]*Tabla1[[#This Row],[DIAS VAC PAG]]</f>
        <v>1436.0986301369871</v>
      </c>
    </row>
    <row r="1053" spans="2:21" hidden="1" x14ac:dyDescent="0.25">
      <c r="B1053" s="243">
        <v>131</v>
      </c>
      <c r="C1053" s="140" t="str">
        <f>VLOOKUP(B1053,BDD[],2,0)</f>
        <v>Vicente Fernández Gómez</v>
      </c>
      <c r="D1053" s="140">
        <f>VLOOKUP(B1053,BDD[],3,0)</f>
        <v>9450</v>
      </c>
      <c r="E1053" s="140">
        <f>VLOOKUP(B1053,BDD[],4,0)</f>
        <v>315</v>
      </c>
      <c r="F1053" s="142">
        <f>VLOOKUP(B1053,BDD[],26,0)</f>
        <v>35</v>
      </c>
      <c r="G1053" s="268">
        <f>VLOOKUP(B1053,BDD[],6,0)</f>
        <v>42417</v>
      </c>
      <c r="H1053" s="139">
        <f ca="1">VLOOKUP(B1053,BDD[],7,0)</f>
        <v>6</v>
      </c>
      <c r="I1053" s="139">
        <f ca="1">VLOOKUP(B1053,BDD[],22,0)</f>
        <v>8</v>
      </c>
      <c r="J1053" s="168">
        <v>15</v>
      </c>
      <c r="K1053" s="139">
        <f>Tabla1[[#This Row],[DIAS LAB]]*Tabla1[[#This Row],[SUE DIA]]</f>
        <v>4725</v>
      </c>
      <c r="L1053" s="168">
        <v>0</v>
      </c>
      <c r="M1053" s="198">
        <f>Tabla1[[#This Row],[HRS EXT]]*Tabla1[[#This Row],[SUE X HR]]</f>
        <v>0</v>
      </c>
      <c r="N1053" s="168">
        <v>0</v>
      </c>
      <c r="O1053" s="198">
        <f>Tabla1[[#This Row],[ASUETO]]*Tabla1[[#This Row],[SUE DIA]]</f>
        <v>0</v>
      </c>
      <c r="P1053" s="139">
        <f>IF(Tabla1[[#This Row],[FECHA ING]]&lt;$P$1007,365,_xlfn.DAYS($P$1008,Tabla1[[#This Row],[FECHA ING]])+1)</f>
        <v>365</v>
      </c>
      <c r="Q1053" s="198">
        <f>INT(30*(Tabla1[[#This Row],[FECHAS CONTB AGNLDO]]/365))</f>
        <v>30</v>
      </c>
      <c r="R1053" s="244">
        <f ca="1">IF($W$32=$W$26,Tabla1[[#This Row],[SUE DIA]]*Tabla1[[#This Row],[DIAS PAG AGNLDO]],0)</f>
        <v>0</v>
      </c>
      <c r="S1053" s="244">
        <f ca="1">(_xlfn.DAYS(TODAY(),Tabla1[[#This Row],[FECHA ING]])/365)</f>
        <v>6.419178082191781</v>
      </c>
      <c r="T1053" s="244">
        <f ca="1">IF(Tabla1[[#This Row],[DIAS VAC]]&gt;1,Tabla1[[#This Row],[DIAS VAC]]-Tabla1[[#This Row],[ANTIG]],Tabla1[[#This Row],[DIAS VAC]])</f>
        <v>0.41917808219178099</v>
      </c>
      <c r="U1053" s="244">
        <f ca="1">Tabla1[[#This Row],[VALID ANTIG]]*Tabla1[[#This Row],[SUE DIA]]*Tabla1[[#This Row],[DIAS VAC PAG]]</f>
        <v>1056.3287671232881</v>
      </c>
    </row>
    <row r="1054" spans="2:21" hidden="1" x14ac:dyDescent="0.25">
      <c r="B1054" s="243">
        <v>132</v>
      </c>
      <c r="C1054" s="140" t="str">
        <f>VLOOKUP(B1054,BDD[],2,0)</f>
        <v>José Rómulo Sosa Ortiz</v>
      </c>
      <c r="D1054" s="140">
        <f>VLOOKUP(B1054,BDD[],3,0)</f>
        <v>10860</v>
      </c>
      <c r="E1054" s="140">
        <f>VLOOKUP(B1054,BDD[],4,0)</f>
        <v>362</v>
      </c>
      <c r="F1054" s="142">
        <f>VLOOKUP(B1054,BDD[],26,0)</f>
        <v>40.222222222222221</v>
      </c>
      <c r="G1054" s="268">
        <f>VLOOKUP(B1054,BDD[],6,0)</f>
        <v>39974</v>
      </c>
      <c r="H1054" s="139">
        <f ca="1">VLOOKUP(B1054,BDD[],7,0)</f>
        <v>13</v>
      </c>
      <c r="I1054" s="139">
        <f ca="1">VLOOKUP(B1054,BDD[],22,0)</f>
        <v>10</v>
      </c>
      <c r="J1054" s="168">
        <v>15</v>
      </c>
      <c r="K1054" s="139">
        <f>Tabla1[[#This Row],[DIAS LAB]]*Tabla1[[#This Row],[SUE DIA]]</f>
        <v>5430</v>
      </c>
      <c r="L1054" s="168">
        <v>0</v>
      </c>
      <c r="M1054" s="198">
        <f>Tabla1[[#This Row],[HRS EXT]]*Tabla1[[#This Row],[SUE X HR]]</f>
        <v>0</v>
      </c>
      <c r="N1054" s="168">
        <v>0</v>
      </c>
      <c r="O1054" s="198">
        <f>Tabla1[[#This Row],[ASUETO]]*Tabla1[[#This Row],[SUE DIA]]</f>
        <v>0</v>
      </c>
      <c r="P1054" s="139">
        <f>IF(Tabla1[[#This Row],[FECHA ING]]&lt;$P$1007,365,_xlfn.DAYS($P$1008,Tabla1[[#This Row],[FECHA ING]])+1)</f>
        <v>365</v>
      </c>
      <c r="Q1054" s="198">
        <f>INT(30*(Tabla1[[#This Row],[FECHAS CONTB AGNLDO]]/365))</f>
        <v>30</v>
      </c>
      <c r="R1054" s="244">
        <f ca="1">IF($W$32=$W$26,Tabla1[[#This Row],[SUE DIA]]*Tabla1[[#This Row],[DIAS PAG AGNLDO]],0)</f>
        <v>0</v>
      </c>
      <c r="S1054" s="244">
        <f ca="1">(_xlfn.DAYS(TODAY(),Tabla1[[#This Row],[FECHA ING]])/365)</f>
        <v>13.112328767123287</v>
      </c>
      <c r="T1054" s="244">
        <f ca="1">IF(Tabla1[[#This Row],[DIAS VAC]]&gt;1,Tabla1[[#This Row],[DIAS VAC]]-Tabla1[[#This Row],[ANTIG]],Tabla1[[#This Row],[DIAS VAC]])</f>
        <v>0.11232876712328732</v>
      </c>
      <c r="U1054" s="244">
        <f ca="1">Tabla1[[#This Row],[VALID ANTIG]]*Tabla1[[#This Row],[SUE DIA]]*Tabla1[[#This Row],[DIAS VAC PAG]]</f>
        <v>406.6301369863001</v>
      </c>
    </row>
    <row r="1055" spans="2:21" hidden="1" x14ac:dyDescent="0.25">
      <c r="B1055" s="243">
        <v>134</v>
      </c>
      <c r="C1055" s="140" t="str">
        <f>VLOOKUP(B1055,BDD[],2,0)</f>
        <v>Julio Maloa Faus</v>
      </c>
      <c r="D1055" s="140">
        <f>VLOOKUP(B1055,BDD[],3,0)</f>
        <v>22200</v>
      </c>
      <c r="E1055" s="140">
        <f>VLOOKUP(B1055,BDD[],4,0)</f>
        <v>740</v>
      </c>
      <c r="F1055" s="142">
        <f>VLOOKUP(B1055,BDD[],26,0)</f>
        <v>82.222222222222229</v>
      </c>
      <c r="G1055" s="268">
        <f>VLOOKUP(B1055,BDD[],6,0)</f>
        <v>42843</v>
      </c>
      <c r="H1055" s="139">
        <f ca="1">VLOOKUP(B1055,BDD[],7,0)</f>
        <v>5</v>
      </c>
      <c r="I1055" s="139">
        <f ca="1">VLOOKUP(B1055,BDD[],22,0)</f>
        <v>8</v>
      </c>
      <c r="J1055" s="168">
        <v>15</v>
      </c>
      <c r="K1055" s="139">
        <f>Tabla1[[#This Row],[DIAS LAB]]*Tabla1[[#This Row],[SUE DIA]]</f>
        <v>11100</v>
      </c>
      <c r="L1055" s="168">
        <v>0</v>
      </c>
      <c r="M1055" s="198">
        <f>Tabla1[[#This Row],[HRS EXT]]*Tabla1[[#This Row],[SUE X HR]]</f>
        <v>0</v>
      </c>
      <c r="N1055" s="168">
        <v>0</v>
      </c>
      <c r="O1055" s="198">
        <f>Tabla1[[#This Row],[ASUETO]]*Tabla1[[#This Row],[SUE DIA]]</f>
        <v>0</v>
      </c>
      <c r="P1055" s="139">
        <f>IF(Tabla1[[#This Row],[FECHA ING]]&lt;$P$1007,365,_xlfn.DAYS($P$1008,Tabla1[[#This Row],[FECHA ING]])+1)</f>
        <v>365</v>
      </c>
      <c r="Q1055" s="198">
        <f>INT(30*(Tabla1[[#This Row],[FECHAS CONTB AGNLDO]]/365))</f>
        <v>30</v>
      </c>
      <c r="R1055" s="244">
        <f ca="1">IF($W$32=$W$26,Tabla1[[#This Row],[SUE DIA]]*Tabla1[[#This Row],[DIAS PAG AGNLDO]],0)</f>
        <v>0</v>
      </c>
      <c r="S1055" s="244">
        <f ca="1">(_xlfn.DAYS(TODAY(),Tabla1[[#This Row],[FECHA ING]])/365)</f>
        <v>5.2520547945205482</v>
      </c>
      <c r="T1055" s="244">
        <f ca="1">IF(Tabla1[[#This Row],[DIAS VAC]]&gt;1,Tabla1[[#This Row],[DIAS VAC]]-Tabla1[[#This Row],[ANTIG]],Tabla1[[#This Row],[DIAS VAC]])</f>
        <v>0.25205479452054824</v>
      </c>
      <c r="U1055" s="244">
        <f ca="1">Tabla1[[#This Row],[VALID ANTIG]]*Tabla1[[#This Row],[SUE DIA]]*Tabla1[[#This Row],[DIAS VAC PAG]]</f>
        <v>1492.1643835616455</v>
      </c>
    </row>
    <row r="1056" spans="2:21" hidden="1" x14ac:dyDescent="0.25">
      <c r="B1056" s="243">
        <v>135</v>
      </c>
      <c r="C1056" s="140" t="str">
        <f>VLOOKUP(B1056,BDD[],2,0)</f>
        <v>Norma Monserrat Bustamante Laferte</v>
      </c>
      <c r="D1056" s="140">
        <f>VLOOKUP(B1056,BDD[],3,0)</f>
        <v>9541</v>
      </c>
      <c r="E1056" s="140">
        <f>VLOOKUP(B1056,BDD[],4,0)</f>
        <v>318.03333333333336</v>
      </c>
      <c r="F1056" s="142">
        <f>VLOOKUP(B1056,BDD[],26,0)</f>
        <v>35.337037037037042</v>
      </c>
      <c r="G1056" s="268">
        <f>VLOOKUP(B1056,BDD[],6,0)</f>
        <v>41396</v>
      </c>
      <c r="H1056" s="139">
        <f ca="1">VLOOKUP(B1056,BDD[],7,0)</f>
        <v>9</v>
      </c>
      <c r="I1056" s="139">
        <f ca="1">VLOOKUP(B1056,BDD[],22,0)</f>
        <v>8</v>
      </c>
      <c r="J1056" s="168">
        <v>15</v>
      </c>
      <c r="K1056" s="139">
        <f>Tabla1[[#This Row],[DIAS LAB]]*Tabla1[[#This Row],[SUE DIA]]</f>
        <v>4770.5</v>
      </c>
      <c r="L1056" s="168">
        <v>0</v>
      </c>
      <c r="M1056" s="198">
        <f>Tabla1[[#This Row],[HRS EXT]]*Tabla1[[#This Row],[SUE X HR]]</f>
        <v>0</v>
      </c>
      <c r="N1056" s="168">
        <v>0</v>
      </c>
      <c r="O1056" s="198">
        <f>Tabla1[[#This Row],[ASUETO]]*Tabla1[[#This Row],[SUE DIA]]</f>
        <v>0</v>
      </c>
      <c r="P1056" s="139">
        <f>IF(Tabla1[[#This Row],[FECHA ING]]&lt;$P$1007,365,_xlfn.DAYS($P$1008,Tabla1[[#This Row],[FECHA ING]])+1)</f>
        <v>365</v>
      </c>
      <c r="Q1056" s="198">
        <f>INT(30*(Tabla1[[#This Row],[FECHAS CONTB AGNLDO]]/365))</f>
        <v>30</v>
      </c>
      <c r="R1056" s="244">
        <f ca="1">IF($W$32=$W$26,Tabla1[[#This Row],[SUE DIA]]*Tabla1[[#This Row],[DIAS PAG AGNLDO]],0)</f>
        <v>0</v>
      </c>
      <c r="S1056" s="244">
        <f ca="1">(_xlfn.DAYS(TODAY(),Tabla1[[#This Row],[FECHA ING]])/365)</f>
        <v>9.2164383561643834</v>
      </c>
      <c r="T1056" s="244">
        <f ca="1">IF(Tabla1[[#This Row],[DIAS VAC]]&gt;1,Tabla1[[#This Row],[DIAS VAC]]-Tabla1[[#This Row],[ANTIG]],Tabla1[[#This Row],[DIAS VAC]])</f>
        <v>0.21643835616438345</v>
      </c>
      <c r="U1056" s="244">
        <f ca="1">Tabla1[[#This Row],[VALID ANTIG]]*Tabla1[[#This Row],[SUE DIA]]*Tabla1[[#This Row],[DIAS VAC PAG]]</f>
        <v>550.67689497716867</v>
      </c>
    </row>
    <row r="1057" spans="2:21" hidden="1" x14ac:dyDescent="0.25">
      <c r="B1057" s="243">
        <v>137</v>
      </c>
      <c r="C1057" s="140" t="str">
        <f>VLOOKUP(B1057,BDD[],2,0)</f>
        <v>Vania Fiorely Salas Romero</v>
      </c>
      <c r="D1057" s="140">
        <f>VLOOKUP(B1057,BDD[],3,0)</f>
        <v>7445</v>
      </c>
      <c r="E1057" s="140">
        <f>VLOOKUP(B1057,BDD[],4,0)</f>
        <v>248.16666666666666</v>
      </c>
      <c r="F1057" s="142">
        <f>VLOOKUP(B1057,BDD[],26,0)</f>
        <v>27.574074074074073</v>
      </c>
      <c r="G1057" s="268">
        <f>VLOOKUP(B1057,BDD[],6,0)</f>
        <v>43998</v>
      </c>
      <c r="H1057" s="139">
        <f ca="1">VLOOKUP(B1057,BDD[],7,0)</f>
        <v>2</v>
      </c>
      <c r="I1057" s="139">
        <f ca="1">VLOOKUP(B1057,BDD[],22,0)</f>
        <v>5</v>
      </c>
      <c r="J1057" s="168">
        <v>15</v>
      </c>
      <c r="K1057" s="139">
        <f>Tabla1[[#This Row],[DIAS LAB]]*Tabla1[[#This Row],[SUE DIA]]</f>
        <v>3722.5</v>
      </c>
      <c r="L1057" s="168">
        <v>0</v>
      </c>
      <c r="M1057" s="198">
        <f>Tabla1[[#This Row],[HRS EXT]]*Tabla1[[#This Row],[SUE X HR]]</f>
        <v>0</v>
      </c>
      <c r="N1057" s="168">
        <v>0</v>
      </c>
      <c r="O1057" s="198">
        <f>Tabla1[[#This Row],[ASUETO]]*Tabla1[[#This Row],[SUE DIA]]</f>
        <v>0</v>
      </c>
      <c r="P1057" s="139">
        <f>IF(Tabla1[[#This Row],[FECHA ING]]&lt;$P$1007,365,_xlfn.DAYS($P$1008,Tabla1[[#This Row],[FECHA ING]])+1)</f>
        <v>365</v>
      </c>
      <c r="Q1057" s="198">
        <f>INT(30*(Tabla1[[#This Row],[FECHAS CONTB AGNLDO]]/365))</f>
        <v>30</v>
      </c>
      <c r="R1057" s="244">
        <f ca="1">IF($W$32=$W$26,Tabla1[[#This Row],[SUE DIA]]*Tabla1[[#This Row],[DIAS PAG AGNLDO]],0)</f>
        <v>0</v>
      </c>
      <c r="S1057" s="244">
        <f ca="1">(_xlfn.DAYS(TODAY(),Tabla1[[#This Row],[FECHA ING]])/365)</f>
        <v>2.0876712328767124</v>
      </c>
      <c r="T1057" s="244">
        <f ca="1">IF(Tabla1[[#This Row],[DIAS VAC]]&gt;1,Tabla1[[#This Row],[DIAS VAC]]-Tabla1[[#This Row],[ANTIG]],Tabla1[[#This Row],[DIAS VAC]])</f>
        <v>8.7671232876712413E-2</v>
      </c>
      <c r="U1057" s="244">
        <f ca="1">Tabla1[[#This Row],[VALID ANTIG]]*Tabla1[[#This Row],[SUE DIA]]*Tabla1[[#This Row],[DIAS VAC PAG]]</f>
        <v>108.78538812785399</v>
      </c>
    </row>
    <row r="1058" spans="2:21" hidden="1" x14ac:dyDescent="0.25">
      <c r="B1058" s="243">
        <v>138</v>
      </c>
      <c r="C1058" s="140" t="str">
        <f>VLOOKUP(B1058,BDD[],2,0)</f>
        <v>Valeria Santacruz Mendoza</v>
      </c>
      <c r="D1058" s="140">
        <f>VLOOKUP(B1058,BDD[],3,0)</f>
        <v>9541</v>
      </c>
      <c r="E1058" s="140">
        <f>VLOOKUP(B1058,BDD[],4,0)</f>
        <v>318.03333333333336</v>
      </c>
      <c r="F1058" s="142">
        <f>VLOOKUP(B1058,BDD[],26,0)</f>
        <v>35.337037037037042</v>
      </c>
      <c r="G1058" s="268">
        <f>VLOOKUP(B1058,BDD[],6,0)</f>
        <v>42286</v>
      </c>
      <c r="H1058" s="139">
        <f ca="1">VLOOKUP(B1058,BDD[],7,0)</f>
        <v>6</v>
      </c>
      <c r="I1058" s="139">
        <f ca="1">VLOOKUP(B1058,BDD[],22,0)</f>
        <v>8</v>
      </c>
      <c r="J1058" s="168">
        <v>15</v>
      </c>
      <c r="K1058" s="139">
        <f>Tabla1[[#This Row],[DIAS LAB]]*Tabla1[[#This Row],[SUE DIA]]</f>
        <v>4770.5</v>
      </c>
      <c r="L1058" s="168">
        <v>0</v>
      </c>
      <c r="M1058" s="198">
        <f>Tabla1[[#This Row],[HRS EXT]]*Tabla1[[#This Row],[SUE X HR]]</f>
        <v>0</v>
      </c>
      <c r="N1058" s="168">
        <v>0</v>
      </c>
      <c r="O1058" s="198">
        <f>Tabla1[[#This Row],[ASUETO]]*Tabla1[[#This Row],[SUE DIA]]</f>
        <v>0</v>
      </c>
      <c r="P1058" s="139">
        <f>IF(Tabla1[[#This Row],[FECHA ING]]&lt;$P$1007,365,_xlfn.DAYS($P$1008,Tabla1[[#This Row],[FECHA ING]])+1)</f>
        <v>365</v>
      </c>
      <c r="Q1058" s="198">
        <f>INT(30*(Tabla1[[#This Row],[FECHAS CONTB AGNLDO]]/365))</f>
        <v>30</v>
      </c>
      <c r="R1058" s="244">
        <f ca="1">IF($W$32=$W$26,Tabla1[[#This Row],[SUE DIA]]*Tabla1[[#This Row],[DIAS PAG AGNLDO]],0)</f>
        <v>0</v>
      </c>
      <c r="S1058" s="244">
        <f ca="1">(_xlfn.DAYS(TODAY(),Tabla1[[#This Row],[FECHA ING]])/365)</f>
        <v>6.7780821917808218</v>
      </c>
      <c r="T1058" s="244">
        <f ca="1">IF(Tabla1[[#This Row],[DIAS VAC]]&gt;1,Tabla1[[#This Row],[DIAS VAC]]-Tabla1[[#This Row],[ANTIG]],Tabla1[[#This Row],[DIAS VAC]])</f>
        <v>0.77808219178082183</v>
      </c>
      <c r="U1058" s="244">
        <f ca="1">Tabla1[[#This Row],[VALID ANTIG]]*Tabla1[[#This Row],[SUE DIA]]*Tabla1[[#This Row],[DIAS VAC PAG]]</f>
        <v>1979.6485844748859</v>
      </c>
    </row>
    <row r="1059" spans="2:21" hidden="1" x14ac:dyDescent="0.25">
      <c r="B1059" s="243">
        <v>139</v>
      </c>
      <c r="C1059" s="140" t="str">
        <f>VLOOKUP(B1059,BDD[],2,0)</f>
        <v>Stephanie Banda Leal</v>
      </c>
      <c r="D1059" s="140">
        <f>VLOOKUP(B1059,BDD[],3,0)</f>
        <v>9450</v>
      </c>
      <c r="E1059" s="140">
        <f>VLOOKUP(B1059,BDD[],4,0)</f>
        <v>315</v>
      </c>
      <c r="F1059" s="142">
        <f>VLOOKUP(B1059,BDD[],26,0)</f>
        <v>35</v>
      </c>
      <c r="G1059" s="268">
        <f>VLOOKUP(B1059,BDD[],6,0)</f>
        <v>42600</v>
      </c>
      <c r="H1059" s="139">
        <f ca="1">VLOOKUP(B1059,BDD[],7,0)</f>
        <v>5</v>
      </c>
      <c r="I1059" s="139">
        <f ca="1">VLOOKUP(B1059,BDD[],22,0)</f>
        <v>8</v>
      </c>
      <c r="J1059" s="168">
        <v>15</v>
      </c>
      <c r="K1059" s="139">
        <f>Tabla1[[#This Row],[DIAS LAB]]*Tabla1[[#This Row],[SUE DIA]]</f>
        <v>4725</v>
      </c>
      <c r="L1059" s="168">
        <v>0</v>
      </c>
      <c r="M1059" s="198">
        <f>Tabla1[[#This Row],[HRS EXT]]*Tabla1[[#This Row],[SUE X HR]]</f>
        <v>0</v>
      </c>
      <c r="N1059" s="168">
        <v>0</v>
      </c>
      <c r="O1059" s="198">
        <f>Tabla1[[#This Row],[ASUETO]]*Tabla1[[#This Row],[SUE DIA]]</f>
        <v>0</v>
      </c>
      <c r="P1059" s="139">
        <f>IF(Tabla1[[#This Row],[FECHA ING]]&lt;$P$1007,365,_xlfn.DAYS($P$1008,Tabla1[[#This Row],[FECHA ING]])+1)</f>
        <v>365</v>
      </c>
      <c r="Q1059" s="198">
        <f>INT(30*(Tabla1[[#This Row],[FECHAS CONTB AGNLDO]]/365))</f>
        <v>30</v>
      </c>
      <c r="R1059" s="244">
        <f ca="1">IF($W$32=$W$26,Tabla1[[#This Row],[SUE DIA]]*Tabla1[[#This Row],[DIAS PAG AGNLDO]],0)</f>
        <v>0</v>
      </c>
      <c r="S1059" s="244">
        <f ca="1">(_xlfn.DAYS(TODAY(),Tabla1[[#This Row],[FECHA ING]])/365)</f>
        <v>5.9178082191780819</v>
      </c>
      <c r="T1059" s="244">
        <f ca="1">IF(Tabla1[[#This Row],[DIAS VAC]]&gt;1,Tabla1[[#This Row],[DIAS VAC]]-Tabla1[[#This Row],[ANTIG]],Tabla1[[#This Row],[DIAS VAC]])</f>
        <v>0.91780821917808186</v>
      </c>
      <c r="U1059" s="244">
        <f ca="1">Tabla1[[#This Row],[VALID ANTIG]]*Tabla1[[#This Row],[SUE DIA]]*Tabla1[[#This Row],[DIAS VAC PAG]]</f>
        <v>2312.8767123287662</v>
      </c>
    </row>
    <row r="1060" spans="2:21" hidden="1" x14ac:dyDescent="0.25">
      <c r="B1060" s="243">
        <v>140</v>
      </c>
      <c r="C1060" s="140" t="str">
        <f>VLOOKUP(B1060,BDD[],2,0)</f>
        <v>Melissa susana Pérez Hernández</v>
      </c>
      <c r="D1060" s="140">
        <f>VLOOKUP(B1060,BDD[],3,0)</f>
        <v>7445</v>
      </c>
      <c r="E1060" s="140">
        <f>VLOOKUP(B1060,BDD[],4,0)</f>
        <v>248.16666666666666</v>
      </c>
      <c r="F1060" s="142">
        <f>VLOOKUP(B1060,BDD[],26,0)</f>
        <v>27.574074074074073</v>
      </c>
      <c r="G1060" s="268">
        <f>VLOOKUP(B1060,BDD[],6,0)</f>
        <v>43282</v>
      </c>
      <c r="H1060" s="139">
        <f ca="1">VLOOKUP(B1060,BDD[],7,0)</f>
        <v>4</v>
      </c>
      <c r="I1060" s="139">
        <f ca="1">VLOOKUP(B1060,BDD[],22,0)</f>
        <v>7</v>
      </c>
      <c r="J1060" s="168">
        <v>15</v>
      </c>
      <c r="K1060" s="139">
        <f>Tabla1[[#This Row],[DIAS LAB]]*Tabla1[[#This Row],[SUE DIA]]</f>
        <v>3722.5</v>
      </c>
      <c r="L1060" s="168">
        <v>0</v>
      </c>
      <c r="M1060" s="198">
        <f>Tabla1[[#This Row],[HRS EXT]]*Tabla1[[#This Row],[SUE X HR]]</f>
        <v>0</v>
      </c>
      <c r="N1060" s="168">
        <v>0</v>
      </c>
      <c r="O1060" s="198">
        <f>Tabla1[[#This Row],[ASUETO]]*Tabla1[[#This Row],[SUE DIA]]</f>
        <v>0</v>
      </c>
      <c r="P1060" s="139">
        <f>IF(Tabla1[[#This Row],[FECHA ING]]&lt;$P$1007,365,_xlfn.DAYS($P$1008,Tabla1[[#This Row],[FECHA ING]])+1)</f>
        <v>365</v>
      </c>
      <c r="Q1060" s="198">
        <f>INT(30*(Tabla1[[#This Row],[FECHAS CONTB AGNLDO]]/365))</f>
        <v>30</v>
      </c>
      <c r="R1060" s="244">
        <f ca="1">IF($W$32=$W$26,Tabla1[[#This Row],[SUE DIA]]*Tabla1[[#This Row],[DIAS PAG AGNLDO]],0)</f>
        <v>0</v>
      </c>
      <c r="S1060" s="244">
        <f ca="1">(_xlfn.DAYS(TODAY(),Tabla1[[#This Row],[FECHA ING]])/365)</f>
        <v>4.0493150684931507</v>
      </c>
      <c r="T1060" s="244">
        <f ca="1">IF(Tabla1[[#This Row],[DIAS VAC]]&gt;1,Tabla1[[#This Row],[DIAS VAC]]-Tabla1[[#This Row],[ANTIG]],Tabla1[[#This Row],[DIAS VAC]])</f>
        <v>4.9315068493150704E-2</v>
      </c>
      <c r="U1060" s="244">
        <f ca="1">Tabla1[[#This Row],[VALID ANTIG]]*Tabla1[[#This Row],[SUE DIA]]*Tabla1[[#This Row],[DIAS VAC PAG]]</f>
        <v>85.668493150684967</v>
      </c>
    </row>
    <row r="1061" spans="2:21" hidden="1" x14ac:dyDescent="0.25">
      <c r="B1061" s="243">
        <v>141</v>
      </c>
      <c r="C1061" s="140" t="str">
        <f>VLOOKUP(B1061,BDD[],2,0)</f>
        <v>Salma Jaqueline Arzola Alvarado</v>
      </c>
      <c r="D1061" s="140">
        <f>VLOOKUP(B1061,BDD[],3,0)</f>
        <v>9450</v>
      </c>
      <c r="E1061" s="140">
        <f>VLOOKUP(B1061,BDD[],4,0)</f>
        <v>315</v>
      </c>
      <c r="F1061" s="142">
        <f>VLOOKUP(B1061,BDD[],26,0)</f>
        <v>35</v>
      </c>
      <c r="G1061" s="268">
        <f>VLOOKUP(B1061,BDD[],6,0)</f>
        <v>42620</v>
      </c>
      <c r="H1061" s="139">
        <f ca="1">VLOOKUP(B1061,BDD[],7,0)</f>
        <v>5</v>
      </c>
      <c r="I1061" s="139">
        <f ca="1">VLOOKUP(B1061,BDD[],22,0)</f>
        <v>8</v>
      </c>
      <c r="J1061" s="168">
        <v>15</v>
      </c>
      <c r="K1061" s="139">
        <f>Tabla1[[#This Row],[DIAS LAB]]*Tabla1[[#This Row],[SUE DIA]]</f>
        <v>4725</v>
      </c>
      <c r="L1061" s="168">
        <v>0</v>
      </c>
      <c r="M1061" s="198">
        <f>Tabla1[[#This Row],[HRS EXT]]*Tabla1[[#This Row],[SUE X HR]]</f>
        <v>0</v>
      </c>
      <c r="N1061" s="168">
        <v>0</v>
      </c>
      <c r="O1061" s="198">
        <f>Tabla1[[#This Row],[ASUETO]]*Tabla1[[#This Row],[SUE DIA]]</f>
        <v>0</v>
      </c>
      <c r="P1061" s="139">
        <f>IF(Tabla1[[#This Row],[FECHA ING]]&lt;$P$1007,365,_xlfn.DAYS($P$1008,Tabla1[[#This Row],[FECHA ING]])+1)</f>
        <v>365</v>
      </c>
      <c r="Q1061" s="198">
        <f>INT(30*(Tabla1[[#This Row],[FECHAS CONTB AGNLDO]]/365))</f>
        <v>30</v>
      </c>
      <c r="R1061" s="244">
        <f ca="1">IF($W$32=$W$26,Tabla1[[#This Row],[SUE DIA]]*Tabla1[[#This Row],[DIAS PAG AGNLDO]],0)</f>
        <v>0</v>
      </c>
      <c r="S1061" s="244">
        <f ca="1">(_xlfn.DAYS(TODAY(),Tabla1[[#This Row],[FECHA ING]])/365)</f>
        <v>5.8630136986301373</v>
      </c>
      <c r="T1061" s="244">
        <f ca="1">IF(Tabla1[[#This Row],[DIAS VAC]]&gt;1,Tabla1[[#This Row],[DIAS VAC]]-Tabla1[[#This Row],[ANTIG]],Tabla1[[#This Row],[DIAS VAC]])</f>
        <v>0.86301369863013733</v>
      </c>
      <c r="U1061" s="244">
        <f ca="1">Tabla1[[#This Row],[VALID ANTIG]]*Tabla1[[#This Row],[SUE DIA]]*Tabla1[[#This Row],[DIAS VAC PAG]]</f>
        <v>2174.7945205479459</v>
      </c>
    </row>
    <row r="1062" spans="2:21" hidden="1" x14ac:dyDescent="0.25">
      <c r="B1062" s="243">
        <v>142</v>
      </c>
      <c r="C1062" s="140" t="str">
        <f>VLOOKUP(B1062,BDD[],2,0)</f>
        <v>Reyna Elizabeth Quezada Sánchez</v>
      </c>
      <c r="D1062" s="140">
        <f>VLOOKUP(B1062,BDD[],3,0)</f>
        <v>7950</v>
      </c>
      <c r="E1062" s="140">
        <f>VLOOKUP(B1062,BDD[],4,0)</f>
        <v>265</v>
      </c>
      <c r="F1062" s="142">
        <f>VLOOKUP(B1062,BDD[],26,0)</f>
        <v>29.444444444444443</v>
      </c>
      <c r="G1062" s="268">
        <f>VLOOKUP(B1062,BDD[],6,0)</f>
        <v>42792</v>
      </c>
      <c r="H1062" s="139">
        <f ca="1">VLOOKUP(B1062,BDD[],7,0)</f>
        <v>5</v>
      </c>
      <c r="I1062" s="139">
        <f ca="1">VLOOKUP(B1062,BDD[],22,0)</f>
        <v>8</v>
      </c>
      <c r="J1062" s="168">
        <v>15</v>
      </c>
      <c r="K1062" s="139">
        <f>Tabla1[[#This Row],[DIAS LAB]]*Tabla1[[#This Row],[SUE DIA]]</f>
        <v>3975</v>
      </c>
      <c r="L1062" s="168">
        <v>0</v>
      </c>
      <c r="M1062" s="198">
        <f>Tabla1[[#This Row],[HRS EXT]]*Tabla1[[#This Row],[SUE X HR]]</f>
        <v>0</v>
      </c>
      <c r="N1062" s="168">
        <v>0</v>
      </c>
      <c r="O1062" s="198">
        <f>Tabla1[[#This Row],[ASUETO]]*Tabla1[[#This Row],[SUE DIA]]</f>
        <v>0</v>
      </c>
      <c r="P1062" s="139">
        <f>IF(Tabla1[[#This Row],[FECHA ING]]&lt;$P$1007,365,_xlfn.DAYS($P$1008,Tabla1[[#This Row],[FECHA ING]])+1)</f>
        <v>365</v>
      </c>
      <c r="Q1062" s="198">
        <f>INT(30*(Tabla1[[#This Row],[FECHAS CONTB AGNLDO]]/365))</f>
        <v>30</v>
      </c>
      <c r="R1062" s="244">
        <f ca="1">IF($W$32=$W$26,Tabla1[[#This Row],[SUE DIA]]*Tabla1[[#This Row],[DIAS PAG AGNLDO]],0)</f>
        <v>0</v>
      </c>
      <c r="S1062" s="244">
        <f ca="1">(_xlfn.DAYS(TODAY(),Tabla1[[#This Row],[FECHA ING]])/365)</f>
        <v>5.3917808219178083</v>
      </c>
      <c r="T1062" s="244">
        <f ca="1">IF(Tabla1[[#This Row],[DIAS VAC]]&gt;1,Tabla1[[#This Row],[DIAS VAC]]-Tabla1[[#This Row],[ANTIG]],Tabla1[[#This Row],[DIAS VAC]])</f>
        <v>0.39178082191780828</v>
      </c>
      <c r="U1062" s="244">
        <f ca="1">Tabla1[[#This Row],[VALID ANTIG]]*Tabla1[[#This Row],[SUE DIA]]*Tabla1[[#This Row],[DIAS VAC PAG]]</f>
        <v>830.57534246575358</v>
      </c>
    </row>
    <row r="1063" spans="2:21" hidden="1" x14ac:dyDescent="0.25">
      <c r="B1063" s="243">
        <v>143</v>
      </c>
      <c r="C1063" s="140" t="str">
        <f>VLOOKUP(B1063,BDD[],2,0)</f>
        <v>Ramiro Salazar Martínez</v>
      </c>
      <c r="D1063" s="140">
        <f>VLOOKUP(B1063,BDD[],3,0)</f>
        <v>9450</v>
      </c>
      <c r="E1063" s="140">
        <f>VLOOKUP(B1063,BDD[],4,0)</f>
        <v>315</v>
      </c>
      <c r="F1063" s="142">
        <f>VLOOKUP(B1063,BDD[],26,0)</f>
        <v>35</v>
      </c>
      <c r="G1063" s="268">
        <f>VLOOKUP(B1063,BDD[],6,0)</f>
        <v>42480</v>
      </c>
      <c r="H1063" s="139">
        <f ca="1">VLOOKUP(B1063,BDD[],7,0)</f>
        <v>6</v>
      </c>
      <c r="I1063" s="139">
        <f ca="1">VLOOKUP(B1063,BDD[],22,0)</f>
        <v>8</v>
      </c>
      <c r="J1063" s="168">
        <v>15</v>
      </c>
      <c r="K1063" s="139">
        <f>Tabla1[[#This Row],[DIAS LAB]]*Tabla1[[#This Row],[SUE DIA]]</f>
        <v>4725</v>
      </c>
      <c r="L1063" s="168">
        <v>0</v>
      </c>
      <c r="M1063" s="198">
        <f>Tabla1[[#This Row],[HRS EXT]]*Tabla1[[#This Row],[SUE X HR]]</f>
        <v>0</v>
      </c>
      <c r="N1063" s="168">
        <v>0</v>
      </c>
      <c r="O1063" s="198">
        <f>Tabla1[[#This Row],[ASUETO]]*Tabla1[[#This Row],[SUE DIA]]</f>
        <v>0</v>
      </c>
      <c r="P1063" s="139">
        <f>IF(Tabla1[[#This Row],[FECHA ING]]&lt;$P$1007,365,_xlfn.DAYS($P$1008,Tabla1[[#This Row],[FECHA ING]])+1)</f>
        <v>365</v>
      </c>
      <c r="Q1063" s="198">
        <f>INT(30*(Tabla1[[#This Row],[FECHAS CONTB AGNLDO]]/365))</f>
        <v>30</v>
      </c>
      <c r="R1063" s="244">
        <f ca="1">IF($W$32=$W$26,Tabla1[[#This Row],[SUE DIA]]*Tabla1[[#This Row],[DIAS PAG AGNLDO]],0)</f>
        <v>0</v>
      </c>
      <c r="S1063" s="244">
        <f ca="1">(_xlfn.DAYS(TODAY(),Tabla1[[#This Row],[FECHA ING]])/365)</f>
        <v>6.2465753424657535</v>
      </c>
      <c r="T1063" s="244">
        <f ca="1">IF(Tabla1[[#This Row],[DIAS VAC]]&gt;1,Tabla1[[#This Row],[DIAS VAC]]-Tabla1[[#This Row],[ANTIG]],Tabla1[[#This Row],[DIAS VAC]])</f>
        <v>0.24657534246575352</v>
      </c>
      <c r="U1063" s="244">
        <f ca="1">Tabla1[[#This Row],[VALID ANTIG]]*Tabla1[[#This Row],[SUE DIA]]*Tabla1[[#This Row],[DIAS VAC PAG]]</f>
        <v>621.36986301369893</v>
      </c>
    </row>
    <row r="1064" spans="2:21" hidden="1" x14ac:dyDescent="0.25">
      <c r="B1064" s="243">
        <v>144</v>
      </c>
      <c r="C1064" s="140" t="str">
        <f>VLOOKUP(B1064,BDD[],2,0)</f>
        <v>Paulina Aracely Aguilar Juárez</v>
      </c>
      <c r="D1064" s="140">
        <f>VLOOKUP(B1064,BDD[],3,0)</f>
        <v>9541</v>
      </c>
      <c r="E1064" s="140">
        <f>VLOOKUP(B1064,BDD[],4,0)</f>
        <v>318.03333333333336</v>
      </c>
      <c r="F1064" s="142">
        <f>VLOOKUP(B1064,BDD[],26,0)</f>
        <v>35.337037037037042</v>
      </c>
      <c r="G1064" s="268">
        <f>VLOOKUP(B1064,BDD[],6,0)</f>
        <v>42352</v>
      </c>
      <c r="H1064" s="139">
        <f ca="1">VLOOKUP(B1064,BDD[],7,0)</f>
        <v>6</v>
      </c>
      <c r="I1064" s="139">
        <f ca="1">VLOOKUP(B1064,BDD[],22,0)</f>
        <v>8</v>
      </c>
      <c r="J1064" s="168">
        <v>15</v>
      </c>
      <c r="K1064" s="139">
        <f>Tabla1[[#This Row],[DIAS LAB]]*Tabla1[[#This Row],[SUE DIA]]</f>
        <v>4770.5</v>
      </c>
      <c r="L1064" s="168">
        <v>0</v>
      </c>
      <c r="M1064" s="198">
        <f>Tabla1[[#This Row],[HRS EXT]]*Tabla1[[#This Row],[SUE X HR]]</f>
        <v>0</v>
      </c>
      <c r="N1064" s="168">
        <v>0</v>
      </c>
      <c r="O1064" s="198">
        <f>Tabla1[[#This Row],[ASUETO]]*Tabla1[[#This Row],[SUE DIA]]</f>
        <v>0</v>
      </c>
      <c r="P1064" s="139">
        <f>IF(Tabla1[[#This Row],[FECHA ING]]&lt;$P$1007,365,_xlfn.DAYS($P$1008,Tabla1[[#This Row],[FECHA ING]])+1)</f>
        <v>365</v>
      </c>
      <c r="Q1064" s="198">
        <f>INT(30*(Tabla1[[#This Row],[FECHAS CONTB AGNLDO]]/365))</f>
        <v>30</v>
      </c>
      <c r="R1064" s="244">
        <f ca="1">IF($W$32=$W$26,Tabla1[[#This Row],[SUE DIA]]*Tabla1[[#This Row],[DIAS PAG AGNLDO]],0)</f>
        <v>0</v>
      </c>
      <c r="S1064" s="244">
        <f ca="1">(_xlfn.DAYS(TODAY(),Tabla1[[#This Row],[FECHA ING]])/365)</f>
        <v>6.5972602739726032</v>
      </c>
      <c r="T1064" s="244">
        <f ca="1">IF(Tabla1[[#This Row],[DIAS VAC]]&gt;1,Tabla1[[#This Row],[DIAS VAC]]-Tabla1[[#This Row],[ANTIG]],Tabla1[[#This Row],[DIAS VAC]])</f>
        <v>0.59726027397260317</v>
      </c>
      <c r="U1064" s="244">
        <f ca="1">Tabla1[[#This Row],[VALID ANTIG]]*Tabla1[[#This Row],[SUE DIA]]*Tabla1[[#This Row],[DIAS VAC PAG]]</f>
        <v>1519.5894063926953</v>
      </c>
    </row>
    <row r="1065" spans="2:21" hidden="1" x14ac:dyDescent="0.25">
      <c r="B1065" s="243">
        <v>145</v>
      </c>
      <c r="C1065" s="140" t="str">
        <f>VLOOKUP(B1065,BDD[],2,0)</f>
        <v>Octavio Imanol Vicente Gómez</v>
      </c>
      <c r="D1065" s="140">
        <f>VLOOKUP(B1065,BDD[],3,0)</f>
        <v>9450</v>
      </c>
      <c r="E1065" s="140">
        <f>VLOOKUP(B1065,BDD[],4,0)</f>
        <v>315</v>
      </c>
      <c r="F1065" s="142">
        <f>VLOOKUP(B1065,BDD[],26,0)</f>
        <v>35</v>
      </c>
      <c r="G1065" s="268">
        <f>VLOOKUP(B1065,BDD[],6,0)</f>
        <v>43345</v>
      </c>
      <c r="H1065" s="139">
        <f ca="1">VLOOKUP(B1065,BDD[],7,0)</f>
        <v>3</v>
      </c>
      <c r="I1065" s="139">
        <f ca="1">VLOOKUP(B1065,BDD[],22,0)</f>
        <v>7</v>
      </c>
      <c r="J1065" s="168">
        <v>15</v>
      </c>
      <c r="K1065" s="139">
        <f>Tabla1[[#This Row],[DIAS LAB]]*Tabla1[[#This Row],[SUE DIA]]</f>
        <v>4725</v>
      </c>
      <c r="L1065" s="168">
        <v>0</v>
      </c>
      <c r="M1065" s="198">
        <f>Tabla1[[#This Row],[HRS EXT]]*Tabla1[[#This Row],[SUE X HR]]</f>
        <v>0</v>
      </c>
      <c r="N1065" s="168">
        <v>0</v>
      </c>
      <c r="O1065" s="198">
        <f>Tabla1[[#This Row],[ASUETO]]*Tabla1[[#This Row],[SUE DIA]]</f>
        <v>0</v>
      </c>
      <c r="P1065" s="139">
        <f>IF(Tabla1[[#This Row],[FECHA ING]]&lt;$P$1007,365,_xlfn.DAYS($P$1008,Tabla1[[#This Row],[FECHA ING]])+1)</f>
        <v>365</v>
      </c>
      <c r="Q1065" s="198">
        <f>INT(30*(Tabla1[[#This Row],[FECHAS CONTB AGNLDO]]/365))</f>
        <v>30</v>
      </c>
      <c r="R1065" s="244">
        <f ca="1">IF($W$32=$W$26,Tabla1[[#This Row],[SUE DIA]]*Tabla1[[#This Row],[DIAS PAG AGNLDO]],0)</f>
        <v>0</v>
      </c>
      <c r="S1065" s="244">
        <f ca="1">(_xlfn.DAYS(TODAY(),Tabla1[[#This Row],[FECHA ING]])/365)</f>
        <v>3.8767123287671232</v>
      </c>
      <c r="T1065" s="244">
        <f ca="1">IF(Tabla1[[#This Row],[DIAS VAC]]&gt;1,Tabla1[[#This Row],[DIAS VAC]]-Tabla1[[#This Row],[ANTIG]],Tabla1[[#This Row],[DIAS VAC]])</f>
        <v>0.87671232876712324</v>
      </c>
      <c r="U1065" s="244">
        <f ca="1">Tabla1[[#This Row],[VALID ANTIG]]*Tabla1[[#This Row],[SUE DIA]]*Tabla1[[#This Row],[DIAS VAC PAG]]</f>
        <v>1933.1506849315069</v>
      </c>
    </row>
    <row r="1066" spans="2:21" hidden="1" x14ac:dyDescent="0.25">
      <c r="B1066" s="243">
        <v>146</v>
      </c>
      <c r="C1066" s="140" t="str">
        <f>VLOOKUP(B1066,BDD[],2,0)</f>
        <v>Nydia García Mata</v>
      </c>
      <c r="D1066" s="140">
        <f>VLOOKUP(B1066,BDD[],3,0)</f>
        <v>7950</v>
      </c>
      <c r="E1066" s="140">
        <f>VLOOKUP(B1066,BDD[],4,0)</f>
        <v>265</v>
      </c>
      <c r="F1066" s="142">
        <f>VLOOKUP(B1066,BDD[],26,0)</f>
        <v>29.444444444444443</v>
      </c>
      <c r="G1066" s="268">
        <f>VLOOKUP(B1066,BDD[],6,0)</f>
        <v>43063</v>
      </c>
      <c r="H1066" s="139">
        <f ca="1">VLOOKUP(B1066,BDD[],7,0)</f>
        <v>4</v>
      </c>
      <c r="I1066" s="139">
        <f ca="1">VLOOKUP(B1066,BDD[],22,0)</f>
        <v>7</v>
      </c>
      <c r="J1066" s="168">
        <v>15</v>
      </c>
      <c r="K1066" s="139">
        <f>Tabla1[[#This Row],[DIAS LAB]]*Tabla1[[#This Row],[SUE DIA]]</f>
        <v>3975</v>
      </c>
      <c r="L1066" s="168">
        <v>0</v>
      </c>
      <c r="M1066" s="198">
        <f>Tabla1[[#This Row],[HRS EXT]]*Tabla1[[#This Row],[SUE X HR]]</f>
        <v>0</v>
      </c>
      <c r="N1066" s="168">
        <v>0</v>
      </c>
      <c r="O1066" s="198">
        <f>Tabla1[[#This Row],[ASUETO]]*Tabla1[[#This Row],[SUE DIA]]</f>
        <v>0</v>
      </c>
      <c r="P1066" s="139">
        <f>IF(Tabla1[[#This Row],[FECHA ING]]&lt;$P$1007,365,_xlfn.DAYS($P$1008,Tabla1[[#This Row],[FECHA ING]])+1)</f>
        <v>365</v>
      </c>
      <c r="Q1066" s="198">
        <f>INT(30*(Tabla1[[#This Row],[FECHAS CONTB AGNLDO]]/365))</f>
        <v>30</v>
      </c>
      <c r="R1066" s="244">
        <f ca="1">IF($W$32=$W$26,Tabla1[[#This Row],[SUE DIA]]*Tabla1[[#This Row],[DIAS PAG AGNLDO]],0)</f>
        <v>0</v>
      </c>
      <c r="S1066" s="244">
        <f ca="1">(_xlfn.DAYS(TODAY(),Tabla1[[#This Row],[FECHA ING]])/365)</f>
        <v>4.6493150684931503</v>
      </c>
      <c r="T1066" s="244">
        <f ca="1">IF(Tabla1[[#This Row],[DIAS VAC]]&gt;1,Tabla1[[#This Row],[DIAS VAC]]-Tabla1[[#This Row],[ANTIG]],Tabla1[[#This Row],[DIAS VAC]])</f>
        <v>0.64931506849315035</v>
      </c>
      <c r="U1066" s="244">
        <f ca="1">Tabla1[[#This Row],[VALID ANTIG]]*Tabla1[[#This Row],[SUE DIA]]*Tabla1[[#This Row],[DIAS VAC PAG]]</f>
        <v>1204.4794520547939</v>
      </c>
    </row>
    <row r="1067" spans="2:21" hidden="1" x14ac:dyDescent="0.25">
      <c r="B1067" s="243">
        <v>147</v>
      </c>
      <c r="C1067" s="140" t="str">
        <f>VLOOKUP(B1067,BDD[],2,0)</f>
        <v>Michelle Alejandra Velázquez Martínez</v>
      </c>
      <c r="D1067" s="140">
        <f>VLOOKUP(B1067,BDD[],3,0)</f>
        <v>7445</v>
      </c>
      <c r="E1067" s="140">
        <f>VLOOKUP(B1067,BDD[],4,0)</f>
        <v>248.16666666666666</v>
      </c>
      <c r="F1067" s="142">
        <f>VLOOKUP(B1067,BDD[],26,0)</f>
        <v>27.574074074074073</v>
      </c>
      <c r="G1067" s="268">
        <f>VLOOKUP(B1067,BDD[],6,0)</f>
        <v>43319</v>
      </c>
      <c r="H1067" s="139">
        <f ca="1">VLOOKUP(B1067,BDD[],7,0)</f>
        <v>3</v>
      </c>
      <c r="I1067" s="139">
        <f ca="1">VLOOKUP(B1067,BDD[],22,0)</f>
        <v>7</v>
      </c>
      <c r="J1067" s="168">
        <v>15</v>
      </c>
      <c r="K1067" s="139">
        <f>Tabla1[[#This Row],[DIAS LAB]]*Tabla1[[#This Row],[SUE DIA]]</f>
        <v>3722.5</v>
      </c>
      <c r="L1067" s="168">
        <v>0</v>
      </c>
      <c r="M1067" s="198">
        <f>Tabla1[[#This Row],[HRS EXT]]*Tabla1[[#This Row],[SUE X HR]]</f>
        <v>0</v>
      </c>
      <c r="N1067" s="168">
        <v>0</v>
      </c>
      <c r="O1067" s="198">
        <f>Tabla1[[#This Row],[ASUETO]]*Tabla1[[#This Row],[SUE DIA]]</f>
        <v>0</v>
      </c>
      <c r="P1067" s="139">
        <f>IF(Tabla1[[#This Row],[FECHA ING]]&lt;$P$1007,365,_xlfn.DAYS($P$1008,Tabla1[[#This Row],[FECHA ING]])+1)</f>
        <v>365</v>
      </c>
      <c r="Q1067" s="198">
        <f>INT(30*(Tabla1[[#This Row],[FECHAS CONTB AGNLDO]]/365))</f>
        <v>30</v>
      </c>
      <c r="R1067" s="244">
        <f ca="1">IF($W$32=$W$26,Tabla1[[#This Row],[SUE DIA]]*Tabla1[[#This Row],[DIAS PAG AGNLDO]],0)</f>
        <v>0</v>
      </c>
      <c r="S1067" s="244">
        <f ca="1">(_xlfn.DAYS(TODAY(),Tabla1[[#This Row],[FECHA ING]])/365)</f>
        <v>3.9479452054794519</v>
      </c>
      <c r="T1067" s="244">
        <f ca="1">IF(Tabla1[[#This Row],[DIAS VAC]]&gt;1,Tabla1[[#This Row],[DIAS VAC]]-Tabla1[[#This Row],[ANTIG]],Tabla1[[#This Row],[DIAS VAC]])</f>
        <v>0.94794520547945194</v>
      </c>
      <c r="U1067" s="244">
        <f ca="1">Tabla1[[#This Row],[VALID ANTIG]]*Tabla1[[#This Row],[SUE DIA]]*Tabla1[[#This Row],[DIAS VAC PAG]]</f>
        <v>1646.7388127853878</v>
      </c>
    </row>
    <row r="1068" spans="2:21" hidden="1" x14ac:dyDescent="0.25">
      <c r="B1068" s="243">
        <v>149</v>
      </c>
      <c r="C1068" s="140" t="str">
        <f>VLOOKUP(B1068,BDD[],2,0)</f>
        <v>Maríana Rodríguez Gutiérrez</v>
      </c>
      <c r="D1068" s="140">
        <f>VLOOKUP(B1068,BDD[],3,0)</f>
        <v>34530</v>
      </c>
      <c r="E1068" s="140">
        <f>VLOOKUP(B1068,BDD[],4,0)</f>
        <v>1151</v>
      </c>
      <c r="F1068" s="142">
        <f>VLOOKUP(B1068,BDD[],26,0)</f>
        <v>127.88888888888889</v>
      </c>
      <c r="G1068" s="268">
        <f>VLOOKUP(B1068,BDD[],6,0)</f>
        <v>40997</v>
      </c>
      <c r="H1068" s="139">
        <f ca="1">VLOOKUP(B1068,BDD[],7,0)</f>
        <v>10</v>
      </c>
      <c r="I1068" s="139">
        <f ca="1">VLOOKUP(B1068,BDD[],22,0)</f>
        <v>10</v>
      </c>
      <c r="J1068" s="168">
        <v>15</v>
      </c>
      <c r="K1068" s="139">
        <f>Tabla1[[#This Row],[DIAS LAB]]*Tabla1[[#This Row],[SUE DIA]]</f>
        <v>17265</v>
      </c>
      <c r="L1068" s="168">
        <v>0</v>
      </c>
      <c r="M1068" s="198">
        <f>Tabla1[[#This Row],[HRS EXT]]*Tabla1[[#This Row],[SUE X HR]]</f>
        <v>0</v>
      </c>
      <c r="N1068" s="168">
        <v>0</v>
      </c>
      <c r="O1068" s="198">
        <f>Tabla1[[#This Row],[ASUETO]]*Tabla1[[#This Row],[SUE DIA]]</f>
        <v>0</v>
      </c>
      <c r="P1068" s="139">
        <f>IF(Tabla1[[#This Row],[FECHA ING]]&lt;$P$1007,365,_xlfn.DAYS($P$1008,Tabla1[[#This Row],[FECHA ING]])+1)</f>
        <v>365</v>
      </c>
      <c r="Q1068" s="198">
        <f>INT(30*(Tabla1[[#This Row],[FECHAS CONTB AGNLDO]]/365))</f>
        <v>30</v>
      </c>
      <c r="R1068" s="244">
        <f ca="1">IF($W$32=$W$26,Tabla1[[#This Row],[SUE DIA]]*Tabla1[[#This Row],[DIAS PAG AGNLDO]],0)</f>
        <v>0</v>
      </c>
      <c r="S1068" s="244">
        <f ca="1">(_xlfn.DAYS(TODAY(),Tabla1[[#This Row],[FECHA ING]])/365)</f>
        <v>10.30958904109589</v>
      </c>
      <c r="T1068" s="244">
        <f ca="1">IF(Tabla1[[#This Row],[DIAS VAC]]&gt;1,Tabla1[[#This Row],[DIAS VAC]]-Tabla1[[#This Row],[ANTIG]],Tabla1[[#This Row],[DIAS VAC]])</f>
        <v>0.30958904109589014</v>
      </c>
      <c r="U1068" s="244">
        <f ca="1">Tabla1[[#This Row],[VALID ANTIG]]*Tabla1[[#This Row],[SUE DIA]]*Tabla1[[#This Row],[DIAS VAC PAG]]</f>
        <v>3563.3698630136955</v>
      </c>
    </row>
    <row r="1069" spans="2:21" hidden="1" x14ac:dyDescent="0.25">
      <c r="B1069" s="243">
        <v>150</v>
      </c>
      <c r="C1069" s="140" t="str">
        <f>VLOOKUP(B1069,BDD[],2,0)</f>
        <v>Karina Alicia Salgado Garizurieta</v>
      </c>
      <c r="D1069" s="140">
        <f>VLOOKUP(B1069,BDD[],3,0)</f>
        <v>7950</v>
      </c>
      <c r="E1069" s="140">
        <f>VLOOKUP(B1069,BDD[],4,0)</f>
        <v>265</v>
      </c>
      <c r="F1069" s="142">
        <f>VLOOKUP(B1069,BDD[],26,0)</f>
        <v>29.444444444444443</v>
      </c>
      <c r="G1069" s="268">
        <f>VLOOKUP(B1069,BDD[],6,0)</f>
        <v>42776</v>
      </c>
      <c r="H1069" s="139">
        <f ca="1">VLOOKUP(B1069,BDD[],7,0)</f>
        <v>5</v>
      </c>
      <c r="I1069" s="139">
        <f ca="1">VLOOKUP(B1069,BDD[],22,0)</f>
        <v>8</v>
      </c>
      <c r="J1069" s="168">
        <v>15</v>
      </c>
      <c r="K1069" s="139">
        <f>Tabla1[[#This Row],[DIAS LAB]]*Tabla1[[#This Row],[SUE DIA]]</f>
        <v>3975</v>
      </c>
      <c r="L1069" s="168">
        <v>0</v>
      </c>
      <c r="M1069" s="198">
        <f>Tabla1[[#This Row],[HRS EXT]]*Tabla1[[#This Row],[SUE X HR]]</f>
        <v>0</v>
      </c>
      <c r="N1069" s="168">
        <v>0</v>
      </c>
      <c r="O1069" s="198">
        <f>Tabla1[[#This Row],[ASUETO]]*Tabla1[[#This Row],[SUE DIA]]</f>
        <v>0</v>
      </c>
      <c r="P1069" s="139">
        <f>IF(Tabla1[[#This Row],[FECHA ING]]&lt;$P$1007,365,_xlfn.DAYS($P$1008,Tabla1[[#This Row],[FECHA ING]])+1)</f>
        <v>365</v>
      </c>
      <c r="Q1069" s="198">
        <f>INT(30*(Tabla1[[#This Row],[FECHAS CONTB AGNLDO]]/365))</f>
        <v>30</v>
      </c>
      <c r="R1069" s="244">
        <f ca="1">IF($W$32=$W$26,Tabla1[[#This Row],[SUE DIA]]*Tabla1[[#This Row],[DIAS PAG AGNLDO]],0)</f>
        <v>0</v>
      </c>
      <c r="S1069" s="244">
        <f ca="1">(_xlfn.DAYS(TODAY(),Tabla1[[#This Row],[FECHA ING]])/365)</f>
        <v>5.4356164383561643</v>
      </c>
      <c r="T1069" s="244">
        <f ca="1">IF(Tabla1[[#This Row],[DIAS VAC]]&gt;1,Tabla1[[#This Row],[DIAS VAC]]-Tabla1[[#This Row],[ANTIG]],Tabla1[[#This Row],[DIAS VAC]])</f>
        <v>0.43561643835616426</v>
      </c>
      <c r="U1069" s="244">
        <f ca="1">Tabla1[[#This Row],[VALID ANTIG]]*Tabla1[[#This Row],[SUE DIA]]*Tabla1[[#This Row],[DIAS VAC PAG]]</f>
        <v>923.50684931506828</v>
      </c>
    </row>
    <row r="1070" spans="2:21" hidden="1" x14ac:dyDescent="0.25">
      <c r="B1070" s="243">
        <v>151</v>
      </c>
      <c r="C1070" s="140" t="str">
        <f>VLOOKUP(B1070,BDD[],2,0)</f>
        <v>Luis Brayan Aguilar Ortega</v>
      </c>
      <c r="D1070" s="140">
        <f>VLOOKUP(B1070,BDD[],3,0)</f>
        <v>7950</v>
      </c>
      <c r="E1070" s="140">
        <f>VLOOKUP(B1070,BDD[],4,0)</f>
        <v>265</v>
      </c>
      <c r="F1070" s="142">
        <f>VLOOKUP(B1070,BDD[],26,0)</f>
        <v>29.444444444444443</v>
      </c>
      <c r="G1070" s="268">
        <f>VLOOKUP(B1070,BDD[],6,0)</f>
        <v>42860</v>
      </c>
      <c r="H1070" s="139">
        <f ca="1">VLOOKUP(B1070,BDD[],7,0)</f>
        <v>5</v>
      </c>
      <c r="I1070" s="139">
        <f ca="1">VLOOKUP(B1070,BDD[],22,0)</f>
        <v>8</v>
      </c>
      <c r="J1070" s="168">
        <v>15</v>
      </c>
      <c r="K1070" s="139">
        <f>Tabla1[[#This Row],[DIAS LAB]]*Tabla1[[#This Row],[SUE DIA]]</f>
        <v>3975</v>
      </c>
      <c r="L1070" s="168">
        <v>0</v>
      </c>
      <c r="M1070" s="198">
        <f>Tabla1[[#This Row],[HRS EXT]]*Tabla1[[#This Row],[SUE X HR]]</f>
        <v>0</v>
      </c>
      <c r="N1070" s="168">
        <v>0</v>
      </c>
      <c r="O1070" s="198">
        <f>Tabla1[[#This Row],[ASUETO]]*Tabla1[[#This Row],[SUE DIA]]</f>
        <v>0</v>
      </c>
      <c r="P1070" s="139">
        <f>IF(Tabla1[[#This Row],[FECHA ING]]&lt;$P$1007,365,_xlfn.DAYS($P$1008,Tabla1[[#This Row],[FECHA ING]])+1)</f>
        <v>365</v>
      </c>
      <c r="Q1070" s="198">
        <f>INT(30*(Tabla1[[#This Row],[FECHAS CONTB AGNLDO]]/365))</f>
        <v>30</v>
      </c>
      <c r="R1070" s="244">
        <f ca="1">IF($W$32=$W$26,Tabla1[[#This Row],[SUE DIA]]*Tabla1[[#This Row],[DIAS PAG AGNLDO]],0)</f>
        <v>0</v>
      </c>
      <c r="S1070" s="244">
        <f ca="1">(_xlfn.DAYS(TODAY(),Tabla1[[#This Row],[FECHA ING]])/365)</f>
        <v>5.2054794520547949</v>
      </c>
      <c r="T1070" s="244">
        <f ca="1">IF(Tabla1[[#This Row],[DIAS VAC]]&gt;1,Tabla1[[#This Row],[DIAS VAC]]-Tabla1[[#This Row],[ANTIG]],Tabla1[[#This Row],[DIAS VAC]])</f>
        <v>0.2054794520547949</v>
      </c>
      <c r="U1070" s="244">
        <f ca="1">Tabla1[[#This Row],[VALID ANTIG]]*Tabla1[[#This Row],[SUE DIA]]*Tabla1[[#This Row],[DIAS VAC PAG]]</f>
        <v>435.61643835616519</v>
      </c>
    </row>
    <row r="1071" spans="2:21" hidden="1" x14ac:dyDescent="0.25">
      <c r="B1071" s="243">
        <v>152</v>
      </c>
      <c r="C1071" s="140" t="str">
        <f>VLOOKUP(B1071,BDD[],2,0)</f>
        <v>Leobardo Fernández Gracián</v>
      </c>
      <c r="D1071" s="140">
        <f>VLOOKUP(B1071,BDD[],3,0)</f>
        <v>7950</v>
      </c>
      <c r="E1071" s="140">
        <f>VLOOKUP(B1071,BDD[],4,0)</f>
        <v>265</v>
      </c>
      <c r="F1071" s="142">
        <f>VLOOKUP(B1071,BDD[],26,0)</f>
        <v>29.444444444444443</v>
      </c>
      <c r="G1071" s="268">
        <f>VLOOKUP(B1071,BDD[],6,0)</f>
        <v>43095</v>
      </c>
      <c r="H1071" s="139">
        <f ca="1">VLOOKUP(B1071,BDD[],7,0)</f>
        <v>4</v>
      </c>
      <c r="I1071" s="139">
        <f ca="1">VLOOKUP(B1071,BDD[],22,0)</f>
        <v>7</v>
      </c>
      <c r="J1071" s="168">
        <v>15</v>
      </c>
      <c r="K1071" s="139">
        <f>Tabla1[[#This Row],[DIAS LAB]]*Tabla1[[#This Row],[SUE DIA]]</f>
        <v>3975</v>
      </c>
      <c r="L1071" s="168">
        <v>0</v>
      </c>
      <c r="M1071" s="198">
        <f>Tabla1[[#This Row],[HRS EXT]]*Tabla1[[#This Row],[SUE X HR]]</f>
        <v>0</v>
      </c>
      <c r="N1071" s="168">
        <v>0</v>
      </c>
      <c r="O1071" s="198">
        <f>Tabla1[[#This Row],[ASUETO]]*Tabla1[[#This Row],[SUE DIA]]</f>
        <v>0</v>
      </c>
      <c r="P1071" s="139">
        <f>IF(Tabla1[[#This Row],[FECHA ING]]&lt;$P$1007,365,_xlfn.DAYS($P$1008,Tabla1[[#This Row],[FECHA ING]])+1)</f>
        <v>365</v>
      </c>
      <c r="Q1071" s="198">
        <f>INT(30*(Tabla1[[#This Row],[FECHAS CONTB AGNLDO]]/365))</f>
        <v>30</v>
      </c>
      <c r="R1071" s="244">
        <f ca="1">IF($W$32=$W$26,Tabla1[[#This Row],[SUE DIA]]*Tabla1[[#This Row],[DIAS PAG AGNLDO]],0)</f>
        <v>0</v>
      </c>
      <c r="S1071" s="244">
        <f ca="1">(_xlfn.DAYS(TODAY(),Tabla1[[#This Row],[FECHA ING]])/365)</f>
        <v>4.5616438356164384</v>
      </c>
      <c r="T1071" s="244">
        <f ca="1">IF(Tabla1[[#This Row],[DIAS VAC]]&gt;1,Tabla1[[#This Row],[DIAS VAC]]-Tabla1[[#This Row],[ANTIG]],Tabla1[[#This Row],[DIAS VAC]])</f>
        <v>0.56164383561643838</v>
      </c>
      <c r="U1071" s="244">
        <f ca="1">Tabla1[[#This Row],[VALID ANTIG]]*Tabla1[[#This Row],[SUE DIA]]*Tabla1[[#This Row],[DIAS VAC PAG]]</f>
        <v>1041.8493150684931</v>
      </c>
    </row>
    <row r="1072" spans="2:21" hidden="1" x14ac:dyDescent="0.25">
      <c r="B1072" s="243">
        <v>153</v>
      </c>
      <c r="C1072" s="140" t="str">
        <f>VLOOKUP(B1072,BDD[],2,0)</f>
        <v>Kevin Denigriz Castañon Castillo</v>
      </c>
      <c r="D1072" s="140">
        <f>VLOOKUP(B1072,BDD[],3,0)</f>
        <v>9541</v>
      </c>
      <c r="E1072" s="140">
        <f>VLOOKUP(B1072,BDD[],4,0)</f>
        <v>318.03333333333336</v>
      </c>
      <c r="F1072" s="142">
        <f>VLOOKUP(B1072,BDD[],26,0)</f>
        <v>35.337037037037042</v>
      </c>
      <c r="G1072" s="268">
        <f>VLOOKUP(B1072,BDD[],6,0)</f>
        <v>42213</v>
      </c>
      <c r="H1072" s="139">
        <f ca="1">VLOOKUP(B1072,BDD[],7,0)</f>
        <v>6</v>
      </c>
      <c r="I1072" s="139">
        <f ca="1">VLOOKUP(B1072,BDD[],22,0)</f>
        <v>8</v>
      </c>
      <c r="J1072" s="168">
        <v>15</v>
      </c>
      <c r="K1072" s="139">
        <f>Tabla1[[#This Row],[DIAS LAB]]*Tabla1[[#This Row],[SUE DIA]]</f>
        <v>4770.5</v>
      </c>
      <c r="L1072" s="168">
        <v>0</v>
      </c>
      <c r="M1072" s="198">
        <f>Tabla1[[#This Row],[HRS EXT]]*Tabla1[[#This Row],[SUE X HR]]</f>
        <v>0</v>
      </c>
      <c r="N1072" s="168">
        <v>0</v>
      </c>
      <c r="O1072" s="198">
        <f>Tabla1[[#This Row],[ASUETO]]*Tabla1[[#This Row],[SUE DIA]]</f>
        <v>0</v>
      </c>
      <c r="P1072" s="139">
        <f>IF(Tabla1[[#This Row],[FECHA ING]]&lt;$P$1007,365,_xlfn.DAYS($P$1008,Tabla1[[#This Row],[FECHA ING]])+1)</f>
        <v>365</v>
      </c>
      <c r="Q1072" s="198">
        <f>INT(30*(Tabla1[[#This Row],[FECHAS CONTB AGNLDO]]/365))</f>
        <v>30</v>
      </c>
      <c r="R1072" s="244">
        <f ca="1">IF($W$32=$W$26,Tabla1[[#This Row],[SUE DIA]]*Tabla1[[#This Row],[DIAS PAG AGNLDO]],0)</f>
        <v>0</v>
      </c>
      <c r="S1072" s="244">
        <f ca="1">(_xlfn.DAYS(TODAY(),Tabla1[[#This Row],[FECHA ING]])/365)</f>
        <v>6.978082191780822</v>
      </c>
      <c r="T1072" s="244">
        <f ca="1">IF(Tabla1[[#This Row],[DIAS VAC]]&gt;1,Tabla1[[#This Row],[DIAS VAC]]-Tabla1[[#This Row],[ANTIG]],Tabla1[[#This Row],[DIAS VAC]])</f>
        <v>0.97808219178082201</v>
      </c>
      <c r="U1072" s="244">
        <f ca="1">Tabla1[[#This Row],[VALID ANTIG]]*Tabla1[[#This Row],[SUE DIA]]*Tabla1[[#This Row],[DIAS VAC PAG]]</f>
        <v>2488.5019178082198</v>
      </c>
    </row>
    <row r="1073" spans="2:21" hidden="1" x14ac:dyDescent="0.25">
      <c r="B1073" s="243">
        <v>154</v>
      </c>
      <c r="C1073" s="140" t="str">
        <f>VLOOKUP(B1073,BDD[],2,0)</f>
        <v>Karla Michelle Verdugo Rios</v>
      </c>
      <c r="D1073" s="140">
        <f>VLOOKUP(B1073,BDD[],3,0)</f>
        <v>7445</v>
      </c>
      <c r="E1073" s="140">
        <f>VLOOKUP(B1073,BDD[],4,0)</f>
        <v>248.16666666666666</v>
      </c>
      <c r="F1073" s="142">
        <f>VLOOKUP(B1073,BDD[],26,0)</f>
        <v>27.574074074074073</v>
      </c>
      <c r="G1073" s="268">
        <f>VLOOKUP(B1073,BDD[],6,0)</f>
        <v>43967</v>
      </c>
      <c r="H1073" s="139">
        <f ca="1">VLOOKUP(B1073,BDD[],7,0)</f>
        <v>2</v>
      </c>
      <c r="I1073" s="139">
        <f ca="1">VLOOKUP(B1073,BDD[],22,0)</f>
        <v>5</v>
      </c>
      <c r="J1073" s="168">
        <v>15</v>
      </c>
      <c r="K1073" s="139">
        <f>Tabla1[[#This Row],[DIAS LAB]]*Tabla1[[#This Row],[SUE DIA]]</f>
        <v>3722.5</v>
      </c>
      <c r="L1073" s="168">
        <v>0</v>
      </c>
      <c r="M1073" s="198">
        <f>Tabla1[[#This Row],[HRS EXT]]*Tabla1[[#This Row],[SUE X HR]]</f>
        <v>0</v>
      </c>
      <c r="N1073" s="168">
        <v>0</v>
      </c>
      <c r="O1073" s="198">
        <f>Tabla1[[#This Row],[ASUETO]]*Tabla1[[#This Row],[SUE DIA]]</f>
        <v>0</v>
      </c>
      <c r="P1073" s="139">
        <f>IF(Tabla1[[#This Row],[FECHA ING]]&lt;$P$1007,365,_xlfn.DAYS($P$1008,Tabla1[[#This Row],[FECHA ING]])+1)</f>
        <v>365</v>
      </c>
      <c r="Q1073" s="198">
        <f>INT(30*(Tabla1[[#This Row],[FECHAS CONTB AGNLDO]]/365))</f>
        <v>30</v>
      </c>
      <c r="R1073" s="244">
        <f ca="1">IF($W$32=$W$26,Tabla1[[#This Row],[SUE DIA]]*Tabla1[[#This Row],[DIAS PAG AGNLDO]],0)</f>
        <v>0</v>
      </c>
      <c r="S1073" s="244">
        <f ca="1">(_xlfn.DAYS(TODAY(),Tabla1[[#This Row],[FECHA ING]])/365)</f>
        <v>2.1726027397260275</v>
      </c>
      <c r="T1073" s="244">
        <f ca="1">IF(Tabla1[[#This Row],[DIAS VAC]]&gt;1,Tabla1[[#This Row],[DIAS VAC]]-Tabla1[[#This Row],[ANTIG]],Tabla1[[#This Row],[DIAS VAC]])</f>
        <v>0.17260273972602747</v>
      </c>
      <c r="U1073" s="244">
        <f ca="1">Tabla1[[#This Row],[VALID ANTIG]]*Tabla1[[#This Row],[SUE DIA]]*Tabla1[[#This Row],[DIAS VAC PAG]]</f>
        <v>214.17123287671242</v>
      </c>
    </row>
    <row r="1074" spans="2:21" hidden="1" x14ac:dyDescent="0.25">
      <c r="B1074" s="243">
        <v>155</v>
      </c>
      <c r="C1074" s="140" t="str">
        <f>VLOOKUP(B1074,BDD[],2,0)</f>
        <v>Juan Manuel Chaires Martinez</v>
      </c>
      <c r="D1074" s="140">
        <f>VLOOKUP(B1074,BDD[],3,0)</f>
        <v>7950</v>
      </c>
      <c r="E1074" s="140">
        <f>VLOOKUP(B1074,BDD[],4,0)</f>
        <v>265</v>
      </c>
      <c r="F1074" s="142">
        <f>VLOOKUP(B1074,BDD[],26,0)</f>
        <v>29.444444444444443</v>
      </c>
      <c r="G1074" s="268">
        <f>VLOOKUP(B1074,BDD[],6,0)</f>
        <v>42684</v>
      </c>
      <c r="H1074" s="139">
        <f ca="1">VLOOKUP(B1074,BDD[],7,0)</f>
        <v>5</v>
      </c>
      <c r="I1074" s="139">
        <f ca="1">VLOOKUP(B1074,BDD[],22,0)</f>
        <v>8</v>
      </c>
      <c r="J1074" s="168">
        <v>15</v>
      </c>
      <c r="K1074" s="139">
        <f>Tabla1[[#This Row],[DIAS LAB]]*Tabla1[[#This Row],[SUE DIA]]</f>
        <v>3975</v>
      </c>
      <c r="L1074" s="168">
        <v>0</v>
      </c>
      <c r="M1074" s="198">
        <f>Tabla1[[#This Row],[HRS EXT]]*Tabla1[[#This Row],[SUE X HR]]</f>
        <v>0</v>
      </c>
      <c r="N1074" s="168">
        <v>0</v>
      </c>
      <c r="O1074" s="198">
        <f>Tabla1[[#This Row],[ASUETO]]*Tabla1[[#This Row],[SUE DIA]]</f>
        <v>0</v>
      </c>
      <c r="P1074" s="139">
        <f>IF(Tabla1[[#This Row],[FECHA ING]]&lt;$P$1007,365,_xlfn.DAYS($P$1008,Tabla1[[#This Row],[FECHA ING]])+1)</f>
        <v>365</v>
      </c>
      <c r="Q1074" s="198">
        <f>INT(30*(Tabla1[[#This Row],[FECHAS CONTB AGNLDO]]/365))</f>
        <v>30</v>
      </c>
      <c r="R1074" s="244">
        <f ca="1">IF($W$32=$W$26,Tabla1[[#This Row],[SUE DIA]]*Tabla1[[#This Row],[DIAS PAG AGNLDO]],0)</f>
        <v>0</v>
      </c>
      <c r="S1074" s="244">
        <f ca="1">(_xlfn.DAYS(TODAY(),Tabla1[[#This Row],[FECHA ING]])/365)</f>
        <v>5.6876712328767125</v>
      </c>
      <c r="T1074" s="244">
        <f ca="1">IF(Tabla1[[#This Row],[DIAS VAC]]&gt;1,Tabla1[[#This Row],[DIAS VAC]]-Tabla1[[#This Row],[ANTIG]],Tabla1[[#This Row],[DIAS VAC]])</f>
        <v>0.6876712328767125</v>
      </c>
      <c r="U1074" s="244">
        <f ca="1">Tabla1[[#This Row],[VALID ANTIG]]*Tabla1[[#This Row],[SUE DIA]]*Tabla1[[#This Row],[DIAS VAC PAG]]</f>
        <v>1457.8630136986305</v>
      </c>
    </row>
    <row r="1075" spans="2:21" hidden="1" x14ac:dyDescent="0.25">
      <c r="B1075" s="243">
        <v>156</v>
      </c>
      <c r="C1075" s="140" t="str">
        <f>VLOOKUP(B1075,BDD[],2,0)</f>
        <v>Juan José Gonzalez Montoya</v>
      </c>
      <c r="D1075" s="140">
        <f>VLOOKUP(B1075,BDD[],3,0)</f>
        <v>9450</v>
      </c>
      <c r="E1075" s="140">
        <f>VLOOKUP(B1075,BDD[],4,0)</f>
        <v>315</v>
      </c>
      <c r="F1075" s="142">
        <f>VLOOKUP(B1075,BDD[],26,0)</f>
        <v>35</v>
      </c>
      <c r="G1075" s="268">
        <f>VLOOKUP(B1075,BDD[],6,0)</f>
        <v>42369</v>
      </c>
      <c r="H1075" s="139">
        <f ca="1">VLOOKUP(B1075,BDD[],7,0)</f>
        <v>6</v>
      </c>
      <c r="I1075" s="139">
        <f ca="1">VLOOKUP(B1075,BDD[],22,0)</f>
        <v>8</v>
      </c>
      <c r="J1075" s="168">
        <v>15</v>
      </c>
      <c r="K1075" s="139">
        <f>Tabla1[[#This Row],[DIAS LAB]]*Tabla1[[#This Row],[SUE DIA]]</f>
        <v>4725</v>
      </c>
      <c r="L1075" s="168">
        <v>0</v>
      </c>
      <c r="M1075" s="198">
        <f>Tabla1[[#This Row],[HRS EXT]]*Tabla1[[#This Row],[SUE X HR]]</f>
        <v>0</v>
      </c>
      <c r="N1075" s="168">
        <v>0</v>
      </c>
      <c r="O1075" s="198">
        <f>Tabla1[[#This Row],[ASUETO]]*Tabla1[[#This Row],[SUE DIA]]</f>
        <v>0</v>
      </c>
      <c r="P1075" s="139">
        <f>IF(Tabla1[[#This Row],[FECHA ING]]&lt;$P$1007,365,_xlfn.DAYS($P$1008,Tabla1[[#This Row],[FECHA ING]])+1)</f>
        <v>365</v>
      </c>
      <c r="Q1075" s="198">
        <f>INT(30*(Tabla1[[#This Row],[FECHAS CONTB AGNLDO]]/365))</f>
        <v>30</v>
      </c>
      <c r="R1075" s="244">
        <f ca="1">IF($W$32=$W$26,Tabla1[[#This Row],[SUE DIA]]*Tabla1[[#This Row],[DIAS PAG AGNLDO]],0)</f>
        <v>0</v>
      </c>
      <c r="S1075" s="244">
        <f ca="1">(_xlfn.DAYS(TODAY(),Tabla1[[#This Row],[FECHA ING]])/365)</f>
        <v>6.5506849315068489</v>
      </c>
      <c r="T1075" s="244">
        <f ca="1">IF(Tabla1[[#This Row],[DIAS VAC]]&gt;1,Tabla1[[#This Row],[DIAS VAC]]-Tabla1[[#This Row],[ANTIG]],Tabla1[[#This Row],[DIAS VAC]])</f>
        <v>0.55068493150684894</v>
      </c>
      <c r="U1075" s="244">
        <f ca="1">Tabla1[[#This Row],[VALID ANTIG]]*Tabla1[[#This Row],[SUE DIA]]*Tabla1[[#This Row],[DIAS VAC PAG]]</f>
        <v>1387.7260273972593</v>
      </c>
    </row>
    <row r="1076" spans="2:21" hidden="1" x14ac:dyDescent="0.25">
      <c r="B1076" s="243">
        <v>158</v>
      </c>
      <c r="C1076" s="140" t="str">
        <f>VLOOKUP(B1076,BDD[],2,0)</f>
        <v>Marco Antonio Guzmán Loera</v>
      </c>
      <c r="D1076" s="140">
        <f>VLOOKUP(B1076,BDD[],3,0)</f>
        <v>10860</v>
      </c>
      <c r="E1076" s="140">
        <f>VLOOKUP(B1076,BDD[],4,0)</f>
        <v>362</v>
      </c>
      <c r="F1076" s="142">
        <f>VLOOKUP(B1076,BDD[],26,0)</f>
        <v>40.222222222222221</v>
      </c>
      <c r="G1076" s="268">
        <f>VLOOKUP(B1076,BDD[],6,0)</f>
        <v>38875</v>
      </c>
      <c r="H1076" s="139">
        <f ca="1">VLOOKUP(B1076,BDD[],7,0)</f>
        <v>16</v>
      </c>
      <c r="I1076" s="139">
        <f ca="1">VLOOKUP(B1076,BDD[],22,0)</f>
        <v>10</v>
      </c>
      <c r="J1076" s="168">
        <v>15</v>
      </c>
      <c r="K1076" s="139">
        <f>Tabla1[[#This Row],[DIAS LAB]]*Tabla1[[#This Row],[SUE DIA]]</f>
        <v>5430</v>
      </c>
      <c r="L1076" s="168">
        <v>0</v>
      </c>
      <c r="M1076" s="198">
        <f>Tabla1[[#This Row],[HRS EXT]]*Tabla1[[#This Row],[SUE X HR]]</f>
        <v>0</v>
      </c>
      <c r="N1076" s="168">
        <v>0</v>
      </c>
      <c r="O1076" s="198">
        <f>Tabla1[[#This Row],[ASUETO]]*Tabla1[[#This Row],[SUE DIA]]</f>
        <v>0</v>
      </c>
      <c r="P1076" s="139">
        <f>IF(Tabla1[[#This Row],[FECHA ING]]&lt;$P$1007,365,_xlfn.DAYS($P$1008,Tabla1[[#This Row],[FECHA ING]])+1)</f>
        <v>365</v>
      </c>
      <c r="Q1076" s="198">
        <f>INT(30*(Tabla1[[#This Row],[FECHAS CONTB AGNLDO]]/365))</f>
        <v>30</v>
      </c>
      <c r="R1076" s="244">
        <f ca="1">IF($W$32=$W$26,Tabla1[[#This Row],[SUE DIA]]*Tabla1[[#This Row],[DIAS PAG AGNLDO]],0)</f>
        <v>0</v>
      </c>
      <c r="S1076" s="244">
        <f ca="1">(_xlfn.DAYS(TODAY(),Tabla1[[#This Row],[FECHA ING]])/365)</f>
        <v>16.123287671232877</v>
      </c>
      <c r="T1076" s="244">
        <f ca="1">IF(Tabla1[[#This Row],[DIAS VAC]]&gt;1,Tabla1[[#This Row],[DIAS VAC]]-Tabla1[[#This Row],[ANTIG]],Tabla1[[#This Row],[DIAS VAC]])</f>
        <v>0.12328767123287676</v>
      </c>
      <c r="U1076" s="244">
        <f ca="1">Tabla1[[#This Row],[VALID ANTIG]]*Tabla1[[#This Row],[SUE DIA]]*Tabla1[[#This Row],[DIAS VAC PAG]]</f>
        <v>446.30136986301386</v>
      </c>
    </row>
    <row r="1077" spans="2:21" hidden="1" x14ac:dyDescent="0.25">
      <c r="B1077" s="243">
        <v>159</v>
      </c>
      <c r="C1077" s="140" t="str">
        <f>VLOOKUP(B1077,BDD[],2,0)</f>
        <v>José Mario Sandoval Raudales</v>
      </c>
      <c r="D1077" s="140">
        <f>VLOOKUP(B1077,BDD[],3,0)</f>
        <v>7445</v>
      </c>
      <c r="E1077" s="140">
        <f>VLOOKUP(B1077,BDD[],4,0)</f>
        <v>248.16666666666666</v>
      </c>
      <c r="F1077" s="142">
        <f>VLOOKUP(B1077,BDD[],26,0)</f>
        <v>27.574074074074073</v>
      </c>
      <c r="G1077" s="268">
        <f>VLOOKUP(B1077,BDD[],6,0)</f>
        <v>43957</v>
      </c>
      <c r="H1077" s="139">
        <f ca="1">VLOOKUP(B1077,BDD[],7,0)</f>
        <v>2</v>
      </c>
      <c r="I1077" s="139">
        <f ca="1">VLOOKUP(B1077,BDD[],22,0)</f>
        <v>5</v>
      </c>
      <c r="J1077" s="168">
        <v>15</v>
      </c>
      <c r="K1077" s="139">
        <f>Tabla1[[#This Row],[DIAS LAB]]*Tabla1[[#This Row],[SUE DIA]]</f>
        <v>3722.5</v>
      </c>
      <c r="L1077" s="168">
        <v>0</v>
      </c>
      <c r="M1077" s="198">
        <f>Tabla1[[#This Row],[HRS EXT]]*Tabla1[[#This Row],[SUE X HR]]</f>
        <v>0</v>
      </c>
      <c r="N1077" s="168">
        <v>0</v>
      </c>
      <c r="O1077" s="198">
        <f>Tabla1[[#This Row],[ASUETO]]*Tabla1[[#This Row],[SUE DIA]]</f>
        <v>0</v>
      </c>
      <c r="P1077" s="139">
        <f>IF(Tabla1[[#This Row],[FECHA ING]]&lt;$P$1007,365,_xlfn.DAYS($P$1008,Tabla1[[#This Row],[FECHA ING]])+1)</f>
        <v>365</v>
      </c>
      <c r="Q1077" s="198">
        <f>INT(30*(Tabla1[[#This Row],[FECHAS CONTB AGNLDO]]/365))</f>
        <v>30</v>
      </c>
      <c r="R1077" s="244">
        <f ca="1">IF($W$32=$W$26,Tabla1[[#This Row],[SUE DIA]]*Tabla1[[#This Row],[DIAS PAG AGNLDO]],0)</f>
        <v>0</v>
      </c>
      <c r="S1077" s="244">
        <f ca="1">(_xlfn.DAYS(TODAY(),Tabla1[[#This Row],[FECHA ING]])/365)</f>
        <v>2.2000000000000002</v>
      </c>
      <c r="T1077" s="244">
        <f ca="1">IF(Tabla1[[#This Row],[DIAS VAC]]&gt;1,Tabla1[[#This Row],[DIAS VAC]]-Tabla1[[#This Row],[ANTIG]],Tabla1[[#This Row],[DIAS VAC]])</f>
        <v>0.20000000000000018</v>
      </c>
      <c r="U1077" s="244">
        <f ca="1">Tabla1[[#This Row],[VALID ANTIG]]*Tabla1[[#This Row],[SUE DIA]]*Tabla1[[#This Row],[DIAS VAC PAG]]</f>
        <v>248.16666666666688</v>
      </c>
    </row>
    <row r="1078" spans="2:21" hidden="1" x14ac:dyDescent="0.25">
      <c r="B1078" s="243">
        <v>161</v>
      </c>
      <c r="C1078" s="140" t="str">
        <f>VLOOKUP(B1078,BDD[],2,0)</f>
        <v>Jessica Jaredy De Leon Carmona</v>
      </c>
      <c r="D1078" s="140">
        <f>VLOOKUP(B1078,BDD[],3,0)</f>
        <v>7445</v>
      </c>
      <c r="E1078" s="140">
        <f>VLOOKUP(B1078,BDD[],4,0)</f>
        <v>248.16666666666666</v>
      </c>
      <c r="F1078" s="142">
        <f>VLOOKUP(B1078,BDD[],26,0)</f>
        <v>27.574074074074073</v>
      </c>
      <c r="G1078" s="268">
        <f>VLOOKUP(B1078,BDD[],6,0)</f>
        <v>43291</v>
      </c>
      <c r="H1078" s="139">
        <f ca="1">VLOOKUP(B1078,BDD[],7,0)</f>
        <v>4</v>
      </c>
      <c r="I1078" s="139">
        <f ca="1">VLOOKUP(B1078,BDD[],22,0)</f>
        <v>7</v>
      </c>
      <c r="J1078" s="168">
        <v>15</v>
      </c>
      <c r="K1078" s="139">
        <f>Tabla1[[#This Row],[DIAS LAB]]*Tabla1[[#This Row],[SUE DIA]]</f>
        <v>3722.5</v>
      </c>
      <c r="L1078" s="168">
        <v>0</v>
      </c>
      <c r="M1078" s="198">
        <f>Tabla1[[#This Row],[HRS EXT]]*Tabla1[[#This Row],[SUE X HR]]</f>
        <v>0</v>
      </c>
      <c r="N1078" s="168">
        <v>0</v>
      </c>
      <c r="O1078" s="198">
        <f>Tabla1[[#This Row],[ASUETO]]*Tabla1[[#This Row],[SUE DIA]]</f>
        <v>0</v>
      </c>
      <c r="P1078" s="139">
        <f>IF(Tabla1[[#This Row],[FECHA ING]]&lt;$P$1007,365,_xlfn.DAYS($P$1008,Tabla1[[#This Row],[FECHA ING]])+1)</f>
        <v>365</v>
      </c>
      <c r="Q1078" s="198">
        <f>INT(30*(Tabla1[[#This Row],[FECHAS CONTB AGNLDO]]/365))</f>
        <v>30</v>
      </c>
      <c r="R1078" s="244">
        <f ca="1">IF($W$32=$W$26,Tabla1[[#This Row],[SUE DIA]]*Tabla1[[#This Row],[DIAS PAG AGNLDO]],0)</f>
        <v>0</v>
      </c>
      <c r="S1078" s="244">
        <f ca="1">(_xlfn.DAYS(TODAY(),Tabla1[[#This Row],[FECHA ING]])/365)</f>
        <v>4.0246575342465754</v>
      </c>
      <c r="T1078" s="244">
        <f ca="1">IF(Tabla1[[#This Row],[DIAS VAC]]&gt;1,Tabla1[[#This Row],[DIAS VAC]]-Tabla1[[#This Row],[ANTIG]],Tabla1[[#This Row],[DIAS VAC]])</f>
        <v>2.4657534246575352E-2</v>
      </c>
      <c r="U1078" s="244">
        <f ca="1">Tabla1[[#This Row],[VALID ANTIG]]*Tabla1[[#This Row],[SUE DIA]]*Tabla1[[#This Row],[DIAS VAC PAG]]</f>
        <v>42.834246575342483</v>
      </c>
    </row>
    <row r="1079" spans="2:21" hidden="1" x14ac:dyDescent="0.25">
      <c r="B1079" s="243">
        <v>162</v>
      </c>
      <c r="C1079" s="140" t="str">
        <f>VLOOKUP(B1079,BDD[],2,0)</f>
        <v>Gustavo Alexis Garduño Lucio</v>
      </c>
      <c r="D1079" s="140">
        <f>VLOOKUP(B1079,BDD[],3,0)</f>
        <v>7445</v>
      </c>
      <c r="E1079" s="140">
        <f>VLOOKUP(B1079,BDD[],4,0)</f>
        <v>248.16666666666666</v>
      </c>
      <c r="F1079" s="142">
        <f>VLOOKUP(B1079,BDD[],26,0)</f>
        <v>27.574074074074073</v>
      </c>
      <c r="G1079" s="268">
        <f>VLOOKUP(B1079,BDD[],6,0)</f>
        <v>42740</v>
      </c>
      <c r="H1079" s="139">
        <f ca="1">VLOOKUP(B1079,BDD[],7,0)</f>
        <v>5</v>
      </c>
      <c r="I1079" s="139">
        <f ca="1">VLOOKUP(B1079,BDD[],22,0)</f>
        <v>8</v>
      </c>
      <c r="J1079" s="168">
        <v>15</v>
      </c>
      <c r="K1079" s="139">
        <f>Tabla1[[#This Row],[DIAS LAB]]*Tabla1[[#This Row],[SUE DIA]]</f>
        <v>3722.5</v>
      </c>
      <c r="L1079" s="168">
        <v>0</v>
      </c>
      <c r="M1079" s="198">
        <f>Tabla1[[#This Row],[HRS EXT]]*Tabla1[[#This Row],[SUE X HR]]</f>
        <v>0</v>
      </c>
      <c r="N1079" s="168">
        <v>0</v>
      </c>
      <c r="O1079" s="198">
        <f>Tabla1[[#This Row],[ASUETO]]*Tabla1[[#This Row],[SUE DIA]]</f>
        <v>0</v>
      </c>
      <c r="P1079" s="139">
        <f>IF(Tabla1[[#This Row],[FECHA ING]]&lt;$P$1007,365,_xlfn.DAYS($P$1008,Tabla1[[#This Row],[FECHA ING]])+1)</f>
        <v>365</v>
      </c>
      <c r="Q1079" s="198">
        <f>INT(30*(Tabla1[[#This Row],[FECHAS CONTB AGNLDO]]/365))</f>
        <v>30</v>
      </c>
      <c r="R1079" s="244">
        <f ca="1">IF($W$32=$W$26,Tabla1[[#This Row],[SUE DIA]]*Tabla1[[#This Row],[DIAS PAG AGNLDO]],0)</f>
        <v>0</v>
      </c>
      <c r="S1079" s="244">
        <f ca="1">(_xlfn.DAYS(TODAY(),Tabla1[[#This Row],[FECHA ING]])/365)</f>
        <v>5.5342465753424657</v>
      </c>
      <c r="T1079" s="244">
        <f ca="1">IF(Tabla1[[#This Row],[DIAS VAC]]&gt;1,Tabla1[[#This Row],[DIAS VAC]]-Tabla1[[#This Row],[ANTIG]],Tabla1[[#This Row],[DIAS VAC]])</f>
        <v>0.53424657534246567</v>
      </c>
      <c r="U1079" s="244">
        <f ca="1">Tabla1[[#This Row],[VALID ANTIG]]*Tabla1[[#This Row],[SUE DIA]]*Tabla1[[#This Row],[DIAS VAC PAG]]</f>
        <v>1060.6575342465751</v>
      </c>
    </row>
    <row r="1080" spans="2:21" hidden="1" x14ac:dyDescent="0.25">
      <c r="B1080" s="243">
        <v>163</v>
      </c>
      <c r="C1080" s="140" t="str">
        <f>VLOOKUP(B1080,BDD[],2,0)</f>
        <v>Frida Alejandra Caballero Ovalle</v>
      </c>
      <c r="D1080" s="140">
        <f>VLOOKUP(B1080,BDD[],3,0)</f>
        <v>9541</v>
      </c>
      <c r="E1080" s="140">
        <f>VLOOKUP(B1080,BDD[],4,0)</f>
        <v>318.03333333333336</v>
      </c>
      <c r="F1080" s="142">
        <f>VLOOKUP(B1080,BDD[],26,0)</f>
        <v>35.337037037037042</v>
      </c>
      <c r="G1080" s="268">
        <f>VLOOKUP(B1080,BDD[],6,0)</f>
        <v>42030</v>
      </c>
      <c r="H1080" s="139">
        <f ca="1">VLOOKUP(B1080,BDD[],7,0)</f>
        <v>7</v>
      </c>
      <c r="I1080" s="139">
        <f ca="1">VLOOKUP(B1080,BDD[],22,0)</f>
        <v>8</v>
      </c>
      <c r="J1080" s="168">
        <v>15</v>
      </c>
      <c r="K1080" s="139">
        <f>Tabla1[[#This Row],[DIAS LAB]]*Tabla1[[#This Row],[SUE DIA]]</f>
        <v>4770.5</v>
      </c>
      <c r="L1080" s="168">
        <v>0</v>
      </c>
      <c r="M1080" s="198">
        <f>Tabla1[[#This Row],[HRS EXT]]*Tabla1[[#This Row],[SUE X HR]]</f>
        <v>0</v>
      </c>
      <c r="N1080" s="168">
        <v>0</v>
      </c>
      <c r="O1080" s="198">
        <f>Tabla1[[#This Row],[ASUETO]]*Tabla1[[#This Row],[SUE DIA]]</f>
        <v>0</v>
      </c>
      <c r="P1080" s="139">
        <f>IF(Tabla1[[#This Row],[FECHA ING]]&lt;$P$1007,365,_xlfn.DAYS($P$1008,Tabla1[[#This Row],[FECHA ING]])+1)</f>
        <v>365</v>
      </c>
      <c r="Q1080" s="198">
        <f>INT(30*(Tabla1[[#This Row],[FECHAS CONTB AGNLDO]]/365))</f>
        <v>30</v>
      </c>
      <c r="R1080" s="244">
        <f ca="1">IF($W$32=$W$26,Tabla1[[#This Row],[SUE DIA]]*Tabla1[[#This Row],[DIAS PAG AGNLDO]],0)</f>
        <v>0</v>
      </c>
      <c r="S1080" s="244">
        <f ca="1">(_xlfn.DAYS(TODAY(),Tabla1[[#This Row],[FECHA ING]])/365)</f>
        <v>7.4794520547945202</v>
      </c>
      <c r="T1080" s="244">
        <f ca="1">IF(Tabla1[[#This Row],[DIAS VAC]]&gt;1,Tabla1[[#This Row],[DIAS VAC]]-Tabla1[[#This Row],[ANTIG]],Tabla1[[#This Row],[DIAS VAC]])</f>
        <v>0.47945205479452024</v>
      </c>
      <c r="U1080" s="244">
        <f ca="1">Tabla1[[#This Row],[VALID ANTIG]]*Tabla1[[#This Row],[SUE DIA]]*Tabla1[[#This Row],[DIAS VAC PAG]]</f>
        <v>1219.8538812785382</v>
      </c>
    </row>
    <row r="1081" spans="2:21" hidden="1" x14ac:dyDescent="0.25">
      <c r="B1081" s="243">
        <v>165</v>
      </c>
      <c r="C1081" s="140" t="str">
        <f>VLOOKUP(B1081,BDD[],2,0)</f>
        <v>Eduardo Jair Esquivel Burnes</v>
      </c>
      <c r="D1081" s="140">
        <f>VLOOKUP(B1081,BDD[],3,0)</f>
        <v>7445</v>
      </c>
      <c r="E1081" s="140">
        <f>VLOOKUP(B1081,BDD[],4,0)</f>
        <v>248.16666666666666</v>
      </c>
      <c r="F1081" s="142">
        <f>VLOOKUP(B1081,BDD[],26,0)</f>
        <v>27.574074074074073</v>
      </c>
      <c r="G1081" s="268">
        <f>VLOOKUP(B1081,BDD[],6,0)</f>
        <v>43904</v>
      </c>
      <c r="H1081" s="139">
        <f ca="1">VLOOKUP(B1081,BDD[],7,0)</f>
        <v>2</v>
      </c>
      <c r="I1081" s="139">
        <f ca="1">VLOOKUP(B1081,BDD[],22,0)</f>
        <v>5</v>
      </c>
      <c r="J1081" s="168">
        <v>15</v>
      </c>
      <c r="K1081" s="139">
        <f>Tabla1[[#This Row],[DIAS LAB]]*Tabla1[[#This Row],[SUE DIA]]</f>
        <v>3722.5</v>
      </c>
      <c r="L1081" s="168">
        <v>0</v>
      </c>
      <c r="M1081" s="198">
        <f>Tabla1[[#This Row],[HRS EXT]]*Tabla1[[#This Row],[SUE X HR]]</f>
        <v>0</v>
      </c>
      <c r="N1081" s="168">
        <v>0</v>
      </c>
      <c r="O1081" s="198">
        <f>Tabla1[[#This Row],[ASUETO]]*Tabla1[[#This Row],[SUE DIA]]</f>
        <v>0</v>
      </c>
      <c r="P1081" s="139">
        <f>IF(Tabla1[[#This Row],[FECHA ING]]&lt;$P$1007,365,_xlfn.DAYS($P$1008,Tabla1[[#This Row],[FECHA ING]])+1)</f>
        <v>365</v>
      </c>
      <c r="Q1081" s="198">
        <f>INT(30*(Tabla1[[#This Row],[FECHAS CONTB AGNLDO]]/365))</f>
        <v>30</v>
      </c>
      <c r="R1081" s="244">
        <f ca="1">IF($W$32=$W$26,Tabla1[[#This Row],[SUE DIA]]*Tabla1[[#This Row],[DIAS PAG AGNLDO]],0)</f>
        <v>0</v>
      </c>
      <c r="S1081" s="244">
        <f ca="1">(_xlfn.DAYS(TODAY(),Tabla1[[#This Row],[FECHA ING]])/365)</f>
        <v>2.3452054794520549</v>
      </c>
      <c r="T1081" s="244">
        <f ca="1">IF(Tabla1[[#This Row],[DIAS VAC]]&gt;1,Tabla1[[#This Row],[DIAS VAC]]-Tabla1[[#This Row],[ANTIG]],Tabla1[[#This Row],[DIAS VAC]])</f>
        <v>0.34520547945205493</v>
      </c>
      <c r="U1081" s="244">
        <f ca="1">Tabla1[[#This Row],[VALID ANTIG]]*Tabla1[[#This Row],[SUE DIA]]*Tabla1[[#This Row],[DIAS VAC PAG]]</f>
        <v>428.34246575342485</v>
      </c>
    </row>
    <row r="1082" spans="2:21" hidden="1" x14ac:dyDescent="0.25">
      <c r="B1082" s="243">
        <v>166</v>
      </c>
      <c r="C1082" s="140" t="str">
        <f>VLOOKUP(B1082,BDD[],2,0)</f>
        <v>David Adrian Puente Martinez</v>
      </c>
      <c r="D1082" s="140">
        <f>VLOOKUP(B1082,BDD[],3,0)</f>
        <v>7445</v>
      </c>
      <c r="E1082" s="140">
        <f>VLOOKUP(B1082,BDD[],4,0)</f>
        <v>248.16666666666666</v>
      </c>
      <c r="F1082" s="142">
        <f>VLOOKUP(B1082,BDD[],26,0)</f>
        <v>27.574074074074073</v>
      </c>
      <c r="G1082" s="268">
        <f>VLOOKUP(B1082,BDD[],6,0)</f>
        <v>43556</v>
      </c>
      <c r="H1082" s="139">
        <f ca="1">VLOOKUP(B1082,BDD[],7,0)</f>
        <v>3</v>
      </c>
      <c r="I1082" s="139">
        <f ca="1">VLOOKUP(B1082,BDD[],22,0)</f>
        <v>7</v>
      </c>
      <c r="J1082" s="168">
        <v>15</v>
      </c>
      <c r="K1082" s="139">
        <f>Tabla1[[#This Row],[DIAS LAB]]*Tabla1[[#This Row],[SUE DIA]]</f>
        <v>3722.5</v>
      </c>
      <c r="L1082" s="168">
        <v>0</v>
      </c>
      <c r="M1082" s="198">
        <f>Tabla1[[#This Row],[HRS EXT]]*Tabla1[[#This Row],[SUE X HR]]</f>
        <v>0</v>
      </c>
      <c r="N1082" s="168">
        <v>0</v>
      </c>
      <c r="O1082" s="198">
        <f>Tabla1[[#This Row],[ASUETO]]*Tabla1[[#This Row],[SUE DIA]]</f>
        <v>0</v>
      </c>
      <c r="P1082" s="139">
        <f>IF(Tabla1[[#This Row],[FECHA ING]]&lt;$P$1007,365,_xlfn.DAYS($P$1008,Tabla1[[#This Row],[FECHA ING]])+1)</f>
        <v>365</v>
      </c>
      <c r="Q1082" s="198">
        <f>INT(30*(Tabla1[[#This Row],[FECHAS CONTB AGNLDO]]/365))</f>
        <v>30</v>
      </c>
      <c r="R1082" s="244">
        <f ca="1">IF($W$32=$W$26,Tabla1[[#This Row],[SUE DIA]]*Tabla1[[#This Row],[DIAS PAG AGNLDO]],0)</f>
        <v>0</v>
      </c>
      <c r="S1082" s="244">
        <f ca="1">(_xlfn.DAYS(TODAY(),Tabla1[[#This Row],[FECHA ING]])/365)</f>
        <v>3.2986301369863016</v>
      </c>
      <c r="T1082" s="244">
        <f ca="1">IF(Tabla1[[#This Row],[DIAS VAC]]&gt;1,Tabla1[[#This Row],[DIAS VAC]]-Tabla1[[#This Row],[ANTIG]],Tabla1[[#This Row],[DIAS VAC]])</f>
        <v>0.29863013698630159</v>
      </c>
      <c r="U1082" s="244">
        <f ca="1">Tabla1[[#This Row],[VALID ANTIG]]*Tabla1[[#This Row],[SUE DIA]]*Tabla1[[#This Row],[DIAS VAC PAG]]</f>
        <v>518.77031963470358</v>
      </c>
    </row>
    <row r="1083" spans="2:21" hidden="1" x14ac:dyDescent="0.25">
      <c r="B1083" s="243">
        <v>167</v>
      </c>
      <c r="C1083" s="140" t="str">
        <f>VLOOKUP(B1083,BDD[],2,0)</f>
        <v>Dariana Arjona Herrera</v>
      </c>
      <c r="D1083" s="140">
        <f>VLOOKUP(B1083,BDD[],3,0)</f>
        <v>9450</v>
      </c>
      <c r="E1083" s="140">
        <f>VLOOKUP(B1083,BDD[],4,0)</f>
        <v>315</v>
      </c>
      <c r="F1083" s="142">
        <f>VLOOKUP(B1083,BDD[],26,0)</f>
        <v>35</v>
      </c>
      <c r="G1083" s="268">
        <f>VLOOKUP(B1083,BDD[],6,0)</f>
        <v>42461</v>
      </c>
      <c r="H1083" s="139">
        <f ca="1">VLOOKUP(B1083,BDD[],7,0)</f>
        <v>6</v>
      </c>
      <c r="I1083" s="139">
        <f ca="1">VLOOKUP(B1083,BDD[],22,0)</f>
        <v>8</v>
      </c>
      <c r="J1083" s="168">
        <v>15</v>
      </c>
      <c r="K1083" s="139">
        <f>Tabla1[[#This Row],[DIAS LAB]]*Tabla1[[#This Row],[SUE DIA]]</f>
        <v>4725</v>
      </c>
      <c r="L1083" s="168">
        <v>0</v>
      </c>
      <c r="M1083" s="198">
        <f>Tabla1[[#This Row],[HRS EXT]]*Tabla1[[#This Row],[SUE X HR]]</f>
        <v>0</v>
      </c>
      <c r="N1083" s="168">
        <v>0</v>
      </c>
      <c r="O1083" s="198">
        <f>Tabla1[[#This Row],[ASUETO]]*Tabla1[[#This Row],[SUE DIA]]</f>
        <v>0</v>
      </c>
      <c r="P1083" s="139">
        <f>IF(Tabla1[[#This Row],[FECHA ING]]&lt;$P$1007,365,_xlfn.DAYS($P$1008,Tabla1[[#This Row],[FECHA ING]])+1)</f>
        <v>365</v>
      </c>
      <c r="Q1083" s="198">
        <f>INT(30*(Tabla1[[#This Row],[FECHAS CONTB AGNLDO]]/365))</f>
        <v>30</v>
      </c>
      <c r="R1083" s="244">
        <f ca="1">IF($W$32=$W$26,Tabla1[[#This Row],[SUE DIA]]*Tabla1[[#This Row],[DIAS PAG AGNLDO]],0)</f>
        <v>0</v>
      </c>
      <c r="S1083" s="244">
        <f ca="1">(_xlfn.DAYS(TODAY(),Tabla1[[#This Row],[FECHA ING]])/365)</f>
        <v>6.2986301369863016</v>
      </c>
      <c r="T1083" s="244">
        <f ca="1">IF(Tabla1[[#This Row],[DIAS VAC]]&gt;1,Tabla1[[#This Row],[DIAS VAC]]-Tabla1[[#This Row],[ANTIG]],Tabla1[[#This Row],[DIAS VAC]])</f>
        <v>0.29863013698630159</v>
      </c>
      <c r="U1083" s="244">
        <f ca="1">Tabla1[[#This Row],[VALID ANTIG]]*Tabla1[[#This Row],[SUE DIA]]*Tabla1[[#This Row],[DIAS VAC PAG]]</f>
        <v>752.54794520548</v>
      </c>
    </row>
    <row r="1084" spans="2:21" hidden="1" x14ac:dyDescent="0.25">
      <c r="B1084" s="243">
        <v>168</v>
      </c>
      <c r="C1084" s="140" t="str">
        <f>VLOOKUP(B1084,BDD[],2,0)</f>
        <v>Cristian Tadeo Hernandez Quiroz</v>
      </c>
      <c r="D1084" s="140">
        <f>VLOOKUP(B1084,BDD[],3,0)</f>
        <v>9450</v>
      </c>
      <c r="E1084" s="140">
        <f>VLOOKUP(B1084,BDD[],4,0)</f>
        <v>315</v>
      </c>
      <c r="F1084" s="142">
        <f>VLOOKUP(B1084,BDD[],26,0)</f>
        <v>35</v>
      </c>
      <c r="G1084" s="268">
        <f>VLOOKUP(B1084,BDD[],6,0)</f>
        <v>42576</v>
      </c>
      <c r="H1084" s="139">
        <f ca="1">VLOOKUP(B1084,BDD[],7,0)</f>
        <v>5</v>
      </c>
      <c r="I1084" s="139">
        <f ca="1">VLOOKUP(B1084,BDD[],22,0)</f>
        <v>8</v>
      </c>
      <c r="J1084" s="168">
        <v>15</v>
      </c>
      <c r="K1084" s="139">
        <f>Tabla1[[#This Row],[DIAS LAB]]*Tabla1[[#This Row],[SUE DIA]]</f>
        <v>4725</v>
      </c>
      <c r="L1084" s="168">
        <v>0</v>
      </c>
      <c r="M1084" s="198">
        <f>Tabla1[[#This Row],[HRS EXT]]*Tabla1[[#This Row],[SUE X HR]]</f>
        <v>0</v>
      </c>
      <c r="N1084" s="168">
        <v>0</v>
      </c>
      <c r="O1084" s="198">
        <f>Tabla1[[#This Row],[ASUETO]]*Tabla1[[#This Row],[SUE DIA]]</f>
        <v>0</v>
      </c>
      <c r="P1084" s="139">
        <f>IF(Tabla1[[#This Row],[FECHA ING]]&lt;$P$1007,365,_xlfn.DAYS($P$1008,Tabla1[[#This Row],[FECHA ING]])+1)</f>
        <v>365</v>
      </c>
      <c r="Q1084" s="198">
        <f>INT(30*(Tabla1[[#This Row],[FECHAS CONTB AGNLDO]]/365))</f>
        <v>30</v>
      </c>
      <c r="R1084" s="244">
        <f ca="1">IF($W$32=$W$26,Tabla1[[#This Row],[SUE DIA]]*Tabla1[[#This Row],[DIAS PAG AGNLDO]],0)</f>
        <v>0</v>
      </c>
      <c r="S1084" s="244">
        <f ca="1">(_xlfn.DAYS(TODAY(),Tabla1[[#This Row],[FECHA ING]])/365)</f>
        <v>5.9835616438356167</v>
      </c>
      <c r="T1084" s="244">
        <f ca="1">IF(Tabla1[[#This Row],[DIAS VAC]]&gt;1,Tabla1[[#This Row],[DIAS VAC]]-Tabla1[[#This Row],[ANTIG]],Tabla1[[#This Row],[DIAS VAC]])</f>
        <v>0.98356164383561673</v>
      </c>
      <c r="U1084" s="244">
        <f ca="1">Tabla1[[#This Row],[VALID ANTIG]]*Tabla1[[#This Row],[SUE DIA]]*Tabla1[[#This Row],[DIAS VAC PAG]]</f>
        <v>2478.5753424657541</v>
      </c>
    </row>
    <row r="1085" spans="2:21" hidden="1" x14ac:dyDescent="0.25">
      <c r="B1085" s="243">
        <v>169</v>
      </c>
      <c r="C1085" s="140" t="str">
        <f>VLOOKUP(B1085,BDD[],2,0)</f>
        <v>Cecilia Balderrama Castillo</v>
      </c>
      <c r="D1085" s="140">
        <f>VLOOKUP(B1085,BDD[],3,0)</f>
        <v>7445</v>
      </c>
      <c r="E1085" s="140">
        <f>VLOOKUP(B1085,BDD[],4,0)</f>
        <v>248.16666666666666</v>
      </c>
      <c r="F1085" s="142">
        <f>VLOOKUP(B1085,BDD[],26,0)</f>
        <v>27.574074074074073</v>
      </c>
      <c r="G1085" s="268">
        <f>VLOOKUP(B1085,BDD[],6,0)</f>
        <v>43626</v>
      </c>
      <c r="H1085" s="139">
        <f ca="1">VLOOKUP(B1085,BDD[],7,0)</f>
        <v>3</v>
      </c>
      <c r="I1085" s="139">
        <f ca="1">VLOOKUP(B1085,BDD[],22,0)</f>
        <v>7</v>
      </c>
      <c r="J1085" s="168">
        <v>15</v>
      </c>
      <c r="K1085" s="139">
        <f>Tabla1[[#This Row],[DIAS LAB]]*Tabla1[[#This Row],[SUE DIA]]</f>
        <v>3722.5</v>
      </c>
      <c r="L1085" s="168">
        <v>0</v>
      </c>
      <c r="M1085" s="198">
        <f>Tabla1[[#This Row],[HRS EXT]]*Tabla1[[#This Row],[SUE X HR]]</f>
        <v>0</v>
      </c>
      <c r="N1085" s="168">
        <v>0</v>
      </c>
      <c r="O1085" s="198">
        <f>Tabla1[[#This Row],[ASUETO]]*Tabla1[[#This Row],[SUE DIA]]</f>
        <v>0</v>
      </c>
      <c r="P1085" s="139">
        <f>IF(Tabla1[[#This Row],[FECHA ING]]&lt;$P$1007,365,_xlfn.DAYS($P$1008,Tabla1[[#This Row],[FECHA ING]])+1)</f>
        <v>365</v>
      </c>
      <c r="Q1085" s="198">
        <f>INT(30*(Tabla1[[#This Row],[FECHAS CONTB AGNLDO]]/365))</f>
        <v>30</v>
      </c>
      <c r="R1085" s="244">
        <f ca="1">IF($W$32=$W$26,Tabla1[[#This Row],[SUE DIA]]*Tabla1[[#This Row],[DIAS PAG AGNLDO]],0)</f>
        <v>0</v>
      </c>
      <c r="S1085" s="244">
        <f ca="1">(_xlfn.DAYS(TODAY(),Tabla1[[#This Row],[FECHA ING]])/365)</f>
        <v>3.106849315068493</v>
      </c>
      <c r="T1085" s="244">
        <f ca="1">IF(Tabla1[[#This Row],[DIAS VAC]]&gt;1,Tabla1[[#This Row],[DIAS VAC]]-Tabla1[[#This Row],[ANTIG]],Tabla1[[#This Row],[DIAS VAC]])</f>
        <v>0.10684931506849304</v>
      </c>
      <c r="U1085" s="244">
        <f ca="1">Tabla1[[#This Row],[VALID ANTIG]]*Tabla1[[#This Row],[SUE DIA]]*Tabla1[[#This Row],[DIAS VAC PAG]]</f>
        <v>185.61506849315049</v>
      </c>
    </row>
    <row r="1086" spans="2:21" hidden="1" x14ac:dyDescent="0.25">
      <c r="B1086" s="243">
        <v>170</v>
      </c>
      <c r="C1086" s="140" t="str">
        <f>VLOOKUP(B1086,BDD[],2,0)</f>
        <v>Brisseidy Guadalupe García Cortes</v>
      </c>
      <c r="D1086" s="140">
        <f>VLOOKUP(B1086,BDD[],3,0)</f>
        <v>7445</v>
      </c>
      <c r="E1086" s="140">
        <f>VLOOKUP(B1086,BDD[],4,0)</f>
        <v>248.16666666666666</v>
      </c>
      <c r="F1086" s="142">
        <f>VLOOKUP(B1086,BDD[],26,0)</f>
        <v>27.574074074074073</v>
      </c>
      <c r="G1086" s="268">
        <f>VLOOKUP(B1086,BDD[],6,0)</f>
        <v>43357</v>
      </c>
      <c r="H1086" s="139">
        <f ca="1">VLOOKUP(B1086,BDD[],7,0)</f>
        <v>3</v>
      </c>
      <c r="I1086" s="139">
        <f ca="1">VLOOKUP(B1086,BDD[],22,0)</f>
        <v>7</v>
      </c>
      <c r="J1086" s="168">
        <v>15</v>
      </c>
      <c r="K1086" s="139">
        <f>Tabla1[[#This Row],[DIAS LAB]]*Tabla1[[#This Row],[SUE DIA]]</f>
        <v>3722.5</v>
      </c>
      <c r="L1086" s="168">
        <v>0</v>
      </c>
      <c r="M1086" s="198">
        <f>Tabla1[[#This Row],[HRS EXT]]*Tabla1[[#This Row],[SUE X HR]]</f>
        <v>0</v>
      </c>
      <c r="N1086" s="168">
        <v>0</v>
      </c>
      <c r="O1086" s="198">
        <f>Tabla1[[#This Row],[ASUETO]]*Tabla1[[#This Row],[SUE DIA]]</f>
        <v>0</v>
      </c>
      <c r="P1086" s="139">
        <f>IF(Tabla1[[#This Row],[FECHA ING]]&lt;$P$1007,365,_xlfn.DAYS($P$1008,Tabla1[[#This Row],[FECHA ING]])+1)</f>
        <v>365</v>
      </c>
      <c r="Q1086" s="198">
        <f>INT(30*(Tabla1[[#This Row],[FECHAS CONTB AGNLDO]]/365))</f>
        <v>30</v>
      </c>
      <c r="R1086" s="244">
        <f ca="1">IF($W$32=$W$26,Tabla1[[#This Row],[SUE DIA]]*Tabla1[[#This Row],[DIAS PAG AGNLDO]],0)</f>
        <v>0</v>
      </c>
      <c r="S1086" s="244">
        <f ca="1">(_xlfn.DAYS(TODAY(),Tabla1[[#This Row],[FECHA ING]])/365)</f>
        <v>3.8438356164383563</v>
      </c>
      <c r="T1086" s="244">
        <f ca="1">IF(Tabla1[[#This Row],[DIAS VAC]]&gt;1,Tabla1[[#This Row],[DIAS VAC]]-Tabla1[[#This Row],[ANTIG]],Tabla1[[#This Row],[DIAS VAC]])</f>
        <v>0.84383561643835625</v>
      </c>
      <c r="U1086" s="244">
        <f ca="1">Tabla1[[#This Row],[VALID ANTIG]]*Tabla1[[#This Row],[SUE DIA]]*Tabla1[[#This Row],[DIAS VAC PAG]]</f>
        <v>1465.8831050228312</v>
      </c>
    </row>
    <row r="1087" spans="2:21" hidden="1" x14ac:dyDescent="0.25">
      <c r="B1087" s="243">
        <v>171</v>
      </c>
      <c r="C1087" s="140" t="str">
        <f>VLOOKUP(B1087,BDD[],2,0)</f>
        <v>Angel Mario Castillo Aleman</v>
      </c>
      <c r="D1087" s="140">
        <f>VLOOKUP(B1087,BDD[],3,0)</f>
        <v>9541</v>
      </c>
      <c r="E1087" s="140">
        <f>VLOOKUP(B1087,BDD[],4,0)</f>
        <v>318.03333333333336</v>
      </c>
      <c r="F1087" s="142">
        <f>VLOOKUP(B1087,BDD[],26,0)</f>
        <v>35.337037037037042</v>
      </c>
      <c r="G1087" s="268">
        <f>VLOOKUP(B1087,BDD[],6,0)</f>
        <v>42328</v>
      </c>
      <c r="H1087" s="139">
        <f ca="1">VLOOKUP(B1087,BDD[],7,0)</f>
        <v>6</v>
      </c>
      <c r="I1087" s="139">
        <f ca="1">VLOOKUP(B1087,BDD[],22,0)</f>
        <v>8</v>
      </c>
      <c r="J1087" s="168">
        <v>15</v>
      </c>
      <c r="K1087" s="139">
        <f>Tabla1[[#This Row],[DIAS LAB]]*Tabla1[[#This Row],[SUE DIA]]</f>
        <v>4770.5</v>
      </c>
      <c r="L1087" s="168">
        <v>0</v>
      </c>
      <c r="M1087" s="198">
        <f>Tabla1[[#This Row],[HRS EXT]]*Tabla1[[#This Row],[SUE X HR]]</f>
        <v>0</v>
      </c>
      <c r="N1087" s="168">
        <v>0</v>
      </c>
      <c r="O1087" s="198">
        <f>Tabla1[[#This Row],[ASUETO]]*Tabla1[[#This Row],[SUE DIA]]</f>
        <v>0</v>
      </c>
      <c r="P1087" s="139">
        <f>IF(Tabla1[[#This Row],[FECHA ING]]&lt;$P$1007,365,_xlfn.DAYS($P$1008,Tabla1[[#This Row],[FECHA ING]])+1)</f>
        <v>365</v>
      </c>
      <c r="Q1087" s="198">
        <f>INT(30*(Tabla1[[#This Row],[FECHAS CONTB AGNLDO]]/365))</f>
        <v>30</v>
      </c>
      <c r="R1087" s="244">
        <f ca="1">IF($W$32=$W$26,Tabla1[[#This Row],[SUE DIA]]*Tabla1[[#This Row],[DIAS PAG AGNLDO]],0)</f>
        <v>0</v>
      </c>
      <c r="S1087" s="244">
        <f ca="1">(_xlfn.DAYS(TODAY(),Tabla1[[#This Row],[FECHA ING]])/365)</f>
        <v>6.6630136986301371</v>
      </c>
      <c r="T1087" s="244">
        <f ca="1">IF(Tabla1[[#This Row],[DIAS VAC]]&gt;1,Tabla1[[#This Row],[DIAS VAC]]-Tabla1[[#This Row],[ANTIG]],Tabla1[[#This Row],[DIAS VAC]])</f>
        <v>0.66301369863013715</v>
      </c>
      <c r="U1087" s="244">
        <f ca="1">Tabla1[[#This Row],[VALID ANTIG]]*Tabla1[[#This Row],[SUE DIA]]*Tabla1[[#This Row],[DIAS VAC PAG]]</f>
        <v>1686.883652968037</v>
      </c>
    </row>
    <row r="1088" spans="2:21" hidden="1" x14ac:dyDescent="0.25">
      <c r="B1088" s="243">
        <v>172</v>
      </c>
      <c r="C1088" s="140" t="str">
        <f>VLOOKUP(B1088,BDD[],2,0)</f>
        <v>Angel Gerardo Morales Pereyra</v>
      </c>
      <c r="D1088" s="140">
        <f>VLOOKUP(B1088,BDD[],3,0)</f>
        <v>7445</v>
      </c>
      <c r="E1088" s="140">
        <f>VLOOKUP(B1088,BDD[],4,0)</f>
        <v>248.16666666666666</v>
      </c>
      <c r="F1088" s="142">
        <f>VLOOKUP(B1088,BDD[],26,0)</f>
        <v>27.574074074074073</v>
      </c>
      <c r="G1088" s="268">
        <f>VLOOKUP(B1088,BDD[],6,0)</f>
        <v>43268</v>
      </c>
      <c r="H1088" s="139">
        <f ca="1">VLOOKUP(B1088,BDD[],7,0)</f>
        <v>4</v>
      </c>
      <c r="I1088" s="139">
        <f ca="1">VLOOKUP(B1088,BDD[],22,0)</f>
        <v>7</v>
      </c>
      <c r="J1088" s="168">
        <v>15</v>
      </c>
      <c r="K1088" s="139">
        <f>Tabla1[[#This Row],[DIAS LAB]]*Tabla1[[#This Row],[SUE DIA]]</f>
        <v>3722.5</v>
      </c>
      <c r="L1088" s="168">
        <v>0</v>
      </c>
      <c r="M1088" s="198">
        <f>Tabla1[[#This Row],[HRS EXT]]*Tabla1[[#This Row],[SUE X HR]]</f>
        <v>0</v>
      </c>
      <c r="N1088" s="168">
        <v>0</v>
      </c>
      <c r="O1088" s="198">
        <f>Tabla1[[#This Row],[ASUETO]]*Tabla1[[#This Row],[SUE DIA]]</f>
        <v>0</v>
      </c>
      <c r="P1088" s="139">
        <f>IF(Tabla1[[#This Row],[FECHA ING]]&lt;$P$1007,365,_xlfn.DAYS($P$1008,Tabla1[[#This Row],[FECHA ING]])+1)</f>
        <v>365</v>
      </c>
      <c r="Q1088" s="198">
        <f>INT(30*(Tabla1[[#This Row],[FECHAS CONTB AGNLDO]]/365))</f>
        <v>30</v>
      </c>
      <c r="R1088" s="244">
        <f ca="1">IF($W$32=$W$26,Tabla1[[#This Row],[SUE DIA]]*Tabla1[[#This Row],[DIAS PAG AGNLDO]],0)</f>
        <v>0</v>
      </c>
      <c r="S1088" s="244">
        <f ca="1">(_xlfn.DAYS(TODAY(),Tabla1[[#This Row],[FECHA ING]])/365)</f>
        <v>4.087671232876712</v>
      </c>
      <c r="T1088" s="244">
        <f ca="1">IF(Tabla1[[#This Row],[DIAS VAC]]&gt;1,Tabla1[[#This Row],[DIAS VAC]]-Tabla1[[#This Row],[ANTIG]],Tabla1[[#This Row],[DIAS VAC]])</f>
        <v>8.7671232876711969E-2</v>
      </c>
      <c r="U1088" s="244">
        <f ca="1">Tabla1[[#This Row],[VALID ANTIG]]*Tabla1[[#This Row],[SUE DIA]]*Tabla1[[#This Row],[DIAS VAC PAG]]</f>
        <v>152.29954337899483</v>
      </c>
    </row>
    <row r="1089" spans="2:21" hidden="1" x14ac:dyDescent="0.25">
      <c r="B1089" s="243">
        <v>174</v>
      </c>
      <c r="C1089" s="140" t="str">
        <f>VLOOKUP(B1089,BDD[],2,0)</f>
        <v>Abad Gomez Pecorelli</v>
      </c>
      <c r="D1089" s="140">
        <f>VLOOKUP(B1089,BDD[],3,0)</f>
        <v>7950</v>
      </c>
      <c r="E1089" s="140">
        <f>VLOOKUP(B1089,BDD[],4,0)</f>
        <v>265</v>
      </c>
      <c r="F1089" s="142">
        <f>VLOOKUP(B1089,BDD[],26,0)</f>
        <v>29.444444444444443</v>
      </c>
      <c r="G1089" s="268">
        <f>VLOOKUP(B1089,BDD[],6,0)</f>
        <v>44562</v>
      </c>
      <c r="H1089" s="139">
        <f ca="1">VLOOKUP(B1089,BDD[],7,0)</f>
        <v>0</v>
      </c>
      <c r="I1089" s="139">
        <f ca="1">VLOOKUP(B1089,BDD[],22,0)</f>
        <v>3</v>
      </c>
      <c r="J1089" s="168">
        <v>15</v>
      </c>
      <c r="K1089" s="139">
        <f>Tabla1[[#This Row],[DIAS LAB]]*Tabla1[[#This Row],[SUE DIA]]</f>
        <v>3975</v>
      </c>
      <c r="L1089" s="168">
        <v>0</v>
      </c>
      <c r="M1089" s="198">
        <f>Tabla1[[#This Row],[HRS EXT]]*Tabla1[[#This Row],[SUE X HR]]</f>
        <v>0</v>
      </c>
      <c r="N1089" s="168">
        <v>0</v>
      </c>
      <c r="O1089" s="198">
        <f>Tabla1[[#This Row],[ASUETO]]*Tabla1[[#This Row],[SUE DIA]]</f>
        <v>0</v>
      </c>
      <c r="P1089" s="139">
        <f ca="1">IF(Tabla1[[#This Row],[FECHA ING]]&lt;$P$1007,365,_xlfn.DAYS($P$1008,Tabla1[[#This Row],[FECHA ING]])+1)</f>
        <v>365</v>
      </c>
      <c r="Q1089" s="198">
        <f ca="1">INT(30*(Tabla1[[#This Row],[FECHAS CONTB AGNLDO]]/365))</f>
        <v>30</v>
      </c>
      <c r="R1089" s="244">
        <f ca="1">IF($W$32=$W$26,Tabla1[[#This Row],[SUE DIA]]*Tabla1[[#This Row],[DIAS PAG AGNLDO]],0)</f>
        <v>0</v>
      </c>
      <c r="S1089" s="244">
        <f ca="1">(_xlfn.DAYS(TODAY(),Tabla1[[#This Row],[FECHA ING]])/365)</f>
        <v>0.54246575342465753</v>
      </c>
      <c r="T1089" s="244">
        <f ca="1">IF(Tabla1[[#This Row],[DIAS VAC]]&gt;1,Tabla1[[#This Row],[DIAS VAC]]-Tabla1[[#This Row],[ANTIG]],Tabla1[[#This Row],[DIAS VAC]])</f>
        <v>0.54246575342465753</v>
      </c>
      <c r="U1089" s="244">
        <f ca="1">Tabla1[[#This Row],[VALID ANTIG]]*Tabla1[[#This Row],[SUE DIA]]*Tabla1[[#This Row],[DIAS VAC PAG]]</f>
        <v>431.26027397260276</v>
      </c>
    </row>
    <row r="1090" spans="2:21" hidden="1" x14ac:dyDescent="0.25">
      <c r="B1090" s="243">
        <v>175</v>
      </c>
      <c r="C1090" s="140" t="str">
        <f>VLOOKUP(B1090,BDD[],2,0)</f>
        <v>Mixari Giovanna Ruiz Contreras</v>
      </c>
      <c r="D1090" s="140">
        <f>VLOOKUP(B1090,BDD[],3,0)</f>
        <v>27150</v>
      </c>
      <c r="E1090" s="140">
        <f>VLOOKUP(B1090,BDD[],4,0)</f>
        <v>905</v>
      </c>
      <c r="F1090" s="142">
        <f>VLOOKUP(B1090,BDD[],26,0)</f>
        <v>100.55555555555556</v>
      </c>
      <c r="G1090" s="268">
        <f>VLOOKUP(B1090,BDD[],6,0)</f>
        <v>41408</v>
      </c>
      <c r="H1090" s="139">
        <f ca="1">VLOOKUP(B1090,BDD[],7,0)</f>
        <v>9</v>
      </c>
      <c r="I1090" s="139">
        <f ca="1">VLOOKUP(B1090,BDD[],22,0)</f>
        <v>8</v>
      </c>
      <c r="J1090" s="168">
        <v>15</v>
      </c>
      <c r="K1090" s="139">
        <f>Tabla1[[#This Row],[DIAS LAB]]*Tabla1[[#This Row],[SUE DIA]]</f>
        <v>13575</v>
      </c>
      <c r="L1090" s="168">
        <v>0</v>
      </c>
      <c r="M1090" s="198">
        <f>Tabla1[[#This Row],[HRS EXT]]*Tabla1[[#This Row],[SUE X HR]]</f>
        <v>0</v>
      </c>
      <c r="N1090" s="168">
        <v>0</v>
      </c>
      <c r="O1090" s="198">
        <f>Tabla1[[#This Row],[ASUETO]]*Tabla1[[#This Row],[SUE DIA]]</f>
        <v>0</v>
      </c>
      <c r="P1090" s="139">
        <f>IF(Tabla1[[#This Row],[FECHA ING]]&lt;$P$1007,365,_xlfn.DAYS($P$1008,Tabla1[[#This Row],[FECHA ING]])+1)</f>
        <v>365</v>
      </c>
      <c r="Q1090" s="198">
        <f>INT(30*(Tabla1[[#This Row],[FECHAS CONTB AGNLDO]]/365))</f>
        <v>30</v>
      </c>
      <c r="R1090" s="244">
        <f ca="1">IF($W$32=$W$26,Tabla1[[#This Row],[SUE DIA]]*Tabla1[[#This Row],[DIAS PAG AGNLDO]],0)</f>
        <v>0</v>
      </c>
      <c r="S1090" s="244">
        <f ca="1">(_xlfn.DAYS(TODAY(),Tabla1[[#This Row],[FECHA ING]])/365)</f>
        <v>9.1835616438356169</v>
      </c>
      <c r="T1090" s="244">
        <f ca="1">IF(Tabla1[[#This Row],[DIAS VAC]]&gt;1,Tabla1[[#This Row],[DIAS VAC]]-Tabla1[[#This Row],[ANTIG]],Tabla1[[#This Row],[DIAS VAC]])</f>
        <v>0.18356164383561691</v>
      </c>
      <c r="U1090" s="244">
        <f ca="1">Tabla1[[#This Row],[VALID ANTIG]]*Tabla1[[#This Row],[SUE DIA]]*Tabla1[[#This Row],[DIAS VAC PAG]]</f>
        <v>1328.9863013698664</v>
      </c>
    </row>
    <row r="1091" spans="2:21" hidden="1" x14ac:dyDescent="0.25">
      <c r="B1091" s="243">
        <v>177</v>
      </c>
      <c r="C1091" s="140" t="str">
        <f>VLOOKUP(B1091,BDD[],2,0)</f>
        <v>Angélica Lizbeth Guerrero Estanislao</v>
      </c>
      <c r="D1091" s="140">
        <f>VLOOKUP(B1091,BDD[],3,0)</f>
        <v>27150</v>
      </c>
      <c r="E1091" s="140">
        <f>VLOOKUP(B1091,BDD[],4,0)</f>
        <v>905</v>
      </c>
      <c r="F1091" s="142">
        <f>VLOOKUP(B1091,BDD[],26,0)</f>
        <v>100.55555555555556</v>
      </c>
      <c r="G1091" s="268">
        <f>VLOOKUP(B1091,BDD[],6,0)</f>
        <v>44038</v>
      </c>
      <c r="H1091" s="139">
        <f ca="1">VLOOKUP(B1091,BDD[],7,0)</f>
        <v>1</v>
      </c>
      <c r="I1091" s="139">
        <f ca="1">VLOOKUP(B1091,BDD[],22,0)</f>
        <v>5</v>
      </c>
      <c r="J1091" s="168">
        <v>15</v>
      </c>
      <c r="K1091" s="139">
        <f>Tabla1[[#This Row],[DIAS LAB]]*Tabla1[[#This Row],[SUE DIA]]</f>
        <v>13575</v>
      </c>
      <c r="L1091" s="168">
        <v>0</v>
      </c>
      <c r="M1091" s="198">
        <f>Tabla1[[#This Row],[HRS EXT]]*Tabla1[[#This Row],[SUE X HR]]</f>
        <v>0</v>
      </c>
      <c r="N1091" s="168">
        <v>0</v>
      </c>
      <c r="O1091" s="198">
        <f>Tabla1[[#This Row],[ASUETO]]*Tabla1[[#This Row],[SUE DIA]]</f>
        <v>0</v>
      </c>
      <c r="P1091" s="139">
        <f>IF(Tabla1[[#This Row],[FECHA ING]]&lt;$P$1007,365,_xlfn.DAYS($P$1008,Tabla1[[#This Row],[FECHA ING]])+1)</f>
        <v>365</v>
      </c>
      <c r="Q1091" s="198">
        <f>INT(30*(Tabla1[[#This Row],[FECHAS CONTB AGNLDO]]/365))</f>
        <v>30</v>
      </c>
      <c r="R1091" s="244">
        <f ca="1">IF($W$32=$W$26,Tabla1[[#This Row],[SUE DIA]]*Tabla1[[#This Row],[DIAS PAG AGNLDO]],0)</f>
        <v>0</v>
      </c>
      <c r="S1091" s="244">
        <f ca="1">(_xlfn.DAYS(TODAY(),Tabla1[[#This Row],[FECHA ING]])/365)</f>
        <v>1.978082191780822</v>
      </c>
      <c r="T1091" s="244">
        <f ca="1">IF(Tabla1[[#This Row],[DIAS VAC]]&gt;1,Tabla1[[#This Row],[DIAS VAC]]-Tabla1[[#This Row],[ANTIG]],Tabla1[[#This Row],[DIAS VAC]])</f>
        <v>0.97808219178082201</v>
      </c>
      <c r="U1091" s="244">
        <f ca="1">Tabla1[[#This Row],[VALID ANTIG]]*Tabla1[[#This Row],[SUE DIA]]*Tabla1[[#This Row],[DIAS VAC PAG]]</f>
        <v>4425.82191780822</v>
      </c>
    </row>
    <row r="1092" spans="2:21" hidden="1" x14ac:dyDescent="0.25">
      <c r="B1092" s="243">
        <v>178</v>
      </c>
      <c r="C1092" s="140" t="str">
        <f>VLOOKUP(B1092,BDD[],2,0)</f>
        <v>Nallely Guadalupe Guerrero Estanislao</v>
      </c>
      <c r="D1092" s="140">
        <f>VLOOKUP(B1092,BDD[],3,0)</f>
        <v>22200</v>
      </c>
      <c r="E1092" s="140">
        <f>VLOOKUP(B1092,BDD[],4,0)</f>
        <v>740</v>
      </c>
      <c r="F1092" s="142">
        <f>VLOOKUP(B1092,BDD[],26,0)</f>
        <v>82.222222222222229</v>
      </c>
      <c r="G1092" s="268">
        <f>VLOOKUP(B1092,BDD[],6,0)</f>
        <v>44037</v>
      </c>
      <c r="H1092" s="139">
        <f ca="1">VLOOKUP(B1092,BDD[],7,0)</f>
        <v>1</v>
      </c>
      <c r="I1092" s="139">
        <f ca="1">VLOOKUP(B1092,BDD[],22,0)</f>
        <v>5</v>
      </c>
      <c r="J1092" s="168">
        <v>15</v>
      </c>
      <c r="K1092" s="139">
        <f>Tabla1[[#This Row],[DIAS LAB]]*Tabla1[[#This Row],[SUE DIA]]</f>
        <v>11100</v>
      </c>
      <c r="L1092" s="168">
        <v>0</v>
      </c>
      <c r="M1092" s="198">
        <f>Tabla1[[#This Row],[HRS EXT]]*Tabla1[[#This Row],[SUE X HR]]</f>
        <v>0</v>
      </c>
      <c r="N1092" s="168">
        <v>0</v>
      </c>
      <c r="O1092" s="198">
        <f>Tabla1[[#This Row],[ASUETO]]*Tabla1[[#This Row],[SUE DIA]]</f>
        <v>0</v>
      </c>
      <c r="P1092" s="139">
        <f>IF(Tabla1[[#This Row],[FECHA ING]]&lt;$P$1007,365,_xlfn.DAYS($P$1008,Tabla1[[#This Row],[FECHA ING]])+1)</f>
        <v>365</v>
      </c>
      <c r="Q1092" s="198">
        <f>INT(30*(Tabla1[[#This Row],[FECHAS CONTB AGNLDO]]/365))</f>
        <v>30</v>
      </c>
      <c r="R1092" s="244">
        <f ca="1">IF($W$32=$W$26,Tabla1[[#This Row],[SUE DIA]]*Tabla1[[#This Row],[DIAS PAG AGNLDO]],0)</f>
        <v>0</v>
      </c>
      <c r="S1092" s="244">
        <f ca="1">(_xlfn.DAYS(TODAY(),Tabla1[[#This Row],[FECHA ING]])/365)</f>
        <v>1.9808219178082191</v>
      </c>
      <c r="T1092" s="244">
        <f ca="1">IF(Tabla1[[#This Row],[DIAS VAC]]&gt;1,Tabla1[[#This Row],[DIAS VAC]]-Tabla1[[#This Row],[ANTIG]],Tabla1[[#This Row],[DIAS VAC]])</f>
        <v>0.98082191780821915</v>
      </c>
      <c r="U1092" s="244">
        <f ca="1">Tabla1[[#This Row],[VALID ANTIG]]*Tabla1[[#This Row],[SUE DIA]]*Tabla1[[#This Row],[DIAS VAC PAG]]</f>
        <v>3629.0410958904108</v>
      </c>
    </row>
    <row r="1093" spans="2:21" hidden="1" x14ac:dyDescent="0.25">
      <c r="B1093" s="243">
        <v>179</v>
      </c>
      <c r="C1093" s="140" t="str">
        <f>VLOOKUP(B1093,BDD[],2,0)</f>
        <v>Antonio Martinez Manriquez</v>
      </c>
      <c r="D1093" s="140">
        <f>VLOOKUP(B1093,BDD[],3,0)</f>
        <v>27150</v>
      </c>
      <c r="E1093" s="140">
        <f>VLOOKUP(B1093,BDD[],4,0)</f>
        <v>905</v>
      </c>
      <c r="F1093" s="142">
        <f>VLOOKUP(B1093,BDD[],26,0)</f>
        <v>100.55555555555556</v>
      </c>
      <c r="G1093" s="268">
        <f>VLOOKUP(B1093,BDD[],6,0)</f>
        <v>40383</v>
      </c>
      <c r="H1093" s="139">
        <f ca="1">VLOOKUP(B1093,BDD[],7,0)</f>
        <v>11</v>
      </c>
      <c r="I1093" s="139">
        <f ca="1">VLOOKUP(B1093,BDD[],22,0)</f>
        <v>10</v>
      </c>
      <c r="J1093" s="168">
        <v>15</v>
      </c>
      <c r="K1093" s="139">
        <f>Tabla1[[#This Row],[DIAS LAB]]*Tabla1[[#This Row],[SUE DIA]]</f>
        <v>13575</v>
      </c>
      <c r="L1093" s="168">
        <v>0</v>
      </c>
      <c r="M1093" s="198">
        <f>Tabla1[[#This Row],[HRS EXT]]*Tabla1[[#This Row],[SUE X HR]]</f>
        <v>0</v>
      </c>
      <c r="N1093" s="168">
        <v>0</v>
      </c>
      <c r="O1093" s="198">
        <f>Tabla1[[#This Row],[ASUETO]]*Tabla1[[#This Row],[SUE DIA]]</f>
        <v>0</v>
      </c>
      <c r="P1093" s="139">
        <f>IF(Tabla1[[#This Row],[FECHA ING]]&lt;$P$1007,365,_xlfn.DAYS($P$1008,Tabla1[[#This Row],[FECHA ING]])+1)</f>
        <v>365</v>
      </c>
      <c r="Q1093" s="198">
        <f>INT(30*(Tabla1[[#This Row],[FECHAS CONTB AGNLDO]]/365))</f>
        <v>30</v>
      </c>
      <c r="R1093" s="244">
        <f ca="1">IF($W$32=$W$26,Tabla1[[#This Row],[SUE DIA]]*Tabla1[[#This Row],[DIAS PAG AGNLDO]],0)</f>
        <v>0</v>
      </c>
      <c r="S1093" s="244">
        <f ca="1">(_xlfn.DAYS(TODAY(),Tabla1[[#This Row],[FECHA ING]])/365)</f>
        <v>11.991780821917809</v>
      </c>
      <c r="T1093" s="244">
        <f ca="1">IF(Tabla1[[#This Row],[DIAS VAC]]&gt;1,Tabla1[[#This Row],[DIAS VAC]]-Tabla1[[#This Row],[ANTIG]],Tabla1[[#This Row],[DIAS VAC]])</f>
        <v>0.99178082191780881</v>
      </c>
      <c r="U1093" s="244">
        <f ca="1">Tabla1[[#This Row],[VALID ANTIG]]*Tabla1[[#This Row],[SUE DIA]]*Tabla1[[#This Row],[DIAS VAC PAG]]</f>
        <v>8975.61643835617</v>
      </c>
    </row>
    <row r="1094" spans="2:21" hidden="1" x14ac:dyDescent="0.25">
      <c r="B1094" s="243">
        <v>180</v>
      </c>
      <c r="C1094" s="140" t="str">
        <f>VLOOKUP(B1094,BDD[],2,0)</f>
        <v>Nallely Patricia Vázquez Vargas</v>
      </c>
      <c r="D1094" s="140">
        <f>VLOOKUP(B1094,BDD[],3,0)</f>
        <v>7445</v>
      </c>
      <c r="E1094" s="140">
        <f>VLOOKUP(B1094,BDD[],4,0)</f>
        <v>248.16666666666666</v>
      </c>
      <c r="F1094" s="142">
        <f>VLOOKUP(B1094,BDD[],26,0)</f>
        <v>27.574074074074073</v>
      </c>
      <c r="G1094" s="268">
        <f>VLOOKUP(B1094,BDD[],6,0)</f>
        <v>43874</v>
      </c>
      <c r="H1094" s="139">
        <f ca="1">VLOOKUP(B1094,BDD[],7,0)</f>
        <v>2</v>
      </c>
      <c r="I1094" s="139">
        <f ca="1">VLOOKUP(B1094,BDD[],22,0)</f>
        <v>5</v>
      </c>
      <c r="J1094" s="168">
        <v>15</v>
      </c>
      <c r="K1094" s="139">
        <f>Tabla1[[#This Row],[DIAS LAB]]*Tabla1[[#This Row],[SUE DIA]]</f>
        <v>3722.5</v>
      </c>
      <c r="L1094" s="168">
        <v>0</v>
      </c>
      <c r="M1094" s="198">
        <f>Tabla1[[#This Row],[HRS EXT]]*Tabla1[[#This Row],[SUE X HR]]</f>
        <v>0</v>
      </c>
      <c r="N1094" s="168">
        <v>0</v>
      </c>
      <c r="O1094" s="198">
        <f>Tabla1[[#This Row],[ASUETO]]*Tabla1[[#This Row],[SUE DIA]]</f>
        <v>0</v>
      </c>
      <c r="P1094" s="139">
        <f>IF(Tabla1[[#This Row],[FECHA ING]]&lt;$P$1007,365,_xlfn.DAYS($P$1008,Tabla1[[#This Row],[FECHA ING]])+1)</f>
        <v>365</v>
      </c>
      <c r="Q1094" s="198">
        <f>INT(30*(Tabla1[[#This Row],[FECHAS CONTB AGNLDO]]/365))</f>
        <v>30</v>
      </c>
      <c r="R1094" s="244">
        <f ca="1">IF($W$32=$W$26,Tabla1[[#This Row],[SUE DIA]]*Tabla1[[#This Row],[DIAS PAG AGNLDO]],0)</f>
        <v>0</v>
      </c>
      <c r="S1094" s="244">
        <f ca="1">(_xlfn.DAYS(TODAY(),Tabla1[[#This Row],[FECHA ING]])/365)</f>
        <v>2.4273972602739726</v>
      </c>
      <c r="T1094" s="244">
        <f ca="1">IF(Tabla1[[#This Row],[DIAS VAC]]&gt;1,Tabla1[[#This Row],[DIAS VAC]]-Tabla1[[#This Row],[ANTIG]],Tabla1[[#This Row],[DIAS VAC]])</f>
        <v>0.42739726027397262</v>
      </c>
      <c r="U1094" s="244">
        <f ca="1">Tabla1[[#This Row],[VALID ANTIG]]*Tabla1[[#This Row],[SUE DIA]]*Tabla1[[#This Row],[DIAS VAC PAG]]</f>
        <v>530.32876712328766</v>
      </c>
    </row>
    <row r="1095" spans="2:21" hidden="1" x14ac:dyDescent="0.25">
      <c r="B1095" s="243">
        <v>182</v>
      </c>
      <c r="C1095" s="140" t="str">
        <f>VLOOKUP(B1095,BDD[],2,0)</f>
        <v>Lucero Cedillo Tovar</v>
      </c>
      <c r="D1095" s="140">
        <f>VLOOKUP(B1095,BDD[],3,0)</f>
        <v>7445</v>
      </c>
      <c r="E1095" s="140">
        <f>VLOOKUP(B1095,BDD[],4,0)</f>
        <v>248.16666666666666</v>
      </c>
      <c r="F1095" s="142">
        <f>VLOOKUP(B1095,BDD[],26,0)</f>
        <v>27.574074074074073</v>
      </c>
      <c r="G1095" s="268">
        <f>VLOOKUP(B1095,BDD[],6,0)</f>
        <v>43356</v>
      </c>
      <c r="H1095" s="139">
        <f ca="1">VLOOKUP(B1095,BDD[],7,0)</f>
        <v>3</v>
      </c>
      <c r="I1095" s="139">
        <f ca="1">VLOOKUP(B1095,BDD[],22,0)</f>
        <v>7</v>
      </c>
      <c r="J1095" s="168">
        <v>15</v>
      </c>
      <c r="K1095" s="139">
        <f>Tabla1[[#This Row],[DIAS LAB]]*Tabla1[[#This Row],[SUE DIA]]</f>
        <v>3722.5</v>
      </c>
      <c r="L1095" s="168">
        <v>0</v>
      </c>
      <c r="M1095" s="198">
        <f>Tabla1[[#This Row],[HRS EXT]]*Tabla1[[#This Row],[SUE X HR]]</f>
        <v>0</v>
      </c>
      <c r="N1095" s="168">
        <v>0</v>
      </c>
      <c r="O1095" s="198">
        <f>Tabla1[[#This Row],[ASUETO]]*Tabla1[[#This Row],[SUE DIA]]</f>
        <v>0</v>
      </c>
      <c r="P1095" s="139">
        <f>IF(Tabla1[[#This Row],[FECHA ING]]&lt;$P$1007,365,_xlfn.DAYS($P$1008,Tabla1[[#This Row],[FECHA ING]])+1)</f>
        <v>365</v>
      </c>
      <c r="Q1095" s="198">
        <f>INT(30*(Tabla1[[#This Row],[FECHAS CONTB AGNLDO]]/365))</f>
        <v>30</v>
      </c>
      <c r="R1095" s="244">
        <f ca="1">IF($W$32=$W$26,Tabla1[[#This Row],[SUE DIA]]*Tabla1[[#This Row],[DIAS PAG AGNLDO]],0)</f>
        <v>0</v>
      </c>
      <c r="S1095" s="244">
        <f ca="1">(_xlfn.DAYS(TODAY(),Tabla1[[#This Row],[FECHA ING]])/365)</f>
        <v>3.8465753424657536</v>
      </c>
      <c r="T1095" s="244">
        <f ca="1">IF(Tabla1[[#This Row],[DIAS VAC]]&gt;1,Tabla1[[#This Row],[DIAS VAC]]-Tabla1[[#This Row],[ANTIG]],Tabla1[[#This Row],[DIAS VAC]])</f>
        <v>0.84657534246575361</v>
      </c>
      <c r="U1095" s="244">
        <f ca="1">Tabla1[[#This Row],[VALID ANTIG]]*Tabla1[[#This Row],[SUE DIA]]*Tabla1[[#This Row],[DIAS VAC PAG]]</f>
        <v>1470.6424657534249</v>
      </c>
    </row>
    <row r="1096" spans="2:21" hidden="1" x14ac:dyDescent="0.25">
      <c r="B1096" s="243">
        <v>183</v>
      </c>
      <c r="C1096" s="140" t="str">
        <f>VLOOKUP(B1096,BDD[],2,0)</f>
        <v>Jennifer Sarahí Coronado Moreno</v>
      </c>
      <c r="D1096" s="140">
        <f>VLOOKUP(B1096,BDD[],3,0)</f>
        <v>7950</v>
      </c>
      <c r="E1096" s="140">
        <f>VLOOKUP(B1096,BDD[],4,0)</f>
        <v>265</v>
      </c>
      <c r="F1096" s="142">
        <f>VLOOKUP(B1096,BDD[],26,0)</f>
        <v>29.444444444444443</v>
      </c>
      <c r="G1096" s="268">
        <f>VLOOKUP(B1096,BDD[],6,0)</f>
        <v>43015</v>
      </c>
      <c r="H1096" s="139">
        <f ca="1">VLOOKUP(B1096,BDD[],7,0)</f>
        <v>4</v>
      </c>
      <c r="I1096" s="139">
        <f ca="1">VLOOKUP(B1096,BDD[],22,0)</f>
        <v>7</v>
      </c>
      <c r="J1096" s="168">
        <v>15</v>
      </c>
      <c r="K1096" s="139">
        <f>Tabla1[[#This Row],[DIAS LAB]]*Tabla1[[#This Row],[SUE DIA]]</f>
        <v>3975</v>
      </c>
      <c r="L1096" s="168">
        <v>0</v>
      </c>
      <c r="M1096" s="198">
        <f>Tabla1[[#This Row],[HRS EXT]]*Tabla1[[#This Row],[SUE X HR]]</f>
        <v>0</v>
      </c>
      <c r="N1096" s="168">
        <v>0</v>
      </c>
      <c r="O1096" s="198">
        <f>Tabla1[[#This Row],[ASUETO]]*Tabla1[[#This Row],[SUE DIA]]</f>
        <v>0</v>
      </c>
      <c r="P1096" s="139">
        <f>IF(Tabla1[[#This Row],[FECHA ING]]&lt;$P$1007,365,_xlfn.DAYS($P$1008,Tabla1[[#This Row],[FECHA ING]])+1)</f>
        <v>365</v>
      </c>
      <c r="Q1096" s="198">
        <f>INT(30*(Tabla1[[#This Row],[FECHAS CONTB AGNLDO]]/365))</f>
        <v>30</v>
      </c>
      <c r="R1096" s="244">
        <f ca="1">IF($W$32=$W$26,Tabla1[[#This Row],[SUE DIA]]*Tabla1[[#This Row],[DIAS PAG AGNLDO]],0)</f>
        <v>0</v>
      </c>
      <c r="S1096" s="244">
        <f ca="1">(_xlfn.DAYS(TODAY(),Tabla1[[#This Row],[FECHA ING]])/365)</f>
        <v>4.7808219178082192</v>
      </c>
      <c r="T1096" s="244">
        <f ca="1">IF(Tabla1[[#This Row],[DIAS VAC]]&gt;1,Tabla1[[#This Row],[DIAS VAC]]-Tabla1[[#This Row],[ANTIG]],Tabla1[[#This Row],[DIAS VAC]])</f>
        <v>0.78082191780821919</v>
      </c>
      <c r="U1096" s="244">
        <f ca="1">Tabla1[[#This Row],[VALID ANTIG]]*Tabla1[[#This Row],[SUE DIA]]*Tabla1[[#This Row],[DIAS VAC PAG]]</f>
        <v>1448.4246575342465</v>
      </c>
    </row>
    <row r="1097" spans="2:21" hidden="1" x14ac:dyDescent="0.25">
      <c r="B1097" s="243">
        <v>184</v>
      </c>
      <c r="C1097" s="140" t="str">
        <f>VLOOKUP(B1097,BDD[],2,0)</f>
        <v>Ofelia Gisel Domínguez Reyes</v>
      </c>
      <c r="D1097" s="140">
        <f>VLOOKUP(B1097,BDD[],3,0)</f>
        <v>9541</v>
      </c>
      <c r="E1097" s="140">
        <f>VLOOKUP(B1097,BDD[],4,0)</f>
        <v>318.03333333333336</v>
      </c>
      <c r="F1097" s="142">
        <f>VLOOKUP(B1097,BDD[],26,0)</f>
        <v>35.337037037037042</v>
      </c>
      <c r="G1097" s="268">
        <f>VLOOKUP(B1097,BDD[],6,0)</f>
        <v>41701</v>
      </c>
      <c r="H1097" s="139">
        <f ca="1">VLOOKUP(B1097,BDD[],7,0)</f>
        <v>8</v>
      </c>
      <c r="I1097" s="139">
        <f ca="1">VLOOKUP(B1097,BDD[],22,0)</f>
        <v>8</v>
      </c>
      <c r="J1097" s="168">
        <v>15</v>
      </c>
      <c r="K1097" s="139">
        <f>Tabla1[[#This Row],[DIAS LAB]]*Tabla1[[#This Row],[SUE DIA]]</f>
        <v>4770.5</v>
      </c>
      <c r="L1097" s="168">
        <v>0</v>
      </c>
      <c r="M1097" s="198">
        <f>Tabla1[[#This Row],[HRS EXT]]*Tabla1[[#This Row],[SUE X HR]]</f>
        <v>0</v>
      </c>
      <c r="N1097" s="168">
        <v>0</v>
      </c>
      <c r="O1097" s="198">
        <f>Tabla1[[#This Row],[ASUETO]]*Tabla1[[#This Row],[SUE DIA]]</f>
        <v>0</v>
      </c>
      <c r="P1097" s="139">
        <f>IF(Tabla1[[#This Row],[FECHA ING]]&lt;$P$1007,365,_xlfn.DAYS($P$1008,Tabla1[[#This Row],[FECHA ING]])+1)</f>
        <v>365</v>
      </c>
      <c r="Q1097" s="198">
        <f>INT(30*(Tabla1[[#This Row],[FECHAS CONTB AGNLDO]]/365))</f>
        <v>30</v>
      </c>
      <c r="R1097" s="244">
        <f ca="1">IF($W$32=$W$26,Tabla1[[#This Row],[SUE DIA]]*Tabla1[[#This Row],[DIAS PAG AGNLDO]],0)</f>
        <v>0</v>
      </c>
      <c r="S1097" s="244">
        <f ca="1">(_xlfn.DAYS(TODAY(),Tabla1[[#This Row],[FECHA ING]])/365)</f>
        <v>8.3808219178082197</v>
      </c>
      <c r="T1097" s="244">
        <f ca="1">IF(Tabla1[[#This Row],[DIAS VAC]]&gt;1,Tabla1[[#This Row],[DIAS VAC]]-Tabla1[[#This Row],[ANTIG]],Tabla1[[#This Row],[DIAS VAC]])</f>
        <v>0.38082191780821972</v>
      </c>
      <c r="U1097" s="244">
        <f ca="1">Tabla1[[#This Row],[VALID ANTIG]]*Tabla1[[#This Row],[SUE DIA]]*Tabla1[[#This Row],[DIAS VAC PAG]]</f>
        <v>968.91251141552664</v>
      </c>
    </row>
    <row r="1098" spans="2:21" hidden="1" x14ac:dyDescent="0.25">
      <c r="B1098" s="243">
        <v>185</v>
      </c>
      <c r="C1098" s="140" t="str">
        <f>VLOOKUP(B1098,BDD[],2,0)</f>
        <v>Karla Judith Espinoza Arias</v>
      </c>
      <c r="D1098" s="140">
        <f>VLOOKUP(B1098,BDD[],3,0)</f>
        <v>7950</v>
      </c>
      <c r="E1098" s="140">
        <f>VLOOKUP(B1098,BDD[],4,0)</f>
        <v>265</v>
      </c>
      <c r="F1098" s="142">
        <f>VLOOKUP(B1098,BDD[],26,0)</f>
        <v>29.444444444444443</v>
      </c>
      <c r="G1098" s="268">
        <f>VLOOKUP(B1098,BDD[],6,0)</f>
        <v>43262</v>
      </c>
      <c r="H1098" s="139">
        <f ca="1">VLOOKUP(B1098,BDD[],7,0)</f>
        <v>4</v>
      </c>
      <c r="I1098" s="139">
        <f ca="1">VLOOKUP(B1098,BDD[],22,0)</f>
        <v>7</v>
      </c>
      <c r="J1098" s="168">
        <v>15</v>
      </c>
      <c r="K1098" s="139">
        <f>Tabla1[[#This Row],[DIAS LAB]]*Tabla1[[#This Row],[SUE DIA]]</f>
        <v>3975</v>
      </c>
      <c r="L1098" s="168">
        <v>0</v>
      </c>
      <c r="M1098" s="198">
        <f>Tabla1[[#This Row],[HRS EXT]]*Tabla1[[#This Row],[SUE X HR]]</f>
        <v>0</v>
      </c>
      <c r="N1098" s="168">
        <v>0</v>
      </c>
      <c r="O1098" s="198">
        <f>Tabla1[[#This Row],[ASUETO]]*Tabla1[[#This Row],[SUE DIA]]</f>
        <v>0</v>
      </c>
      <c r="P1098" s="139">
        <f>IF(Tabla1[[#This Row],[FECHA ING]]&lt;$P$1007,365,_xlfn.DAYS($P$1008,Tabla1[[#This Row],[FECHA ING]])+1)</f>
        <v>365</v>
      </c>
      <c r="Q1098" s="198">
        <f>INT(30*(Tabla1[[#This Row],[FECHAS CONTB AGNLDO]]/365))</f>
        <v>30</v>
      </c>
      <c r="R1098" s="244">
        <f ca="1">IF($W$32=$W$26,Tabla1[[#This Row],[SUE DIA]]*Tabla1[[#This Row],[DIAS PAG AGNLDO]],0)</f>
        <v>0</v>
      </c>
      <c r="S1098" s="244">
        <f ca="1">(_xlfn.DAYS(TODAY(),Tabla1[[#This Row],[FECHA ING]])/365)</f>
        <v>4.1041095890410961</v>
      </c>
      <c r="T1098" s="244">
        <f ca="1">IF(Tabla1[[#This Row],[DIAS VAC]]&gt;1,Tabla1[[#This Row],[DIAS VAC]]-Tabla1[[#This Row],[ANTIG]],Tabla1[[#This Row],[DIAS VAC]])</f>
        <v>0.10410958904109613</v>
      </c>
      <c r="U1098" s="244">
        <f ca="1">Tabla1[[#This Row],[VALID ANTIG]]*Tabla1[[#This Row],[SUE DIA]]*Tabla1[[#This Row],[DIAS VAC PAG]]</f>
        <v>193.1232876712333</v>
      </c>
    </row>
    <row r="1099" spans="2:21" hidden="1" x14ac:dyDescent="0.25">
      <c r="B1099" s="243">
        <v>186</v>
      </c>
      <c r="C1099" s="140" t="str">
        <f>VLOOKUP(B1099,BDD[],2,0)</f>
        <v>Charliy Ezequiel Ryzen Antares</v>
      </c>
      <c r="D1099" s="140">
        <f>VLOOKUP(B1099,BDD[],3,0)</f>
        <v>7445</v>
      </c>
      <c r="E1099" s="140">
        <f>VLOOKUP(B1099,BDD[],4,0)</f>
        <v>248.16666666666666</v>
      </c>
      <c r="F1099" s="142">
        <f>VLOOKUP(B1099,BDD[],26,0)</f>
        <v>27.574074074074073</v>
      </c>
      <c r="G1099" s="268">
        <f>VLOOKUP(B1099,BDD[],6,0)</f>
        <v>43577</v>
      </c>
      <c r="H1099" s="139">
        <f ca="1">VLOOKUP(B1099,BDD[],7,0)</f>
        <v>3</v>
      </c>
      <c r="I1099" s="139">
        <f ca="1">VLOOKUP(B1099,BDD[],22,0)</f>
        <v>7</v>
      </c>
      <c r="J1099" s="168">
        <v>15</v>
      </c>
      <c r="K1099" s="139">
        <f>Tabla1[[#This Row],[DIAS LAB]]*Tabla1[[#This Row],[SUE DIA]]</f>
        <v>3722.5</v>
      </c>
      <c r="L1099" s="168">
        <v>0</v>
      </c>
      <c r="M1099" s="198">
        <f>Tabla1[[#This Row],[HRS EXT]]*Tabla1[[#This Row],[SUE X HR]]</f>
        <v>0</v>
      </c>
      <c r="N1099" s="168">
        <v>0</v>
      </c>
      <c r="O1099" s="198">
        <f>Tabla1[[#This Row],[ASUETO]]*Tabla1[[#This Row],[SUE DIA]]</f>
        <v>0</v>
      </c>
      <c r="P1099" s="139">
        <f>IF(Tabla1[[#This Row],[FECHA ING]]&lt;$P$1007,365,_xlfn.DAYS($P$1008,Tabla1[[#This Row],[FECHA ING]])+1)</f>
        <v>365</v>
      </c>
      <c r="Q1099" s="198">
        <f>INT(30*(Tabla1[[#This Row],[FECHAS CONTB AGNLDO]]/365))</f>
        <v>30</v>
      </c>
      <c r="R1099" s="244">
        <f ca="1">IF($W$32=$W$26,Tabla1[[#This Row],[SUE DIA]]*Tabla1[[#This Row],[DIAS PAG AGNLDO]],0)</f>
        <v>0</v>
      </c>
      <c r="S1099" s="244">
        <f ca="1">(_xlfn.DAYS(TODAY(),Tabla1[[#This Row],[FECHA ING]])/365)</f>
        <v>3.2410958904109588</v>
      </c>
      <c r="T1099" s="244">
        <f ca="1">IF(Tabla1[[#This Row],[DIAS VAC]]&gt;1,Tabla1[[#This Row],[DIAS VAC]]-Tabla1[[#This Row],[ANTIG]],Tabla1[[#This Row],[DIAS VAC]])</f>
        <v>0.2410958904109588</v>
      </c>
      <c r="U1099" s="244">
        <f ca="1">Tabla1[[#This Row],[VALID ANTIG]]*Tabla1[[#This Row],[SUE DIA]]*Tabla1[[#This Row],[DIAS VAC PAG]]</f>
        <v>418.82374429223728</v>
      </c>
    </row>
    <row r="1100" spans="2:21" hidden="1" x14ac:dyDescent="0.25">
      <c r="B1100" s="243">
        <v>188</v>
      </c>
      <c r="C1100" s="140" t="str">
        <f>VLOOKUP(B1100,BDD[],2,0)</f>
        <v>Leonardo Daniel García Covarruvias</v>
      </c>
      <c r="D1100" s="140">
        <f>VLOOKUP(B1100,BDD[],3,0)</f>
        <v>27150</v>
      </c>
      <c r="E1100" s="140">
        <f>VLOOKUP(B1100,BDD[],4,0)</f>
        <v>905</v>
      </c>
      <c r="F1100" s="142">
        <f>VLOOKUP(B1100,BDD[],26,0)</f>
        <v>100.55555555555556</v>
      </c>
      <c r="G1100" s="268">
        <f>VLOOKUP(B1100,BDD[],6,0)</f>
        <v>43022</v>
      </c>
      <c r="H1100" s="139">
        <f ca="1">VLOOKUP(B1100,BDD[],7,0)</f>
        <v>4</v>
      </c>
      <c r="I1100" s="139">
        <f ca="1">VLOOKUP(B1100,BDD[],22,0)</f>
        <v>7</v>
      </c>
      <c r="J1100" s="168">
        <v>15</v>
      </c>
      <c r="K1100" s="139">
        <f>Tabla1[[#This Row],[DIAS LAB]]*Tabla1[[#This Row],[SUE DIA]]</f>
        <v>13575</v>
      </c>
      <c r="L1100" s="168">
        <v>0</v>
      </c>
      <c r="M1100" s="198">
        <f>Tabla1[[#This Row],[HRS EXT]]*Tabla1[[#This Row],[SUE X HR]]</f>
        <v>0</v>
      </c>
      <c r="N1100" s="168">
        <v>0</v>
      </c>
      <c r="O1100" s="198">
        <f>Tabla1[[#This Row],[ASUETO]]*Tabla1[[#This Row],[SUE DIA]]</f>
        <v>0</v>
      </c>
      <c r="P1100" s="139">
        <f>IF(Tabla1[[#This Row],[FECHA ING]]&lt;$P$1007,365,_xlfn.DAYS($P$1008,Tabla1[[#This Row],[FECHA ING]])+1)</f>
        <v>365</v>
      </c>
      <c r="Q1100" s="198">
        <f>INT(30*(Tabla1[[#This Row],[FECHAS CONTB AGNLDO]]/365))</f>
        <v>30</v>
      </c>
      <c r="R1100" s="244">
        <f ca="1">IF($W$32=$W$26,Tabla1[[#This Row],[SUE DIA]]*Tabla1[[#This Row],[DIAS PAG AGNLDO]],0)</f>
        <v>0</v>
      </c>
      <c r="S1100" s="244">
        <f ca="1">(_xlfn.DAYS(TODAY(),Tabla1[[#This Row],[FECHA ING]])/365)</f>
        <v>4.7616438356164386</v>
      </c>
      <c r="T1100" s="244">
        <f ca="1">IF(Tabla1[[#This Row],[DIAS VAC]]&gt;1,Tabla1[[#This Row],[DIAS VAC]]-Tabla1[[#This Row],[ANTIG]],Tabla1[[#This Row],[DIAS VAC]])</f>
        <v>0.76164383561643856</v>
      </c>
      <c r="U1100" s="244">
        <f ca="1">Tabla1[[#This Row],[VALID ANTIG]]*Tabla1[[#This Row],[SUE DIA]]*Tabla1[[#This Row],[DIAS VAC PAG]]</f>
        <v>4825.0136986301377</v>
      </c>
    </row>
    <row r="1101" spans="2:21" hidden="1" x14ac:dyDescent="0.25">
      <c r="B1101" s="243">
        <v>189</v>
      </c>
      <c r="C1101" s="140" t="str">
        <f>VLOOKUP(B1101,BDD[],2,0)</f>
        <v>Arturo Ulises Hernandez de la Cruz</v>
      </c>
      <c r="D1101" s="140">
        <f>VLOOKUP(B1101,BDD[],3,0)</f>
        <v>9450</v>
      </c>
      <c r="E1101" s="140">
        <f>VLOOKUP(B1101,BDD[],4,0)</f>
        <v>315</v>
      </c>
      <c r="F1101" s="142">
        <f>VLOOKUP(B1101,BDD[],26,0)</f>
        <v>35</v>
      </c>
      <c r="G1101" s="268">
        <f>VLOOKUP(B1101,BDD[],6,0)</f>
        <v>42598</v>
      </c>
      <c r="H1101" s="139">
        <f ca="1">VLOOKUP(B1101,BDD[],7,0)</f>
        <v>5</v>
      </c>
      <c r="I1101" s="139">
        <f ca="1">VLOOKUP(B1101,BDD[],22,0)</f>
        <v>8</v>
      </c>
      <c r="J1101" s="168">
        <v>15</v>
      </c>
      <c r="K1101" s="139">
        <f>Tabla1[[#This Row],[DIAS LAB]]*Tabla1[[#This Row],[SUE DIA]]</f>
        <v>4725</v>
      </c>
      <c r="L1101" s="168">
        <v>0</v>
      </c>
      <c r="M1101" s="198">
        <f>Tabla1[[#This Row],[HRS EXT]]*Tabla1[[#This Row],[SUE X HR]]</f>
        <v>0</v>
      </c>
      <c r="N1101" s="168">
        <v>0</v>
      </c>
      <c r="O1101" s="198">
        <f>Tabla1[[#This Row],[ASUETO]]*Tabla1[[#This Row],[SUE DIA]]</f>
        <v>0</v>
      </c>
      <c r="P1101" s="139">
        <f>IF(Tabla1[[#This Row],[FECHA ING]]&lt;$P$1007,365,_xlfn.DAYS($P$1008,Tabla1[[#This Row],[FECHA ING]])+1)</f>
        <v>365</v>
      </c>
      <c r="Q1101" s="198">
        <f>INT(30*(Tabla1[[#This Row],[FECHAS CONTB AGNLDO]]/365))</f>
        <v>30</v>
      </c>
      <c r="R1101" s="244">
        <f ca="1">IF($W$32=$W$26,Tabla1[[#This Row],[SUE DIA]]*Tabla1[[#This Row],[DIAS PAG AGNLDO]],0)</f>
        <v>0</v>
      </c>
      <c r="S1101" s="244">
        <f ca="1">(_xlfn.DAYS(TODAY(),Tabla1[[#This Row],[FECHA ING]])/365)</f>
        <v>5.9232876712328766</v>
      </c>
      <c r="T1101" s="244">
        <f ca="1">IF(Tabla1[[#This Row],[DIAS VAC]]&gt;1,Tabla1[[#This Row],[DIAS VAC]]-Tabla1[[#This Row],[ANTIG]],Tabla1[[#This Row],[DIAS VAC]])</f>
        <v>0.92328767123287658</v>
      </c>
      <c r="U1101" s="244">
        <f ca="1">Tabla1[[#This Row],[VALID ANTIG]]*Tabla1[[#This Row],[SUE DIA]]*Tabla1[[#This Row],[DIAS VAC PAG]]</f>
        <v>2326.6849315068489</v>
      </c>
    </row>
    <row r="1102" spans="2:21" hidden="1" x14ac:dyDescent="0.25">
      <c r="B1102" s="243">
        <v>190</v>
      </c>
      <c r="C1102" s="140" t="str">
        <f>VLOOKUP(B1102,BDD[],2,0)</f>
        <v>Dither Osbaldo Hernandez Hernandez</v>
      </c>
      <c r="D1102" s="140">
        <f>VLOOKUP(B1102,BDD[],3,0)</f>
        <v>10860</v>
      </c>
      <c r="E1102" s="140">
        <f>VLOOKUP(B1102,BDD[],4,0)</f>
        <v>362</v>
      </c>
      <c r="F1102" s="142">
        <f>VLOOKUP(B1102,BDD[],26,0)</f>
        <v>40.222222222222221</v>
      </c>
      <c r="G1102" s="268">
        <f>VLOOKUP(B1102,BDD[],6,0)</f>
        <v>42072</v>
      </c>
      <c r="H1102" s="139">
        <f ca="1">VLOOKUP(B1102,BDD[],7,0)</f>
        <v>7</v>
      </c>
      <c r="I1102" s="139">
        <f ca="1">VLOOKUP(B1102,BDD[],22,0)</f>
        <v>8</v>
      </c>
      <c r="J1102" s="168">
        <v>15</v>
      </c>
      <c r="K1102" s="139">
        <f>Tabla1[[#This Row],[DIAS LAB]]*Tabla1[[#This Row],[SUE DIA]]</f>
        <v>5430</v>
      </c>
      <c r="L1102" s="168">
        <v>0</v>
      </c>
      <c r="M1102" s="198">
        <f>Tabla1[[#This Row],[HRS EXT]]*Tabla1[[#This Row],[SUE X HR]]</f>
        <v>0</v>
      </c>
      <c r="N1102" s="168">
        <v>0</v>
      </c>
      <c r="O1102" s="198">
        <f>Tabla1[[#This Row],[ASUETO]]*Tabla1[[#This Row],[SUE DIA]]</f>
        <v>0</v>
      </c>
      <c r="P1102" s="139">
        <f>IF(Tabla1[[#This Row],[FECHA ING]]&lt;$P$1007,365,_xlfn.DAYS($P$1008,Tabla1[[#This Row],[FECHA ING]])+1)</f>
        <v>365</v>
      </c>
      <c r="Q1102" s="198">
        <f>INT(30*(Tabla1[[#This Row],[FECHAS CONTB AGNLDO]]/365))</f>
        <v>30</v>
      </c>
      <c r="R1102" s="244">
        <f ca="1">IF($W$32=$W$26,Tabla1[[#This Row],[SUE DIA]]*Tabla1[[#This Row],[DIAS PAG AGNLDO]],0)</f>
        <v>0</v>
      </c>
      <c r="S1102" s="244">
        <f ca="1">(_xlfn.DAYS(TODAY(),Tabla1[[#This Row],[FECHA ING]])/365)</f>
        <v>7.3643835616438356</v>
      </c>
      <c r="T1102" s="244">
        <f ca="1">IF(Tabla1[[#This Row],[DIAS VAC]]&gt;1,Tabla1[[#This Row],[DIAS VAC]]-Tabla1[[#This Row],[ANTIG]],Tabla1[[#This Row],[DIAS VAC]])</f>
        <v>0.36438356164383556</v>
      </c>
      <c r="U1102" s="244">
        <f ca="1">Tabla1[[#This Row],[VALID ANTIG]]*Tabla1[[#This Row],[SUE DIA]]*Tabla1[[#This Row],[DIAS VAC PAG]]</f>
        <v>1055.2547945205479</v>
      </c>
    </row>
    <row r="1103" spans="2:21" hidden="1" x14ac:dyDescent="0.25">
      <c r="B1103" s="243">
        <v>191</v>
      </c>
      <c r="C1103" s="140" t="str">
        <f>VLOOKUP(B1103,BDD[],2,0)</f>
        <v>Violeta Ibarra Páez</v>
      </c>
      <c r="D1103" s="140">
        <f>VLOOKUP(B1103,BDD[],3,0)</f>
        <v>22200</v>
      </c>
      <c r="E1103" s="140">
        <f>VLOOKUP(B1103,BDD[],4,0)</f>
        <v>740</v>
      </c>
      <c r="F1103" s="142">
        <f>VLOOKUP(B1103,BDD[],26,0)</f>
        <v>82.222222222222229</v>
      </c>
      <c r="G1103" s="268">
        <f>VLOOKUP(B1103,BDD[],6,0)</f>
        <v>39573</v>
      </c>
      <c r="H1103" s="139">
        <f ca="1">VLOOKUP(B1103,BDD[],7,0)</f>
        <v>14</v>
      </c>
      <c r="I1103" s="139">
        <f ca="1">VLOOKUP(B1103,BDD[],22,0)</f>
        <v>10</v>
      </c>
      <c r="J1103" s="168">
        <v>15</v>
      </c>
      <c r="K1103" s="139">
        <f>Tabla1[[#This Row],[DIAS LAB]]*Tabla1[[#This Row],[SUE DIA]]</f>
        <v>11100</v>
      </c>
      <c r="L1103" s="168">
        <v>0</v>
      </c>
      <c r="M1103" s="198">
        <f>Tabla1[[#This Row],[HRS EXT]]*Tabla1[[#This Row],[SUE X HR]]</f>
        <v>0</v>
      </c>
      <c r="N1103" s="168">
        <v>0</v>
      </c>
      <c r="O1103" s="198">
        <f>Tabla1[[#This Row],[ASUETO]]*Tabla1[[#This Row],[SUE DIA]]</f>
        <v>0</v>
      </c>
      <c r="P1103" s="139">
        <f>IF(Tabla1[[#This Row],[FECHA ING]]&lt;$P$1007,365,_xlfn.DAYS($P$1008,Tabla1[[#This Row],[FECHA ING]])+1)</f>
        <v>365</v>
      </c>
      <c r="Q1103" s="198">
        <f>INT(30*(Tabla1[[#This Row],[FECHAS CONTB AGNLDO]]/365))</f>
        <v>30</v>
      </c>
      <c r="R1103" s="244">
        <f ca="1">IF($W$32=$W$26,Tabla1[[#This Row],[SUE DIA]]*Tabla1[[#This Row],[DIAS PAG AGNLDO]],0)</f>
        <v>0</v>
      </c>
      <c r="S1103" s="244">
        <f ca="1">(_xlfn.DAYS(TODAY(),Tabla1[[#This Row],[FECHA ING]])/365)</f>
        <v>14.210958904109589</v>
      </c>
      <c r="T1103" s="244">
        <f ca="1">IF(Tabla1[[#This Row],[DIAS VAC]]&gt;1,Tabla1[[#This Row],[DIAS VAC]]-Tabla1[[#This Row],[ANTIG]],Tabla1[[#This Row],[DIAS VAC]])</f>
        <v>0.21095890410958873</v>
      </c>
      <c r="U1103" s="244">
        <f ca="1">Tabla1[[#This Row],[VALID ANTIG]]*Tabla1[[#This Row],[SUE DIA]]*Tabla1[[#This Row],[DIAS VAC PAG]]</f>
        <v>1561.0958904109566</v>
      </c>
    </row>
    <row r="1104" spans="2:21" hidden="1" x14ac:dyDescent="0.25">
      <c r="B1104" s="243">
        <v>192</v>
      </c>
      <c r="C1104" s="140" t="str">
        <f>VLOOKUP(B1104,BDD[],2,0)</f>
        <v>Leslie Marlene Luna Barboza</v>
      </c>
      <c r="D1104" s="140">
        <f>VLOOKUP(B1104,BDD[],3,0)</f>
        <v>7445</v>
      </c>
      <c r="E1104" s="140">
        <f>VLOOKUP(B1104,BDD[],4,0)</f>
        <v>248.16666666666666</v>
      </c>
      <c r="F1104" s="142">
        <f>VLOOKUP(B1104,BDD[],26,0)</f>
        <v>27.574074074074073</v>
      </c>
      <c r="G1104" s="268">
        <f>VLOOKUP(B1104,BDD[],6,0)</f>
        <v>43514</v>
      </c>
      <c r="H1104" s="139">
        <f ca="1">VLOOKUP(B1104,BDD[],7,0)</f>
        <v>3</v>
      </c>
      <c r="I1104" s="139">
        <f ca="1">VLOOKUP(B1104,BDD[],22,0)</f>
        <v>7</v>
      </c>
      <c r="J1104" s="168">
        <v>15</v>
      </c>
      <c r="K1104" s="139">
        <f>Tabla1[[#This Row],[DIAS LAB]]*Tabla1[[#This Row],[SUE DIA]]</f>
        <v>3722.5</v>
      </c>
      <c r="L1104" s="168">
        <v>0</v>
      </c>
      <c r="M1104" s="198">
        <f>Tabla1[[#This Row],[HRS EXT]]*Tabla1[[#This Row],[SUE X HR]]</f>
        <v>0</v>
      </c>
      <c r="N1104" s="168">
        <v>0</v>
      </c>
      <c r="O1104" s="198">
        <f>Tabla1[[#This Row],[ASUETO]]*Tabla1[[#This Row],[SUE DIA]]</f>
        <v>0</v>
      </c>
      <c r="P1104" s="139">
        <f>IF(Tabla1[[#This Row],[FECHA ING]]&lt;$P$1007,365,_xlfn.DAYS($P$1008,Tabla1[[#This Row],[FECHA ING]])+1)</f>
        <v>365</v>
      </c>
      <c r="Q1104" s="198">
        <f>INT(30*(Tabla1[[#This Row],[FECHAS CONTB AGNLDO]]/365))</f>
        <v>30</v>
      </c>
      <c r="R1104" s="244">
        <f ca="1">IF($W$32=$W$26,Tabla1[[#This Row],[SUE DIA]]*Tabla1[[#This Row],[DIAS PAG AGNLDO]],0)</f>
        <v>0</v>
      </c>
      <c r="S1104" s="244">
        <f ca="1">(_xlfn.DAYS(TODAY(),Tabla1[[#This Row],[FECHA ING]])/365)</f>
        <v>3.4136986301369863</v>
      </c>
      <c r="T1104" s="244">
        <f ca="1">IF(Tabla1[[#This Row],[DIAS VAC]]&gt;1,Tabla1[[#This Row],[DIAS VAC]]-Tabla1[[#This Row],[ANTIG]],Tabla1[[#This Row],[DIAS VAC]])</f>
        <v>0.41369863013698627</v>
      </c>
      <c r="U1104" s="244">
        <f ca="1">Tabla1[[#This Row],[VALID ANTIG]]*Tabla1[[#This Row],[SUE DIA]]*Tabla1[[#This Row],[DIAS VAC PAG]]</f>
        <v>718.6634703196346</v>
      </c>
    </row>
    <row r="1105" spans="2:21" hidden="1" x14ac:dyDescent="0.25">
      <c r="B1105" s="243">
        <v>193</v>
      </c>
      <c r="C1105" s="140" t="str">
        <f>VLOOKUP(B1105,BDD[],2,0)</f>
        <v>José Angel Marin Santiago</v>
      </c>
      <c r="D1105" s="140">
        <f>VLOOKUP(B1105,BDD[],3,0)</f>
        <v>7445</v>
      </c>
      <c r="E1105" s="140">
        <f>VLOOKUP(B1105,BDD[],4,0)</f>
        <v>248.16666666666666</v>
      </c>
      <c r="F1105" s="142">
        <f>VLOOKUP(B1105,BDD[],26,0)</f>
        <v>27.574074074074073</v>
      </c>
      <c r="G1105" s="268">
        <f>VLOOKUP(B1105,BDD[],6,0)</f>
        <v>42767</v>
      </c>
      <c r="H1105" s="139">
        <f ca="1">VLOOKUP(B1105,BDD[],7,0)</f>
        <v>5</v>
      </c>
      <c r="I1105" s="139">
        <f ca="1">VLOOKUP(B1105,BDD[],22,0)</f>
        <v>8</v>
      </c>
      <c r="J1105" s="168">
        <v>15</v>
      </c>
      <c r="K1105" s="139">
        <f>Tabla1[[#This Row],[DIAS LAB]]*Tabla1[[#This Row],[SUE DIA]]</f>
        <v>3722.5</v>
      </c>
      <c r="L1105" s="168">
        <v>0</v>
      </c>
      <c r="M1105" s="198">
        <f>Tabla1[[#This Row],[HRS EXT]]*Tabla1[[#This Row],[SUE X HR]]</f>
        <v>0</v>
      </c>
      <c r="N1105" s="168">
        <v>0</v>
      </c>
      <c r="O1105" s="198">
        <f>Tabla1[[#This Row],[ASUETO]]*Tabla1[[#This Row],[SUE DIA]]</f>
        <v>0</v>
      </c>
      <c r="P1105" s="139">
        <f>IF(Tabla1[[#This Row],[FECHA ING]]&lt;$P$1007,365,_xlfn.DAYS($P$1008,Tabla1[[#This Row],[FECHA ING]])+1)</f>
        <v>365</v>
      </c>
      <c r="Q1105" s="198">
        <f>INT(30*(Tabla1[[#This Row],[FECHAS CONTB AGNLDO]]/365))</f>
        <v>30</v>
      </c>
      <c r="R1105" s="244">
        <f ca="1">IF($W$32=$W$26,Tabla1[[#This Row],[SUE DIA]]*Tabla1[[#This Row],[DIAS PAG AGNLDO]],0)</f>
        <v>0</v>
      </c>
      <c r="S1105" s="244">
        <f ca="1">(_xlfn.DAYS(TODAY(),Tabla1[[#This Row],[FECHA ING]])/365)</f>
        <v>5.4602739726027396</v>
      </c>
      <c r="T1105" s="244">
        <f ca="1">IF(Tabla1[[#This Row],[DIAS VAC]]&gt;1,Tabla1[[#This Row],[DIAS VAC]]-Tabla1[[#This Row],[ANTIG]],Tabla1[[#This Row],[DIAS VAC]])</f>
        <v>0.46027397260273961</v>
      </c>
      <c r="U1105" s="244">
        <f ca="1">Tabla1[[#This Row],[VALID ANTIG]]*Tabla1[[#This Row],[SUE DIA]]*Tabla1[[#This Row],[DIAS VAC PAG]]</f>
        <v>913.79726027397237</v>
      </c>
    </row>
    <row r="1106" spans="2:21" hidden="1" x14ac:dyDescent="0.25">
      <c r="B1106" s="243">
        <v>194</v>
      </c>
      <c r="C1106" s="140" t="str">
        <f>VLOOKUP(B1106,BDD[],2,0)</f>
        <v>Luz Elena Medrano Sida</v>
      </c>
      <c r="D1106" s="140">
        <f>VLOOKUP(B1106,BDD[],3,0)</f>
        <v>7445</v>
      </c>
      <c r="E1106" s="140">
        <f>VLOOKUP(B1106,BDD[],4,0)</f>
        <v>248.16666666666666</v>
      </c>
      <c r="F1106" s="142">
        <f>VLOOKUP(B1106,BDD[],26,0)</f>
        <v>27.574074074074073</v>
      </c>
      <c r="G1106" s="268">
        <f>VLOOKUP(B1106,BDD[],6,0)</f>
        <v>43515</v>
      </c>
      <c r="H1106" s="139">
        <f ca="1">VLOOKUP(B1106,BDD[],7,0)</f>
        <v>3</v>
      </c>
      <c r="I1106" s="139">
        <f ca="1">VLOOKUP(B1106,BDD[],22,0)</f>
        <v>7</v>
      </c>
      <c r="J1106" s="168">
        <v>15</v>
      </c>
      <c r="K1106" s="139">
        <f>Tabla1[[#This Row],[DIAS LAB]]*Tabla1[[#This Row],[SUE DIA]]</f>
        <v>3722.5</v>
      </c>
      <c r="L1106" s="168">
        <v>0</v>
      </c>
      <c r="M1106" s="198">
        <f>Tabla1[[#This Row],[HRS EXT]]*Tabla1[[#This Row],[SUE X HR]]</f>
        <v>0</v>
      </c>
      <c r="N1106" s="168">
        <v>0</v>
      </c>
      <c r="O1106" s="198">
        <f>Tabla1[[#This Row],[ASUETO]]*Tabla1[[#This Row],[SUE DIA]]</f>
        <v>0</v>
      </c>
      <c r="P1106" s="139">
        <f>IF(Tabla1[[#This Row],[FECHA ING]]&lt;$P$1007,365,_xlfn.DAYS($P$1008,Tabla1[[#This Row],[FECHA ING]])+1)</f>
        <v>365</v>
      </c>
      <c r="Q1106" s="198">
        <f>INT(30*(Tabla1[[#This Row],[FECHAS CONTB AGNLDO]]/365))</f>
        <v>30</v>
      </c>
      <c r="R1106" s="244">
        <f ca="1">IF($W$32=$W$26,Tabla1[[#This Row],[SUE DIA]]*Tabla1[[#This Row],[DIAS PAG AGNLDO]],0)</f>
        <v>0</v>
      </c>
      <c r="S1106" s="244">
        <f ca="1">(_xlfn.DAYS(TODAY(),Tabla1[[#This Row],[FECHA ING]])/365)</f>
        <v>3.4109589041095889</v>
      </c>
      <c r="T1106" s="244">
        <f ca="1">IF(Tabla1[[#This Row],[DIAS VAC]]&gt;1,Tabla1[[#This Row],[DIAS VAC]]-Tabla1[[#This Row],[ANTIG]],Tabla1[[#This Row],[DIAS VAC]])</f>
        <v>0.41095890410958891</v>
      </c>
      <c r="U1106" s="244">
        <f ca="1">Tabla1[[#This Row],[VALID ANTIG]]*Tabla1[[#This Row],[SUE DIA]]*Tabla1[[#This Row],[DIAS VAC PAG]]</f>
        <v>713.90410958904079</v>
      </c>
    </row>
    <row r="1107" spans="2:21" hidden="1" x14ac:dyDescent="0.25">
      <c r="B1107" s="243">
        <v>195</v>
      </c>
      <c r="C1107" s="140" t="str">
        <f>VLOOKUP(B1107,BDD[],2,0)</f>
        <v>Yuliana Guadalupe Monsiváis Gámez</v>
      </c>
      <c r="D1107" s="140">
        <f>VLOOKUP(B1107,BDD[],3,0)</f>
        <v>27150</v>
      </c>
      <c r="E1107" s="140">
        <f>VLOOKUP(B1107,BDD[],4,0)</f>
        <v>905</v>
      </c>
      <c r="F1107" s="142">
        <f>VLOOKUP(B1107,BDD[],26,0)</f>
        <v>100.55555555555556</v>
      </c>
      <c r="G1107" s="268">
        <f>VLOOKUP(B1107,BDD[],6,0)</f>
        <v>39355</v>
      </c>
      <c r="H1107" s="139">
        <f ca="1">VLOOKUP(B1107,BDD[],7,0)</f>
        <v>14</v>
      </c>
      <c r="I1107" s="139">
        <f ca="1">VLOOKUP(B1107,BDD[],22,0)</f>
        <v>10</v>
      </c>
      <c r="J1107" s="168">
        <v>15</v>
      </c>
      <c r="K1107" s="139">
        <f>Tabla1[[#This Row],[DIAS LAB]]*Tabla1[[#This Row],[SUE DIA]]</f>
        <v>13575</v>
      </c>
      <c r="L1107" s="168">
        <v>0</v>
      </c>
      <c r="M1107" s="198">
        <f>Tabla1[[#This Row],[HRS EXT]]*Tabla1[[#This Row],[SUE X HR]]</f>
        <v>0</v>
      </c>
      <c r="N1107" s="168">
        <v>0</v>
      </c>
      <c r="O1107" s="198">
        <f>Tabla1[[#This Row],[ASUETO]]*Tabla1[[#This Row],[SUE DIA]]</f>
        <v>0</v>
      </c>
      <c r="P1107" s="139">
        <f>IF(Tabla1[[#This Row],[FECHA ING]]&lt;$P$1007,365,_xlfn.DAYS($P$1008,Tabla1[[#This Row],[FECHA ING]])+1)</f>
        <v>365</v>
      </c>
      <c r="Q1107" s="198">
        <f>INT(30*(Tabla1[[#This Row],[FECHAS CONTB AGNLDO]]/365))</f>
        <v>30</v>
      </c>
      <c r="R1107" s="244">
        <f ca="1">IF($W$32=$W$26,Tabla1[[#This Row],[SUE DIA]]*Tabla1[[#This Row],[DIAS PAG AGNLDO]],0)</f>
        <v>0</v>
      </c>
      <c r="S1107" s="244">
        <f ca="1">(_xlfn.DAYS(TODAY(),Tabla1[[#This Row],[FECHA ING]])/365)</f>
        <v>14.808219178082192</v>
      </c>
      <c r="T1107" s="244">
        <f ca="1">IF(Tabla1[[#This Row],[DIAS VAC]]&gt;1,Tabla1[[#This Row],[DIAS VAC]]-Tabla1[[#This Row],[ANTIG]],Tabla1[[#This Row],[DIAS VAC]])</f>
        <v>0.8082191780821919</v>
      </c>
      <c r="U1107" s="244">
        <f ca="1">Tabla1[[#This Row],[VALID ANTIG]]*Tabla1[[#This Row],[SUE DIA]]*Tabla1[[#This Row],[DIAS VAC PAG]]</f>
        <v>7314.3835616438364</v>
      </c>
    </row>
    <row r="1108" spans="2:21" hidden="1" x14ac:dyDescent="0.25">
      <c r="B1108" s="243">
        <v>196</v>
      </c>
      <c r="C1108" s="140" t="str">
        <f>VLOOKUP(B1108,BDD[],2,0)</f>
        <v>Elda Judith Morales Sauceda</v>
      </c>
      <c r="D1108" s="140">
        <f>VLOOKUP(B1108,BDD[],3,0)</f>
        <v>9541</v>
      </c>
      <c r="E1108" s="140">
        <f>VLOOKUP(B1108,BDD[],4,0)</f>
        <v>318.03333333333336</v>
      </c>
      <c r="F1108" s="142">
        <f>VLOOKUP(B1108,BDD[],26,0)</f>
        <v>35.337037037037042</v>
      </c>
      <c r="G1108" s="268">
        <f>VLOOKUP(B1108,BDD[],6,0)</f>
        <v>41659</v>
      </c>
      <c r="H1108" s="139">
        <f ca="1">VLOOKUP(B1108,BDD[],7,0)</f>
        <v>8</v>
      </c>
      <c r="I1108" s="139">
        <f ca="1">VLOOKUP(B1108,BDD[],22,0)</f>
        <v>8</v>
      </c>
      <c r="J1108" s="168">
        <v>15</v>
      </c>
      <c r="K1108" s="139">
        <f>Tabla1[[#This Row],[DIAS LAB]]*Tabla1[[#This Row],[SUE DIA]]</f>
        <v>4770.5</v>
      </c>
      <c r="L1108" s="168">
        <v>0</v>
      </c>
      <c r="M1108" s="198">
        <f>Tabla1[[#This Row],[HRS EXT]]*Tabla1[[#This Row],[SUE X HR]]</f>
        <v>0</v>
      </c>
      <c r="N1108" s="168">
        <v>0</v>
      </c>
      <c r="O1108" s="198">
        <f>Tabla1[[#This Row],[ASUETO]]*Tabla1[[#This Row],[SUE DIA]]</f>
        <v>0</v>
      </c>
      <c r="P1108" s="139">
        <f>IF(Tabla1[[#This Row],[FECHA ING]]&lt;$P$1007,365,_xlfn.DAYS($P$1008,Tabla1[[#This Row],[FECHA ING]])+1)</f>
        <v>365</v>
      </c>
      <c r="Q1108" s="198">
        <f>INT(30*(Tabla1[[#This Row],[FECHAS CONTB AGNLDO]]/365))</f>
        <v>30</v>
      </c>
      <c r="R1108" s="244">
        <f ca="1">IF($W$32=$W$26,Tabla1[[#This Row],[SUE DIA]]*Tabla1[[#This Row],[DIAS PAG AGNLDO]],0)</f>
        <v>0</v>
      </c>
      <c r="S1108" s="244">
        <f ca="1">(_xlfn.DAYS(TODAY(),Tabla1[[#This Row],[FECHA ING]])/365)</f>
        <v>8.4958904109589035</v>
      </c>
      <c r="T1108" s="244">
        <f ca="1">IF(Tabla1[[#This Row],[DIAS VAC]]&gt;1,Tabla1[[#This Row],[DIAS VAC]]-Tabla1[[#This Row],[ANTIG]],Tabla1[[#This Row],[DIAS VAC]])</f>
        <v>0.49589041095890352</v>
      </c>
      <c r="U1108" s="244">
        <f ca="1">Tabla1[[#This Row],[VALID ANTIG]]*Tabla1[[#This Row],[SUE DIA]]*Tabla1[[#This Row],[DIAS VAC PAG]]</f>
        <v>1261.6774429223731</v>
      </c>
    </row>
    <row r="1109" spans="2:21" hidden="1" x14ac:dyDescent="0.25">
      <c r="B1109" s="243">
        <v>197</v>
      </c>
      <c r="C1109" s="140" t="str">
        <f>VLOOKUP(B1109,BDD[],2,0)</f>
        <v>Perla Elena Núñez Eguren</v>
      </c>
      <c r="D1109" s="140">
        <f>VLOOKUP(B1109,BDD[],3,0)</f>
        <v>7950</v>
      </c>
      <c r="E1109" s="140">
        <f>VLOOKUP(B1109,BDD[],4,0)</f>
        <v>265</v>
      </c>
      <c r="F1109" s="142">
        <f>VLOOKUP(B1109,BDD[],26,0)</f>
        <v>29.444444444444443</v>
      </c>
      <c r="G1109" s="268">
        <f>VLOOKUP(B1109,BDD[],6,0)</f>
        <v>43229</v>
      </c>
      <c r="H1109" s="139">
        <f ca="1">VLOOKUP(B1109,BDD[],7,0)</f>
        <v>4</v>
      </c>
      <c r="I1109" s="139">
        <f ca="1">VLOOKUP(B1109,BDD[],22,0)</f>
        <v>7</v>
      </c>
      <c r="J1109" s="168">
        <v>15</v>
      </c>
      <c r="K1109" s="139">
        <f>Tabla1[[#This Row],[DIAS LAB]]*Tabla1[[#This Row],[SUE DIA]]</f>
        <v>3975</v>
      </c>
      <c r="L1109" s="168">
        <v>0</v>
      </c>
      <c r="M1109" s="198">
        <f>Tabla1[[#This Row],[HRS EXT]]*Tabla1[[#This Row],[SUE X HR]]</f>
        <v>0</v>
      </c>
      <c r="N1109" s="168">
        <v>0</v>
      </c>
      <c r="O1109" s="198">
        <f>Tabla1[[#This Row],[ASUETO]]*Tabla1[[#This Row],[SUE DIA]]</f>
        <v>0</v>
      </c>
      <c r="P1109" s="198">
        <f>IF(Tabla1[[#This Row],[FECHA ING]]&lt;$P$1007,365,_xlfn.DAYS($P$1008,Tabla1[[#This Row],[FECHA ING]])+1)</f>
        <v>365</v>
      </c>
      <c r="Q1109" s="198">
        <f>INT(30*(Tabla1[[#This Row],[FECHAS CONTB AGNLDO]]/365))</f>
        <v>30</v>
      </c>
      <c r="R1109" s="244">
        <f ca="1">IF($W$32=$W$26,Tabla1[[#This Row],[SUE DIA]]*Tabla1[[#This Row],[DIAS PAG AGNLDO]],0)</f>
        <v>0</v>
      </c>
      <c r="S1109" s="244">
        <f ca="1">(_xlfn.DAYS(TODAY(),Tabla1[[#This Row],[FECHA ING]])/365)</f>
        <v>4.1945205479452055</v>
      </c>
      <c r="T1109" s="244">
        <f ca="1">IF(Tabla1[[#This Row],[DIAS VAC]]&gt;1,Tabla1[[#This Row],[DIAS VAC]]-Tabla1[[#This Row],[ANTIG]],Tabla1[[#This Row],[DIAS VAC]])</f>
        <v>0.19452054794520546</v>
      </c>
      <c r="U1109" s="244">
        <f ca="1">Tabla1[[#This Row],[VALID ANTIG]]*Tabla1[[#This Row],[SUE DIA]]*Tabla1[[#This Row],[DIAS VAC PAG]]</f>
        <v>360.83561643835611</v>
      </c>
    </row>
    <row r="1110" spans="2:21" hidden="1" x14ac:dyDescent="0.25">
      <c r="B1110" s="243">
        <v>198</v>
      </c>
      <c r="C1110" s="140" t="str">
        <f>VLOOKUP(B1110,BDD[],2,0)</f>
        <v>Mary Alejandra Ríos Rodríguez</v>
      </c>
      <c r="D1110" s="140">
        <f>VLOOKUP(B1110,BDD[],3,0)</f>
        <v>22200</v>
      </c>
      <c r="E1110" s="140">
        <f>VLOOKUP(B1110,BDD[],4,0)</f>
        <v>740</v>
      </c>
      <c r="F1110" s="142">
        <f>VLOOKUP(B1110,BDD[],26,0)</f>
        <v>82.222222222222229</v>
      </c>
      <c r="G1110" s="268">
        <f>VLOOKUP(B1110,BDD[],6,0)</f>
        <v>42375</v>
      </c>
      <c r="H1110" s="139">
        <f ca="1">VLOOKUP(B1110,BDD[],7,0)</f>
        <v>6</v>
      </c>
      <c r="I1110" s="139">
        <f ca="1">VLOOKUP(B1110,BDD[],22,0)</f>
        <v>8</v>
      </c>
      <c r="J1110" s="168">
        <v>15</v>
      </c>
      <c r="K1110" s="139">
        <f>Tabla1[[#This Row],[DIAS LAB]]*Tabla1[[#This Row],[SUE DIA]]</f>
        <v>11100</v>
      </c>
      <c r="L1110" s="168">
        <v>0</v>
      </c>
      <c r="M1110" s="198">
        <f>Tabla1[[#This Row],[HRS EXT]]*Tabla1[[#This Row],[SUE X HR]]</f>
        <v>0</v>
      </c>
      <c r="N1110" s="168">
        <v>0</v>
      </c>
      <c r="O1110" s="198">
        <f>Tabla1[[#This Row],[ASUETO]]*Tabla1[[#This Row],[SUE DIA]]</f>
        <v>0</v>
      </c>
      <c r="P1110" s="139">
        <f>IF(Tabla1[[#This Row],[FECHA ING]]&lt;$P$1007,365,_xlfn.DAYS($P$1008,Tabla1[[#This Row],[FECHA ING]])+1)</f>
        <v>365</v>
      </c>
      <c r="Q1110" s="198">
        <f>INT(30*(Tabla1[[#This Row],[FECHAS CONTB AGNLDO]]/365))</f>
        <v>30</v>
      </c>
      <c r="R1110" s="244">
        <f ca="1">IF($W$32=$W$26,Tabla1[[#This Row],[SUE DIA]]*Tabla1[[#This Row],[DIAS PAG AGNLDO]],0)</f>
        <v>0</v>
      </c>
      <c r="S1110" s="244">
        <f ca="1">(_xlfn.DAYS(TODAY(),Tabla1[[#This Row],[FECHA ING]])/365)</f>
        <v>6.5342465753424657</v>
      </c>
      <c r="T1110" s="244">
        <f ca="1">IF(Tabla1[[#This Row],[DIAS VAC]]&gt;1,Tabla1[[#This Row],[DIAS VAC]]-Tabla1[[#This Row],[ANTIG]],Tabla1[[#This Row],[DIAS VAC]])</f>
        <v>0.53424657534246567</v>
      </c>
      <c r="U1110" s="244">
        <f ca="1">Tabla1[[#This Row],[VALID ANTIG]]*Tabla1[[#This Row],[SUE DIA]]*Tabla1[[#This Row],[DIAS VAC PAG]]</f>
        <v>3162.739726027397</v>
      </c>
    </row>
    <row r="1111" spans="2:21" hidden="1" x14ac:dyDescent="0.25">
      <c r="B1111" s="243">
        <v>199</v>
      </c>
      <c r="C1111" s="140" t="str">
        <f>VLOOKUP(B1111,BDD[],2,0)</f>
        <v>Keila Saraí Ruiz García</v>
      </c>
      <c r="D1111" s="140">
        <f>VLOOKUP(B1111,BDD[],3,0)</f>
        <v>9450</v>
      </c>
      <c r="E1111" s="140">
        <f>VLOOKUP(B1111,BDD[],4,0)</f>
        <v>315</v>
      </c>
      <c r="F1111" s="142">
        <f>VLOOKUP(B1111,BDD[],26,0)</f>
        <v>35</v>
      </c>
      <c r="G1111" s="268">
        <f>VLOOKUP(B1111,BDD[],6,0)</f>
        <v>42559</v>
      </c>
      <c r="H1111" s="139">
        <f ca="1">VLOOKUP(B1111,BDD[],7,0)</f>
        <v>6</v>
      </c>
      <c r="I1111" s="139">
        <f ca="1">VLOOKUP(B1111,BDD[],22,0)</f>
        <v>8</v>
      </c>
      <c r="J1111" s="168">
        <v>15</v>
      </c>
      <c r="K1111" s="139">
        <f>Tabla1[[#This Row],[DIAS LAB]]*Tabla1[[#This Row],[SUE DIA]]</f>
        <v>4725</v>
      </c>
      <c r="L1111" s="168">
        <v>0</v>
      </c>
      <c r="M1111" s="198">
        <f>Tabla1[[#This Row],[HRS EXT]]*Tabla1[[#This Row],[SUE X HR]]</f>
        <v>0</v>
      </c>
      <c r="N1111" s="168">
        <v>0</v>
      </c>
      <c r="O1111" s="198">
        <f>Tabla1[[#This Row],[ASUETO]]*Tabla1[[#This Row],[SUE DIA]]</f>
        <v>0</v>
      </c>
      <c r="P1111" s="139">
        <f>IF(Tabla1[[#This Row],[FECHA ING]]&lt;$P$1007,365,_xlfn.DAYS($P$1008,Tabla1[[#This Row],[FECHA ING]])+1)</f>
        <v>365</v>
      </c>
      <c r="Q1111" s="198">
        <f>INT(30*(Tabla1[[#This Row],[FECHAS CONTB AGNLDO]]/365))</f>
        <v>30</v>
      </c>
      <c r="R1111" s="244">
        <f ca="1">IF($W$32=$W$26,Tabla1[[#This Row],[SUE DIA]]*Tabla1[[#This Row],[DIAS PAG AGNLDO]],0)</f>
        <v>0</v>
      </c>
      <c r="S1111" s="244">
        <f ca="1">(_xlfn.DAYS(TODAY(),Tabla1[[#This Row],[FECHA ING]])/365)</f>
        <v>6.0301369863013701</v>
      </c>
      <c r="T1111" s="244">
        <f ca="1">IF(Tabla1[[#This Row],[DIAS VAC]]&gt;1,Tabla1[[#This Row],[DIAS VAC]]-Tabla1[[#This Row],[ANTIG]],Tabla1[[#This Row],[DIAS VAC]])</f>
        <v>3.0136986301370072E-2</v>
      </c>
      <c r="U1111" s="244">
        <f ca="1">Tabla1[[#This Row],[VALID ANTIG]]*Tabla1[[#This Row],[SUE DIA]]*Tabla1[[#This Row],[DIAS VAC PAG]]</f>
        <v>75.945205479452582</v>
      </c>
    </row>
    <row r="1112" spans="2:21" hidden="1" x14ac:dyDescent="0.25">
      <c r="B1112" s="139">
        <v>200</v>
      </c>
      <c r="C1112" s="140" t="str">
        <f>VLOOKUP(B1112,BDD[],2,0)</f>
        <v>Leslie Judith Estrada</v>
      </c>
      <c r="D1112" s="140">
        <f>VLOOKUP(B1112,BDD[],3,0)</f>
        <v>0</v>
      </c>
      <c r="E1112" s="140">
        <f>VLOOKUP(B1112,BDD[],4,0)</f>
        <v>0</v>
      </c>
      <c r="F1112" s="142">
        <f>VLOOKUP(B1112,BDD[],26,0)</f>
        <v>0</v>
      </c>
      <c r="G1112" s="268">
        <f>VLOOKUP(B1112,BDD[],6,0)</f>
        <v>40181</v>
      </c>
      <c r="H1112" s="139">
        <f ca="1">VLOOKUP(B1112,BDD[],7,0)</f>
        <v>12</v>
      </c>
      <c r="I1112" s="139">
        <f ca="1">VLOOKUP(B1112,BDD[],22,0)</f>
        <v>5</v>
      </c>
      <c r="J1112" s="168">
        <v>15</v>
      </c>
      <c r="K1112" s="139">
        <f>Tabla1[[#This Row],[DIAS LAB]]*Tabla1[[#This Row],[SUE DIA]]</f>
        <v>0</v>
      </c>
      <c r="L1112" s="168">
        <v>0</v>
      </c>
      <c r="M1112" s="198">
        <f>Tabla1[[#This Row],[HRS EXT]]*Tabla1[[#This Row],[SUE X HR]]</f>
        <v>0</v>
      </c>
      <c r="N1112" s="168">
        <v>0</v>
      </c>
      <c r="O1112" s="198">
        <f>Tabla1[[#This Row],[ASUETO]]*Tabla1[[#This Row],[SUE DIA]]</f>
        <v>0</v>
      </c>
      <c r="P1112" s="139">
        <f>IF(Tabla1[[#This Row],[FECHA ING]]&lt;$P$1007,365,_xlfn.DAYS($P$1008,Tabla1[[#This Row],[FECHA ING]])+1)</f>
        <v>365</v>
      </c>
      <c r="Q1112" s="198">
        <f>INT(30*(Tabla1[[#This Row],[FECHAS CONTB AGNLDO]]/365))</f>
        <v>30</v>
      </c>
      <c r="R1112" s="244">
        <f ca="1">IF($W$32=$W$26,Tabla1[[#This Row],[SUE DIA]]*Tabla1[[#This Row],[DIAS PAG AGNLDO]],0)</f>
        <v>0</v>
      </c>
      <c r="S1112" s="244">
        <f ca="1">(_xlfn.DAYS(TODAY(),Tabla1[[#This Row],[FECHA ING]])/365)</f>
        <v>12.545205479452054</v>
      </c>
      <c r="T1112" s="244">
        <f ca="1">IF(Tabla1[[#This Row],[DIAS VAC]]&gt;1,Tabla1[[#This Row],[DIAS VAC]]-Tabla1[[#This Row],[ANTIG]],Tabla1[[#This Row],[DIAS VAC]])</f>
        <v>0.54520547945205422</v>
      </c>
      <c r="U1112" s="244">
        <f ca="1">Tabla1[[#This Row],[VALID ANTIG]]*Tabla1[[#This Row],[SUE DIA]]*Tabla1[[#This Row],[DIAS VAC PAG]]</f>
        <v>0</v>
      </c>
    </row>
    <row r="1113" spans="2:21" hidden="1" x14ac:dyDescent="0.25">
      <c r="B1113" s="243">
        <v>202</v>
      </c>
      <c r="C1113" s="140" t="str">
        <f>VLOOKUP(B1113,BDD[],2,0)</f>
        <v>Saulo Hermenegildo Puente Martínez</v>
      </c>
      <c r="D1113" s="140">
        <f>VLOOKUP(B1113,BDD[],3,0)</f>
        <v>9450</v>
      </c>
      <c r="E1113" s="140">
        <f>VLOOKUP(B1113,BDD[],4,0)</f>
        <v>315</v>
      </c>
      <c r="F1113" s="142">
        <f>VLOOKUP(B1113,BDD[],26,0)</f>
        <v>35</v>
      </c>
      <c r="G1113" s="268">
        <f>VLOOKUP(B1113,BDD[],6,0)</f>
        <v>40212</v>
      </c>
      <c r="H1113" s="139">
        <f ca="1">VLOOKUP(B1113,BDD[],7,0)</f>
        <v>12</v>
      </c>
      <c r="I1113" s="139">
        <f ca="1">VLOOKUP(B1113,BDD[],22,0)</f>
        <v>10</v>
      </c>
      <c r="J1113" s="168">
        <v>15</v>
      </c>
      <c r="K1113" s="139">
        <f>Tabla1[[#This Row],[DIAS LAB]]*Tabla1[[#This Row],[SUE DIA]]</f>
        <v>4725</v>
      </c>
      <c r="L1113" s="168">
        <v>0</v>
      </c>
      <c r="M1113" s="198">
        <f>Tabla1[[#This Row],[HRS EXT]]*Tabla1[[#This Row],[SUE X HR]]</f>
        <v>0</v>
      </c>
      <c r="N1113" s="168">
        <v>0</v>
      </c>
      <c r="O1113" s="198">
        <f>Tabla1[[#This Row],[ASUETO]]*Tabla1[[#This Row],[SUE DIA]]</f>
        <v>0</v>
      </c>
      <c r="P1113" s="139">
        <f>IF(Tabla1[[#This Row],[FECHA ING]]&lt;$P$1007,365,_xlfn.DAYS($P$1008,Tabla1[[#This Row],[FECHA ING]])+1)</f>
        <v>365</v>
      </c>
      <c r="Q1113" s="198">
        <f>INT(30*(Tabla1[[#This Row],[FECHAS CONTB AGNLDO]]/365))</f>
        <v>30</v>
      </c>
      <c r="R1113" s="244">
        <f ca="1">IF($W$32=$W$26,Tabla1[[#This Row],[SUE DIA]]*Tabla1[[#This Row],[DIAS PAG AGNLDO]],0)</f>
        <v>0</v>
      </c>
      <c r="S1113" s="244">
        <f ca="1">(_xlfn.DAYS(TODAY(),Tabla1[[#This Row],[FECHA ING]])/365)</f>
        <v>12.46027397260274</v>
      </c>
      <c r="T1113" s="244">
        <f ca="1">IF(Tabla1[[#This Row],[DIAS VAC]]&gt;1,Tabla1[[#This Row],[DIAS VAC]]-Tabla1[[#This Row],[ANTIG]],Tabla1[[#This Row],[DIAS VAC]])</f>
        <v>0.4602739726027405</v>
      </c>
      <c r="U1113" s="244">
        <f ca="1">Tabla1[[#This Row],[VALID ANTIG]]*Tabla1[[#This Row],[SUE DIA]]*Tabla1[[#This Row],[DIAS VAC PAG]]</f>
        <v>1449.8630136986326</v>
      </c>
    </row>
    <row r="1114" spans="2:21" hidden="1" x14ac:dyDescent="0.25">
      <c r="B1114" s="243">
        <v>203</v>
      </c>
      <c r="C1114" s="140" t="str">
        <f>VLOOKUP(B1114,BDD[],2,0)</f>
        <v>Laura Estefany Alonso Coronado</v>
      </c>
      <c r="D1114" s="140">
        <f>VLOOKUP(B1114,BDD[],3,0)</f>
        <v>9541</v>
      </c>
      <c r="E1114" s="140">
        <f>VLOOKUP(B1114,BDD[],4,0)</f>
        <v>318.03333333333336</v>
      </c>
      <c r="F1114" s="142">
        <f>VLOOKUP(B1114,BDD[],26,0)</f>
        <v>35.337037037037042</v>
      </c>
      <c r="G1114" s="268">
        <f>VLOOKUP(B1114,BDD[],6,0)</f>
        <v>40223</v>
      </c>
      <c r="H1114" s="139">
        <f ca="1">VLOOKUP(B1114,BDD[],7,0)</f>
        <v>12</v>
      </c>
      <c r="I1114" s="139">
        <f ca="1">VLOOKUP(B1114,BDD[],22,0)</f>
        <v>10</v>
      </c>
      <c r="J1114" s="168">
        <v>15</v>
      </c>
      <c r="K1114" s="139">
        <f>Tabla1[[#This Row],[DIAS LAB]]*Tabla1[[#This Row],[SUE DIA]]</f>
        <v>4770.5</v>
      </c>
      <c r="L1114" s="168">
        <v>0</v>
      </c>
      <c r="M1114" s="198">
        <f>Tabla1[[#This Row],[HRS EXT]]*Tabla1[[#This Row],[SUE X HR]]</f>
        <v>0</v>
      </c>
      <c r="N1114" s="168">
        <v>0</v>
      </c>
      <c r="O1114" s="198">
        <f>Tabla1[[#This Row],[ASUETO]]*Tabla1[[#This Row],[SUE DIA]]</f>
        <v>0</v>
      </c>
      <c r="P1114" s="139">
        <f>IF(Tabla1[[#This Row],[FECHA ING]]&lt;$P$1007,365,_xlfn.DAYS($P$1008,Tabla1[[#This Row],[FECHA ING]])+1)</f>
        <v>365</v>
      </c>
      <c r="Q1114" s="198">
        <f>INT(30*(Tabla1[[#This Row],[FECHAS CONTB AGNLDO]]/365))</f>
        <v>30</v>
      </c>
      <c r="R1114" s="244">
        <f ca="1">IF($W$32=$W$26,Tabla1[[#This Row],[SUE DIA]]*Tabla1[[#This Row],[DIAS PAG AGNLDO]],0)</f>
        <v>0</v>
      </c>
      <c r="S1114" s="244">
        <f ca="1">(_xlfn.DAYS(TODAY(),Tabla1[[#This Row],[FECHA ING]])/365)</f>
        <v>12.43013698630137</v>
      </c>
      <c r="T1114" s="244">
        <f ca="1">IF(Tabla1[[#This Row],[DIAS VAC]]&gt;1,Tabla1[[#This Row],[DIAS VAC]]-Tabla1[[#This Row],[ANTIG]],Tabla1[[#This Row],[DIAS VAC]])</f>
        <v>0.43013698630137043</v>
      </c>
      <c r="U1114" s="244">
        <f ca="1">Tabla1[[#This Row],[VALID ANTIG]]*Tabla1[[#This Row],[SUE DIA]]*Tabla1[[#This Row],[DIAS VAC PAG]]</f>
        <v>1367.9789954337916</v>
      </c>
    </row>
    <row r="1115" spans="2:21" hidden="1" x14ac:dyDescent="0.25">
      <c r="B1115" s="243">
        <v>205</v>
      </c>
      <c r="C1115" s="140" t="str">
        <f>VLOOKUP(B1115,BDD[],2,0)</f>
        <v>Pedro Oliveros Vazquez</v>
      </c>
      <c r="D1115" s="140">
        <f>VLOOKUP(B1115,BDD[],3,0)</f>
        <v>9450</v>
      </c>
      <c r="E1115" s="140">
        <f>VLOOKUP(B1115,BDD[],4,0)</f>
        <v>315</v>
      </c>
      <c r="F1115" s="142">
        <f>VLOOKUP(B1115,BDD[],26,0)</f>
        <v>35</v>
      </c>
      <c r="G1115" s="268">
        <f>VLOOKUP(B1115,BDD[],6,0)</f>
        <v>40243</v>
      </c>
      <c r="H1115" s="139">
        <f ca="1">VLOOKUP(B1115,BDD[],7,0)</f>
        <v>12</v>
      </c>
      <c r="I1115" s="139">
        <f ca="1">VLOOKUP(B1115,BDD[],22,0)</f>
        <v>10</v>
      </c>
      <c r="J1115" s="168">
        <v>15</v>
      </c>
      <c r="K1115" s="139">
        <f>Tabla1[[#This Row],[DIAS LAB]]*Tabla1[[#This Row],[SUE DIA]]</f>
        <v>4725</v>
      </c>
      <c r="L1115" s="168">
        <v>0</v>
      </c>
      <c r="M1115" s="198">
        <f>Tabla1[[#This Row],[HRS EXT]]*Tabla1[[#This Row],[SUE X HR]]</f>
        <v>0</v>
      </c>
      <c r="N1115" s="168">
        <v>0</v>
      </c>
      <c r="O1115" s="198">
        <f>Tabla1[[#This Row],[ASUETO]]*Tabla1[[#This Row],[SUE DIA]]</f>
        <v>0</v>
      </c>
      <c r="P1115" s="139">
        <f>IF(Tabla1[[#This Row],[FECHA ING]]&lt;$P$1007,365,_xlfn.DAYS($P$1008,Tabla1[[#This Row],[FECHA ING]])+1)</f>
        <v>365</v>
      </c>
      <c r="Q1115" s="198">
        <f>INT(30*(Tabla1[[#This Row],[FECHAS CONTB AGNLDO]]/365))</f>
        <v>30</v>
      </c>
      <c r="R1115" s="244">
        <f ca="1">IF($W$32=$W$26,Tabla1[[#This Row],[SUE DIA]]*Tabla1[[#This Row],[DIAS PAG AGNLDO]],0)</f>
        <v>0</v>
      </c>
      <c r="S1115" s="244">
        <f ca="1">(_xlfn.DAYS(TODAY(),Tabla1[[#This Row],[FECHA ING]])/365)</f>
        <v>12.375342465753425</v>
      </c>
      <c r="T1115" s="244">
        <f ca="1">IF(Tabla1[[#This Row],[DIAS VAC]]&gt;1,Tabla1[[#This Row],[DIAS VAC]]-Tabla1[[#This Row],[ANTIG]],Tabla1[[#This Row],[DIAS VAC]])</f>
        <v>0.375342465753425</v>
      </c>
      <c r="U1115" s="244">
        <f ca="1">Tabla1[[#This Row],[VALID ANTIG]]*Tabla1[[#This Row],[SUE DIA]]*Tabla1[[#This Row],[DIAS VAC PAG]]</f>
        <v>1182.3287671232888</v>
      </c>
    </row>
    <row r="1116" spans="2:21" hidden="1" x14ac:dyDescent="0.25">
      <c r="B1116" s="243">
        <v>206</v>
      </c>
      <c r="C1116" s="140" t="str">
        <f>VLOOKUP(B1116,BDD[],2,0)</f>
        <v>Evelin Yamileth Cantu Cabral</v>
      </c>
      <c r="D1116" s="140">
        <f>VLOOKUP(B1116,BDD[],3,0)</f>
        <v>8825</v>
      </c>
      <c r="E1116" s="140">
        <f>VLOOKUP(B1116,BDD[],4,0)</f>
        <v>294.16666666666669</v>
      </c>
      <c r="F1116" s="142">
        <f>VLOOKUP(B1116,BDD[],26,0)</f>
        <v>32.68518518518519</v>
      </c>
      <c r="G1116" s="268">
        <f>VLOOKUP(B1116,BDD[],6,0)</f>
        <v>40262</v>
      </c>
      <c r="H1116" s="139">
        <f ca="1">VLOOKUP(B1116,BDD[],7,0)</f>
        <v>12</v>
      </c>
      <c r="I1116" s="139">
        <f ca="1">VLOOKUP(B1116,BDD[],22,0)</f>
        <v>10</v>
      </c>
      <c r="J1116" s="168">
        <v>15</v>
      </c>
      <c r="K1116" s="139">
        <f>Tabla1[[#This Row],[DIAS LAB]]*Tabla1[[#This Row],[SUE DIA]]</f>
        <v>4412.5</v>
      </c>
      <c r="L1116" s="168">
        <v>0</v>
      </c>
      <c r="M1116" s="198">
        <f>Tabla1[[#This Row],[HRS EXT]]*Tabla1[[#This Row],[SUE X HR]]</f>
        <v>0</v>
      </c>
      <c r="N1116" s="168">
        <v>0</v>
      </c>
      <c r="O1116" s="198">
        <f>Tabla1[[#This Row],[ASUETO]]*Tabla1[[#This Row],[SUE DIA]]</f>
        <v>0</v>
      </c>
      <c r="P1116" s="139">
        <f>IF(Tabla1[[#This Row],[FECHA ING]]&lt;$P$1007,365,_xlfn.DAYS($P$1008,Tabla1[[#This Row],[FECHA ING]])+1)</f>
        <v>365</v>
      </c>
      <c r="Q1116" s="198">
        <f>INT(30*(Tabla1[[#This Row],[FECHAS CONTB AGNLDO]]/365))</f>
        <v>30</v>
      </c>
      <c r="R1116" s="244">
        <f ca="1">IF($W$32=$W$26,Tabla1[[#This Row],[SUE DIA]]*Tabla1[[#This Row],[DIAS PAG AGNLDO]],0)</f>
        <v>0</v>
      </c>
      <c r="S1116" s="244">
        <f ca="1">(_xlfn.DAYS(TODAY(),Tabla1[[#This Row],[FECHA ING]])/365)</f>
        <v>12.323287671232876</v>
      </c>
      <c r="T1116" s="244">
        <f ca="1">IF(Tabla1[[#This Row],[DIAS VAC]]&gt;1,Tabla1[[#This Row],[DIAS VAC]]-Tabla1[[#This Row],[ANTIG]],Tabla1[[#This Row],[DIAS VAC]])</f>
        <v>0.32328767123287605</v>
      </c>
      <c r="U1116" s="244">
        <f ca="1">Tabla1[[#This Row],[VALID ANTIG]]*Tabla1[[#This Row],[SUE DIA]]*Tabla1[[#This Row],[DIAS VAC PAG]]</f>
        <v>951.00456621004378</v>
      </c>
    </row>
    <row r="1117" spans="2:21" hidden="1" x14ac:dyDescent="0.25">
      <c r="B1117" s="243">
        <v>207</v>
      </c>
      <c r="C1117" s="140" t="str">
        <f>VLOOKUP(B1117,BDD[],2,0)</f>
        <v>Efrain Bahena Salgado</v>
      </c>
      <c r="D1117" s="140">
        <f>VLOOKUP(B1117,BDD[],3,0)</f>
        <v>7445</v>
      </c>
      <c r="E1117" s="140">
        <f>VLOOKUP(B1117,BDD[],4,0)</f>
        <v>248.16666666666666</v>
      </c>
      <c r="F1117" s="142">
        <f>VLOOKUP(B1117,BDD[],26,0)</f>
        <v>27.574074074074073</v>
      </c>
      <c r="G1117" s="268">
        <f>VLOOKUP(B1117,BDD[],6,0)</f>
        <v>40268</v>
      </c>
      <c r="H1117" s="139">
        <f ca="1">VLOOKUP(B1117,BDD[],7,0)</f>
        <v>12</v>
      </c>
      <c r="I1117" s="139">
        <f ca="1">VLOOKUP(B1117,BDD[],22,0)</f>
        <v>10</v>
      </c>
      <c r="J1117" s="168">
        <v>15</v>
      </c>
      <c r="K1117" s="139">
        <f>Tabla1[[#This Row],[DIAS LAB]]*Tabla1[[#This Row],[SUE DIA]]</f>
        <v>3722.5</v>
      </c>
      <c r="L1117" s="168">
        <v>0</v>
      </c>
      <c r="M1117" s="198">
        <f>Tabla1[[#This Row],[HRS EXT]]*Tabla1[[#This Row],[SUE X HR]]</f>
        <v>0</v>
      </c>
      <c r="N1117" s="168">
        <v>0</v>
      </c>
      <c r="O1117" s="198">
        <f>Tabla1[[#This Row],[ASUETO]]*Tabla1[[#This Row],[SUE DIA]]</f>
        <v>0</v>
      </c>
      <c r="P1117" s="139">
        <f>IF(Tabla1[[#This Row],[FECHA ING]]&lt;$P$1007,365,_xlfn.DAYS($P$1008,Tabla1[[#This Row],[FECHA ING]])+1)</f>
        <v>365</v>
      </c>
      <c r="Q1117" s="198">
        <f>INT(30*(Tabla1[[#This Row],[FECHAS CONTB AGNLDO]]/365))</f>
        <v>30</v>
      </c>
      <c r="R1117" s="244">
        <f ca="1">IF($W$32=$W$26,Tabla1[[#This Row],[SUE DIA]]*Tabla1[[#This Row],[DIAS PAG AGNLDO]],0)</f>
        <v>0</v>
      </c>
      <c r="S1117" s="244">
        <f ca="1">(_xlfn.DAYS(TODAY(),Tabla1[[#This Row],[FECHA ING]])/365)</f>
        <v>12.306849315068494</v>
      </c>
      <c r="T1117" s="244">
        <f ca="1">IF(Tabla1[[#This Row],[DIAS VAC]]&gt;1,Tabla1[[#This Row],[DIAS VAC]]-Tabla1[[#This Row],[ANTIG]],Tabla1[[#This Row],[DIAS VAC]])</f>
        <v>0.30684931506849367</v>
      </c>
      <c r="U1117" s="244">
        <f ca="1">Tabla1[[#This Row],[VALID ANTIG]]*Tabla1[[#This Row],[SUE DIA]]*Tabla1[[#This Row],[DIAS VAC PAG]]</f>
        <v>761.49771689497834</v>
      </c>
    </row>
    <row r="1118" spans="2:21" hidden="1" x14ac:dyDescent="0.25">
      <c r="B1118" s="243">
        <v>208</v>
      </c>
      <c r="C1118" s="140" t="str">
        <f>VLOOKUP(B1118,BDD[],2,0)</f>
        <v>Adrian Guzman Cipriano</v>
      </c>
      <c r="D1118" s="140">
        <f>VLOOKUP(B1118,BDD[],3,0)</f>
        <v>10860</v>
      </c>
      <c r="E1118" s="140">
        <f>VLOOKUP(B1118,BDD[],4,0)</f>
        <v>362</v>
      </c>
      <c r="F1118" s="142">
        <f>VLOOKUP(B1118,BDD[],26,0)</f>
        <v>40.222222222222221</v>
      </c>
      <c r="G1118" s="268">
        <f>VLOOKUP(B1118,BDD[],6,0)</f>
        <v>40312</v>
      </c>
      <c r="H1118" s="139">
        <f ca="1">VLOOKUP(B1118,BDD[],7,0)</f>
        <v>12</v>
      </c>
      <c r="I1118" s="139">
        <f ca="1">VLOOKUP(B1118,BDD[],22,0)</f>
        <v>10</v>
      </c>
      <c r="J1118" s="168">
        <v>15</v>
      </c>
      <c r="K1118" s="139">
        <f>Tabla1[[#This Row],[DIAS LAB]]*Tabla1[[#This Row],[SUE DIA]]</f>
        <v>5430</v>
      </c>
      <c r="L1118" s="168">
        <v>0</v>
      </c>
      <c r="M1118" s="198">
        <f>Tabla1[[#This Row],[HRS EXT]]*Tabla1[[#This Row],[SUE X HR]]</f>
        <v>0</v>
      </c>
      <c r="N1118" s="168">
        <v>0</v>
      </c>
      <c r="O1118" s="198">
        <f>Tabla1[[#This Row],[ASUETO]]*Tabla1[[#This Row],[SUE DIA]]</f>
        <v>0</v>
      </c>
      <c r="P1118" s="139">
        <f>IF(Tabla1[[#This Row],[FECHA ING]]&lt;$P$1007,365,_xlfn.DAYS($P$1008,Tabla1[[#This Row],[FECHA ING]])+1)</f>
        <v>365</v>
      </c>
      <c r="Q1118" s="198">
        <f>INT(30*(Tabla1[[#This Row],[FECHAS CONTB AGNLDO]]/365))</f>
        <v>30</v>
      </c>
      <c r="R1118" s="244">
        <f ca="1">IF($W$32=$W$26,Tabla1[[#This Row],[SUE DIA]]*Tabla1[[#This Row],[DIAS PAG AGNLDO]],0)</f>
        <v>0</v>
      </c>
      <c r="S1118" s="244">
        <f ca="1">(_xlfn.DAYS(TODAY(),Tabla1[[#This Row],[FECHA ING]])/365)</f>
        <v>12.186301369863013</v>
      </c>
      <c r="T1118" s="244">
        <f ca="1">IF(Tabla1[[#This Row],[DIAS VAC]]&gt;1,Tabla1[[#This Row],[DIAS VAC]]-Tabla1[[#This Row],[ANTIG]],Tabla1[[#This Row],[DIAS VAC]])</f>
        <v>0.18630136986301338</v>
      </c>
      <c r="U1118" s="244">
        <f ca="1">Tabla1[[#This Row],[VALID ANTIG]]*Tabla1[[#This Row],[SUE DIA]]*Tabla1[[#This Row],[DIAS VAC PAG]]</f>
        <v>674.4109589041085</v>
      </c>
    </row>
    <row r="1119" spans="2:21" hidden="1" x14ac:dyDescent="0.25">
      <c r="B1119" s="243">
        <v>209</v>
      </c>
      <c r="C1119" s="140" t="str">
        <f>VLOOKUP(B1119,BDD[],2,0)</f>
        <v>Brigido Martinez Baltazar</v>
      </c>
      <c r="D1119" s="140">
        <f>VLOOKUP(B1119,BDD[],3,0)</f>
        <v>7445</v>
      </c>
      <c r="E1119" s="140">
        <f>VLOOKUP(B1119,BDD[],4,0)</f>
        <v>248.16666666666666</v>
      </c>
      <c r="F1119" s="142">
        <f>VLOOKUP(B1119,BDD[],26,0)</f>
        <v>27.574074074074073</v>
      </c>
      <c r="G1119" s="268">
        <f>VLOOKUP(B1119,BDD[],6,0)</f>
        <v>40337</v>
      </c>
      <c r="H1119" s="139">
        <f ca="1">VLOOKUP(B1119,BDD[],7,0)</f>
        <v>12</v>
      </c>
      <c r="I1119" s="139">
        <f ca="1">VLOOKUP(B1119,BDD[],22,0)</f>
        <v>10</v>
      </c>
      <c r="J1119" s="168">
        <v>15</v>
      </c>
      <c r="K1119" s="139">
        <f>Tabla1[[#This Row],[DIAS LAB]]*Tabla1[[#This Row],[SUE DIA]]</f>
        <v>3722.5</v>
      </c>
      <c r="L1119" s="168">
        <v>0</v>
      </c>
      <c r="M1119" s="198">
        <f>Tabla1[[#This Row],[HRS EXT]]*Tabla1[[#This Row],[SUE X HR]]</f>
        <v>0</v>
      </c>
      <c r="N1119" s="168">
        <v>0</v>
      </c>
      <c r="O1119" s="198">
        <f>Tabla1[[#This Row],[ASUETO]]*Tabla1[[#This Row],[SUE DIA]]</f>
        <v>0</v>
      </c>
      <c r="P1119" s="139">
        <f>IF(Tabla1[[#This Row],[FECHA ING]]&lt;$P$1007,365,_xlfn.DAYS($P$1008,Tabla1[[#This Row],[FECHA ING]])+1)</f>
        <v>365</v>
      </c>
      <c r="Q1119" s="198">
        <f>INT(30*(Tabla1[[#This Row],[FECHAS CONTB AGNLDO]]/365))</f>
        <v>30</v>
      </c>
      <c r="R1119" s="244">
        <f ca="1">IF($W$32=$W$26,Tabla1[[#This Row],[SUE DIA]]*Tabla1[[#This Row],[DIAS PAG AGNLDO]],0)</f>
        <v>0</v>
      </c>
      <c r="S1119" s="244">
        <f ca="1">(_xlfn.DAYS(TODAY(),Tabla1[[#This Row],[FECHA ING]])/365)</f>
        <v>12.117808219178082</v>
      </c>
      <c r="T1119" s="244">
        <f ca="1">IF(Tabla1[[#This Row],[DIAS VAC]]&gt;1,Tabla1[[#This Row],[DIAS VAC]]-Tabla1[[#This Row],[ANTIG]],Tabla1[[#This Row],[DIAS VAC]])</f>
        <v>0.11780821917808204</v>
      </c>
      <c r="U1119" s="244">
        <f ca="1">Tabla1[[#This Row],[VALID ANTIG]]*Tabla1[[#This Row],[SUE DIA]]*Tabla1[[#This Row],[DIAS VAC PAG]]</f>
        <v>292.36073059360695</v>
      </c>
    </row>
    <row r="1120" spans="2:21" hidden="1" x14ac:dyDescent="0.25">
      <c r="B1120" s="243">
        <v>211</v>
      </c>
      <c r="C1120" s="140" t="str">
        <f>VLOOKUP(B1120,BDD[],2,0)</f>
        <v>Erick Rogelio Montelongo Reyes</v>
      </c>
      <c r="D1120" s="140">
        <f>VLOOKUP(B1120,BDD[],3,0)</f>
        <v>9450</v>
      </c>
      <c r="E1120" s="140">
        <f>VLOOKUP(B1120,BDD[],4,0)</f>
        <v>315</v>
      </c>
      <c r="F1120" s="142">
        <f>VLOOKUP(B1120,BDD[],26,0)</f>
        <v>35</v>
      </c>
      <c r="G1120" s="268">
        <f>VLOOKUP(B1120,BDD[],6,0)</f>
        <v>40354</v>
      </c>
      <c r="H1120" s="139">
        <f ca="1">VLOOKUP(B1120,BDD[],7,0)</f>
        <v>12</v>
      </c>
      <c r="I1120" s="139">
        <f ca="1">VLOOKUP(B1120,BDD[],22,0)</f>
        <v>10</v>
      </c>
      <c r="J1120" s="168">
        <v>15</v>
      </c>
      <c r="K1120" s="139">
        <f>Tabla1[[#This Row],[DIAS LAB]]*Tabla1[[#This Row],[SUE DIA]]</f>
        <v>4725</v>
      </c>
      <c r="L1120" s="168">
        <v>0</v>
      </c>
      <c r="M1120" s="198">
        <f>Tabla1[[#This Row],[HRS EXT]]*Tabla1[[#This Row],[SUE X HR]]</f>
        <v>0</v>
      </c>
      <c r="N1120" s="168">
        <v>0</v>
      </c>
      <c r="O1120" s="198">
        <f>Tabla1[[#This Row],[ASUETO]]*Tabla1[[#This Row],[SUE DIA]]</f>
        <v>0</v>
      </c>
      <c r="P1120" s="198">
        <f>IF(Tabla1[[#This Row],[FECHA ING]]&lt;$P$1007,365,_xlfn.DAYS($P$1008,Tabla1[[#This Row],[FECHA ING]])+1)</f>
        <v>365</v>
      </c>
      <c r="Q1120" s="198">
        <f>INT(30*(Tabla1[[#This Row],[FECHAS CONTB AGNLDO]]/365))</f>
        <v>30</v>
      </c>
      <c r="R1120" s="244">
        <f ca="1">IF($W$32=$W$26,Tabla1[[#This Row],[SUE DIA]]*Tabla1[[#This Row],[DIAS PAG AGNLDO]],0)</f>
        <v>0</v>
      </c>
      <c r="S1120" s="244">
        <f ca="1">(_xlfn.DAYS(TODAY(),Tabla1[[#This Row],[FECHA ING]])/365)</f>
        <v>12.07123287671233</v>
      </c>
      <c r="T1120" s="244">
        <f ca="1">IF(Tabla1[[#This Row],[DIAS VAC]]&gt;1,Tabla1[[#This Row],[DIAS VAC]]-Tabla1[[#This Row],[ANTIG]],Tabla1[[#This Row],[DIAS VAC]])</f>
        <v>7.1232876712329585E-2</v>
      </c>
      <c r="U1120" s="244">
        <f ca="1">Tabla1[[#This Row],[VALID ANTIG]]*Tabla1[[#This Row],[SUE DIA]]*Tabla1[[#This Row],[DIAS VAC PAG]]</f>
        <v>224.38356164383819</v>
      </c>
    </row>
    <row r="1121" spans="2:21" hidden="1" x14ac:dyDescent="0.25">
      <c r="B1121" s="243">
        <v>213</v>
      </c>
      <c r="C1121" s="140" t="str">
        <f>VLOOKUP(B1121,BDD[],2,0)</f>
        <v>Alondra Abigail Bernal Hernandez</v>
      </c>
      <c r="D1121" s="140">
        <f>VLOOKUP(B1121,BDD[],3,0)</f>
        <v>7445</v>
      </c>
      <c r="E1121" s="140">
        <f>VLOOKUP(B1121,BDD[],4,0)</f>
        <v>248.16666666666666</v>
      </c>
      <c r="F1121" s="142">
        <f>VLOOKUP(B1121,BDD[],26,0)</f>
        <v>27.574074074074073</v>
      </c>
      <c r="G1121" s="268">
        <f>VLOOKUP(B1121,BDD[],6,0)</f>
        <v>40395</v>
      </c>
      <c r="H1121" s="139">
        <f ca="1">VLOOKUP(B1121,BDD[],7,0)</f>
        <v>11</v>
      </c>
      <c r="I1121" s="139">
        <f ca="1">VLOOKUP(B1121,BDD[],22,0)</f>
        <v>10</v>
      </c>
      <c r="J1121" s="168">
        <v>15</v>
      </c>
      <c r="K1121" s="139">
        <f>Tabla1[[#This Row],[DIAS LAB]]*Tabla1[[#This Row],[SUE DIA]]</f>
        <v>3722.5</v>
      </c>
      <c r="L1121" s="168">
        <v>0</v>
      </c>
      <c r="M1121" s="198">
        <f>Tabla1[[#This Row],[HRS EXT]]*Tabla1[[#This Row],[SUE X HR]]</f>
        <v>0</v>
      </c>
      <c r="N1121" s="168">
        <v>0</v>
      </c>
      <c r="O1121" s="198">
        <f>Tabla1[[#This Row],[ASUETO]]*Tabla1[[#This Row],[SUE DIA]]</f>
        <v>0</v>
      </c>
      <c r="P1121" s="139">
        <f>IF(Tabla1[[#This Row],[FECHA ING]]&lt;$P$1007,365,_xlfn.DAYS($P$1008,Tabla1[[#This Row],[FECHA ING]])+1)</f>
        <v>365</v>
      </c>
      <c r="Q1121" s="198">
        <f>INT(30*(Tabla1[[#This Row],[FECHAS CONTB AGNLDO]]/365))</f>
        <v>30</v>
      </c>
      <c r="R1121" s="244">
        <f ca="1">IF($W$32=$W$26,Tabla1[[#This Row],[SUE DIA]]*Tabla1[[#This Row],[DIAS PAG AGNLDO]],0)</f>
        <v>0</v>
      </c>
      <c r="S1121" s="244">
        <f ca="1">(_xlfn.DAYS(TODAY(),Tabla1[[#This Row],[FECHA ING]])/365)</f>
        <v>11.95890410958904</v>
      </c>
      <c r="T1121" s="244">
        <f ca="1">IF(Tabla1[[#This Row],[DIAS VAC]]&gt;1,Tabla1[[#This Row],[DIAS VAC]]-Tabla1[[#This Row],[ANTIG]],Tabla1[[#This Row],[DIAS VAC]])</f>
        <v>0.95890410958904049</v>
      </c>
      <c r="U1121" s="244">
        <f ca="1">Tabla1[[#This Row],[VALID ANTIG]]*Tabla1[[#This Row],[SUE DIA]]*Tabla1[[#This Row],[DIAS VAC PAG]]</f>
        <v>2379.6803652968019</v>
      </c>
    </row>
    <row r="1122" spans="2:21" hidden="1" x14ac:dyDescent="0.25">
      <c r="B1122" s="243">
        <v>214</v>
      </c>
      <c r="C1122" s="140" t="str">
        <f>VLOOKUP(B1122,BDD[],2,0)</f>
        <v>Saul Arturo Gámez De León</v>
      </c>
      <c r="D1122" s="140">
        <f>VLOOKUP(B1122,BDD[],3,0)</f>
        <v>9450</v>
      </c>
      <c r="E1122" s="140">
        <f>VLOOKUP(B1122,BDD[],4,0)</f>
        <v>315</v>
      </c>
      <c r="F1122" s="142">
        <f>VLOOKUP(B1122,BDD[],26,0)</f>
        <v>35</v>
      </c>
      <c r="G1122" s="268">
        <f>VLOOKUP(B1122,BDD[],6,0)</f>
        <v>40398</v>
      </c>
      <c r="H1122" s="139">
        <f ca="1">VLOOKUP(B1122,BDD[],7,0)</f>
        <v>11</v>
      </c>
      <c r="I1122" s="139">
        <f ca="1">VLOOKUP(B1122,BDD[],22,0)</f>
        <v>10</v>
      </c>
      <c r="J1122" s="168">
        <v>15</v>
      </c>
      <c r="K1122" s="139">
        <f>Tabla1[[#This Row],[DIAS LAB]]*Tabla1[[#This Row],[SUE DIA]]</f>
        <v>4725</v>
      </c>
      <c r="L1122" s="168">
        <v>0</v>
      </c>
      <c r="M1122" s="198">
        <f>Tabla1[[#This Row],[HRS EXT]]*Tabla1[[#This Row],[SUE X HR]]</f>
        <v>0</v>
      </c>
      <c r="N1122" s="168">
        <v>0</v>
      </c>
      <c r="O1122" s="198">
        <f>Tabla1[[#This Row],[ASUETO]]*Tabla1[[#This Row],[SUE DIA]]</f>
        <v>0</v>
      </c>
      <c r="P1122" s="139">
        <f>IF(Tabla1[[#This Row],[FECHA ING]]&lt;$P$1007,365,_xlfn.DAYS($P$1008,Tabla1[[#This Row],[FECHA ING]])+1)</f>
        <v>365</v>
      </c>
      <c r="Q1122" s="198">
        <f>INT(30*(Tabla1[[#This Row],[FECHAS CONTB AGNLDO]]/365))</f>
        <v>30</v>
      </c>
      <c r="R1122" s="244">
        <f ca="1">IF($W$32=$W$26,Tabla1[[#This Row],[SUE DIA]]*Tabla1[[#This Row],[DIAS PAG AGNLDO]],0)</f>
        <v>0</v>
      </c>
      <c r="S1122" s="244">
        <f ca="1">(_xlfn.DAYS(TODAY(),Tabla1[[#This Row],[FECHA ING]])/365)</f>
        <v>11.950684931506849</v>
      </c>
      <c r="T1122" s="244">
        <f ca="1">IF(Tabla1[[#This Row],[DIAS VAC]]&gt;1,Tabla1[[#This Row],[DIAS VAC]]-Tabla1[[#This Row],[ANTIG]],Tabla1[[#This Row],[DIAS VAC]])</f>
        <v>0.9506849315068493</v>
      </c>
      <c r="U1122" s="244">
        <f ca="1">Tabla1[[#This Row],[VALID ANTIG]]*Tabla1[[#This Row],[SUE DIA]]*Tabla1[[#This Row],[DIAS VAC PAG]]</f>
        <v>2994.6575342465753</v>
      </c>
    </row>
    <row r="1123" spans="2:21" hidden="1" x14ac:dyDescent="0.25">
      <c r="B1123" s="243">
        <v>215</v>
      </c>
      <c r="C1123" s="140" t="str">
        <f>VLOOKUP(B1123,BDD[],2,0)</f>
        <v>Dayana Milagros Sanchez Leos</v>
      </c>
      <c r="D1123" s="140">
        <f>VLOOKUP(B1123,BDD[],3,0)</f>
        <v>7950</v>
      </c>
      <c r="E1123" s="140">
        <f>VLOOKUP(B1123,BDD[],4,0)</f>
        <v>265</v>
      </c>
      <c r="F1123" s="142">
        <f>VLOOKUP(B1123,BDD[],26,0)</f>
        <v>29.444444444444443</v>
      </c>
      <c r="G1123" s="268">
        <f>VLOOKUP(B1123,BDD[],6,0)</f>
        <v>40417</v>
      </c>
      <c r="H1123" s="139">
        <f ca="1">VLOOKUP(B1123,BDD[],7,0)</f>
        <v>11</v>
      </c>
      <c r="I1123" s="139">
        <f ca="1">VLOOKUP(B1123,BDD[],22,0)</f>
        <v>10</v>
      </c>
      <c r="J1123" s="168">
        <v>15</v>
      </c>
      <c r="K1123" s="139">
        <f>Tabla1[[#This Row],[DIAS LAB]]*Tabla1[[#This Row],[SUE DIA]]</f>
        <v>3975</v>
      </c>
      <c r="L1123" s="168">
        <v>0</v>
      </c>
      <c r="M1123" s="198">
        <f>Tabla1[[#This Row],[HRS EXT]]*Tabla1[[#This Row],[SUE X HR]]</f>
        <v>0</v>
      </c>
      <c r="N1123" s="168">
        <v>0</v>
      </c>
      <c r="O1123" s="198">
        <f>Tabla1[[#This Row],[ASUETO]]*Tabla1[[#This Row],[SUE DIA]]</f>
        <v>0</v>
      </c>
      <c r="P1123" s="139">
        <f>IF(Tabla1[[#This Row],[FECHA ING]]&lt;$P$1007,365,_xlfn.DAYS($P$1008,Tabla1[[#This Row],[FECHA ING]])+1)</f>
        <v>365</v>
      </c>
      <c r="Q1123" s="198">
        <f>INT(30*(Tabla1[[#This Row],[FECHAS CONTB AGNLDO]]/365))</f>
        <v>30</v>
      </c>
      <c r="R1123" s="244">
        <f ca="1">IF($W$32=$W$26,Tabla1[[#This Row],[SUE DIA]]*Tabla1[[#This Row],[DIAS PAG AGNLDO]],0)</f>
        <v>0</v>
      </c>
      <c r="S1123" s="244">
        <f ca="1">(_xlfn.DAYS(TODAY(),Tabla1[[#This Row],[FECHA ING]])/365)</f>
        <v>11.898630136986302</v>
      </c>
      <c r="T1123" s="244">
        <f ca="1">IF(Tabla1[[#This Row],[DIAS VAC]]&gt;1,Tabla1[[#This Row],[DIAS VAC]]-Tabla1[[#This Row],[ANTIG]],Tabla1[[#This Row],[DIAS VAC]])</f>
        <v>0.89863013698630212</v>
      </c>
      <c r="U1123" s="244">
        <f ca="1">Tabla1[[#This Row],[VALID ANTIG]]*Tabla1[[#This Row],[SUE DIA]]*Tabla1[[#This Row],[DIAS VAC PAG]]</f>
        <v>2381.3698630137005</v>
      </c>
    </row>
    <row r="1124" spans="2:21" hidden="1" x14ac:dyDescent="0.25">
      <c r="B1124" s="243">
        <v>216</v>
      </c>
      <c r="C1124" s="140" t="str">
        <f>VLOOKUP(B1124,BDD[],2,0)</f>
        <v>Melba Antonio Texta</v>
      </c>
      <c r="D1124" s="140">
        <f>VLOOKUP(B1124,BDD[],3,0)</f>
        <v>9541</v>
      </c>
      <c r="E1124" s="140">
        <f>VLOOKUP(B1124,BDD[],4,0)</f>
        <v>318.03333333333336</v>
      </c>
      <c r="F1124" s="142">
        <f>VLOOKUP(B1124,BDD[],26,0)</f>
        <v>35.337037037037042</v>
      </c>
      <c r="G1124" s="268">
        <f>VLOOKUP(B1124,BDD[],6,0)</f>
        <v>40428</v>
      </c>
      <c r="H1124" s="139">
        <f ca="1">VLOOKUP(B1124,BDD[],7,0)</f>
        <v>11</v>
      </c>
      <c r="I1124" s="139">
        <f ca="1">VLOOKUP(B1124,BDD[],22,0)</f>
        <v>10</v>
      </c>
      <c r="J1124" s="168">
        <v>15</v>
      </c>
      <c r="K1124" s="139">
        <f>Tabla1[[#This Row],[DIAS LAB]]*Tabla1[[#This Row],[SUE DIA]]</f>
        <v>4770.5</v>
      </c>
      <c r="L1124" s="168">
        <v>0</v>
      </c>
      <c r="M1124" s="198">
        <f>Tabla1[[#This Row],[HRS EXT]]*Tabla1[[#This Row],[SUE X HR]]</f>
        <v>0</v>
      </c>
      <c r="N1124" s="168">
        <v>0</v>
      </c>
      <c r="O1124" s="198">
        <f>Tabla1[[#This Row],[ASUETO]]*Tabla1[[#This Row],[SUE DIA]]</f>
        <v>0</v>
      </c>
      <c r="P1124" s="139">
        <f>IF(Tabla1[[#This Row],[FECHA ING]]&lt;$P$1007,365,_xlfn.DAYS($P$1008,Tabla1[[#This Row],[FECHA ING]])+1)</f>
        <v>365</v>
      </c>
      <c r="Q1124" s="198">
        <f>INT(30*(Tabla1[[#This Row],[FECHAS CONTB AGNLDO]]/365))</f>
        <v>30</v>
      </c>
      <c r="R1124" s="244">
        <f ca="1">IF($W$32=$W$26,Tabla1[[#This Row],[SUE DIA]]*Tabla1[[#This Row],[DIAS PAG AGNLDO]],0)</f>
        <v>0</v>
      </c>
      <c r="S1124" s="244">
        <f ca="1">(_xlfn.DAYS(TODAY(),Tabla1[[#This Row],[FECHA ING]])/365)</f>
        <v>11.868493150684932</v>
      </c>
      <c r="T1124" s="244">
        <f ca="1">IF(Tabla1[[#This Row],[DIAS VAC]]&gt;1,Tabla1[[#This Row],[DIAS VAC]]-Tabla1[[#This Row],[ANTIG]],Tabla1[[#This Row],[DIAS VAC]])</f>
        <v>0.86849315068493205</v>
      </c>
      <c r="U1124" s="244">
        <f ca="1">Tabla1[[#This Row],[VALID ANTIG]]*Tabla1[[#This Row],[SUE DIA]]*Tabla1[[#This Row],[DIAS VAC PAG]]</f>
        <v>2762.0977168949794</v>
      </c>
    </row>
    <row r="1125" spans="2:21" hidden="1" x14ac:dyDescent="0.25">
      <c r="B1125" s="243">
        <v>217</v>
      </c>
      <c r="C1125" s="140" t="str">
        <f>VLOOKUP(B1125,BDD[],2,0)</f>
        <v>Emilene Palma Guzman</v>
      </c>
      <c r="D1125" s="140">
        <f>VLOOKUP(B1125,BDD[],3,0)</f>
        <v>6778</v>
      </c>
      <c r="E1125" s="140">
        <f>VLOOKUP(B1125,BDD[],4,0)</f>
        <v>225.93333333333334</v>
      </c>
      <c r="F1125" s="142">
        <f>VLOOKUP(B1125,BDD[],26,0)</f>
        <v>25.103703703703705</v>
      </c>
      <c r="G1125" s="268">
        <f>VLOOKUP(B1125,BDD[],6,0)</f>
        <v>40430</v>
      </c>
      <c r="H1125" s="139">
        <f ca="1">VLOOKUP(B1125,BDD[],7,0)</f>
        <v>11</v>
      </c>
      <c r="I1125" s="139">
        <f ca="1">VLOOKUP(B1125,BDD[],22,0)</f>
        <v>5</v>
      </c>
      <c r="J1125" s="168">
        <v>15</v>
      </c>
      <c r="K1125" s="139">
        <f>Tabla1[[#This Row],[DIAS LAB]]*Tabla1[[#This Row],[SUE DIA]]</f>
        <v>3389</v>
      </c>
      <c r="L1125" s="168">
        <v>0</v>
      </c>
      <c r="M1125" s="198">
        <f>Tabla1[[#This Row],[HRS EXT]]*Tabla1[[#This Row],[SUE X HR]]</f>
        <v>0</v>
      </c>
      <c r="N1125" s="168">
        <v>0</v>
      </c>
      <c r="O1125" s="198">
        <f>Tabla1[[#This Row],[ASUETO]]*Tabla1[[#This Row],[SUE DIA]]</f>
        <v>0</v>
      </c>
      <c r="P1125" s="139">
        <f>IF(Tabla1[[#This Row],[FECHA ING]]&lt;$P$1007,365,_xlfn.DAYS($P$1008,Tabla1[[#This Row],[FECHA ING]])+1)</f>
        <v>365</v>
      </c>
      <c r="Q1125" s="198">
        <f>INT(30*(Tabla1[[#This Row],[FECHAS CONTB AGNLDO]]/365))</f>
        <v>30</v>
      </c>
      <c r="R1125" s="244">
        <f ca="1">IF($W$32=$W$26,Tabla1[[#This Row],[SUE DIA]]*Tabla1[[#This Row],[DIAS PAG AGNLDO]],0)</f>
        <v>0</v>
      </c>
      <c r="S1125" s="244">
        <f ca="1">(_xlfn.DAYS(TODAY(),Tabla1[[#This Row],[FECHA ING]])/365)</f>
        <v>11.863013698630137</v>
      </c>
      <c r="T1125" s="244">
        <f ca="1">IF(Tabla1[[#This Row],[DIAS VAC]]&gt;1,Tabla1[[#This Row],[DIAS VAC]]-Tabla1[[#This Row],[ANTIG]],Tabla1[[#This Row],[DIAS VAC]])</f>
        <v>0.86301369863013733</v>
      </c>
      <c r="U1125" s="244">
        <f ca="1">Tabla1[[#This Row],[VALID ANTIG]]*Tabla1[[#This Row],[SUE DIA]]*Tabla1[[#This Row],[DIAS VAC PAG]]</f>
        <v>974.91780821917837</v>
      </c>
    </row>
    <row r="1126" spans="2:21" hidden="1" x14ac:dyDescent="0.25">
      <c r="B1126" s="243">
        <v>220</v>
      </c>
      <c r="C1126" s="140" t="str">
        <f>VLOOKUP(B1126,BDD[],2,0)</f>
        <v>Gabriel  Jimenez Ramos</v>
      </c>
      <c r="D1126" s="140">
        <f>VLOOKUP(B1126,BDD[],3,0)</f>
        <v>9541</v>
      </c>
      <c r="E1126" s="140">
        <f>VLOOKUP(B1126,BDD[],4,0)</f>
        <v>318.03333333333336</v>
      </c>
      <c r="F1126" s="142">
        <f>VLOOKUP(B1126,BDD[],26,0)</f>
        <v>35.337037037037042</v>
      </c>
      <c r="G1126" s="268">
        <f>VLOOKUP(B1126,BDD[],6,0)</f>
        <v>40433</v>
      </c>
      <c r="H1126" s="139">
        <f ca="1">VLOOKUP(B1126,BDD[],7,0)</f>
        <v>11</v>
      </c>
      <c r="I1126" s="139">
        <f ca="1">VLOOKUP(B1126,BDD[],22,0)</f>
        <v>10</v>
      </c>
      <c r="J1126" s="168">
        <v>15</v>
      </c>
      <c r="K1126" s="139">
        <f>Tabla1[[#This Row],[DIAS LAB]]*Tabla1[[#This Row],[SUE DIA]]</f>
        <v>4770.5</v>
      </c>
      <c r="L1126" s="168">
        <v>0</v>
      </c>
      <c r="M1126" s="198">
        <f>Tabla1[[#This Row],[HRS EXT]]*Tabla1[[#This Row],[SUE X HR]]</f>
        <v>0</v>
      </c>
      <c r="N1126" s="168">
        <v>0</v>
      </c>
      <c r="O1126" s="198">
        <f>Tabla1[[#This Row],[ASUETO]]*Tabla1[[#This Row],[SUE DIA]]</f>
        <v>0</v>
      </c>
      <c r="P1126" s="139">
        <f>IF(Tabla1[[#This Row],[FECHA ING]]&lt;$P$1007,365,_xlfn.DAYS($P$1008,Tabla1[[#This Row],[FECHA ING]])+1)</f>
        <v>365</v>
      </c>
      <c r="Q1126" s="198">
        <f>INT(30*(Tabla1[[#This Row],[FECHAS CONTB AGNLDO]]/365))</f>
        <v>30</v>
      </c>
      <c r="R1126" s="244">
        <f ca="1">IF($W$32=$W$26,Tabla1[[#This Row],[SUE DIA]]*Tabla1[[#This Row],[DIAS PAG AGNLDO]],0)</f>
        <v>0</v>
      </c>
      <c r="S1126" s="244">
        <f ca="1">(_xlfn.DAYS(TODAY(),Tabla1[[#This Row],[FECHA ING]])/365)</f>
        <v>11.854794520547944</v>
      </c>
      <c r="T1126" s="244">
        <f ca="1">IF(Tabla1[[#This Row],[DIAS VAC]]&gt;1,Tabla1[[#This Row],[DIAS VAC]]-Tabla1[[#This Row],[ANTIG]],Tabla1[[#This Row],[DIAS VAC]])</f>
        <v>0.85479452054794436</v>
      </c>
      <c r="U1126" s="244">
        <f ca="1">Tabla1[[#This Row],[VALID ANTIG]]*Tabla1[[#This Row],[SUE DIA]]*Tabla1[[#This Row],[DIAS VAC PAG]]</f>
        <v>2718.5315068493128</v>
      </c>
    </row>
    <row r="1127" spans="2:21" hidden="1" x14ac:dyDescent="0.25">
      <c r="B1127" s="243">
        <v>221</v>
      </c>
      <c r="C1127" s="140" t="str">
        <f>VLOOKUP(B1127,BDD[],2,0)</f>
        <v>Esteban Bonifacio Felipe</v>
      </c>
      <c r="D1127" s="140">
        <f>VLOOKUP(B1127,BDD[],3,0)</f>
        <v>9450</v>
      </c>
      <c r="E1127" s="140">
        <f>VLOOKUP(B1127,BDD[],4,0)</f>
        <v>315</v>
      </c>
      <c r="F1127" s="142">
        <f>VLOOKUP(B1127,BDD[],26,0)</f>
        <v>35</v>
      </c>
      <c r="G1127" s="268">
        <f>VLOOKUP(B1127,BDD[],6,0)</f>
        <v>40436</v>
      </c>
      <c r="H1127" s="139">
        <f ca="1">VLOOKUP(B1127,BDD[],7,0)</f>
        <v>11</v>
      </c>
      <c r="I1127" s="139">
        <f ca="1">VLOOKUP(B1127,BDD[],22,0)</f>
        <v>10</v>
      </c>
      <c r="J1127" s="168">
        <v>15</v>
      </c>
      <c r="K1127" s="139">
        <f>Tabla1[[#This Row],[DIAS LAB]]*Tabla1[[#This Row],[SUE DIA]]</f>
        <v>4725</v>
      </c>
      <c r="L1127" s="168">
        <v>0</v>
      </c>
      <c r="M1127" s="198">
        <f>Tabla1[[#This Row],[HRS EXT]]*Tabla1[[#This Row],[SUE X HR]]</f>
        <v>0</v>
      </c>
      <c r="N1127" s="168">
        <v>0</v>
      </c>
      <c r="O1127" s="198">
        <f>Tabla1[[#This Row],[ASUETO]]*Tabla1[[#This Row],[SUE DIA]]</f>
        <v>0</v>
      </c>
      <c r="P1127" s="139">
        <f>IF(Tabla1[[#This Row],[FECHA ING]]&lt;$P$1007,365,_xlfn.DAYS($P$1008,Tabla1[[#This Row],[FECHA ING]])+1)</f>
        <v>365</v>
      </c>
      <c r="Q1127" s="198">
        <f>INT(30*(Tabla1[[#This Row],[FECHAS CONTB AGNLDO]]/365))</f>
        <v>30</v>
      </c>
      <c r="R1127" s="244">
        <f ca="1">IF($W$32=$W$26,Tabla1[[#This Row],[SUE DIA]]*Tabla1[[#This Row],[DIAS PAG AGNLDO]],0)</f>
        <v>0</v>
      </c>
      <c r="S1127" s="244">
        <f ca="1">(_xlfn.DAYS(TODAY(),Tabla1[[#This Row],[FECHA ING]])/365)</f>
        <v>11.846575342465753</v>
      </c>
      <c r="T1127" s="244">
        <f ca="1">IF(Tabla1[[#This Row],[DIAS VAC]]&gt;1,Tabla1[[#This Row],[DIAS VAC]]-Tabla1[[#This Row],[ANTIG]],Tabla1[[#This Row],[DIAS VAC]])</f>
        <v>0.84657534246575317</v>
      </c>
      <c r="U1127" s="244">
        <f ca="1">Tabla1[[#This Row],[VALID ANTIG]]*Tabla1[[#This Row],[SUE DIA]]*Tabla1[[#This Row],[DIAS VAC PAG]]</f>
        <v>2666.712328767122</v>
      </c>
    </row>
    <row r="1128" spans="2:21" hidden="1" x14ac:dyDescent="0.25">
      <c r="B1128" s="243">
        <v>222</v>
      </c>
      <c r="C1128" s="140" t="str">
        <f>VLOOKUP(B1128,BDD[],2,0)</f>
        <v>Yadira Rohde Hernandez Lopez</v>
      </c>
      <c r="D1128" s="140">
        <f>VLOOKUP(B1128,BDD[],3,0)</f>
        <v>10860</v>
      </c>
      <c r="E1128" s="140">
        <f>VLOOKUP(B1128,BDD[],4,0)</f>
        <v>362</v>
      </c>
      <c r="F1128" s="142">
        <f>VLOOKUP(B1128,BDD[],26,0)</f>
        <v>40.222222222222221</v>
      </c>
      <c r="G1128" s="268">
        <f>VLOOKUP(B1128,BDD[],6,0)</f>
        <v>40454</v>
      </c>
      <c r="H1128" s="139">
        <f ca="1">VLOOKUP(B1128,BDD[],7,0)</f>
        <v>11</v>
      </c>
      <c r="I1128" s="139">
        <f ca="1">VLOOKUP(B1128,BDD[],22,0)</f>
        <v>10</v>
      </c>
      <c r="J1128" s="168">
        <v>15</v>
      </c>
      <c r="K1128" s="139">
        <f>Tabla1[[#This Row],[DIAS LAB]]*Tabla1[[#This Row],[SUE DIA]]</f>
        <v>5430</v>
      </c>
      <c r="L1128" s="168">
        <v>0</v>
      </c>
      <c r="M1128" s="198">
        <f>Tabla1[[#This Row],[HRS EXT]]*Tabla1[[#This Row],[SUE X HR]]</f>
        <v>0</v>
      </c>
      <c r="N1128" s="168">
        <v>0</v>
      </c>
      <c r="O1128" s="198">
        <f>Tabla1[[#This Row],[ASUETO]]*Tabla1[[#This Row],[SUE DIA]]</f>
        <v>0</v>
      </c>
      <c r="P1128" s="139">
        <f>IF(Tabla1[[#This Row],[FECHA ING]]&lt;$P$1007,365,_xlfn.DAYS($P$1008,Tabla1[[#This Row],[FECHA ING]])+1)</f>
        <v>365</v>
      </c>
      <c r="Q1128" s="198">
        <f>INT(30*(Tabla1[[#This Row],[FECHAS CONTB AGNLDO]]/365))</f>
        <v>30</v>
      </c>
      <c r="R1128" s="244">
        <f ca="1">IF($W$32=$W$26,Tabla1[[#This Row],[SUE DIA]]*Tabla1[[#This Row],[DIAS PAG AGNLDO]],0)</f>
        <v>0</v>
      </c>
      <c r="S1128" s="244">
        <f ca="1">(_xlfn.DAYS(TODAY(),Tabla1[[#This Row],[FECHA ING]])/365)</f>
        <v>11.797260273972602</v>
      </c>
      <c r="T1128" s="244">
        <f ca="1">IF(Tabla1[[#This Row],[DIAS VAC]]&gt;1,Tabla1[[#This Row],[DIAS VAC]]-Tabla1[[#This Row],[ANTIG]],Tabla1[[#This Row],[DIAS VAC]])</f>
        <v>0.79726027397260246</v>
      </c>
      <c r="U1128" s="244">
        <f ca="1">Tabla1[[#This Row],[VALID ANTIG]]*Tabla1[[#This Row],[SUE DIA]]*Tabla1[[#This Row],[DIAS VAC PAG]]</f>
        <v>2886.0821917808207</v>
      </c>
    </row>
    <row r="1129" spans="2:21" hidden="1" x14ac:dyDescent="0.25">
      <c r="B1129" s="243">
        <v>223</v>
      </c>
      <c r="C1129" s="140" t="str">
        <f>VLOOKUP(B1129,BDD[],2,0)</f>
        <v>Hector Bracho Cabrera</v>
      </c>
      <c r="D1129" s="140">
        <f>VLOOKUP(B1129,BDD[],3,0)</f>
        <v>9450</v>
      </c>
      <c r="E1129" s="140">
        <f>VLOOKUP(B1129,BDD[],4,0)</f>
        <v>315</v>
      </c>
      <c r="F1129" s="142">
        <f>VLOOKUP(B1129,BDD[],26,0)</f>
        <v>35</v>
      </c>
      <c r="G1129" s="268">
        <f>VLOOKUP(B1129,BDD[],6,0)</f>
        <v>40470</v>
      </c>
      <c r="H1129" s="139">
        <f ca="1">VLOOKUP(B1129,BDD[],7,0)</f>
        <v>11</v>
      </c>
      <c r="I1129" s="139">
        <f ca="1">VLOOKUP(B1129,BDD[],22,0)</f>
        <v>10</v>
      </c>
      <c r="J1129" s="168">
        <v>15</v>
      </c>
      <c r="K1129" s="139">
        <f>Tabla1[[#This Row],[DIAS LAB]]*Tabla1[[#This Row],[SUE DIA]]</f>
        <v>4725</v>
      </c>
      <c r="L1129" s="168">
        <v>0</v>
      </c>
      <c r="M1129" s="198">
        <f>Tabla1[[#This Row],[HRS EXT]]*Tabla1[[#This Row],[SUE X HR]]</f>
        <v>0</v>
      </c>
      <c r="N1129" s="168">
        <v>0</v>
      </c>
      <c r="O1129" s="198">
        <f>Tabla1[[#This Row],[ASUETO]]*Tabla1[[#This Row],[SUE DIA]]</f>
        <v>0</v>
      </c>
      <c r="P1129" s="139">
        <f>IF(Tabla1[[#This Row],[FECHA ING]]&lt;$P$1007,365,_xlfn.DAYS($P$1008,Tabla1[[#This Row],[FECHA ING]])+1)</f>
        <v>365</v>
      </c>
      <c r="Q1129" s="198">
        <f>INT(30*(Tabla1[[#This Row],[FECHAS CONTB AGNLDO]]/365))</f>
        <v>30</v>
      </c>
      <c r="R1129" s="244">
        <f ca="1">IF($W$32=$W$26,Tabla1[[#This Row],[SUE DIA]]*Tabla1[[#This Row],[DIAS PAG AGNLDO]],0)</f>
        <v>0</v>
      </c>
      <c r="S1129" s="244">
        <f ca="1">(_xlfn.DAYS(TODAY(),Tabla1[[#This Row],[FECHA ING]])/365)</f>
        <v>11.753424657534246</v>
      </c>
      <c r="T1129" s="244">
        <f ca="1">IF(Tabla1[[#This Row],[DIAS VAC]]&gt;1,Tabla1[[#This Row],[DIAS VAC]]-Tabla1[[#This Row],[ANTIG]],Tabla1[[#This Row],[DIAS VAC]])</f>
        <v>0.75342465753424648</v>
      </c>
      <c r="U1129" s="244">
        <f ca="1">Tabla1[[#This Row],[VALID ANTIG]]*Tabla1[[#This Row],[SUE DIA]]*Tabla1[[#This Row],[DIAS VAC PAG]]</f>
        <v>2373.2876712328762</v>
      </c>
    </row>
    <row r="1130" spans="2:21" hidden="1" x14ac:dyDescent="0.25">
      <c r="B1130" s="243">
        <v>225</v>
      </c>
      <c r="C1130" s="140" t="str">
        <f>VLOOKUP(B1130,BDD[],2,0)</f>
        <v>Esmeralda Sanchez Hernandez</v>
      </c>
      <c r="D1130" s="140">
        <f>VLOOKUP(B1130,BDD[],3,0)</f>
        <v>9450</v>
      </c>
      <c r="E1130" s="140">
        <f>VLOOKUP(B1130,BDD[],4,0)</f>
        <v>315</v>
      </c>
      <c r="F1130" s="142">
        <f>VLOOKUP(B1130,BDD[],26,0)</f>
        <v>35</v>
      </c>
      <c r="G1130" s="268">
        <f>VLOOKUP(B1130,BDD[],6,0)</f>
        <v>40544</v>
      </c>
      <c r="H1130" s="139">
        <f ca="1">VLOOKUP(B1130,BDD[],7,0)</f>
        <v>11</v>
      </c>
      <c r="I1130" s="139">
        <f ca="1">VLOOKUP(B1130,BDD[],22,0)</f>
        <v>10</v>
      </c>
      <c r="J1130" s="168">
        <v>15</v>
      </c>
      <c r="K1130" s="139">
        <f>Tabla1[[#This Row],[DIAS LAB]]*Tabla1[[#This Row],[SUE DIA]]</f>
        <v>4725</v>
      </c>
      <c r="L1130" s="168">
        <v>0</v>
      </c>
      <c r="M1130" s="198">
        <f>Tabla1[[#This Row],[HRS EXT]]*Tabla1[[#This Row],[SUE X HR]]</f>
        <v>0</v>
      </c>
      <c r="N1130" s="168">
        <v>0</v>
      </c>
      <c r="O1130" s="198">
        <f>Tabla1[[#This Row],[ASUETO]]*Tabla1[[#This Row],[SUE DIA]]</f>
        <v>0</v>
      </c>
      <c r="P1130" s="139">
        <f>IF(Tabla1[[#This Row],[FECHA ING]]&lt;$P$1007,365,_xlfn.DAYS($P$1008,Tabla1[[#This Row],[FECHA ING]])+1)</f>
        <v>365</v>
      </c>
      <c r="Q1130" s="198">
        <f>INT(30*(Tabla1[[#This Row],[FECHAS CONTB AGNLDO]]/365))</f>
        <v>30</v>
      </c>
      <c r="R1130" s="244">
        <f ca="1">IF($W$32=$W$26,Tabla1[[#This Row],[SUE DIA]]*Tabla1[[#This Row],[DIAS PAG AGNLDO]],0)</f>
        <v>0</v>
      </c>
      <c r="S1130" s="244">
        <f ca="1">(_xlfn.DAYS(TODAY(),Tabla1[[#This Row],[FECHA ING]])/365)</f>
        <v>11.550684931506849</v>
      </c>
      <c r="T1130" s="244">
        <f ca="1">IF(Tabla1[[#This Row],[DIAS VAC]]&gt;1,Tabla1[[#This Row],[DIAS VAC]]-Tabla1[[#This Row],[ANTIG]],Tabla1[[#This Row],[DIAS VAC]])</f>
        <v>0.55068493150684894</v>
      </c>
      <c r="U1130" s="244">
        <f ca="1">Tabla1[[#This Row],[VALID ANTIG]]*Tabla1[[#This Row],[SUE DIA]]*Tabla1[[#This Row],[DIAS VAC PAG]]</f>
        <v>1734.657534246574</v>
      </c>
    </row>
    <row r="1131" spans="2:21" hidden="1" x14ac:dyDescent="0.25">
      <c r="B1131" s="243">
        <v>227</v>
      </c>
      <c r="C1131" s="140" t="str">
        <f>VLOOKUP(B1131,BDD[],2,0)</f>
        <v>Beatriz Adriana Zavaleta Minor</v>
      </c>
      <c r="D1131" s="140">
        <f>VLOOKUP(B1131,BDD[],3,0)</f>
        <v>10860</v>
      </c>
      <c r="E1131" s="140">
        <f>VLOOKUP(B1131,BDD[],4,0)</f>
        <v>362</v>
      </c>
      <c r="F1131" s="142">
        <f>VLOOKUP(B1131,BDD[],26,0)</f>
        <v>40.222222222222221</v>
      </c>
      <c r="G1131" s="268">
        <f>VLOOKUP(B1131,BDD[],6,0)</f>
        <v>40604</v>
      </c>
      <c r="H1131" s="139">
        <f ca="1">VLOOKUP(B1131,BDD[],7,0)</f>
        <v>11</v>
      </c>
      <c r="I1131" s="139">
        <f ca="1">VLOOKUP(B1131,BDD[],22,0)</f>
        <v>10</v>
      </c>
      <c r="J1131" s="168">
        <v>15</v>
      </c>
      <c r="K1131" s="139">
        <f>Tabla1[[#This Row],[DIAS LAB]]*Tabla1[[#This Row],[SUE DIA]]</f>
        <v>5430</v>
      </c>
      <c r="L1131" s="168">
        <v>0</v>
      </c>
      <c r="M1131" s="198">
        <f>Tabla1[[#This Row],[HRS EXT]]*Tabla1[[#This Row],[SUE X HR]]</f>
        <v>0</v>
      </c>
      <c r="N1131" s="168">
        <v>0</v>
      </c>
      <c r="O1131" s="198">
        <f>Tabla1[[#This Row],[ASUETO]]*Tabla1[[#This Row],[SUE DIA]]</f>
        <v>0</v>
      </c>
      <c r="P1131" s="139">
        <f>IF(Tabla1[[#This Row],[FECHA ING]]&lt;$P$1007,365,_xlfn.DAYS($P$1008,Tabla1[[#This Row],[FECHA ING]])+1)</f>
        <v>365</v>
      </c>
      <c r="Q1131" s="198">
        <f>INT(30*(Tabla1[[#This Row],[FECHAS CONTB AGNLDO]]/365))</f>
        <v>30</v>
      </c>
      <c r="R1131" s="244">
        <f ca="1">IF($W$32=$W$26,Tabla1[[#This Row],[SUE DIA]]*Tabla1[[#This Row],[DIAS PAG AGNLDO]],0)</f>
        <v>0</v>
      </c>
      <c r="S1131" s="244">
        <f ca="1">(_xlfn.DAYS(TODAY(),Tabla1[[#This Row],[FECHA ING]])/365)</f>
        <v>11.386301369863014</v>
      </c>
      <c r="T1131" s="244">
        <f ca="1">IF(Tabla1[[#This Row],[DIAS VAC]]&gt;1,Tabla1[[#This Row],[DIAS VAC]]-Tabla1[[#This Row],[ANTIG]],Tabla1[[#This Row],[DIAS VAC]])</f>
        <v>0.38630136986301444</v>
      </c>
      <c r="U1131" s="244">
        <f ca="1">Tabla1[[#This Row],[VALID ANTIG]]*Tabla1[[#This Row],[SUE DIA]]*Tabla1[[#This Row],[DIAS VAC PAG]]</f>
        <v>1398.4109589041122</v>
      </c>
    </row>
    <row r="1132" spans="2:21" hidden="1" x14ac:dyDescent="0.25">
      <c r="B1132" s="243">
        <v>228</v>
      </c>
      <c r="C1132" s="140" t="str">
        <f>VLOOKUP(B1132,BDD[],2,0)</f>
        <v>Angela Yazmin Olivares Rivera</v>
      </c>
      <c r="D1132" s="140">
        <f>VLOOKUP(B1132,BDD[],3,0)</f>
        <v>9450</v>
      </c>
      <c r="E1132" s="140">
        <f>VLOOKUP(B1132,BDD[],4,0)</f>
        <v>315</v>
      </c>
      <c r="F1132" s="142">
        <f>VLOOKUP(B1132,BDD[],26,0)</f>
        <v>35</v>
      </c>
      <c r="G1132" s="268">
        <f>VLOOKUP(B1132,BDD[],6,0)</f>
        <v>40607</v>
      </c>
      <c r="H1132" s="139">
        <f ca="1">VLOOKUP(B1132,BDD[],7,0)</f>
        <v>11</v>
      </c>
      <c r="I1132" s="139">
        <f ca="1">VLOOKUP(B1132,BDD[],22,0)</f>
        <v>10</v>
      </c>
      <c r="J1132" s="168">
        <v>15</v>
      </c>
      <c r="K1132" s="139">
        <f>Tabla1[[#This Row],[DIAS LAB]]*Tabla1[[#This Row],[SUE DIA]]</f>
        <v>4725</v>
      </c>
      <c r="L1132" s="168">
        <v>0</v>
      </c>
      <c r="M1132" s="198">
        <f>Tabla1[[#This Row],[HRS EXT]]*Tabla1[[#This Row],[SUE X HR]]</f>
        <v>0</v>
      </c>
      <c r="N1132" s="168">
        <v>0</v>
      </c>
      <c r="O1132" s="198">
        <f>Tabla1[[#This Row],[ASUETO]]*Tabla1[[#This Row],[SUE DIA]]</f>
        <v>0</v>
      </c>
      <c r="P1132" s="139">
        <f>IF(Tabla1[[#This Row],[FECHA ING]]&lt;$P$1007,365,_xlfn.DAYS($P$1008,Tabla1[[#This Row],[FECHA ING]])+1)</f>
        <v>365</v>
      </c>
      <c r="Q1132" s="198">
        <f>INT(30*(Tabla1[[#This Row],[FECHAS CONTB AGNLDO]]/365))</f>
        <v>30</v>
      </c>
      <c r="R1132" s="244">
        <f ca="1">IF($W$32=$W$26,Tabla1[[#This Row],[SUE DIA]]*Tabla1[[#This Row],[DIAS PAG AGNLDO]],0)</f>
        <v>0</v>
      </c>
      <c r="S1132" s="244">
        <f ca="1">(_xlfn.DAYS(TODAY(),Tabla1[[#This Row],[FECHA ING]])/365)</f>
        <v>11.378082191780821</v>
      </c>
      <c r="T1132" s="244">
        <f ca="1">IF(Tabla1[[#This Row],[DIAS VAC]]&gt;1,Tabla1[[#This Row],[DIAS VAC]]-Tabla1[[#This Row],[ANTIG]],Tabla1[[#This Row],[DIAS VAC]])</f>
        <v>0.37808219178082147</v>
      </c>
      <c r="U1132" s="244">
        <f ca="1">Tabla1[[#This Row],[VALID ANTIG]]*Tabla1[[#This Row],[SUE DIA]]*Tabla1[[#This Row],[DIAS VAC PAG]]</f>
        <v>1190.9589041095876</v>
      </c>
    </row>
    <row r="1133" spans="2:21" hidden="1" x14ac:dyDescent="0.25">
      <c r="B1133" s="243">
        <v>229</v>
      </c>
      <c r="C1133" s="140" t="str">
        <f>VLOOKUP(B1133,BDD[],2,0)</f>
        <v>America Anakaren Coronado Trejo</v>
      </c>
      <c r="D1133" s="140">
        <f>VLOOKUP(B1133,BDD[],3,0)</f>
        <v>9450</v>
      </c>
      <c r="E1133" s="140">
        <f>VLOOKUP(B1133,BDD[],4,0)</f>
        <v>315</v>
      </c>
      <c r="F1133" s="142">
        <f>VLOOKUP(B1133,BDD[],26,0)</f>
        <v>35</v>
      </c>
      <c r="G1133" s="268">
        <f>VLOOKUP(B1133,BDD[],6,0)</f>
        <v>40642</v>
      </c>
      <c r="H1133" s="139">
        <f ca="1">VLOOKUP(B1133,BDD[],7,0)</f>
        <v>11</v>
      </c>
      <c r="I1133" s="139">
        <f ca="1">VLOOKUP(B1133,BDD[],22,0)</f>
        <v>10</v>
      </c>
      <c r="J1133" s="168">
        <v>15</v>
      </c>
      <c r="K1133" s="139">
        <f>Tabla1[[#This Row],[DIAS LAB]]*Tabla1[[#This Row],[SUE DIA]]</f>
        <v>4725</v>
      </c>
      <c r="L1133" s="168">
        <v>0</v>
      </c>
      <c r="M1133" s="198">
        <f>Tabla1[[#This Row],[HRS EXT]]*Tabla1[[#This Row],[SUE X HR]]</f>
        <v>0</v>
      </c>
      <c r="N1133" s="168">
        <v>0</v>
      </c>
      <c r="O1133" s="198">
        <f>Tabla1[[#This Row],[ASUETO]]*Tabla1[[#This Row],[SUE DIA]]</f>
        <v>0</v>
      </c>
      <c r="P1133" s="139">
        <f>IF(Tabla1[[#This Row],[FECHA ING]]&lt;$P$1007,365,_xlfn.DAYS($P$1008,Tabla1[[#This Row],[FECHA ING]])+1)</f>
        <v>365</v>
      </c>
      <c r="Q1133" s="198">
        <f>INT(30*(Tabla1[[#This Row],[FECHAS CONTB AGNLDO]]/365))</f>
        <v>30</v>
      </c>
      <c r="R1133" s="244">
        <f ca="1">IF($W$32=$W$26,Tabla1[[#This Row],[SUE DIA]]*Tabla1[[#This Row],[DIAS PAG AGNLDO]],0)</f>
        <v>0</v>
      </c>
      <c r="S1133" s="244">
        <f ca="1">(_xlfn.DAYS(TODAY(),Tabla1[[#This Row],[FECHA ING]])/365)</f>
        <v>11.282191780821918</v>
      </c>
      <c r="T1133" s="244">
        <f ca="1">IF(Tabla1[[#This Row],[DIAS VAC]]&gt;1,Tabla1[[#This Row],[DIAS VAC]]-Tabla1[[#This Row],[ANTIG]],Tabla1[[#This Row],[DIAS VAC]])</f>
        <v>0.28219178082191831</v>
      </c>
      <c r="U1133" s="244">
        <f ca="1">Tabla1[[#This Row],[VALID ANTIG]]*Tabla1[[#This Row],[SUE DIA]]*Tabla1[[#This Row],[DIAS VAC PAG]]</f>
        <v>888.90410958904272</v>
      </c>
    </row>
    <row r="1134" spans="2:21" hidden="1" x14ac:dyDescent="0.25">
      <c r="B1134" s="243">
        <v>231</v>
      </c>
      <c r="C1134" s="140" t="str">
        <f>VLOOKUP(B1134,BDD[],2,0)</f>
        <v>Luz Adriana Valenzo Lozano</v>
      </c>
      <c r="D1134" s="140">
        <f>VLOOKUP(B1134,BDD[],3,0)</f>
        <v>9541</v>
      </c>
      <c r="E1134" s="140">
        <f>VLOOKUP(B1134,BDD[],4,0)</f>
        <v>318.03333333333336</v>
      </c>
      <c r="F1134" s="142">
        <f>VLOOKUP(B1134,BDD[],26,0)</f>
        <v>35.337037037037042</v>
      </c>
      <c r="G1134" s="268">
        <f>VLOOKUP(B1134,BDD[],6,0)</f>
        <v>40675</v>
      </c>
      <c r="H1134" s="139">
        <f ca="1">VLOOKUP(B1134,BDD[],7,0)</f>
        <v>11</v>
      </c>
      <c r="I1134" s="139">
        <f ca="1">VLOOKUP(B1134,BDD[],22,0)</f>
        <v>10</v>
      </c>
      <c r="J1134" s="168">
        <v>15</v>
      </c>
      <c r="K1134" s="139">
        <f>Tabla1[[#This Row],[DIAS LAB]]*Tabla1[[#This Row],[SUE DIA]]</f>
        <v>4770.5</v>
      </c>
      <c r="L1134" s="168">
        <v>0</v>
      </c>
      <c r="M1134" s="198">
        <f>Tabla1[[#This Row],[HRS EXT]]*Tabla1[[#This Row],[SUE X HR]]</f>
        <v>0</v>
      </c>
      <c r="N1134" s="168">
        <v>0</v>
      </c>
      <c r="O1134" s="198">
        <f>Tabla1[[#This Row],[ASUETO]]*Tabla1[[#This Row],[SUE DIA]]</f>
        <v>0</v>
      </c>
      <c r="P1134" s="139">
        <f>IF(Tabla1[[#This Row],[FECHA ING]]&lt;$P$1007,365,_xlfn.DAYS($P$1008,Tabla1[[#This Row],[FECHA ING]])+1)</f>
        <v>365</v>
      </c>
      <c r="Q1134" s="198">
        <f>INT(30*(Tabla1[[#This Row],[FECHAS CONTB AGNLDO]]/365))</f>
        <v>30</v>
      </c>
      <c r="R1134" s="244">
        <f ca="1">IF($W$32=$W$26,Tabla1[[#This Row],[SUE DIA]]*Tabla1[[#This Row],[DIAS PAG AGNLDO]],0)</f>
        <v>0</v>
      </c>
      <c r="S1134" s="244">
        <f ca="1">(_xlfn.DAYS(TODAY(),Tabla1[[#This Row],[FECHA ING]])/365)</f>
        <v>11.191780821917808</v>
      </c>
      <c r="T1134" s="244">
        <f ca="1">IF(Tabla1[[#This Row],[DIAS VAC]]&gt;1,Tabla1[[#This Row],[DIAS VAC]]-Tabla1[[#This Row],[ANTIG]],Tabla1[[#This Row],[DIAS VAC]])</f>
        <v>0.1917808219178081</v>
      </c>
      <c r="U1134" s="244">
        <f ca="1">Tabla1[[#This Row],[VALID ANTIG]]*Tabla1[[#This Row],[SUE DIA]]*Tabla1[[#This Row],[DIAS VAC PAG]]</f>
        <v>609.92694063926911</v>
      </c>
    </row>
    <row r="1135" spans="2:21" hidden="1" x14ac:dyDescent="0.25">
      <c r="B1135" s="243">
        <v>232</v>
      </c>
      <c r="C1135" s="140" t="str">
        <f>VLOOKUP(B1135,BDD[],2,0)</f>
        <v>Karla Odalia Mejia Altamirano</v>
      </c>
      <c r="D1135" s="140">
        <f>VLOOKUP(B1135,BDD[],3,0)</f>
        <v>7445</v>
      </c>
      <c r="E1135" s="140">
        <f>VLOOKUP(B1135,BDD[],4,0)</f>
        <v>248.16666666666666</v>
      </c>
      <c r="F1135" s="142">
        <f>VLOOKUP(B1135,BDD[],26,0)</f>
        <v>27.574074074074073</v>
      </c>
      <c r="G1135" s="268">
        <f>VLOOKUP(B1135,BDD[],6,0)</f>
        <v>40685</v>
      </c>
      <c r="H1135" s="139">
        <f ca="1">VLOOKUP(B1135,BDD[],7,0)</f>
        <v>11</v>
      </c>
      <c r="I1135" s="139">
        <f ca="1">VLOOKUP(B1135,BDD[],22,0)</f>
        <v>10</v>
      </c>
      <c r="J1135" s="168">
        <v>15</v>
      </c>
      <c r="K1135" s="139">
        <f>Tabla1[[#This Row],[DIAS LAB]]*Tabla1[[#This Row],[SUE DIA]]</f>
        <v>3722.5</v>
      </c>
      <c r="L1135" s="168">
        <v>0</v>
      </c>
      <c r="M1135" s="198">
        <f>Tabla1[[#This Row],[HRS EXT]]*Tabla1[[#This Row],[SUE X HR]]</f>
        <v>0</v>
      </c>
      <c r="N1135" s="168">
        <v>0</v>
      </c>
      <c r="O1135" s="198">
        <f>Tabla1[[#This Row],[ASUETO]]*Tabla1[[#This Row],[SUE DIA]]</f>
        <v>0</v>
      </c>
      <c r="P1135" s="139">
        <f>IF(Tabla1[[#This Row],[FECHA ING]]&lt;$P$1007,365,_xlfn.DAYS($P$1008,Tabla1[[#This Row],[FECHA ING]])+1)</f>
        <v>365</v>
      </c>
      <c r="Q1135" s="198">
        <f>INT(30*(Tabla1[[#This Row],[FECHAS CONTB AGNLDO]]/365))</f>
        <v>30</v>
      </c>
      <c r="R1135" s="244">
        <f ca="1">IF($W$32=$W$26,Tabla1[[#This Row],[SUE DIA]]*Tabla1[[#This Row],[DIAS PAG AGNLDO]],0)</f>
        <v>0</v>
      </c>
      <c r="S1135" s="244">
        <f ca="1">(_xlfn.DAYS(TODAY(),Tabla1[[#This Row],[FECHA ING]])/365)</f>
        <v>11.164383561643836</v>
      </c>
      <c r="T1135" s="244">
        <f ca="1">IF(Tabla1[[#This Row],[DIAS VAC]]&gt;1,Tabla1[[#This Row],[DIAS VAC]]-Tabla1[[#This Row],[ANTIG]],Tabla1[[#This Row],[DIAS VAC]])</f>
        <v>0.16438356164383627</v>
      </c>
      <c r="U1135" s="244">
        <f ca="1">Tabla1[[#This Row],[VALID ANTIG]]*Tabla1[[#This Row],[SUE DIA]]*Tabla1[[#This Row],[DIAS VAC PAG]]</f>
        <v>407.94520547945365</v>
      </c>
    </row>
    <row r="1136" spans="2:21" hidden="1" x14ac:dyDescent="0.25">
      <c r="B1136" s="243">
        <v>233</v>
      </c>
      <c r="C1136" s="140" t="str">
        <f>VLOOKUP(B1136,BDD[],2,0)</f>
        <v>Jesús Eduardo Urbina Valdez</v>
      </c>
      <c r="D1136" s="140">
        <f>VLOOKUP(B1136,BDD[],3,0)</f>
        <v>9541</v>
      </c>
      <c r="E1136" s="140">
        <f>VLOOKUP(B1136,BDD[],4,0)</f>
        <v>318.03333333333336</v>
      </c>
      <c r="F1136" s="142">
        <f>VLOOKUP(B1136,BDD[],26,0)</f>
        <v>35.337037037037042</v>
      </c>
      <c r="G1136" s="268">
        <f>VLOOKUP(B1136,BDD[],6,0)</f>
        <v>40686</v>
      </c>
      <c r="H1136" s="139">
        <f ca="1">VLOOKUP(B1136,BDD[],7,0)</f>
        <v>11</v>
      </c>
      <c r="I1136" s="139">
        <f ca="1">VLOOKUP(B1136,BDD[],22,0)</f>
        <v>10</v>
      </c>
      <c r="J1136" s="168">
        <v>15</v>
      </c>
      <c r="K1136" s="139">
        <f>Tabla1[[#This Row],[DIAS LAB]]*Tabla1[[#This Row],[SUE DIA]]</f>
        <v>4770.5</v>
      </c>
      <c r="L1136" s="168">
        <v>0</v>
      </c>
      <c r="M1136" s="198">
        <f>Tabla1[[#This Row],[HRS EXT]]*Tabla1[[#This Row],[SUE X HR]]</f>
        <v>0</v>
      </c>
      <c r="N1136" s="168">
        <v>0</v>
      </c>
      <c r="O1136" s="198">
        <f>Tabla1[[#This Row],[ASUETO]]*Tabla1[[#This Row],[SUE DIA]]</f>
        <v>0</v>
      </c>
      <c r="P1136" s="139">
        <f>IF(Tabla1[[#This Row],[FECHA ING]]&lt;$P$1007,365,_xlfn.DAYS($P$1008,Tabla1[[#This Row],[FECHA ING]])+1)</f>
        <v>365</v>
      </c>
      <c r="Q1136" s="198">
        <f>INT(30*(Tabla1[[#This Row],[FECHAS CONTB AGNLDO]]/365))</f>
        <v>30</v>
      </c>
      <c r="R1136" s="244">
        <f ca="1">IF($W$32=$W$26,Tabla1[[#This Row],[SUE DIA]]*Tabla1[[#This Row],[DIAS PAG AGNLDO]],0)</f>
        <v>0</v>
      </c>
      <c r="S1136" s="244">
        <f ca="1">(_xlfn.DAYS(TODAY(),Tabla1[[#This Row],[FECHA ING]])/365)</f>
        <v>11.161643835616438</v>
      </c>
      <c r="T1136" s="244">
        <f ca="1">IF(Tabla1[[#This Row],[DIAS VAC]]&gt;1,Tabla1[[#This Row],[DIAS VAC]]-Tabla1[[#This Row],[ANTIG]],Tabla1[[#This Row],[DIAS VAC]])</f>
        <v>0.16164383561643803</v>
      </c>
      <c r="U1136" s="244">
        <f ca="1">Tabla1[[#This Row],[VALID ANTIG]]*Tabla1[[#This Row],[SUE DIA]]*Tabla1[[#This Row],[DIAS VAC PAG]]</f>
        <v>514.08127853881172</v>
      </c>
    </row>
    <row r="1137" spans="2:21" hidden="1" x14ac:dyDescent="0.25">
      <c r="B1137" s="243">
        <v>236</v>
      </c>
      <c r="C1137" s="140" t="str">
        <f>VLOOKUP(B1137,BDD[],2,0)</f>
        <v>Yeni Santibañez Perez</v>
      </c>
      <c r="D1137" s="140">
        <f>VLOOKUP(B1137,BDD[],3,0)</f>
        <v>10860</v>
      </c>
      <c r="E1137" s="140">
        <f>VLOOKUP(B1137,BDD[],4,0)</f>
        <v>362</v>
      </c>
      <c r="F1137" s="142">
        <f>VLOOKUP(B1137,BDD[],26,0)</f>
        <v>40.222222222222221</v>
      </c>
      <c r="G1137" s="268">
        <f>VLOOKUP(B1137,BDD[],6,0)</f>
        <v>40730</v>
      </c>
      <c r="H1137" s="139">
        <f ca="1">VLOOKUP(B1137,BDD[],7,0)</f>
        <v>11</v>
      </c>
      <c r="I1137" s="139">
        <f ca="1">VLOOKUP(B1137,BDD[],22,0)</f>
        <v>10</v>
      </c>
      <c r="J1137" s="168">
        <v>15</v>
      </c>
      <c r="K1137" s="139">
        <f>Tabla1[[#This Row],[DIAS LAB]]*Tabla1[[#This Row],[SUE DIA]]</f>
        <v>5430</v>
      </c>
      <c r="L1137" s="168">
        <v>0</v>
      </c>
      <c r="M1137" s="198">
        <f>Tabla1[[#This Row],[HRS EXT]]*Tabla1[[#This Row],[SUE X HR]]</f>
        <v>0</v>
      </c>
      <c r="N1137" s="168">
        <v>0</v>
      </c>
      <c r="O1137" s="198">
        <f>Tabla1[[#This Row],[ASUETO]]*Tabla1[[#This Row],[SUE DIA]]</f>
        <v>0</v>
      </c>
      <c r="P1137" s="139">
        <f>IF(Tabla1[[#This Row],[FECHA ING]]&lt;$P$1007,365,_xlfn.DAYS($P$1008,Tabla1[[#This Row],[FECHA ING]])+1)</f>
        <v>365</v>
      </c>
      <c r="Q1137" s="198">
        <f>INT(30*(Tabla1[[#This Row],[FECHAS CONTB AGNLDO]]/365))</f>
        <v>30</v>
      </c>
      <c r="R1137" s="244">
        <f ca="1">IF($W$32=$W$26,Tabla1[[#This Row],[SUE DIA]]*Tabla1[[#This Row],[DIAS PAG AGNLDO]],0)</f>
        <v>0</v>
      </c>
      <c r="S1137" s="244">
        <f ca="1">(_xlfn.DAYS(TODAY(),Tabla1[[#This Row],[FECHA ING]])/365)</f>
        <v>11.04109589041096</v>
      </c>
      <c r="T1137" s="244">
        <f ca="1">IF(Tabla1[[#This Row],[DIAS VAC]]&gt;1,Tabla1[[#This Row],[DIAS VAC]]-Tabla1[[#This Row],[ANTIG]],Tabla1[[#This Row],[DIAS VAC]])</f>
        <v>4.1095890410959512E-2</v>
      </c>
      <c r="U1137" s="244">
        <f ca="1">Tabla1[[#This Row],[VALID ANTIG]]*Tabla1[[#This Row],[SUE DIA]]*Tabla1[[#This Row],[DIAS VAC PAG]]</f>
        <v>148.76712328767343</v>
      </c>
    </row>
    <row r="1138" spans="2:21" hidden="1" x14ac:dyDescent="0.25">
      <c r="B1138" s="243">
        <v>237</v>
      </c>
      <c r="C1138" s="140" t="str">
        <f>VLOOKUP(B1138,BDD[],2,0)</f>
        <v>Nailea Alejandra Pérez Sánchez</v>
      </c>
      <c r="D1138" s="140">
        <f>VLOOKUP(B1138,BDD[],3,0)</f>
        <v>9450</v>
      </c>
      <c r="E1138" s="140">
        <f>VLOOKUP(B1138,BDD[],4,0)</f>
        <v>315</v>
      </c>
      <c r="F1138" s="142">
        <f>VLOOKUP(B1138,BDD[],26,0)</f>
        <v>35</v>
      </c>
      <c r="G1138" s="268">
        <f>VLOOKUP(B1138,BDD[],6,0)</f>
        <v>40753</v>
      </c>
      <c r="H1138" s="139">
        <f ca="1">VLOOKUP(B1138,BDD[],7,0)</f>
        <v>10</v>
      </c>
      <c r="I1138" s="139">
        <f ca="1">VLOOKUP(B1138,BDD[],22,0)</f>
        <v>10</v>
      </c>
      <c r="J1138" s="168">
        <v>15</v>
      </c>
      <c r="K1138" s="139">
        <f>Tabla1[[#This Row],[DIAS LAB]]*Tabla1[[#This Row],[SUE DIA]]</f>
        <v>4725</v>
      </c>
      <c r="L1138" s="168">
        <v>0</v>
      </c>
      <c r="M1138" s="198">
        <f>Tabla1[[#This Row],[HRS EXT]]*Tabla1[[#This Row],[SUE X HR]]</f>
        <v>0</v>
      </c>
      <c r="N1138" s="168">
        <v>0</v>
      </c>
      <c r="O1138" s="198">
        <f>Tabla1[[#This Row],[ASUETO]]*Tabla1[[#This Row],[SUE DIA]]</f>
        <v>0</v>
      </c>
      <c r="P1138" s="139">
        <f>IF(Tabla1[[#This Row],[FECHA ING]]&lt;$P$1007,365,_xlfn.DAYS($P$1008,Tabla1[[#This Row],[FECHA ING]])+1)</f>
        <v>365</v>
      </c>
      <c r="Q1138" s="198">
        <f>INT(30*(Tabla1[[#This Row],[FECHAS CONTB AGNLDO]]/365))</f>
        <v>30</v>
      </c>
      <c r="R1138" s="244">
        <f ca="1">IF($W$32=$W$26,Tabla1[[#This Row],[SUE DIA]]*Tabla1[[#This Row],[DIAS PAG AGNLDO]],0)</f>
        <v>0</v>
      </c>
      <c r="S1138" s="244">
        <f ca="1">(_xlfn.DAYS(TODAY(),Tabla1[[#This Row],[FECHA ING]])/365)</f>
        <v>10.978082191780821</v>
      </c>
      <c r="T1138" s="244">
        <f ca="1">IF(Tabla1[[#This Row],[DIAS VAC]]&gt;1,Tabla1[[#This Row],[DIAS VAC]]-Tabla1[[#This Row],[ANTIG]],Tabla1[[#This Row],[DIAS VAC]])</f>
        <v>0.97808219178082112</v>
      </c>
      <c r="U1138" s="244">
        <f ca="1">Tabla1[[#This Row],[VALID ANTIG]]*Tabla1[[#This Row],[SUE DIA]]*Tabla1[[#This Row],[DIAS VAC PAG]]</f>
        <v>3080.9589041095865</v>
      </c>
    </row>
    <row r="1139" spans="2:21" hidden="1" x14ac:dyDescent="0.25">
      <c r="B1139" s="243">
        <v>238</v>
      </c>
      <c r="C1139" s="140" t="str">
        <f>VLOOKUP(B1139,BDD[],2,0)</f>
        <v>Alejandra Lisette Villavicencio Rodríguez</v>
      </c>
      <c r="D1139" s="140">
        <f>VLOOKUP(B1139,BDD[],3,0)</f>
        <v>7950</v>
      </c>
      <c r="E1139" s="140">
        <f>VLOOKUP(B1139,BDD[],4,0)</f>
        <v>265</v>
      </c>
      <c r="F1139" s="142">
        <f>VLOOKUP(B1139,BDD[],26,0)</f>
        <v>29.444444444444443</v>
      </c>
      <c r="G1139" s="268">
        <f>VLOOKUP(B1139,BDD[],6,0)</f>
        <v>40754</v>
      </c>
      <c r="H1139" s="139">
        <f ca="1">VLOOKUP(B1139,BDD[],7,0)</f>
        <v>10</v>
      </c>
      <c r="I1139" s="139">
        <f ca="1">VLOOKUP(B1139,BDD[],22,0)</f>
        <v>10</v>
      </c>
      <c r="J1139" s="168">
        <v>15</v>
      </c>
      <c r="K1139" s="139">
        <f>Tabla1[[#This Row],[DIAS LAB]]*Tabla1[[#This Row],[SUE DIA]]</f>
        <v>3975</v>
      </c>
      <c r="L1139" s="168">
        <v>0</v>
      </c>
      <c r="M1139" s="198">
        <f>Tabla1[[#This Row],[HRS EXT]]*Tabla1[[#This Row],[SUE X HR]]</f>
        <v>0</v>
      </c>
      <c r="N1139" s="168">
        <v>0</v>
      </c>
      <c r="O1139" s="198">
        <f>Tabla1[[#This Row],[ASUETO]]*Tabla1[[#This Row],[SUE DIA]]</f>
        <v>0</v>
      </c>
      <c r="P1139" s="139">
        <f>IF(Tabla1[[#This Row],[FECHA ING]]&lt;$P$1007,365,_xlfn.DAYS($P$1008,Tabla1[[#This Row],[FECHA ING]])+1)</f>
        <v>365</v>
      </c>
      <c r="Q1139" s="198">
        <f>INT(30*(Tabla1[[#This Row],[FECHAS CONTB AGNLDO]]/365))</f>
        <v>30</v>
      </c>
      <c r="R1139" s="244">
        <f ca="1">IF($W$32=$W$26,Tabla1[[#This Row],[SUE DIA]]*Tabla1[[#This Row],[DIAS PAG AGNLDO]],0)</f>
        <v>0</v>
      </c>
      <c r="S1139" s="244">
        <f ca="1">(_xlfn.DAYS(TODAY(),Tabla1[[#This Row],[FECHA ING]])/365)</f>
        <v>10.975342465753425</v>
      </c>
      <c r="T1139" s="244">
        <f ca="1">IF(Tabla1[[#This Row],[DIAS VAC]]&gt;1,Tabla1[[#This Row],[DIAS VAC]]-Tabla1[[#This Row],[ANTIG]],Tabla1[[#This Row],[DIAS VAC]])</f>
        <v>0.97534246575342465</v>
      </c>
      <c r="U1139" s="244">
        <f ca="1">Tabla1[[#This Row],[VALID ANTIG]]*Tabla1[[#This Row],[SUE DIA]]*Tabla1[[#This Row],[DIAS VAC PAG]]</f>
        <v>2584.6575342465753</v>
      </c>
    </row>
    <row r="1140" spans="2:21" hidden="1" x14ac:dyDescent="0.25">
      <c r="B1140" s="243">
        <v>239</v>
      </c>
      <c r="C1140" s="140" t="str">
        <f>VLOOKUP(B1140,BDD[],2,0)</f>
        <v>Ma Guadalupe Delgado Pablo</v>
      </c>
      <c r="D1140" s="140">
        <f>VLOOKUP(B1140,BDD[],3,0)</f>
        <v>10350</v>
      </c>
      <c r="E1140" s="140">
        <f>VLOOKUP(B1140,BDD[],4,0)</f>
        <v>345</v>
      </c>
      <c r="F1140" s="142">
        <f>VLOOKUP(B1140,BDD[],26,0)</f>
        <v>38.333333333333336</v>
      </c>
      <c r="G1140" s="268">
        <f>VLOOKUP(B1140,BDD[],6,0)</f>
        <v>40769</v>
      </c>
      <c r="H1140" s="139">
        <f ca="1">VLOOKUP(B1140,BDD[],7,0)</f>
        <v>10</v>
      </c>
      <c r="I1140" s="139">
        <f ca="1">VLOOKUP(B1140,BDD[],22,0)</f>
        <v>10</v>
      </c>
      <c r="J1140" s="168">
        <v>15</v>
      </c>
      <c r="K1140" s="139">
        <f>Tabla1[[#This Row],[DIAS LAB]]*Tabla1[[#This Row],[SUE DIA]]</f>
        <v>5175</v>
      </c>
      <c r="L1140" s="168">
        <v>0</v>
      </c>
      <c r="M1140" s="198">
        <f>Tabla1[[#This Row],[HRS EXT]]*Tabla1[[#This Row],[SUE X HR]]</f>
        <v>0</v>
      </c>
      <c r="N1140" s="168">
        <v>0</v>
      </c>
      <c r="O1140" s="198">
        <f>Tabla1[[#This Row],[ASUETO]]*Tabla1[[#This Row],[SUE DIA]]</f>
        <v>0</v>
      </c>
      <c r="P1140" s="139">
        <f>IF(Tabla1[[#This Row],[FECHA ING]]&lt;$P$1007,365,_xlfn.DAYS($P$1008,Tabla1[[#This Row],[FECHA ING]])+1)</f>
        <v>365</v>
      </c>
      <c r="Q1140" s="198">
        <f>INT(30*(Tabla1[[#This Row],[FECHAS CONTB AGNLDO]]/365))</f>
        <v>30</v>
      </c>
      <c r="R1140" s="244">
        <f ca="1">IF($W$32=$W$26,Tabla1[[#This Row],[SUE DIA]]*Tabla1[[#This Row],[DIAS PAG AGNLDO]],0)</f>
        <v>0</v>
      </c>
      <c r="S1140" s="244">
        <f ca="1">(_xlfn.DAYS(TODAY(),Tabla1[[#This Row],[FECHA ING]])/365)</f>
        <v>10.934246575342465</v>
      </c>
      <c r="T1140" s="244">
        <f ca="1">IF(Tabla1[[#This Row],[DIAS VAC]]&gt;1,Tabla1[[#This Row],[DIAS VAC]]-Tabla1[[#This Row],[ANTIG]],Tabla1[[#This Row],[DIAS VAC]])</f>
        <v>0.93424657534246514</v>
      </c>
      <c r="U1140" s="244">
        <f ca="1">Tabla1[[#This Row],[VALID ANTIG]]*Tabla1[[#This Row],[SUE DIA]]*Tabla1[[#This Row],[DIAS VAC PAG]]</f>
        <v>3223.1506849315047</v>
      </c>
    </row>
    <row r="1141" spans="2:21" hidden="1" x14ac:dyDescent="0.25">
      <c r="B1141" s="243">
        <v>240</v>
      </c>
      <c r="C1141" s="140" t="str">
        <f>VLOOKUP(B1141,BDD[],2,0)</f>
        <v>Valeria Lisseth Rodríguez Padilla</v>
      </c>
      <c r="D1141" s="140">
        <f>VLOOKUP(B1141,BDD[],3,0)</f>
        <v>7950</v>
      </c>
      <c r="E1141" s="140">
        <f>VLOOKUP(B1141,BDD[],4,0)</f>
        <v>265</v>
      </c>
      <c r="F1141" s="142">
        <f>VLOOKUP(B1141,BDD[],26,0)</f>
        <v>29.444444444444443</v>
      </c>
      <c r="G1141" s="268">
        <f>VLOOKUP(B1141,BDD[],6,0)</f>
        <v>40803</v>
      </c>
      <c r="H1141" s="139">
        <f ca="1">VLOOKUP(B1141,BDD[],7,0)</f>
        <v>10</v>
      </c>
      <c r="I1141" s="139">
        <f ca="1">VLOOKUP(B1141,BDD[],22,0)</f>
        <v>10</v>
      </c>
      <c r="J1141" s="168">
        <v>15</v>
      </c>
      <c r="K1141" s="139">
        <f>Tabla1[[#This Row],[DIAS LAB]]*Tabla1[[#This Row],[SUE DIA]]</f>
        <v>3975</v>
      </c>
      <c r="L1141" s="168">
        <v>0</v>
      </c>
      <c r="M1141" s="198">
        <f>Tabla1[[#This Row],[HRS EXT]]*Tabla1[[#This Row],[SUE X HR]]</f>
        <v>0</v>
      </c>
      <c r="N1141" s="168">
        <v>0</v>
      </c>
      <c r="O1141" s="198">
        <f>Tabla1[[#This Row],[ASUETO]]*Tabla1[[#This Row],[SUE DIA]]</f>
        <v>0</v>
      </c>
      <c r="P1141" s="139">
        <f>IF(Tabla1[[#This Row],[FECHA ING]]&lt;$P$1007,365,_xlfn.DAYS($P$1008,Tabla1[[#This Row],[FECHA ING]])+1)</f>
        <v>365</v>
      </c>
      <c r="Q1141" s="198">
        <f>INT(30*(Tabla1[[#This Row],[FECHAS CONTB AGNLDO]]/365))</f>
        <v>30</v>
      </c>
      <c r="R1141" s="244">
        <f ca="1">IF($W$32=$W$26,Tabla1[[#This Row],[SUE DIA]]*Tabla1[[#This Row],[DIAS PAG AGNLDO]],0)</f>
        <v>0</v>
      </c>
      <c r="S1141" s="244">
        <f ca="1">(_xlfn.DAYS(TODAY(),Tabla1[[#This Row],[FECHA ING]])/365)</f>
        <v>10.841095890410958</v>
      </c>
      <c r="T1141" s="244">
        <f ca="1">IF(Tabla1[[#This Row],[DIAS VAC]]&gt;1,Tabla1[[#This Row],[DIAS VAC]]-Tabla1[[#This Row],[ANTIG]],Tabla1[[#This Row],[DIAS VAC]])</f>
        <v>0.84109589041095845</v>
      </c>
      <c r="U1141" s="244">
        <f ca="1">Tabla1[[#This Row],[VALID ANTIG]]*Tabla1[[#This Row],[SUE DIA]]*Tabla1[[#This Row],[DIAS VAC PAG]]</f>
        <v>2228.9041095890398</v>
      </c>
    </row>
    <row r="1142" spans="2:21" hidden="1" x14ac:dyDescent="0.25">
      <c r="B1142" s="243">
        <v>241</v>
      </c>
      <c r="C1142" s="140" t="str">
        <f>VLOOKUP(B1142,BDD[],2,0)</f>
        <v>Katia Nallely De La Rosa Saldaña</v>
      </c>
      <c r="D1142" s="140">
        <f>VLOOKUP(B1142,BDD[],3,0)</f>
        <v>7445</v>
      </c>
      <c r="E1142" s="140">
        <f>VLOOKUP(B1142,BDD[],4,0)</f>
        <v>248.16666666666666</v>
      </c>
      <c r="F1142" s="142">
        <f>VLOOKUP(B1142,BDD[],26,0)</f>
        <v>27.574074074074073</v>
      </c>
      <c r="G1142" s="268">
        <f>VLOOKUP(B1142,BDD[],6,0)</f>
        <v>40808</v>
      </c>
      <c r="H1142" s="139">
        <f ca="1">VLOOKUP(B1142,BDD[],7,0)</f>
        <v>10</v>
      </c>
      <c r="I1142" s="139">
        <f ca="1">VLOOKUP(B1142,BDD[],22,0)</f>
        <v>10</v>
      </c>
      <c r="J1142" s="168">
        <v>15</v>
      </c>
      <c r="K1142" s="139">
        <f>Tabla1[[#This Row],[DIAS LAB]]*Tabla1[[#This Row],[SUE DIA]]</f>
        <v>3722.5</v>
      </c>
      <c r="L1142" s="168">
        <v>0</v>
      </c>
      <c r="M1142" s="198">
        <f>Tabla1[[#This Row],[HRS EXT]]*Tabla1[[#This Row],[SUE X HR]]</f>
        <v>0</v>
      </c>
      <c r="N1142" s="168">
        <v>0</v>
      </c>
      <c r="O1142" s="198">
        <f>Tabla1[[#This Row],[ASUETO]]*Tabla1[[#This Row],[SUE DIA]]</f>
        <v>0</v>
      </c>
      <c r="P1142" s="139">
        <f>IF(Tabla1[[#This Row],[FECHA ING]]&lt;$P$1007,365,_xlfn.DAYS($P$1008,Tabla1[[#This Row],[FECHA ING]])+1)</f>
        <v>365</v>
      </c>
      <c r="Q1142" s="198">
        <f>INT(30*(Tabla1[[#This Row],[FECHAS CONTB AGNLDO]]/365))</f>
        <v>30</v>
      </c>
      <c r="R1142" s="244">
        <f ca="1">IF($W$32=$W$26,Tabla1[[#This Row],[SUE DIA]]*Tabla1[[#This Row],[DIAS PAG AGNLDO]],0)</f>
        <v>0</v>
      </c>
      <c r="S1142" s="244">
        <f ca="1">(_xlfn.DAYS(TODAY(),Tabla1[[#This Row],[FECHA ING]])/365)</f>
        <v>10.827397260273973</v>
      </c>
      <c r="T1142" s="244">
        <f ca="1">IF(Tabla1[[#This Row],[DIAS VAC]]&gt;1,Tabla1[[#This Row],[DIAS VAC]]-Tabla1[[#This Row],[ANTIG]],Tabla1[[#This Row],[DIAS VAC]])</f>
        <v>0.82739726027397253</v>
      </c>
      <c r="U1142" s="244">
        <f ca="1">Tabla1[[#This Row],[VALID ANTIG]]*Tabla1[[#This Row],[SUE DIA]]*Tabla1[[#This Row],[DIAS VAC PAG]]</f>
        <v>2053.3242009132418</v>
      </c>
    </row>
    <row r="1143" spans="2:21" hidden="1" x14ac:dyDescent="0.25">
      <c r="B1143" s="243">
        <v>242</v>
      </c>
      <c r="C1143" s="140" t="str">
        <f>VLOOKUP(B1143,BDD[],2,0)</f>
        <v>Feliciana Bueno Alcaraz</v>
      </c>
      <c r="D1143" s="140">
        <f>VLOOKUP(B1143,BDD[],3,0)</f>
        <v>9541</v>
      </c>
      <c r="E1143" s="140">
        <f>VLOOKUP(B1143,BDD[],4,0)</f>
        <v>318.03333333333336</v>
      </c>
      <c r="F1143" s="142">
        <f>VLOOKUP(B1143,BDD[],26,0)</f>
        <v>35.337037037037042</v>
      </c>
      <c r="G1143" s="268">
        <f>VLOOKUP(B1143,BDD[],6,0)</f>
        <v>40810</v>
      </c>
      <c r="H1143" s="139">
        <f ca="1">VLOOKUP(B1143,BDD[],7,0)</f>
        <v>10</v>
      </c>
      <c r="I1143" s="139">
        <f ca="1">VLOOKUP(B1143,BDD[],22,0)</f>
        <v>10</v>
      </c>
      <c r="J1143" s="168">
        <v>15</v>
      </c>
      <c r="K1143" s="139">
        <f>Tabla1[[#This Row],[DIAS LAB]]*Tabla1[[#This Row],[SUE DIA]]</f>
        <v>4770.5</v>
      </c>
      <c r="L1143" s="168">
        <v>0</v>
      </c>
      <c r="M1143" s="198">
        <f>Tabla1[[#This Row],[HRS EXT]]*Tabla1[[#This Row],[SUE X HR]]</f>
        <v>0</v>
      </c>
      <c r="N1143" s="168">
        <v>0</v>
      </c>
      <c r="O1143" s="198">
        <f>Tabla1[[#This Row],[ASUETO]]*Tabla1[[#This Row],[SUE DIA]]</f>
        <v>0</v>
      </c>
      <c r="P1143" s="139">
        <f>IF(Tabla1[[#This Row],[FECHA ING]]&lt;$P$1007,365,_xlfn.DAYS($P$1008,Tabla1[[#This Row],[FECHA ING]])+1)</f>
        <v>365</v>
      </c>
      <c r="Q1143" s="198">
        <f>INT(30*(Tabla1[[#This Row],[FECHAS CONTB AGNLDO]]/365))</f>
        <v>30</v>
      </c>
      <c r="R1143" s="244">
        <f ca="1">IF($W$32=$W$26,Tabla1[[#This Row],[SUE DIA]]*Tabla1[[#This Row],[DIAS PAG AGNLDO]],0)</f>
        <v>0</v>
      </c>
      <c r="S1143" s="244">
        <f ca="1">(_xlfn.DAYS(TODAY(),Tabla1[[#This Row],[FECHA ING]])/365)</f>
        <v>10.821917808219178</v>
      </c>
      <c r="T1143" s="244">
        <f ca="1">IF(Tabla1[[#This Row],[DIAS VAC]]&gt;1,Tabla1[[#This Row],[DIAS VAC]]-Tabla1[[#This Row],[ANTIG]],Tabla1[[#This Row],[DIAS VAC]])</f>
        <v>0.82191780821917781</v>
      </c>
      <c r="U1143" s="244">
        <f ca="1">Tabla1[[#This Row],[VALID ANTIG]]*Tabla1[[#This Row],[SUE DIA]]*Tabla1[[#This Row],[DIAS VAC PAG]]</f>
        <v>2613.9726027397255</v>
      </c>
    </row>
    <row r="1144" spans="2:21" hidden="1" x14ac:dyDescent="0.25">
      <c r="B1144" s="243">
        <v>243</v>
      </c>
      <c r="C1144" s="140" t="str">
        <f>VLOOKUP(B1144,BDD[],2,0)</f>
        <v>Juan Socorro Angeles Martinez</v>
      </c>
      <c r="D1144" s="140">
        <f>VLOOKUP(B1144,BDD[],3,0)</f>
        <v>10860</v>
      </c>
      <c r="E1144" s="140">
        <f>VLOOKUP(B1144,BDD[],4,0)</f>
        <v>362</v>
      </c>
      <c r="F1144" s="142">
        <f>VLOOKUP(B1144,BDD[],26,0)</f>
        <v>40.222222222222221</v>
      </c>
      <c r="G1144" s="268">
        <f>VLOOKUP(B1144,BDD[],6,0)</f>
        <v>40856</v>
      </c>
      <c r="H1144" s="139">
        <f ca="1">VLOOKUP(B1144,BDD[],7,0)</f>
        <v>10</v>
      </c>
      <c r="I1144" s="139">
        <f ca="1">VLOOKUP(B1144,BDD[],22,0)</f>
        <v>10</v>
      </c>
      <c r="J1144" s="168">
        <v>15</v>
      </c>
      <c r="K1144" s="139">
        <f>Tabla1[[#This Row],[DIAS LAB]]*Tabla1[[#This Row],[SUE DIA]]</f>
        <v>5430</v>
      </c>
      <c r="L1144" s="168">
        <v>0</v>
      </c>
      <c r="M1144" s="198">
        <f>Tabla1[[#This Row],[HRS EXT]]*Tabla1[[#This Row],[SUE X HR]]</f>
        <v>0</v>
      </c>
      <c r="N1144" s="168">
        <v>0</v>
      </c>
      <c r="O1144" s="198">
        <f>Tabla1[[#This Row],[ASUETO]]*Tabla1[[#This Row],[SUE DIA]]</f>
        <v>0</v>
      </c>
      <c r="P1144" s="139">
        <f>IF(Tabla1[[#This Row],[FECHA ING]]&lt;$P$1007,365,_xlfn.DAYS($P$1008,Tabla1[[#This Row],[FECHA ING]])+1)</f>
        <v>365</v>
      </c>
      <c r="Q1144" s="198">
        <f>INT(30*(Tabla1[[#This Row],[FECHAS CONTB AGNLDO]]/365))</f>
        <v>30</v>
      </c>
      <c r="R1144" s="244">
        <f ca="1">IF($W$32=$W$26,Tabla1[[#This Row],[SUE DIA]]*Tabla1[[#This Row],[DIAS PAG AGNLDO]],0)</f>
        <v>0</v>
      </c>
      <c r="S1144" s="244">
        <f ca="1">(_xlfn.DAYS(TODAY(),Tabla1[[#This Row],[FECHA ING]])/365)</f>
        <v>10.695890410958905</v>
      </c>
      <c r="T1144" s="244">
        <f ca="1">IF(Tabla1[[#This Row],[DIAS VAC]]&gt;1,Tabla1[[#This Row],[DIAS VAC]]-Tabla1[[#This Row],[ANTIG]],Tabla1[[#This Row],[DIAS VAC]])</f>
        <v>0.69589041095890458</v>
      </c>
      <c r="U1144" s="244">
        <f ca="1">Tabla1[[#This Row],[VALID ANTIG]]*Tabla1[[#This Row],[SUE DIA]]*Tabla1[[#This Row],[DIAS VAC PAG]]</f>
        <v>2519.1232876712347</v>
      </c>
    </row>
    <row r="1145" spans="2:21" hidden="1" x14ac:dyDescent="0.25">
      <c r="B1145" s="243">
        <v>245</v>
      </c>
      <c r="C1145" s="140" t="str">
        <f>VLOOKUP(B1145,BDD[],2,0)</f>
        <v>Eduardo Garza Guerra</v>
      </c>
      <c r="D1145" s="140">
        <f>VLOOKUP(B1145,BDD[],3,0)</f>
        <v>7445</v>
      </c>
      <c r="E1145" s="140">
        <f>VLOOKUP(B1145,BDD[],4,0)</f>
        <v>248.16666666666666</v>
      </c>
      <c r="F1145" s="142">
        <f>VLOOKUP(B1145,BDD[],26,0)</f>
        <v>27.574074074074073</v>
      </c>
      <c r="G1145" s="268">
        <f>VLOOKUP(B1145,BDD[],6,0)</f>
        <v>40857</v>
      </c>
      <c r="H1145" s="139">
        <f ca="1">VLOOKUP(B1145,BDD[],7,0)</f>
        <v>10</v>
      </c>
      <c r="I1145" s="139">
        <f ca="1">VLOOKUP(B1145,BDD[],22,0)</f>
        <v>10</v>
      </c>
      <c r="J1145" s="168">
        <v>15</v>
      </c>
      <c r="K1145" s="139">
        <f>Tabla1[[#This Row],[DIAS LAB]]*Tabla1[[#This Row],[SUE DIA]]</f>
        <v>3722.5</v>
      </c>
      <c r="L1145" s="168">
        <v>0</v>
      </c>
      <c r="M1145" s="198">
        <f>Tabla1[[#This Row],[HRS EXT]]*Tabla1[[#This Row],[SUE X HR]]</f>
        <v>0</v>
      </c>
      <c r="N1145" s="168">
        <v>0</v>
      </c>
      <c r="O1145" s="198">
        <f>Tabla1[[#This Row],[ASUETO]]*Tabla1[[#This Row],[SUE DIA]]</f>
        <v>0</v>
      </c>
      <c r="P1145" s="139">
        <f>IF(Tabla1[[#This Row],[FECHA ING]]&lt;$P$1007,365,_xlfn.DAYS($P$1008,Tabla1[[#This Row],[FECHA ING]])+1)</f>
        <v>365</v>
      </c>
      <c r="Q1145" s="198">
        <f>INT(30*(Tabla1[[#This Row],[FECHAS CONTB AGNLDO]]/365))</f>
        <v>30</v>
      </c>
      <c r="R1145" s="244">
        <f ca="1">IF($W$32=$W$26,Tabla1[[#This Row],[SUE DIA]]*Tabla1[[#This Row],[DIAS PAG AGNLDO]],0)</f>
        <v>0</v>
      </c>
      <c r="S1145" s="244">
        <f ca="1">(_xlfn.DAYS(TODAY(),Tabla1[[#This Row],[FECHA ING]])/365)</f>
        <v>10.693150684931506</v>
      </c>
      <c r="T1145" s="244">
        <f ca="1">IF(Tabla1[[#This Row],[DIAS VAC]]&gt;1,Tabla1[[#This Row],[DIAS VAC]]-Tabla1[[#This Row],[ANTIG]],Tabla1[[#This Row],[DIAS VAC]])</f>
        <v>0.69315068493150633</v>
      </c>
      <c r="U1145" s="244">
        <f ca="1">Tabla1[[#This Row],[VALID ANTIG]]*Tabla1[[#This Row],[SUE DIA]]*Tabla1[[#This Row],[DIAS VAC PAG]]</f>
        <v>1720.1689497716882</v>
      </c>
    </row>
    <row r="1146" spans="2:21" hidden="1" x14ac:dyDescent="0.25">
      <c r="B1146" s="243">
        <v>246</v>
      </c>
      <c r="C1146" s="140" t="str">
        <f>VLOOKUP(B1146,BDD[],2,0)</f>
        <v>Esmeralda Organista Peñaloza</v>
      </c>
      <c r="D1146" s="140">
        <f>VLOOKUP(B1146,BDD[],3,0)</f>
        <v>6778</v>
      </c>
      <c r="E1146" s="140">
        <f>VLOOKUP(B1146,BDD[],4,0)</f>
        <v>225.93333333333334</v>
      </c>
      <c r="F1146" s="142">
        <f>VLOOKUP(B1146,BDD[],26,0)</f>
        <v>25.103703703703705</v>
      </c>
      <c r="G1146" s="268">
        <f>VLOOKUP(B1146,BDD[],6,0)</f>
        <v>40860</v>
      </c>
      <c r="H1146" s="139">
        <f ca="1">VLOOKUP(B1146,BDD[],7,0)</f>
        <v>10</v>
      </c>
      <c r="I1146" s="139">
        <f ca="1">VLOOKUP(B1146,BDD[],22,0)</f>
        <v>5</v>
      </c>
      <c r="J1146" s="168">
        <v>15</v>
      </c>
      <c r="K1146" s="139">
        <f>Tabla1[[#This Row],[DIAS LAB]]*Tabla1[[#This Row],[SUE DIA]]</f>
        <v>3389</v>
      </c>
      <c r="L1146" s="168">
        <v>0</v>
      </c>
      <c r="M1146" s="198">
        <f>Tabla1[[#This Row],[HRS EXT]]*Tabla1[[#This Row],[SUE X HR]]</f>
        <v>0</v>
      </c>
      <c r="N1146" s="168">
        <v>0</v>
      </c>
      <c r="O1146" s="198">
        <f>Tabla1[[#This Row],[ASUETO]]*Tabla1[[#This Row],[SUE DIA]]</f>
        <v>0</v>
      </c>
      <c r="P1146" s="139">
        <f>IF(Tabla1[[#This Row],[FECHA ING]]&lt;$P$1007,365,_xlfn.DAYS($P$1008,Tabla1[[#This Row],[FECHA ING]])+1)</f>
        <v>365</v>
      </c>
      <c r="Q1146" s="198">
        <f>INT(30*(Tabla1[[#This Row],[FECHAS CONTB AGNLDO]]/365))</f>
        <v>30</v>
      </c>
      <c r="R1146" s="244">
        <f ca="1">IF($W$32=$W$26,Tabla1[[#This Row],[SUE DIA]]*Tabla1[[#This Row],[DIAS PAG AGNLDO]],0)</f>
        <v>0</v>
      </c>
      <c r="S1146" s="244">
        <f ca="1">(_xlfn.DAYS(TODAY(),Tabla1[[#This Row],[FECHA ING]])/365)</f>
        <v>10.684931506849315</v>
      </c>
      <c r="T1146" s="244">
        <f ca="1">IF(Tabla1[[#This Row],[DIAS VAC]]&gt;1,Tabla1[[#This Row],[DIAS VAC]]-Tabla1[[#This Row],[ANTIG]],Tabla1[[#This Row],[DIAS VAC]])</f>
        <v>0.68493150684931514</v>
      </c>
      <c r="U1146" s="244">
        <f ca="1">Tabla1[[#This Row],[VALID ANTIG]]*Tabla1[[#This Row],[SUE DIA]]*Tabla1[[#This Row],[DIAS VAC PAG]]</f>
        <v>773.74429223744301</v>
      </c>
    </row>
    <row r="1147" spans="2:21" hidden="1" x14ac:dyDescent="0.25">
      <c r="B1147" s="243">
        <v>247</v>
      </c>
      <c r="C1147" s="140" t="str">
        <f>VLOOKUP(B1147,BDD[],2,0)</f>
        <v>Abel Lopez Aguilar</v>
      </c>
      <c r="D1147" s="140">
        <f>VLOOKUP(B1147,BDD[],3,0)</f>
        <v>9541</v>
      </c>
      <c r="E1147" s="140">
        <f>VLOOKUP(B1147,BDD[],4,0)</f>
        <v>318.03333333333336</v>
      </c>
      <c r="F1147" s="142">
        <f>VLOOKUP(B1147,BDD[],26,0)</f>
        <v>35.337037037037042</v>
      </c>
      <c r="G1147" s="268">
        <f>VLOOKUP(B1147,BDD[],6,0)</f>
        <v>40887</v>
      </c>
      <c r="H1147" s="139">
        <f ca="1">VLOOKUP(B1147,BDD[],7,0)</f>
        <v>10</v>
      </c>
      <c r="I1147" s="139">
        <f ca="1">VLOOKUP(B1147,BDD[],22,0)</f>
        <v>10</v>
      </c>
      <c r="J1147" s="168">
        <v>15</v>
      </c>
      <c r="K1147" s="139">
        <f>Tabla1[[#This Row],[DIAS LAB]]*Tabla1[[#This Row],[SUE DIA]]</f>
        <v>4770.5</v>
      </c>
      <c r="L1147" s="168">
        <v>0</v>
      </c>
      <c r="M1147" s="198">
        <f>Tabla1[[#This Row],[HRS EXT]]*Tabla1[[#This Row],[SUE X HR]]</f>
        <v>0</v>
      </c>
      <c r="N1147" s="168">
        <v>0</v>
      </c>
      <c r="O1147" s="198">
        <f>Tabla1[[#This Row],[ASUETO]]*Tabla1[[#This Row],[SUE DIA]]</f>
        <v>0</v>
      </c>
      <c r="P1147" s="139">
        <f>IF(Tabla1[[#This Row],[FECHA ING]]&lt;$P$1007,365,_xlfn.DAYS($P$1008,Tabla1[[#This Row],[FECHA ING]])+1)</f>
        <v>365</v>
      </c>
      <c r="Q1147" s="198">
        <f>INT(30*(Tabla1[[#This Row],[FECHAS CONTB AGNLDO]]/365))</f>
        <v>30</v>
      </c>
      <c r="R1147" s="244">
        <f ca="1">IF($W$32=$W$26,Tabla1[[#This Row],[SUE DIA]]*Tabla1[[#This Row],[DIAS PAG AGNLDO]],0)</f>
        <v>0</v>
      </c>
      <c r="S1147" s="244">
        <f ca="1">(_xlfn.DAYS(TODAY(),Tabla1[[#This Row],[FECHA ING]])/365)</f>
        <v>10.610958904109589</v>
      </c>
      <c r="T1147" s="244">
        <f ca="1">IF(Tabla1[[#This Row],[DIAS VAC]]&gt;1,Tabla1[[#This Row],[DIAS VAC]]-Tabla1[[#This Row],[ANTIG]],Tabla1[[#This Row],[DIAS VAC]])</f>
        <v>0.61095890410958908</v>
      </c>
      <c r="U1147" s="244">
        <f ca="1">Tabla1[[#This Row],[VALID ANTIG]]*Tabla1[[#This Row],[SUE DIA]]*Tabla1[[#This Row],[DIAS VAC PAG]]</f>
        <v>1943.0529680365298</v>
      </c>
    </row>
    <row r="1148" spans="2:21" hidden="1" x14ac:dyDescent="0.25">
      <c r="B1148" s="243">
        <v>249</v>
      </c>
      <c r="C1148" s="140" t="str">
        <f>VLOOKUP(B1148,BDD[],2,0)</f>
        <v>Mónica Monserrat Flores García</v>
      </c>
      <c r="D1148" s="140">
        <f>VLOOKUP(B1148,BDD[],3,0)</f>
        <v>9541</v>
      </c>
      <c r="E1148" s="140">
        <f>VLOOKUP(B1148,BDD[],4,0)</f>
        <v>318.03333333333336</v>
      </c>
      <c r="F1148" s="142">
        <f>VLOOKUP(B1148,BDD[],26,0)</f>
        <v>35.337037037037042</v>
      </c>
      <c r="G1148" s="268">
        <f>VLOOKUP(B1148,BDD[],6,0)</f>
        <v>40911</v>
      </c>
      <c r="H1148" s="139">
        <f ca="1">VLOOKUP(B1148,BDD[],7,0)</f>
        <v>10</v>
      </c>
      <c r="I1148" s="139">
        <f ca="1">VLOOKUP(B1148,BDD[],22,0)</f>
        <v>10</v>
      </c>
      <c r="J1148" s="168">
        <v>15</v>
      </c>
      <c r="K1148" s="139">
        <f>Tabla1[[#This Row],[DIAS LAB]]*Tabla1[[#This Row],[SUE DIA]]</f>
        <v>4770.5</v>
      </c>
      <c r="L1148" s="168">
        <v>0</v>
      </c>
      <c r="M1148" s="198">
        <f>Tabla1[[#This Row],[HRS EXT]]*Tabla1[[#This Row],[SUE X HR]]</f>
        <v>0</v>
      </c>
      <c r="N1148" s="168">
        <v>0</v>
      </c>
      <c r="O1148" s="198">
        <f>Tabla1[[#This Row],[ASUETO]]*Tabla1[[#This Row],[SUE DIA]]</f>
        <v>0</v>
      </c>
      <c r="P1148" s="139">
        <f>IF(Tabla1[[#This Row],[FECHA ING]]&lt;$P$1007,365,_xlfn.DAYS($P$1008,Tabla1[[#This Row],[FECHA ING]])+1)</f>
        <v>365</v>
      </c>
      <c r="Q1148" s="198">
        <f>INT(30*(Tabla1[[#This Row],[FECHAS CONTB AGNLDO]]/365))</f>
        <v>30</v>
      </c>
      <c r="R1148" s="244">
        <f ca="1">IF($W$32=$W$26,Tabla1[[#This Row],[SUE DIA]]*Tabla1[[#This Row],[DIAS PAG AGNLDO]],0)</f>
        <v>0</v>
      </c>
      <c r="S1148" s="244">
        <f ca="1">(_xlfn.DAYS(TODAY(),Tabla1[[#This Row],[FECHA ING]])/365)</f>
        <v>10.545205479452054</v>
      </c>
      <c r="T1148" s="244">
        <f ca="1">IF(Tabla1[[#This Row],[DIAS VAC]]&gt;1,Tabla1[[#This Row],[DIAS VAC]]-Tabla1[[#This Row],[ANTIG]],Tabla1[[#This Row],[DIAS VAC]])</f>
        <v>0.54520547945205422</v>
      </c>
      <c r="U1148" s="244">
        <f ca="1">Tabla1[[#This Row],[VALID ANTIG]]*Tabla1[[#This Row],[SUE DIA]]*Tabla1[[#This Row],[DIAS VAC PAG]]</f>
        <v>1733.9351598173498</v>
      </c>
    </row>
    <row r="1149" spans="2:21" hidden="1" x14ac:dyDescent="0.25">
      <c r="B1149" s="243">
        <v>250</v>
      </c>
      <c r="C1149" s="140" t="str">
        <f>VLOOKUP(B1149,BDD[],2,0)</f>
        <v>Higinio Cerros Mayo</v>
      </c>
      <c r="D1149" s="140">
        <f>VLOOKUP(B1149,BDD[],3,0)</f>
        <v>9450</v>
      </c>
      <c r="E1149" s="140">
        <f>VLOOKUP(B1149,BDD[],4,0)</f>
        <v>315</v>
      </c>
      <c r="F1149" s="142">
        <f>VLOOKUP(B1149,BDD[],26,0)</f>
        <v>35</v>
      </c>
      <c r="G1149" s="268">
        <f>VLOOKUP(B1149,BDD[],6,0)</f>
        <v>40922</v>
      </c>
      <c r="H1149" s="139">
        <f ca="1">VLOOKUP(B1149,BDD[],7,0)</f>
        <v>10</v>
      </c>
      <c r="I1149" s="139">
        <f ca="1">VLOOKUP(B1149,BDD[],22,0)</f>
        <v>10</v>
      </c>
      <c r="J1149" s="168">
        <v>15</v>
      </c>
      <c r="K1149" s="139">
        <f>Tabla1[[#This Row],[DIAS LAB]]*Tabla1[[#This Row],[SUE DIA]]</f>
        <v>4725</v>
      </c>
      <c r="L1149" s="168">
        <v>0</v>
      </c>
      <c r="M1149" s="198">
        <f>Tabla1[[#This Row],[HRS EXT]]*Tabla1[[#This Row],[SUE X HR]]</f>
        <v>0</v>
      </c>
      <c r="N1149" s="168">
        <v>0</v>
      </c>
      <c r="O1149" s="198">
        <f>Tabla1[[#This Row],[ASUETO]]*Tabla1[[#This Row],[SUE DIA]]</f>
        <v>0</v>
      </c>
      <c r="P1149" s="139">
        <f>IF(Tabla1[[#This Row],[FECHA ING]]&lt;$P$1007,365,_xlfn.DAYS($P$1008,Tabla1[[#This Row],[FECHA ING]])+1)</f>
        <v>365</v>
      </c>
      <c r="Q1149" s="198">
        <f>INT(30*(Tabla1[[#This Row],[FECHAS CONTB AGNLDO]]/365))</f>
        <v>30</v>
      </c>
      <c r="R1149" s="244">
        <f ca="1">IF($W$32=$W$26,Tabla1[[#This Row],[SUE DIA]]*Tabla1[[#This Row],[DIAS PAG AGNLDO]],0)</f>
        <v>0</v>
      </c>
      <c r="S1149" s="244">
        <f ca="1">(_xlfn.DAYS(TODAY(),Tabla1[[#This Row],[FECHA ING]])/365)</f>
        <v>10.515068493150684</v>
      </c>
      <c r="T1149" s="244">
        <f ca="1">IF(Tabla1[[#This Row],[DIAS VAC]]&gt;1,Tabla1[[#This Row],[DIAS VAC]]-Tabla1[[#This Row],[ANTIG]],Tabla1[[#This Row],[DIAS VAC]])</f>
        <v>0.51506849315068415</v>
      </c>
      <c r="U1149" s="244">
        <f ca="1">Tabla1[[#This Row],[VALID ANTIG]]*Tabla1[[#This Row],[SUE DIA]]*Tabla1[[#This Row],[DIAS VAC PAG]]</f>
        <v>1622.4657534246553</v>
      </c>
    </row>
    <row r="1150" spans="2:21" hidden="1" x14ac:dyDescent="0.25">
      <c r="B1150" s="243">
        <v>251</v>
      </c>
      <c r="C1150" s="140" t="str">
        <f>VLOOKUP(B1150,BDD[],2,0)</f>
        <v>Brian Rigoberto Quiroz Zamarron</v>
      </c>
      <c r="D1150" s="140">
        <f>VLOOKUP(B1150,BDD[],3,0)</f>
        <v>7445</v>
      </c>
      <c r="E1150" s="140">
        <f>VLOOKUP(B1150,BDD[],4,0)</f>
        <v>248.16666666666666</v>
      </c>
      <c r="F1150" s="142">
        <f>VLOOKUP(B1150,BDD[],26,0)</f>
        <v>27.574074074074073</v>
      </c>
      <c r="G1150" s="268">
        <f>VLOOKUP(B1150,BDD[],6,0)</f>
        <v>40931</v>
      </c>
      <c r="H1150" s="139">
        <f ca="1">VLOOKUP(B1150,BDD[],7,0)</f>
        <v>10</v>
      </c>
      <c r="I1150" s="139">
        <f ca="1">VLOOKUP(B1150,BDD[],22,0)</f>
        <v>10</v>
      </c>
      <c r="J1150" s="168">
        <v>15</v>
      </c>
      <c r="K1150" s="139">
        <f>Tabla1[[#This Row],[DIAS LAB]]*Tabla1[[#This Row],[SUE DIA]]</f>
        <v>3722.5</v>
      </c>
      <c r="L1150" s="168">
        <v>0</v>
      </c>
      <c r="M1150" s="198">
        <f>Tabla1[[#This Row],[HRS EXT]]*Tabla1[[#This Row],[SUE X HR]]</f>
        <v>0</v>
      </c>
      <c r="N1150" s="168">
        <v>0</v>
      </c>
      <c r="O1150" s="198">
        <f>Tabla1[[#This Row],[ASUETO]]*Tabla1[[#This Row],[SUE DIA]]</f>
        <v>0</v>
      </c>
      <c r="P1150" s="139">
        <f>IF(Tabla1[[#This Row],[FECHA ING]]&lt;$P$1007,365,_xlfn.DAYS($P$1008,Tabla1[[#This Row],[FECHA ING]])+1)</f>
        <v>365</v>
      </c>
      <c r="Q1150" s="198">
        <f>INT(30*(Tabla1[[#This Row],[FECHAS CONTB AGNLDO]]/365))</f>
        <v>30</v>
      </c>
      <c r="R1150" s="244">
        <f ca="1">IF($W$32=$W$26,Tabla1[[#This Row],[SUE DIA]]*Tabla1[[#This Row],[DIAS PAG AGNLDO]],0)</f>
        <v>0</v>
      </c>
      <c r="S1150" s="244">
        <f ca="1">(_xlfn.DAYS(TODAY(),Tabla1[[#This Row],[FECHA ING]])/365)</f>
        <v>10.490410958904109</v>
      </c>
      <c r="T1150" s="244">
        <f ca="1">IF(Tabla1[[#This Row],[DIAS VAC]]&gt;1,Tabla1[[#This Row],[DIAS VAC]]-Tabla1[[#This Row],[ANTIG]],Tabla1[[#This Row],[DIAS VAC]])</f>
        <v>0.4904109589041088</v>
      </c>
      <c r="U1150" s="244">
        <f ca="1">Tabla1[[#This Row],[VALID ANTIG]]*Tabla1[[#This Row],[SUE DIA]]*Tabla1[[#This Row],[DIAS VAC PAG]]</f>
        <v>1217.0365296803632</v>
      </c>
    </row>
    <row r="1151" spans="2:21" hidden="1" x14ac:dyDescent="0.25">
      <c r="B1151" s="243">
        <v>252</v>
      </c>
      <c r="C1151" s="140" t="str">
        <f>VLOOKUP(B1151,BDD[],2,0)</f>
        <v>Alberto Aldair Caballero Trujillo</v>
      </c>
      <c r="D1151" s="140">
        <f>VLOOKUP(B1151,BDD[],3,0)</f>
        <v>7950</v>
      </c>
      <c r="E1151" s="140">
        <f>VLOOKUP(B1151,BDD[],4,0)</f>
        <v>265</v>
      </c>
      <c r="F1151" s="142">
        <f>VLOOKUP(B1151,BDD[],26,0)</f>
        <v>29.444444444444443</v>
      </c>
      <c r="G1151" s="268">
        <f>VLOOKUP(B1151,BDD[],6,0)</f>
        <v>40931</v>
      </c>
      <c r="H1151" s="139">
        <f ca="1">VLOOKUP(B1151,BDD[],7,0)</f>
        <v>10</v>
      </c>
      <c r="I1151" s="139">
        <f ca="1">VLOOKUP(B1151,BDD[],22,0)</f>
        <v>10</v>
      </c>
      <c r="J1151" s="168">
        <v>15</v>
      </c>
      <c r="K1151" s="139">
        <f>Tabla1[[#This Row],[DIAS LAB]]*Tabla1[[#This Row],[SUE DIA]]</f>
        <v>3975</v>
      </c>
      <c r="L1151" s="168">
        <v>0</v>
      </c>
      <c r="M1151" s="198">
        <f>Tabla1[[#This Row],[HRS EXT]]*Tabla1[[#This Row],[SUE X HR]]</f>
        <v>0</v>
      </c>
      <c r="N1151" s="168">
        <v>0</v>
      </c>
      <c r="O1151" s="198">
        <f>Tabla1[[#This Row],[ASUETO]]*Tabla1[[#This Row],[SUE DIA]]</f>
        <v>0</v>
      </c>
      <c r="P1151" s="139">
        <f>IF(Tabla1[[#This Row],[FECHA ING]]&lt;$P$1007,365,_xlfn.DAYS($P$1008,Tabla1[[#This Row],[FECHA ING]])+1)</f>
        <v>365</v>
      </c>
      <c r="Q1151" s="198">
        <f>INT(30*(Tabla1[[#This Row],[FECHAS CONTB AGNLDO]]/365))</f>
        <v>30</v>
      </c>
      <c r="R1151" s="244">
        <f ca="1">IF($W$32=$W$26,Tabla1[[#This Row],[SUE DIA]]*Tabla1[[#This Row],[DIAS PAG AGNLDO]],0)</f>
        <v>0</v>
      </c>
      <c r="S1151" s="244">
        <f ca="1">(_xlfn.DAYS(TODAY(),Tabla1[[#This Row],[FECHA ING]])/365)</f>
        <v>10.490410958904109</v>
      </c>
      <c r="T1151" s="244">
        <f ca="1">IF(Tabla1[[#This Row],[DIAS VAC]]&gt;1,Tabla1[[#This Row],[DIAS VAC]]-Tabla1[[#This Row],[ANTIG]],Tabla1[[#This Row],[DIAS VAC]])</f>
        <v>0.4904109589041088</v>
      </c>
      <c r="U1151" s="244">
        <f ca="1">Tabla1[[#This Row],[VALID ANTIG]]*Tabla1[[#This Row],[SUE DIA]]*Tabla1[[#This Row],[DIAS VAC PAG]]</f>
        <v>1299.5890410958884</v>
      </c>
    </row>
    <row r="1152" spans="2:21" hidden="1" x14ac:dyDescent="0.25">
      <c r="B1152" s="243">
        <v>253</v>
      </c>
      <c r="C1152" s="140" t="str">
        <f>VLOOKUP(B1152,BDD[],2,0)</f>
        <v>Mayra Alejandra Zamarrón Aguilar</v>
      </c>
      <c r="D1152" s="140">
        <f>VLOOKUP(B1152,BDD[],3,0)</f>
        <v>8825</v>
      </c>
      <c r="E1152" s="140">
        <f>VLOOKUP(B1152,BDD[],4,0)</f>
        <v>294.16666666666669</v>
      </c>
      <c r="F1152" s="142">
        <f>VLOOKUP(B1152,BDD[],26,0)</f>
        <v>32.68518518518519</v>
      </c>
      <c r="G1152" s="268">
        <f>VLOOKUP(B1152,BDD[],6,0)</f>
        <v>41060</v>
      </c>
      <c r="H1152" s="139">
        <f ca="1">VLOOKUP(B1152,BDD[],7,0)</f>
        <v>10</v>
      </c>
      <c r="I1152" s="139">
        <f ca="1">VLOOKUP(B1152,BDD[],22,0)</f>
        <v>10</v>
      </c>
      <c r="J1152" s="168">
        <v>15</v>
      </c>
      <c r="K1152" s="139">
        <f>Tabla1[[#This Row],[DIAS LAB]]*Tabla1[[#This Row],[SUE DIA]]</f>
        <v>4412.5</v>
      </c>
      <c r="L1152" s="168">
        <v>0</v>
      </c>
      <c r="M1152" s="198">
        <f>Tabla1[[#This Row],[HRS EXT]]*Tabla1[[#This Row],[SUE X HR]]</f>
        <v>0</v>
      </c>
      <c r="N1152" s="168">
        <v>0</v>
      </c>
      <c r="O1152" s="198">
        <f>Tabla1[[#This Row],[ASUETO]]*Tabla1[[#This Row],[SUE DIA]]</f>
        <v>0</v>
      </c>
      <c r="P1152" s="139">
        <f>IF(Tabla1[[#This Row],[FECHA ING]]&lt;$P$1007,365,_xlfn.DAYS($P$1008,Tabla1[[#This Row],[FECHA ING]])+1)</f>
        <v>365</v>
      </c>
      <c r="Q1152" s="198">
        <f>INT(30*(Tabla1[[#This Row],[FECHAS CONTB AGNLDO]]/365))</f>
        <v>30</v>
      </c>
      <c r="R1152" s="244">
        <f ca="1">IF($W$32=$W$26,Tabla1[[#This Row],[SUE DIA]]*Tabla1[[#This Row],[DIAS PAG AGNLDO]],0)</f>
        <v>0</v>
      </c>
      <c r="S1152" s="244">
        <f ca="1">(_xlfn.DAYS(TODAY(),Tabla1[[#This Row],[FECHA ING]])/365)</f>
        <v>10.136986301369863</v>
      </c>
      <c r="T1152" s="244">
        <f ca="1">IF(Tabla1[[#This Row],[DIAS VAC]]&gt;1,Tabla1[[#This Row],[DIAS VAC]]-Tabla1[[#This Row],[ANTIG]],Tabla1[[#This Row],[DIAS VAC]])</f>
        <v>0.13698630136986267</v>
      </c>
      <c r="U1152" s="244">
        <f ca="1">Tabla1[[#This Row],[VALID ANTIG]]*Tabla1[[#This Row],[SUE DIA]]*Tabla1[[#This Row],[DIAS VAC PAG]]</f>
        <v>402.96803652967935</v>
      </c>
    </row>
    <row r="1153" spans="2:21" hidden="1" x14ac:dyDescent="0.25">
      <c r="B1153" s="243">
        <v>254</v>
      </c>
      <c r="C1153" s="140" t="str">
        <f>VLOOKUP(B1153,BDD[],2,0)</f>
        <v>Odaliz Maríanela López Gutiérrez</v>
      </c>
      <c r="D1153" s="140">
        <f>VLOOKUP(B1153,BDD[],3,0)</f>
        <v>9450</v>
      </c>
      <c r="E1153" s="140">
        <f>VLOOKUP(B1153,BDD[],4,0)</f>
        <v>315</v>
      </c>
      <c r="F1153" s="142">
        <f>VLOOKUP(B1153,BDD[],26,0)</f>
        <v>35</v>
      </c>
      <c r="G1153" s="268">
        <f>VLOOKUP(B1153,BDD[],6,0)</f>
        <v>41086</v>
      </c>
      <c r="H1153" s="139">
        <f ca="1">VLOOKUP(B1153,BDD[],7,0)</f>
        <v>10</v>
      </c>
      <c r="I1153" s="139">
        <f ca="1">VLOOKUP(B1153,BDD[],22,0)</f>
        <v>10</v>
      </c>
      <c r="J1153" s="168">
        <v>15</v>
      </c>
      <c r="K1153" s="139">
        <f>Tabla1[[#This Row],[DIAS LAB]]*Tabla1[[#This Row],[SUE DIA]]</f>
        <v>4725</v>
      </c>
      <c r="L1153" s="168">
        <v>0</v>
      </c>
      <c r="M1153" s="198">
        <f>Tabla1[[#This Row],[HRS EXT]]*Tabla1[[#This Row],[SUE X HR]]</f>
        <v>0</v>
      </c>
      <c r="N1153" s="168">
        <v>0</v>
      </c>
      <c r="O1153" s="198">
        <f>Tabla1[[#This Row],[ASUETO]]*Tabla1[[#This Row],[SUE DIA]]</f>
        <v>0</v>
      </c>
      <c r="P1153" s="139">
        <f>IF(Tabla1[[#This Row],[FECHA ING]]&lt;$P$1007,365,_xlfn.DAYS($P$1008,Tabla1[[#This Row],[FECHA ING]])+1)</f>
        <v>365</v>
      </c>
      <c r="Q1153" s="198">
        <f>INT(30*(Tabla1[[#This Row],[FECHAS CONTB AGNLDO]]/365))</f>
        <v>30</v>
      </c>
      <c r="R1153" s="244">
        <f ca="1">IF($W$32=$W$26,Tabla1[[#This Row],[SUE DIA]]*Tabla1[[#This Row],[DIAS PAG AGNLDO]],0)</f>
        <v>0</v>
      </c>
      <c r="S1153" s="244">
        <f ca="1">(_xlfn.DAYS(TODAY(),Tabla1[[#This Row],[FECHA ING]])/365)</f>
        <v>10.065753424657535</v>
      </c>
      <c r="T1153" s="244">
        <f ca="1">IF(Tabla1[[#This Row],[DIAS VAC]]&gt;1,Tabla1[[#This Row],[DIAS VAC]]-Tabla1[[#This Row],[ANTIG]],Tabla1[[#This Row],[DIAS VAC]])</f>
        <v>6.5753424657534865E-2</v>
      </c>
      <c r="U1153" s="244">
        <f ca="1">Tabla1[[#This Row],[VALID ANTIG]]*Tabla1[[#This Row],[SUE DIA]]*Tabla1[[#This Row],[DIAS VAC PAG]]</f>
        <v>207.12328767123481</v>
      </c>
    </row>
    <row r="1154" spans="2:21" hidden="1" x14ac:dyDescent="0.25">
      <c r="B1154" s="243">
        <v>255</v>
      </c>
      <c r="C1154" s="140" t="str">
        <f>VLOOKUP(B1154,BDD[],2,0)</f>
        <v>Debanhy Yamileth Parada Garza</v>
      </c>
      <c r="D1154" s="140">
        <f>VLOOKUP(B1154,BDD[],3,0)</f>
        <v>7445</v>
      </c>
      <c r="E1154" s="140">
        <f>VLOOKUP(B1154,BDD[],4,0)</f>
        <v>248.16666666666666</v>
      </c>
      <c r="F1154" s="142">
        <f>VLOOKUP(B1154,BDD[],26,0)</f>
        <v>27.574074074074073</v>
      </c>
      <c r="G1154" s="268">
        <f>VLOOKUP(B1154,BDD[],6,0)</f>
        <v>41117</v>
      </c>
      <c r="H1154" s="139">
        <f ca="1">VLOOKUP(B1154,BDD[],7,0)</f>
        <v>9</v>
      </c>
      <c r="I1154" s="139">
        <f ca="1">VLOOKUP(B1154,BDD[],22,0)</f>
        <v>8</v>
      </c>
      <c r="J1154" s="168">
        <v>15</v>
      </c>
      <c r="K1154" s="139">
        <f>Tabla1[[#This Row],[DIAS LAB]]*Tabla1[[#This Row],[SUE DIA]]</f>
        <v>3722.5</v>
      </c>
      <c r="L1154" s="168">
        <v>0</v>
      </c>
      <c r="M1154" s="198">
        <f>Tabla1[[#This Row],[HRS EXT]]*Tabla1[[#This Row],[SUE X HR]]</f>
        <v>0</v>
      </c>
      <c r="N1154" s="168">
        <v>0</v>
      </c>
      <c r="O1154" s="198">
        <f>Tabla1[[#This Row],[ASUETO]]*Tabla1[[#This Row],[SUE DIA]]</f>
        <v>0</v>
      </c>
      <c r="P1154" s="139">
        <f>IF(Tabla1[[#This Row],[FECHA ING]]&lt;$P$1007,365,_xlfn.DAYS($P$1008,Tabla1[[#This Row],[FECHA ING]])+1)</f>
        <v>365</v>
      </c>
      <c r="Q1154" s="198">
        <f>INT(30*(Tabla1[[#This Row],[FECHAS CONTB AGNLDO]]/365))</f>
        <v>30</v>
      </c>
      <c r="R1154" s="244">
        <f ca="1">IF($W$32=$W$26,Tabla1[[#This Row],[SUE DIA]]*Tabla1[[#This Row],[DIAS PAG AGNLDO]],0)</f>
        <v>0</v>
      </c>
      <c r="S1154" s="244">
        <f ca="1">(_xlfn.DAYS(TODAY(),Tabla1[[#This Row],[FECHA ING]])/365)</f>
        <v>9.9808219178082194</v>
      </c>
      <c r="T1154" s="244">
        <f ca="1">IF(Tabla1[[#This Row],[DIAS VAC]]&gt;1,Tabla1[[#This Row],[DIAS VAC]]-Tabla1[[#This Row],[ANTIG]],Tabla1[[#This Row],[DIAS VAC]])</f>
        <v>0.98082191780821937</v>
      </c>
      <c r="U1154" s="244">
        <f ca="1">Tabla1[[#This Row],[VALID ANTIG]]*Tabla1[[#This Row],[SUE DIA]]*Tabla1[[#This Row],[DIAS VAC PAG]]</f>
        <v>1947.2584474885848</v>
      </c>
    </row>
    <row r="1155" spans="2:21" hidden="1" x14ac:dyDescent="0.25">
      <c r="B1155" s="243">
        <v>256</v>
      </c>
      <c r="C1155" s="140" t="str">
        <f>VLOOKUP(B1155,BDD[],2,0)</f>
        <v>Francisco García Rodriguez</v>
      </c>
      <c r="D1155" s="140">
        <f>VLOOKUP(B1155,BDD[],3,0)</f>
        <v>7445</v>
      </c>
      <c r="E1155" s="140">
        <f>VLOOKUP(B1155,BDD[],4,0)</f>
        <v>248.16666666666666</v>
      </c>
      <c r="F1155" s="142">
        <f>VLOOKUP(B1155,BDD[],26,0)</f>
        <v>27.574074074074073</v>
      </c>
      <c r="G1155" s="268">
        <f>VLOOKUP(B1155,BDD[],6,0)</f>
        <v>41117</v>
      </c>
      <c r="H1155" s="139">
        <f ca="1">VLOOKUP(B1155,BDD[],7,0)</f>
        <v>9</v>
      </c>
      <c r="I1155" s="139">
        <f ca="1">VLOOKUP(B1155,BDD[],22,0)</f>
        <v>8</v>
      </c>
      <c r="J1155" s="168">
        <v>15</v>
      </c>
      <c r="K1155" s="139">
        <f>Tabla1[[#This Row],[DIAS LAB]]*Tabla1[[#This Row],[SUE DIA]]</f>
        <v>3722.5</v>
      </c>
      <c r="L1155" s="168">
        <v>0</v>
      </c>
      <c r="M1155" s="198">
        <f>Tabla1[[#This Row],[HRS EXT]]*Tabla1[[#This Row],[SUE X HR]]</f>
        <v>0</v>
      </c>
      <c r="N1155" s="168">
        <v>0</v>
      </c>
      <c r="O1155" s="198">
        <f>Tabla1[[#This Row],[ASUETO]]*Tabla1[[#This Row],[SUE DIA]]</f>
        <v>0</v>
      </c>
      <c r="P1155" s="139">
        <f>IF(Tabla1[[#This Row],[FECHA ING]]&lt;$P$1007,365,_xlfn.DAYS($P$1008,Tabla1[[#This Row],[FECHA ING]])+1)</f>
        <v>365</v>
      </c>
      <c r="Q1155" s="198">
        <f>INT(30*(Tabla1[[#This Row],[FECHAS CONTB AGNLDO]]/365))</f>
        <v>30</v>
      </c>
      <c r="R1155" s="244">
        <f ca="1">IF($W$32=$W$26,Tabla1[[#This Row],[SUE DIA]]*Tabla1[[#This Row],[DIAS PAG AGNLDO]],0)</f>
        <v>0</v>
      </c>
      <c r="S1155" s="244">
        <f ca="1">(_xlfn.DAYS(TODAY(),Tabla1[[#This Row],[FECHA ING]])/365)</f>
        <v>9.9808219178082194</v>
      </c>
      <c r="T1155" s="244">
        <f ca="1">IF(Tabla1[[#This Row],[DIAS VAC]]&gt;1,Tabla1[[#This Row],[DIAS VAC]]-Tabla1[[#This Row],[ANTIG]],Tabla1[[#This Row],[DIAS VAC]])</f>
        <v>0.98082191780821937</v>
      </c>
      <c r="U1155" s="244">
        <f ca="1">Tabla1[[#This Row],[VALID ANTIG]]*Tabla1[[#This Row],[SUE DIA]]*Tabla1[[#This Row],[DIAS VAC PAG]]</f>
        <v>1947.2584474885848</v>
      </c>
    </row>
    <row r="1156" spans="2:21" hidden="1" x14ac:dyDescent="0.25">
      <c r="B1156" s="243">
        <v>257</v>
      </c>
      <c r="C1156" s="140" t="str">
        <f>VLOOKUP(B1156,BDD[],2,0)</f>
        <v>Fernanda Isabel Flores García</v>
      </c>
      <c r="D1156" s="140">
        <f>VLOOKUP(B1156,BDD[],3,0)</f>
        <v>7445</v>
      </c>
      <c r="E1156" s="140">
        <f>VLOOKUP(B1156,BDD[],4,0)</f>
        <v>248.16666666666666</v>
      </c>
      <c r="F1156" s="142">
        <f>VLOOKUP(B1156,BDD[],26,0)</f>
        <v>27.574074074074073</v>
      </c>
      <c r="G1156" s="268">
        <f>VLOOKUP(B1156,BDD[],6,0)</f>
        <v>41168</v>
      </c>
      <c r="H1156" s="139">
        <f ca="1">VLOOKUP(B1156,BDD[],7,0)</f>
        <v>9</v>
      </c>
      <c r="I1156" s="139">
        <f ca="1">VLOOKUP(B1156,BDD[],22,0)</f>
        <v>8</v>
      </c>
      <c r="J1156" s="168">
        <v>15</v>
      </c>
      <c r="K1156" s="139">
        <f>Tabla1[[#This Row],[DIAS LAB]]*Tabla1[[#This Row],[SUE DIA]]</f>
        <v>3722.5</v>
      </c>
      <c r="L1156" s="168">
        <v>0</v>
      </c>
      <c r="M1156" s="198">
        <f>Tabla1[[#This Row],[HRS EXT]]*Tabla1[[#This Row],[SUE X HR]]</f>
        <v>0</v>
      </c>
      <c r="N1156" s="168">
        <v>0</v>
      </c>
      <c r="O1156" s="198">
        <f>Tabla1[[#This Row],[ASUETO]]*Tabla1[[#This Row],[SUE DIA]]</f>
        <v>0</v>
      </c>
      <c r="P1156" s="139">
        <f>IF(Tabla1[[#This Row],[FECHA ING]]&lt;$P$1007,365,_xlfn.DAYS($P$1008,Tabla1[[#This Row],[FECHA ING]])+1)</f>
        <v>365</v>
      </c>
      <c r="Q1156" s="198">
        <f>INT(30*(Tabla1[[#This Row],[FECHAS CONTB AGNLDO]]/365))</f>
        <v>30</v>
      </c>
      <c r="R1156" s="244">
        <f ca="1">IF($W$32=$W$26,Tabla1[[#This Row],[SUE DIA]]*Tabla1[[#This Row],[DIAS PAG AGNLDO]],0)</f>
        <v>0</v>
      </c>
      <c r="S1156" s="244">
        <f ca="1">(_xlfn.DAYS(TODAY(),Tabla1[[#This Row],[FECHA ING]])/365)</f>
        <v>9.8410958904109584</v>
      </c>
      <c r="T1156" s="244">
        <f ca="1">IF(Tabla1[[#This Row],[DIAS VAC]]&gt;1,Tabla1[[#This Row],[DIAS VAC]]-Tabla1[[#This Row],[ANTIG]],Tabla1[[#This Row],[DIAS VAC]])</f>
        <v>0.84109589041095845</v>
      </c>
      <c r="U1156" s="244">
        <f ca="1">Tabla1[[#This Row],[VALID ANTIG]]*Tabla1[[#This Row],[SUE DIA]]*Tabla1[[#This Row],[DIAS VAC PAG]]</f>
        <v>1669.855707762556</v>
      </c>
    </row>
    <row r="1157" spans="2:21" hidden="1" x14ac:dyDescent="0.25">
      <c r="B1157" s="243">
        <v>258</v>
      </c>
      <c r="C1157" s="140" t="str">
        <f>VLOOKUP(B1157,BDD[],2,0)</f>
        <v>Danna Arely Ortiz García</v>
      </c>
      <c r="D1157" s="140">
        <f>VLOOKUP(B1157,BDD[],3,0)</f>
        <v>7445</v>
      </c>
      <c r="E1157" s="140">
        <f>VLOOKUP(B1157,BDD[],4,0)</f>
        <v>248.16666666666666</v>
      </c>
      <c r="F1157" s="142">
        <f>VLOOKUP(B1157,BDD[],26,0)</f>
        <v>27.574074074074073</v>
      </c>
      <c r="G1157" s="268">
        <f>VLOOKUP(B1157,BDD[],6,0)</f>
        <v>41192</v>
      </c>
      <c r="H1157" s="139">
        <f ca="1">VLOOKUP(B1157,BDD[],7,0)</f>
        <v>9</v>
      </c>
      <c r="I1157" s="139">
        <f ca="1">VLOOKUP(B1157,BDD[],22,0)</f>
        <v>8</v>
      </c>
      <c r="J1157" s="168">
        <v>15</v>
      </c>
      <c r="K1157" s="139">
        <f>Tabla1[[#This Row],[DIAS LAB]]*Tabla1[[#This Row],[SUE DIA]]</f>
        <v>3722.5</v>
      </c>
      <c r="L1157" s="168">
        <v>0</v>
      </c>
      <c r="M1157" s="198">
        <f>Tabla1[[#This Row],[HRS EXT]]*Tabla1[[#This Row],[SUE X HR]]</f>
        <v>0</v>
      </c>
      <c r="N1157" s="168">
        <v>0</v>
      </c>
      <c r="O1157" s="198">
        <f>Tabla1[[#This Row],[ASUETO]]*Tabla1[[#This Row],[SUE DIA]]</f>
        <v>0</v>
      </c>
      <c r="P1157" s="139">
        <f>IF(Tabla1[[#This Row],[FECHA ING]]&lt;$P$1007,365,_xlfn.DAYS($P$1008,Tabla1[[#This Row],[FECHA ING]])+1)</f>
        <v>365</v>
      </c>
      <c r="Q1157" s="198">
        <f>INT(30*(Tabla1[[#This Row],[FECHAS CONTB AGNLDO]]/365))</f>
        <v>30</v>
      </c>
      <c r="R1157" s="244">
        <f ca="1">IF($W$32=$W$26,Tabla1[[#This Row],[SUE DIA]]*Tabla1[[#This Row],[DIAS PAG AGNLDO]],0)</f>
        <v>0</v>
      </c>
      <c r="S1157" s="244">
        <f ca="1">(_xlfn.DAYS(TODAY(),Tabla1[[#This Row],[FECHA ING]])/365)</f>
        <v>9.7753424657534254</v>
      </c>
      <c r="T1157" s="244">
        <f ca="1">IF(Tabla1[[#This Row],[DIAS VAC]]&gt;1,Tabla1[[#This Row],[DIAS VAC]]-Tabla1[[#This Row],[ANTIG]],Tabla1[[#This Row],[DIAS VAC]])</f>
        <v>0.77534246575342536</v>
      </c>
      <c r="U1157" s="244">
        <f ca="1">Tabla1[[#This Row],[VALID ANTIG]]*Tabla1[[#This Row],[SUE DIA]]*Tabla1[[#This Row],[DIAS VAC PAG]]</f>
        <v>1539.3132420091338</v>
      </c>
    </row>
    <row r="1158" spans="2:21" hidden="1" x14ac:dyDescent="0.25">
      <c r="B1158" s="243">
        <v>260</v>
      </c>
      <c r="C1158" s="140" t="str">
        <f>VLOOKUP(B1158,BDD[],2,0)</f>
        <v>Maura Carbajal Crispin</v>
      </c>
      <c r="D1158" s="140">
        <f>VLOOKUP(B1158,BDD[],3,0)</f>
        <v>9541</v>
      </c>
      <c r="E1158" s="140">
        <f>VLOOKUP(B1158,BDD[],4,0)</f>
        <v>318.03333333333336</v>
      </c>
      <c r="F1158" s="142">
        <f>VLOOKUP(B1158,BDD[],26,0)</f>
        <v>35.337037037037042</v>
      </c>
      <c r="G1158" s="268">
        <f>VLOOKUP(B1158,BDD[],6,0)</f>
        <v>41265</v>
      </c>
      <c r="H1158" s="139">
        <f ca="1">VLOOKUP(B1158,BDD[],7,0)</f>
        <v>9</v>
      </c>
      <c r="I1158" s="139">
        <f ca="1">VLOOKUP(B1158,BDD[],22,0)</f>
        <v>8</v>
      </c>
      <c r="J1158" s="168">
        <v>15</v>
      </c>
      <c r="K1158" s="139">
        <f>Tabla1[[#This Row],[DIAS LAB]]*Tabla1[[#This Row],[SUE DIA]]</f>
        <v>4770.5</v>
      </c>
      <c r="L1158" s="168">
        <v>0</v>
      </c>
      <c r="M1158" s="198">
        <f>Tabla1[[#This Row],[HRS EXT]]*Tabla1[[#This Row],[SUE X HR]]</f>
        <v>0</v>
      </c>
      <c r="N1158" s="168">
        <v>0</v>
      </c>
      <c r="O1158" s="198">
        <f>Tabla1[[#This Row],[ASUETO]]*Tabla1[[#This Row],[SUE DIA]]</f>
        <v>0</v>
      </c>
      <c r="P1158" s="139">
        <f>IF(Tabla1[[#This Row],[FECHA ING]]&lt;$P$1007,365,_xlfn.DAYS($P$1008,Tabla1[[#This Row],[FECHA ING]])+1)</f>
        <v>365</v>
      </c>
      <c r="Q1158" s="198">
        <f>INT(30*(Tabla1[[#This Row],[FECHAS CONTB AGNLDO]]/365))</f>
        <v>30</v>
      </c>
      <c r="R1158" s="244">
        <f ca="1">IF($W$32=$W$26,Tabla1[[#This Row],[SUE DIA]]*Tabla1[[#This Row],[DIAS PAG AGNLDO]],0)</f>
        <v>0</v>
      </c>
      <c r="S1158" s="244">
        <f ca="1">(_xlfn.DAYS(TODAY(),Tabla1[[#This Row],[FECHA ING]])/365)</f>
        <v>9.5753424657534243</v>
      </c>
      <c r="T1158" s="244">
        <f ca="1">IF(Tabla1[[#This Row],[DIAS VAC]]&gt;1,Tabla1[[#This Row],[DIAS VAC]]-Tabla1[[#This Row],[ANTIG]],Tabla1[[#This Row],[DIAS VAC]])</f>
        <v>0.57534246575342429</v>
      </c>
      <c r="U1158" s="244">
        <f ca="1">Tabla1[[#This Row],[VALID ANTIG]]*Tabla1[[#This Row],[SUE DIA]]*Tabla1[[#This Row],[DIAS VAC PAG]]</f>
        <v>1463.8246575342457</v>
      </c>
    </row>
    <row r="1159" spans="2:21" hidden="1" x14ac:dyDescent="0.25">
      <c r="B1159" s="243">
        <v>262</v>
      </c>
      <c r="C1159" s="140" t="str">
        <f>VLOOKUP(B1159,BDD[],2,0)</f>
        <v>Sandra Saguilan Baños</v>
      </c>
      <c r="D1159" s="140">
        <f>VLOOKUP(B1159,BDD[],3,0)</f>
        <v>7445</v>
      </c>
      <c r="E1159" s="140">
        <f>VLOOKUP(B1159,BDD[],4,0)</f>
        <v>248.16666666666666</v>
      </c>
      <c r="F1159" s="142">
        <f>VLOOKUP(B1159,BDD[],26,0)</f>
        <v>27.574074074074073</v>
      </c>
      <c r="G1159" s="268">
        <f>VLOOKUP(B1159,BDD[],6,0)</f>
        <v>41278</v>
      </c>
      <c r="H1159" s="139">
        <f ca="1">VLOOKUP(B1159,BDD[],7,0)</f>
        <v>9</v>
      </c>
      <c r="I1159" s="139">
        <f ca="1">VLOOKUP(B1159,BDD[],22,0)</f>
        <v>8</v>
      </c>
      <c r="J1159" s="168">
        <v>15</v>
      </c>
      <c r="K1159" s="139">
        <f>Tabla1[[#This Row],[DIAS LAB]]*Tabla1[[#This Row],[SUE DIA]]</f>
        <v>3722.5</v>
      </c>
      <c r="L1159" s="168">
        <v>0</v>
      </c>
      <c r="M1159" s="198">
        <f>Tabla1[[#This Row],[HRS EXT]]*Tabla1[[#This Row],[SUE X HR]]</f>
        <v>0</v>
      </c>
      <c r="N1159" s="168">
        <v>0</v>
      </c>
      <c r="O1159" s="198">
        <f>Tabla1[[#This Row],[ASUETO]]*Tabla1[[#This Row],[SUE DIA]]</f>
        <v>0</v>
      </c>
      <c r="P1159" s="139">
        <f>IF(Tabla1[[#This Row],[FECHA ING]]&lt;$P$1007,365,_xlfn.DAYS($P$1008,Tabla1[[#This Row],[FECHA ING]])+1)</f>
        <v>365</v>
      </c>
      <c r="Q1159" s="198">
        <f>INT(30*(Tabla1[[#This Row],[FECHAS CONTB AGNLDO]]/365))</f>
        <v>30</v>
      </c>
      <c r="R1159" s="244">
        <f ca="1">IF($W$32=$W$26,Tabla1[[#This Row],[SUE DIA]]*Tabla1[[#This Row],[DIAS PAG AGNLDO]],0)</f>
        <v>0</v>
      </c>
      <c r="S1159" s="244">
        <f ca="1">(_xlfn.DAYS(TODAY(),Tabla1[[#This Row],[FECHA ING]])/365)</f>
        <v>9.5397260273972595</v>
      </c>
      <c r="T1159" s="244">
        <f ca="1">IF(Tabla1[[#This Row],[DIAS VAC]]&gt;1,Tabla1[[#This Row],[DIAS VAC]]-Tabla1[[#This Row],[ANTIG]],Tabla1[[#This Row],[DIAS VAC]])</f>
        <v>0.5397260273972595</v>
      </c>
      <c r="U1159" s="244">
        <f ca="1">Tabla1[[#This Row],[VALID ANTIG]]*Tabla1[[#This Row],[SUE DIA]]*Tabla1[[#This Row],[DIAS VAC PAG]]</f>
        <v>1071.5360730593591</v>
      </c>
    </row>
    <row r="1160" spans="2:21" hidden="1" x14ac:dyDescent="0.25">
      <c r="B1160" s="243">
        <v>264</v>
      </c>
      <c r="C1160" s="140" t="str">
        <f>VLOOKUP(B1160,BDD[],2,0)</f>
        <v>Julieta Berenice Enriquez Muñoz</v>
      </c>
      <c r="D1160" s="140">
        <f>VLOOKUP(B1160,BDD[],3,0)</f>
        <v>10350</v>
      </c>
      <c r="E1160" s="140">
        <f>VLOOKUP(B1160,BDD[],4,0)</f>
        <v>345</v>
      </c>
      <c r="F1160" s="142">
        <f>VLOOKUP(B1160,BDD[],26,0)</f>
        <v>38.333333333333336</v>
      </c>
      <c r="G1160" s="268">
        <f>VLOOKUP(B1160,BDD[],6,0)</f>
        <v>41292</v>
      </c>
      <c r="H1160" s="139">
        <f ca="1">VLOOKUP(B1160,BDD[],7,0)</f>
        <v>9</v>
      </c>
      <c r="I1160" s="139">
        <f ca="1">VLOOKUP(B1160,BDD[],22,0)</f>
        <v>8</v>
      </c>
      <c r="J1160" s="168">
        <v>15</v>
      </c>
      <c r="K1160" s="139">
        <f>Tabla1[[#This Row],[DIAS LAB]]*Tabla1[[#This Row],[SUE DIA]]</f>
        <v>5175</v>
      </c>
      <c r="L1160" s="168">
        <v>0</v>
      </c>
      <c r="M1160" s="198">
        <f>Tabla1[[#This Row],[HRS EXT]]*Tabla1[[#This Row],[SUE X HR]]</f>
        <v>0</v>
      </c>
      <c r="N1160" s="168">
        <v>0</v>
      </c>
      <c r="O1160" s="198">
        <f>Tabla1[[#This Row],[ASUETO]]*Tabla1[[#This Row],[SUE DIA]]</f>
        <v>0</v>
      </c>
      <c r="P1160" s="139">
        <f>IF(Tabla1[[#This Row],[FECHA ING]]&lt;$P$1007,365,_xlfn.DAYS($P$1008,Tabla1[[#This Row],[FECHA ING]])+1)</f>
        <v>365</v>
      </c>
      <c r="Q1160" s="198">
        <f>INT(30*(Tabla1[[#This Row],[FECHAS CONTB AGNLDO]]/365))</f>
        <v>30</v>
      </c>
      <c r="R1160" s="244">
        <f ca="1">IF($W$32=$W$26,Tabla1[[#This Row],[SUE DIA]]*Tabla1[[#This Row],[DIAS PAG AGNLDO]],0)</f>
        <v>0</v>
      </c>
      <c r="S1160" s="244">
        <f ca="1">(_xlfn.DAYS(TODAY(),Tabla1[[#This Row],[FECHA ING]])/365)</f>
        <v>9.5013698630136982</v>
      </c>
      <c r="T1160" s="244">
        <f ca="1">IF(Tabla1[[#This Row],[DIAS VAC]]&gt;1,Tabla1[[#This Row],[DIAS VAC]]-Tabla1[[#This Row],[ANTIG]],Tabla1[[#This Row],[DIAS VAC]])</f>
        <v>0.50136986301369824</v>
      </c>
      <c r="U1160" s="244">
        <f ca="1">Tabla1[[#This Row],[VALID ANTIG]]*Tabla1[[#This Row],[SUE DIA]]*Tabla1[[#This Row],[DIAS VAC PAG]]</f>
        <v>1383.7808219178071</v>
      </c>
    </row>
    <row r="1161" spans="2:21" hidden="1" x14ac:dyDescent="0.25">
      <c r="B1161" s="243">
        <v>265</v>
      </c>
      <c r="C1161" s="140" t="str">
        <f>VLOOKUP(B1161,BDD[],2,0)</f>
        <v>Jesus Esteban Benitez Cervantes</v>
      </c>
      <c r="D1161" s="140">
        <f>VLOOKUP(B1161,BDD[],3,0)</f>
        <v>9541</v>
      </c>
      <c r="E1161" s="140">
        <f>VLOOKUP(B1161,BDD[],4,0)</f>
        <v>318.03333333333336</v>
      </c>
      <c r="F1161" s="142">
        <f>VLOOKUP(B1161,BDD[],26,0)</f>
        <v>35.337037037037042</v>
      </c>
      <c r="G1161" s="268">
        <f>VLOOKUP(B1161,BDD[],6,0)</f>
        <v>41297</v>
      </c>
      <c r="H1161" s="139">
        <f ca="1">VLOOKUP(B1161,BDD[],7,0)</f>
        <v>9</v>
      </c>
      <c r="I1161" s="139">
        <f ca="1">VLOOKUP(B1161,BDD[],22,0)</f>
        <v>8</v>
      </c>
      <c r="J1161" s="168">
        <v>15</v>
      </c>
      <c r="K1161" s="139">
        <f>Tabla1[[#This Row],[DIAS LAB]]*Tabla1[[#This Row],[SUE DIA]]</f>
        <v>4770.5</v>
      </c>
      <c r="L1161" s="168">
        <v>0</v>
      </c>
      <c r="M1161" s="198">
        <f>Tabla1[[#This Row],[HRS EXT]]*Tabla1[[#This Row],[SUE X HR]]</f>
        <v>0</v>
      </c>
      <c r="N1161" s="168">
        <v>0</v>
      </c>
      <c r="O1161" s="198">
        <f>Tabla1[[#This Row],[ASUETO]]*Tabla1[[#This Row],[SUE DIA]]</f>
        <v>0</v>
      </c>
      <c r="P1161" s="139">
        <f>IF(Tabla1[[#This Row],[FECHA ING]]&lt;$P$1007,365,_xlfn.DAYS($P$1008,Tabla1[[#This Row],[FECHA ING]])+1)</f>
        <v>365</v>
      </c>
      <c r="Q1161" s="198">
        <f>INT(30*(Tabla1[[#This Row],[FECHAS CONTB AGNLDO]]/365))</f>
        <v>30</v>
      </c>
      <c r="R1161" s="244">
        <f ca="1">IF($W$32=$W$26,Tabla1[[#This Row],[SUE DIA]]*Tabla1[[#This Row],[DIAS PAG AGNLDO]],0)</f>
        <v>0</v>
      </c>
      <c r="S1161" s="244">
        <f ca="1">(_xlfn.DAYS(TODAY(),Tabla1[[#This Row],[FECHA ING]])/365)</f>
        <v>9.4876712328767123</v>
      </c>
      <c r="T1161" s="244">
        <f ca="1">IF(Tabla1[[#This Row],[DIAS VAC]]&gt;1,Tabla1[[#This Row],[DIAS VAC]]-Tabla1[[#This Row],[ANTIG]],Tabla1[[#This Row],[DIAS VAC]])</f>
        <v>0.48767123287671232</v>
      </c>
      <c r="U1161" s="244">
        <f ca="1">Tabla1[[#This Row],[VALID ANTIG]]*Tabla1[[#This Row],[SUE DIA]]*Tabla1[[#This Row],[DIAS VAC PAG]]</f>
        <v>1240.7656621004567</v>
      </c>
    </row>
    <row r="1162" spans="2:21" hidden="1" x14ac:dyDescent="0.25">
      <c r="B1162" s="243">
        <v>266</v>
      </c>
      <c r="C1162" s="140" t="str">
        <f>VLOOKUP(B1162,BDD[],2,0)</f>
        <v>Antonia Delgado Flores</v>
      </c>
      <c r="D1162" s="140">
        <f>VLOOKUP(B1162,BDD[],3,0)</f>
        <v>9541</v>
      </c>
      <c r="E1162" s="140">
        <f>VLOOKUP(B1162,BDD[],4,0)</f>
        <v>318.03333333333336</v>
      </c>
      <c r="F1162" s="142">
        <f>VLOOKUP(B1162,BDD[],26,0)</f>
        <v>35.337037037037042</v>
      </c>
      <c r="G1162" s="268">
        <f>VLOOKUP(B1162,BDD[],6,0)</f>
        <v>41320</v>
      </c>
      <c r="H1162" s="139">
        <f ca="1">VLOOKUP(B1162,BDD[],7,0)</f>
        <v>9</v>
      </c>
      <c r="I1162" s="139">
        <f ca="1">VLOOKUP(B1162,BDD[],22,0)</f>
        <v>8</v>
      </c>
      <c r="J1162" s="168">
        <v>15</v>
      </c>
      <c r="K1162" s="139">
        <f>Tabla1[[#This Row],[DIAS LAB]]*Tabla1[[#This Row],[SUE DIA]]</f>
        <v>4770.5</v>
      </c>
      <c r="L1162" s="168">
        <v>0</v>
      </c>
      <c r="M1162" s="198">
        <f>Tabla1[[#This Row],[HRS EXT]]*Tabla1[[#This Row],[SUE X HR]]</f>
        <v>0</v>
      </c>
      <c r="N1162" s="168">
        <v>0</v>
      </c>
      <c r="O1162" s="198">
        <f>Tabla1[[#This Row],[ASUETO]]*Tabla1[[#This Row],[SUE DIA]]</f>
        <v>0</v>
      </c>
      <c r="P1162" s="139">
        <f>IF(Tabla1[[#This Row],[FECHA ING]]&lt;$P$1007,365,_xlfn.DAYS($P$1008,Tabla1[[#This Row],[FECHA ING]])+1)</f>
        <v>365</v>
      </c>
      <c r="Q1162" s="198">
        <f>INT(30*(Tabla1[[#This Row],[FECHAS CONTB AGNLDO]]/365))</f>
        <v>30</v>
      </c>
      <c r="R1162" s="244">
        <f ca="1">IF($W$32=$W$26,Tabla1[[#This Row],[SUE DIA]]*Tabla1[[#This Row],[DIAS PAG AGNLDO]],0)</f>
        <v>0</v>
      </c>
      <c r="S1162" s="244">
        <f ca="1">(_xlfn.DAYS(TODAY(),Tabla1[[#This Row],[FECHA ING]])/365)</f>
        <v>9.4246575342465757</v>
      </c>
      <c r="T1162" s="244">
        <f ca="1">IF(Tabla1[[#This Row],[DIAS VAC]]&gt;1,Tabla1[[#This Row],[DIAS VAC]]-Tabla1[[#This Row],[ANTIG]],Tabla1[[#This Row],[DIAS VAC]])</f>
        <v>0.42465753424657571</v>
      </c>
      <c r="U1162" s="244">
        <f ca="1">Tabla1[[#This Row],[VALID ANTIG]]*Tabla1[[#This Row],[SUE DIA]]*Tabla1[[#This Row],[DIAS VAC PAG]]</f>
        <v>1080.4420091324212</v>
      </c>
    </row>
    <row r="1163" spans="2:21" hidden="1" x14ac:dyDescent="0.25">
      <c r="B1163" s="243">
        <v>267</v>
      </c>
      <c r="C1163" s="140" t="str">
        <f>VLOOKUP(B1163,BDD[],2,0)</f>
        <v>Anallely Barona Peñaloza</v>
      </c>
      <c r="D1163" s="140">
        <f>VLOOKUP(B1163,BDD[],3,0)</f>
        <v>7445</v>
      </c>
      <c r="E1163" s="140">
        <f>VLOOKUP(B1163,BDD[],4,0)</f>
        <v>248.16666666666666</v>
      </c>
      <c r="F1163" s="142">
        <f>VLOOKUP(B1163,BDD[],26,0)</f>
        <v>27.574074074074073</v>
      </c>
      <c r="G1163" s="268">
        <f>VLOOKUP(B1163,BDD[],6,0)</f>
        <v>41339</v>
      </c>
      <c r="H1163" s="139">
        <f ca="1">VLOOKUP(B1163,BDD[],7,0)</f>
        <v>9</v>
      </c>
      <c r="I1163" s="139">
        <f ca="1">VLOOKUP(B1163,BDD[],22,0)</f>
        <v>8</v>
      </c>
      <c r="J1163" s="168">
        <v>15</v>
      </c>
      <c r="K1163" s="139">
        <f>Tabla1[[#This Row],[DIAS LAB]]*Tabla1[[#This Row],[SUE DIA]]</f>
        <v>3722.5</v>
      </c>
      <c r="L1163" s="168">
        <v>0</v>
      </c>
      <c r="M1163" s="198">
        <f>Tabla1[[#This Row],[HRS EXT]]*Tabla1[[#This Row],[SUE X HR]]</f>
        <v>0</v>
      </c>
      <c r="N1163" s="168">
        <v>0</v>
      </c>
      <c r="O1163" s="198">
        <f>Tabla1[[#This Row],[ASUETO]]*Tabla1[[#This Row],[SUE DIA]]</f>
        <v>0</v>
      </c>
      <c r="P1163" s="139">
        <f>IF(Tabla1[[#This Row],[FECHA ING]]&lt;$P$1007,365,_xlfn.DAYS($P$1008,Tabla1[[#This Row],[FECHA ING]])+1)</f>
        <v>365</v>
      </c>
      <c r="Q1163" s="198">
        <f>INT(30*(Tabla1[[#This Row],[FECHAS CONTB AGNLDO]]/365))</f>
        <v>30</v>
      </c>
      <c r="R1163" s="244">
        <f ca="1">IF($W$32=$W$26,Tabla1[[#This Row],[SUE DIA]]*Tabla1[[#This Row],[DIAS PAG AGNLDO]],0)</f>
        <v>0</v>
      </c>
      <c r="S1163" s="244">
        <f ca="1">(_xlfn.DAYS(TODAY(),Tabla1[[#This Row],[FECHA ING]])/365)</f>
        <v>9.3726027397260268</v>
      </c>
      <c r="T1163" s="244">
        <f ca="1">IF(Tabla1[[#This Row],[DIAS VAC]]&gt;1,Tabla1[[#This Row],[DIAS VAC]]-Tabla1[[#This Row],[ANTIG]],Tabla1[[#This Row],[DIAS VAC]])</f>
        <v>0.37260273972602675</v>
      </c>
      <c r="U1163" s="244">
        <f ca="1">Tabla1[[#This Row],[VALID ANTIG]]*Tabla1[[#This Row],[SUE DIA]]*Tabla1[[#This Row],[DIAS VAC PAG]]</f>
        <v>739.74063926940505</v>
      </c>
    </row>
    <row r="1164" spans="2:21" hidden="1" x14ac:dyDescent="0.25">
      <c r="B1164" s="243">
        <v>268</v>
      </c>
      <c r="C1164" s="140" t="str">
        <f>VLOOKUP(B1164,BDD[],2,0)</f>
        <v>Sofia Marlen Zambrano Rangel</v>
      </c>
      <c r="D1164" s="140">
        <f>VLOOKUP(B1164,BDD[],3,0)</f>
        <v>7445</v>
      </c>
      <c r="E1164" s="140">
        <f>VLOOKUP(B1164,BDD[],4,0)</f>
        <v>248.16666666666666</v>
      </c>
      <c r="F1164" s="142">
        <f>VLOOKUP(B1164,BDD[],26,0)</f>
        <v>27.574074074074073</v>
      </c>
      <c r="G1164" s="268">
        <f>VLOOKUP(B1164,BDD[],6,0)</f>
        <v>41359</v>
      </c>
      <c r="H1164" s="139">
        <f ca="1">VLOOKUP(B1164,BDD[],7,0)</f>
        <v>9</v>
      </c>
      <c r="I1164" s="139">
        <f ca="1">VLOOKUP(B1164,BDD[],22,0)</f>
        <v>8</v>
      </c>
      <c r="J1164" s="168">
        <v>15</v>
      </c>
      <c r="K1164" s="139">
        <f>Tabla1[[#This Row],[DIAS LAB]]*Tabla1[[#This Row],[SUE DIA]]</f>
        <v>3722.5</v>
      </c>
      <c r="L1164" s="168">
        <v>0</v>
      </c>
      <c r="M1164" s="198">
        <f>Tabla1[[#This Row],[HRS EXT]]*Tabla1[[#This Row],[SUE X HR]]</f>
        <v>0</v>
      </c>
      <c r="N1164" s="168">
        <v>0</v>
      </c>
      <c r="O1164" s="198">
        <f>Tabla1[[#This Row],[ASUETO]]*Tabla1[[#This Row],[SUE DIA]]</f>
        <v>0</v>
      </c>
      <c r="P1164" s="139">
        <f>IF(Tabla1[[#This Row],[FECHA ING]]&lt;$P$1007,365,_xlfn.DAYS($P$1008,Tabla1[[#This Row],[FECHA ING]])+1)</f>
        <v>365</v>
      </c>
      <c r="Q1164" s="198">
        <f>INT(30*(Tabla1[[#This Row],[FECHAS CONTB AGNLDO]]/365))</f>
        <v>30</v>
      </c>
      <c r="R1164" s="244">
        <f ca="1">IF($W$32=$W$26,Tabla1[[#This Row],[SUE DIA]]*Tabla1[[#This Row],[DIAS PAG AGNLDO]],0)</f>
        <v>0</v>
      </c>
      <c r="S1164" s="244">
        <f ca="1">(_xlfn.DAYS(TODAY(),Tabla1[[#This Row],[FECHA ING]])/365)</f>
        <v>9.3178082191780813</v>
      </c>
      <c r="T1164" s="244">
        <f ca="1">IF(Tabla1[[#This Row],[DIAS VAC]]&gt;1,Tabla1[[#This Row],[DIAS VAC]]-Tabla1[[#This Row],[ANTIG]],Tabla1[[#This Row],[DIAS VAC]])</f>
        <v>0.31780821917808133</v>
      </c>
      <c r="U1164" s="244">
        <f ca="1">Tabla1[[#This Row],[VALID ANTIG]]*Tabla1[[#This Row],[SUE DIA]]*Tabla1[[#This Row],[DIAS VAC PAG]]</f>
        <v>630.95525114155078</v>
      </c>
    </row>
    <row r="1165" spans="2:21" hidden="1" x14ac:dyDescent="0.25">
      <c r="B1165" s="243">
        <v>269</v>
      </c>
      <c r="C1165" s="140" t="str">
        <f>VLOOKUP(B1165,BDD[],2,0)</f>
        <v>Yesenia Hernandez Guzman</v>
      </c>
      <c r="D1165" s="140">
        <f>VLOOKUP(B1165,BDD[],3,0)</f>
        <v>7445</v>
      </c>
      <c r="E1165" s="140">
        <f>VLOOKUP(B1165,BDD[],4,0)</f>
        <v>248.16666666666666</v>
      </c>
      <c r="F1165" s="142">
        <f>VLOOKUP(B1165,BDD[],26,0)</f>
        <v>27.574074074074073</v>
      </c>
      <c r="G1165" s="268">
        <f>VLOOKUP(B1165,BDD[],6,0)</f>
        <v>41426</v>
      </c>
      <c r="H1165" s="139">
        <f ca="1">VLOOKUP(B1165,BDD[],7,0)</f>
        <v>9</v>
      </c>
      <c r="I1165" s="139">
        <f ca="1">VLOOKUP(B1165,BDD[],22,0)</f>
        <v>8</v>
      </c>
      <c r="J1165" s="168">
        <v>15</v>
      </c>
      <c r="K1165" s="139">
        <f>Tabla1[[#This Row],[DIAS LAB]]*Tabla1[[#This Row],[SUE DIA]]</f>
        <v>3722.5</v>
      </c>
      <c r="L1165" s="168">
        <v>0</v>
      </c>
      <c r="M1165" s="198">
        <f>Tabla1[[#This Row],[HRS EXT]]*Tabla1[[#This Row],[SUE X HR]]</f>
        <v>0</v>
      </c>
      <c r="N1165" s="168">
        <v>0</v>
      </c>
      <c r="O1165" s="198">
        <f>Tabla1[[#This Row],[ASUETO]]*Tabla1[[#This Row],[SUE DIA]]</f>
        <v>0</v>
      </c>
      <c r="P1165" s="139">
        <f>IF(Tabla1[[#This Row],[FECHA ING]]&lt;$P$1007,365,_xlfn.DAYS($P$1008,Tabla1[[#This Row],[FECHA ING]])+1)</f>
        <v>365</v>
      </c>
      <c r="Q1165" s="198">
        <f>INT(30*(Tabla1[[#This Row],[FECHAS CONTB AGNLDO]]/365))</f>
        <v>30</v>
      </c>
      <c r="R1165" s="244">
        <f ca="1">IF($W$32=$W$26,Tabla1[[#This Row],[SUE DIA]]*Tabla1[[#This Row],[DIAS PAG AGNLDO]],0)</f>
        <v>0</v>
      </c>
      <c r="S1165" s="244">
        <f ca="1">(_xlfn.DAYS(TODAY(),Tabla1[[#This Row],[FECHA ING]])/365)</f>
        <v>9.1342465753424662</v>
      </c>
      <c r="T1165" s="244">
        <f ca="1">IF(Tabla1[[#This Row],[DIAS VAC]]&gt;1,Tabla1[[#This Row],[DIAS VAC]]-Tabla1[[#This Row],[ANTIG]],Tabla1[[#This Row],[DIAS VAC]])</f>
        <v>0.1342465753424662</v>
      </c>
      <c r="U1165" s="244">
        <f ca="1">Tabla1[[#This Row],[VALID ANTIG]]*Tabla1[[#This Row],[SUE DIA]]*Tabla1[[#This Row],[DIAS VAC PAG]]</f>
        <v>266.52420091324291</v>
      </c>
    </row>
    <row r="1166" spans="2:21" hidden="1" x14ac:dyDescent="0.25">
      <c r="B1166" s="243">
        <v>270</v>
      </c>
      <c r="C1166" s="140" t="str">
        <f>VLOOKUP(B1166,BDD[],2,0)</f>
        <v>Luis Eduardo Rosales Pérez</v>
      </c>
      <c r="D1166" s="140">
        <f>VLOOKUP(B1166,BDD[],3,0)</f>
        <v>8825</v>
      </c>
      <c r="E1166" s="140">
        <f>VLOOKUP(B1166,BDD[],4,0)</f>
        <v>294.16666666666669</v>
      </c>
      <c r="F1166" s="142">
        <f>VLOOKUP(B1166,BDD[],26,0)</f>
        <v>32.68518518518519</v>
      </c>
      <c r="G1166" s="268">
        <f>VLOOKUP(B1166,BDD[],6,0)</f>
        <v>41439</v>
      </c>
      <c r="H1166" s="139">
        <f ca="1">VLOOKUP(B1166,BDD[],7,0)</f>
        <v>9</v>
      </c>
      <c r="I1166" s="139">
        <f ca="1">VLOOKUP(B1166,BDD[],22,0)</f>
        <v>8</v>
      </c>
      <c r="J1166" s="168">
        <v>15</v>
      </c>
      <c r="K1166" s="139">
        <f>Tabla1[[#This Row],[DIAS LAB]]*Tabla1[[#This Row],[SUE DIA]]</f>
        <v>4412.5</v>
      </c>
      <c r="L1166" s="168">
        <v>0</v>
      </c>
      <c r="M1166" s="198">
        <f>Tabla1[[#This Row],[HRS EXT]]*Tabla1[[#This Row],[SUE X HR]]</f>
        <v>0</v>
      </c>
      <c r="N1166" s="168">
        <v>0</v>
      </c>
      <c r="O1166" s="198">
        <f>Tabla1[[#This Row],[ASUETO]]*Tabla1[[#This Row],[SUE DIA]]</f>
        <v>0</v>
      </c>
      <c r="P1166" s="139">
        <f>IF(Tabla1[[#This Row],[FECHA ING]]&lt;$P$1007,365,_xlfn.DAYS($P$1008,Tabla1[[#This Row],[FECHA ING]])+1)</f>
        <v>365</v>
      </c>
      <c r="Q1166" s="198">
        <f>INT(30*(Tabla1[[#This Row],[FECHAS CONTB AGNLDO]]/365))</f>
        <v>30</v>
      </c>
      <c r="R1166" s="244">
        <f ca="1">IF($W$32=$W$26,Tabla1[[#This Row],[SUE DIA]]*Tabla1[[#This Row],[DIAS PAG AGNLDO]],0)</f>
        <v>0</v>
      </c>
      <c r="S1166" s="244">
        <f ca="1">(_xlfn.DAYS(TODAY(),Tabla1[[#This Row],[FECHA ING]])/365)</f>
        <v>9.0986301369863014</v>
      </c>
      <c r="T1166" s="244">
        <f ca="1">IF(Tabla1[[#This Row],[DIAS VAC]]&gt;1,Tabla1[[#This Row],[DIAS VAC]]-Tabla1[[#This Row],[ANTIG]],Tabla1[[#This Row],[DIAS VAC]])</f>
        <v>9.8630136986301409E-2</v>
      </c>
      <c r="U1166" s="244">
        <f ca="1">Tabla1[[#This Row],[VALID ANTIG]]*Tabla1[[#This Row],[SUE DIA]]*Tabla1[[#This Row],[DIAS VAC PAG]]</f>
        <v>232.109589041096</v>
      </c>
    </row>
    <row r="1167" spans="2:21" hidden="1" x14ac:dyDescent="0.25">
      <c r="B1167" s="243">
        <v>271</v>
      </c>
      <c r="C1167" s="140" t="str">
        <f>VLOOKUP(B1167,BDD[],2,0)</f>
        <v>José María Maldonado Nieto</v>
      </c>
      <c r="D1167" s="140">
        <f>VLOOKUP(B1167,BDD[],3,0)</f>
        <v>7445</v>
      </c>
      <c r="E1167" s="140">
        <f>VLOOKUP(B1167,BDD[],4,0)</f>
        <v>248.16666666666666</v>
      </c>
      <c r="F1167" s="142">
        <f>VLOOKUP(B1167,BDD[],26,0)</f>
        <v>27.574074074074073</v>
      </c>
      <c r="G1167" s="268">
        <f>VLOOKUP(B1167,BDD[],6,0)</f>
        <v>41440</v>
      </c>
      <c r="H1167" s="139">
        <f ca="1">VLOOKUP(B1167,BDD[],7,0)</f>
        <v>9</v>
      </c>
      <c r="I1167" s="139">
        <f ca="1">VLOOKUP(B1167,BDD[],22,0)</f>
        <v>8</v>
      </c>
      <c r="J1167" s="168">
        <v>15</v>
      </c>
      <c r="K1167" s="139">
        <f>Tabla1[[#This Row],[DIAS LAB]]*Tabla1[[#This Row],[SUE DIA]]</f>
        <v>3722.5</v>
      </c>
      <c r="L1167" s="168">
        <v>0</v>
      </c>
      <c r="M1167" s="198">
        <f>Tabla1[[#This Row],[HRS EXT]]*Tabla1[[#This Row],[SUE X HR]]</f>
        <v>0</v>
      </c>
      <c r="N1167" s="168">
        <v>0</v>
      </c>
      <c r="O1167" s="198">
        <f>Tabla1[[#This Row],[ASUETO]]*Tabla1[[#This Row],[SUE DIA]]</f>
        <v>0</v>
      </c>
      <c r="P1167" s="139">
        <f>IF(Tabla1[[#This Row],[FECHA ING]]&lt;$P$1007,365,_xlfn.DAYS($P$1008,Tabla1[[#This Row],[FECHA ING]])+1)</f>
        <v>365</v>
      </c>
      <c r="Q1167" s="198">
        <f>INT(30*(Tabla1[[#This Row],[FECHAS CONTB AGNLDO]]/365))</f>
        <v>30</v>
      </c>
      <c r="R1167" s="244">
        <f ca="1">IF($W$32=$W$26,Tabla1[[#This Row],[SUE DIA]]*Tabla1[[#This Row],[DIAS PAG AGNLDO]],0)</f>
        <v>0</v>
      </c>
      <c r="S1167" s="244">
        <f ca="1">(_xlfn.DAYS(TODAY(),Tabla1[[#This Row],[FECHA ING]])/365)</f>
        <v>9.0958904109589049</v>
      </c>
      <c r="T1167" s="244">
        <f ca="1">IF(Tabla1[[#This Row],[DIAS VAC]]&gt;1,Tabla1[[#This Row],[DIAS VAC]]-Tabla1[[#This Row],[ANTIG]],Tabla1[[#This Row],[DIAS VAC]])</f>
        <v>9.5890410958904937E-2</v>
      </c>
      <c r="U1167" s="244">
        <f ca="1">Tabla1[[#This Row],[VALID ANTIG]]*Tabla1[[#This Row],[SUE DIA]]*Tabla1[[#This Row],[DIAS VAC PAG]]</f>
        <v>190.37442922374592</v>
      </c>
    </row>
    <row r="1168" spans="2:21" hidden="1" x14ac:dyDescent="0.25">
      <c r="B1168" s="243">
        <v>272</v>
      </c>
      <c r="C1168" s="140" t="str">
        <f>VLOOKUP(B1168,BDD[],2,0)</f>
        <v>Roberto Rodriguez Arroyo</v>
      </c>
      <c r="D1168" s="140">
        <f>VLOOKUP(B1168,BDD[],3,0)</f>
        <v>9450</v>
      </c>
      <c r="E1168" s="140">
        <f>VLOOKUP(B1168,BDD[],4,0)</f>
        <v>315</v>
      </c>
      <c r="F1168" s="142">
        <f>VLOOKUP(B1168,BDD[],26,0)</f>
        <v>35</v>
      </c>
      <c r="G1168" s="268">
        <f>VLOOKUP(B1168,BDD[],6,0)</f>
        <v>41454</v>
      </c>
      <c r="H1168" s="139">
        <f ca="1">VLOOKUP(B1168,BDD[],7,0)</f>
        <v>9</v>
      </c>
      <c r="I1168" s="139">
        <f ca="1">VLOOKUP(B1168,BDD[],22,0)</f>
        <v>8</v>
      </c>
      <c r="J1168" s="168">
        <v>15</v>
      </c>
      <c r="K1168" s="139">
        <f>Tabla1[[#This Row],[DIAS LAB]]*Tabla1[[#This Row],[SUE DIA]]</f>
        <v>4725</v>
      </c>
      <c r="L1168" s="168">
        <v>0</v>
      </c>
      <c r="M1168" s="198">
        <f>Tabla1[[#This Row],[HRS EXT]]*Tabla1[[#This Row],[SUE X HR]]</f>
        <v>0</v>
      </c>
      <c r="N1168" s="168">
        <v>0</v>
      </c>
      <c r="O1168" s="198">
        <f>Tabla1[[#This Row],[ASUETO]]*Tabla1[[#This Row],[SUE DIA]]</f>
        <v>0</v>
      </c>
      <c r="P1168" s="139">
        <f>IF(Tabla1[[#This Row],[FECHA ING]]&lt;$P$1007,365,_xlfn.DAYS($P$1008,Tabla1[[#This Row],[FECHA ING]])+1)</f>
        <v>365</v>
      </c>
      <c r="Q1168" s="198">
        <f>INT(30*(Tabla1[[#This Row],[FECHAS CONTB AGNLDO]]/365))</f>
        <v>30</v>
      </c>
      <c r="R1168" s="244">
        <f ca="1">IF($W$32=$W$26,Tabla1[[#This Row],[SUE DIA]]*Tabla1[[#This Row],[DIAS PAG AGNLDO]],0)</f>
        <v>0</v>
      </c>
      <c r="S1168" s="244">
        <f ca="1">(_xlfn.DAYS(TODAY(),Tabla1[[#This Row],[FECHA ING]])/365)</f>
        <v>9.0575342465753419</v>
      </c>
      <c r="T1168" s="244">
        <f ca="1">IF(Tabla1[[#This Row],[DIAS VAC]]&gt;1,Tabla1[[#This Row],[DIAS VAC]]-Tabla1[[#This Row],[ANTIG]],Tabla1[[#This Row],[DIAS VAC]])</f>
        <v>5.7534246575341896E-2</v>
      </c>
      <c r="U1168" s="244">
        <f ca="1">Tabla1[[#This Row],[VALID ANTIG]]*Tabla1[[#This Row],[SUE DIA]]*Tabla1[[#This Row],[DIAS VAC PAG]]</f>
        <v>144.98630136986156</v>
      </c>
    </row>
    <row r="1169" spans="2:21" hidden="1" x14ac:dyDescent="0.25">
      <c r="B1169" s="245">
        <v>273</v>
      </c>
      <c r="C1169" s="140" t="str">
        <f>VLOOKUP(B1169,BDD[],2,0)</f>
        <v>Roberto Alejandro Martínez Osuna</v>
      </c>
      <c r="D1169" s="140">
        <f>VLOOKUP(B1169,BDD[],3,0)</f>
        <v>6778</v>
      </c>
      <c r="E1169" s="140">
        <f>VLOOKUP(B1169,BDD[],4,0)</f>
        <v>225.93333333333334</v>
      </c>
      <c r="F1169" s="142">
        <f>VLOOKUP(B1169,BDD[],26,0)</f>
        <v>25.103703703703705</v>
      </c>
      <c r="G1169" s="268">
        <f>VLOOKUP(B1169,BDD[],6,0)</f>
        <v>41466</v>
      </c>
      <c r="H1169" s="139">
        <f ca="1">VLOOKUP(B1169,BDD[],7,0)</f>
        <v>9</v>
      </c>
      <c r="I1169" s="139">
        <f ca="1">VLOOKUP(B1169,BDD[],22,0)</f>
        <v>4</v>
      </c>
      <c r="J1169" s="168">
        <v>15</v>
      </c>
      <c r="K1169" s="139">
        <f>Tabla1[[#This Row],[DIAS LAB]]*Tabla1[[#This Row],[SUE DIA]]</f>
        <v>3389</v>
      </c>
      <c r="L1169" s="168">
        <v>0</v>
      </c>
      <c r="M1169" s="198">
        <f>Tabla1[[#This Row],[HRS EXT]]*Tabla1[[#This Row],[SUE X HR]]</f>
        <v>0</v>
      </c>
      <c r="N1169" s="168">
        <v>0</v>
      </c>
      <c r="O1169" s="198">
        <f>Tabla1[[#This Row],[ASUETO]]*Tabla1[[#This Row],[SUE DIA]]</f>
        <v>0</v>
      </c>
      <c r="P1169" s="139">
        <f>IF(Tabla1[[#This Row],[FECHA ING]]&lt;$P$1007,365,_xlfn.DAYS($P$1008,Tabla1[[#This Row],[FECHA ING]])+1)</f>
        <v>365</v>
      </c>
      <c r="Q1169" s="198">
        <f>INT(30*(Tabla1[[#This Row],[FECHAS CONTB AGNLDO]]/365))</f>
        <v>30</v>
      </c>
      <c r="R1169" s="244">
        <f ca="1">IF($W$32=$W$26,Tabla1[[#This Row],[SUE DIA]]*Tabla1[[#This Row],[DIAS PAG AGNLDO]],0)</f>
        <v>0</v>
      </c>
      <c r="S1169" s="244">
        <f ca="1">(_xlfn.DAYS(TODAY(),Tabla1[[#This Row],[FECHA ING]])/365)</f>
        <v>9.0246575342465754</v>
      </c>
      <c r="T1169" s="244">
        <f ca="1">IF(Tabla1[[#This Row],[DIAS VAC]]&gt;1,Tabla1[[#This Row],[DIAS VAC]]-Tabla1[[#This Row],[ANTIG]],Tabla1[[#This Row],[DIAS VAC]])</f>
        <v>2.4657534246575352E-2</v>
      </c>
      <c r="U1169" s="244">
        <f ca="1">Tabla1[[#This Row],[VALID ANTIG]]*Tabla1[[#This Row],[SUE DIA]]*Tabla1[[#This Row],[DIAS VAC PAG]]</f>
        <v>22.283835616438367</v>
      </c>
    </row>
    <row r="1170" spans="2:21" hidden="1" x14ac:dyDescent="0.25">
      <c r="B1170" s="243">
        <v>274</v>
      </c>
      <c r="C1170" s="140" t="str">
        <f>VLOOKUP(B1170,BDD[],2,0)</f>
        <v>Jorge Alberto Quintero Corona</v>
      </c>
      <c r="D1170" s="140">
        <f>VLOOKUP(B1170,BDD[],3,0)</f>
        <v>9541</v>
      </c>
      <c r="E1170" s="140">
        <f>VLOOKUP(B1170,BDD[],4,0)</f>
        <v>318.03333333333336</v>
      </c>
      <c r="F1170" s="142">
        <f>VLOOKUP(B1170,BDD[],26,0)</f>
        <v>35.337037037037042</v>
      </c>
      <c r="G1170" s="268">
        <f>VLOOKUP(B1170,BDD[],6,0)</f>
        <v>41468</v>
      </c>
      <c r="H1170" s="139">
        <f ca="1">VLOOKUP(B1170,BDD[],7,0)</f>
        <v>9</v>
      </c>
      <c r="I1170" s="139">
        <f ca="1">VLOOKUP(B1170,BDD[],22,0)</f>
        <v>8</v>
      </c>
      <c r="J1170" s="168">
        <v>15</v>
      </c>
      <c r="K1170" s="139">
        <f>Tabla1[[#This Row],[DIAS LAB]]*Tabla1[[#This Row],[SUE DIA]]</f>
        <v>4770.5</v>
      </c>
      <c r="L1170" s="168">
        <v>0</v>
      </c>
      <c r="M1170" s="198">
        <f>Tabla1[[#This Row],[HRS EXT]]*Tabla1[[#This Row],[SUE X HR]]</f>
        <v>0</v>
      </c>
      <c r="N1170" s="168">
        <v>0</v>
      </c>
      <c r="O1170" s="198">
        <f>Tabla1[[#This Row],[ASUETO]]*Tabla1[[#This Row],[SUE DIA]]</f>
        <v>0</v>
      </c>
      <c r="P1170" s="139">
        <f>IF(Tabla1[[#This Row],[FECHA ING]]&lt;$P$1007,365,_xlfn.DAYS($P$1008,Tabla1[[#This Row],[FECHA ING]])+1)</f>
        <v>365</v>
      </c>
      <c r="Q1170" s="198">
        <f>INT(30*(Tabla1[[#This Row],[FECHAS CONTB AGNLDO]]/365))</f>
        <v>30</v>
      </c>
      <c r="R1170" s="244">
        <f ca="1">IF($W$32=$W$26,Tabla1[[#This Row],[SUE DIA]]*Tabla1[[#This Row],[DIAS PAG AGNLDO]],0)</f>
        <v>0</v>
      </c>
      <c r="S1170" s="244">
        <f ca="1">(_xlfn.DAYS(TODAY(),Tabla1[[#This Row],[FECHA ING]])/365)</f>
        <v>9.0191780821917806</v>
      </c>
      <c r="T1170" s="244">
        <f ca="1">IF(Tabla1[[#This Row],[DIAS VAC]]&gt;1,Tabla1[[#This Row],[DIAS VAC]]-Tabla1[[#This Row],[ANTIG]],Tabla1[[#This Row],[DIAS VAC]])</f>
        <v>1.9178082191780632E-2</v>
      </c>
      <c r="U1170" s="244">
        <f ca="1">Tabla1[[#This Row],[VALID ANTIG]]*Tabla1[[#This Row],[SUE DIA]]*Tabla1[[#This Row],[DIAS VAC PAG]]</f>
        <v>48.794155251141071</v>
      </c>
    </row>
    <row r="1171" spans="2:21" hidden="1" x14ac:dyDescent="0.25">
      <c r="B1171" s="243">
        <v>275</v>
      </c>
      <c r="C1171" s="140" t="str">
        <f>VLOOKUP(B1171,BDD[],2,0)</f>
        <v>Priscila Estefanía Hernández Sánchez</v>
      </c>
      <c r="D1171" s="140">
        <f>VLOOKUP(B1171,BDD[],3,0)</f>
        <v>10350</v>
      </c>
      <c r="E1171" s="140">
        <f>VLOOKUP(B1171,BDD[],4,0)</f>
        <v>345</v>
      </c>
      <c r="F1171" s="142">
        <f>VLOOKUP(B1171,BDD[],26,0)</f>
        <v>38.333333333333336</v>
      </c>
      <c r="G1171" s="268">
        <f>VLOOKUP(B1171,BDD[],6,0)</f>
        <v>41472</v>
      </c>
      <c r="H1171" s="139">
        <f ca="1">VLOOKUP(B1171,BDD[],7,0)</f>
        <v>9</v>
      </c>
      <c r="I1171" s="139">
        <f ca="1">VLOOKUP(B1171,BDD[],22,0)</f>
        <v>8</v>
      </c>
      <c r="J1171" s="168">
        <v>15</v>
      </c>
      <c r="K1171" s="139">
        <f>Tabla1[[#This Row],[DIAS LAB]]*Tabla1[[#This Row],[SUE DIA]]</f>
        <v>5175</v>
      </c>
      <c r="L1171" s="168">
        <v>0</v>
      </c>
      <c r="M1171" s="198">
        <f>Tabla1[[#This Row],[HRS EXT]]*Tabla1[[#This Row],[SUE X HR]]</f>
        <v>0</v>
      </c>
      <c r="N1171" s="168">
        <v>0</v>
      </c>
      <c r="O1171" s="198">
        <f>Tabla1[[#This Row],[ASUETO]]*Tabla1[[#This Row],[SUE DIA]]</f>
        <v>0</v>
      </c>
      <c r="P1171" s="139">
        <f>IF(Tabla1[[#This Row],[FECHA ING]]&lt;$P$1007,365,_xlfn.DAYS($P$1008,Tabla1[[#This Row],[FECHA ING]])+1)</f>
        <v>365</v>
      </c>
      <c r="Q1171" s="198">
        <f>INT(30*(Tabla1[[#This Row],[FECHAS CONTB AGNLDO]]/365))</f>
        <v>30</v>
      </c>
      <c r="R1171" s="244">
        <f ca="1">IF($W$32=$W$26,Tabla1[[#This Row],[SUE DIA]]*Tabla1[[#This Row],[DIAS PAG AGNLDO]],0)</f>
        <v>0</v>
      </c>
      <c r="S1171" s="244">
        <f ca="1">(_xlfn.DAYS(TODAY(),Tabla1[[#This Row],[FECHA ING]])/365)</f>
        <v>9.0082191780821912</v>
      </c>
      <c r="T1171" s="244">
        <f ca="1">IF(Tabla1[[#This Row],[DIAS VAC]]&gt;1,Tabla1[[#This Row],[DIAS VAC]]-Tabla1[[#This Row],[ANTIG]],Tabla1[[#This Row],[DIAS VAC]])</f>
        <v>8.2191780821911919E-3</v>
      </c>
      <c r="U1171" s="244">
        <f ca="1">Tabla1[[#This Row],[VALID ANTIG]]*Tabla1[[#This Row],[SUE DIA]]*Tabla1[[#This Row],[DIAS VAC PAG]]</f>
        <v>22.68493150684769</v>
      </c>
    </row>
    <row r="1172" spans="2:21" hidden="1" x14ac:dyDescent="0.25">
      <c r="B1172" s="243">
        <v>276</v>
      </c>
      <c r="C1172" s="140" t="str">
        <f>VLOOKUP(B1172,BDD[],2,0)</f>
        <v>Cidney Aime Ruan Martínez</v>
      </c>
      <c r="D1172" s="140">
        <f>VLOOKUP(B1172,BDD[],3,0)</f>
        <v>9541</v>
      </c>
      <c r="E1172" s="140">
        <f>VLOOKUP(B1172,BDD[],4,0)</f>
        <v>318.03333333333336</v>
      </c>
      <c r="F1172" s="142">
        <f>VLOOKUP(B1172,BDD[],26,0)</f>
        <v>35.337037037037042</v>
      </c>
      <c r="G1172" s="268">
        <f>VLOOKUP(B1172,BDD[],6,0)</f>
        <v>41497</v>
      </c>
      <c r="H1172" s="139">
        <f ca="1">VLOOKUP(B1172,BDD[],7,0)</f>
        <v>8</v>
      </c>
      <c r="I1172" s="139">
        <f ca="1">VLOOKUP(B1172,BDD[],22,0)</f>
        <v>8</v>
      </c>
      <c r="J1172" s="168">
        <v>15</v>
      </c>
      <c r="K1172" s="139">
        <f>Tabla1[[#This Row],[DIAS LAB]]*Tabla1[[#This Row],[SUE DIA]]</f>
        <v>4770.5</v>
      </c>
      <c r="L1172" s="168">
        <v>0</v>
      </c>
      <c r="M1172" s="198">
        <f>Tabla1[[#This Row],[HRS EXT]]*Tabla1[[#This Row],[SUE X HR]]</f>
        <v>0</v>
      </c>
      <c r="N1172" s="168">
        <v>0</v>
      </c>
      <c r="O1172" s="198">
        <f>Tabla1[[#This Row],[ASUETO]]*Tabla1[[#This Row],[SUE DIA]]</f>
        <v>0</v>
      </c>
      <c r="P1172" s="139">
        <f>IF(Tabla1[[#This Row],[FECHA ING]]&lt;$P$1007,365,_xlfn.DAYS($P$1008,Tabla1[[#This Row],[FECHA ING]])+1)</f>
        <v>365</v>
      </c>
      <c r="Q1172" s="198">
        <f>INT(30*(Tabla1[[#This Row],[FECHAS CONTB AGNLDO]]/365))</f>
        <v>30</v>
      </c>
      <c r="R1172" s="244">
        <f ca="1">IF($W$32=$W$26,Tabla1[[#This Row],[SUE DIA]]*Tabla1[[#This Row],[DIAS PAG AGNLDO]],0)</f>
        <v>0</v>
      </c>
      <c r="S1172" s="244">
        <f ca="1">(_xlfn.DAYS(TODAY(),Tabla1[[#This Row],[FECHA ING]])/365)</f>
        <v>8.9397260273972599</v>
      </c>
      <c r="T1172" s="244">
        <f ca="1">IF(Tabla1[[#This Row],[DIAS VAC]]&gt;1,Tabla1[[#This Row],[DIAS VAC]]-Tabla1[[#This Row],[ANTIG]],Tabla1[[#This Row],[DIAS VAC]])</f>
        <v>0.93972602739725986</v>
      </c>
      <c r="U1172" s="244">
        <f ca="1">Tabla1[[#This Row],[VALID ANTIG]]*Tabla1[[#This Row],[SUE DIA]]*Tabla1[[#This Row],[DIAS VAC PAG]]</f>
        <v>2390.9136073059353</v>
      </c>
    </row>
    <row r="1173" spans="2:21" hidden="1" x14ac:dyDescent="0.25">
      <c r="B1173" s="243">
        <v>277</v>
      </c>
      <c r="C1173" s="140" t="str">
        <f>VLOOKUP(B1173,BDD[],2,0)</f>
        <v>Esteban Contreras Torres</v>
      </c>
      <c r="D1173" s="140">
        <f>VLOOKUP(B1173,BDD[],3,0)</f>
        <v>7445</v>
      </c>
      <c r="E1173" s="140">
        <f>VLOOKUP(B1173,BDD[],4,0)</f>
        <v>248.16666666666666</v>
      </c>
      <c r="F1173" s="142">
        <f>VLOOKUP(B1173,BDD[],26,0)</f>
        <v>27.574074074074073</v>
      </c>
      <c r="G1173" s="268">
        <f>VLOOKUP(B1173,BDD[],6,0)</f>
        <v>41513</v>
      </c>
      <c r="H1173" s="139">
        <f ca="1">VLOOKUP(B1173,BDD[],7,0)</f>
        <v>8</v>
      </c>
      <c r="I1173" s="139">
        <f ca="1">VLOOKUP(B1173,BDD[],22,0)</f>
        <v>8</v>
      </c>
      <c r="J1173" s="168">
        <v>15</v>
      </c>
      <c r="K1173" s="139">
        <f>Tabla1[[#This Row],[DIAS LAB]]*Tabla1[[#This Row],[SUE DIA]]</f>
        <v>3722.5</v>
      </c>
      <c r="L1173" s="168">
        <v>0</v>
      </c>
      <c r="M1173" s="198">
        <f>Tabla1[[#This Row],[HRS EXT]]*Tabla1[[#This Row],[SUE X HR]]</f>
        <v>0</v>
      </c>
      <c r="N1173" s="168">
        <v>0</v>
      </c>
      <c r="O1173" s="198">
        <f>Tabla1[[#This Row],[ASUETO]]*Tabla1[[#This Row],[SUE DIA]]</f>
        <v>0</v>
      </c>
      <c r="P1173" s="139">
        <f>IF(Tabla1[[#This Row],[FECHA ING]]&lt;$P$1007,365,_xlfn.DAYS($P$1008,Tabla1[[#This Row],[FECHA ING]])+1)</f>
        <v>365</v>
      </c>
      <c r="Q1173" s="198">
        <f>INT(30*(Tabla1[[#This Row],[FECHAS CONTB AGNLDO]]/365))</f>
        <v>30</v>
      </c>
      <c r="R1173" s="244">
        <f ca="1">IF($W$32=$W$26,Tabla1[[#This Row],[SUE DIA]]*Tabla1[[#This Row],[DIAS PAG AGNLDO]],0)</f>
        <v>0</v>
      </c>
      <c r="S1173" s="244">
        <f ca="1">(_xlfn.DAYS(TODAY(),Tabla1[[#This Row],[FECHA ING]])/365)</f>
        <v>8.8958904109589039</v>
      </c>
      <c r="T1173" s="244">
        <f ca="1">IF(Tabla1[[#This Row],[DIAS VAC]]&gt;1,Tabla1[[#This Row],[DIAS VAC]]-Tabla1[[#This Row],[ANTIG]],Tabla1[[#This Row],[DIAS VAC]])</f>
        <v>0.89589041095890387</v>
      </c>
      <c r="U1173" s="244">
        <f ca="1">Tabla1[[#This Row],[VALID ANTIG]]*Tabla1[[#This Row],[SUE DIA]]*Tabla1[[#This Row],[DIAS VAC PAG]]</f>
        <v>1778.6410958904105</v>
      </c>
    </row>
    <row r="1174" spans="2:21" hidden="1" x14ac:dyDescent="0.25">
      <c r="B1174" s="243">
        <v>278</v>
      </c>
      <c r="C1174" s="140" t="str">
        <f>VLOOKUP(B1174,BDD[],2,0)</f>
        <v>Alexia Fernanda Sánchez López</v>
      </c>
      <c r="D1174" s="140">
        <f>VLOOKUP(B1174,BDD[],3,0)</f>
        <v>7445</v>
      </c>
      <c r="E1174" s="140">
        <f>VLOOKUP(B1174,BDD[],4,0)</f>
        <v>248.16666666666666</v>
      </c>
      <c r="F1174" s="142">
        <f>VLOOKUP(B1174,BDD[],26,0)</f>
        <v>27.574074074074073</v>
      </c>
      <c r="G1174" s="268">
        <f>VLOOKUP(B1174,BDD[],6,0)</f>
        <v>41559</v>
      </c>
      <c r="H1174" s="139">
        <f ca="1">VLOOKUP(B1174,BDD[],7,0)</f>
        <v>8</v>
      </c>
      <c r="I1174" s="139">
        <f ca="1">VLOOKUP(B1174,BDD[],22,0)</f>
        <v>8</v>
      </c>
      <c r="J1174" s="168">
        <v>15</v>
      </c>
      <c r="K1174" s="139">
        <f>Tabla1[[#This Row],[DIAS LAB]]*Tabla1[[#This Row],[SUE DIA]]</f>
        <v>3722.5</v>
      </c>
      <c r="L1174" s="168">
        <v>0</v>
      </c>
      <c r="M1174" s="198">
        <f>Tabla1[[#This Row],[HRS EXT]]*Tabla1[[#This Row],[SUE X HR]]</f>
        <v>0</v>
      </c>
      <c r="N1174" s="168">
        <v>0</v>
      </c>
      <c r="O1174" s="198">
        <f>Tabla1[[#This Row],[ASUETO]]*Tabla1[[#This Row],[SUE DIA]]</f>
        <v>0</v>
      </c>
      <c r="P1174" s="139">
        <f>IF(Tabla1[[#This Row],[FECHA ING]]&lt;$P$1007,365,_xlfn.DAYS($P$1008,Tabla1[[#This Row],[FECHA ING]])+1)</f>
        <v>365</v>
      </c>
      <c r="Q1174" s="198">
        <f>INT(30*(Tabla1[[#This Row],[FECHAS CONTB AGNLDO]]/365))</f>
        <v>30</v>
      </c>
      <c r="R1174" s="244">
        <f ca="1">IF($W$32=$W$26,Tabla1[[#This Row],[SUE DIA]]*Tabla1[[#This Row],[DIAS PAG AGNLDO]],0)</f>
        <v>0</v>
      </c>
      <c r="S1174" s="244">
        <f ca="1">(_xlfn.DAYS(TODAY(),Tabla1[[#This Row],[FECHA ING]])/365)</f>
        <v>8.7698630136986306</v>
      </c>
      <c r="T1174" s="244">
        <f ca="1">IF(Tabla1[[#This Row],[DIAS VAC]]&gt;1,Tabla1[[#This Row],[DIAS VAC]]-Tabla1[[#This Row],[ANTIG]],Tabla1[[#This Row],[DIAS VAC]])</f>
        <v>0.76986301369863064</v>
      </c>
      <c r="U1174" s="244">
        <f ca="1">Tabla1[[#This Row],[VALID ANTIG]]*Tabla1[[#This Row],[SUE DIA]]*Tabla1[[#This Row],[DIAS VAC PAG]]</f>
        <v>1528.434703196348</v>
      </c>
    </row>
    <row r="1175" spans="2:21" hidden="1" x14ac:dyDescent="0.25">
      <c r="B1175" s="243">
        <v>279</v>
      </c>
      <c r="C1175" s="140" t="str">
        <f>VLOOKUP(B1175,BDD[],2,0)</f>
        <v>Francisco Alejandro Torres Méndez</v>
      </c>
      <c r="D1175" s="140">
        <f>VLOOKUP(B1175,BDD[],3,0)</f>
        <v>15850</v>
      </c>
      <c r="E1175" s="140">
        <f>VLOOKUP(B1175,BDD[],4,0)</f>
        <v>528.33333333333337</v>
      </c>
      <c r="F1175" s="142">
        <f>VLOOKUP(B1175,BDD[],26,0)</f>
        <v>58.703703703703709</v>
      </c>
      <c r="G1175" s="268">
        <f>VLOOKUP(B1175,BDD[],6,0)</f>
        <v>41619</v>
      </c>
      <c r="H1175" s="139">
        <f ca="1">VLOOKUP(B1175,BDD[],7,0)</f>
        <v>8</v>
      </c>
      <c r="I1175" s="139">
        <f ca="1">VLOOKUP(B1175,BDD[],22,0)</f>
        <v>8</v>
      </c>
      <c r="J1175" s="168">
        <v>15</v>
      </c>
      <c r="K1175" s="139">
        <f>Tabla1[[#This Row],[DIAS LAB]]*Tabla1[[#This Row],[SUE DIA]]</f>
        <v>7925.0000000000009</v>
      </c>
      <c r="L1175" s="168">
        <v>0</v>
      </c>
      <c r="M1175" s="198">
        <f>Tabla1[[#This Row],[HRS EXT]]*Tabla1[[#This Row],[SUE X HR]]</f>
        <v>0</v>
      </c>
      <c r="N1175" s="168">
        <v>0</v>
      </c>
      <c r="O1175" s="198">
        <f>Tabla1[[#This Row],[ASUETO]]*Tabla1[[#This Row],[SUE DIA]]</f>
        <v>0</v>
      </c>
      <c r="P1175" s="139">
        <f>IF(Tabla1[[#This Row],[FECHA ING]]&lt;$P$1007,365,_xlfn.DAYS($P$1008,Tabla1[[#This Row],[FECHA ING]])+1)</f>
        <v>365</v>
      </c>
      <c r="Q1175" s="198">
        <f>INT(30*(Tabla1[[#This Row],[FECHAS CONTB AGNLDO]]/365))</f>
        <v>30</v>
      </c>
      <c r="R1175" s="244">
        <f ca="1">IF($W$32=$W$26,Tabla1[[#This Row],[SUE DIA]]*Tabla1[[#This Row],[DIAS PAG AGNLDO]],0)</f>
        <v>0</v>
      </c>
      <c r="S1175" s="244">
        <f ca="1">(_xlfn.DAYS(TODAY(),Tabla1[[#This Row],[FECHA ING]])/365)</f>
        <v>8.6054794520547944</v>
      </c>
      <c r="T1175" s="244">
        <f ca="1">IF(Tabla1[[#This Row],[DIAS VAC]]&gt;1,Tabla1[[#This Row],[DIAS VAC]]-Tabla1[[#This Row],[ANTIG]],Tabla1[[#This Row],[DIAS VAC]])</f>
        <v>0.60547945205479436</v>
      </c>
      <c r="U1175" s="244">
        <f ca="1">Tabla1[[#This Row],[VALID ANTIG]]*Tabla1[[#This Row],[SUE DIA]]*Tabla1[[#This Row],[DIAS VAC PAG]]</f>
        <v>2559.1598173515977</v>
      </c>
    </row>
    <row r="1176" spans="2:21" hidden="1" x14ac:dyDescent="0.25">
      <c r="B1176" s="243">
        <v>280</v>
      </c>
      <c r="C1176" s="140" t="str">
        <f>VLOOKUP(B1176,BDD[],2,0)</f>
        <v>Katy Flores Villanueva</v>
      </c>
      <c r="D1176" s="140">
        <f>VLOOKUP(B1176,BDD[],3,0)</f>
        <v>9541</v>
      </c>
      <c r="E1176" s="140">
        <f>VLOOKUP(B1176,BDD[],4,0)</f>
        <v>318.03333333333336</v>
      </c>
      <c r="F1176" s="142">
        <f>VLOOKUP(B1176,BDD[],26,0)</f>
        <v>35.337037037037042</v>
      </c>
      <c r="G1176" s="268">
        <f>VLOOKUP(B1176,BDD[],6,0)</f>
        <v>41630</v>
      </c>
      <c r="H1176" s="139">
        <f ca="1">VLOOKUP(B1176,BDD[],7,0)</f>
        <v>8</v>
      </c>
      <c r="I1176" s="139">
        <f ca="1">VLOOKUP(B1176,BDD[],22,0)</f>
        <v>8</v>
      </c>
      <c r="J1176" s="168">
        <v>15</v>
      </c>
      <c r="K1176" s="139">
        <f>Tabla1[[#This Row],[DIAS LAB]]*Tabla1[[#This Row],[SUE DIA]]</f>
        <v>4770.5</v>
      </c>
      <c r="L1176" s="168">
        <v>0</v>
      </c>
      <c r="M1176" s="198">
        <f>Tabla1[[#This Row],[HRS EXT]]*Tabla1[[#This Row],[SUE X HR]]</f>
        <v>0</v>
      </c>
      <c r="N1176" s="168">
        <v>0</v>
      </c>
      <c r="O1176" s="198">
        <f>Tabla1[[#This Row],[ASUETO]]*Tabla1[[#This Row],[SUE DIA]]</f>
        <v>0</v>
      </c>
      <c r="P1176" s="139">
        <f>IF(Tabla1[[#This Row],[FECHA ING]]&lt;$P$1007,365,_xlfn.DAYS($P$1008,Tabla1[[#This Row],[FECHA ING]])+1)</f>
        <v>365</v>
      </c>
      <c r="Q1176" s="198">
        <f>INT(30*(Tabla1[[#This Row],[FECHAS CONTB AGNLDO]]/365))</f>
        <v>30</v>
      </c>
      <c r="R1176" s="244">
        <f ca="1">IF($W$32=$W$26,Tabla1[[#This Row],[SUE DIA]]*Tabla1[[#This Row],[DIAS PAG AGNLDO]],0)</f>
        <v>0</v>
      </c>
      <c r="S1176" s="244">
        <f ca="1">(_xlfn.DAYS(TODAY(),Tabla1[[#This Row],[FECHA ING]])/365)</f>
        <v>8.5753424657534243</v>
      </c>
      <c r="T1176" s="244">
        <f ca="1">IF(Tabla1[[#This Row],[DIAS VAC]]&gt;1,Tabla1[[#This Row],[DIAS VAC]]-Tabla1[[#This Row],[ANTIG]],Tabla1[[#This Row],[DIAS VAC]])</f>
        <v>0.57534246575342429</v>
      </c>
      <c r="U1176" s="244">
        <f ca="1">Tabla1[[#This Row],[VALID ANTIG]]*Tabla1[[#This Row],[SUE DIA]]*Tabla1[[#This Row],[DIAS VAC PAG]]</f>
        <v>1463.8246575342457</v>
      </c>
    </row>
    <row r="1177" spans="2:21" hidden="1" x14ac:dyDescent="0.25">
      <c r="B1177" s="243">
        <v>281</v>
      </c>
      <c r="C1177" s="140" t="str">
        <f>VLOOKUP(B1177,BDD[],2,0)</f>
        <v>Evelyn Jazmin Escobedo Rodriguez</v>
      </c>
      <c r="D1177" s="140">
        <f>VLOOKUP(B1177,BDD[],3,0)</f>
        <v>9450</v>
      </c>
      <c r="E1177" s="140">
        <f>VLOOKUP(B1177,BDD[],4,0)</f>
        <v>315</v>
      </c>
      <c r="F1177" s="142">
        <f>VLOOKUP(B1177,BDD[],26,0)</f>
        <v>35</v>
      </c>
      <c r="G1177" s="268">
        <f>VLOOKUP(B1177,BDD[],6,0)</f>
        <v>41630</v>
      </c>
      <c r="H1177" s="139">
        <f ca="1">VLOOKUP(B1177,BDD[],7,0)</f>
        <v>8</v>
      </c>
      <c r="I1177" s="139">
        <f ca="1">VLOOKUP(B1177,BDD[],22,0)</f>
        <v>8</v>
      </c>
      <c r="J1177" s="168">
        <v>15</v>
      </c>
      <c r="K1177" s="139">
        <f>Tabla1[[#This Row],[DIAS LAB]]*Tabla1[[#This Row],[SUE DIA]]</f>
        <v>4725</v>
      </c>
      <c r="L1177" s="168">
        <v>0</v>
      </c>
      <c r="M1177" s="198">
        <f>Tabla1[[#This Row],[HRS EXT]]*Tabla1[[#This Row],[SUE X HR]]</f>
        <v>0</v>
      </c>
      <c r="N1177" s="168">
        <v>0</v>
      </c>
      <c r="O1177" s="198">
        <f>Tabla1[[#This Row],[ASUETO]]*Tabla1[[#This Row],[SUE DIA]]</f>
        <v>0</v>
      </c>
      <c r="P1177" s="139">
        <f>IF(Tabla1[[#This Row],[FECHA ING]]&lt;$P$1007,365,_xlfn.DAYS($P$1008,Tabla1[[#This Row],[FECHA ING]])+1)</f>
        <v>365</v>
      </c>
      <c r="Q1177" s="198">
        <f>INT(30*(Tabla1[[#This Row],[FECHAS CONTB AGNLDO]]/365))</f>
        <v>30</v>
      </c>
      <c r="R1177" s="244">
        <f ca="1">IF($W$32=$W$26,Tabla1[[#This Row],[SUE DIA]]*Tabla1[[#This Row],[DIAS PAG AGNLDO]],0)</f>
        <v>0</v>
      </c>
      <c r="S1177" s="244">
        <f ca="1">(_xlfn.DAYS(TODAY(),Tabla1[[#This Row],[FECHA ING]])/365)</f>
        <v>8.5753424657534243</v>
      </c>
      <c r="T1177" s="244">
        <f ca="1">IF(Tabla1[[#This Row],[DIAS VAC]]&gt;1,Tabla1[[#This Row],[DIAS VAC]]-Tabla1[[#This Row],[ANTIG]],Tabla1[[#This Row],[DIAS VAC]])</f>
        <v>0.57534246575342429</v>
      </c>
      <c r="U1177" s="244">
        <f ca="1">Tabla1[[#This Row],[VALID ANTIG]]*Tabla1[[#This Row],[SUE DIA]]*Tabla1[[#This Row],[DIAS VAC PAG]]</f>
        <v>1449.8630136986292</v>
      </c>
    </row>
    <row r="1178" spans="2:21" hidden="1" x14ac:dyDescent="0.25">
      <c r="B1178" s="243">
        <v>282</v>
      </c>
      <c r="C1178" s="140" t="str">
        <f>VLOOKUP(B1178,BDD[],2,0)</f>
        <v>Itzel Alejandra Flores Hernandez</v>
      </c>
      <c r="D1178" s="140">
        <f>VLOOKUP(B1178,BDD[],3,0)</f>
        <v>10350</v>
      </c>
      <c r="E1178" s="140">
        <f>VLOOKUP(B1178,BDD[],4,0)</f>
        <v>345</v>
      </c>
      <c r="F1178" s="142">
        <f>VLOOKUP(B1178,BDD[],26,0)</f>
        <v>38.333333333333336</v>
      </c>
      <c r="G1178" s="268">
        <f>VLOOKUP(B1178,BDD[],6,0)</f>
        <v>41644</v>
      </c>
      <c r="H1178" s="139">
        <f ca="1">VLOOKUP(B1178,BDD[],7,0)</f>
        <v>8</v>
      </c>
      <c r="I1178" s="139">
        <f ca="1">VLOOKUP(B1178,BDD[],22,0)</f>
        <v>8</v>
      </c>
      <c r="J1178" s="168">
        <v>15</v>
      </c>
      <c r="K1178" s="139">
        <f>Tabla1[[#This Row],[DIAS LAB]]*Tabla1[[#This Row],[SUE DIA]]</f>
        <v>5175</v>
      </c>
      <c r="L1178" s="168">
        <v>0</v>
      </c>
      <c r="M1178" s="198">
        <f>Tabla1[[#This Row],[HRS EXT]]*Tabla1[[#This Row],[SUE X HR]]</f>
        <v>0</v>
      </c>
      <c r="N1178" s="168">
        <v>0</v>
      </c>
      <c r="O1178" s="198">
        <f>Tabla1[[#This Row],[ASUETO]]*Tabla1[[#This Row],[SUE DIA]]</f>
        <v>0</v>
      </c>
      <c r="P1178" s="139">
        <f>IF(Tabla1[[#This Row],[FECHA ING]]&lt;$P$1007,365,_xlfn.DAYS($P$1008,Tabla1[[#This Row],[FECHA ING]])+1)</f>
        <v>365</v>
      </c>
      <c r="Q1178" s="198">
        <f>INT(30*(Tabla1[[#This Row],[FECHAS CONTB AGNLDO]]/365))</f>
        <v>30</v>
      </c>
      <c r="R1178" s="244">
        <f ca="1">IF($W$32=$W$26,Tabla1[[#This Row],[SUE DIA]]*Tabla1[[#This Row],[DIAS PAG AGNLDO]],0)</f>
        <v>0</v>
      </c>
      <c r="S1178" s="244">
        <f ca="1">(_xlfn.DAYS(TODAY(),Tabla1[[#This Row],[FECHA ING]])/365)</f>
        <v>8.536986301369863</v>
      </c>
      <c r="T1178" s="244">
        <f ca="1">IF(Tabla1[[#This Row],[DIAS VAC]]&gt;1,Tabla1[[#This Row],[DIAS VAC]]-Tabla1[[#This Row],[ANTIG]],Tabla1[[#This Row],[DIAS VAC]])</f>
        <v>0.53698630136986303</v>
      </c>
      <c r="U1178" s="244">
        <f ca="1">Tabla1[[#This Row],[VALID ANTIG]]*Tabla1[[#This Row],[SUE DIA]]*Tabla1[[#This Row],[DIAS VAC PAG]]</f>
        <v>1482.0821917808219</v>
      </c>
    </row>
    <row r="1179" spans="2:21" hidden="1" x14ac:dyDescent="0.25">
      <c r="B1179" s="243">
        <v>283</v>
      </c>
      <c r="C1179" s="140" t="str">
        <f>VLOOKUP(B1179,BDD[],2,0)</f>
        <v>Carolina Perez Villarreal</v>
      </c>
      <c r="D1179" s="140">
        <f>VLOOKUP(B1179,BDD[],3,0)</f>
        <v>7445</v>
      </c>
      <c r="E1179" s="140">
        <f>VLOOKUP(B1179,BDD[],4,0)</f>
        <v>248.16666666666666</v>
      </c>
      <c r="F1179" s="142">
        <f>VLOOKUP(B1179,BDD[],26,0)</f>
        <v>27.574074074074073</v>
      </c>
      <c r="G1179" s="268">
        <f>VLOOKUP(B1179,BDD[],6,0)</f>
        <v>41654</v>
      </c>
      <c r="H1179" s="139">
        <f ca="1">VLOOKUP(B1179,BDD[],7,0)</f>
        <v>8</v>
      </c>
      <c r="I1179" s="139">
        <f ca="1">VLOOKUP(B1179,BDD[],22,0)</f>
        <v>8</v>
      </c>
      <c r="J1179" s="168">
        <v>15</v>
      </c>
      <c r="K1179" s="139">
        <f>Tabla1[[#This Row],[DIAS LAB]]*Tabla1[[#This Row],[SUE DIA]]</f>
        <v>3722.5</v>
      </c>
      <c r="L1179" s="168">
        <v>0</v>
      </c>
      <c r="M1179" s="198">
        <f>Tabla1[[#This Row],[HRS EXT]]*Tabla1[[#This Row],[SUE X HR]]</f>
        <v>0</v>
      </c>
      <c r="N1179" s="168">
        <v>0</v>
      </c>
      <c r="O1179" s="198">
        <f>Tabla1[[#This Row],[ASUETO]]*Tabla1[[#This Row],[SUE DIA]]</f>
        <v>0</v>
      </c>
      <c r="P1179" s="139">
        <f>IF(Tabla1[[#This Row],[FECHA ING]]&lt;$P$1007,365,_xlfn.DAYS($P$1008,Tabla1[[#This Row],[FECHA ING]])+1)</f>
        <v>365</v>
      </c>
      <c r="Q1179" s="198">
        <f>INT(30*(Tabla1[[#This Row],[FECHAS CONTB AGNLDO]]/365))</f>
        <v>30</v>
      </c>
      <c r="R1179" s="244">
        <f ca="1">IF($W$32=$W$26,Tabla1[[#This Row],[SUE DIA]]*Tabla1[[#This Row],[DIAS PAG AGNLDO]],0)</f>
        <v>0</v>
      </c>
      <c r="S1179" s="244">
        <f ca="1">(_xlfn.DAYS(TODAY(),Tabla1[[#This Row],[FECHA ING]])/365)</f>
        <v>8.5095890410958912</v>
      </c>
      <c r="T1179" s="244">
        <f ca="1">IF(Tabla1[[#This Row],[DIAS VAC]]&gt;1,Tabla1[[#This Row],[DIAS VAC]]-Tabla1[[#This Row],[ANTIG]],Tabla1[[#This Row],[DIAS VAC]])</f>
        <v>0.5095890410958912</v>
      </c>
      <c r="U1179" s="244">
        <f ca="1">Tabla1[[#This Row],[VALID ANTIG]]*Tabla1[[#This Row],[SUE DIA]]*Tabla1[[#This Row],[DIAS VAC PAG]]</f>
        <v>1011.7041095890427</v>
      </c>
    </row>
    <row r="1180" spans="2:21" hidden="1" x14ac:dyDescent="0.25">
      <c r="B1180" s="243">
        <v>284</v>
      </c>
      <c r="C1180" s="140" t="str">
        <f>VLOOKUP(B1180,BDD[],2,0)</f>
        <v>Nora Livia Gomez Figueroa</v>
      </c>
      <c r="D1180" s="140">
        <f>VLOOKUP(B1180,BDD[],3,0)</f>
        <v>7445</v>
      </c>
      <c r="E1180" s="140">
        <f>VLOOKUP(B1180,BDD[],4,0)</f>
        <v>248.16666666666666</v>
      </c>
      <c r="F1180" s="142">
        <f>VLOOKUP(B1180,BDD[],26,0)</f>
        <v>27.574074074074073</v>
      </c>
      <c r="G1180" s="268">
        <f>VLOOKUP(B1180,BDD[],6,0)</f>
        <v>41687</v>
      </c>
      <c r="H1180" s="139">
        <f ca="1">VLOOKUP(B1180,BDD[],7,0)</f>
        <v>8</v>
      </c>
      <c r="I1180" s="139">
        <f ca="1">VLOOKUP(B1180,BDD[],22,0)</f>
        <v>8</v>
      </c>
      <c r="J1180" s="168">
        <v>15</v>
      </c>
      <c r="K1180" s="139">
        <f>Tabla1[[#This Row],[DIAS LAB]]*Tabla1[[#This Row],[SUE DIA]]</f>
        <v>3722.5</v>
      </c>
      <c r="L1180" s="168">
        <v>0</v>
      </c>
      <c r="M1180" s="198">
        <f>Tabla1[[#This Row],[HRS EXT]]*Tabla1[[#This Row],[SUE X HR]]</f>
        <v>0</v>
      </c>
      <c r="N1180" s="168">
        <v>0</v>
      </c>
      <c r="O1180" s="198">
        <f>Tabla1[[#This Row],[ASUETO]]*Tabla1[[#This Row],[SUE DIA]]</f>
        <v>0</v>
      </c>
      <c r="P1180" s="139">
        <f>IF(Tabla1[[#This Row],[FECHA ING]]&lt;$P$1007,365,_xlfn.DAYS($P$1008,Tabla1[[#This Row],[FECHA ING]])+1)</f>
        <v>365</v>
      </c>
      <c r="Q1180" s="198">
        <f>INT(30*(Tabla1[[#This Row],[FECHAS CONTB AGNLDO]]/365))</f>
        <v>30</v>
      </c>
      <c r="R1180" s="244">
        <f ca="1">IF($W$32=$W$26,Tabla1[[#This Row],[SUE DIA]]*Tabla1[[#This Row],[DIAS PAG AGNLDO]],0)</f>
        <v>0</v>
      </c>
      <c r="S1180" s="244">
        <f ca="1">(_xlfn.DAYS(TODAY(),Tabla1[[#This Row],[FECHA ING]])/365)</f>
        <v>8.419178082191781</v>
      </c>
      <c r="T1180" s="244">
        <f ca="1">IF(Tabla1[[#This Row],[DIAS VAC]]&gt;1,Tabla1[[#This Row],[DIAS VAC]]-Tabla1[[#This Row],[ANTIG]],Tabla1[[#This Row],[DIAS VAC]])</f>
        <v>0.41917808219178099</v>
      </c>
      <c r="U1180" s="244">
        <f ca="1">Tabla1[[#This Row],[VALID ANTIG]]*Tabla1[[#This Row],[SUE DIA]]*Tabla1[[#This Row],[DIAS VAC PAG]]</f>
        <v>832.20821917808246</v>
      </c>
    </row>
    <row r="1181" spans="2:21" hidden="1" x14ac:dyDescent="0.25">
      <c r="B1181" s="243">
        <v>285</v>
      </c>
      <c r="C1181" s="140" t="str">
        <f>VLOOKUP(B1181,BDD[],2,0)</f>
        <v>José Ines Giron Suastegui</v>
      </c>
      <c r="D1181" s="140">
        <f>VLOOKUP(B1181,BDD[],3,0)</f>
        <v>9450</v>
      </c>
      <c r="E1181" s="140">
        <f>VLOOKUP(B1181,BDD[],4,0)</f>
        <v>315</v>
      </c>
      <c r="F1181" s="142">
        <f>VLOOKUP(B1181,BDD[],26,0)</f>
        <v>35</v>
      </c>
      <c r="G1181" s="268">
        <f>VLOOKUP(B1181,BDD[],6,0)</f>
        <v>41697</v>
      </c>
      <c r="H1181" s="139">
        <f ca="1">VLOOKUP(B1181,BDD[],7,0)</f>
        <v>8</v>
      </c>
      <c r="I1181" s="139">
        <f ca="1">VLOOKUP(B1181,BDD[],22,0)</f>
        <v>8</v>
      </c>
      <c r="J1181" s="168">
        <v>15</v>
      </c>
      <c r="K1181" s="139">
        <f>Tabla1[[#This Row],[DIAS LAB]]*Tabla1[[#This Row],[SUE DIA]]</f>
        <v>4725</v>
      </c>
      <c r="L1181" s="168">
        <v>0</v>
      </c>
      <c r="M1181" s="198">
        <f>Tabla1[[#This Row],[HRS EXT]]*Tabla1[[#This Row],[SUE X HR]]</f>
        <v>0</v>
      </c>
      <c r="N1181" s="168">
        <v>0</v>
      </c>
      <c r="O1181" s="198">
        <f>Tabla1[[#This Row],[ASUETO]]*Tabla1[[#This Row],[SUE DIA]]</f>
        <v>0</v>
      </c>
      <c r="P1181" s="139">
        <f>IF(Tabla1[[#This Row],[FECHA ING]]&lt;$P$1007,365,_xlfn.DAYS($P$1008,Tabla1[[#This Row],[FECHA ING]])+1)</f>
        <v>365</v>
      </c>
      <c r="Q1181" s="198">
        <f>INT(30*(Tabla1[[#This Row],[FECHAS CONTB AGNLDO]]/365))</f>
        <v>30</v>
      </c>
      <c r="R1181" s="244">
        <f ca="1">IF($W$32=$W$26,Tabla1[[#This Row],[SUE DIA]]*Tabla1[[#This Row],[DIAS PAG AGNLDO]],0)</f>
        <v>0</v>
      </c>
      <c r="S1181" s="244">
        <f ca="1">(_xlfn.DAYS(TODAY(),Tabla1[[#This Row],[FECHA ING]])/365)</f>
        <v>8.3917808219178074</v>
      </c>
      <c r="T1181" s="244">
        <f ca="1">IF(Tabla1[[#This Row],[DIAS VAC]]&gt;1,Tabla1[[#This Row],[DIAS VAC]]-Tabla1[[#This Row],[ANTIG]],Tabla1[[#This Row],[DIAS VAC]])</f>
        <v>0.39178082191780739</v>
      </c>
      <c r="U1181" s="244">
        <f ca="1">Tabla1[[#This Row],[VALID ANTIG]]*Tabla1[[#This Row],[SUE DIA]]*Tabla1[[#This Row],[DIAS VAC PAG]]</f>
        <v>987.28767123287457</v>
      </c>
    </row>
    <row r="1182" spans="2:21" hidden="1" x14ac:dyDescent="0.25">
      <c r="B1182" s="243">
        <v>286</v>
      </c>
      <c r="C1182" s="140" t="str">
        <f>VLOOKUP(B1182,BDD[],2,0)</f>
        <v>Joel Alejandro Flores Santiago</v>
      </c>
      <c r="D1182" s="140">
        <f>VLOOKUP(B1182,BDD[],3,0)</f>
        <v>7445</v>
      </c>
      <c r="E1182" s="140">
        <f>VLOOKUP(B1182,BDD[],4,0)</f>
        <v>248.16666666666666</v>
      </c>
      <c r="F1182" s="142">
        <f>VLOOKUP(B1182,BDD[],26,0)</f>
        <v>27.574074074074073</v>
      </c>
      <c r="G1182" s="268">
        <f>VLOOKUP(B1182,BDD[],6,0)</f>
        <v>41708</v>
      </c>
      <c r="H1182" s="139">
        <f ca="1">VLOOKUP(B1182,BDD[],7,0)</f>
        <v>8</v>
      </c>
      <c r="I1182" s="139">
        <f ca="1">VLOOKUP(B1182,BDD[],22,0)</f>
        <v>8</v>
      </c>
      <c r="J1182" s="168">
        <v>15</v>
      </c>
      <c r="K1182" s="139">
        <f>Tabla1[[#This Row],[DIAS LAB]]*Tabla1[[#This Row],[SUE DIA]]</f>
        <v>3722.5</v>
      </c>
      <c r="L1182" s="168">
        <v>0</v>
      </c>
      <c r="M1182" s="198">
        <f>Tabla1[[#This Row],[HRS EXT]]*Tabla1[[#This Row],[SUE X HR]]</f>
        <v>0</v>
      </c>
      <c r="N1182" s="168">
        <v>0</v>
      </c>
      <c r="O1182" s="198">
        <f>Tabla1[[#This Row],[ASUETO]]*Tabla1[[#This Row],[SUE DIA]]</f>
        <v>0</v>
      </c>
      <c r="P1182" s="139">
        <f>IF(Tabla1[[#This Row],[FECHA ING]]&lt;$P$1007,365,_xlfn.DAYS($P$1008,Tabla1[[#This Row],[FECHA ING]])+1)</f>
        <v>365</v>
      </c>
      <c r="Q1182" s="198">
        <f>INT(30*(Tabla1[[#This Row],[FECHAS CONTB AGNLDO]]/365))</f>
        <v>30</v>
      </c>
      <c r="R1182" s="244">
        <f ca="1">IF($W$32=$W$26,Tabla1[[#This Row],[SUE DIA]]*Tabla1[[#This Row],[DIAS PAG AGNLDO]],0)</f>
        <v>0</v>
      </c>
      <c r="S1182" s="244">
        <f ca="1">(_xlfn.DAYS(TODAY(),Tabla1[[#This Row],[FECHA ING]])/365)</f>
        <v>8.3616438356164391</v>
      </c>
      <c r="T1182" s="244">
        <f ca="1">IF(Tabla1[[#This Row],[DIAS VAC]]&gt;1,Tabla1[[#This Row],[DIAS VAC]]-Tabla1[[#This Row],[ANTIG]],Tabla1[[#This Row],[DIAS VAC]])</f>
        <v>0.36164383561643909</v>
      </c>
      <c r="U1182" s="244">
        <f ca="1">Tabla1[[#This Row],[VALID ANTIG]]*Tabla1[[#This Row],[SUE DIA]]*Tabla1[[#This Row],[DIAS VAC PAG]]</f>
        <v>717.98356164383699</v>
      </c>
    </row>
    <row r="1183" spans="2:21" hidden="1" x14ac:dyDescent="0.25">
      <c r="B1183" s="243">
        <v>289</v>
      </c>
      <c r="C1183" s="140" t="str">
        <f>VLOOKUP(B1183,BDD[],2,0)</f>
        <v>Yessica Macías Ramírez</v>
      </c>
      <c r="D1183" s="140">
        <f>VLOOKUP(B1183,BDD[],3,0)</f>
        <v>9541</v>
      </c>
      <c r="E1183" s="140">
        <f>VLOOKUP(B1183,BDD[],4,0)</f>
        <v>318.03333333333336</v>
      </c>
      <c r="F1183" s="142">
        <f>VLOOKUP(B1183,BDD[],26,0)</f>
        <v>35.337037037037042</v>
      </c>
      <c r="G1183" s="268">
        <f>VLOOKUP(B1183,BDD[],6,0)</f>
        <v>41731</v>
      </c>
      <c r="H1183" s="139">
        <f ca="1">VLOOKUP(B1183,BDD[],7,0)</f>
        <v>8</v>
      </c>
      <c r="I1183" s="139">
        <f ca="1">VLOOKUP(B1183,BDD[],22,0)</f>
        <v>8</v>
      </c>
      <c r="J1183" s="168">
        <v>15</v>
      </c>
      <c r="K1183" s="139">
        <f>Tabla1[[#This Row],[DIAS LAB]]*Tabla1[[#This Row],[SUE DIA]]</f>
        <v>4770.5</v>
      </c>
      <c r="L1183" s="168">
        <v>0</v>
      </c>
      <c r="M1183" s="198">
        <f>Tabla1[[#This Row],[HRS EXT]]*Tabla1[[#This Row],[SUE X HR]]</f>
        <v>0</v>
      </c>
      <c r="N1183" s="168">
        <v>0</v>
      </c>
      <c r="O1183" s="198">
        <f>Tabla1[[#This Row],[ASUETO]]*Tabla1[[#This Row],[SUE DIA]]</f>
        <v>0</v>
      </c>
      <c r="P1183" s="139">
        <f>IF(Tabla1[[#This Row],[FECHA ING]]&lt;$P$1007,365,_xlfn.DAYS($P$1008,Tabla1[[#This Row],[FECHA ING]])+1)</f>
        <v>365</v>
      </c>
      <c r="Q1183" s="198">
        <f>INT(30*(Tabla1[[#This Row],[FECHAS CONTB AGNLDO]]/365))</f>
        <v>30</v>
      </c>
      <c r="R1183" s="244">
        <f ca="1">IF($W$32=$W$26,Tabla1[[#This Row],[SUE DIA]]*Tabla1[[#This Row],[DIAS PAG AGNLDO]],0)</f>
        <v>0</v>
      </c>
      <c r="S1183" s="244">
        <f ca="1">(_xlfn.DAYS(TODAY(),Tabla1[[#This Row],[FECHA ING]])/365)</f>
        <v>8.2986301369863007</v>
      </c>
      <c r="T1183" s="244">
        <f ca="1">IF(Tabla1[[#This Row],[DIAS VAC]]&gt;1,Tabla1[[#This Row],[DIAS VAC]]-Tabla1[[#This Row],[ANTIG]],Tabla1[[#This Row],[DIAS VAC]])</f>
        <v>0.2986301369863007</v>
      </c>
      <c r="U1183" s="244">
        <f ca="1">Tabla1[[#This Row],[VALID ANTIG]]*Tabla1[[#This Row],[SUE DIA]]*Tabla1[[#This Row],[DIAS VAC PAG]]</f>
        <v>759.79470319634538</v>
      </c>
    </row>
    <row r="1184" spans="2:21" hidden="1" x14ac:dyDescent="0.25">
      <c r="B1184" s="243">
        <v>290</v>
      </c>
      <c r="C1184" s="140" t="str">
        <f>VLOOKUP(B1184,BDD[],2,0)</f>
        <v>Kevin Daniel Martinez Gomez</v>
      </c>
      <c r="D1184" s="140">
        <f>VLOOKUP(B1184,BDD[],3,0)</f>
        <v>7445</v>
      </c>
      <c r="E1184" s="140">
        <f>VLOOKUP(B1184,BDD[],4,0)</f>
        <v>248.16666666666666</v>
      </c>
      <c r="F1184" s="142">
        <f>VLOOKUP(B1184,BDD[],26,0)</f>
        <v>27.574074074074073</v>
      </c>
      <c r="G1184" s="268">
        <f>VLOOKUP(B1184,BDD[],6,0)</f>
        <v>41796</v>
      </c>
      <c r="H1184" s="139">
        <f ca="1">VLOOKUP(B1184,BDD[],7,0)</f>
        <v>8</v>
      </c>
      <c r="I1184" s="139">
        <f ca="1">VLOOKUP(B1184,BDD[],22,0)</f>
        <v>8</v>
      </c>
      <c r="J1184" s="168">
        <v>15</v>
      </c>
      <c r="K1184" s="139">
        <f>Tabla1[[#This Row],[DIAS LAB]]*Tabla1[[#This Row],[SUE DIA]]</f>
        <v>3722.5</v>
      </c>
      <c r="L1184" s="168">
        <v>0</v>
      </c>
      <c r="M1184" s="198">
        <f>Tabla1[[#This Row],[HRS EXT]]*Tabla1[[#This Row],[SUE X HR]]</f>
        <v>0</v>
      </c>
      <c r="N1184" s="168">
        <v>0</v>
      </c>
      <c r="O1184" s="198">
        <f>Tabla1[[#This Row],[ASUETO]]*Tabla1[[#This Row],[SUE DIA]]</f>
        <v>0</v>
      </c>
      <c r="P1184" s="139">
        <f>IF(Tabla1[[#This Row],[FECHA ING]]&lt;$P$1007,365,_xlfn.DAYS($P$1008,Tabla1[[#This Row],[FECHA ING]])+1)</f>
        <v>365</v>
      </c>
      <c r="Q1184" s="198">
        <f>INT(30*(Tabla1[[#This Row],[FECHAS CONTB AGNLDO]]/365))</f>
        <v>30</v>
      </c>
      <c r="R1184" s="244">
        <f ca="1">IF($W$32=$W$26,Tabla1[[#This Row],[SUE DIA]]*Tabla1[[#This Row],[DIAS PAG AGNLDO]],0)</f>
        <v>0</v>
      </c>
      <c r="S1184" s="244">
        <f ca="1">(_xlfn.DAYS(TODAY(),Tabla1[[#This Row],[FECHA ING]])/365)</f>
        <v>8.1205479452054803</v>
      </c>
      <c r="T1184" s="244">
        <f ca="1">IF(Tabla1[[#This Row],[DIAS VAC]]&gt;1,Tabla1[[#This Row],[DIAS VAC]]-Tabla1[[#This Row],[ANTIG]],Tabla1[[#This Row],[DIAS VAC]])</f>
        <v>0.12054794520548029</v>
      </c>
      <c r="U1184" s="244">
        <f ca="1">Tabla1[[#This Row],[VALID ANTIG]]*Tabla1[[#This Row],[SUE DIA]]*Tabla1[[#This Row],[DIAS VAC PAG]]</f>
        <v>239.32785388128019</v>
      </c>
    </row>
    <row r="1185" spans="2:21" hidden="1" x14ac:dyDescent="0.25">
      <c r="B1185" s="243">
        <v>291</v>
      </c>
      <c r="C1185" s="140" t="str">
        <f>VLOOKUP(B1185,BDD[],2,0)</f>
        <v>Fátima Jaqueline Morin García</v>
      </c>
      <c r="D1185" s="140">
        <f>VLOOKUP(B1185,BDD[],3,0)</f>
        <v>9450</v>
      </c>
      <c r="E1185" s="140">
        <f>VLOOKUP(B1185,BDD[],4,0)</f>
        <v>315</v>
      </c>
      <c r="F1185" s="142">
        <f>VLOOKUP(B1185,BDD[],26,0)</f>
        <v>35</v>
      </c>
      <c r="G1185" s="268">
        <f>VLOOKUP(B1185,BDD[],6,0)</f>
        <v>41861</v>
      </c>
      <c r="H1185" s="139">
        <f ca="1">VLOOKUP(B1185,BDD[],7,0)</f>
        <v>7</v>
      </c>
      <c r="I1185" s="139">
        <f ca="1">VLOOKUP(B1185,BDD[],22,0)</f>
        <v>8</v>
      </c>
      <c r="J1185" s="168">
        <v>15</v>
      </c>
      <c r="K1185" s="139">
        <f>Tabla1[[#This Row],[DIAS LAB]]*Tabla1[[#This Row],[SUE DIA]]</f>
        <v>4725</v>
      </c>
      <c r="L1185" s="168">
        <v>0</v>
      </c>
      <c r="M1185" s="198">
        <f>Tabla1[[#This Row],[HRS EXT]]*Tabla1[[#This Row],[SUE X HR]]</f>
        <v>0</v>
      </c>
      <c r="N1185" s="168">
        <v>0</v>
      </c>
      <c r="O1185" s="198">
        <f>Tabla1[[#This Row],[ASUETO]]*Tabla1[[#This Row],[SUE DIA]]</f>
        <v>0</v>
      </c>
      <c r="P1185" s="139">
        <f>IF(Tabla1[[#This Row],[FECHA ING]]&lt;$P$1007,365,_xlfn.DAYS($P$1008,Tabla1[[#This Row],[FECHA ING]])+1)</f>
        <v>365</v>
      </c>
      <c r="Q1185" s="198">
        <f>INT(30*(Tabla1[[#This Row],[FECHAS CONTB AGNLDO]]/365))</f>
        <v>30</v>
      </c>
      <c r="R1185" s="244">
        <f ca="1">IF($W$32=$W$26,Tabla1[[#This Row],[SUE DIA]]*Tabla1[[#This Row],[DIAS PAG AGNLDO]],0)</f>
        <v>0</v>
      </c>
      <c r="S1185" s="244">
        <f ca="1">(_xlfn.DAYS(TODAY(),Tabla1[[#This Row],[FECHA ING]])/365)</f>
        <v>7.9424657534246572</v>
      </c>
      <c r="T1185" s="244">
        <f ca="1">IF(Tabla1[[#This Row],[DIAS VAC]]&gt;1,Tabla1[[#This Row],[DIAS VAC]]-Tabla1[[#This Row],[ANTIG]],Tabla1[[#This Row],[DIAS VAC]])</f>
        <v>0.94246575342465722</v>
      </c>
      <c r="U1185" s="244">
        <f ca="1">Tabla1[[#This Row],[VALID ANTIG]]*Tabla1[[#This Row],[SUE DIA]]*Tabla1[[#This Row],[DIAS VAC PAG]]</f>
        <v>2375.0136986301363</v>
      </c>
    </row>
    <row r="1186" spans="2:21" hidden="1" x14ac:dyDescent="0.25">
      <c r="B1186" s="243">
        <v>292</v>
      </c>
      <c r="C1186" s="140" t="str">
        <f>VLOOKUP(B1186,BDD[],2,0)</f>
        <v>Samanta Villarreal Núñez</v>
      </c>
      <c r="D1186" s="140">
        <f>VLOOKUP(B1186,BDD[],3,0)</f>
        <v>9541</v>
      </c>
      <c r="E1186" s="140">
        <f>VLOOKUP(B1186,BDD[],4,0)</f>
        <v>318.03333333333336</v>
      </c>
      <c r="F1186" s="142">
        <f>VLOOKUP(B1186,BDD[],26,0)</f>
        <v>35.337037037037042</v>
      </c>
      <c r="G1186" s="268">
        <f>VLOOKUP(B1186,BDD[],6,0)</f>
        <v>41872</v>
      </c>
      <c r="H1186" s="139">
        <f ca="1">VLOOKUP(B1186,BDD[],7,0)</f>
        <v>7</v>
      </c>
      <c r="I1186" s="139">
        <f ca="1">VLOOKUP(B1186,BDD[],22,0)</f>
        <v>8</v>
      </c>
      <c r="J1186" s="168">
        <v>15</v>
      </c>
      <c r="K1186" s="139">
        <f>Tabla1[[#This Row],[DIAS LAB]]*Tabla1[[#This Row],[SUE DIA]]</f>
        <v>4770.5</v>
      </c>
      <c r="L1186" s="168">
        <v>0</v>
      </c>
      <c r="M1186" s="198">
        <f>Tabla1[[#This Row],[HRS EXT]]*Tabla1[[#This Row],[SUE X HR]]</f>
        <v>0</v>
      </c>
      <c r="N1186" s="168">
        <v>0</v>
      </c>
      <c r="O1186" s="198">
        <f>Tabla1[[#This Row],[ASUETO]]*Tabla1[[#This Row],[SUE DIA]]</f>
        <v>0</v>
      </c>
      <c r="P1186" s="139">
        <f>IF(Tabla1[[#This Row],[FECHA ING]]&lt;$P$1007,365,_xlfn.DAYS($P$1008,Tabla1[[#This Row],[FECHA ING]])+1)</f>
        <v>365</v>
      </c>
      <c r="Q1186" s="198">
        <f>INT(30*(Tabla1[[#This Row],[FECHAS CONTB AGNLDO]]/365))</f>
        <v>30</v>
      </c>
      <c r="R1186" s="244">
        <f ca="1">IF($W$32=$W$26,Tabla1[[#This Row],[SUE DIA]]*Tabla1[[#This Row],[DIAS PAG AGNLDO]],0)</f>
        <v>0</v>
      </c>
      <c r="S1186" s="244">
        <f ca="1">(_xlfn.DAYS(TODAY(),Tabla1[[#This Row],[FECHA ING]])/365)</f>
        <v>7.912328767123288</v>
      </c>
      <c r="T1186" s="244">
        <f ca="1">IF(Tabla1[[#This Row],[DIAS VAC]]&gt;1,Tabla1[[#This Row],[DIAS VAC]]-Tabla1[[#This Row],[ANTIG]],Tabla1[[#This Row],[DIAS VAC]])</f>
        <v>0.91232876712328803</v>
      </c>
      <c r="U1186" s="244">
        <f ca="1">Tabla1[[#This Row],[VALID ANTIG]]*Tabla1[[#This Row],[SUE DIA]]*Tabla1[[#This Row],[DIAS VAC PAG]]</f>
        <v>2321.2076712328776</v>
      </c>
    </row>
    <row r="1187" spans="2:21" hidden="1" x14ac:dyDescent="0.25">
      <c r="B1187" s="243">
        <v>293</v>
      </c>
      <c r="C1187" s="140" t="str">
        <f>VLOOKUP(B1187,BDD[],2,0)</f>
        <v>Virgilio Amaro Vega</v>
      </c>
      <c r="D1187" s="140">
        <f>VLOOKUP(B1187,BDD[],3,0)</f>
        <v>9541</v>
      </c>
      <c r="E1187" s="140">
        <f>VLOOKUP(B1187,BDD[],4,0)</f>
        <v>318.03333333333336</v>
      </c>
      <c r="F1187" s="142">
        <f>VLOOKUP(B1187,BDD[],26,0)</f>
        <v>35.337037037037042</v>
      </c>
      <c r="G1187" s="268">
        <f>VLOOKUP(B1187,BDD[],6,0)</f>
        <v>41918</v>
      </c>
      <c r="H1187" s="139">
        <f ca="1">VLOOKUP(B1187,BDD[],7,0)</f>
        <v>7</v>
      </c>
      <c r="I1187" s="139">
        <f ca="1">VLOOKUP(B1187,BDD[],22,0)</f>
        <v>8</v>
      </c>
      <c r="J1187" s="168">
        <v>15</v>
      </c>
      <c r="K1187" s="139">
        <f>Tabla1[[#This Row],[DIAS LAB]]*Tabla1[[#This Row],[SUE DIA]]</f>
        <v>4770.5</v>
      </c>
      <c r="L1187" s="168">
        <v>0</v>
      </c>
      <c r="M1187" s="198">
        <f>Tabla1[[#This Row],[HRS EXT]]*Tabla1[[#This Row],[SUE X HR]]</f>
        <v>0</v>
      </c>
      <c r="N1187" s="168">
        <v>0</v>
      </c>
      <c r="O1187" s="198">
        <f>Tabla1[[#This Row],[ASUETO]]*Tabla1[[#This Row],[SUE DIA]]</f>
        <v>0</v>
      </c>
      <c r="P1187" s="139">
        <f>IF(Tabla1[[#This Row],[FECHA ING]]&lt;$P$1007,365,_xlfn.DAYS($P$1008,Tabla1[[#This Row],[FECHA ING]])+1)</f>
        <v>365</v>
      </c>
      <c r="Q1187" s="198">
        <f>INT(30*(Tabla1[[#This Row],[FECHAS CONTB AGNLDO]]/365))</f>
        <v>30</v>
      </c>
      <c r="R1187" s="244">
        <f ca="1">IF($W$32=$W$26,Tabla1[[#This Row],[SUE DIA]]*Tabla1[[#This Row],[DIAS PAG AGNLDO]],0)</f>
        <v>0</v>
      </c>
      <c r="S1187" s="244">
        <f ca="1">(_xlfn.DAYS(TODAY(),Tabla1[[#This Row],[FECHA ING]])/365)</f>
        <v>7.7863013698630139</v>
      </c>
      <c r="T1187" s="244">
        <f ca="1">IF(Tabla1[[#This Row],[DIAS VAC]]&gt;1,Tabla1[[#This Row],[DIAS VAC]]-Tabla1[[#This Row],[ANTIG]],Tabla1[[#This Row],[DIAS VAC]])</f>
        <v>0.78630136986301391</v>
      </c>
      <c r="U1187" s="244">
        <f ca="1">Tabla1[[#This Row],[VALID ANTIG]]*Tabla1[[#This Row],[SUE DIA]]*Tabla1[[#This Row],[DIAS VAC PAG]]</f>
        <v>2000.5603652968043</v>
      </c>
    </row>
    <row r="1188" spans="2:21" hidden="1" x14ac:dyDescent="0.25">
      <c r="B1188" s="243">
        <v>295</v>
      </c>
      <c r="C1188" s="140" t="str">
        <f>VLOOKUP(B1188,BDD[],2,0)</f>
        <v>Rogelio González Valadez</v>
      </c>
      <c r="D1188" s="140">
        <f>VLOOKUP(B1188,BDD[],3,0)</f>
        <v>7950</v>
      </c>
      <c r="E1188" s="140">
        <f>VLOOKUP(B1188,BDD[],4,0)</f>
        <v>265</v>
      </c>
      <c r="F1188" s="142">
        <f>VLOOKUP(B1188,BDD[],26,0)</f>
        <v>29.444444444444443</v>
      </c>
      <c r="G1188" s="268">
        <f>VLOOKUP(B1188,BDD[],6,0)</f>
        <v>41919</v>
      </c>
      <c r="H1188" s="139">
        <f ca="1">VLOOKUP(B1188,BDD[],7,0)</f>
        <v>7</v>
      </c>
      <c r="I1188" s="139">
        <f ca="1">VLOOKUP(B1188,BDD[],22,0)</f>
        <v>8</v>
      </c>
      <c r="J1188" s="168">
        <v>15</v>
      </c>
      <c r="K1188" s="139">
        <f>Tabla1[[#This Row],[DIAS LAB]]*Tabla1[[#This Row],[SUE DIA]]</f>
        <v>3975</v>
      </c>
      <c r="L1188" s="168">
        <v>0</v>
      </c>
      <c r="M1188" s="198">
        <f>Tabla1[[#This Row],[HRS EXT]]*Tabla1[[#This Row],[SUE X HR]]</f>
        <v>0</v>
      </c>
      <c r="N1188" s="168">
        <v>0</v>
      </c>
      <c r="O1188" s="198">
        <f>Tabla1[[#This Row],[ASUETO]]*Tabla1[[#This Row],[SUE DIA]]</f>
        <v>0</v>
      </c>
      <c r="P1188" s="139">
        <f>IF(Tabla1[[#This Row],[FECHA ING]]&lt;$P$1007,365,_xlfn.DAYS($P$1008,Tabla1[[#This Row],[FECHA ING]])+1)</f>
        <v>365</v>
      </c>
      <c r="Q1188" s="198">
        <f>INT(30*(Tabla1[[#This Row],[FECHAS CONTB AGNLDO]]/365))</f>
        <v>30</v>
      </c>
      <c r="R1188" s="244">
        <f ca="1">IF($W$32=$W$26,Tabla1[[#This Row],[SUE DIA]]*Tabla1[[#This Row],[DIAS PAG AGNLDO]],0)</f>
        <v>0</v>
      </c>
      <c r="S1188" s="244">
        <f ca="1">(_xlfn.DAYS(TODAY(),Tabla1[[#This Row],[FECHA ING]])/365)</f>
        <v>7.7835616438356166</v>
      </c>
      <c r="T1188" s="244">
        <f ca="1">IF(Tabla1[[#This Row],[DIAS VAC]]&gt;1,Tabla1[[#This Row],[DIAS VAC]]-Tabla1[[#This Row],[ANTIG]],Tabla1[[#This Row],[DIAS VAC]])</f>
        <v>0.78356164383561655</v>
      </c>
      <c r="U1188" s="244">
        <f ca="1">Tabla1[[#This Row],[VALID ANTIG]]*Tabla1[[#This Row],[SUE DIA]]*Tabla1[[#This Row],[DIAS VAC PAG]]</f>
        <v>1661.1506849315072</v>
      </c>
    </row>
    <row r="1189" spans="2:21" hidden="1" x14ac:dyDescent="0.25">
      <c r="B1189" s="243">
        <v>296</v>
      </c>
      <c r="C1189" s="140" t="str">
        <f>VLOOKUP(B1189,BDD[],2,0)</f>
        <v>Julio Alberto Pastenes Ramirez</v>
      </c>
      <c r="D1189" s="140">
        <f>VLOOKUP(B1189,BDD[],3,0)</f>
        <v>9541</v>
      </c>
      <c r="E1189" s="140">
        <f>VLOOKUP(B1189,BDD[],4,0)</f>
        <v>318.03333333333336</v>
      </c>
      <c r="F1189" s="142">
        <f>VLOOKUP(B1189,BDD[],26,0)</f>
        <v>35.337037037037042</v>
      </c>
      <c r="G1189" s="268">
        <f>VLOOKUP(B1189,BDD[],6,0)</f>
        <v>41995</v>
      </c>
      <c r="H1189" s="139">
        <f ca="1">VLOOKUP(B1189,BDD[],7,0)</f>
        <v>7</v>
      </c>
      <c r="I1189" s="139">
        <f ca="1">VLOOKUP(B1189,BDD[],22,0)</f>
        <v>8</v>
      </c>
      <c r="J1189" s="168">
        <v>15</v>
      </c>
      <c r="K1189" s="139">
        <f>Tabla1[[#This Row],[DIAS LAB]]*Tabla1[[#This Row],[SUE DIA]]</f>
        <v>4770.5</v>
      </c>
      <c r="L1189" s="168">
        <v>0</v>
      </c>
      <c r="M1189" s="198">
        <f>Tabla1[[#This Row],[HRS EXT]]*Tabla1[[#This Row],[SUE X HR]]</f>
        <v>0</v>
      </c>
      <c r="N1189" s="168">
        <v>0</v>
      </c>
      <c r="O1189" s="198">
        <f>Tabla1[[#This Row],[ASUETO]]*Tabla1[[#This Row],[SUE DIA]]</f>
        <v>0</v>
      </c>
      <c r="P1189" s="139">
        <f>IF(Tabla1[[#This Row],[FECHA ING]]&lt;$P$1007,365,_xlfn.DAYS($P$1008,Tabla1[[#This Row],[FECHA ING]])+1)</f>
        <v>365</v>
      </c>
      <c r="Q1189" s="198">
        <f>INT(30*(Tabla1[[#This Row],[FECHAS CONTB AGNLDO]]/365))</f>
        <v>30</v>
      </c>
      <c r="R1189" s="244">
        <f ca="1">IF($W$32=$W$26,Tabla1[[#This Row],[SUE DIA]]*Tabla1[[#This Row],[DIAS PAG AGNLDO]],0)</f>
        <v>0</v>
      </c>
      <c r="S1189" s="244">
        <f ca="1">(_xlfn.DAYS(TODAY(),Tabla1[[#This Row],[FECHA ING]])/365)</f>
        <v>7.5753424657534243</v>
      </c>
      <c r="T1189" s="244">
        <f ca="1">IF(Tabla1[[#This Row],[DIAS VAC]]&gt;1,Tabla1[[#This Row],[DIAS VAC]]-Tabla1[[#This Row],[ANTIG]],Tabla1[[#This Row],[DIAS VAC]])</f>
        <v>0.57534246575342429</v>
      </c>
      <c r="U1189" s="244">
        <f ca="1">Tabla1[[#This Row],[VALID ANTIG]]*Tabla1[[#This Row],[SUE DIA]]*Tabla1[[#This Row],[DIAS VAC PAG]]</f>
        <v>1463.8246575342457</v>
      </c>
    </row>
    <row r="1190" spans="2:21" hidden="1" x14ac:dyDescent="0.25">
      <c r="B1190" s="243">
        <v>297</v>
      </c>
      <c r="C1190" s="140" t="str">
        <f>VLOOKUP(B1190,BDD[],2,0)</f>
        <v>Thanya Lizbeth Ceballos Herrera</v>
      </c>
      <c r="D1190" s="140">
        <f>VLOOKUP(B1190,BDD[],3,0)</f>
        <v>10350</v>
      </c>
      <c r="E1190" s="140">
        <f>VLOOKUP(B1190,BDD[],4,0)</f>
        <v>345</v>
      </c>
      <c r="F1190" s="142">
        <f>VLOOKUP(B1190,BDD[],26,0)</f>
        <v>38.333333333333336</v>
      </c>
      <c r="G1190" s="268">
        <f>VLOOKUP(B1190,BDD[],6,0)</f>
        <v>41997</v>
      </c>
      <c r="H1190" s="139">
        <f ca="1">VLOOKUP(B1190,BDD[],7,0)</f>
        <v>7</v>
      </c>
      <c r="I1190" s="139">
        <f ca="1">VLOOKUP(B1190,BDD[],22,0)</f>
        <v>8</v>
      </c>
      <c r="J1190" s="168">
        <v>15</v>
      </c>
      <c r="K1190" s="139">
        <f>Tabla1[[#This Row],[DIAS LAB]]*Tabla1[[#This Row],[SUE DIA]]</f>
        <v>5175</v>
      </c>
      <c r="L1190" s="168">
        <v>0</v>
      </c>
      <c r="M1190" s="198">
        <f>Tabla1[[#This Row],[HRS EXT]]*Tabla1[[#This Row],[SUE X HR]]</f>
        <v>0</v>
      </c>
      <c r="N1190" s="168">
        <v>0</v>
      </c>
      <c r="O1190" s="198">
        <f>Tabla1[[#This Row],[ASUETO]]*Tabla1[[#This Row],[SUE DIA]]</f>
        <v>0</v>
      </c>
      <c r="P1190" s="139">
        <f>IF(Tabla1[[#This Row],[FECHA ING]]&lt;$P$1007,365,_xlfn.DAYS($P$1008,Tabla1[[#This Row],[FECHA ING]])+1)</f>
        <v>365</v>
      </c>
      <c r="Q1190" s="198">
        <f>INT(30*(Tabla1[[#This Row],[FECHAS CONTB AGNLDO]]/365))</f>
        <v>30</v>
      </c>
      <c r="R1190" s="244">
        <f ca="1">IF($W$32=$W$26,Tabla1[[#This Row],[SUE DIA]]*Tabla1[[#This Row],[DIAS PAG AGNLDO]],0)</f>
        <v>0</v>
      </c>
      <c r="S1190" s="244">
        <f ca="1">(_xlfn.DAYS(TODAY(),Tabla1[[#This Row],[FECHA ING]])/365)</f>
        <v>7.5698630136986305</v>
      </c>
      <c r="T1190" s="244">
        <f ca="1">IF(Tabla1[[#This Row],[DIAS VAC]]&gt;1,Tabla1[[#This Row],[DIAS VAC]]-Tabla1[[#This Row],[ANTIG]],Tabla1[[#This Row],[DIAS VAC]])</f>
        <v>0.56986301369863046</v>
      </c>
      <c r="U1190" s="244">
        <f ca="1">Tabla1[[#This Row],[VALID ANTIG]]*Tabla1[[#This Row],[SUE DIA]]*Tabla1[[#This Row],[DIAS VAC PAG]]</f>
        <v>1572.8219178082202</v>
      </c>
    </row>
    <row r="1191" spans="2:21" hidden="1" x14ac:dyDescent="0.25">
      <c r="B1191" s="243">
        <v>299</v>
      </c>
      <c r="C1191" s="140" t="str">
        <f>VLOOKUP(B1191,BDD[],2,0)</f>
        <v>Yuliana Carrillo Rodriguez</v>
      </c>
      <c r="D1191" s="140">
        <f>VLOOKUP(B1191,BDD[],3,0)</f>
        <v>6778</v>
      </c>
      <c r="E1191" s="140">
        <f>VLOOKUP(B1191,BDD[],4,0)</f>
        <v>225.93333333333334</v>
      </c>
      <c r="F1191" s="142">
        <f>VLOOKUP(B1191,BDD[],26,0)</f>
        <v>25.103703703703705</v>
      </c>
      <c r="G1191" s="268">
        <f>VLOOKUP(B1191,BDD[],6,0)</f>
        <v>41997</v>
      </c>
      <c r="H1191" s="139">
        <f ca="1">VLOOKUP(B1191,BDD[],7,0)</f>
        <v>7</v>
      </c>
      <c r="I1191" s="139">
        <f ca="1">VLOOKUP(B1191,BDD[],22,0)</f>
        <v>4</v>
      </c>
      <c r="J1191" s="168">
        <v>15</v>
      </c>
      <c r="K1191" s="139">
        <f>Tabla1[[#This Row],[DIAS LAB]]*Tabla1[[#This Row],[SUE DIA]]</f>
        <v>3389</v>
      </c>
      <c r="L1191" s="168">
        <v>0</v>
      </c>
      <c r="M1191" s="198">
        <f>Tabla1[[#This Row],[HRS EXT]]*Tabla1[[#This Row],[SUE X HR]]</f>
        <v>0</v>
      </c>
      <c r="N1191" s="168">
        <v>0</v>
      </c>
      <c r="O1191" s="198">
        <f>Tabla1[[#This Row],[ASUETO]]*Tabla1[[#This Row],[SUE DIA]]</f>
        <v>0</v>
      </c>
      <c r="P1191" s="139">
        <f>IF(Tabla1[[#This Row],[FECHA ING]]&lt;$P$1007,365,_xlfn.DAYS($P$1008,Tabla1[[#This Row],[FECHA ING]])+1)</f>
        <v>365</v>
      </c>
      <c r="Q1191" s="198">
        <f>INT(30*(Tabla1[[#This Row],[FECHAS CONTB AGNLDO]]/365))</f>
        <v>30</v>
      </c>
      <c r="R1191" s="244">
        <f ca="1">IF($W$32=$W$26,Tabla1[[#This Row],[SUE DIA]]*Tabla1[[#This Row],[DIAS PAG AGNLDO]],0)</f>
        <v>0</v>
      </c>
      <c r="S1191" s="244">
        <f ca="1">(_xlfn.DAYS(TODAY(),Tabla1[[#This Row],[FECHA ING]])/365)</f>
        <v>7.5698630136986305</v>
      </c>
      <c r="T1191" s="244">
        <f ca="1">IF(Tabla1[[#This Row],[DIAS VAC]]&gt;1,Tabla1[[#This Row],[DIAS VAC]]-Tabla1[[#This Row],[ANTIG]],Tabla1[[#This Row],[DIAS VAC]])</f>
        <v>0.56986301369863046</v>
      </c>
      <c r="U1191" s="244">
        <f ca="1">Tabla1[[#This Row],[VALID ANTIG]]*Tabla1[[#This Row],[SUE DIA]]*Tabla1[[#This Row],[DIAS VAC PAG]]</f>
        <v>515.00420091324236</v>
      </c>
    </row>
    <row r="1192" spans="2:21" hidden="1" x14ac:dyDescent="0.25">
      <c r="B1192" s="243">
        <v>300</v>
      </c>
      <c r="C1192" s="140" t="str">
        <f>VLOOKUP(B1192,BDD[],2,0)</f>
        <v>Jaime Alejandro Colunga Medina</v>
      </c>
      <c r="D1192" s="140">
        <f>VLOOKUP(B1192,BDD[],3,0)</f>
        <v>7445</v>
      </c>
      <c r="E1192" s="140">
        <f>VLOOKUP(B1192,BDD[],4,0)</f>
        <v>248.16666666666666</v>
      </c>
      <c r="F1192" s="142">
        <f>VLOOKUP(B1192,BDD[],26,0)</f>
        <v>27.574074074074073</v>
      </c>
      <c r="G1192" s="268">
        <f>VLOOKUP(B1192,BDD[],6,0)</f>
        <v>42039</v>
      </c>
      <c r="H1192" s="139">
        <f ca="1">VLOOKUP(B1192,BDD[],7,0)</f>
        <v>7</v>
      </c>
      <c r="I1192" s="139">
        <f ca="1">VLOOKUP(B1192,BDD[],22,0)</f>
        <v>8</v>
      </c>
      <c r="J1192" s="168">
        <v>15</v>
      </c>
      <c r="K1192" s="139">
        <f>Tabla1[[#This Row],[DIAS LAB]]*Tabla1[[#This Row],[SUE DIA]]</f>
        <v>3722.5</v>
      </c>
      <c r="L1192" s="168">
        <v>0</v>
      </c>
      <c r="M1192" s="198">
        <f>Tabla1[[#This Row],[HRS EXT]]*Tabla1[[#This Row],[SUE X HR]]</f>
        <v>0</v>
      </c>
      <c r="N1192" s="168">
        <v>0</v>
      </c>
      <c r="O1192" s="198">
        <f>Tabla1[[#This Row],[ASUETO]]*Tabla1[[#This Row],[SUE DIA]]</f>
        <v>0</v>
      </c>
      <c r="P1192" s="139">
        <f>IF(Tabla1[[#This Row],[FECHA ING]]&lt;$P$1007,365,_xlfn.DAYS($P$1008,Tabla1[[#This Row],[FECHA ING]])+1)</f>
        <v>365</v>
      </c>
      <c r="Q1192" s="198">
        <f>INT(30*(Tabla1[[#This Row],[FECHAS CONTB AGNLDO]]/365))</f>
        <v>30</v>
      </c>
      <c r="R1192" s="244">
        <f ca="1">IF($W$32=$W$26,Tabla1[[#This Row],[SUE DIA]]*Tabla1[[#This Row],[DIAS PAG AGNLDO]],0)</f>
        <v>0</v>
      </c>
      <c r="S1192" s="244">
        <f ca="1">(_xlfn.DAYS(TODAY(),Tabla1[[#This Row],[FECHA ING]])/365)</f>
        <v>7.4547945205479449</v>
      </c>
      <c r="T1192" s="244">
        <f ca="1">IF(Tabla1[[#This Row],[DIAS VAC]]&gt;1,Tabla1[[#This Row],[DIAS VAC]]-Tabla1[[#This Row],[ANTIG]],Tabla1[[#This Row],[DIAS VAC]])</f>
        <v>0.45479452054794489</v>
      </c>
      <c r="U1192" s="244">
        <f ca="1">Tabla1[[#This Row],[VALID ANTIG]]*Tabla1[[#This Row],[SUE DIA]]*Tabla1[[#This Row],[DIAS VAC PAG]]</f>
        <v>902.91872146118658</v>
      </c>
    </row>
    <row r="1193" spans="2:21" hidden="1" x14ac:dyDescent="0.25">
      <c r="B1193" s="243">
        <v>302</v>
      </c>
      <c r="C1193" s="140" t="str">
        <f>VLOOKUP(B1193,BDD[],2,0)</f>
        <v>Cynthia Lizzeth Zul Hernandez</v>
      </c>
      <c r="D1193" s="140">
        <f>VLOOKUP(B1193,BDD[],3,0)</f>
        <v>9450</v>
      </c>
      <c r="E1193" s="140">
        <f>VLOOKUP(B1193,BDD[],4,0)</f>
        <v>315</v>
      </c>
      <c r="F1193" s="142">
        <f>VLOOKUP(B1193,BDD[],26,0)</f>
        <v>35</v>
      </c>
      <c r="G1193" s="268">
        <f>VLOOKUP(B1193,BDD[],6,0)</f>
        <v>42045</v>
      </c>
      <c r="H1193" s="139">
        <f ca="1">VLOOKUP(B1193,BDD[],7,0)</f>
        <v>7</v>
      </c>
      <c r="I1193" s="139">
        <f ca="1">VLOOKUP(B1193,BDD[],22,0)</f>
        <v>8</v>
      </c>
      <c r="J1193" s="168">
        <v>15</v>
      </c>
      <c r="K1193" s="139">
        <f>Tabla1[[#This Row],[DIAS LAB]]*Tabla1[[#This Row],[SUE DIA]]</f>
        <v>4725</v>
      </c>
      <c r="L1193" s="168">
        <v>0</v>
      </c>
      <c r="M1193" s="198">
        <f>Tabla1[[#This Row],[HRS EXT]]*Tabla1[[#This Row],[SUE X HR]]</f>
        <v>0</v>
      </c>
      <c r="N1193" s="168">
        <v>0</v>
      </c>
      <c r="O1193" s="198">
        <f>Tabla1[[#This Row],[ASUETO]]*Tabla1[[#This Row],[SUE DIA]]</f>
        <v>0</v>
      </c>
      <c r="P1193" s="139">
        <f>IF(Tabla1[[#This Row],[FECHA ING]]&lt;$P$1007,365,_xlfn.DAYS($P$1008,Tabla1[[#This Row],[FECHA ING]])+1)</f>
        <v>365</v>
      </c>
      <c r="Q1193" s="198">
        <f>INT(30*(Tabla1[[#This Row],[FECHAS CONTB AGNLDO]]/365))</f>
        <v>30</v>
      </c>
      <c r="R1193" s="244">
        <f ca="1">IF($W$32=$W$26,Tabla1[[#This Row],[SUE DIA]]*Tabla1[[#This Row],[DIAS PAG AGNLDO]],0)</f>
        <v>0</v>
      </c>
      <c r="S1193" s="244">
        <f ca="1">(_xlfn.DAYS(TODAY(),Tabla1[[#This Row],[FECHA ING]])/365)</f>
        <v>7.4383561643835616</v>
      </c>
      <c r="T1193" s="244">
        <f ca="1">IF(Tabla1[[#This Row],[DIAS VAC]]&gt;1,Tabla1[[#This Row],[DIAS VAC]]-Tabla1[[#This Row],[ANTIG]],Tabla1[[#This Row],[DIAS VAC]])</f>
        <v>0.43835616438356162</v>
      </c>
      <c r="U1193" s="244">
        <f ca="1">Tabla1[[#This Row],[VALID ANTIG]]*Tabla1[[#This Row],[SUE DIA]]*Tabla1[[#This Row],[DIAS VAC PAG]]</f>
        <v>1104.6575342465753</v>
      </c>
    </row>
    <row r="1194" spans="2:21" hidden="1" x14ac:dyDescent="0.25">
      <c r="B1194" s="243">
        <v>304</v>
      </c>
      <c r="C1194" s="140" t="str">
        <f>VLOOKUP(B1194,BDD[],2,0)</f>
        <v>Alma Delia Hernandez Bibiano</v>
      </c>
      <c r="D1194" s="140">
        <f>VLOOKUP(B1194,BDD[],3,0)</f>
        <v>9450</v>
      </c>
      <c r="E1194" s="140">
        <f>VLOOKUP(B1194,BDD[],4,0)</f>
        <v>315</v>
      </c>
      <c r="F1194" s="142">
        <f>VLOOKUP(B1194,BDD[],26,0)</f>
        <v>35</v>
      </c>
      <c r="G1194" s="268">
        <f>VLOOKUP(B1194,BDD[],6,0)</f>
        <v>42062</v>
      </c>
      <c r="H1194" s="139">
        <f ca="1">VLOOKUP(B1194,BDD[],7,0)</f>
        <v>7</v>
      </c>
      <c r="I1194" s="139">
        <f ca="1">VLOOKUP(B1194,BDD[],22,0)</f>
        <v>8</v>
      </c>
      <c r="J1194" s="168">
        <v>15</v>
      </c>
      <c r="K1194" s="139">
        <f>Tabla1[[#This Row],[DIAS LAB]]*Tabla1[[#This Row],[SUE DIA]]</f>
        <v>4725</v>
      </c>
      <c r="L1194" s="168">
        <v>0</v>
      </c>
      <c r="M1194" s="198">
        <f>Tabla1[[#This Row],[HRS EXT]]*Tabla1[[#This Row],[SUE X HR]]</f>
        <v>0</v>
      </c>
      <c r="N1194" s="168">
        <v>0</v>
      </c>
      <c r="O1194" s="198">
        <f>Tabla1[[#This Row],[ASUETO]]*Tabla1[[#This Row],[SUE DIA]]</f>
        <v>0</v>
      </c>
      <c r="P1194" s="139">
        <f>IF(Tabla1[[#This Row],[FECHA ING]]&lt;$P$1007,365,_xlfn.DAYS($P$1008,Tabla1[[#This Row],[FECHA ING]])+1)</f>
        <v>365</v>
      </c>
      <c r="Q1194" s="198">
        <f>INT(30*(Tabla1[[#This Row],[FECHAS CONTB AGNLDO]]/365))</f>
        <v>30</v>
      </c>
      <c r="R1194" s="244">
        <f ca="1">IF($W$32=$W$26,Tabla1[[#This Row],[SUE DIA]]*Tabla1[[#This Row],[DIAS PAG AGNLDO]],0)</f>
        <v>0</v>
      </c>
      <c r="S1194" s="244">
        <f ca="1">(_xlfn.DAYS(TODAY(),Tabla1[[#This Row],[FECHA ING]])/365)</f>
        <v>7.3917808219178083</v>
      </c>
      <c r="T1194" s="244">
        <f ca="1">IF(Tabla1[[#This Row],[DIAS VAC]]&gt;1,Tabla1[[#This Row],[DIAS VAC]]-Tabla1[[#This Row],[ANTIG]],Tabla1[[#This Row],[DIAS VAC]])</f>
        <v>0.39178082191780828</v>
      </c>
      <c r="U1194" s="244">
        <f ca="1">Tabla1[[#This Row],[VALID ANTIG]]*Tabla1[[#This Row],[SUE DIA]]*Tabla1[[#This Row],[DIAS VAC PAG]]</f>
        <v>987.28767123287685</v>
      </c>
    </row>
    <row r="1195" spans="2:21" hidden="1" x14ac:dyDescent="0.25">
      <c r="B1195" s="243">
        <v>306</v>
      </c>
      <c r="C1195" s="140" t="str">
        <f>VLOOKUP(B1195,BDD[],2,0)</f>
        <v>Claudia Mariel Valenzuela Jimenez</v>
      </c>
      <c r="D1195" s="140">
        <f>VLOOKUP(B1195,BDD[],3,0)</f>
        <v>7445</v>
      </c>
      <c r="E1195" s="140">
        <f>VLOOKUP(B1195,BDD[],4,0)</f>
        <v>248.16666666666666</v>
      </c>
      <c r="F1195" s="142">
        <f>VLOOKUP(B1195,BDD[],26,0)</f>
        <v>27.574074074074073</v>
      </c>
      <c r="G1195" s="268">
        <f>VLOOKUP(B1195,BDD[],6,0)</f>
        <v>42067</v>
      </c>
      <c r="H1195" s="139">
        <f ca="1">VLOOKUP(B1195,BDD[],7,0)</f>
        <v>7</v>
      </c>
      <c r="I1195" s="139">
        <f ca="1">VLOOKUP(B1195,BDD[],22,0)</f>
        <v>8</v>
      </c>
      <c r="J1195" s="168">
        <v>15</v>
      </c>
      <c r="K1195" s="139">
        <f>Tabla1[[#This Row],[DIAS LAB]]*Tabla1[[#This Row],[SUE DIA]]</f>
        <v>3722.5</v>
      </c>
      <c r="L1195" s="168">
        <v>0</v>
      </c>
      <c r="M1195" s="198">
        <f>Tabla1[[#This Row],[HRS EXT]]*Tabla1[[#This Row],[SUE X HR]]</f>
        <v>0</v>
      </c>
      <c r="N1195" s="168">
        <v>0</v>
      </c>
      <c r="O1195" s="198">
        <f>Tabla1[[#This Row],[ASUETO]]*Tabla1[[#This Row],[SUE DIA]]</f>
        <v>0</v>
      </c>
      <c r="P1195" s="139">
        <f>IF(Tabla1[[#This Row],[FECHA ING]]&lt;$P$1007,365,_xlfn.DAYS($P$1008,Tabla1[[#This Row],[FECHA ING]])+1)</f>
        <v>365</v>
      </c>
      <c r="Q1195" s="198">
        <f>INT(30*(Tabla1[[#This Row],[FECHAS CONTB AGNLDO]]/365))</f>
        <v>30</v>
      </c>
      <c r="R1195" s="244">
        <f ca="1">IF($W$32=$W$26,Tabla1[[#This Row],[SUE DIA]]*Tabla1[[#This Row],[DIAS PAG AGNLDO]],0)</f>
        <v>0</v>
      </c>
      <c r="S1195" s="244">
        <f ca="1">(_xlfn.DAYS(TODAY(),Tabla1[[#This Row],[FECHA ING]])/365)</f>
        <v>7.3780821917808215</v>
      </c>
      <c r="T1195" s="244">
        <f ca="1">IF(Tabla1[[#This Row],[DIAS VAC]]&gt;1,Tabla1[[#This Row],[DIAS VAC]]-Tabla1[[#This Row],[ANTIG]],Tabla1[[#This Row],[DIAS VAC]])</f>
        <v>0.37808219178082147</v>
      </c>
      <c r="U1195" s="244">
        <f ca="1">Tabla1[[#This Row],[VALID ANTIG]]*Tabla1[[#This Row],[SUE DIA]]*Tabla1[[#This Row],[DIAS VAC PAG]]</f>
        <v>750.61917808219084</v>
      </c>
    </row>
    <row r="1196" spans="2:21" hidden="1" x14ac:dyDescent="0.25">
      <c r="B1196" s="243">
        <v>307</v>
      </c>
      <c r="C1196" s="140" t="str">
        <f>VLOOKUP(B1196,BDD[],2,0)</f>
        <v>Adamari Rodríguez García</v>
      </c>
      <c r="D1196" s="140">
        <f>VLOOKUP(B1196,BDD[],3,0)</f>
        <v>7445</v>
      </c>
      <c r="E1196" s="140">
        <f>VLOOKUP(B1196,BDD[],4,0)</f>
        <v>248.16666666666666</v>
      </c>
      <c r="F1196" s="142">
        <f>VLOOKUP(B1196,BDD[],26,0)</f>
        <v>27.574074074074073</v>
      </c>
      <c r="G1196" s="268">
        <f>VLOOKUP(B1196,BDD[],6,0)</f>
        <v>42069</v>
      </c>
      <c r="H1196" s="139">
        <f ca="1">VLOOKUP(B1196,BDD[],7,0)</f>
        <v>7</v>
      </c>
      <c r="I1196" s="139">
        <f ca="1">VLOOKUP(B1196,BDD[],22,0)</f>
        <v>8</v>
      </c>
      <c r="J1196" s="168">
        <v>15</v>
      </c>
      <c r="K1196" s="139">
        <f>Tabla1[[#This Row],[DIAS LAB]]*Tabla1[[#This Row],[SUE DIA]]</f>
        <v>3722.5</v>
      </c>
      <c r="L1196" s="168">
        <v>0</v>
      </c>
      <c r="M1196" s="198">
        <f>Tabla1[[#This Row],[HRS EXT]]*Tabla1[[#This Row],[SUE X HR]]</f>
        <v>0</v>
      </c>
      <c r="N1196" s="168">
        <v>0</v>
      </c>
      <c r="O1196" s="198">
        <f>Tabla1[[#This Row],[ASUETO]]*Tabla1[[#This Row],[SUE DIA]]</f>
        <v>0</v>
      </c>
      <c r="P1196" s="139">
        <f>IF(Tabla1[[#This Row],[FECHA ING]]&lt;$P$1007,365,_xlfn.DAYS($P$1008,Tabla1[[#This Row],[FECHA ING]])+1)</f>
        <v>365</v>
      </c>
      <c r="Q1196" s="198">
        <f>INT(30*(Tabla1[[#This Row],[FECHAS CONTB AGNLDO]]/365))</f>
        <v>30</v>
      </c>
      <c r="R1196" s="244">
        <f ca="1">IF($W$32=$W$26,Tabla1[[#This Row],[SUE DIA]]*Tabla1[[#This Row],[DIAS PAG AGNLDO]],0)</f>
        <v>0</v>
      </c>
      <c r="S1196" s="244">
        <f ca="1">(_xlfn.DAYS(TODAY(),Tabla1[[#This Row],[FECHA ING]])/365)</f>
        <v>7.3726027397260276</v>
      </c>
      <c r="T1196" s="244">
        <f ca="1">IF(Tabla1[[#This Row],[DIAS VAC]]&gt;1,Tabla1[[#This Row],[DIAS VAC]]-Tabla1[[#This Row],[ANTIG]],Tabla1[[#This Row],[DIAS VAC]])</f>
        <v>0.37260273972602764</v>
      </c>
      <c r="U1196" s="244">
        <f ca="1">Tabla1[[#This Row],[VALID ANTIG]]*Tabla1[[#This Row],[SUE DIA]]*Tabla1[[#This Row],[DIAS VAC PAG]]</f>
        <v>739.74063926940687</v>
      </c>
    </row>
    <row r="1197" spans="2:21" hidden="1" x14ac:dyDescent="0.25">
      <c r="B1197" s="243">
        <v>310</v>
      </c>
      <c r="C1197" s="140" t="str">
        <f>VLOOKUP(B1197,BDD[],2,0)</f>
        <v>Iliana Abigail Ortega Silva</v>
      </c>
      <c r="D1197" s="140">
        <f>VLOOKUP(B1197,BDD[],3,0)</f>
        <v>7950</v>
      </c>
      <c r="E1197" s="140">
        <f>VLOOKUP(B1197,BDD[],4,0)</f>
        <v>265</v>
      </c>
      <c r="F1197" s="142">
        <f>VLOOKUP(B1197,BDD[],26,0)</f>
        <v>29.444444444444443</v>
      </c>
      <c r="G1197" s="268">
        <f>VLOOKUP(B1197,BDD[],6,0)</f>
        <v>42071</v>
      </c>
      <c r="H1197" s="139">
        <f ca="1">VLOOKUP(B1197,BDD[],7,0)</f>
        <v>7</v>
      </c>
      <c r="I1197" s="139">
        <f ca="1">VLOOKUP(B1197,BDD[],22,0)</f>
        <v>8</v>
      </c>
      <c r="J1197" s="168">
        <v>15</v>
      </c>
      <c r="K1197" s="139">
        <f>Tabla1[[#This Row],[DIAS LAB]]*Tabla1[[#This Row],[SUE DIA]]</f>
        <v>3975</v>
      </c>
      <c r="L1197" s="168">
        <v>0</v>
      </c>
      <c r="M1197" s="198">
        <f>Tabla1[[#This Row],[HRS EXT]]*Tabla1[[#This Row],[SUE X HR]]</f>
        <v>0</v>
      </c>
      <c r="N1197" s="168">
        <v>0</v>
      </c>
      <c r="O1197" s="198">
        <f>Tabla1[[#This Row],[ASUETO]]*Tabla1[[#This Row],[SUE DIA]]</f>
        <v>0</v>
      </c>
      <c r="P1197" s="139">
        <f>IF(Tabla1[[#This Row],[FECHA ING]]&lt;$P$1007,365,_xlfn.DAYS($P$1008,Tabla1[[#This Row],[FECHA ING]])+1)</f>
        <v>365</v>
      </c>
      <c r="Q1197" s="198">
        <f>INT(30*(Tabla1[[#This Row],[FECHAS CONTB AGNLDO]]/365))</f>
        <v>30</v>
      </c>
      <c r="R1197" s="244">
        <f ca="1">IF($W$32=$W$26,Tabla1[[#This Row],[SUE DIA]]*Tabla1[[#This Row],[DIAS PAG AGNLDO]],0)</f>
        <v>0</v>
      </c>
      <c r="S1197" s="244">
        <f ca="1">(_xlfn.DAYS(TODAY(),Tabla1[[#This Row],[FECHA ING]])/365)</f>
        <v>7.3671232876712329</v>
      </c>
      <c r="T1197" s="244">
        <f ca="1">IF(Tabla1[[#This Row],[DIAS VAC]]&gt;1,Tabla1[[#This Row],[DIAS VAC]]-Tabla1[[#This Row],[ANTIG]],Tabla1[[#This Row],[DIAS VAC]])</f>
        <v>0.36712328767123292</v>
      </c>
      <c r="U1197" s="244">
        <f ca="1">Tabla1[[#This Row],[VALID ANTIG]]*Tabla1[[#This Row],[SUE DIA]]*Tabla1[[#This Row],[DIAS VAC PAG]]</f>
        <v>778.30136986301375</v>
      </c>
    </row>
    <row r="1198" spans="2:21" hidden="1" x14ac:dyDescent="0.25">
      <c r="B1198" s="243">
        <v>311</v>
      </c>
      <c r="C1198" s="140" t="str">
        <f>VLOOKUP(B1198,BDD[],2,0)</f>
        <v>Liliana Peña Popoca</v>
      </c>
      <c r="D1198" s="140">
        <f>VLOOKUP(B1198,BDD[],3,0)</f>
        <v>7445</v>
      </c>
      <c r="E1198" s="140">
        <f>VLOOKUP(B1198,BDD[],4,0)</f>
        <v>248.16666666666666</v>
      </c>
      <c r="F1198" s="142">
        <f>VLOOKUP(B1198,BDD[],26,0)</f>
        <v>27.574074074074073</v>
      </c>
      <c r="G1198" s="268">
        <f>VLOOKUP(B1198,BDD[],6,0)</f>
        <v>42082</v>
      </c>
      <c r="H1198" s="139">
        <f ca="1">VLOOKUP(B1198,BDD[],7,0)</f>
        <v>7</v>
      </c>
      <c r="I1198" s="139">
        <f ca="1">VLOOKUP(B1198,BDD[],22,0)</f>
        <v>8</v>
      </c>
      <c r="J1198" s="168">
        <v>15</v>
      </c>
      <c r="K1198" s="139">
        <f>Tabla1[[#This Row],[DIAS LAB]]*Tabla1[[#This Row],[SUE DIA]]</f>
        <v>3722.5</v>
      </c>
      <c r="L1198" s="168">
        <v>0</v>
      </c>
      <c r="M1198" s="139">
        <f>Tabla1[[#This Row],[HRS EXT]]*Tabla1[[#This Row],[SUE X HR]]</f>
        <v>0</v>
      </c>
      <c r="N1198" s="168">
        <v>0</v>
      </c>
      <c r="O1198" s="198">
        <f>Tabla1[[#This Row],[ASUETO]]*Tabla1[[#This Row],[SUE DIA]]</f>
        <v>0</v>
      </c>
      <c r="P1198" s="139">
        <f>IF(Tabla1[[#This Row],[FECHA ING]]&lt;$P$1007,365,_xlfn.DAYS($P$1008,Tabla1[[#This Row],[FECHA ING]])+1)</f>
        <v>365</v>
      </c>
      <c r="Q1198" s="198">
        <f>INT(30*(Tabla1[[#This Row],[FECHAS CONTB AGNLDO]]/365))</f>
        <v>30</v>
      </c>
      <c r="R1198" s="244">
        <f ca="1">IF($W$32=$W$26,Tabla1[[#This Row],[SUE DIA]]*Tabla1[[#This Row],[DIAS PAG AGNLDO]],0)</f>
        <v>0</v>
      </c>
      <c r="S1198" s="244">
        <f ca="1">(_xlfn.DAYS(TODAY(),Tabla1[[#This Row],[FECHA ING]])/365)</f>
        <v>7.3369863013698629</v>
      </c>
      <c r="T1198" s="244">
        <f ca="1">IF(Tabla1[[#This Row],[DIAS VAC]]&gt;1,Tabla1[[#This Row],[DIAS VAC]]-Tabla1[[#This Row],[ANTIG]],Tabla1[[#This Row],[DIAS VAC]])</f>
        <v>0.33698630136986285</v>
      </c>
      <c r="U1198" s="244">
        <f ca="1">Tabla1[[#This Row],[VALID ANTIG]]*Tabla1[[#This Row],[SUE DIA]]*Tabla1[[#This Row],[DIAS VAC PAG]]</f>
        <v>669.03013698630104</v>
      </c>
    </row>
    <row r="1199" spans="2:21" hidden="1" x14ac:dyDescent="0.25">
      <c r="B1199" s="243">
        <v>312</v>
      </c>
      <c r="C1199" s="140" t="str">
        <f>VLOOKUP(B1199,BDD[],2,0)</f>
        <v>Sadrac Said Dávila Cataño</v>
      </c>
      <c r="D1199" s="140">
        <f>VLOOKUP(B1199,BDD[],3,0)</f>
        <v>9541</v>
      </c>
      <c r="E1199" s="140">
        <f>VLOOKUP(B1199,BDD[],4,0)</f>
        <v>318.03333333333336</v>
      </c>
      <c r="F1199" s="142">
        <f>VLOOKUP(B1199,BDD[],26,0)</f>
        <v>35.337037037037042</v>
      </c>
      <c r="G1199" s="268">
        <f>VLOOKUP(B1199,BDD[],6,0)</f>
        <v>42102</v>
      </c>
      <c r="H1199" s="139">
        <f ca="1">VLOOKUP(B1199,BDD[],7,0)</f>
        <v>7</v>
      </c>
      <c r="I1199" s="139">
        <f ca="1">VLOOKUP(B1199,BDD[],22,0)</f>
        <v>8</v>
      </c>
      <c r="J1199" s="168">
        <v>15</v>
      </c>
      <c r="K1199" s="139">
        <f>Tabla1[[#This Row],[DIAS LAB]]*Tabla1[[#This Row],[SUE DIA]]</f>
        <v>4770.5</v>
      </c>
      <c r="L1199" s="168">
        <v>0</v>
      </c>
      <c r="M1199" s="198">
        <f>Tabla1[[#This Row],[HRS EXT]]*Tabla1[[#This Row],[SUE X HR]]</f>
        <v>0</v>
      </c>
      <c r="N1199" s="168">
        <v>0</v>
      </c>
      <c r="O1199" s="198">
        <f>Tabla1[[#This Row],[ASUETO]]*Tabla1[[#This Row],[SUE DIA]]</f>
        <v>0</v>
      </c>
      <c r="P1199" s="139">
        <f>IF(Tabla1[[#This Row],[FECHA ING]]&lt;$P$1007,365,_xlfn.DAYS($P$1008,Tabla1[[#This Row],[FECHA ING]])+1)</f>
        <v>365</v>
      </c>
      <c r="Q1199" s="198">
        <f>INT(30*(Tabla1[[#This Row],[FECHAS CONTB AGNLDO]]/365))</f>
        <v>30</v>
      </c>
      <c r="R1199" s="244">
        <f ca="1">IF($W$32=$W$26,Tabla1[[#This Row],[SUE DIA]]*Tabla1[[#This Row],[DIAS PAG AGNLDO]],0)</f>
        <v>0</v>
      </c>
      <c r="S1199" s="244">
        <f ca="1">(_xlfn.DAYS(TODAY(),Tabla1[[#This Row],[FECHA ING]])/365)</f>
        <v>7.2821917808219174</v>
      </c>
      <c r="T1199" s="244">
        <f ca="1">IF(Tabla1[[#This Row],[DIAS VAC]]&gt;1,Tabla1[[#This Row],[DIAS VAC]]-Tabla1[[#This Row],[ANTIG]],Tabla1[[#This Row],[DIAS VAC]])</f>
        <v>0.28219178082191743</v>
      </c>
      <c r="U1199" s="244">
        <f ca="1">Tabla1[[#This Row],[VALID ANTIG]]*Tabla1[[#This Row],[SUE DIA]]*Tabla1[[#This Row],[DIAS VAC PAG]]</f>
        <v>717.97114155251052</v>
      </c>
    </row>
    <row r="1200" spans="2:21" hidden="1" x14ac:dyDescent="0.25">
      <c r="B1200" s="243">
        <v>313</v>
      </c>
      <c r="C1200" s="140" t="str">
        <f>VLOOKUP(B1200,BDD[],2,0)</f>
        <v>Lenda Milena Bazaldua Parra</v>
      </c>
      <c r="D1200" s="140">
        <f>VLOOKUP(B1200,BDD[],3,0)</f>
        <v>9450</v>
      </c>
      <c r="E1200" s="140">
        <f>VLOOKUP(B1200,BDD[],4,0)</f>
        <v>315</v>
      </c>
      <c r="F1200" s="142">
        <f>VLOOKUP(B1200,BDD[],26,0)</f>
        <v>35</v>
      </c>
      <c r="G1200" s="268">
        <f>VLOOKUP(B1200,BDD[],6,0)</f>
        <v>42103</v>
      </c>
      <c r="H1200" s="139">
        <f ca="1">VLOOKUP(B1200,BDD[],7,0)</f>
        <v>7</v>
      </c>
      <c r="I1200" s="139">
        <f ca="1">VLOOKUP(B1200,BDD[],22,0)</f>
        <v>8</v>
      </c>
      <c r="J1200" s="168">
        <v>15</v>
      </c>
      <c r="K1200" s="139">
        <f>Tabla1[[#This Row],[DIAS LAB]]*Tabla1[[#This Row],[SUE DIA]]</f>
        <v>4725</v>
      </c>
      <c r="L1200" s="168">
        <v>0</v>
      </c>
      <c r="M1200" s="198">
        <f>Tabla1[[#This Row],[HRS EXT]]*Tabla1[[#This Row],[SUE X HR]]</f>
        <v>0</v>
      </c>
      <c r="N1200" s="168">
        <v>0</v>
      </c>
      <c r="O1200" s="198">
        <f>Tabla1[[#This Row],[ASUETO]]*Tabla1[[#This Row],[SUE DIA]]</f>
        <v>0</v>
      </c>
      <c r="P1200" s="139">
        <f>IF(Tabla1[[#This Row],[FECHA ING]]&lt;$P$1007,365,_xlfn.DAYS($P$1008,Tabla1[[#This Row],[FECHA ING]])+1)</f>
        <v>365</v>
      </c>
      <c r="Q1200" s="198">
        <f>INT(30*(Tabla1[[#This Row],[FECHAS CONTB AGNLDO]]/365))</f>
        <v>30</v>
      </c>
      <c r="R1200" s="244">
        <f ca="1">IF($W$32=$W$26,Tabla1[[#This Row],[SUE DIA]]*Tabla1[[#This Row],[DIAS PAG AGNLDO]],0)</f>
        <v>0</v>
      </c>
      <c r="S1200" s="244">
        <f ca="1">(_xlfn.DAYS(TODAY(),Tabla1[[#This Row],[FECHA ING]])/365)</f>
        <v>7.279452054794521</v>
      </c>
      <c r="T1200" s="244">
        <f ca="1">IF(Tabla1[[#This Row],[DIAS VAC]]&gt;1,Tabla1[[#This Row],[DIAS VAC]]-Tabla1[[#This Row],[ANTIG]],Tabla1[[#This Row],[DIAS VAC]])</f>
        <v>0.27945205479452095</v>
      </c>
      <c r="U1200" s="244">
        <f ca="1">Tabla1[[#This Row],[VALID ANTIG]]*Tabla1[[#This Row],[SUE DIA]]*Tabla1[[#This Row],[DIAS VAC PAG]]</f>
        <v>704.2191780821928</v>
      </c>
    </row>
    <row r="1201" spans="2:21" hidden="1" x14ac:dyDescent="0.25">
      <c r="B1201" s="243">
        <v>314</v>
      </c>
      <c r="C1201" s="140" t="str">
        <f>VLOOKUP(B1201,BDD[],2,0)</f>
        <v>María Guadalupe Adame Hernandez</v>
      </c>
      <c r="D1201" s="140">
        <f>VLOOKUP(B1201,BDD[],3,0)</f>
        <v>7445</v>
      </c>
      <c r="E1201" s="140">
        <f>VLOOKUP(B1201,BDD[],4,0)</f>
        <v>248.16666666666666</v>
      </c>
      <c r="F1201" s="142">
        <f>VLOOKUP(B1201,BDD[],26,0)</f>
        <v>27.574074074074073</v>
      </c>
      <c r="G1201" s="268">
        <f>VLOOKUP(B1201,BDD[],6,0)</f>
        <v>42106</v>
      </c>
      <c r="H1201" s="139">
        <f ca="1">VLOOKUP(B1201,BDD[],7,0)</f>
        <v>7</v>
      </c>
      <c r="I1201" s="139">
        <f ca="1">VLOOKUP(B1201,BDD[],22,0)</f>
        <v>8</v>
      </c>
      <c r="J1201" s="168">
        <v>15</v>
      </c>
      <c r="K1201" s="139">
        <f>Tabla1[[#This Row],[DIAS LAB]]*Tabla1[[#This Row],[SUE DIA]]</f>
        <v>3722.5</v>
      </c>
      <c r="L1201" s="168">
        <v>0</v>
      </c>
      <c r="M1201" s="198">
        <f>Tabla1[[#This Row],[HRS EXT]]*Tabla1[[#This Row],[SUE X HR]]</f>
        <v>0</v>
      </c>
      <c r="N1201" s="168">
        <v>0</v>
      </c>
      <c r="O1201" s="198">
        <f>Tabla1[[#This Row],[ASUETO]]*Tabla1[[#This Row],[SUE DIA]]</f>
        <v>0</v>
      </c>
      <c r="P1201" s="139">
        <f>IF(Tabla1[[#This Row],[FECHA ING]]&lt;$P$1007,365,_xlfn.DAYS($P$1008,Tabla1[[#This Row],[FECHA ING]])+1)</f>
        <v>365</v>
      </c>
      <c r="Q1201" s="198">
        <f>INT(30*(Tabla1[[#This Row],[FECHAS CONTB AGNLDO]]/365))</f>
        <v>30</v>
      </c>
      <c r="R1201" s="244">
        <f ca="1">IF($W$32=$W$26,Tabla1[[#This Row],[SUE DIA]]*Tabla1[[#This Row],[DIAS PAG AGNLDO]],0)</f>
        <v>0</v>
      </c>
      <c r="S1201" s="244">
        <f ca="1">(_xlfn.DAYS(TODAY(),Tabla1[[#This Row],[FECHA ING]])/365)</f>
        <v>7.2712328767123289</v>
      </c>
      <c r="T1201" s="244">
        <f ca="1">IF(Tabla1[[#This Row],[DIAS VAC]]&gt;1,Tabla1[[#This Row],[DIAS VAC]]-Tabla1[[#This Row],[ANTIG]],Tabla1[[#This Row],[DIAS VAC]])</f>
        <v>0.27123287671232887</v>
      </c>
      <c r="U1201" s="244">
        <f ca="1">Tabla1[[#This Row],[VALID ANTIG]]*Tabla1[[#This Row],[SUE DIA]]*Tabla1[[#This Row],[DIAS VAC PAG]]</f>
        <v>538.48767123287689</v>
      </c>
    </row>
    <row r="1202" spans="2:21" hidden="1" x14ac:dyDescent="0.25">
      <c r="B1202" s="243">
        <v>315</v>
      </c>
      <c r="C1202" s="140" t="str">
        <f>VLOOKUP(B1202,BDD[],2,0)</f>
        <v>Uziel Castro García</v>
      </c>
      <c r="D1202" s="140">
        <f>VLOOKUP(B1202,BDD[],3,0)</f>
        <v>10860</v>
      </c>
      <c r="E1202" s="140">
        <f>VLOOKUP(B1202,BDD[],4,0)</f>
        <v>362</v>
      </c>
      <c r="F1202" s="142">
        <f>VLOOKUP(B1202,BDD[],26,0)</f>
        <v>40.222222222222221</v>
      </c>
      <c r="G1202" s="268">
        <f>VLOOKUP(B1202,BDD[],6,0)</f>
        <v>42106</v>
      </c>
      <c r="H1202" s="139">
        <f ca="1">VLOOKUP(B1202,BDD[],7,0)</f>
        <v>7</v>
      </c>
      <c r="I1202" s="139">
        <f ca="1">VLOOKUP(B1202,BDD[],22,0)</f>
        <v>8</v>
      </c>
      <c r="J1202" s="168">
        <v>15</v>
      </c>
      <c r="K1202" s="139">
        <f>Tabla1[[#This Row],[DIAS LAB]]*Tabla1[[#This Row],[SUE DIA]]</f>
        <v>5430</v>
      </c>
      <c r="L1202" s="168">
        <v>0</v>
      </c>
      <c r="M1202" s="198">
        <f>Tabla1[[#This Row],[HRS EXT]]*Tabla1[[#This Row],[SUE X HR]]</f>
        <v>0</v>
      </c>
      <c r="N1202" s="168">
        <v>0</v>
      </c>
      <c r="O1202" s="198">
        <f>Tabla1[[#This Row],[ASUETO]]*Tabla1[[#This Row],[SUE DIA]]</f>
        <v>0</v>
      </c>
      <c r="P1202" s="139">
        <f>IF(Tabla1[[#This Row],[FECHA ING]]&lt;$P$1007,365,_xlfn.DAYS($P$1008,Tabla1[[#This Row],[FECHA ING]])+1)</f>
        <v>365</v>
      </c>
      <c r="Q1202" s="198">
        <f>INT(30*(Tabla1[[#This Row],[FECHAS CONTB AGNLDO]]/365))</f>
        <v>30</v>
      </c>
      <c r="R1202" s="244">
        <f ca="1">IF($W$32=$W$26,Tabla1[[#This Row],[SUE DIA]]*Tabla1[[#This Row],[DIAS PAG AGNLDO]],0)</f>
        <v>0</v>
      </c>
      <c r="S1202" s="244">
        <f ca="1">(_xlfn.DAYS(TODAY(),Tabla1[[#This Row],[FECHA ING]])/365)</f>
        <v>7.2712328767123289</v>
      </c>
      <c r="T1202" s="244">
        <f ca="1">IF(Tabla1[[#This Row],[DIAS VAC]]&gt;1,Tabla1[[#This Row],[DIAS VAC]]-Tabla1[[#This Row],[ANTIG]],Tabla1[[#This Row],[DIAS VAC]])</f>
        <v>0.27123287671232887</v>
      </c>
      <c r="U1202" s="244">
        <f ca="1">Tabla1[[#This Row],[VALID ANTIG]]*Tabla1[[#This Row],[SUE DIA]]*Tabla1[[#This Row],[DIAS VAC PAG]]</f>
        <v>785.49041095890448</v>
      </c>
    </row>
    <row r="1203" spans="2:21" hidden="1" x14ac:dyDescent="0.25">
      <c r="B1203" s="243">
        <v>316</v>
      </c>
      <c r="C1203" s="140" t="str">
        <f>VLOOKUP(B1203,BDD[],2,0)</f>
        <v>Devany Alexandra Montoya Muñiz</v>
      </c>
      <c r="D1203" s="140">
        <f>VLOOKUP(B1203,BDD[],3,0)</f>
        <v>7445</v>
      </c>
      <c r="E1203" s="140">
        <f>VLOOKUP(B1203,BDD[],4,0)</f>
        <v>248.16666666666666</v>
      </c>
      <c r="F1203" s="142">
        <f>VLOOKUP(B1203,BDD[],26,0)</f>
        <v>27.574074074074073</v>
      </c>
      <c r="G1203" s="268">
        <f>VLOOKUP(B1203,BDD[],6,0)</f>
        <v>42117</v>
      </c>
      <c r="H1203" s="139">
        <f ca="1">VLOOKUP(B1203,BDD[],7,0)</f>
        <v>7</v>
      </c>
      <c r="I1203" s="139">
        <f ca="1">VLOOKUP(B1203,BDD[],22,0)</f>
        <v>8</v>
      </c>
      <c r="J1203" s="168">
        <v>15</v>
      </c>
      <c r="K1203" s="139">
        <f>Tabla1[[#This Row],[DIAS LAB]]*Tabla1[[#This Row],[SUE DIA]]</f>
        <v>3722.5</v>
      </c>
      <c r="L1203" s="168">
        <v>0</v>
      </c>
      <c r="M1203" s="198">
        <f>Tabla1[[#This Row],[HRS EXT]]*Tabla1[[#This Row],[SUE X HR]]</f>
        <v>0</v>
      </c>
      <c r="N1203" s="168">
        <v>0</v>
      </c>
      <c r="O1203" s="198">
        <f>Tabla1[[#This Row],[ASUETO]]*Tabla1[[#This Row],[SUE DIA]]</f>
        <v>0</v>
      </c>
      <c r="P1203" s="139">
        <f>IF(Tabla1[[#This Row],[FECHA ING]]&lt;$P$1007,365,_xlfn.DAYS($P$1008,Tabla1[[#This Row],[FECHA ING]])+1)</f>
        <v>365</v>
      </c>
      <c r="Q1203" s="198">
        <f>INT(30*(Tabla1[[#This Row],[FECHAS CONTB AGNLDO]]/365))</f>
        <v>30</v>
      </c>
      <c r="R1203" s="244">
        <f ca="1">IF($W$32=$W$26,Tabla1[[#This Row],[SUE DIA]]*Tabla1[[#This Row],[DIAS PAG AGNLDO]],0)</f>
        <v>0</v>
      </c>
      <c r="S1203" s="244">
        <f ca="1">(_xlfn.DAYS(TODAY(),Tabla1[[#This Row],[FECHA ING]])/365)</f>
        <v>7.2410958904109588</v>
      </c>
      <c r="T1203" s="244">
        <f ca="1">IF(Tabla1[[#This Row],[DIAS VAC]]&gt;1,Tabla1[[#This Row],[DIAS VAC]]-Tabla1[[#This Row],[ANTIG]],Tabla1[[#This Row],[DIAS VAC]])</f>
        <v>0.2410958904109588</v>
      </c>
      <c r="U1203" s="244">
        <f ca="1">Tabla1[[#This Row],[VALID ANTIG]]*Tabla1[[#This Row],[SUE DIA]]*Tabla1[[#This Row],[DIAS VAC PAG]]</f>
        <v>478.65570776255686</v>
      </c>
    </row>
    <row r="1204" spans="2:21" hidden="1" x14ac:dyDescent="0.25">
      <c r="B1204" s="243">
        <v>317</v>
      </c>
      <c r="C1204" s="140" t="str">
        <f>VLOOKUP(B1204,BDD[],2,0)</f>
        <v>Nancy Margarita Sáenz Garza</v>
      </c>
      <c r="D1204" s="140">
        <f>VLOOKUP(B1204,BDD[],3,0)</f>
        <v>6778</v>
      </c>
      <c r="E1204" s="140">
        <f>VLOOKUP(B1204,BDD[],4,0)</f>
        <v>225.93333333333334</v>
      </c>
      <c r="F1204" s="142">
        <f>VLOOKUP(B1204,BDD[],26,0)</f>
        <v>25.103703703703705</v>
      </c>
      <c r="G1204" s="268">
        <f>VLOOKUP(B1204,BDD[],6,0)</f>
        <v>42131</v>
      </c>
      <c r="H1204" s="139">
        <f ca="1">VLOOKUP(B1204,BDD[],7,0)</f>
        <v>7</v>
      </c>
      <c r="I1204" s="139">
        <f ca="1">VLOOKUP(B1204,BDD[],22,0)</f>
        <v>4</v>
      </c>
      <c r="J1204" s="168">
        <v>15</v>
      </c>
      <c r="K1204" s="139">
        <f>Tabla1[[#This Row],[DIAS LAB]]*Tabla1[[#This Row],[SUE DIA]]</f>
        <v>3389</v>
      </c>
      <c r="L1204" s="168">
        <v>0</v>
      </c>
      <c r="M1204" s="198">
        <f>Tabla1[[#This Row],[HRS EXT]]*Tabla1[[#This Row],[SUE X HR]]</f>
        <v>0</v>
      </c>
      <c r="N1204" s="168">
        <v>0</v>
      </c>
      <c r="O1204" s="198">
        <f>Tabla1[[#This Row],[ASUETO]]*Tabla1[[#This Row],[SUE DIA]]</f>
        <v>0</v>
      </c>
      <c r="P1204" s="139">
        <f>IF(Tabla1[[#This Row],[FECHA ING]]&lt;$P$1007,365,_xlfn.DAYS($P$1008,Tabla1[[#This Row],[FECHA ING]])+1)</f>
        <v>365</v>
      </c>
      <c r="Q1204" s="198">
        <f>INT(30*(Tabla1[[#This Row],[FECHAS CONTB AGNLDO]]/365))</f>
        <v>30</v>
      </c>
      <c r="R1204" s="244">
        <f ca="1">IF($W$32=$W$26,Tabla1[[#This Row],[SUE DIA]]*Tabla1[[#This Row],[DIAS PAG AGNLDO]],0)</f>
        <v>0</v>
      </c>
      <c r="S1204" s="244">
        <f ca="1">(_xlfn.DAYS(TODAY(),Tabla1[[#This Row],[FECHA ING]])/365)</f>
        <v>7.2027397260273975</v>
      </c>
      <c r="T1204" s="244">
        <f ca="1">IF(Tabla1[[#This Row],[DIAS VAC]]&gt;1,Tabla1[[#This Row],[DIAS VAC]]-Tabla1[[#This Row],[ANTIG]],Tabla1[[#This Row],[DIAS VAC]])</f>
        <v>0.20273972602739754</v>
      </c>
      <c r="U1204" s="244">
        <f ca="1">Tabla1[[#This Row],[VALID ANTIG]]*Tabla1[[#This Row],[SUE DIA]]*Tabla1[[#This Row],[DIAS VAC PAG]]</f>
        <v>183.22264840182675</v>
      </c>
    </row>
    <row r="1205" spans="2:21" hidden="1" x14ac:dyDescent="0.25">
      <c r="B1205" s="243">
        <v>318</v>
      </c>
      <c r="C1205" s="140" t="str">
        <f>VLOOKUP(B1205,BDD[],2,0)</f>
        <v>Carlos Antonio Rodriguez Campechano</v>
      </c>
      <c r="D1205" s="140">
        <f>VLOOKUP(B1205,BDD[],3,0)</f>
        <v>10350</v>
      </c>
      <c r="E1205" s="140">
        <f>VLOOKUP(B1205,BDD[],4,0)</f>
        <v>345</v>
      </c>
      <c r="F1205" s="142">
        <f>VLOOKUP(B1205,BDD[],26,0)</f>
        <v>38.333333333333336</v>
      </c>
      <c r="G1205" s="268">
        <f>VLOOKUP(B1205,BDD[],6,0)</f>
        <v>42134</v>
      </c>
      <c r="H1205" s="139">
        <f ca="1">VLOOKUP(B1205,BDD[],7,0)</f>
        <v>7</v>
      </c>
      <c r="I1205" s="139">
        <f ca="1">VLOOKUP(B1205,BDD[],22,0)</f>
        <v>8</v>
      </c>
      <c r="J1205" s="168">
        <v>15</v>
      </c>
      <c r="K1205" s="139">
        <f>Tabla1[[#This Row],[DIAS LAB]]*Tabla1[[#This Row],[SUE DIA]]</f>
        <v>5175</v>
      </c>
      <c r="L1205" s="168">
        <v>0</v>
      </c>
      <c r="M1205" s="198">
        <f>Tabla1[[#This Row],[HRS EXT]]*Tabla1[[#This Row],[SUE X HR]]</f>
        <v>0</v>
      </c>
      <c r="N1205" s="168">
        <v>0</v>
      </c>
      <c r="O1205" s="198">
        <f>Tabla1[[#This Row],[ASUETO]]*Tabla1[[#This Row],[SUE DIA]]</f>
        <v>0</v>
      </c>
      <c r="P1205" s="139">
        <f>IF(Tabla1[[#This Row],[FECHA ING]]&lt;$P$1007,365,_xlfn.DAYS($P$1008,Tabla1[[#This Row],[FECHA ING]])+1)</f>
        <v>365</v>
      </c>
      <c r="Q1205" s="198">
        <f>INT(30*(Tabla1[[#This Row],[FECHAS CONTB AGNLDO]]/365))</f>
        <v>30</v>
      </c>
      <c r="R1205" s="244">
        <f ca="1">IF($W$32=$W$26,Tabla1[[#This Row],[SUE DIA]]*Tabla1[[#This Row],[DIAS PAG AGNLDO]],0)</f>
        <v>0</v>
      </c>
      <c r="S1205" s="244">
        <f ca="1">(_xlfn.DAYS(TODAY(),Tabla1[[#This Row],[FECHA ING]])/365)</f>
        <v>7.1945205479452055</v>
      </c>
      <c r="T1205" s="244">
        <f ca="1">IF(Tabla1[[#This Row],[DIAS VAC]]&gt;1,Tabla1[[#This Row],[DIAS VAC]]-Tabla1[[#This Row],[ANTIG]],Tabla1[[#This Row],[DIAS VAC]])</f>
        <v>0.19452054794520546</v>
      </c>
      <c r="U1205" s="244">
        <f ca="1">Tabla1[[#This Row],[VALID ANTIG]]*Tabla1[[#This Row],[SUE DIA]]*Tabla1[[#This Row],[DIAS VAC PAG]]</f>
        <v>536.8767123287671</v>
      </c>
    </row>
    <row r="1206" spans="2:21" hidden="1" x14ac:dyDescent="0.25">
      <c r="B1206" s="243">
        <v>319</v>
      </c>
      <c r="C1206" s="140" t="str">
        <f>VLOOKUP(B1206,BDD[],2,0)</f>
        <v>Rebeca De La Cruz Salgado</v>
      </c>
      <c r="D1206" s="140">
        <f>VLOOKUP(B1206,BDD[],3,0)</f>
        <v>6778</v>
      </c>
      <c r="E1206" s="140">
        <f>VLOOKUP(B1206,BDD[],4,0)</f>
        <v>225.93333333333334</v>
      </c>
      <c r="F1206" s="142">
        <f>VLOOKUP(B1206,BDD[],26,0)</f>
        <v>25.103703703703705</v>
      </c>
      <c r="G1206" s="268">
        <f>VLOOKUP(B1206,BDD[],6,0)</f>
        <v>42155</v>
      </c>
      <c r="H1206" s="139">
        <f ca="1">VLOOKUP(B1206,BDD[],7,0)</f>
        <v>7</v>
      </c>
      <c r="I1206" s="139">
        <f ca="1">VLOOKUP(B1206,BDD[],22,0)</f>
        <v>4</v>
      </c>
      <c r="J1206" s="168">
        <v>15</v>
      </c>
      <c r="K1206" s="139">
        <f>Tabla1[[#This Row],[DIAS LAB]]*Tabla1[[#This Row],[SUE DIA]]</f>
        <v>3389</v>
      </c>
      <c r="L1206" s="168">
        <v>0</v>
      </c>
      <c r="M1206" s="198">
        <f>Tabla1[[#This Row],[HRS EXT]]*Tabla1[[#This Row],[SUE X HR]]</f>
        <v>0</v>
      </c>
      <c r="N1206" s="168">
        <v>0</v>
      </c>
      <c r="O1206" s="198">
        <f>Tabla1[[#This Row],[ASUETO]]*Tabla1[[#This Row],[SUE DIA]]</f>
        <v>0</v>
      </c>
      <c r="P1206" s="139">
        <f>IF(Tabla1[[#This Row],[FECHA ING]]&lt;$P$1007,365,_xlfn.DAYS($P$1008,Tabla1[[#This Row],[FECHA ING]])+1)</f>
        <v>365</v>
      </c>
      <c r="Q1206" s="198">
        <f>INT(30*(Tabla1[[#This Row],[FECHAS CONTB AGNLDO]]/365))</f>
        <v>30</v>
      </c>
      <c r="R1206" s="244">
        <f ca="1">IF($W$32=$W$26,Tabla1[[#This Row],[SUE DIA]]*Tabla1[[#This Row],[DIAS PAG AGNLDO]],0)</f>
        <v>0</v>
      </c>
      <c r="S1206" s="244">
        <f ca="1">(_xlfn.DAYS(TODAY(),Tabla1[[#This Row],[FECHA ING]])/365)</f>
        <v>7.1369863013698627</v>
      </c>
      <c r="T1206" s="244">
        <f ca="1">IF(Tabla1[[#This Row],[DIAS VAC]]&gt;1,Tabla1[[#This Row],[DIAS VAC]]-Tabla1[[#This Row],[ANTIG]],Tabla1[[#This Row],[DIAS VAC]])</f>
        <v>0.13698630136986267</v>
      </c>
      <c r="U1206" s="244">
        <f ca="1">Tabla1[[#This Row],[VALID ANTIG]]*Tabla1[[#This Row],[SUE DIA]]*Tabla1[[#This Row],[DIAS VAC PAG]]</f>
        <v>123.79908675799057</v>
      </c>
    </row>
    <row r="1207" spans="2:21" hidden="1" x14ac:dyDescent="0.25">
      <c r="B1207" s="243">
        <v>320</v>
      </c>
      <c r="C1207" s="140" t="str">
        <f>VLOOKUP(B1207,BDD[],2,0)</f>
        <v>Lidia Teresa Palma Zavaleta</v>
      </c>
      <c r="D1207" s="140">
        <f>VLOOKUP(B1207,BDD[],3,0)</f>
        <v>7950</v>
      </c>
      <c r="E1207" s="140">
        <f>VLOOKUP(B1207,BDD[],4,0)</f>
        <v>265</v>
      </c>
      <c r="F1207" s="142">
        <f>VLOOKUP(B1207,BDD[],26,0)</f>
        <v>29.444444444444443</v>
      </c>
      <c r="G1207" s="268">
        <f>VLOOKUP(B1207,BDD[],6,0)</f>
        <v>42192</v>
      </c>
      <c r="H1207" s="139">
        <f ca="1">VLOOKUP(B1207,BDD[],7,0)</f>
        <v>7</v>
      </c>
      <c r="I1207" s="139">
        <f ca="1">VLOOKUP(B1207,BDD[],22,0)</f>
        <v>8</v>
      </c>
      <c r="J1207" s="168">
        <v>15</v>
      </c>
      <c r="K1207" s="139">
        <f>Tabla1[[#This Row],[DIAS LAB]]*Tabla1[[#This Row],[SUE DIA]]</f>
        <v>3975</v>
      </c>
      <c r="L1207" s="168">
        <v>0</v>
      </c>
      <c r="M1207" s="198">
        <f>Tabla1[[#This Row],[HRS EXT]]*Tabla1[[#This Row],[SUE X HR]]</f>
        <v>0</v>
      </c>
      <c r="N1207" s="168">
        <v>0</v>
      </c>
      <c r="O1207" s="198">
        <f>Tabla1[[#This Row],[ASUETO]]*Tabla1[[#This Row],[SUE DIA]]</f>
        <v>0</v>
      </c>
      <c r="P1207" s="139">
        <f>IF(Tabla1[[#This Row],[FECHA ING]]&lt;$P$1007,365,_xlfn.DAYS($P$1008,Tabla1[[#This Row],[FECHA ING]])+1)</f>
        <v>365</v>
      </c>
      <c r="Q1207" s="198">
        <f>INT(30*(Tabla1[[#This Row],[FECHAS CONTB AGNLDO]]/365))</f>
        <v>30</v>
      </c>
      <c r="R1207" s="244">
        <f ca="1">IF($W$32=$W$26,Tabla1[[#This Row],[SUE DIA]]*Tabla1[[#This Row],[DIAS PAG AGNLDO]],0)</f>
        <v>0</v>
      </c>
      <c r="S1207" s="244">
        <f ca="1">(_xlfn.DAYS(TODAY(),Tabla1[[#This Row],[FECHA ING]])/365)</f>
        <v>7.0356164383561648</v>
      </c>
      <c r="T1207" s="244">
        <f ca="1">IF(Tabla1[[#This Row],[DIAS VAC]]&gt;1,Tabla1[[#This Row],[DIAS VAC]]-Tabla1[[#This Row],[ANTIG]],Tabla1[[#This Row],[DIAS VAC]])</f>
        <v>3.5616438356164792E-2</v>
      </c>
      <c r="U1207" s="244">
        <f ca="1">Tabla1[[#This Row],[VALID ANTIG]]*Tabla1[[#This Row],[SUE DIA]]*Tabla1[[#This Row],[DIAS VAC PAG]]</f>
        <v>75.50684931506936</v>
      </c>
    </row>
    <row r="1208" spans="2:21" hidden="1" x14ac:dyDescent="0.25">
      <c r="B1208" s="243">
        <v>321</v>
      </c>
      <c r="C1208" s="140" t="str">
        <f>VLOOKUP(B1208,BDD[],2,0)</f>
        <v>Humberto García Balanzar</v>
      </c>
      <c r="D1208" s="140">
        <f>VLOOKUP(B1208,BDD[],3,0)</f>
        <v>9541</v>
      </c>
      <c r="E1208" s="140">
        <f>VLOOKUP(B1208,BDD[],4,0)</f>
        <v>318.03333333333336</v>
      </c>
      <c r="F1208" s="142">
        <f>VLOOKUP(B1208,BDD[],26,0)</f>
        <v>35.337037037037042</v>
      </c>
      <c r="G1208" s="268">
        <f>VLOOKUP(B1208,BDD[],6,0)</f>
        <v>42193</v>
      </c>
      <c r="H1208" s="139">
        <f ca="1">VLOOKUP(B1208,BDD[],7,0)</f>
        <v>7</v>
      </c>
      <c r="I1208" s="139">
        <f ca="1">VLOOKUP(B1208,BDD[],22,0)</f>
        <v>8</v>
      </c>
      <c r="J1208" s="168">
        <v>15</v>
      </c>
      <c r="K1208" s="139">
        <f>Tabla1[[#This Row],[DIAS LAB]]*Tabla1[[#This Row],[SUE DIA]]</f>
        <v>4770.5</v>
      </c>
      <c r="L1208" s="168">
        <v>0</v>
      </c>
      <c r="M1208" s="198">
        <f>Tabla1[[#This Row],[HRS EXT]]*Tabla1[[#This Row],[SUE X HR]]</f>
        <v>0</v>
      </c>
      <c r="N1208" s="168">
        <v>0</v>
      </c>
      <c r="O1208" s="198">
        <f>Tabla1[[#This Row],[ASUETO]]*Tabla1[[#This Row],[SUE DIA]]</f>
        <v>0</v>
      </c>
      <c r="P1208" s="139">
        <f>IF(Tabla1[[#This Row],[FECHA ING]]&lt;$P$1007,365,_xlfn.DAYS($P$1008,Tabla1[[#This Row],[FECHA ING]])+1)</f>
        <v>365</v>
      </c>
      <c r="Q1208" s="198">
        <f>INT(30*(Tabla1[[#This Row],[FECHAS CONTB AGNLDO]]/365))</f>
        <v>30</v>
      </c>
      <c r="R1208" s="244">
        <f ca="1">IF($W$32=$W$26,Tabla1[[#This Row],[SUE DIA]]*Tabla1[[#This Row],[DIAS PAG AGNLDO]],0)</f>
        <v>0</v>
      </c>
      <c r="S1208" s="244">
        <f ca="1">(_xlfn.DAYS(TODAY(),Tabla1[[#This Row],[FECHA ING]])/365)</f>
        <v>7.0328767123287674</v>
      </c>
      <c r="T1208" s="244">
        <f ca="1">IF(Tabla1[[#This Row],[DIAS VAC]]&gt;1,Tabla1[[#This Row],[DIAS VAC]]-Tabla1[[#This Row],[ANTIG]],Tabla1[[#This Row],[DIAS VAC]])</f>
        <v>3.2876712328767432E-2</v>
      </c>
      <c r="U1208" s="244">
        <f ca="1">Tabla1[[#This Row],[VALID ANTIG]]*Tabla1[[#This Row],[SUE DIA]]*Tabla1[[#This Row],[DIAS VAC PAG]]</f>
        <v>83.647123287672031</v>
      </c>
    </row>
    <row r="1209" spans="2:21" hidden="1" x14ac:dyDescent="0.25">
      <c r="B1209" s="243">
        <v>323</v>
      </c>
      <c r="C1209" s="140" t="str">
        <f>VLOOKUP(B1209,BDD[],2,0)</f>
        <v>Karen Jacqueline Rodríguez Puga</v>
      </c>
      <c r="D1209" s="140">
        <f>VLOOKUP(B1209,BDD[],3,0)</f>
        <v>7445</v>
      </c>
      <c r="E1209" s="140">
        <f>VLOOKUP(B1209,BDD[],4,0)</f>
        <v>248.16666666666666</v>
      </c>
      <c r="F1209" s="142">
        <f>VLOOKUP(B1209,BDD[],26,0)</f>
        <v>27.574074074074073</v>
      </c>
      <c r="G1209" s="268">
        <f>VLOOKUP(B1209,BDD[],6,0)</f>
        <v>42194</v>
      </c>
      <c r="H1209" s="139">
        <f ca="1">VLOOKUP(B1209,BDD[],7,0)</f>
        <v>7</v>
      </c>
      <c r="I1209" s="139">
        <f ca="1">VLOOKUP(B1209,BDD[],22,0)</f>
        <v>8</v>
      </c>
      <c r="J1209" s="168">
        <v>15</v>
      </c>
      <c r="K1209" s="139">
        <f>Tabla1[[#This Row],[DIAS LAB]]*Tabla1[[#This Row],[SUE DIA]]</f>
        <v>3722.5</v>
      </c>
      <c r="L1209" s="168">
        <v>0</v>
      </c>
      <c r="M1209" s="198">
        <f>Tabla1[[#This Row],[HRS EXT]]*Tabla1[[#This Row],[SUE X HR]]</f>
        <v>0</v>
      </c>
      <c r="N1209" s="168">
        <v>0</v>
      </c>
      <c r="O1209" s="198">
        <f>Tabla1[[#This Row],[ASUETO]]*Tabla1[[#This Row],[SUE DIA]]</f>
        <v>0</v>
      </c>
      <c r="P1209" s="139">
        <f>IF(Tabla1[[#This Row],[FECHA ING]]&lt;$P$1007,365,_xlfn.DAYS($P$1008,Tabla1[[#This Row],[FECHA ING]])+1)</f>
        <v>365</v>
      </c>
      <c r="Q1209" s="198">
        <f>INT(30*(Tabla1[[#This Row],[FECHAS CONTB AGNLDO]]/365))</f>
        <v>30</v>
      </c>
      <c r="R1209" s="244">
        <f ca="1">IF($W$32=$W$26,Tabla1[[#This Row],[SUE DIA]]*Tabla1[[#This Row],[DIAS PAG AGNLDO]],0)</f>
        <v>0</v>
      </c>
      <c r="S1209" s="244">
        <f ca="1">(_xlfn.DAYS(TODAY(),Tabla1[[#This Row],[FECHA ING]])/365)</f>
        <v>7.0301369863013701</v>
      </c>
      <c r="T1209" s="244">
        <f ca="1">IF(Tabla1[[#This Row],[DIAS VAC]]&gt;1,Tabla1[[#This Row],[DIAS VAC]]-Tabla1[[#This Row],[ANTIG]],Tabla1[[#This Row],[DIAS VAC]])</f>
        <v>3.0136986301370072E-2</v>
      </c>
      <c r="U1209" s="244">
        <f ca="1">Tabla1[[#This Row],[VALID ANTIG]]*Tabla1[[#This Row],[SUE DIA]]*Tabla1[[#This Row],[DIAS VAC PAG]]</f>
        <v>59.831963470320048</v>
      </c>
    </row>
    <row r="1210" spans="2:21" hidden="1" x14ac:dyDescent="0.25">
      <c r="B1210" s="243">
        <v>324</v>
      </c>
      <c r="C1210" s="140" t="str">
        <f>VLOOKUP(B1210,BDD[],2,0)</f>
        <v>María De Jesus Barragan Noyola</v>
      </c>
      <c r="D1210" s="140">
        <f>VLOOKUP(B1210,BDD[],3,0)</f>
        <v>9541</v>
      </c>
      <c r="E1210" s="140">
        <f>VLOOKUP(B1210,BDD[],4,0)</f>
        <v>318.03333333333336</v>
      </c>
      <c r="F1210" s="142">
        <f>VLOOKUP(B1210,BDD[],26,0)</f>
        <v>35.337037037037042</v>
      </c>
      <c r="G1210" s="268">
        <f>VLOOKUP(B1210,BDD[],6,0)</f>
        <v>42194</v>
      </c>
      <c r="H1210" s="139">
        <f ca="1">VLOOKUP(B1210,BDD[],7,0)</f>
        <v>7</v>
      </c>
      <c r="I1210" s="139">
        <f ca="1">VLOOKUP(B1210,BDD[],22,0)</f>
        <v>8</v>
      </c>
      <c r="J1210" s="168">
        <v>15</v>
      </c>
      <c r="K1210" s="139">
        <f>Tabla1[[#This Row],[DIAS LAB]]*Tabla1[[#This Row],[SUE DIA]]</f>
        <v>4770.5</v>
      </c>
      <c r="L1210" s="168">
        <v>0</v>
      </c>
      <c r="M1210" s="198">
        <f>Tabla1[[#This Row],[HRS EXT]]*Tabla1[[#This Row],[SUE X HR]]</f>
        <v>0</v>
      </c>
      <c r="N1210" s="168">
        <v>0</v>
      </c>
      <c r="O1210" s="198">
        <f>Tabla1[[#This Row],[ASUETO]]*Tabla1[[#This Row],[SUE DIA]]</f>
        <v>0</v>
      </c>
      <c r="P1210" s="139">
        <f>IF(Tabla1[[#This Row],[FECHA ING]]&lt;$P$1007,365,_xlfn.DAYS($P$1008,Tabla1[[#This Row],[FECHA ING]])+1)</f>
        <v>365</v>
      </c>
      <c r="Q1210" s="198">
        <f>INT(30*(Tabla1[[#This Row],[FECHAS CONTB AGNLDO]]/365))</f>
        <v>30</v>
      </c>
      <c r="R1210" s="244">
        <f ca="1">IF($W$32=$W$26,Tabla1[[#This Row],[SUE DIA]]*Tabla1[[#This Row],[DIAS PAG AGNLDO]],0)</f>
        <v>0</v>
      </c>
      <c r="S1210" s="244">
        <f ca="1">(_xlfn.DAYS(TODAY(),Tabla1[[#This Row],[FECHA ING]])/365)</f>
        <v>7.0301369863013701</v>
      </c>
      <c r="T1210" s="244">
        <f ca="1">IF(Tabla1[[#This Row],[DIAS VAC]]&gt;1,Tabla1[[#This Row],[DIAS VAC]]-Tabla1[[#This Row],[ANTIG]],Tabla1[[#This Row],[DIAS VAC]])</f>
        <v>3.0136986301370072E-2</v>
      </c>
      <c r="U1210" s="244">
        <f ca="1">Tabla1[[#This Row],[VALID ANTIG]]*Tabla1[[#This Row],[SUE DIA]]*Tabla1[[#This Row],[DIAS VAC PAG]]</f>
        <v>76.676529680365832</v>
      </c>
    </row>
    <row r="1211" spans="2:21" hidden="1" x14ac:dyDescent="0.25">
      <c r="B1211" s="243">
        <v>325</v>
      </c>
      <c r="C1211" s="140" t="str">
        <f>VLOOKUP(B1211,BDD[],2,0)</f>
        <v>Delfina Gutierrez Carbajal</v>
      </c>
      <c r="D1211" s="140">
        <f>VLOOKUP(B1211,BDD[],3,0)</f>
        <v>7950</v>
      </c>
      <c r="E1211" s="140">
        <f>VLOOKUP(B1211,BDD[],4,0)</f>
        <v>265</v>
      </c>
      <c r="F1211" s="142">
        <f>VLOOKUP(B1211,BDD[],26,0)</f>
        <v>29.444444444444443</v>
      </c>
      <c r="G1211" s="268">
        <f>VLOOKUP(B1211,BDD[],6,0)</f>
        <v>42213</v>
      </c>
      <c r="H1211" s="139">
        <f ca="1">VLOOKUP(B1211,BDD[],7,0)</f>
        <v>6</v>
      </c>
      <c r="I1211" s="139">
        <f ca="1">VLOOKUP(B1211,BDD[],22,0)</f>
        <v>8</v>
      </c>
      <c r="J1211" s="168">
        <v>15</v>
      </c>
      <c r="K1211" s="139">
        <f>Tabla1[[#This Row],[DIAS LAB]]*Tabla1[[#This Row],[SUE DIA]]</f>
        <v>3975</v>
      </c>
      <c r="L1211" s="168">
        <v>0</v>
      </c>
      <c r="M1211" s="198">
        <f>Tabla1[[#This Row],[HRS EXT]]*Tabla1[[#This Row],[SUE X HR]]</f>
        <v>0</v>
      </c>
      <c r="N1211" s="168">
        <v>0</v>
      </c>
      <c r="O1211" s="198">
        <f>Tabla1[[#This Row],[ASUETO]]*Tabla1[[#This Row],[SUE DIA]]</f>
        <v>0</v>
      </c>
      <c r="P1211" s="139">
        <f>IF(Tabla1[[#This Row],[FECHA ING]]&lt;$P$1007,365,_xlfn.DAYS($P$1008,Tabla1[[#This Row],[FECHA ING]])+1)</f>
        <v>365</v>
      </c>
      <c r="Q1211" s="198">
        <f>INT(30*(Tabla1[[#This Row],[FECHAS CONTB AGNLDO]]/365))</f>
        <v>30</v>
      </c>
      <c r="R1211" s="244">
        <f ca="1">IF($W$32=$W$26,Tabla1[[#This Row],[SUE DIA]]*Tabla1[[#This Row],[DIAS PAG AGNLDO]],0)</f>
        <v>0</v>
      </c>
      <c r="S1211" s="244">
        <f ca="1">(_xlfn.DAYS(TODAY(),Tabla1[[#This Row],[FECHA ING]])/365)</f>
        <v>6.978082191780822</v>
      </c>
      <c r="T1211" s="244">
        <f ca="1">IF(Tabla1[[#This Row],[DIAS VAC]]&gt;1,Tabla1[[#This Row],[DIAS VAC]]-Tabla1[[#This Row],[ANTIG]],Tabla1[[#This Row],[DIAS VAC]])</f>
        <v>0.97808219178082201</v>
      </c>
      <c r="U1211" s="244">
        <f ca="1">Tabla1[[#This Row],[VALID ANTIG]]*Tabla1[[#This Row],[SUE DIA]]*Tabla1[[#This Row],[DIAS VAC PAG]]</f>
        <v>2073.5342465753429</v>
      </c>
    </row>
    <row r="1212" spans="2:21" hidden="1" x14ac:dyDescent="0.25">
      <c r="B1212" s="243">
        <v>327</v>
      </c>
      <c r="C1212" s="140" t="str">
        <f>VLOOKUP(B1212,BDD[],2,0)</f>
        <v>Roberto Bernal Aguilar</v>
      </c>
      <c r="D1212" s="140">
        <f>VLOOKUP(B1212,BDD[],3,0)</f>
        <v>7445</v>
      </c>
      <c r="E1212" s="140">
        <f>VLOOKUP(B1212,BDD[],4,0)</f>
        <v>248.16666666666666</v>
      </c>
      <c r="F1212" s="142">
        <f>VLOOKUP(B1212,BDD[],26,0)</f>
        <v>27.574074074074073</v>
      </c>
      <c r="G1212" s="268">
        <f>VLOOKUP(B1212,BDD[],6,0)</f>
        <v>42223</v>
      </c>
      <c r="H1212" s="139">
        <f ca="1">VLOOKUP(B1212,BDD[],7,0)</f>
        <v>6</v>
      </c>
      <c r="I1212" s="139">
        <f ca="1">VLOOKUP(B1212,BDD[],22,0)</f>
        <v>8</v>
      </c>
      <c r="J1212" s="168">
        <v>15</v>
      </c>
      <c r="K1212" s="139">
        <f>Tabla1[[#This Row],[DIAS LAB]]*Tabla1[[#This Row],[SUE DIA]]</f>
        <v>3722.5</v>
      </c>
      <c r="L1212" s="168">
        <v>0</v>
      </c>
      <c r="M1212" s="198">
        <f>Tabla1[[#This Row],[HRS EXT]]*Tabla1[[#This Row],[SUE X HR]]</f>
        <v>0</v>
      </c>
      <c r="N1212" s="168">
        <v>0</v>
      </c>
      <c r="O1212" s="198">
        <f>Tabla1[[#This Row],[ASUETO]]*Tabla1[[#This Row],[SUE DIA]]</f>
        <v>0</v>
      </c>
      <c r="P1212" s="139">
        <f>IF(Tabla1[[#This Row],[FECHA ING]]&lt;$P$1007,365,_xlfn.DAYS($P$1008,Tabla1[[#This Row],[FECHA ING]])+1)</f>
        <v>365</v>
      </c>
      <c r="Q1212" s="198">
        <f>INT(30*(Tabla1[[#This Row],[FECHAS CONTB AGNLDO]]/365))</f>
        <v>30</v>
      </c>
      <c r="R1212" s="244">
        <f ca="1">IF($W$32=$W$26,Tabla1[[#This Row],[SUE DIA]]*Tabla1[[#This Row],[DIAS PAG AGNLDO]],0)</f>
        <v>0</v>
      </c>
      <c r="S1212" s="244">
        <f ca="1">(_xlfn.DAYS(TODAY(),Tabla1[[#This Row],[FECHA ING]])/365)</f>
        <v>6.9506849315068493</v>
      </c>
      <c r="T1212" s="244">
        <f ca="1">IF(Tabla1[[#This Row],[DIAS VAC]]&gt;1,Tabla1[[#This Row],[DIAS VAC]]-Tabla1[[#This Row],[ANTIG]],Tabla1[[#This Row],[DIAS VAC]])</f>
        <v>0.9506849315068493</v>
      </c>
      <c r="U1212" s="244">
        <f ca="1">Tabla1[[#This Row],[VALID ANTIG]]*Tabla1[[#This Row],[SUE DIA]]*Tabla1[[#This Row],[DIAS VAC PAG]]</f>
        <v>1887.4264840182648</v>
      </c>
    </row>
    <row r="1213" spans="2:21" hidden="1" x14ac:dyDescent="0.25">
      <c r="B1213" s="243">
        <v>328</v>
      </c>
      <c r="C1213" s="140" t="str">
        <f>VLOOKUP(B1213,BDD[],2,0)</f>
        <v>Teresa Lopez Juárez</v>
      </c>
      <c r="D1213" s="140">
        <f>VLOOKUP(B1213,BDD[],3,0)</f>
        <v>7950</v>
      </c>
      <c r="E1213" s="140">
        <f>VLOOKUP(B1213,BDD[],4,0)</f>
        <v>265</v>
      </c>
      <c r="F1213" s="142">
        <f>VLOOKUP(B1213,BDD[],26,0)</f>
        <v>29.444444444444443</v>
      </c>
      <c r="G1213" s="268">
        <f>VLOOKUP(B1213,BDD[],6,0)</f>
        <v>42224</v>
      </c>
      <c r="H1213" s="139">
        <f ca="1">VLOOKUP(B1213,BDD[],7,0)</f>
        <v>6</v>
      </c>
      <c r="I1213" s="139">
        <f ca="1">VLOOKUP(B1213,BDD[],22,0)</f>
        <v>8</v>
      </c>
      <c r="J1213" s="168">
        <v>15</v>
      </c>
      <c r="K1213" s="139">
        <f>Tabla1[[#This Row],[DIAS LAB]]*Tabla1[[#This Row],[SUE DIA]]</f>
        <v>3975</v>
      </c>
      <c r="L1213" s="168">
        <v>0</v>
      </c>
      <c r="M1213" s="198">
        <f>Tabla1[[#This Row],[HRS EXT]]*Tabla1[[#This Row],[SUE X HR]]</f>
        <v>0</v>
      </c>
      <c r="N1213" s="168">
        <v>0</v>
      </c>
      <c r="O1213" s="198">
        <f>Tabla1[[#This Row],[ASUETO]]*Tabla1[[#This Row],[SUE DIA]]</f>
        <v>0</v>
      </c>
      <c r="P1213" s="139">
        <f>IF(Tabla1[[#This Row],[FECHA ING]]&lt;$P$1007,365,_xlfn.DAYS($P$1008,Tabla1[[#This Row],[FECHA ING]])+1)</f>
        <v>365</v>
      </c>
      <c r="Q1213" s="198">
        <f>INT(30*(Tabla1[[#This Row],[FECHAS CONTB AGNLDO]]/365))</f>
        <v>30</v>
      </c>
      <c r="R1213" s="244">
        <f ca="1">IF($W$32=$W$26,Tabla1[[#This Row],[SUE DIA]]*Tabla1[[#This Row],[DIAS PAG AGNLDO]],0)</f>
        <v>0</v>
      </c>
      <c r="S1213" s="244">
        <f ca="1">(_xlfn.DAYS(TODAY(),Tabla1[[#This Row],[FECHA ING]])/365)</f>
        <v>6.9479452054794519</v>
      </c>
      <c r="T1213" s="244">
        <f ca="1">IF(Tabla1[[#This Row],[DIAS VAC]]&gt;1,Tabla1[[#This Row],[DIAS VAC]]-Tabla1[[#This Row],[ANTIG]],Tabla1[[#This Row],[DIAS VAC]])</f>
        <v>0.94794520547945194</v>
      </c>
      <c r="U1213" s="244">
        <f ca="1">Tabla1[[#This Row],[VALID ANTIG]]*Tabla1[[#This Row],[SUE DIA]]*Tabla1[[#This Row],[DIAS VAC PAG]]</f>
        <v>2009.6438356164381</v>
      </c>
    </row>
    <row r="1214" spans="2:21" hidden="1" x14ac:dyDescent="0.25">
      <c r="B1214" s="243">
        <v>329</v>
      </c>
      <c r="C1214" s="140" t="str">
        <f>VLOOKUP(B1214,BDD[],2,0)</f>
        <v>David Guadalupe Rodriguez Chavez</v>
      </c>
      <c r="D1214" s="140">
        <f>VLOOKUP(B1214,BDD[],3,0)</f>
        <v>9541</v>
      </c>
      <c r="E1214" s="140">
        <f>VLOOKUP(B1214,BDD[],4,0)</f>
        <v>318.03333333333336</v>
      </c>
      <c r="F1214" s="142">
        <f>VLOOKUP(B1214,BDD[],26,0)</f>
        <v>35.337037037037042</v>
      </c>
      <c r="G1214" s="268">
        <f>VLOOKUP(B1214,BDD[],6,0)</f>
        <v>42225</v>
      </c>
      <c r="H1214" s="139">
        <f ca="1">VLOOKUP(B1214,BDD[],7,0)</f>
        <v>6</v>
      </c>
      <c r="I1214" s="139">
        <f ca="1">VLOOKUP(B1214,BDD[],22,0)</f>
        <v>8</v>
      </c>
      <c r="J1214" s="168">
        <v>15</v>
      </c>
      <c r="K1214" s="139">
        <f>Tabla1[[#This Row],[DIAS LAB]]*Tabla1[[#This Row],[SUE DIA]]</f>
        <v>4770.5</v>
      </c>
      <c r="L1214" s="168">
        <v>0</v>
      </c>
      <c r="M1214" s="198">
        <f>Tabla1[[#This Row],[HRS EXT]]*Tabla1[[#This Row],[SUE X HR]]</f>
        <v>0</v>
      </c>
      <c r="N1214" s="168">
        <v>0</v>
      </c>
      <c r="O1214" s="198">
        <f>Tabla1[[#This Row],[ASUETO]]*Tabla1[[#This Row],[SUE DIA]]</f>
        <v>0</v>
      </c>
      <c r="P1214" s="139">
        <f>IF(Tabla1[[#This Row],[FECHA ING]]&lt;$P$1007,365,_xlfn.DAYS($P$1008,Tabla1[[#This Row],[FECHA ING]])+1)</f>
        <v>365</v>
      </c>
      <c r="Q1214" s="198">
        <f>INT(30*(Tabla1[[#This Row],[FECHAS CONTB AGNLDO]]/365))</f>
        <v>30</v>
      </c>
      <c r="R1214" s="244">
        <f ca="1">IF($W$32=$W$26,Tabla1[[#This Row],[SUE DIA]]*Tabla1[[#This Row],[DIAS PAG AGNLDO]],0)</f>
        <v>0</v>
      </c>
      <c r="S1214" s="244">
        <f ca="1">(_xlfn.DAYS(TODAY(),Tabla1[[#This Row],[FECHA ING]])/365)</f>
        <v>6.9452054794520546</v>
      </c>
      <c r="T1214" s="244">
        <f ca="1">IF(Tabla1[[#This Row],[DIAS VAC]]&gt;1,Tabla1[[#This Row],[DIAS VAC]]-Tabla1[[#This Row],[ANTIG]],Tabla1[[#This Row],[DIAS VAC]])</f>
        <v>0.94520547945205458</v>
      </c>
      <c r="U1214" s="244">
        <f ca="1">Tabla1[[#This Row],[VALID ANTIG]]*Tabla1[[#This Row],[SUE DIA]]*Tabla1[[#This Row],[DIAS VAC PAG]]</f>
        <v>2404.8547945205478</v>
      </c>
    </row>
    <row r="1215" spans="2:21" hidden="1" x14ac:dyDescent="0.25">
      <c r="B1215" s="243">
        <v>330</v>
      </c>
      <c r="C1215" s="140" t="str">
        <f>VLOOKUP(B1215,BDD[],2,0)</f>
        <v>Sandra Berenice Buendía Rodríguez</v>
      </c>
      <c r="D1215" s="140">
        <f>VLOOKUP(B1215,BDD[],3,0)</f>
        <v>27150</v>
      </c>
      <c r="E1215" s="140">
        <f>VLOOKUP(B1215,BDD[],4,0)</f>
        <v>905</v>
      </c>
      <c r="F1215" s="142">
        <f>VLOOKUP(B1215,BDD[],26,0)</f>
        <v>100.55555555555556</v>
      </c>
      <c r="G1215" s="268">
        <f>VLOOKUP(B1215,BDD[],6,0)</f>
        <v>42226</v>
      </c>
      <c r="H1215" s="139">
        <f ca="1">VLOOKUP(B1215,BDD[],7,0)</f>
        <v>6</v>
      </c>
      <c r="I1215" s="139">
        <f ca="1">VLOOKUP(B1215,BDD[],22,0)</f>
        <v>8</v>
      </c>
      <c r="J1215" s="168">
        <v>15</v>
      </c>
      <c r="K1215" s="139">
        <f>Tabla1[[#This Row],[DIAS LAB]]*Tabla1[[#This Row],[SUE DIA]]</f>
        <v>13575</v>
      </c>
      <c r="L1215" s="168">
        <v>0</v>
      </c>
      <c r="M1215" s="198">
        <f>Tabla1[[#This Row],[HRS EXT]]*Tabla1[[#This Row],[SUE X HR]]</f>
        <v>0</v>
      </c>
      <c r="N1215" s="168">
        <v>0</v>
      </c>
      <c r="O1215" s="198">
        <f>Tabla1[[#This Row],[ASUETO]]*Tabla1[[#This Row],[SUE DIA]]</f>
        <v>0</v>
      </c>
      <c r="P1215" s="139">
        <f>IF(Tabla1[[#This Row],[FECHA ING]]&lt;$P$1007,365,_xlfn.DAYS($P$1008,Tabla1[[#This Row],[FECHA ING]])+1)</f>
        <v>365</v>
      </c>
      <c r="Q1215" s="198">
        <f>INT(30*(Tabla1[[#This Row],[FECHAS CONTB AGNLDO]]/365))</f>
        <v>30</v>
      </c>
      <c r="R1215" s="244">
        <f ca="1">IF($W$32=$W$26,Tabla1[[#This Row],[SUE DIA]]*Tabla1[[#This Row],[DIAS PAG AGNLDO]],0)</f>
        <v>0</v>
      </c>
      <c r="S1215" s="244">
        <f ca="1">(_xlfn.DAYS(TODAY(),Tabla1[[#This Row],[FECHA ING]])/365)</f>
        <v>6.9424657534246572</v>
      </c>
      <c r="T1215" s="244">
        <f ca="1">IF(Tabla1[[#This Row],[DIAS VAC]]&gt;1,Tabla1[[#This Row],[DIAS VAC]]-Tabla1[[#This Row],[ANTIG]],Tabla1[[#This Row],[DIAS VAC]])</f>
        <v>0.94246575342465722</v>
      </c>
      <c r="U1215" s="244">
        <f ca="1">Tabla1[[#This Row],[VALID ANTIG]]*Tabla1[[#This Row],[SUE DIA]]*Tabla1[[#This Row],[DIAS VAC PAG]]</f>
        <v>6823.4520547945185</v>
      </c>
    </row>
    <row r="1216" spans="2:21" hidden="1" x14ac:dyDescent="0.25">
      <c r="B1216" s="243">
        <v>331</v>
      </c>
      <c r="C1216" s="140" t="str">
        <f>VLOOKUP(B1216,BDD[],2,0)</f>
        <v>Ramiro Adrián Sánchez Moreno</v>
      </c>
      <c r="D1216" s="140">
        <f>VLOOKUP(B1216,BDD[],3,0)</f>
        <v>7950</v>
      </c>
      <c r="E1216" s="140">
        <f>VLOOKUP(B1216,BDD[],4,0)</f>
        <v>265</v>
      </c>
      <c r="F1216" s="142">
        <f>VLOOKUP(B1216,BDD[],26,0)</f>
        <v>29.444444444444443</v>
      </c>
      <c r="G1216" s="268">
        <f>VLOOKUP(B1216,BDD[],6,0)</f>
        <v>42229</v>
      </c>
      <c r="H1216" s="139">
        <f ca="1">VLOOKUP(B1216,BDD[],7,0)</f>
        <v>6</v>
      </c>
      <c r="I1216" s="139">
        <f ca="1">VLOOKUP(B1216,BDD[],22,0)</f>
        <v>8</v>
      </c>
      <c r="J1216" s="168">
        <v>15</v>
      </c>
      <c r="K1216" s="139">
        <f>Tabla1[[#This Row],[DIAS LAB]]*Tabla1[[#This Row],[SUE DIA]]</f>
        <v>3975</v>
      </c>
      <c r="L1216" s="168">
        <v>0</v>
      </c>
      <c r="M1216" s="198">
        <f>Tabla1[[#This Row],[HRS EXT]]*Tabla1[[#This Row],[SUE X HR]]</f>
        <v>0</v>
      </c>
      <c r="N1216" s="168">
        <v>0</v>
      </c>
      <c r="O1216" s="198">
        <f>Tabla1[[#This Row],[ASUETO]]*Tabla1[[#This Row],[SUE DIA]]</f>
        <v>0</v>
      </c>
      <c r="P1216" s="139">
        <f>IF(Tabla1[[#This Row],[FECHA ING]]&lt;$P$1007,365,_xlfn.DAYS($P$1008,Tabla1[[#This Row],[FECHA ING]])+1)</f>
        <v>365</v>
      </c>
      <c r="Q1216" s="198">
        <f>INT(30*(Tabla1[[#This Row],[FECHAS CONTB AGNLDO]]/365))</f>
        <v>30</v>
      </c>
      <c r="R1216" s="244">
        <f ca="1">IF($W$32=$W$26,Tabla1[[#This Row],[SUE DIA]]*Tabla1[[#This Row],[DIAS PAG AGNLDO]],0)</f>
        <v>0</v>
      </c>
      <c r="S1216" s="244">
        <f ca="1">(_xlfn.DAYS(TODAY(),Tabla1[[#This Row],[FECHA ING]])/365)</f>
        <v>6.934246575342466</v>
      </c>
      <c r="T1216" s="244">
        <f ca="1">IF(Tabla1[[#This Row],[DIAS VAC]]&gt;1,Tabla1[[#This Row],[DIAS VAC]]-Tabla1[[#This Row],[ANTIG]],Tabla1[[#This Row],[DIAS VAC]])</f>
        <v>0.93424657534246602</v>
      </c>
      <c r="U1216" s="244">
        <f ca="1">Tabla1[[#This Row],[VALID ANTIG]]*Tabla1[[#This Row],[SUE DIA]]*Tabla1[[#This Row],[DIAS VAC PAG]]</f>
        <v>1980.6027397260279</v>
      </c>
    </row>
    <row r="1217" spans="2:21" hidden="1" x14ac:dyDescent="0.25">
      <c r="B1217" s="243">
        <v>332</v>
      </c>
      <c r="C1217" s="140" t="str">
        <f>VLOOKUP(B1217,BDD[],2,0)</f>
        <v>María Guadalupe Soto Parra</v>
      </c>
      <c r="D1217" s="140">
        <f>VLOOKUP(B1217,BDD[],3,0)</f>
        <v>9541</v>
      </c>
      <c r="E1217" s="140">
        <f>VLOOKUP(B1217,BDD[],4,0)</f>
        <v>318.03333333333336</v>
      </c>
      <c r="F1217" s="142">
        <f>VLOOKUP(B1217,BDD[],26,0)</f>
        <v>35.337037037037042</v>
      </c>
      <c r="G1217" s="268">
        <f>VLOOKUP(B1217,BDD[],6,0)</f>
        <v>42245</v>
      </c>
      <c r="H1217" s="139">
        <f ca="1">VLOOKUP(B1217,BDD[],7,0)</f>
        <v>6</v>
      </c>
      <c r="I1217" s="139">
        <f ca="1">VLOOKUP(B1217,BDD[],22,0)</f>
        <v>8</v>
      </c>
      <c r="J1217" s="168">
        <v>15</v>
      </c>
      <c r="K1217" s="139">
        <f>Tabla1[[#This Row],[DIAS LAB]]*Tabla1[[#This Row],[SUE DIA]]</f>
        <v>4770.5</v>
      </c>
      <c r="L1217" s="168">
        <v>0</v>
      </c>
      <c r="M1217" s="198">
        <f>Tabla1[[#This Row],[HRS EXT]]*Tabla1[[#This Row],[SUE X HR]]</f>
        <v>0</v>
      </c>
      <c r="N1217" s="168">
        <v>0</v>
      </c>
      <c r="O1217" s="198">
        <f>Tabla1[[#This Row],[ASUETO]]*Tabla1[[#This Row],[SUE DIA]]</f>
        <v>0</v>
      </c>
      <c r="P1217" s="139">
        <f>IF(Tabla1[[#This Row],[FECHA ING]]&lt;$P$1007,365,_xlfn.DAYS($P$1008,Tabla1[[#This Row],[FECHA ING]])+1)</f>
        <v>365</v>
      </c>
      <c r="Q1217" s="198">
        <f>INT(30*(Tabla1[[#This Row],[FECHAS CONTB AGNLDO]]/365))</f>
        <v>30</v>
      </c>
      <c r="R1217" s="244">
        <f ca="1">IF($W$32=$W$26,Tabla1[[#This Row],[SUE DIA]]*Tabla1[[#This Row],[DIAS PAG AGNLDO]],0)</f>
        <v>0</v>
      </c>
      <c r="S1217" s="244">
        <f ca="1">(_xlfn.DAYS(TODAY(),Tabla1[[#This Row],[FECHA ING]])/365)</f>
        <v>6.8904109589041092</v>
      </c>
      <c r="T1217" s="244">
        <f ca="1">IF(Tabla1[[#This Row],[DIAS VAC]]&gt;1,Tabla1[[#This Row],[DIAS VAC]]-Tabla1[[#This Row],[ANTIG]],Tabla1[[#This Row],[DIAS VAC]])</f>
        <v>0.89041095890410915</v>
      </c>
      <c r="U1217" s="244">
        <f ca="1">Tabla1[[#This Row],[VALID ANTIG]]*Tabla1[[#This Row],[SUE DIA]]*Tabla1[[#This Row],[DIAS VAC PAG]]</f>
        <v>2265.4429223744282</v>
      </c>
    </row>
    <row r="1218" spans="2:21" hidden="1" x14ac:dyDescent="0.25">
      <c r="B1218" s="243">
        <v>333</v>
      </c>
      <c r="C1218" s="140" t="str">
        <f>VLOOKUP(B1218,BDD[],2,0)</f>
        <v>Miguel Everardo Vázquez Morales</v>
      </c>
      <c r="D1218" s="140">
        <f>VLOOKUP(B1218,BDD[],3,0)</f>
        <v>7445</v>
      </c>
      <c r="E1218" s="140">
        <f>VLOOKUP(B1218,BDD[],4,0)</f>
        <v>248.16666666666666</v>
      </c>
      <c r="F1218" s="142">
        <f>VLOOKUP(B1218,BDD[],26,0)</f>
        <v>27.574074074074073</v>
      </c>
      <c r="G1218" s="268">
        <f>VLOOKUP(B1218,BDD[],6,0)</f>
        <v>42254</v>
      </c>
      <c r="H1218" s="139">
        <f ca="1">VLOOKUP(B1218,BDD[],7,0)</f>
        <v>6</v>
      </c>
      <c r="I1218" s="139">
        <f ca="1">VLOOKUP(B1218,BDD[],22,0)</f>
        <v>8</v>
      </c>
      <c r="J1218" s="168">
        <v>15</v>
      </c>
      <c r="K1218" s="139">
        <f>Tabla1[[#This Row],[DIAS LAB]]*Tabla1[[#This Row],[SUE DIA]]</f>
        <v>3722.5</v>
      </c>
      <c r="L1218" s="168">
        <v>0</v>
      </c>
      <c r="M1218" s="198">
        <f>Tabla1[[#This Row],[HRS EXT]]*Tabla1[[#This Row],[SUE X HR]]</f>
        <v>0</v>
      </c>
      <c r="N1218" s="168">
        <v>0</v>
      </c>
      <c r="O1218" s="198">
        <f>Tabla1[[#This Row],[ASUETO]]*Tabla1[[#This Row],[SUE DIA]]</f>
        <v>0</v>
      </c>
      <c r="P1218" s="139">
        <f>IF(Tabla1[[#This Row],[FECHA ING]]&lt;$P$1007,365,_xlfn.DAYS($P$1008,Tabla1[[#This Row],[FECHA ING]])+1)</f>
        <v>365</v>
      </c>
      <c r="Q1218" s="198">
        <f>INT(30*(Tabla1[[#This Row],[FECHAS CONTB AGNLDO]]/365))</f>
        <v>30</v>
      </c>
      <c r="R1218" s="244">
        <f ca="1">IF($W$32=$W$26,Tabla1[[#This Row],[SUE DIA]]*Tabla1[[#This Row],[DIAS PAG AGNLDO]],0)</f>
        <v>0</v>
      </c>
      <c r="S1218" s="244">
        <f ca="1">(_xlfn.DAYS(TODAY(),Tabla1[[#This Row],[FECHA ING]])/365)</f>
        <v>6.8657534246575347</v>
      </c>
      <c r="T1218" s="244">
        <f ca="1">IF(Tabla1[[#This Row],[DIAS VAC]]&gt;1,Tabla1[[#This Row],[DIAS VAC]]-Tabla1[[#This Row],[ANTIG]],Tabla1[[#This Row],[DIAS VAC]])</f>
        <v>0.86575342465753469</v>
      </c>
      <c r="U1218" s="244">
        <f ca="1">Tabla1[[#This Row],[VALID ANTIG]]*Tabla1[[#This Row],[SUE DIA]]*Tabla1[[#This Row],[DIAS VAC PAG]]</f>
        <v>1718.8091324200921</v>
      </c>
    </row>
    <row r="1219" spans="2:21" hidden="1" x14ac:dyDescent="0.25">
      <c r="B1219" s="243">
        <v>334</v>
      </c>
      <c r="C1219" s="140" t="str">
        <f>VLOOKUP(B1219,BDD[],2,0)</f>
        <v>Alma Meliza García García</v>
      </c>
      <c r="D1219" s="140">
        <f>VLOOKUP(B1219,BDD[],3,0)</f>
        <v>9450</v>
      </c>
      <c r="E1219" s="140">
        <f>VLOOKUP(B1219,BDD[],4,0)</f>
        <v>315</v>
      </c>
      <c r="F1219" s="142">
        <f>VLOOKUP(B1219,BDD[],26,0)</f>
        <v>35</v>
      </c>
      <c r="G1219" s="268">
        <f>VLOOKUP(B1219,BDD[],6,0)</f>
        <v>42255</v>
      </c>
      <c r="H1219" s="139">
        <f ca="1">VLOOKUP(B1219,BDD[],7,0)</f>
        <v>6</v>
      </c>
      <c r="I1219" s="139">
        <f ca="1">VLOOKUP(B1219,BDD[],22,0)</f>
        <v>8</v>
      </c>
      <c r="J1219" s="168">
        <v>15</v>
      </c>
      <c r="K1219" s="139">
        <f>Tabla1[[#This Row],[DIAS LAB]]*Tabla1[[#This Row],[SUE DIA]]</f>
        <v>4725</v>
      </c>
      <c r="L1219" s="168">
        <v>0</v>
      </c>
      <c r="M1219" s="198">
        <f>Tabla1[[#This Row],[HRS EXT]]*Tabla1[[#This Row],[SUE X HR]]</f>
        <v>0</v>
      </c>
      <c r="N1219" s="168">
        <v>0</v>
      </c>
      <c r="O1219" s="198">
        <f>Tabla1[[#This Row],[ASUETO]]*Tabla1[[#This Row],[SUE DIA]]</f>
        <v>0</v>
      </c>
      <c r="P1219" s="139">
        <f>IF(Tabla1[[#This Row],[FECHA ING]]&lt;$P$1007,365,_xlfn.DAYS($P$1008,Tabla1[[#This Row],[FECHA ING]])+1)</f>
        <v>365</v>
      </c>
      <c r="Q1219" s="198">
        <f>INT(30*(Tabla1[[#This Row],[FECHAS CONTB AGNLDO]]/365))</f>
        <v>30</v>
      </c>
      <c r="R1219" s="244">
        <f ca="1">IF($W$32=$W$26,Tabla1[[#This Row],[SUE DIA]]*Tabla1[[#This Row],[DIAS PAG AGNLDO]],0)</f>
        <v>0</v>
      </c>
      <c r="S1219" s="244">
        <f ca="1">(_xlfn.DAYS(TODAY(),Tabla1[[#This Row],[FECHA ING]])/365)</f>
        <v>6.8630136986301373</v>
      </c>
      <c r="T1219" s="244">
        <f ca="1">IF(Tabla1[[#This Row],[DIAS VAC]]&gt;1,Tabla1[[#This Row],[DIAS VAC]]-Tabla1[[#This Row],[ANTIG]],Tabla1[[#This Row],[DIAS VAC]])</f>
        <v>0.86301369863013733</v>
      </c>
      <c r="U1219" s="244">
        <f ca="1">Tabla1[[#This Row],[VALID ANTIG]]*Tabla1[[#This Row],[SUE DIA]]*Tabla1[[#This Row],[DIAS VAC PAG]]</f>
        <v>2174.7945205479459</v>
      </c>
    </row>
    <row r="1220" spans="2:21" hidden="1" x14ac:dyDescent="0.25">
      <c r="B1220" s="243">
        <v>335</v>
      </c>
      <c r="C1220" s="140" t="str">
        <f>VLOOKUP(B1220,BDD[],2,0)</f>
        <v>Jaime Jimenez Pelaez</v>
      </c>
      <c r="D1220" s="140">
        <f>VLOOKUP(B1220,BDD[],3,0)</f>
        <v>9450</v>
      </c>
      <c r="E1220" s="140">
        <f>VLOOKUP(B1220,BDD[],4,0)</f>
        <v>315</v>
      </c>
      <c r="F1220" s="142">
        <f>VLOOKUP(B1220,BDD[],26,0)</f>
        <v>35</v>
      </c>
      <c r="G1220" s="268">
        <f>VLOOKUP(B1220,BDD[],6,0)</f>
        <v>42258</v>
      </c>
      <c r="H1220" s="139">
        <f ca="1">VLOOKUP(B1220,BDD[],7,0)</f>
        <v>6</v>
      </c>
      <c r="I1220" s="139">
        <f ca="1">VLOOKUP(B1220,BDD[],22,0)</f>
        <v>8</v>
      </c>
      <c r="J1220" s="168">
        <v>15</v>
      </c>
      <c r="K1220" s="139">
        <f>Tabla1[[#This Row],[DIAS LAB]]*Tabla1[[#This Row],[SUE DIA]]</f>
        <v>4725</v>
      </c>
      <c r="L1220" s="168">
        <v>0</v>
      </c>
      <c r="M1220" s="198">
        <f>Tabla1[[#This Row],[HRS EXT]]*Tabla1[[#This Row],[SUE X HR]]</f>
        <v>0</v>
      </c>
      <c r="N1220" s="168">
        <v>0</v>
      </c>
      <c r="O1220" s="198">
        <f>Tabla1[[#This Row],[ASUETO]]*Tabla1[[#This Row],[SUE DIA]]</f>
        <v>0</v>
      </c>
      <c r="P1220" s="139">
        <f>IF(Tabla1[[#This Row],[FECHA ING]]&lt;$P$1007,365,_xlfn.DAYS($P$1008,Tabla1[[#This Row],[FECHA ING]])+1)</f>
        <v>365</v>
      </c>
      <c r="Q1220" s="198">
        <f>INT(30*(Tabla1[[#This Row],[FECHAS CONTB AGNLDO]]/365))</f>
        <v>30</v>
      </c>
      <c r="R1220" s="244">
        <f ca="1">IF($W$32=$W$26,Tabla1[[#This Row],[SUE DIA]]*Tabla1[[#This Row],[DIAS PAG AGNLDO]],0)</f>
        <v>0</v>
      </c>
      <c r="S1220" s="244">
        <f ca="1">(_xlfn.DAYS(TODAY(),Tabla1[[#This Row],[FECHA ING]])/365)</f>
        <v>6.8547945205479452</v>
      </c>
      <c r="T1220" s="244">
        <f ca="1">IF(Tabla1[[#This Row],[DIAS VAC]]&gt;1,Tabla1[[#This Row],[DIAS VAC]]-Tabla1[[#This Row],[ANTIG]],Tabla1[[#This Row],[DIAS VAC]])</f>
        <v>0.85479452054794525</v>
      </c>
      <c r="U1220" s="244">
        <f ca="1">Tabla1[[#This Row],[VALID ANTIG]]*Tabla1[[#This Row],[SUE DIA]]*Tabla1[[#This Row],[DIAS VAC PAG]]</f>
        <v>2154.0821917808221</v>
      </c>
    </row>
    <row r="1221" spans="2:21" hidden="1" x14ac:dyDescent="0.25">
      <c r="B1221" s="243">
        <v>336</v>
      </c>
      <c r="C1221" s="140" t="str">
        <f>VLOOKUP(B1221,BDD[],2,0)</f>
        <v>Alejandra Vannesa Casas Dueñas</v>
      </c>
      <c r="D1221" s="140">
        <f>VLOOKUP(B1221,BDD[],3,0)</f>
        <v>9541</v>
      </c>
      <c r="E1221" s="140">
        <f>VLOOKUP(B1221,BDD[],4,0)</f>
        <v>318.03333333333336</v>
      </c>
      <c r="F1221" s="142">
        <f>VLOOKUP(B1221,BDD[],26,0)</f>
        <v>35.337037037037042</v>
      </c>
      <c r="G1221" s="268">
        <f>VLOOKUP(B1221,BDD[],6,0)</f>
        <v>42259</v>
      </c>
      <c r="H1221" s="139">
        <f ca="1">VLOOKUP(B1221,BDD[],7,0)</f>
        <v>6</v>
      </c>
      <c r="I1221" s="139">
        <f ca="1">VLOOKUP(B1221,BDD[],22,0)</f>
        <v>8</v>
      </c>
      <c r="J1221" s="168">
        <v>15</v>
      </c>
      <c r="K1221" s="139">
        <f>Tabla1[[#This Row],[DIAS LAB]]*Tabla1[[#This Row],[SUE DIA]]</f>
        <v>4770.5</v>
      </c>
      <c r="L1221" s="168">
        <v>0</v>
      </c>
      <c r="M1221" s="198">
        <f>Tabla1[[#This Row],[HRS EXT]]*Tabla1[[#This Row],[SUE X HR]]</f>
        <v>0</v>
      </c>
      <c r="N1221" s="168">
        <v>0</v>
      </c>
      <c r="O1221" s="198">
        <f>Tabla1[[#This Row],[ASUETO]]*Tabla1[[#This Row],[SUE DIA]]</f>
        <v>0</v>
      </c>
      <c r="P1221" s="139">
        <f>IF(Tabla1[[#This Row],[FECHA ING]]&lt;$P$1007,365,_xlfn.DAYS($P$1008,Tabla1[[#This Row],[FECHA ING]])+1)</f>
        <v>365</v>
      </c>
      <c r="Q1221" s="198">
        <f>INT(30*(Tabla1[[#This Row],[FECHAS CONTB AGNLDO]]/365))</f>
        <v>30</v>
      </c>
      <c r="R1221" s="244">
        <f ca="1">IF($W$32=$W$26,Tabla1[[#This Row],[SUE DIA]]*Tabla1[[#This Row],[DIAS PAG AGNLDO]],0)</f>
        <v>0</v>
      </c>
      <c r="S1221" s="244">
        <f ca="1">(_xlfn.DAYS(TODAY(),Tabla1[[#This Row],[FECHA ING]])/365)</f>
        <v>6.8520547945205479</v>
      </c>
      <c r="T1221" s="244">
        <f ca="1">IF(Tabla1[[#This Row],[DIAS VAC]]&gt;1,Tabla1[[#This Row],[DIAS VAC]]-Tabla1[[#This Row],[ANTIG]],Tabla1[[#This Row],[DIAS VAC]])</f>
        <v>0.85205479452054789</v>
      </c>
      <c r="U1221" s="244">
        <f ca="1">Tabla1[[#This Row],[VALID ANTIG]]*Tabla1[[#This Row],[SUE DIA]]*Tabla1[[#This Row],[DIAS VAC PAG]]</f>
        <v>2167.8546118721461</v>
      </c>
    </row>
    <row r="1222" spans="2:21" hidden="1" x14ac:dyDescent="0.25">
      <c r="B1222" s="243">
        <v>337</v>
      </c>
      <c r="C1222" s="140" t="str">
        <f>VLOOKUP(B1222,BDD[],2,0)</f>
        <v>Cesar Emiliano Sanchez Pruneda</v>
      </c>
      <c r="D1222" s="140">
        <f>VLOOKUP(B1222,BDD[],3,0)</f>
        <v>7445</v>
      </c>
      <c r="E1222" s="140">
        <f>VLOOKUP(B1222,BDD[],4,0)</f>
        <v>248.16666666666666</v>
      </c>
      <c r="F1222" s="142">
        <f>VLOOKUP(B1222,BDD[],26,0)</f>
        <v>27.574074074074073</v>
      </c>
      <c r="G1222" s="268">
        <f>VLOOKUP(B1222,BDD[],6,0)</f>
        <v>42273</v>
      </c>
      <c r="H1222" s="139">
        <f ca="1">VLOOKUP(B1222,BDD[],7,0)</f>
        <v>6</v>
      </c>
      <c r="I1222" s="139">
        <f ca="1">VLOOKUP(B1222,BDD[],22,0)</f>
        <v>8</v>
      </c>
      <c r="J1222" s="168">
        <v>15</v>
      </c>
      <c r="K1222" s="139">
        <f>Tabla1[[#This Row],[DIAS LAB]]*Tabla1[[#This Row],[SUE DIA]]</f>
        <v>3722.5</v>
      </c>
      <c r="L1222" s="168">
        <v>0</v>
      </c>
      <c r="M1222" s="198">
        <f>Tabla1[[#This Row],[HRS EXT]]*Tabla1[[#This Row],[SUE X HR]]</f>
        <v>0</v>
      </c>
      <c r="N1222" s="168">
        <v>0</v>
      </c>
      <c r="O1222" s="198">
        <f>Tabla1[[#This Row],[ASUETO]]*Tabla1[[#This Row],[SUE DIA]]</f>
        <v>0</v>
      </c>
      <c r="P1222" s="139">
        <f>IF(Tabla1[[#This Row],[FECHA ING]]&lt;$P$1007,365,_xlfn.DAYS($P$1008,Tabla1[[#This Row],[FECHA ING]])+1)</f>
        <v>365</v>
      </c>
      <c r="Q1222" s="198">
        <f>INT(30*(Tabla1[[#This Row],[FECHAS CONTB AGNLDO]]/365))</f>
        <v>30</v>
      </c>
      <c r="R1222" s="244">
        <f ca="1">IF($W$32=$W$26,Tabla1[[#This Row],[SUE DIA]]*Tabla1[[#This Row],[DIAS PAG AGNLDO]],0)</f>
        <v>0</v>
      </c>
      <c r="S1222" s="244">
        <f ca="1">(_xlfn.DAYS(TODAY(),Tabla1[[#This Row],[FECHA ING]])/365)</f>
        <v>6.8136986301369866</v>
      </c>
      <c r="T1222" s="244">
        <f ca="1">IF(Tabla1[[#This Row],[DIAS VAC]]&gt;1,Tabla1[[#This Row],[DIAS VAC]]-Tabla1[[#This Row],[ANTIG]],Tabla1[[#This Row],[DIAS VAC]])</f>
        <v>0.81369863013698662</v>
      </c>
      <c r="U1222" s="244">
        <f ca="1">Tabla1[[#This Row],[VALID ANTIG]]*Tabla1[[#This Row],[SUE DIA]]*Tabla1[[#This Row],[DIAS VAC PAG]]</f>
        <v>1615.4630136986307</v>
      </c>
    </row>
    <row r="1223" spans="2:21" hidden="1" x14ac:dyDescent="0.25">
      <c r="B1223" s="246">
        <v>339</v>
      </c>
      <c r="C1223" s="140" t="str">
        <f>VLOOKUP(B1223,BDD[],2,0)</f>
        <v>Uriel Mendez Flores</v>
      </c>
      <c r="D1223" s="140">
        <f>VLOOKUP(B1223,BDD[],3,0)</f>
        <v>6778</v>
      </c>
      <c r="E1223" s="140">
        <f>VLOOKUP(B1223,BDD[],4,0)</f>
        <v>225.93333333333334</v>
      </c>
      <c r="F1223" s="142">
        <f>VLOOKUP(B1223,BDD[],26,0)</f>
        <v>25.103703703703705</v>
      </c>
      <c r="G1223" s="268">
        <f>VLOOKUP(B1223,BDD[],6,0)</f>
        <v>42274</v>
      </c>
      <c r="H1223" s="139">
        <f ca="1">VLOOKUP(B1223,BDD[],7,0)</f>
        <v>6</v>
      </c>
      <c r="I1223" s="139">
        <f ca="1">VLOOKUP(B1223,BDD[],22,0)</f>
        <v>4</v>
      </c>
      <c r="J1223" s="168">
        <v>15</v>
      </c>
      <c r="K1223" s="139">
        <f>Tabla1[[#This Row],[DIAS LAB]]*Tabla1[[#This Row],[SUE DIA]]</f>
        <v>3389</v>
      </c>
      <c r="L1223" s="168">
        <v>0</v>
      </c>
      <c r="M1223" s="198">
        <f>Tabla1[[#This Row],[HRS EXT]]*Tabla1[[#This Row],[SUE X HR]]</f>
        <v>0</v>
      </c>
      <c r="N1223" s="168">
        <v>0</v>
      </c>
      <c r="O1223" s="198">
        <f>Tabla1[[#This Row],[ASUETO]]*Tabla1[[#This Row],[SUE DIA]]</f>
        <v>0</v>
      </c>
      <c r="P1223" s="139">
        <f>IF(Tabla1[[#This Row],[FECHA ING]]&lt;$P$1007,365,_xlfn.DAYS($P$1008,Tabla1[[#This Row],[FECHA ING]])+1)</f>
        <v>365</v>
      </c>
      <c r="Q1223" s="198">
        <f>INT(30*(Tabla1[[#This Row],[FECHAS CONTB AGNLDO]]/365))</f>
        <v>30</v>
      </c>
      <c r="R1223" s="244">
        <f ca="1">IF($W$32=$W$26,Tabla1[[#This Row],[SUE DIA]]*Tabla1[[#This Row],[DIAS PAG AGNLDO]],0)</f>
        <v>0</v>
      </c>
      <c r="S1223" s="244">
        <f ca="1">(_xlfn.DAYS(TODAY(),Tabla1[[#This Row],[FECHA ING]])/365)</f>
        <v>6.8109589041095893</v>
      </c>
      <c r="T1223" s="244">
        <f ca="1">IF(Tabla1[[#This Row],[DIAS VAC]]&gt;1,Tabla1[[#This Row],[DIAS VAC]]-Tabla1[[#This Row],[ANTIG]],Tabla1[[#This Row],[DIAS VAC]])</f>
        <v>0.81095890410958926</v>
      </c>
      <c r="U1223" s="244">
        <f ca="1">Tabla1[[#This Row],[VALID ANTIG]]*Tabla1[[#This Row],[SUE DIA]]*Tabla1[[#This Row],[DIAS VAC PAG]]</f>
        <v>732.89059360730619</v>
      </c>
    </row>
    <row r="1224" spans="2:21" hidden="1" x14ac:dyDescent="0.25">
      <c r="B1224" s="243">
        <v>340</v>
      </c>
      <c r="C1224" s="140" t="str">
        <f>VLOOKUP(B1224,BDD[],2,0)</f>
        <v>Jeannethe Escalera Salinas</v>
      </c>
      <c r="D1224" s="140">
        <f>VLOOKUP(B1224,BDD[],3,0)</f>
        <v>7445</v>
      </c>
      <c r="E1224" s="140">
        <f>VLOOKUP(B1224,BDD[],4,0)</f>
        <v>248.16666666666666</v>
      </c>
      <c r="F1224" s="142">
        <f>VLOOKUP(B1224,BDD[],26,0)</f>
        <v>27.574074074074073</v>
      </c>
      <c r="G1224" s="268">
        <f>VLOOKUP(B1224,BDD[],6,0)</f>
        <v>42279</v>
      </c>
      <c r="H1224" s="139">
        <f ca="1">VLOOKUP(B1224,BDD[],7,0)</f>
        <v>6</v>
      </c>
      <c r="I1224" s="139">
        <f ca="1">VLOOKUP(B1224,BDD[],22,0)</f>
        <v>8</v>
      </c>
      <c r="J1224" s="168">
        <v>15</v>
      </c>
      <c r="K1224" s="139">
        <f>Tabla1[[#This Row],[DIAS LAB]]*Tabla1[[#This Row],[SUE DIA]]</f>
        <v>3722.5</v>
      </c>
      <c r="L1224" s="168">
        <v>0</v>
      </c>
      <c r="M1224" s="198">
        <f>Tabla1[[#This Row],[HRS EXT]]*Tabla1[[#This Row],[SUE X HR]]</f>
        <v>0</v>
      </c>
      <c r="N1224" s="168">
        <v>0</v>
      </c>
      <c r="O1224" s="198">
        <f>Tabla1[[#This Row],[ASUETO]]*Tabla1[[#This Row],[SUE DIA]]</f>
        <v>0</v>
      </c>
      <c r="P1224" s="139">
        <f>IF(Tabla1[[#This Row],[FECHA ING]]&lt;$P$1007,365,_xlfn.DAYS($P$1008,Tabla1[[#This Row],[FECHA ING]])+1)</f>
        <v>365</v>
      </c>
      <c r="Q1224" s="198">
        <f>INT(30*(Tabla1[[#This Row],[FECHAS CONTB AGNLDO]]/365))</f>
        <v>30</v>
      </c>
      <c r="R1224" s="244">
        <f ca="1">IF($W$32=$W$26,Tabla1[[#This Row],[SUE DIA]]*Tabla1[[#This Row],[DIAS PAG AGNLDO]],0)</f>
        <v>0</v>
      </c>
      <c r="S1224" s="244">
        <f ca="1">(_xlfn.DAYS(TODAY(),Tabla1[[#This Row],[FECHA ING]])/365)</f>
        <v>6.7972602739726025</v>
      </c>
      <c r="T1224" s="244">
        <f ca="1">IF(Tabla1[[#This Row],[DIAS VAC]]&gt;1,Tabla1[[#This Row],[DIAS VAC]]-Tabla1[[#This Row],[ANTIG]],Tabla1[[#This Row],[DIAS VAC]])</f>
        <v>0.79726027397260246</v>
      </c>
      <c r="U1224" s="244">
        <f ca="1">Tabla1[[#This Row],[VALID ANTIG]]*Tabla1[[#This Row],[SUE DIA]]*Tabla1[[#This Row],[DIAS VAC PAG]]</f>
        <v>1582.8273972602733</v>
      </c>
    </row>
    <row r="1225" spans="2:21" hidden="1" x14ac:dyDescent="0.25">
      <c r="B1225" s="243">
        <v>341</v>
      </c>
      <c r="C1225" s="140" t="str">
        <f>VLOOKUP(B1225,BDD[],2,0)</f>
        <v>Guadalupe Zuñiga Pioquinto</v>
      </c>
      <c r="D1225" s="140">
        <f>VLOOKUP(B1225,BDD[],3,0)</f>
        <v>9541</v>
      </c>
      <c r="E1225" s="140">
        <f>VLOOKUP(B1225,BDD[],4,0)</f>
        <v>318.03333333333336</v>
      </c>
      <c r="F1225" s="142">
        <f>VLOOKUP(B1225,BDD[],26,0)</f>
        <v>35.337037037037042</v>
      </c>
      <c r="G1225" s="268">
        <f>VLOOKUP(B1225,BDD[],6,0)</f>
        <v>42296</v>
      </c>
      <c r="H1225" s="139">
        <f ca="1">VLOOKUP(B1225,BDD[],7,0)</f>
        <v>6</v>
      </c>
      <c r="I1225" s="139">
        <f ca="1">VLOOKUP(B1225,BDD[],22,0)</f>
        <v>8</v>
      </c>
      <c r="J1225" s="168">
        <v>15</v>
      </c>
      <c r="K1225" s="139">
        <f>Tabla1[[#This Row],[DIAS LAB]]*Tabla1[[#This Row],[SUE DIA]]</f>
        <v>4770.5</v>
      </c>
      <c r="L1225" s="168">
        <v>0</v>
      </c>
      <c r="M1225" s="198">
        <f>Tabla1[[#This Row],[HRS EXT]]*Tabla1[[#This Row],[SUE X HR]]</f>
        <v>0</v>
      </c>
      <c r="N1225" s="168">
        <v>0</v>
      </c>
      <c r="O1225" s="198">
        <f>Tabla1[[#This Row],[ASUETO]]*Tabla1[[#This Row],[SUE DIA]]</f>
        <v>0</v>
      </c>
      <c r="P1225" s="139">
        <f>IF(Tabla1[[#This Row],[FECHA ING]]&lt;$P$1007,365,_xlfn.DAYS($P$1008,Tabla1[[#This Row],[FECHA ING]])+1)</f>
        <v>365</v>
      </c>
      <c r="Q1225" s="198">
        <f>INT(30*(Tabla1[[#This Row],[FECHAS CONTB AGNLDO]]/365))</f>
        <v>30</v>
      </c>
      <c r="R1225" s="244">
        <f ca="1">IF($W$32=$W$26,Tabla1[[#This Row],[SUE DIA]]*Tabla1[[#This Row],[DIAS PAG AGNLDO]],0)</f>
        <v>0</v>
      </c>
      <c r="S1225" s="244">
        <f ca="1">(_xlfn.DAYS(TODAY(),Tabla1[[#This Row],[FECHA ING]])/365)</f>
        <v>6.7506849315068491</v>
      </c>
      <c r="T1225" s="244">
        <f ca="1">IF(Tabla1[[#This Row],[DIAS VAC]]&gt;1,Tabla1[[#This Row],[DIAS VAC]]-Tabla1[[#This Row],[ANTIG]],Tabla1[[#This Row],[DIAS VAC]])</f>
        <v>0.75068493150684912</v>
      </c>
      <c r="U1225" s="244">
        <f ca="1">Tabla1[[#This Row],[VALID ANTIG]]*Tabla1[[#This Row],[SUE DIA]]*Tabla1[[#This Row],[DIAS VAC PAG]]</f>
        <v>1909.9426484018261</v>
      </c>
    </row>
    <row r="1226" spans="2:21" hidden="1" x14ac:dyDescent="0.25">
      <c r="B1226" s="243">
        <v>342</v>
      </c>
      <c r="C1226" s="140" t="str">
        <f>VLOOKUP(B1226,BDD[],2,0)</f>
        <v>Daphne Abigail Ramos Castro</v>
      </c>
      <c r="D1226" s="140">
        <f>VLOOKUP(B1226,BDD[],3,0)</f>
        <v>9541</v>
      </c>
      <c r="E1226" s="140">
        <f>VLOOKUP(B1226,BDD[],4,0)</f>
        <v>318.03333333333336</v>
      </c>
      <c r="F1226" s="142">
        <f>VLOOKUP(B1226,BDD[],26,0)</f>
        <v>35.337037037037042</v>
      </c>
      <c r="G1226" s="268">
        <f>VLOOKUP(B1226,BDD[],6,0)</f>
        <v>42309</v>
      </c>
      <c r="H1226" s="139">
        <f ca="1">VLOOKUP(B1226,BDD[],7,0)</f>
        <v>6</v>
      </c>
      <c r="I1226" s="139">
        <f ca="1">VLOOKUP(B1226,BDD[],22,0)</f>
        <v>8</v>
      </c>
      <c r="J1226" s="168">
        <v>15</v>
      </c>
      <c r="K1226" s="139">
        <f>Tabla1[[#This Row],[DIAS LAB]]*Tabla1[[#This Row],[SUE DIA]]</f>
        <v>4770.5</v>
      </c>
      <c r="L1226" s="168">
        <v>0</v>
      </c>
      <c r="M1226" s="198">
        <f>Tabla1[[#This Row],[HRS EXT]]*Tabla1[[#This Row],[SUE X HR]]</f>
        <v>0</v>
      </c>
      <c r="N1226" s="168">
        <v>0</v>
      </c>
      <c r="O1226" s="198">
        <f>Tabla1[[#This Row],[ASUETO]]*Tabla1[[#This Row],[SUE DIA]]</f>
        <v>0</v>
      </c>
      <c r="P1226" s="139">
        <f>IF(Tabla1[[#This Row],[FECHA ING]]&lt;$P$1007,365,_xlfn.DAYS($P$1008,Tabla1[[#This Row],[FECHA ING]])+1)</f>
        <v>365</v>
      </c>
      <c r="Q1226" s="198">
        <f>INT(30*(Tabla1[[#This Row],[FECHAS CONTB AGNLDO]]/365))</f>
        <v>30</v>
      </c>
      <c r="R1226" s="244">
        <f ca="1">IF($W$32=$W$26,Tabla1[[#This Row],[SUE DIA]]*Tabla1[[#This Row],[DIAS PAG AGNLDO]],0)</f>
        <v>0</v>
      </c>
      <c r="S1226" s="244">
        <f ca="1">(_xlfn.DAYS(TODAY(),Tabla1[[#This Row],[FECHA ING]])/365)</f>
        <v>6.7150684931506852</v>
      </c>
      <c r="T1226" s="244">
        <f ca="1">IF(Tabla1[[#This Row],[DIAS VAC]]&gt;1,Tabla1[[#This Row],[DIAS VAC]]-Tabla1[[#This Row],[ANTIG]],Tabla1[[#This Row],[DIAS VAC]])</f>
        <v>0.71506849315068521</v>
      </c>
      <c r="U1226" s="244">
        <f ca="1">Tabla1[[#This Row],[VALID ANTIG]]*Tabla1[[#This Row],[SUE DIA]]*Tabla1[[#This Row],[DIAS VAC PAG]]</f>
        <v>1819.3249315068501</v>
      </c>
    </row>
    <row r="1227" spans="2:21" hidden="1" x14ac:dyDescent="0.25">
      <c r="B1227" s="243">
        <v>343</v>
      </c>
      <c r="C1227" s="140" t="str">
        <f>VLOOKUP(B1227,BDD[],2,0)</f>
        <v>Marcos Adrián Aguilera Clemente</v>
      </c>
      <c r="D1227" s="140">
        <f>VLOOKUP(B1227,BDD[],3,0)</f>
        <v>9450</v>
      </c>
      <c r="E1227" s="140">
        <f>VLOOKUP(B1227,BDD[],4,0)</f>
        <v>315</v>
      </c>
      <c r="F1227" s="142">
        <f>VLOOKUP(B1227,BDD[],26,0)</f>
        <v>35</v>
      </c>
      <c r="G1227" s="268">
        <f>VLOOKUP(B1227,BDD[],6,0)</f>
        <v>42322</v>
      </c>
      <c r="H1227" s="139">
        <f ca="1">VLOOKUP(B1227,BDD[],7,0)</f>
        <v>6</v>
      </c>
      <c r="I1227" s="139">
        <f ca="1">VLOOKUP(B1227,BDD[],22,0)</f>
        <v>8</v>
      </c>
      <c r="J1227" s="168">
        <v>15</v>
      </c>
      <c r="K1227" s="139">
        <f>Tabla1[[#This Row],[DIAS LAB]]*Tabla1[[#This Row],[SUE DIA]]</f>
        <v>4725</v>
      </c>
      <c r="L1227" s="168">
        <v>0</v>
      </c>
      <c r="M1227" s="198">
        <f>Tabla1[[#This Row],[HRS EXT]]*Tabla1[[#This Row],[SUE X HR]]</f>
        <v>0</v>
      </c>
      <c r="N1227" s="168">
        <v>0</v>
      </c>
      <c r="O1227" s="198">
        <f>Tabla1[[#This Row],[ASUETO]]*Tabla1[[#This Row],[SUE DIA]]</f>
        <v>0</v>
      </c>
      <c r="P1227" s="139">
        <f>IF(Tabla1[[#This Row],[FECHA ING]]&lt;$P$1007,365,_xlfn.DAYS($P$1008,Tabla1[[#This Row],[FECHA ING]])+1)</f>
        <v>365</v>
      </c>
      <c r="Q1227" s="198">
        <f>INT(30*(Tabla1[[#This Row],[FECHAS CONTB AGNLDO]]/365))</f>
        <v>30</v>
      </c>
      <c r="R1227" s="244">
        <f ca="1">IF($W$32=$W$26,Tabla1[[#This Row],[SUE DIA]]*Tabla1[[#This Row],[DIAS PAG AGNLDO]],0)</f>
        <v>0</v>
      </c>
      <c r="S1227" s="244">
        <f ca="1">(_xlfn.DAYS(TODAY(),Tabla1[[#This Row],[FECHA ING]])/365)</f>
        <v>6.6794520547945204</v>
      </c>
      <c r="T1227" s="244">
        <f ca="1">IF(Tabla1[[#This Row],[DIAS VAC]]&gt;1,Tabla1[[#This Row],[DIAS VAC]]-Tabla1[[#This Row],[ANTIG]],Tabla1[[#This Row],[DIAS VAC]])</f>
        <v>0.67945205479452042</v>
      </c>
      <c r="U1227" s="244">
        <f ca="1">Tabla1[[#This Row],[VALID ANTIG]]*Tabla1[[#This Row],[SUE DIA]]*Tabla1[[#This Row],[DIAS VAC PAG]]</f>
        <v>1712.2191780821915</v>
      </c>
    </row>
    <row r="1228" spans="2:21" hidden="1" x14ac:dyDescent="0.25">
      <c r="B1228" s="243">
        <v>345</v>
      </c>
      <c r="C1228" s="140" t="str">
        <f>VLOOKUP(B1228,BDD[],2,0)</f>
        <v>Carla Carolina Juárez Villarreal</v>
      </c>
      <c r="D1228" s="140">
        <f>VLOOKUP(B1228,BDD[],3,0)</f>
        <v>7445</v>
      </c>
      <c r="E1228" s="140">
        <f>VLOOKUP(B1228,BDD[],4,0)</f>
        <v>248.16666666666666</v>
      </c>
      <c r="F1228" s="142">
        <f>VLOOKUP(B1228,BDD[],26,0)</f>
        <v>27.574074074074073</v>
      </c>
      <c r="G1228" s="268">
        <f>VLOOKUP(B1228,BDD[],6,0)</f>
        <v>42327</v>
      </c>
      <c r="H1228" s="139">
        <f ca="1">VLOOKUP(B1228,BDD[],7,0)</f>
        <v>6</v>
      </c>
      <c r="I1228" s="139">
        <f ca="1">VLOOKUP(B1228,BDD[],22,0)</f>
        <v>8</v>
      </c>
      <c r="J1228" s="168">
        <v>15</v>
      </c>
      <c r="K1228" s="139">
        <f>Tabla1[[#This Row],[DIAS LAB]]*Tabla1[[#This Row],[SUE DIA]]</f>
        <v>3722.5</v>
      </c>
      <c r="L1228" s="168">
        <v>5</v>
      </c>
      <c r="M1228" s="198">
        <f>Tabla1[[#This Row],[HRS EXT]]*Tabla1[[#This Row],[SUE X HR]]</f>
        <v>137.87037037037035</v>
      </c>
      <c r="N1228" s="168">
        <v>0</v>
      </c>
      <c r="O1228" s="198">
        <f>Tabla1[[#This Row],[ASUETO]]*Tabla1[[#This Row],[SUE DIA]]</f>
        <v>0</v>
      </c>
      <c r="P1228" s="139">
        <f>IF(Tabla1[[#This Row],[FECHA ING]]&lt;$P$1007,365,_xlfn.DAYS($P$1008,Tabla1[[#This Row],[FECHA ING]])+1)</f>
        <v>365</v>
      </c>
      <c r="Q1228" s="198">
        <f>INT(30*(Tabla1[[#This Row],[FECHAS CONTB AGNLDO]]/365))</f>
        <v>30</v>
      </c>
      <c r="R1228" s="244">
        <f ca="1">IF($W$32=$W$26,Tabla1[[#This Row],[SUE DIA]]*Tabla1[[#This Row],[DIAS PAG AGNLDO]],0)</f>
        <v>0</v>
      </c>
      <c r="S1228" s="244">
        <f ca="1">(_xlfn.DAYS(TODAY(),Tabla1[[#This Row],[FECHA ING]])/365)</f>
        <v>6.6657534246575345</v>
      </c>
      <c r="T1228" s="244">
        <f ca="1">IF(Tabla1[[#This Row],[DIAS VAC]]&gt;1,Tabla1[[#This Row],[DIAS VAC]]-Tabla1[[#This Row],[ANTIG]],Tabla1[[#This Row],[DIAS VAC]])</f>
        <v>0.66575342465753451</v>
      </c>
      <c r="U1228" s="244">
        <f ca="1">Tabla1[[#This Row],[VALID ANTIG]]*Tabla1[[#This Row],[SUE DIA]]*Tabla1[[#This Row],[DIAS VAC PAG]]</f>
        <v>1321.7424657534252</v>
      </c>
    </row>
    <row r="1229" spans="2:21" hidden="1" x14ac:dyDescent="0.25">
      <c r="B1229" s="243">
        <v>347</v>
      </c>
      <c r="C1229" s="140" t="str">
        <f>VLOOKUP(B1229,BDD[],2,0)</f>
        <v>Tomas Corona Castro</v>
      </c>
      <c r="D1229" s="140">
        <f>VLOOKUP(B1229,BDD[],3,0)</f>
        <v>10860</v>
      </c>
      <c r="E1229" s="140">
        <f>VLOOKUP(B1229,BDD[],4,0)</f>
        <v>362</v>
      </c>
      <c r="F1229" s="142">
        <f>VLOOKUP(B1229,BDD[],26,0)</f>
        <v>40.222222222222221</v>
      </c>
      <c r="G1229" s="268">
        <f>VLOOKUP(B1229,BDD[],6,0)</f>
        <v>42331</v>
      </c>
      <c r="H1229" s="139">
        <f ca="1">VLOOKUP(B1229,BDD[],7,0)</f>
        <v>6</v>
      </c>
      <c r="I1229" s="139">
        <f ca="1">VLOOKUP(B1229,BDD[],22,0)</f>
        <v>8</v>
      </c>
      <c r="J1229" s="168">
        <v>15</v>
      </c>
      <c r="K1229" s="139">
        <f>Tabla1[[#This Row],[DIAS LAB]]*Tabla1[[#This Row],[SUE DIA]]</f>
        <v>5430</v>
      </c>
      <c r="L1229" s="168">
        <v>0</v>
      </c>
      <c r="M1229" s="198">
        <f>Tabla1[[#This Row],[HRS EXT]]*Tabla1[[#This Row],[SUE X HR]]</f>
        <v>0</v>
      </c>
      <c r="N1229" s="168">
        <v>0</v>
      </c>
      <c r="O1229" s="198">
        <f>Tabla1[[#This Row],[ASUETO]]*Tabla1[[#This Row],[SUE DIA]]</f>
        <v>0</v>
      </c>
      <c r="P1229" s="139">
        <f>IF(Tabla1[[#This Row],[FECHA ING]]&lt;$P$1007,365,_xlfn.DAYS($P$1008,Tabla1[[#This Row],[FECHA ING]])+1)</f>
        <v>365</v>
      </c>
      <c r="Q1229" s="198">
        <f>INT(30*(Tabla1[[#This Row],[FECHAS CONTB AGNLDO]]/365))</f>
        <v>30</v>
      </c>
      <c r="R1229" s="244">
        <f ca="1">IF($W$32=$W$26,Tabla1[[#This Row],[SUE DIA]]*Tabla1[[#This Row],[DIAS PAG AGNLDO]],0)</f>
        <v>0</v>
      </c>
      <c r="S1229" s="244">
        <f ca="1">(_xlfn.DAYS(TODAY(),Tabla1[[#This Row],[FECHA ING]])/365)</f>
        <v>6.6547945205479451</v>
      </c>
      <c r="T1229" s="244">
        <f ca="1">IF(Tabla1[[#This Row],[DIAS VAC]]&gt;1,Tabla1[[#This Row],[DIAS VAC]]-Tabla1[[#This Row],[ANTIG]],Tabla1[[#This Row],[DIAS VAC]])</f>
        <v>0.65479452054794507</v>
      </c>
      <c r="U1229" s="244">
        <f ca="1">Tabla1[[#This Row],[VALID ANTIG]]*Tabla1[[#This Row],[SUE DIA]]*Tabla1[[#This Row],[DIAS VAC PAG]]</f>
        <v>1896.2849315068488</v>
      </c>
    </row>
    <row r="1230" spans="2:21" hidden="1" x14ac:dyDescent="0.25">
      <c r="B1230" s="243">
        <v>348</v>
      </c>
      <c r="C1230" s="140" t="str">
        <f>VLOOKUP(B1230,BDD[],2,0)</f>
        <v>Adelaido Sanchez Mejia</v>
      </c>
      <c r="D1230" s="140">
        <f>VLOOKUP(B1230,BDD[],3,0)</f>
        <v>9541</v>
      </c>
      <c r="E1230" s="140">
        <f>VLOOKUP(B1230,BDD[],4,0)</f>
        <v>318.03333333333336</v>
      </c>
      <c r="F1230" s="142">
        <f>VLOOKUP(B1230,BDD[],26,0)</f>
        <v>35.337037037037042</v>
      </c>
      <c r="G1230" s="268">
        <f>VLOOKUP(B1230,BDD[],6,0)</f>
        <v>42333</v>
      </c>
      <c r="H1230" s="139">
        <f ca="1">VLOOKUP(B1230,BDD[],7,0)</f>
        <v>6</v>
      </c>
      <c r="I1230" s="139">
        <f ca="1">VLOOKUP(B1230,BDD[],22,0)</f>
        <v>8</v>
      </c>
      <c r="J1230" s="168">
        <v>15</v>
      </c>
      <c r="K1230" s="139">
        <f>Tabla1[[#This Row],[DIAS LAB]]*Tabla1[[#This Row],[SUE DIA]]</f>
        <v>4770.5</v>
      </c>
      <c r="L1230" s="168">
        <v>0</v>
      </c>
      <c r="M1230" s="198">
        <f>Tabla1[[#This Row],[HRS EXT]]*Tabla1[[#This Row],[SUE X HR]]</f>
        <v>0</v>
      </c>
      <c r="N1230" s="168">
        <v>0</v>
      </c>
      <c r="O1230" s="198">
        <f>Tabla1[[#This Row],[ASUETO]]*Tabla1[[#This Row],[SUE DIA]]</f>
        <v>0</v>
      </c>
      <c r="P1230" s="139">
        <f>IF(Tabla1[[#This Row],[FECHA ING]]&lt;$P$1007,365,_xlfn.DAYS($P$1008,Tabla1[[#This Row],[FECHA ING]])+1)</f>
        <v>365</v>
      </c>
      <c r="Q1230" s="198">
        <f>INT(30*(Tabla1[[#This Row],[FECHAS CONTB AGNLDO]]/365))</f>
        <v>30</v>
      </c>
      <c r="R1230" s="244">
        <f ca="1">IF($W$32=$W$26,Tabla1[[#This Row],[SUE DIA]]*Tabla1[[#This Row],[DIAS PAG AGNLDO]],0)</f>
        <v>0</v>
      </c>
      <c r="S1230" s="244">
        <f ca="1">(_xlfn.DAYS(TODAY(),Tabla1[[#This Row],[FECHA ING]])/365)</f>
        <v>6.6493150684931503</v>
      </c>
      <c r="T1230" s="244">
        <f ca="1">IF(Tabla1[[#This Row],[DIAS VAC]]&gt;1,Tabla1[[#This Row],[DIAS VAC]]-Tabla1[[#This Row],[ANTIG]],Tabla1[[#This Row],[DIAS VAC]])</f>
        <v>0.64931506849315035</v>
      </c>
      <c r="U1230" s="244">
        <f ca="1">Tabla1[[#This Row],[VALID ANTIG]]*Tabla1[[#This Row],[SUE DIA]]*Tabla1[[#This Row],[DIAS VAC PAG]]</f>
        <v>1652.0306849315061</v>
      </c>
    </row>
    <row r="1231" spans="2:21" hidden="1" x14ac:dyDescent="0.25">
      <c r="B1231" s="243">
        <v>350</v>
      </c>
      <c r="C1231" s="140" t="str">
        <f>VLOOKUP(B1231,BDD[],2,0)</f>
        <v>Silvia Sandoval Castañeda</v>
      </c>
      <c r="D1231" s="140">
        <f>VLOOKUP(B1231,BDD[],3,0)</f>
        <v>7950</v>
      </c>
      <c r="E1231" s="140">
        <f>VLOOKUP(B1231,BDD[],4,0)</f>
        <v>265</v>
      </c>
      <c r="F1231" s="142">
        <f>VLOOKUP(B1231,BDD[],26,0)</f>
        <v>29.444444444444443</v>
      </c>
      <c r="G1231" s="268">
        <f>VLOOKUP(B1231,BDD[],6,0)</f>
        <v>42342</v>
      </c>
      <c r="H1231" s="139">
        <f ca="1">VLOOKUP(B1231,BDD[],7,0)</f>
        <v>6</v>
      </c>
      <c r="I1231" s="139">
        <f ca="1">VLOOKUP(B1231,BDD[],22,0)</f>
        <v>4</v>
      </c>
      <c r="J1231" s="168">
        <v>15</v>
      </c>
      <c r="K1231" s="139">
        <f>Tabla1[[#This Row],[DIAS LAB]]*Tabla1[[#This Row],[SUE DIA]]</f>
        <v>3975</v>
      </c>
      <c r="L1231" s="168">
        <v>0</v>
      </c>
      <c r="M1231" s="198">
        <f>Tabla1[[#This Row],[HRS EXT]]*Tabla1[[#This Row],[SUE X HR]]</f>
        <v>0</v>
      </c>
      <c r="N1231" s="168">
        <v>0</v>
      </c>
      <c r="O1231" s="198">
        <f>Tabla1[[#This Row],[ASUETO]]*Tabla1[[#This Row],[SUE DIA]]</f>
        <v>0</v>
      </c>
      <c r="P1231" s="139">
        <f>IF(Tabla1[[#This Row],[FECHA ING]]&lt;$P$1007,365,_xlfn.DAYS($P$1008,Tabla1[[#This Row],[FECHA ING]])+1)</f>
        <v>365</v>
      </c>
      <c r="Q1231" s="198">
        <f>INT(30*(Tabla1[[#This Row],[FECHAS CONTB AGNLDO]]/365))</f>
        <v>30</v>
      </c>
      <c r="R1231" s="244">
        <f ca="1">IF($W$32=$W$26,Tabla1[[#This Row],[SUE DIA]]*Tabla1[[#This Row],[DIAS PAG AGNLDO]],0)</f>
        <v>0</v>
      </c>
      <c r="S1231" s="244">
        <f ca="1">(_xlfn.DAYS(TODAY(),Tabla1[[#This Row],[FECHA ING]])/365)</f>
        <v>6.624657534246575</v>
      </c>
      <c r="T1231" s="244">
        <f ca="1">IF(Tabla1[[#This Row],[DIAS VAC]]&gt;1,Tabla1[[#This Row],[DIAS VAC]]-Tabla1[[#This Row],[ANTIG]],Tabla1[[#This Row],[DIAS VAC]])</f>
        <v>0.624657534246575</v>
      </c>
      <c r="U1231" s="244">
        <f ca="1">Tabla1[[#This Row],[VALID ANTIG]]*Tabla1[[#This Row],[SUE DIA]]*Tabla1[[#This Row],[DIAS VAC PAG]]</f>
        <v>662.13698630136946</v>
      </c>
    </row>
    <row r="1232" spans="2:21" hidden="1" x14ac:dyDescent="0.25">
      <c r="B1232" s="243">
        <v>351</v>
      </c>
      <c r="C1232" s="140" t="str">
        <f>VLOOKUP(B1232,BDD[],2,0)</f>
        <v>José Meraz Felix</v>
      </c>
      <c r="D1232" s="140">
        <f>VLOOKUP(B1232,BDD[],3,0)</f>
        <v>10350</v>
      </c>
      <c r="E1232" s="140">
        <f>VLOOKUP(B1232,BDD[],4,0)</f>
        <v>345</v>
      </c>
      <c r="F1232" s="142">
        <f>VLOOKUP(B1232,BDD[],26,0)</f>
        <v>38.333333333333336</v>
      </c>
      <c r="G1232" s="268">
        <f>VLOOKUP(B1232,BDD[],6,0)</f>
        <v>42343</v>
      </c>
      <c r="H1232" s="139">
        <f ca="1">VLOOKUP(B1232,BDD[],7,0)</f>
        <v>6</v>
      </c>
      <c r="I1232" s="139">
        <f ca="1">VLOOKUP(B1232,BDD[],22,0)</f>
        <v>8</v>
      </c>
      <c r="J1232" s="168">
        <v>15</v>
      </c>
      <c r="K1232" s="139">
        <f>Tabla1[[#This Row],[DIAS LAB]]*Tabla1[[#This Row],[SUE DIA]]</f>
        <v>5175</v>
      </c>
      <c r="L1232" s="168">
        <v>0</v>
      </c>
      <c r="M1232" s="198">
        <f>Tabla1[[#This Row],[HRS EXT]]*Tabla1[[#This Row],[SUE X HR]]</f>
        <v>0</v>
      </c>
      <c r="N1232" s="168">
        <v>0</v>
      </c>
      <c r="O1232" s="198">
        <f>Tabla1[[#This Row],[ASUETO]]*Tabla1[[#This Row],[SUE DIA]]</f>
        <v>0</v>
      </c>
      <c r="P1232" s="139">
        <f>IF(Tabla1[[#This Row],[FECHA ING]]&lt;$P$1007,365,_xlfn.DAYS($P$1008,Tabla1[[#This Row],[FECHA ING]])+1)</f>
        <v>365</v>
      </c>
      <c r="Q1232" s="198">
        <f>INT(30*(Tabla1[[#This Row],[FECHAS CONTB AGNLDO]]/365))</f>
        <v>30</v>
      </c>
      <c r="R1232" s="244">
        <f ca="1">IF($W$32=$W$26,Tabla1[[#This Row],[SUE DIA]]*Tabla1[[#This Row],[DIAS PAG AGNLDO]],0)</f>
        <v>0</v>
      </c>
      <c r="S1232" s="244">
        <f ca="1">(_xlfn.DAYS(TODAY(),Tabla1[[#This Row],[FECHA ING]])/365)</f>
        <v>6.6219178082191785</v>
      </c>
      <c r="T1232" s="244">
        <f ca="1">IF(Tabla1[[#This Row],[DIAS VAC]]&gt;1,Tabla1[[#This Row],[DIAS VAC]]-Tabla1[[#This Row],[ANTIG]],Tabla1[[#This Row],[DIAS VAC]])</f>
        <v>0.62191780821917853</v>
      </c>
      <c r="U1232" s="244">
        <f ca="1">Tabla1[[#This Row],[VALID ANTIG]]*Tabla1[[#This Row],[SUE DIA]]*Tabla1[[#This Row],[DIAS VAC PAG]]</f>
        <v>1716.4931506849327</v>
      </c>
    </row>
    <row r="1233" spans="2:21" hidden="1" x14ac:dyDescent="0.25">
      <c r="B1233" s="243">
        <v>352</v>
      </c>
      <c r="C1233" s="140" t="str">
        <f>VLOOKUP(B1233,BDD[],2,0)</f>
        <v>Karla Faryde González Lozano</v>
      </c>
      <c r="D1233" s="140">
        <f>VLOOKUP(B1233,BDD[],3,0)</f>
        <v>7950</v>
      </c>
      <c r="E1233" s="140">
        <f>VLOOKUP(B1233,BDD[],4,0)</f>
        <v>265</v>
      </c>
      <c r="F1233" s="142">
        <f>VLOOKUP(B1233,BDD[],26,0)</f>
        <v>29.444444444444443</v>
      </c>
      <c r="G1233" s="268">
        <f>VLOOKUP(B1233,BDD[],6,0)</f>
        <v>42347</v>
      </c>
      <c r="H1233" s="139">
        <f ca="1">VLOOKUP(B1233,BDD[],7,0)</f>
        <v>6</v>
      </c>
      <c r="I1233" s="139">
        <f ca="1">VLOOKUP(B1233,BDD[],22,0)</f>
        <v>8</v>
      </c>
      <c r="J1233" s="168">
        <v>15</v>
      </c>
      <c r="K1233" s="139">
        <f>Tabla1[[#This Row],[DIAS LAB]]*Tabla1[[#This Row],[SUE DIA]]</f>
        <v>3975</v>
      </c>
      <c r="L1233" s="168">
        <v>0</v>
      </c>
      <c r="M1233" s="198">
        <f>Tabla1[[#This Row],[HRS EXT]]*Tabla1[[#This Row],[SUE X HR]]</f>
        <v>0</v>
      </c>
      <c r="N1233" s="168">
        <v>0</v>
      </c>
      <c r="O1233" s="198">
        <f>Tabla1[[#This Row],[ASUETO]]*Tabla1[[#This Row],[SUE DIA]]</f>
        <v>0</v>
      </c>
      <c r="P1233" s="139">
        <f>IF(Tabla1[[#This Row],[FECHA ING]]&lt;$P$1007,365,_xlfn.DAYS($P$1008,Tabla1[[#This Row],[FECHA ING]])+1)</f>
        <v>365</v>
      </c>
      <c r="Q1233" s="198">
        <f>INT(30*(Tabla1[[#This Row],[FECHAS CONTB AGNLDO]]/365))</f>
        <v>30</v>
      </c>
      <c r="R1233" s="244">
        <f ca="1">IF($W$32=$W$26,Tabla1[[#This Row],[SUE DIA]]*Tabla1[[#This Row],[DIAS PAG AGNLDO]],0)</f>
        <v>0</v>
      </c>
      <c r="S1233" s="244">
        <f ca="1">(_xlfn.DAYS(TODAY(),Tabla1[[#This Row],[FECHA ING]])/365)</f>
        <v>6.6109589041095891</v>
      </c>
      <c r="T1233" s="244">
        <f ca="1">IF(Tabla1[[#This Row],[DIAS VAC]]&gt;1,Tabla1[[#This Row],[DIAS VAC]]-Tabla1[[#This Row],[ANTIG]],Tabla1[[#This Row],[DIAS VAC]])</f>
        <v>0.61095890410958908</v>
      </c>
      <c r="U1233" s="244">
        <f ca="1">Tabla1[[#This Row],[VALID ANTIG]]*Tabla1[[#This Row],[SUE DIA]]*Tabla1[[#This Row],[DIAS VAC PAG]]</f>
        <v>1295.2328767123288</v>
      </c>
    </row>
    <row r="1234" spans="2:21" hidden="1" x14ac:dyDescent="0.25">
      <c r="B1234" s="243">
        <v>353</v>
      </c>
      <c r="C1234" s="140" t="str">
        <f>VLOOKUP(B1234,BDD[],2,0)</f>
        <v>Griselda Fuentes Lugo</v>
      </c>
      <c r="D1234" s="140">
        <f>VLOOKUP(B1234,BDD[],3,0)</f>
        <v>9450</v>
      </c>
      <c r="E1234" s="140">
        <f>VLOOKUP(B1234,BDD[],4,0)</f>
        <v>315</v>
      </c>
      <c r="F1234" s="142">
        <f>VLOOKUP(B1234,BDD[],26,0)</f>
        <v>35</v>
      </c>
      <c r="G1234" s="268">
        <f>VLOOKUP(B1234,BDD[],6,0)</f>
        <v>42353</v>
      </c>
      <c r="H1234" s="139">
        <f ca="1">VLOOKUP(B1234,BDD[],7,0)</f>
        <v>6</v>
      </c>
      <c r="I1234" s="139">
        <f ca="1">VLOOKUP(B1234,BDD[],22,0)</f>
        <v>8</v>
      </c>
      <c r="J1234" s="168">
        <v>15</v>
      </c>
      <c r="K1234" s="139">
        <f>Tabla1[[#This Row],[DIAS LAB]]*Tabla1[[#This Row],[SUE DIA]]</f>
        <v>4725</v>
      </c>
      <c r="L1234" s="168">
        <v>0</v>
      </c>
      <c r="M1234" s="198">
        <f>Tabla1[[#This Row],[HRS EXT]]*Tabla1[[#This Row],[SUE X HR]]</f>
        <v>0</v>
      </c>
      <c r="N1234" s="168">
        <v>0</v>
      </c>
      <c r="O1234" s="198">
        <f>Tabla1[[#This Row],[ASUETO]]*Tabla1[[#This Row],[SUE DIA]]</f>
        <v>0</v>
      </c>
      <c r="P1234" s="139">
        <f>IF(Tabla1[[#This Row],[FECHA ING]]&lt;$P$1007,365,_xlfn.DAYS($P$1008,Tabla1[[#This Row],[FECHA ING]])+1)</f>
        <v>365</v>
      </c>
      <c r="Q1234" s="198">
        <f>INT(30*(Tabla1[[#This Row],[FECHAS CONTB AGNLDO]]/365))</f>
        <v>30</v>
      </c>
      <c r="R1234" s="244">
        <f ca="1">IF($W$32=$W$26,Tabla1[[#This Row],[SUE DIA]]*Tabla1[[#This Row],[DIAS PAG AGNLDO]],0)</f>
        <v>0</v>
      </c>
      <c r="S1234" s="244">
        <f ca="1">(_xlfn.DAYS(TODAY(),Tabla1[[#This Row],[FECHA ING]])/365)</f>
        <v>6.5945205479452058</v>
      </c>
      <c r="T1234" s="244">
        <f ca="1">IF(Tabla1[[#This Row],[DIAS VAC]]&gt;1,Tabla1[[#This Row],[DIAS VAC]]-Tabla1[[#This Row],[ANTIG]],Tabla1[[#This Row],[DIAS VAC]])</f>
        <v>0.59452054794520581</v>
      </c>
      <c r="U1234" s="244">
        <f ca="1">Tabla1[[#This Row],[VALID ANTIG]]*Tabla1[[#This Row],[SUE DIA]]*Tabla1[[#This Row],[DIAS VAC PAG]]</f>
        <v>1498.1917808219187</v>
      </c>
    </row>
    <row r="1235" spans="2:21" hidden="1" x14ac:dyDescent="0.25">
      <c r="B1235" s="243">
        <v>354</v>
      </c>
      <c r="C1235" s="140" t="str">
        <f>VLOOKUP(B1235,BDD[],2,0)</f>
        <v>Evelin Denisse Tovar Martinez</v>
      </c>
      <c r="D1235" s="140">
        <f>VLOOKUP(B1235,BDD[],3,0)</f>
        <v>7445</v>
      </c>
      <c r="E1235" s="140">
        <f>VLOOKUP(B1235,BDD[],4,0)</f>
        <v>248.16666666666666</v>
      </c>
      <c r="F1235" s="142">
        <f>VLOOKUP(B1235,BDD[],26,0)</f>
        <v>27.574074074074073</v>
      </c>
      <c r="G1235" s="268">
        <f>VLOOKUP(B1235,BDD[],6,0)</f>
        <v>42365</v>
      </c>
      <c r="H1235" s="139">
        <f ca="1">VLOOKUP(B1235,BDD[],7,0)</f>
        <v>6</v>
      </c>
      <c r="I1235" s="139">
        <f ca="1">VLOOKUP(B1235,BDD[],22,0)</f>
        <v>8</v>
      </c>
      <c r="J1235" s="168">
        <v>15</v>
      </c>
      <c r="K1235" s="139">
        <f>Tabla1[[#This Row],[DIAS LAB]]*Tabla1[[#This Row],[SUE DIA]]</f>
        <v>3722.5</v>
      </c>
      <c r="L1235" s="168">
        <v>0</v>
      </c>
      <c r="M1235" s="198">
        <f>Tabla1[[#This Row],[HRS EXT]]*Tabla1[[#This Row],[SUE X HR]]</f>
        <v>0</v>
      </c>
      <c r="N1235" s="168">
        <v>0</v>
      </c>
      <c r="O1235" s="198">
        <f>Tabla1[[#This Row],[ASUETO]]*Tabla1[[#This Row],[SUE DIA]]</f>
        <v>0</v>
      </c>
      <c r="P1235" s="139">
        <f>IF(Tabla1[[#This Row],[FECHA ING]]&lt;$P$1007,365,_xlfn.DAYS($P$1008,Tabla1[[#This Row],[FECHA ING]])+1)</f>
        <v>365</v>
      </c>
      <c r="Q1235" s="198">
        <f>INT(30*(Tabla1[[#This Row],[FECHAS CONTB AGNLDO]]/365))</f>
        <v>30</v>
      </c>
      <c r="R1235" s="244">
        <f ca="1">IF($W$32=$W$26,Tabla1[[#This Row],[SUE DIA]]*Tabla1[[#This Row],[DIAS PAG AGNLDO]],0)</f>
        <v>0</v>
      </c>
      <c r="S1235" s="244">
        <f ca="1">(_xlfn.DAYS(TODAY(),Tabla1[[#This Row],[FECHA ING]])/365)</f>
        <v>6.5616438356164384</v>
      </c>
      <c r="T1235" s="244">
        <f ca="1">IF(Tabla1[[#This Row],[DIAS VAC]]&gt;1,Tabla1[[#This Row],[DIAS VAC]]-Tabla1[[#This Row],[ANTIG]],Tabla1[[#This Row],[DIAS VAC]])</f>
        <v>0.56164383561643838</v>
      </c>
      <c r="U1235" s="244">
        <f ca="1">Tabla1[[#This Row],[VALID ANTIG]]*Tabla1[[#This Row],[SUE DIA]]*Tabla1[[#This Row],[DIAS VAC PAG]]</f>
        <v>1115.0502283105022</v>
      </c>
    </row>
    <row r="1236" spans="2:21" hidden="1" x14ac:dyDescent="0.25">
      <c r="B1236" s="243">
        <v>355</v>
      </c>
      <c r="C1236" s="140" t="str">
        <f>VLOOKUP(B1236,BDD[],2,0)</f>
        <v>Elda Karyme Espinosa Vela</v>
      </c>
      <c r="D1236" s="140">
        <f>VLOOKUP(B1236,BDD[],3,0)</f>
        <v>9450</v>
      </c>
      <c r="E1236" s="140">
        <f>VLOOKUP(B1236,BDD[],4,0)</f>
        <v>315</v>
      </c>
      <c r="F1236" s="142">
        <f>VLOOKUP(B1236,BDD[],26,0)</f>
        <v>35</v>
      </c>
      <c r="G1236" s="268">
        <f>VLOOKUP(B1236,BDD[],6,0)</f>
        <v>42376</v>
      </c>
      <c r="H1236" s="139">
        <f ca="1">VLOOKUP(B1236,BDD[],7,0)</f>
        <v>6</v>
      </c>
      <c r="I1236" s="139">
        <f ca="1">VLOOKUP(B1236,BDD[],22,0)</f>
        <v>8</v>
      </c>
      <c r="J1236" s="168">
        <v>15</v>
      </c>
      <c r="K1236" s="139">
        <f>Tabla1[[#This Row],[DIAS LAB]]*Tabla1[[#This Row],[SUE DIA]]</f>
        <v>4725</v>
      </c>
      <c r="L1236" s="168">
        <v>0</v>
      </c>
      <c r="M1236" s="198">
        <f>Tabla1[[#This Row],[HRS EXT]]*Tabla1[[#This Row],[SUE X HR]]</f>
        <v>0</v>
      </c>
      <c r="N1236" s="168">
        <v>0</v>
      </c>
      <c r="O1236" s="198">
        <f>Tabla1[[#This Row],[ASUETO]]*Tabla1[[#This Row],[SUE DIA]]</f>
        <v>0</v>
      </c>
      <c r="P1236" s="139">
        <f>IF(Tabla1[[#This Row],[FECHA ING]]&lt;$P$1007,365,_xlfn.DAYS($P$1008,Tabla1[[#This Row],[FECHA ING]])+1)</f>
        <v>365</v>
      </c>
      <c r="Q1236" s="198">
        <f>INT(30*(Tabla1[[#This Row],[FECHAS CONTB AGNLDO]]/365))</f>
        <v>30</v>
      </c>
      <c r="R1236" s="244">
        <f ca="1">IF($W$32=$W$26,Tabla1[[#This Row],[SUE DIA]]*Tabla1[[#This Row],[DIAS PAG AGNLDO]],0)</f>
        <v>0</v>
      </c>
      <c r="S1236" s="244">
        <f ca="1">(_xlfn.DAYS(TODAY(),Tabla1[[#This Row],[FECHA ING]])/365)</f>
        <v>6.5315068493150683</v>
      </c>
      <c r="T1236" s="244">
        <f ca="1">IF(Tabla1[[#This Row],[DIAS VAC]]&gt;1,Tabla1[[#This Row],[DIAS VAC]]-Tabla1[[#This Row],[ANTIG]],Tabla1[[#This Row],[DIAS VAC]])</f>
        <v>0.53150684931506831</v>
      </c>
      <c r="U1236" s="244">
        <f ca="1">Tabla1[[#This Row],[VALID ANTIG]]*Tabla1[[#This Row],[SUE DIA]]*Tabla1[[#This Row],[DIAS VAC PAG]]</f>
        <v>1339.3972602739721</v>
      </c>
    </row>
    <row r="1237" spans="2:21" hidden="1" x14ac:dyDescent="0.25">
      <c r="B1237" s="243">
        <v>356</v>
      </c>
      <c r="C1237" s="140" t="str">
        <f>VLOOKUP(B1237,BDD[],2,0)</f>
        <v>Carolina Ortiz Montero</v>
      </c>
      <c r="D1237" s="140">
        <f>VLOOKUP(B1237,BDD[],3,0)</f>
        <v>9541</v>
      </c>
      <c r="E1237" s="140">
        <f>VLOOKUP(B1237,BDD[],4,0)</f>
        <v>318.03333333333336</v>
      </c>
      <c r="F1237" s="142">
        <f>VLOOKUP(B1237,BDD[],26,0)</f>
        <v>35.337037037037042</v>
      </c>
      <c r="G1237" s="268">
        <f>VLOOKUP(B1237,BDD[],6,0)</f>
        <v>42379</v>
      </c>
      <c r="H1237" s="139">
        <f ca="1">VLOOKUP(B1237,BDD[],7,0)</f>
        <v>6</v>
      </c>
      <c r="I1237" s="139">
        <f ca="1">VLOOKUP(B1237,BDD[],22,0)</f>
        <v>8</v>
      </c>
      <c r="J1237" s="168">
        <v>15</v>
      </c>
      <c r="K1237" s="139">
        <f>Tabla1[[#This Row],[DIAS LAB]]*Tabla1[[#This Row],[SUE DIA]]</f>
        <v>4770.5</v>
      </c>
      <c r="L1237" s="168">
        <v>0</v>
      </c>
      <c r="M1237" s="198">
        <f>Tabla1[[#This Row],[HRS EXT]]*Tabla1[[#This Row],[SUE X HR]]</f>
        <v>0</v>
      </c>
      <c r="N1237" s="168">
        <v>0</v>
      </c>
      <c r="O1237" s="198">
        <f>Tabla1[[#This Row],[ASUETO]]*Tabla1[[#This Row],[SUE DIA]]</f>
        <v>0</v>
      </c>
      <c r="P1237" s="139">
        <f>IF(Tabla1[[#This Row],[FECHA ING]]&lt;$P$1007,365,_xlfn.DAYS($P$1008,Tabla1[[#This Row],[FECHA ING]])+1)</f>
        <v>365</v>
      </c>
      <c r="Q1237" s="198">
        <f>INT(30*(Tabla1[[#This Row],[FECHAS CONTB AGNLDO]]/365))</f>
        <v>30</v>
      </c>
      <c r="R1237" s="244">
        <f ca="1">IF($W$32=$W$26,Tabla1[[#This Row],[SUE DIA]]*Tabla1[[#This Row],[DIAS PAG AGNLDO]],0)</f>
        <v>0</v>
      </c>
      <c r="S1237" s="244">
        <f ca="1">(_xlfn.DAYS(TODAY(),Tabla1[[#This Row],[FECHA ING]])/365)</f>
        <v>6.5232876712328771</v>
      </c>
      <c r="T1237" s="244">
        <f ca="1">IF(Tabla1[[#This Row],[DIAS VAC]]&gt;1,Tabla1[[#This Row],[DIAS VAC]]-Tabla1[[#This Row],[ANTIG]],Tabla1[[#This Row],[DIAS VAC]])</f>
        <v>0.52328767123287712</v>
      </c>
      <c r="U1237" s="244">
        <f ca="1">Tabla1[[#This Row],[VALID ANTIG]]*Tabla1[[#This Row],[SUE DIA]]*Tabla1[[#This Row],[DIAS VAC PAG]]</f>
        <v>1331.3833789954349</v>
      </c>
    </row>
    <row r="1238" spans="2:21" hidden="1" x14ac:dyDescent="0.25">
      <c r="B1238" s="243">
        <v>357</v>
      </c>
      <c r="C1238" s="140" t="str">
        <f>VLOOKUP(B1238,BDD[],2,0)</f>
        <v>Fátima Valeria Morales Fabila</v>
      </c>
      <c r="D1238" s="140">
        <f>VLOOKUP(B1238,BDD[],3,0)</f>
        <v>7445</v>
      </c>
      <c r="E1238" s="140">
        <f>VLOOKUP(B1238,BDD[],4,0)</f>
        <v>248.16666666666666</v>
      </c>
      <c r="F1238" s="142">
        <f>VLOOKUP(B1238,BDD[],26,0)</f>
        <v>27.574074074074073</v>
      </c>
      <c r="G1238" s="268">
        <f>VLOOKUP(B1238,BDD[],6,0)</f>
        <v>42385</v>
      </c>
      <c r="H1238" s="139">
        <f ca="1">VLOOKUP(B1238,BDD[],7,0)</f>
        <v>6</v>
      </c>
      <c r="I1238" s="139">
        <f ca="1">VLOOKUP(B1238,BDD[],22,0)</f>
        <v>8</v>
      </c>
      <c r="J1238" s="168">
        <v>15</v>
      </c>
      <c r="K1238" s="139">
        <f>Tabla1[[#This Row],[DIAS LAB]]*Tabla1[[#This Row],[SUE DIA]]</f>
        <v>3722.5</v>
      </c>
      <c r="L1238" s="168">
        <v>0</v>
      </c>
      <c r="M1238" s="198">
        <f>Tabla1[[#This Row],[HRS EXT]]*Tabla1[[#This Row],[SUE X HR]]</f>
        <v>0</v>
      </c>
      <c r="N1238" s="168">
        <v>0</v>
      </c>
      <c r="O1238" s="198">
        <f>Tabla1[[#This Row],[ASUETO]]*Tabla1[[#This Row],[SUE DIA]]</f>
        <v>0</v>
      </c>
      <c r="P1238" s="139">
        <f>IF(Tabla1[[#This Row],[FECHA ING]]&lt;$P$1007,365,_xlfn.DAYS($P$1008,Tabla1[[#This Row],[FECHA ING]])+1)</f>
        <v>365</v>
      </c>
      <c r="Q1238" s="198">
        <f>INT(30*(Tabla1[[#This Row],[FECHAS CONTB AGNLDO]]/365))</f>
        <v>30</v>
      </c>
      <c r="R1238" s="244">
        <f ca="1">IF($W$32=$W$26,Tabla1[[#This Row],[SUE DIA]]*Tabla1[[#This Row],[DIAS PAG AGNLDO]],0)</f>
        <v>0</v>
      </c>
      <c r="S1238" s="244">
        <f ca="1">(_xlfn.DAYS(TODAY(),Tabla1[[#This Row],[FECHA ING]])/365)</f>
        <v>6.506849315068493</v>
      </c>
      <c r="T1238" s="244">
        <f ca="1">IF(Tabla1[[#This Row],[DIAS VAC]]&gt;1,Tabla1[[#This Row],[DIAS VAC]]-Tabla1[[#This Row],[ANTIG]],Tabla1[[#This Row],[DIAS VAC]])</f>
        <v>0.50684931506849296</v>
      </c>
      <c r="U1238" s="244">
        <f ca="1">Tabla1[[#This Row],[VALID ANTIG]]*Tabla1[[#This Row],[SUE DIA]]*Tabla1[[#This Row],[DIAS VAC PAG]]</f>
        <v>1006.264840182648</v>
      </c>
    </row>
    <row r="1239" spans="2:21" hidden="1" x14ac:dyDescent="0.25">
      <c r="B1239" s="243">
        <v>358</v>
      </c>
      <c r="C1239" s="140" t="str">
        <f>VLOOKUP(B1239,BDD[],2,0)</f>
        <v>Rodrigo Silva Contreras</v>
      </c>
      <c r="D1239" s="140">
        <f>VLOOKUP(B1239,BDD[],3,0)</f>
        <v>9450</v>
      </c>
      <c r="E1239" s="140">
        <f>VLOOKUP(B1239,BDD[],4,0)</f>
        <v>315</v>
      </c>
      <c r="F1239" s="142">
        <f>VLOOKUP(B1239,BDD[],26,0)</f>
        <v>35</v>
      </c>
      <c r="G1239" s="268">
        <f>VLOOKUP(B1239,BDD[],6,0)</f>
        <v>42391</v>
      </c>
      <c r="H1239" s="139">
        <f ca="1">VLOOKUP(B1239,BDD[],7,0)</f>
        <v>6</v>
      </c>
      <c r="I1239" s="139">
        <f ca="1">VLOOKUP(B1239,BDD[],22,0)</f>
        <v>8</v>
      </c>
      <c r="J1239" s="168">
        <v>15</v>
      </c>
      <c r="K1239" s="139">
        <f>Tabla1[[#This Row],[DIAS LAB]]*Tabla1[[#This Row],[SUE DIA]]</f>
        <v>4725</v>
      </c>
      <c r="L1239" s="168">
        <v>0</v>
      </c>
      <c r="M1239" s="198">
        <f>Tabla1[[#This Row],[HRS EXT]]*Tabla1[[#This Row],[SUE X HR]]</f>
        <v>0</v>
      </c>
      <c r="N1239" s="168">
        <v>0</v>
      </c>
      <c r="O1239" s="198">
        <f>Tabla1[[#This Row],[ASUETO]]*Tabla1[[#This Row],[SUE DIA]]</f>
        <v>0</v>
      </c>
      <c r="P1239" s="139">
        <f>IF(Tabla1[[#This Row],[FECHA ING]]&lt;$P$1007,365,_xlfn.DAYS($P$1008,Tabla1[[#This Row],[FECHA ING]])+1)</f>
        <v>365</v>
      </c>
      <c r="Q1239" s="198">
        <f>INT(30*(Tabla1[[#This Row],[FECHAS CONTB AGNLDO]]/365))</f>
        <v>30</v>
      </c>
      <c r="R1239" s="244">
        <f ca="1">IF($W$32=$W$26,Tabla1[[#This Row],[SUE DIA]]*Tabla1[[#This Row],[DIAS PAG AGNLDO]],0)</f>
        <v>0</v>
      </c>
      <c r="S1239" s="244">
        <f ca="1">(_xlfn.DAYS(TODAY(),Tabla1[[#This Row],[FECHA ING]])/365)</f>
        <v>6.4904109589041097</v>
      </c>
      <c r="T1239" s="244">
        <f ca="1">IF(Tabla1[[#This Row],[DIAS VAC]]&gt;1,Tabla1[[#This Row],[DIAS VAC]]-Tabla1[[#This Row],[ANTIG]],Tabla1[[#This Row],[DIAS VAC]])</f>
        <v>0.49041095890410968</v>
      </c>
      <c r="U1239" s="244">
        <f ca="1">Tabla1[[#This Row],[VALID ANTIG]]*Tabla1[[#This Row],[SUE DIA]]*Tabla1[[#This Row],[DIAS VAC PAG]]</f>
        <v>1235.8356164383565</v>
      </c>
    </row>
    <row r="1240" spans="2:21" hidden="1" x14ac:dyDescent="0.25">
      <c r="B1240" s="243">
        <v>359</v>
      </c>
      <c r="C1240" s="140" t="str">
        <f>VLOOKUP(B1240,BDD[],2,0)</f>
        <v>Tita Hurtado Jimenez</v>
      </c>
      <c r="D1240" s="140">
        <f>VLOOKUP(B1240,BDD[],3,0)</f>
        <v>7445</v>
      </c>
      <c r="E1240" s="140">
        <f>VLOOKUP(B1240,BDD[],4,0)</f>
        <v>248.16666666666666</v>
      </c>
      <c r="F1240" s="142">
        <f>VLOOKUP(B1240,BDD[],26,0)</f>
        <v>27.574074074074073</v>
      </c>
      <c r="G1240" s="268">
        <f>VLOOKUP(B1240,BDD[],6,0)</f>
        <v>42400</v>
      </c>
      <c r="H1240" s="139">
        <f ca="1">VLOOKUP(B1240,BDD[],7,0)</f>
        <v>6</v>
      </c>
      <c r="I1240" s="139">
        <f ca="1">VLOOKUP(B1240,BDD[],22,0)</f>
        <v>8</v>
      </c>
      <c r="J1240" s="168">
        <v>15</v>
      </c>
      <c r="K1240" s="139">
        <f>Tabla1[[#This Row],[DIAS LAB]]*Tabla1[[#This Row],[SUE DIA]]</f>
        <v>3722.5</v>
      </c>
      <c r="L1240" s="168">
        <v>0</v>
      </c>
      <c r="M1240" s="139">
        <f>Tabla1[[#This Row],[HRS EXT]]*Tabla1[[#This Row],[SUE X HR]]</f>
        <v>0</v>
      </c>
      <c r="N1240" s="168">
        <v>0</v>
      </c>
      <c r="O1240" s="198">
        <f>Tabla1[[#This Row],[ASUETO]]*Tabla1[[#This Row],[SUE DIA]]</f>
        <v>0</v>
      </c>
      <c r="P1240" s="139">
        <f>IF(Tabla1[[#This Row],[FECHA ING]]&lt;$P$1007,365,_xlfn.DAYS($P$1008,Tabla1[[#This Row],[FECHA ING]])+1)</f>
        <v>365</v>
      </c>
      <c r="Q1240" s="198">
        <f>INT(30*(Tabla1[[#This Row],[FECHAS CONTB AGNLDO]]/365))</f>
        <v>30</v>
      </c>
      <c r="R1240" s="244">
        <f ca="1">IF($W$32=$W$26,Tabla1[[#This Row],[SUE DIA]]*Tabla1[[#This Row],[DIAS PAG AGNLDO]],0)</f>
        <v>0</v>
      </c>
      <c r="S1240" s="244">
        <f ca="1">(_xlfn.DAYS(TODAY(),Tabla1[[#This Row],[FECHA ING]])/365)</f>
        <v>6.4657534246575343</v>
      </c>
      <c r="T1240" s="244">
        <f ca="1">IF(Tabla1[[#This Row],[DIAS VAC]]&gt;1,Tabla1[[#This Row],[DIAS VAC]]-Tabla1[[#This Row],[ANTIG]],Tabla1[[#This Row],[DIAS VAC]])</f>
        <v>0.46575342465753433</v>
      </c>
      <c r="U1240" s="244">
        <f ca="1">Tabla1[[#This Row],[VALID ANTIG]]*Tabla1[[#This Row],[SUE DIA]]*Tabla1[[#This Row],[DIAS VAC PAG]]</f>
        <v>924.67579908675816</v>
      </c>
    </row>
    <row r="1241" spans="2:21" hidden="1" x14ac:dyDescent="0.25">
      <c r="B1241" s="243">
        <v>360</v>
      </c>
      <c r="C1241" s="140" t="str">
        <f>VLOOKUP(B1241,BDD[],2,0)</f>
        <v>Arturo Guzman Pacheco</v>
      </c>
      <c r="D1241" s="140">
        <f>VLOOKUP(B1241,BDD[],3,0)</f>
        <v>9541</v>
      </c>
      <c r="E1241" s="140">
        <f>VLOOKUP(B1241,BDD[],4,0)</f>
        <v>318.03333333333336</v>
      </c>
      <c r="F1241" s="142">
        <f>VLOOKUP(B1241,BDD[],26,0)</f>
        <v>35.337037037037042</v>
      </c>
      <c r="G1241" s="268">
        <f>VLOOKUP(B1241,BDD[],6,0)</f>
        <v>42404</v>
      </c>
      <c r="H1241" s="139">
        <f ca="1">VLOOKUP(B1241,BDD[],7,0)</f>
        <v>6</v>
      </c>
      <c r="I1241" s="139">
        <f ca="1">VLOOKUP(B1241,BDD[],22,0)</f>
        <v>8</v>
      </c>
      <c r="J1241" s="168">
        <v>15</v>
      </c>
      <c r="K1241" s="139">
        <f>Tabla1[[#This Row],[DIAS LAB]]*Tabla1[[#This Row],[SUE DIA]]</f>
        <v>4770.5</v>
      </c>
      <c r="L1241" s="168">
        <v>0</v>
      </c>
      <c r="M1241" s="198">
        <f>Tabla1[[#This Row],[HRS EXT]]*Tabla1[[#This Row],[SUE X HR]]</f>
        <v>0</v>
      </c>
      <c r="N1241" s="168">
        <v>0</v>
      </c>
      <c r="O1241" s="198">
        <f>Tabla1[[#This Row],[ASUETO]]*Tabla1[[#This Row],[SUE DIA]]</f>
        <v>0</v>
      </c>
      <c r="P1241" s="139">
        <f>IF(Tabla1[[#This Row],[FECHA ING]]&lt;$P$1007,365,_xlfn.DAYS($P$1008,Tabla1[[#This Row],[FECHA ING]])+1)</f>
        <v>365</v>
      </c>
      <c r="Q1241" s="198">
        <f>INT(30*(Tabla1[[#This Row],[FECHAS CONTB AGNLDO]]/365))</f>
        <v>30</v>
      </c>
      <c r="R1241" s="244">
        <f ca="1">IF($W$32=$W$26,Tabla1[[#This Row],[SUE DIA]]*Tabla1[[#This Row],[DIAS PAG AGNLDO]],0)</f>
        <v>0</v>
      </c>
      <c r="S1241" s="244">
        <f ca="1">(_xlfn.DAYS(TODAY(),Tabla1[[#This Row],[FECHA ING]])/365)</f>
        <v>6.4547945205479449</v>
      </c>
      <c r="T1241" s="244">
        <f ca="1">IF(Tabla1[[#This Row],[DIAS VAC]]&gt;1,Tabla1[[#This Row],[DIAS VAC]]-Tabla1[[#This Row],[ANTIG]],Tabla1[[#This Row],[DIAS VAC]])</f>
        <v>0.45479452054794489</v>
      </c>
      <c r="U1241" s="244">
        <f ca="1">Tabla1[[#This Row],[VALID ANTIG]]*Tabla1[[#This Row],[SUE DIA]]*Tabla1[[#This Row],[DIAS VAC PAG]]</f>
        <v>1157.1185388127847</v>
      </c>
    </row>
    <row r="1242" spans="2:21" hidden="1" x14ac:dyDescent="0.25">
      <c r="B1242" s="243">
        <v>362</v>
      </c>
      <c r="C1242" s="140" t="str">
        <f>VLOOKUP(B1242,BDD[],2,0)</f>
        <v>Armando Hernandez Avila</v>
      </c>
      <c r="D1242" s="140">
        <f>VLOOKUP(B1242,BDD[],3,0)</f>
        <v>9450</v>
      </c>
      <c r="E1242" s="140">
        <f>VLOOKUP(B1242,BDD[],4,0)</f>
        <v>315</v>
      </c>
      <c r="F1242" s="142">
        <f>VLOOKUP(B1242,BDD[],26,0)</f>
        <v>35</v>
      </c>
      <c r="G1242" s="268">
        <f>VLOOKUP(B1242,BDD[],6,0)</f>
        <v>42406</v>
      </c>
      <c r="H1242" s="139">
        <f ca="1">VLOOKUP(B1242,BDD[],7,0)</f>
        <v>6</v>
      </c>
      <c r="I1242" s="139">
        <f ca="1">VLOOKUP(B1242,BDD[],22,0)</f>
        <v>8</v>
      </c>
      <c r="J1242" s="168">
        <v>15</v>
      </c>
      <c r="K1242" s="139">
        <f>Tabla1[[#This Row],[DIAS LAB]]*Tabla1[[#This Row],[SUE DIA]]</f>
        <v>4725</v>
      </c>
      <c r="L1242" s="168">
        <v>0</v>
      </c>
      <c r="M1242" s="198">
        <f>Tabla1[[#This Row],[HRS EXT]]*Tabla1[[#This Row],[SUE X HR]]</f>
        <v>0</v>
      </c>
      <c r="N1242" s="168">
        <v>0</v>
      </c>
      <c r="O1242" s="198">
        <f>Tabla1[[#This Row],[ASUETO]]*Tabla1[[#This Row],[SUE DIA]]</f>
        <v>0</v>
      </c>
      <c r="P1242" s="139">
        <f>IF(Tabla1[[#This Row],[FECHA ING]]&lt;$P$1007,365,_xlfn.DAYS($P$1008,Tabla1[[#This Row],[FECHA ING]])+1)</f>
        <v>365</v>
      </c>
      <c r="Q1242" s="198">
        <f>INT(30*(Tabla1[[#This Row],[FECHAS CONTB AGNLDO]]/365))</f>
        <v>30</v>
      </c>
      <c r="R1242" s="244">
        <f ca="1">IF($W$32=$W$26,Tabla1[[#This Row],[SUE DIA]]*Tabla1[[#This Row],[DIAS PAG AGNLDO]],0)</f>
        <v>0</v>
      </c>
      <c r="S1242" s="244">
        <f ca="1">(_xlfn.DAYS(TODAY(),Tabla1[[#This Row],[FECHA ING]])/365)</f>
        <v>6.4493150684931511</v>
      </c>
      <c r="T1242" s="244">
        <f ca="1">IF(Tabla1[[#This Row],[DIAS VAC]]&gt;1,Tabla1[[#This Row],[DIAS VAC]]-Tabla1[[#This Row],[ANTIG]],Tabla1[[#This Row],[DIAS VAC]])</f>
        <v>0.44931506849315106</v>
      </c>
      <c r="U1242" s="244">
        <f ca="1">Tabla1[[#This Row],[VALID ANTIG]]*Tabla1[[#This Row],[SUE DIA]]*Tabla1[[#This Row],[DIAS VAC PAG]]</f>
        <v>1132.2739726027407</v>
      </c>
    </row>
    <row r="1243" spans="2:21" hidden="1" x14ac:dyDescent="0.25">
      <c r="B1243" s="243">
        <v>364</v>
      </c>
      <c r="C1243" s="140" t="str">
        <f>VLOOKUP(B1243,BDD[],2,0)</f>
        <v>Yasmin Blanco Noyola</v>
      </c>
      <c r="D1243" s="140">
        <f>VLOOKUP(B1243,BDD[],3,0)</f>
        <v>10860</v>
      </c>
      <c r="E1243" s="140">
        <f>VLOOKUP(B1243,BDD[],4,0)</f>
        <v>362</v>
      </c>
      <c r="F1243" s="142">
        <f>VLOOKUP(B1243,BDD[],26,0)</f>
        <v>40.222222222222221</v>
      </c>
      <c r="G1243" s="268">
        <f>VLOOKUP(B1243,BDD[],6,0)</f>
        <v>42406</v>
      </c>
      <c r="H1243" s="139">
        <f ca="1">VLOOKUP(B1243,BDD[],7,0)</f>
        <v>6</v>
      </c>
      <c r="I1243" s="139">
        <f ca="1">VLOOKUP(B1243,BDD[],22,0)</f>
        <v>8</v>
      </c>
      <c r="J1243" s="168">
        <v>15</v>
      </c>
      <c r="K1243" s="139">
        <f>Tabla1[[#This Row],[DIAS LAB]]*Tabla1[[#This Row],[SUE DIA]]</f>
        <v>5430</v>
      </c>
      <c r="L1243" s="168">
        <v>0</v>
      </c>
      <c r="M1243" s="198">
        <f>Tabla1[[#This Row],[HRS EXT]]*Tabla1[[#This Row],[SUE X HR]]</f>
        <v>0</v>
      </c>
      <c r="N1243" s="168">
        <v>0</v>
      </c>
      <c r="O1243" s="198">
        <f>Tabla1[[#This Row],[ASUETO]]*Tabla1[[#This Row],[SUE DIA]]</f>
        <v>0</v>
      </c>
      <c r="P1243" s="139">
        <f>IF(Tabla1[[#This Row],[FECHA ING]]&lt;$P$1007,365,_xlfn.DAYS($P$1008,Tabla1[[#This Row],[FECHA ING]])+1)</f>
        <v>365</v>
      </c>
      <c r="Q1243" s="198">
        <f>INT(30*(Tabla1[[#This Row],[FECHAS CONTB AGNLDO]]/365))</f>
        <v>30</v>
      </c>
      <c r="R1243" s="244">
        <f ca="1">IF($W$32=$W$26,Tabla1[[#This Row],[SUE DIA]]*Tabla1[[#This Row],[DIAS PAG AGNLDO]],0)</f>
        <v>0</v>
      </c>
      <c r="S1243" s="244">
        <f ca="1">(_xlfn.DAYS(TODAY(),Tabla1[[#This Row],[FECHA ING]])/365)</f>
        <v>6.4493150684931511</v>
      </c>
      <c r="T1243" s="244">
        <f ca="1">IF(Tabla1[[#This Row],[DIAS VAC]]&gt;1,Tabla1[[#This Row],[DIAS VAC]]-Tabla1[[#This Row],[ANTIG]],Tabla1[[#This Row],[DIAS VAC]])</f>
        <v>0.44931506849315106</v>
      </c>
      <c r="U1243" s="244">
        <f ca="1">Tabla1[[#This Row],[VALID ANTIG]]*Tabla1[[#This Row],[SUE DIA]]*Tabla1[[#This Row],[DIAS VAC PAG]]</f>
        <v>1301.2164383561656</v>
      </c>
    </row>
    <row r="1244" spans="2:21" hidden="1" x14ac:dyDescent="0.25">
      <c r="B1244" s="243">
        <v>365</v>
      </c>
      <c r="C1244" s="140" t="str">
        <f>VLOOKUP(B1244,BDD[],2,0)</f>
        <v>Jesus Alexis Camarillo Moreno</v>
      </c>
      <c r="D1244" s="140">
        <f>VLOOKUP(B1244,BDD[],3,0)</f>
        <v>7445</v>
      </c>
      <c r="E1244" s="140">
        <f>VLOOKUP(B1244,BDD[],4,0)</f>
        <v>248.16666666666666</v>
      </c>
      <c r="F1244" s="142">
        <f>VLOOKUP(B1244,BDD[],26,0)</f>
        <v>27.574074074074073</v>
      </c>
      <c r="G1244" s="268">
        <f>VLOOKUP(B1244,BDD[],6,0)</f>
        <v>42409</v>
      </c>
      <c r="H1244" s="139">
        <f ca="1">VLOOKUP(B1244,BDD[],7,0)</f>
        <v>6</v>
      </c>
      <c r="I1244" s="139">
        <f ca="1">VLOOKUP(B1244,BDD[],22,0)</f>
        <v>8</v>
      </c>
      <c r="J1244" s="168">
        <v>15</v>
      </c>
      <c r="K1244" s="139">
        <f>Tabla1[[#This Row],[DIAS LAB]]*Tabla1[[#This Row],[SUE DIA]]</f>
        <v>3722.5</v>
      </c>
      <c r="L1244" s="168">
        <v>0</v>
      </c>
      <c r="M1244" s="198">
        <f>Tabla1[[#This Row],[HRS EXT]]*Tabla1[[#This Row],[SUE X HR]]</f>
        <v>0</v>
      </c>
      <c r="N1244" s="168">
        <v>0</v>
      </c>
      <c r="O1244" s="198">
        <f>Tabla1[[#This Row],[ASUETO]]*Tabla1[[#This Row],[SUE DIA]]</f>
        <v>0</v>
      </c>
      <c r="P1244" s="139">
        <f>IF(Tabla1[[#This Row],[FECHA ING]]&lt;$P$1007,365,_xlfn.DAYS($P$1008,Tabla1[[#This Row],[FECHA ING]])+1)</f>
        <v>365</v>
      </c>
      <c r="Q1244" s="198">
        <f>INT(30*(Tabla1[[#This Row],[FECHAS CONTB AGNLDO]]/365))</f>
        <v>30</v>
      </c>
      <c r="R1244" s="244">
        <f ca="1">IF($W$32=$W$26,Tabla1[[#This Row],[SUE DIA]]*Tabla1[[#This Row],[DIAS PAG AGNLDO]],0)</f>
        <v>0</v>
      </c>
      <c r="S1244" s="244">
        <f ca="1">(_xlfn.DAYS(TODAY(),Tabla1[[#This Row],[FECHA ING]])/365)</f>
        <v>6.441095890410959</v>
      </c>
      <c r="T1244" s="244">
        <f ca="1">IF(Tabla1[[#This Row],[DIAS VAC]]&gt;1,Tabla1[[#This Row],[DIAS VAC]]-Tabla1[[#This Row],[ANTIG]],Tabla1[[#This Row],[DIAS VAC]])</f>
        <v>0.44109589041095898</v>
      </c>
      <c r="U1244" s="244">
        <f ca="1">Tabla1[[#This Row],[VALID ANTIG]]*Tabla1[[#This Row],[SUE DIA]]*Tabla1[[#This Row],[DIAS VAC PAG]]</f>
        <v>875.72237442922381</v>
      </c>
    </row>
    <row r="1245" spans="2:21" hidden="1" x14ac:dyDescent="0.25">
      <c r="B1245" s="243">
        <v>367</v>
      </c>
      <c r="C1245" s="140" t="str">
        <f>VLOOKUP(B1245,BDD[],2,0)</f>
        <v>Brisa Celene Hernandez Loeza</v>
      </c>
      <c r="D1245" s="140">
        <f>VLOOKUP(B1245,BDD[],3,0)</f>
        <v>9450</v>
      </c>
      <c r="E1245" s="140">
        <f>VLOOKUP(B1245,BDD[],4,0)</f>
        <v>315</v>
      </c>
      <c r="F1245" s="142">
        <f>VLOOKUP(B1245,BDD[],26,0)</f>
        <v>35</v>
      </c>
      <c r="G1245" s="268">
        <f>VLOOKUP(B1245,BDD[],6,0)</f>
        <v>42418</v>
      </c>
      <c r="H1245" s="139">
        <f ca="1">VLOOKUP(B1245,BDD[],7,0)</f>
        <v>6</v>
      </c>
      <c r="I1245" s="139">
        <f ca="1">VLOOKUP(B1245,BDD[],22,0)</f>
        <v>8</v>
      </c>
      <c r="J1245" s="168">
        <v>15</v>
      </c>
      <c r="K1245" s="139">
        <f>Tabla1[[#This Row],[DIAS LAB]]*Tabla1[[#This Row],[SUE DIA]]</f>
        <v>4725</v>
      </c>
      <c r="L1245" s="168">
        <v>0</v>
      </c>
      <c r="M1245" s="198">
        <f>Tabla1[[#This Row],[HRS EXT]]*Tabla1[[#This Row],[SUE X HR]]</f>
        <v>0</v>
      </c>
      <c r="N1245" s="168">
        <v>0</v>
      </c>
      <c r="O1245" s="198">
        <f>Tabla1[[#This Row],[ASUETO]]*Tabla1[[#This Row],[SUE DIA]]</f>
        <v>0</v>
      </c>
      <c r="P1245" s="139">
        <f>IF(Tabla1[[#This Row],[FECHA ING]]&lt;$P$1007,365,_xlfn.DAYS($P$1008,Tabla1[[#This Row],[FECHA ING]])+1)</f>
        <v>365</v>
      </c>
      <c r="Q1245" s="198">
        <f>INT(30*(Tabla1[[#This Row],[FECHAS CONTB AGNLDO]]/365))</f>
        <v>30</v>
      </c>
      <c r="R1245" s="244">
        <f ca="1">IF($W$32=$W$26,Tabla1[[#This Row],[SUE DIA]]*Tabla1[[#This Row],[DIAS PAG AGNLDO]],0)</f>
        <v>0</v>
      </c>
      <c r="S1245" s="244">
        <f ca="1">(_xlfn.DAYS(TODAY(),Tabla1[[#This Row],[FECHA ING]])/365)</f>
        <v>6.4164383561643836</v>
      </c>
      <c r="T1245" s="244">
        <f ca="1">IF(Tabla1[[#This Row],[DIAS VAC]]&gt;1,Tabla1[[#This Row],[DIAS VAC]]-Tabla1[[#This Row],[ANTIG]],Tabla1[[#This Row],[DIAS VAC]])</f>
        <v>0.41643835616438363</v>
      </c>
      <c r="U1245" s="244">
        <f ca="1">Tabla1[[#This Row],[VALID ANTIG]]*Tabla1[[#This Row],[SUE DIA]]*Tabla1[[#This Row],[DIAS VAC PAG]]</f>
        <v>1049.4246575342468</v>
      </c>
    </row>
    <row r="1246" spans="2:21" hidden="1" x14ac:dyDescent="0.25">
      <c r="B1246" s="243">
        <v>368</v>
      </c>
      <c r="C1246" s="140" t="str">
        <f>VLOOKUP(B1246,BDD[],2,0)</f>
        <v>Daniel Villarreal Acevedo</v>
      </c>
      <c r="D1246" s="140">
        <f>VLOOKUP(B1246,BDD[],3,0)</f>
        <v>8825</v>
      </c>
      <c r="E1246" s="140">
        <f>VLOOKUP(B1246,BDD[],4,0)</f>
        <v>294.16666666666669</v>
      </c>
      <c r="F1246" s="142">
        <f>VLOOKUP(B1246,BDD[],26,0)</f>
        <v>32.68518518518519</v>
      </c>
      <c r="G1246" s="268">
        <f>VLOOKUP(B1246,BDD[],6,0)</f>
        <v>42430</v>
      </c>
      <c r="H1246" s="139">
        <f ca="1">VLOOKUP(B1246,BDD[],7,0)</f>
        <v>6</v>
      </c>
      <c r="I1246" s="139">
        <f ca="1">VLOOKUP(B1246,BDD[],22,0)</f>
        <v>8</v>
      </c>
      <c r="J1246" s="168">
        <v>15</v>
      </c>
      <c r="K1246" s="139">
        <f>Tabla1[[#This Row],[DIAS LAB]]*Tabla1[[#This Row],[SUE DIA]]</f>
        <v>4412.5</v>
      </c>
      <c r="L1246" s="168">
        <v>0</v>
      </c>
      <c r="M1246" s="198">
        <f>Tabla1[[#This Row],[HRS EXT]]*Tabla1[[#This Row],[SUE X HR]]</f>
        <v>0</v>
      </c>
      <c r="N1246" s="168">
        <v>0</v>
      </c>
      <c r="O1246" s="198">
        <f>Tabla1[[#This Row],[ASUETO]]*Tabla1[[#This Row],[SUE DIA]]</f>
        <v>0</v>
      </c>
      <c r="P1246" s="139">
        <f>IF(Tabla1[[#This Row],[FECHA ING]]&lt;$P$1007,365,_xlfn.DAYS($P$1008,Tabla1[[#This Row],[FECHA ING]])+1)</f>
        <v>365</v>
      </c>
      <c r="Q1246" s="198">
        <f>INT(30*(Tabla1[[#This Row],[FECHAS CONTB AGNLDO]]/365))</f>
        <v>30</v>
      </c>
      <c r="R1246" s="244">
        <f ca="1">IF($W$32=$W$26,Tabla1[[#This Row],[SUE DIA]]*Tabla1[[#This Row],[DIAS PAG AGNLDO]],0)</f>
        <v>0</v>
      </c>
      <c r="S1246" s="244">
        <f ca="1">(_xlfn.DAYS(TODAY(),Tabla1[[#This Row],[FECHA ING]])/365)</f>
        <v>6.3835616438356162</v>
      </c>
      <c r="T1246" s="244">
        <f ca="1">IF(Tabla1[[#This Row],[DIAS VAC]]&gt;1,Tabla1[[#This Row],[DIAS VAC]]-Tabla1[[#This Row],[ANTIG]],Tabla1[[#This Row],[DIAS VAC]])</f>
        <v>0.3835616438356162</v>
      </c>
      <c r="U1246" s="244">
        <f ca="1">Tabla1[[#This Row],[VALID ANTIG]]*Tabla1[[#This Row],[SUE DIA]]*Tabla1[[#This Row],[DIAS VAC PAG]]</f>
        <v>902.64840182648345</v>
      </c>
    </row>
    <row r="1247" spans="2:21" hidden="1" x14ac:dyDescent="0.25">
      <c r="B1247" s="243">
        <v>369</v>
      </c>
      <c r="C1247" s="140" t="str">
        <f>VLOOKUP(B1247,BDD[],2,0)</f>
        <v>Araceli Yuridia Barrera Saldaña</v>
      </c>
      <c r="D1247" s="140">
        <f>VLOOKUP(B1247,BDD[],3,0)</f>
        <v>7445</v>
      </c>
      <c r="E1247" s="140">
        <f>VLOOKUP(B1247,BDD[],4,0)</f>
        <v>248.16666666666666</v>
      </c>
      <c r="F1247" s="142">
        <f>VLOOKUP(B1247,BDD[],26,0)</f>
        <v>27.574074074074073</v>
      </c>
      <c r="G1247" s="268">
        <f>VLOOKUP(B1247,BDD[],6,0)</f>
        <v>42461</v>
      </c>
      <c r="H1247" s="139">
        <f ca="1">VLOOKUP(B1247,BDD[],7,0)</f>
        <v>6</v>
      </c>
      <c r="I1247" s="139">
        <f ca="1">VLOOKUP(B1247,BDD[],22,0)</f>
        <v>8</v>
      </c>
      <c r="J1247" s="168">
        <v>15</v>
      </c>
      <c r="K1247" s="139">
        <f>Tabla1[[#This Row],[DIAS LAB]]*Tabla1[[#This Row],[SUE DIA]]</f>
        <v>3722.5</v>
      </c>
      <c r="L1247" s="168">
        <v>0</v>
      </c>
      <c r="M1247" s="198">
        <f>Tabla1[[#This Row],[HRS EXT]]*Tabla1[[#This Row],[SUE X HR]]</f>
        <v>0</v>
      </c>
      <c r="N1247" s="168">
        <v>0</v>
      </c>
      <c r="O1247" s="198">
        <f>Tabla1[[#This Row],[ASUETO]]*Tabla1[[#This Row],[SUE DIA]]</f>
        <v>0</v>
      </c>
      <c r="P1247" s="139">
        <f>IF(Tabla1[[#This Row],[FECHA ING]]&lt;$P$1007,365,_xlfn.DAYS($P$1008,Tabla1[[#This Row],[FECHA ING]])+1)</f>
        <v>365</v>
      </c>
      <c r="Q1247" s="198">
        <f>INT(30*(Tabla1[[#This Row],[FECHAS CONTB AGNLDO]]/365))</f>
        <v>30</v>
      </c>
      <c r="R1247" s="244">
        <f ca="1">IF($W$32=$W$26,Tabla1[[#This Row],[SUE DIA]]*Tabla1[[#This Row],[DIAS PAG AGNLDO]],0)</f>
        <v>0</v>
      </c>
      <c r="S1247" s="244">
        <f ca="1">(_xlfn.DAYS(TODAY(),Tabla1[[#This Row],[FECHA ING]])/365)</f>
        <v>6.2986301369863016</v>
      </c>
      <c r="T1247" s="244">
        <f ca="1">IF(Tabla1[[#This Row],[DIAS VAC]]&gt;1,Tabla1[[#This Row],[DIAS VAC]]-Tabla1[[#This Row],[ANTIG]],Tabla1[[#This Row],[DIAS VAC]])</f>
        <v>0.29863013698630159</v>
      </c>
      <c r="U1247" s="244">
        <f ca="1">Tabla1[[#This Row],[VALID ANTIG]]*Tabla1[[#This Row],[SUE DIA]]*Tabla1[[#This Row],[DIAS VAC PAG]]</f>
        <v>592.88036529680403</v>
      </c>
    </row>
    <row r="1248" spans="2:21" hidden="1" x14ac:dyDescent="0.25">
      <c r="B1248" s="243">
        <v>372</v>
      </c>
      <c r="C1248" s="140" t="str">
        <f>VLOOKUP(B1248,BDD[],2,0)</f>
        <v>Valeria Del Carmen Sánchez Valladares</v>
      </c>
      <c r="D1248" s="140">
        <f>VLOOKUP(B1248,BDD[],3,0)</f>
        <v>7445</v>
      </c>
      <c r="E1248" s="140">
        <f>VLOOKUP(B1248,BDD[],4,0)</f>
        <v>248.16666666666666</v>
      </c>
      <c r="F1248" s="142">
        <f>VLOOKUP(B1248,BDD[],26,0)</f>
        <v>27.574074074074073</v>
      </c>
      <c r="G1248" s="268">
        <f>VLOOKUP(B1248,BDD[],6,0)</f>
        <v>42465</v>
      </c>
      <c r="H1248" s="139">
        <f ca="1">VLOOKUP(B1248,BDD[],7,0)</f>
        <v>6</v>
      </c>
      <c r="I1248" s="139">
        <f ca="1">VLOOKUP(B1248,BDD[],22,0)</f>
        <v>8</v>
      </c>
      <c r="J1248" s="168">
        <v>15</v>
      </c>
      <c r="K1248" s="139">
        <f>Tabla1[[#This Row],[DIAS LAB]]*Tabla1[[#This Row],[SUE DIA]]</f>
        <v>3722.5</v>
      </c>
      <c r="L1248" s="168">
        <v>0</v>
      </c>
      <c r="M1248" s="198">
        <f>Tabla1[[#This Row],[HRS EXT]]*Tabla1[[#This Row],[SUE X HR]]</f>
        <v>0</v>
      </c>
      <c r="N1248" s="168">
        <v>0</v>
      </c>
      <c r="O1248" s="198">
        <f>Tabla1[[#This Row],[ASUETO]]*Tabla1[[#This Row],[SUE DIA]]</f>
        <v>0</v>
      </c>
      <c r="P1248" s="139">
        <f>IF(Tabla1[[#This Row],[FECHA ING]]&lt;$P$1007,365,_xlfn.DAYS($P$1008,Tabla1[[#This Row],[FECHA ING]])+1)</f>
        <v>365</v>
      </c>
      <c r="Q1248" s="198">
        <f>INT(30*(Tabla1[[#This Row],[FECHAS CONTB AGNLDO]]/365))</f>
        <v>30</v>
      </c>
      <c r="R1248" s="244">
        <f ca="1">IF($W$32=$W$26,Tabla1[[#This Row],[SUE DIA]]*Tabla1[[#This Row],[DIAS PAG AGNLDO]],0)</f>
        <v>0</v>
      </c>
      <c r="S1248" s="244">
        <f ca="1">(_xlfn.DAYS(TODAY(),Tabla1[[#This Row],[FECHA ING]])/365)</f>
        <v>6.2876712328767121</v>
      </c>
      <c r="T1248" s="244">
        <f ca="1">IF(Tabla1[[#This Row],[DIAS VAC]]&gt;1,Tabla1[[#This Row],[DIAS VAC]]-Tabla1[[#This Row],[ANTIG]],Tabla1[[#This Row],[DIAS VAC]])</f>
        <v>0.28767123287671215</v>
      </c>
      <c r="U1248" s="244">
        <f ca="1">Tabla1[[#This Row],[VALID ANTIG]]*Tabla1[[#This Row],[SUE DIA]]*Tabla1[[#This Row],[DIAS VAC PAG]]</f>
        <v>571.12328767123245</v>
      </c>
    </row>
    <row r="1249" spans="2:21" hidden="1" x14ac:dyDescent="0.25">
      <c r="B1249" s="243">
        <v>373</v>
      </c>
      <c r="C1249" s="140" t="str">
        <f>VLOOKUP(B1249,BDD[],2,0)</f>
        <v>Yadira Yossary González Leyva</v>
      </c>
      <c r="D1249" s="140">
        <f>VLOOKUP(B1249,BDD[],3,0)</f>
        <v>25800</v>
      </c>
      <c r="E1249" s="140">
        <f>VLOOKUP(B1249,BDD[],4,0)</f>
        <v>860</v>
      </c>
      <c r="F1249" s="142">
        <f>VLOOKUP(B1249,BDD[],26,0)</f>
        <v>95.555555555555557</v>
      </c>
      <c r="G1249" s="268">
        <f>VLOOKUP(B1249,BDD[],6,0)</f>
        <v>42474</v>
      </c>
      <c r="H1249" s="139">
        <f ca="1">VLOOKUP(B1249,BDD[],7,0)</f>
        <v>6</v>
      </c>
      <c r="I1249" s="139">
        <f ca="1">VLOOKUP(B1249,BDD[],22,0)</f>
        <v>8</v>
      </c>
      <c r="J1249" s="168">
        <v>15</v>
      </c>
      <c r="K1249" s="139">
        <f>Tabla1[[#This Row],[DIAS LAB]]*Tabla1[[#This Row],[SUE DIA]]</f>
        <v>12900</v>
      </c>
      <c r="L1249" s="168">
        <v>0</v>
      </c>
      <c r="M1249" s="198">
        <f>Tabla1[[#This Row],[HRS EXT]]*Tabla1[[#This Row],[SUE X HR]]</f>
        <v>0</v>
      </c>
      <c r="N1249" s="168">
        <v>0</v>
      </c>
      <c r="O1249" s="198">
        <f>Tabla1[[#This Row],[ASUETO]]*Tabla1[[#This Row],[SUE DIA]]</f>
        <v>0</v>
      </c>
      <c r="P1249" s="139">
        <f>IF(Tabla1[[#This Row],[FECHA ING]]&lt;$P$1007,365,_xlfn.DAYS($P$1008,Tabla1[[#This Row],[FECHA ING]])+1)</f>
        <v>365</v>
      </c>
      <c r="Q1249" s="198">
        <f>INT(30*(Tabla1[[#This Row],[FECHAS CONTB AGNLDO]]/365))</f>
        <v>30</v>
      </c>
      <c r="R1249" s="244">
        <f ca="1">IF($W$32=$W$26,Tabla1[[#This Row],[SUE DIA]]*Tabla1[[#This Row],[DIAS PAG AGNLDO]],0)</f>
        <v>0</v>
      </c>
      <c r="S1249" s="244">
        <f ca="1">(_xlfn.DAYS(TODAY(),Tabla1[[#This Row],[FECHA ING]])/365)</f>
        <v>6.2630136986301368</v>
      </c>
      <c r="T1249" s="244">
        <f ca="1">IF(Tabla1[[#This Row],[DIAS VAC]]&gt;1,Tabla1[[#This Row],[DIAS VAC]]-Tabla1[[#This Row],[ANTIG]],Tabla1[[#This Row],[DIAS VAC]])</f>
        <v>0.26301369863013679</v>
      </c>
      <c r="U1249" s="244">
        <f ca="1">Tabla1[[#This Row],[VALID ANTIG]]*Tabla1[[#This Row],[SUE DIA]]*Tabla1[[#This Row],[DIAS VAC PAG]]</f>
        <v>1809.5342465753411</v>
      </c>
    </row>
    <row r="1250" spans="2:21" hidden="1" x14ac:dyDescent="0.25">
      <c r="B1250" s="243">
        <v>377</v>
      </c>
      <c r="C1250" s="140" t="str">
        <f>VLOOKUP(B1250,BDD[],2,0)</f>
        <v>Blas Francisco Cedomio Alvarez</v>
      </c>
      <c r="D1250" s="140">
        <f>VLOOKUP(B1250,BDD[],3,0)</f>
        <v>9541</v>
      </c>
      <c r="E1250" s="140">
        <f>VLOOKUP(B1250,BDD[],4,0)</f>
        <v>318.03333333333336</v>
      </c>
      <c r="F1250" s="142">
        <f>VLOOKUP(B1250,BDD[],26,0)</f>
        <v>35.337037037037042</v>
      </c>
      <c r="G1250" s="268">
        <f>VLOOKUP(B1250,BDD[],6,0)</f>
        <v>42476</v>
      </c>
      <c r="H1250" s="139">
        <f ca="1">VLOOKUP(B1250,BDD[],7,0)</f>
        <v>6</v>
      </c>
      <c r="I1250" s="139">
        <f ca="1">VLOOKUP(B1250,BDD[],22,0)</f>
        <v>8</v>
      </c>
      <c r="J1250" s="168">
        <v>15</v>
      </c>
      <c r="K1250" s="139">
        <f>Tabla1[[#This Row],[DIAS LAB]]*Tabla1[[#This Row],[SUE DIA]]</f>
        <v>4770.5</v>
      </c>
      <c r="L1250" s="168">
        <v>0</v>
      </c>
      <c r="M1250" s="198">
        <f>Tabla1[[#This Row],[HRS EXT]]*Tabla1[[#This Row],[SUE X HR]]</f>
        <v>0</v>
      </c>
      <c r="N1250" s="168">
        <v>0</v>
      </c>
      <c r="O1250" s="198">
        <f>Tabla1[[#This Row],[ASUETO]]*Tabla1[[#This Row],[SUE DIA]]</f>
        <v>0</v>
      </c>
      <c r="P1250" s="139">
        <f>IF(Tabla1[[#This Row],[FECHA ING]]&lt;$P$1007,365,_xlfn.DAYS($P$1008,Tabla1[[#This Row],[FECHA ING]])+1)</f>
        <v>365</v>
      </c>
      <c r="Q1250" s="198">
        <f>INT(30*(Tabla1[[#This Row],[FECHAS CONTB AGNLDO]]/365))</f>
        <v>30</v>
      </c>
      <c r="R1250" s="244">
        <f ca="1">IF($W$32=$W$26,Tabla1[[#This Row],[SUE DIA]]*Tabla1[[#This Row],[DIAS PAG AGNLDO]],0)</f>
        <v>0</v>
      </c>
      <c r="S1250" s="244">
        <f ca="1">(_xlfn.DAYS(TODAY(),Tabla1[[#This Row],[FECHA ING]])/365)</f>
        <v>6.2575342465753421</v>
      </c>
      <c r="T1250" s="244">
        <f ca="1">IF(Tabla1[[#This Row],[DIAS VAC]]&gt;1,Tabla1[[#This Row],[DIAS VAC]]-Tabla1[[#This Row],[ANTIG]],Tabla1[[#This Row],[DIAS VAC]])</f>
        <v>0.25753424657534207</v>
      </c>
      <c r="U1250" s="244">
        <f ca="1">Tabla1[[#This Row],[VALID ANTIG]]*Tabla1[[#This Row],[SUE DIA]]*Tabla1[[#This Row],[DIAS VAC PAG]]</f>
        <v>655.23579908675708</v>
      </c>
    </row>
    <row r="1251" spans="2:21" hidden="1" x14ac:dyDescent="0.25">
      <c r="B1251" s="243">
        <v>378</v>
      </c>
      <c r="C1251" s="140" t="str">
        <f>VLOOKUP(B1251,BDD[],2,0)</f>
        <v>Angélica Sarahi Escamilla Puente</v>
      </c>
      <c r="D1251" s="140">
        <f>VLOOKUP(B1251,BDD[],3,0)</f>
        <v>3900</v>
      </c>
      <c r="E1251" s="140">
        <f>VLOOKUP(B1251,BDD[],4,0)</f>
        <v>130</v>
      </c>
      <c r="F1251" s="142">
        <f>VLOOKUP(B1251,BDD[],26,0)</f>
        <v>14.444444444444445</v>
      </c>
      <c r="G1251" s="268">
        <f>VLOOKUP(B1251,BDD[],6,0)</f>
        <v>42483</v>
      </c>
      <c r="H1251" s="139">
        <f ca="1">VLOOKUP(B1251,BDD[],7,0)</f>
        <v>6</v>
      </c>
      <c r="I1251" s="139">
        <f ca="1">VLOOKUP(B1251,BDD[],22,0)</f>
        <v>4</v>
      </c>
      <c r="J1251" s="168">
        <v>15</v>
      </c>
      <c r="K1251" s="139">
        <f>Tabla1[[#This Row],[DIAS LAB]]*Tabla1[[#This Row],[SUE DIA]]</f>
        <v>1950</v>
      </c>
      <c r="L1251" s="168">
        <v>0</v>
      </c>
      <c r="M1251" s="198">
        <f>Tabla1[[#This Row],[HRS EXT]]*Tabla1[[#This Row],[SUE X HR]]</f>
        <v>0</v>
      </c>
      <c r="N1251" s="168">
        <v>0</v>
      </c>
      <c r="O1251" s="198">
        <f>Tabla1[[#This Row],[ASUETO]]*Tabla1[[#This Row],[SUE DIA]]</f>
        <v>0</v>
      </c>
      <c r="P1251" s="139">
        <f>IF(Tabla1[[#This Row],[FECHA ING]]&lt;$P$1007,365,_xlfn.DAYS($P$1008,Tabla1[[#This Row],[FECHA ING]])+1)</f>
        <v>365</v>
      </c>
      <c r="Q1251" s="198">
        <f>INT(30*(Tabla1[[#This Row],[FECHAS CONTB AGNLDO]]/365))</f>
        <v>30</v>
      </c>
      <c r="R1251" s="244">
        <f ca="1">IF($W$32=$W$26,Tabla1[[#This Row],[SUE DIA]]*Tabla1[[#This Row],[DIAS PAG AGNLDO]],0)</f>
        <v>0</v>
      </c>
      <c r="S1251" s="244">
        <f ca="1">(_xlfn.DAYS(TODAY(),Tabla1[[#This Row],[FECHA ING]])/365)</f>
        <v>6.2383561643835614</v>
      </c>
      <c r="T1251" s="244">
        <f ca="1">IF(Tabla1[[#This Row],[DIAS VAC]]&gt;1,Tabla1[[#This Row],[DIAS VAC]]-Tabla1[[#This Row],[ANTIG]],Tabla1[[#This Row],[DIAS VAC]])</f>
        <v>0.23835616438356144</v>
      </c>
      <c r="U1251" s="244">
        <f ca="1">Tabla1[[#This Row],[VALID ANTIG]]*Tabla1[[#This Row],[SUE DIA]]*Tabla1[[#This Row],[DIAS VAC PAG]]</f>
        <v>123.94520547945194</v>
      </c>
    </row>
    <row r="1252" spans="2:21" hidden="1" x14ac:dyDescent="0.25">
      <c r="B1252" s="243">
        <v>382</v>
      </c>
      <c r="C1252" s="140" t="str">
        <f>VLOOKUP(B1252,BDD[],2,0)</f>
        <v>Cecilia Jacqueline Loredo Gaytan</v>
      </c>
      <c r="D1252" s="140">
        <f>VLOOKUP(B1252,BDD[],3,0)</f>
        <v>9450</v>
      </c>
      <c r="E1252" s="140">
        <f>VLOOKUP(B1252,BDD[],4,0)</f>
        <v>315</v>
      </c>
      <c r="F1252" s="142">
        <f>VLOOKUP(B1252,BDD[],26,0)</f>
        <v>35</v>
      </c>
      <c r="G1252" s="268">
        <f>VLOOKUP(B1252,BDD[],6,0)</f>
        <v>42486</v>
      </c>
      <c r="H1252" s="139">
        <f ca="1">VLOOKUP(B1252,BDD[],7,0)</f>
        <v>6</v>
      </c>
      <c r="I1252" s="139">
        <f ca="1">VLOOKUP(B1252,BDD[],22,0)</f>
        <v>8</v>
      </c>
      <c r="J1252" s="168">
        <v>15</v>
      </c>
      <c r="K1252" s="139">
        <f>Tabla1[[#This Row],[DIAS LAB]]*Tabla1[[#This Row],[SUE DIA]]</f>
        <v>4725</v>
      </c>
      <c r="L1252" s="168">
        <v>0</v>
      </c>
      <c r="M1252" s="198">
        <f>Tabla1[[#This Row],[HRS EXT]]*Tabla1[[#This Row],[SUE X HR]]</f>
        <v>0</v>
      </c>
      <c r="N1252" s="168">
        <v>0</v>
      </c>
      <c r="O1252" s="198">
        <f>Tabla1[[#This Row],[ASUETO]]*Tabla1[[#This Row],[SUE DIA]]</f>
        <v>0</v>
      </c>
      <c r="P1252" s="139">
        <f>IF(Tabla1[[#This Row],[FECHA ING]]&lt;$P$1007,365,_xlfn.DAYS($P$1008,Tabla1[[#This Row],[FECHA ING]])+1)</f>
        <v>365</v>
      </c>
      <c r="Q1252" s="198">
        <f>INT(30*(Tabla1[[#This Row],[FECHAS CONTB AGNLDO]]/365))</f>
        <v>30</v>
      </c>
      <c r="R1252" s="244">
        <f ca="1">IF($W$32=$W$26,Tabla1[[#This Row],[SUE DIA]]*Tabla1[[#This Row],[DIAS PAG AGNLDO]],0)</f>
        <v>0</v>
      </c>
      <c r="S1252" s="244">
        <f ca="1">(_xlfn.DAYS(TODAY(),Tabla1[[#This Row],[FECHA ING]])/365)</f>
        <v>6.2301369863013702</v>
      </c>
      <c r="T1252" s="244">
        <f ca="1">IF(Tabla1[[#This Row],[DIAS VAC]]&gt;1,Tabla1[[#This Row],[DIAS VAC]]-Tabla1[[#This Row],[ANTIG]],Tabla1[[#This Row],[DIAS VAC]])</f>
        <v>0.23013698630137025</v>
      </c>
      <c r="U1252" s="244">
        <f ca="1">Tabla1[[#This Row],[VALID ANTIG]]*Tabla1[[#This Row],[SUE DIA]]*Tabla1[[#This Row],[DIAS VAC PAG]]</f>
        <v>579.94520547945308</v>
      </c>
    </row>
    <row r="1253" spans="2:21" hidden="1" x14ac:dyDescent="0.25">
      <c r="B1253" s="243">
        <v>383</v>
      </c>
      <c r="C1253" s="140" t="str">
        <f>VLOOKUP(B1253,BDD[],2,0)</f>
        <v>Mario Alberto Arcos Santiago</v>
      </c>
      <c r="D1253" s="140">
        <f>VLOOKUP(B1253,BDD[],3,0)</f>
        <v>9450</v>
      </c>
      <c r="E1253" s="140">
        <f>VLOOKUP(B1253,BDD[],4,0)</f>
        <v>315</v>
      </c>
      <c r="F1253" s="142">
        <f>VLOOKUP(B1253,BDD[],26,0)</f>
        <v>35</v>
      </c>
      <c r="G1253" s="268">
        <f>VLOOKUP(B1253,BDD[],6,0)</f>
        <v>42486</v>
      </c>
      <c r="H1253" s="139">
        <f ca="1">VLOOKUP(B1253,BDD[],7,0)</f>
        <v>6</v>
      </c>
      <c r="I1253" s="139">
        <f ca="1">VLOOKUP(B1253,BDD[],22,0)</f>
        <v>8</v>
      </c>
      <c r="J1253" s="168">
        <v>15</v>
      </c>
      <c r="K1253" s="139">
        <f>Tabla1[[#This Row],[DIAS LAB]]*Tabla1[[#This Row],[SUE DIA]]</f>
        <v>4725</v>
      </c>
      <c r="L1253" s="168">
        <v>0</v>
      </c>
      <c r="M1253" s="198">
        <f>Tabla1[[#This Row],[HRS EXT]]*Tabla1[[#This Row],[SUE X HR]]</f>
        <v>0</v>
      </c>
      <c r="N1253" s="168">
        <v>0</v>
      </c>
      <c r="O1253" s="198">
        <f>Tabla1[[#This Row],[ASUETO]]*Tabla1[[#This Row],[SUE DIA]]</f>
        <v>0</v>
      </c>
      <c r="P1253" s="139">
        <f>IF(Tabla1[[#This Row],[FECHA ING]]&lt;$P$1007,365,_xlfn.DAYS($P$1008,Tabla1[[#This Row],[FECHA ING]])+1)</f>
        <v>365</v>
      </c>
      <c r="Q1253" s="198">
        <f>INT(30*(Tabla1[[#This Row],[FECHAS CONTB AGNLDO]]/365))</f>
        <v>30</v>
      </c>
      <c r="R1253" s="244">
        <f ca="1">IF($W$32=$W$26,Tabla1[[#This Row],[SUE DIA]]*Tabla1[[#This Row],[DIAS PAG AGNLDO]],0)</f>
        <v>0</v>
      </c>
      <c r="S1253" s="244">
        <f ca="1">(_xlfn.DAYS(TODAY(),Tabla1[[#This Row],[FECHA ING]])/365)</f>
        <v>6.2301369863013702</v>
      </c>
      <c r="T1253" s="244">
        <f ca="1">IF(Tabla1[[#This Row],[DIAS VAC]]&gt;1,Tabla1[[#This Row],[DIAS VAC]]-Tabla1[[#This Row],[ANTIG]],Tabla1[[#This Row],[DIAS VAC]])</f>
        <v>0.23013698630137025</v>
      </c>
      <c r="U1253" s="244">
        <f ca="1">Tabla1[[#This Row],[VALID ANTIG]]*Tabla1[[#This Row],[SUE DIA]]*Tabla1[[#This Row],[DIAS VAC PAG]]</f>
        <v>579.94520547945308</v>
      </c>
    </row>
    <row r="1254" spans="2:21" hidden="1" x14ac:dyDescent="0.25">
      <c r="B1254" s="243">
        <v>384</v>
      </c>
      <c r="C1254" s="140" t="str">
        <f>VLOOKUP(B1254,BDD[],2,0)</f>
        <v>Noemi Villalobos Santana</v>
      </c>
      <c r="D1254" s="140">
        <f>VLOOKUP(B1254,BDD[],3,0)</f>
        <v>8825</v>
      </c>
      <c r="E1254" s="140">
        <f>VLOOKUP(B1254,BDD[],4,0)</f>
        <v>294.16666666666669</v>
      </c>
      <c r="F1254" s="142">
        <f>VLOOKUP(B1254,BDD[],26,0)</f>
        <v>32.68518518518519</v>
      </c>
      <c r="G1254" s="268">
        <f>VLOOKUP(B1254,BDD[],6,0)</f>
        <v>42487</v>
      </c>
      <c r="H1254" s="139">
        <f ca="1">VLOOKUP(B1254,BDD[],7,0)</f>
        <v>6</v>
      </c>
      <c r="I1254" s="139">
        <f ca="1">VLOOKUP(B1254,BDD[],22,0)</f>
        <v>8</v>
      </c>
      <c r="J1254" s="168">
        <v>15</v>
      </c>
      <c r="K1254" s="139">
        <f>Tabla1[[#This Row],[DIAS LAB]]*Tabla1[[#This Row],[SUE DIA]]</f>
        <v>4412.5</v>
      </c>
      <c r="L1254" s="168">
        <v>0</v>
      </c>
      <c r="M1254" s="198">
        <f>Tabla1[[#This Row],[HRS EXT]]*Tabla1[[#This Row],[SUE X HR]]</f>
        <v>0</v>
      </c>
      <c r="N1254" s="168">
        <v>0</v>
      </c>
      <c r="O1254" s="198">
        <f>Tabla1[[#This Row],[ASUETO]]*Tabla1[[#This Row],[SUE DIA]]</f>
        <v>0</v>
      </c>
      <c r="P1254" s="139">
        <f>IF(Tabla1[[#This Row],[FECHA ING]]&lt;$P$1007,365,_xlfn.DAYS($P$1008,Tabla1[[#This Row],[FECHA ING]])+1)</f>
        <v>365</v>
      </c>
      <c r="Q1254" s="198">
        <f>INT(30*(Tabla1[[#This Row],[FECHAS CONTB AGNLDO]]/365))</f>
        <v>30</v>
      </c>
      <c r="R1254" s="244">
        <f ca="1">IF($W$32=$W$26,Tabla1[[#This Row],[SUE DIA]]*Tabla1[[#This Row],[DIAS PAG AGNLDO]],0)</f>
        <v>0</v>
      </c>
      <c r="S1254" s="244">
        <f ca="1">(_xlfn.DAYS(TODAY(),Tabla1[[#This Row],[FECHA ING]])/365)</f>
        <v>6.2273972602739729</v>
      </c>
      <c r="T1254" s="244">
        <f ca="1">IF(Tabla1[[#This Row],[DIAS VAC]]&gt;1,Tabla1[[#This Row],[DIAS VAC]]-Tabla1[[#This Row],[ANTIG]],Tabla1[[#This Row],[DIAS VAC]])</f>
        <v>0.22739726027397289</v>
      </c>
      <c r="U1254" s="244">
        <f ca="1">Tabla1[[#This Row],[VALID ANTIG]]*Tabla1[[#This Row],[SUE DIA]]*Tabla1[[#This Row],[DIAS VAC PAG]]</f>
        <v>535.14155251141619</v>
      </c>
    </row>
    <row r="1255" spans="2:21" hidden="1" x14ac:dyDescent="0.25">
      <c r="B1255" s="243">
        <v>385</v>
      </c>
      <c r="C1255" s="140" t="str">
        <f>VLOOKUP(B1255,BDD[],2,0)</f>
        <v>Joana Lizeth Pérez Albardín</v>
      </c>
      <c r="D1255" s="140">
        <f>VLOOKUP(B1255,BDD[],3,0)</f>
        <v>7445</v>
      </c>
      <c r="E1255" s="140">
        <f>VLOOKUP(B1255,BDD[],4,0)</f>
        <v>248.16666666666666</v>
      </c>
      <c r="F1255" s="142">
        <f>VLOOKUP(B1255,BDD[],26,0)</f>
        <v>27.574074074074073</v>
      </c>
      <c r="G1255" s="268">
        <f>VLOOKUP(B1255,BDD[],6,0)</f>
        <v>42497</v>
      </c>
      <c r="H1255" s="139">
        <f ca="1">VLOOKUP(B1255,BDD[],7,0)</f>
        <v>6</v>
      </c>
      <c r="I1255" s="139">
        <f ca="1">VLOOKUP(B1255,BDD[],22,0)</f>
        <v>8</v>
      </c>
      <c r="J1255" s="168">
        <v>15</v>
      </c>
      <c r="K1255" s="139">
        <f>Tabla1[[#This Row],[DIAS LAB]]*Tabla1[[#This Row],[SUE DIA]]</f>
        <v>3722.5</v>
      </c>
      <c r="L1255" s="168">
        <v>0</v>
      </c>
      <c r="M1255" s="198">
        <f>Tabla1[[#This Row],[HRS EXT]]*Tabla1[[#This Row],[SUE X HR]]</f>
        <v>0</v>
      </c>
      <c r="N1255" s="168">
        <v>0</v>
      </c>
      <c r="O1255" s="198">
        <f>Tabla1[[#This Row],[ASUETO]]*Tabla1[[#This Row],[SUE DIA]]</f>
        <v>0</v>
      </c>
      <c r="P1255" s="139">
        <f>IF(Tabla1[[#This Row],[FECHA ING]]&lt;$P$1007,365,_xlfn.DAYS($P$1008,Tabla1[[#This Row],[FECHA ING]])+1)</f>
        <v>365</v>
      </c>
      <c r="Q1255" s="198">
        <f>INT(30*(Tabla1[[#This Row],[FECHAS CONTB AGNLDO]]/365))</f>
        <v>30</v>
      </c>
      <c r="R1255" s="244">
        <f ca="1">IF($W$32=$W$26,Tabla1[[#This Row],[SUE DIA]]*Tabla1[[#This Row],[DIAS PAG AGNLDO]],0)</f>
        <v>0</v>
      </c>
      <c r="S1255" s="244">
        <f ca="1">(_xlfn.DAYS(TODAY(),Tabla1[[#This Row],[FECHA ING]])/365)</f>
        <v>6.2</v>
      </c>
      <c r="T1255" s="244">
        <f ca="1">IF(Tabla1[[#This Row],[DIAS VAC]]&gt;1,Tabla1[[#This Row],[DIAS VAC]]-Tabla1[[#This Row],[ANTIG]],Tabla1[[#This Row],[DIAS VAC]])</f>
        <v>0.20000000000000018</v>
      </c>
      <c r="U1255" s="244">
        <f ca="1">Tabla1[[#This Row],[VALID ANTIG]]*Tabla1[[#This Row],[SUE DIA]]*Tabla1[[#This Row],[DIAS VAC PAG]]</f>
        <v>397.066666666667</v>
      </c>
    </row>
    <row r="1256" spans="2:21" hidden="1" x14ac:dyDescent="0.25">
      <c r="B1256" s="243">
        <v>386</v>
      </c>
      <c r="C1256" s="140" t="str">
        <f>VLOOKUP(B1256,BDD[],2,0)</f>
        <v>José Madero Tijerina</v>
      </c>
      <c r="D1256" s="140">
        <f>VLOOKUP(B1256,BDD[],3,0)</f>
        <v>9450</v>
      </c>
      <c r="E1256" s="140">
        <f>VLOOKUP(B1256,BDD[],4,0)</f>
        <v>315</v>
      </c>
      <c r="F1256" s="142">
        <f>VLOOKUP(B1256,BDD[],26,0)</f>
        <v>35</v>
      </c>
      <c r="G1256" s="268">
        <f>VLOOKUP(B1256,BDD[],6,0)</f>
        <v>42502</v>
      </c>
      <c r="H1256" s="139">
        <f ca="1">VLOOKUP(B1256,BDD[],7,0)</f>
        <v>6</v>
      </c>
      <c r="I1256" s="139">
        <f ca="1">VLOOKUP(B1256,BDD[],22,0)</f>
        <v>8</v>
      </c>
      <c r="J1256" s="168">
        <v>15</v>
      </c>
      <c r="K1256" s="139">
        <f>Tabla1[[#This Row],[DIAS LAB]]*Tabla1[[#This Row],[SUE DIA]]</f>
        <v>4725</v>
      </c>
      <c r="L1256" s="168">
        <v>0</v>
      </c>
      <c r="M1256" s="198">
        <f>Tabla1[[#This Row],[HRS EXT]]*Tabla1[[#This Row],[SUE X HR]]</f>
        <v>0</v>
      </c>
      <c r="N1256" s="168">
        <v>0</v>
      </c>
      <c r="O1256" s="198">
        <f>Tabla1[[#This Row],[ASUETO]]*Tabla1[[#This Row],[SUE DIA]]</f>
        <v>0</v>
      </c>
      <c r="P1256" s="139">
        <f>IF(Tabla1[[#This Row],[FECHA ING]]&lt;$P$1007,365,_xlfn.DAYS($P$1008,Tabla1[[#This Row],[FECHA ING]])+1)</f>
        <v>365</v>
      </c>
      <c r="Q1256" s="198">
        <f>INT(30*(Tabla1[[#This Row],[FECHAS CONTB AGNLDO]]/365))</f>
        <v>30</v>
      </c>
      <c r="R1256" s="244">
        <f ca="1">IF($W$32=$W$26,Tabla1[[#This Row],[SUE DIA]]*Tabla1[[#This Row],[DIAS PAG AGNLDO]],0)</f>
        <v>0</v>
      </c>
      <c r="S1256" s="244">
        <f ca="1">(_xlfn.DAYS(TODAY(),Tabla1[[#This Row],[FECHA ING]])/365)</f>
        <v>6.1863013698630134</v>
      </c>
      <c r="T1256" s="244">
        <f ca="1">IF(Tabla1[[#This Row],[DIAS VAC]]&gt;1,Tabla1[[#This Row],[DIAS VAC]]-Tabla1[[#This Row],[ANTIG]],Tabla1[[#This Row],[DIAS VAC]])</f>
        <v>0.18630136986301338</v>
      </c>
      <c r="U1256" s="244">
        <f ca="1">Tabla1[[#This Row],[VALID ANTIG]]*Tabla1[[#This Row],[SUE DIA]]*Tabla1[[#This Row],[DIAS VAC PAG]]</f>
        <v>469.47945205479368</v>
      </c>
    </row>
    <row r="1257" spans="2:21" hidden="1" x14ac:dyDescent="0.25">
      <c r="B1257" s="243">
        <v>387</v>
      </c>
      <c r="C1257" s="140" t="str">
        <f>VLOOKUP(B1257,BDD[],2,0)</f>
        <v>Salvador Morales Alcocer</v>
      </c>
      <c r="D1257" s="140">
        <f>VLOOKUP(B1257,BDD[],3,0)</f>
        <v>10860</v>
      </c>
      <c r="E1257" s="140">
        <f>VLOOKUP(B1257,BDD[],4,0)</f>
        <v>362</v>
      </c>
      <c r="F1257" s="142">
        <f>VLOOKUP(B1257,BDD[],26,0)</f>
        <v>40.222222222222221</v>
      </c>
      <c r="G1257" s="268">
        <f>VLOOKUP(B1257,BDD[],6,0)</f>
        <v>42503</v>
      </c>
      <c r="H1257" s="139">
        <f ca="1">VLOOKUP(B1257,BDD[],7,0)</f>
        <v>6</v>
      </c>
      <c r="I1257" s="139">
        <f ca="1">VLOOKUP(B1257,BDD[],22,0)</f>
        <v>8</v>
      </c>
      <c r="J1257" s="168">
        <v>15</v>
      </c>
      <c r="K1257" s="139">
        <f>Tabla1[[#This Row],[DIAS LAB]]*Tabla1[[#This Row],[SUE DIA]]</f>
        <v>5430</v>
      </c>
      <c r="L1257" s="168">
        <v>0</v>
      </c>
      <c r="M1257" s="198">
        <f>Tabla1[[#This Row],[HRS EXT]]*Tabla1[[#This Row],[SUE X HR]]</f>
        <v>0</v>
      </c>
      <c r="N1257" s="168">
        <v>0</v>
      </c>
      <c r="O1257" s="198">
        <f>Tabla1[[#This Row],[ASUETO]]*Tabla1[[#This Row],[SUE DIA]]</f>
        <v>0</v>
      </c>
      <c r="P1257" s="139">
        <f>IF(Tabla1[[#This Row],[FECHA ING]]&lt;$P$1007,365,_xlfn.DAYS($P$1008,Tabla1[[#This Row],[FECHA ING]])+1)</f>
        <v>365</v>
      </c>
      <c r="Q1257" s="198">
        <f>INT(30*(Tabla1[[#This Row],[FECHAS CONTB AGNLDO]]/365))</f>
        <v>30</v>
      </c>
      <c r="R1257" s="244">
        <f ca="1">IF($W$32=$W$26,Tabla1[[#This Row],[SUE DIA]]*Tabla1[[#This Row],[DIAS PAG AGNLDO]],0)</f>
        <v>0</v>
      </c>
      <c r="S1257" s="244">
        <f ca="1">(_xlfn.DAYS(TODAY(),Tabla1[[#This Row],[FECHA ING]])/365)</f>
        <v>6.183561643835616</v>
      </c>
      <c r="T1257" s="244">
        <f ca="1">IF(Tabla1[[#This Row],[DIAS VAC]]&gt;1,Tabla1[[#This Row],[DIAS VAC]]-Tabla1[[#This Row],[ANTIG]],Tabla1[[#This Row],[DIAS VAC]])</f>
        <v>0.18356164383561602</v>
      </c>
      <c r="U1257" s="244">
        <f ca="1">Tabla1[[#This Row],[VALID ANTIG]]*Tabla1[[#This Row],[SUE DIA]]*Tabla1[[#This Row],[DIAS VAC PAG]]</f>
        <v>531.59452054794394</v>
      </c>
    </row>
    <row r="1258" spans="2:21" hidden="1" x14ac:dyDescent="0.25">
      <c r="B1258" s="243">
        <v>388</v>
      </c>
      <c r="C1258" s="140" t="str">
        <f>VLOOKUP(B1258,BDD[],2,0)</f>
        <v>Brayan Antonio Lara Torres Carmona</v>
      </c>
      <c r="D1258" s="140">
        <f>VLOOKUP(B1258,BDD[],3,0)</f>
        <v>9450</v>
      </c>
      <c r="E1258" s="140">
        <f>VLOOKUP(B1258,BDD[],4,0)</f>
        <v>315</v>
      </c>
      <c r="F1258" s="142">
        <f>VLOOKUP(B1258,BDD[],26,0)</f>
        <v>35</v>
      </c>
      <c r="G1258" s="268">
        <f>VLOOKUP(B1258,BDD[],6,0)</f>
        <v>42514</v>
      </c>
      <c r="H1258" s="139">
        <f ca="1">VLOOKUP(B1258,BDD[],7,0)</f>
        <v>6</v>
      </c>
      <c r="I1258" s="139">
        <f ca="1">VLOOKUP(B1258,BDD[],22,0)</f>
        <v>8</v>
      </c>
      <c r="J1258" s="168">
        <v>15</v>
      </c>
      <c r="K1258" s="139">
        <f>Tabla1[[#This Row],[DIAS LAB]]*Tabla1[[#This Row],[SUE DIA]]</f>
        <v>4725</v>
      </c>
      <c r="L1258" s="168">
        <v>0</v>
      </c>
      <c r="M1258" s="198">
        <f>Tabla1[[#This Row],[HRS EXT]]*Tabla1[[#This Row],[SUE X HR]]</f>
        <v>0</v>
      </c>
      <c r="N1258" s="168">
        <v>0</v>
      </c>
      <c r="O1258" s="198">
        <f>Tabla1[[#This Row],[ASUETO]]*Tabla1[[#This Row],[SUE DIA]]</f>
        <v>0</v>
      </c>
      <c r="P1258" s="139">
        <f>IF(Tabla1[[#This Row],[FECHA ING]]&lt;$P$1007,365,_xlfn.DAYS($P$1008,Tabla1[[#This Row],[FECHA ING]])+1)</f>
        <v>365</v>
      </c>
      <c r="Q1258" s="198">
        <f>INT(30*(Tabla1[[#This Row],[FECHAS CONTB AGNLDO]]/365))</f>
        <v>30</v>
      </c>
      <c r="R1258" s="244">
        <f ca="1">IF($W$32=$W$26,Tabla1[[#This Row],[SUE DIA]]*Tabla1[[#This Row],[DIAS PAG AGNLDO]],0)</f>
        <v>0</v>
      </c>
      <c r="S1258" s="244">
        <f ca="1">(_xlfn.DAYS(TODAY(),Tabla1[[#This Row],[FECHA ING]])/365)</f>
        <v>6.1534246575342468</v>
      </c>
      <c r="T1258" s="244">
        <f ca="1">IF(Tabla1[[#This Row],[DIAS VAC]]&gt;1,Tabla1[[#This Row],[DIAS VAC]]-Tabla1[[#This Row],[ANTIG]],Tabla1[[#This Row],[DIAS VAC]])</f>
        <v>0.15342465753424683</v>
      </c>
      <c r="U1258" s="244">
        <f ca="1">Tabla1[[#This Row],[VALID ANTIG]]*Tabla1[[#This Row],[SUE DIA]]*Tabla1[[#This Row],[DIAS VAC PAG]]</f>
        <v>386.63013698630203</v>
      </c>
    </row>
    <row r="1259" spans="2:21" hidden="1" x14ac:dyDescent="0.25">
      <c r="B1259" s="243">
        <v>389</v>
      </c>
      <c r="C1259" s="140" t="str">
        <f>VLOOKUP(B1259,BDD[],2,0)</f>
        <v>Alma Rely Manrique Cartagena</v>
      </c>
      <c r="D1259" s="140">
        <f>VLOOKUP(B1259,BDD[],3,0)</f>
        <v>10350</v>
      </c>
      <c r="E1259" s="140">
        <f>VLOOKUP(B1259,BDD[],4,0)</f>
        <v>345</v>
      </c>
      <c r="F1259" s="142">
        <f>VLOOKUP(B1259,BDD[],26,0)</f>
        <v>38.333333333333336</v>
      </c>
      <c r="G1259" s="268">
        <f>VLOOKUP(B1259,BDD[],6,0)</f>
        <v>42534</v>
      </c>
      <c r="H1259" s="139">
        <f ca="1">VLOOKUP(B1259,BDD[],7,0)</f>
        <v>6</v>
      </c>
      <c r="I1259" s="139">
        <f ca="1">VLOOKUP(B1259,BDD[],22,0)</f>
        <v>8</v>
      </c>
      <c r="J1259" s="168">
        <v>15</v>
      </c>
      <c r="K1259" s="139">
        <f>Tabla1[[#This Row],[DIAS LAB]]*Tabla1[[#This Row],[SUE DIA]]</f>
        <v>5175</v>
      </c>
      <c r="L1259" s="168">
        <v>0</v>
      </c>
      <c r="M1259" s="198">
        <f>Tabla1[[#This Row],[HRS EXT]]*Tabla1[[#This Row],[SUE X HR]]</f>
        <v>0</v>
      </c>
      <c r="N1259" s="168">
        <v>0</v>
      </c>
      <c r="O1259" s="198">
        <f>Tabla1[[#This Row],[ASUETO]]*Tabla1[[#This Row],[SUE DIA]]</f>
        <v>0</v>
      </c>
      <c r="P1259" s="139">
        <f>IF(Tabla1[[#This Row],[FECHA ING]]&lt;$P$1007,365,_xlfn.DAYS($P$1008,Tabla1[[#This Row],[FECHA ING]])+1)</f>
        <v>365</v>
      </c>
      <c r="Q1259" s="198">
        <f>INT(30*(Tabla1[[#This Row],[FECHAS CONTB AGNLDO]]/365))</f>
        <v>30</v>
      </c>
      <c r="R1259" s="244">
        <f ca="1">IF($W$32=$W$26,Tabla1[[#This Row],[SUE DIA]]*Tabla1[[#This Row],[DIAS PAG AGNLDO]],0)</f>
        <v>0</v>
      </c>
      <c r="S1259" s="244">
        <f ca="1">(_xlfn.DAYS(TODAY(),Tabla1[[#This Row],[FECHA ING]])/365)</f>
        <v>6.0986301369863014</v>
      </c>
      <c r="T1259" s="244">
        <f ca="1">IF(Tabla1[[#This Row],[DIAS VAC]]&gt;1,Tabla1[[#This Row],[DIAS VAC]]-Tabla1[[#This Row],[ANTIG]],Tabla1[[#This Row],[DIAS VAC]])</f>
        <v>9.8630136986301409E-2</v>
      </c>
      <c r="U1259" s="244">
        <f ca="1">Tabla1[[#This Row],[VALID ANTIG]]*Tabla1[[#This Row],[SUE DIA]]*Tabla1[[#This Row],[DIAS VAC PAG]]</f>
        <v>272.21917808219189</v>
      </c>
    </row>
    <row r="1260" spans="2:21" hidden="1" x14ac:dyDescent="0.25">
      <c r="B1260" s="243">
        <v>391</v>
      </c>
      <c r="C1260" s="140" t="str">
        <f>VLOOKUP(B1260,BDD[],2,0)</f>
        <v>Alfonso Noyola Bustos</v>
      </c>
      <c r="D1260" s="140">
        <f>VLOOKUP(B1260,BDD[],3,0)</f>
        <v>7445</v>
      </c>
      <c r="E1260" s="140">
        <f>VLOOKUP(B1260,BDD[],4,0)</f>
        <v>248.16666666666666</v>
      </c>
      <c r="F1260" s="142">
        <f>VLOOKUP(B1260,BDD[],26,0)</f>
        <v>27.574074074074073</v>
      </c>
      <c r="G1260" s="268">
        <f>VLOOKUP(B1260,BDD[],6,0)</f>
        <v>42542</v>
      </c>
      <c r="H1260" s="139">
        <f ca="1">VLOOKUP(B1260,BDD[],7,0)</f>
        <v>6</v>
      </c>
      <c r="I1260" s="139">
        <f ca="1">VLOOKUP(B1260,BDD[],22,0)</f>
        <v>8</v>
      </c>
      <c r="J1260" s="168">
        <v>15</v>
      </c>
      <c r="K1260" s="139">
        <f>Tabla1[[#This Row],[DIAS LAB]]*Tabla1[[#This Row],[SUE DIA]]</f>
        <v>3722.5</v>
      </c>
      <c r="L1260" s="168">
        <v>0</v>
      </c>
      <c r="M1260" s="198">
        <f>Tabla1[[#This Row],[HRS EXT]]*Tabla1[[#This Row],[SUE X HR]]</f>
        <v>0</v>
      </c>
      <c r="N1260" s="168">
        <v>0</v>
      </c>
      <c r="O1260" s="198">
        <f>Tabla1[[#This Row],[ASUETO]]*Tabla1[[#This Row],[SUE DIA]]</f>
        <v>0</v>
      </c>
      <c r="P1260" s="139">
        <f>IF(Tabla1[[#This Row],[FECHA ING]]&lt;$P$1007,365,_xlfn.DAYS($P$1008,Tabla1[[#This Row],[FECHA ING]])+1)</f>
        <v>365</v>
      </c>
      <c r="Q1260" s="198">
        <f>INT(30*(Tabla1[[#This Row],[FECHAS CONTB AGNLDO]]/365))</f>
        <v>30</v>
      </c>
      <c r="R1260" s="244">
        <f ca="1">IF($W$32=$W$26,Tabla1[[#This Row],[SUE DIA]]*Tabla1[[#This Row],[DIAS PAG AGNLDO]],0)</f>
        <v>0</v>
      </c>
      <c r="S1260" s="244">
        <f ca="1">(_xlfn.DAYS(TODAY(),Tabla1[[#This Row],[FECHA ING]])/365)</f>
        <v>6.0767123287671234</v>
      </c>
      <c r="T1260" s="244">
        <f ca="1">IF(Tabla1[[#This Row],[DIAS VAC]]&gt;1,Tabla1[[#This Row],[DIAS VAC]]-Tabla1[[#This Row],[ANTIG]],Tabla1[[#This Row],[DIAS VAC]])</f>
        <v>7.6712328767123417E-2</v>
      </c>
      <c r="U1260" s="244">
        <f ca="1">Tabla1[[#This Row],[VALID ANTIG]]*Tabla1[[#This Row],[SUE DIA]]*Tabla1[[#This Row],[DIAS VAC PAG]]</f>
        <v>152.29954337899568</v>
      </c>
    </row>
    <row r="1261" spans="2:21" hidden="1" x14ac:dyDescent="0.25">
      <c r="B1261" s="246">
        <v>392</v>
      </c>
      <c r="C1261" s="140" t="str">
        <f>VLOOKUP(B1261,BDD[],2,0)</f>
        <v>Alexander Islas Gutierrez</v>
      </c>
      <c r="D1261" s="140">
        <f>VLOOKUP(B1261,BDD[],3,0)</f>
        <v>6778</v>
      </c>
      <c r="E1261" s="140">
        <f>VLOOKUP(B1261,BDD[],4,0)</f>
        <v>225.93333333333334</v>
      </c>
      <c r="F1261" s="142">
        <f>VLOOKUP(B1261,BDD[],26,0)</f>
        <v>25.103703703703705</v>
      </c>
      <c r="G1261" s="268">
        <f>VLOOKUP(B1261,BDD[],6,0)</f>
        <v>42544</v>
      </c>
      <c r="H1261" s="139">
        <f ca="1">VLOOKUP(B1261,BDD[],7,0)</f>
        <v>6</v>
      </c>
      <c r="I1261" s="139">
        <f ca="1">VLOOKUP(B1261,BDD[],22,0)</f>
        <v>8</v>
      </c>
      <c r="J1261" s="168">
        <v>15</v>
      </c>
      <c r="K1261" s="139">
        <f>Tabla1[[#This Row],[DIAS LAB]]*Tabla1[[#This Row],[SUE DIA]]</f>
        <v>3389</v>
      </c>
      <c r="L1261" s="168">
        <v>0</v>
      </c>
      <c r="M1261" s="198">
        <f>Tabla1[[#This Row],[HRS EXT]]*Tabla1[[#This Row],[SUE X HR]]</f>
        <v>0</v>
      </c>
      <c r="N1261" s="168">
        <v>0</v>
      </c>
      <c r="O1261" s="198">
        <f>Tabla1[[#This Row],[ASUETO]]*Tabla1[[#This Row],[SUE DIA]]</f>
        <v>0</v>
      </c>
      <c r="P1261" s="139">
        <f>IF(Tabla1[[#This Row],[FECHA ING]]&lt;$P$1007,365,_xlfn.DAYS($P$1008,Tabla1[[#This Row],[FECHA ING]])+1)</f>
        <v>365</v>
      </c>
      <c r="Q1261" s="198">
        <f>INT(30*(Tabla1[[#This Row],[FECHAS CONTB AGNLDO]]/365))</f>
        <v>30</v>
      </c>
      <c r="R1261" s="244">
        <f ca="1">IF($W$32=$W$26,Tabla1[[#This Row],[SUE DIA]]*Tabla1[[#This Row],[DIAS PAG AGNLDO]],0)</f>
        <v>0</v>
      </c>
      <c r="S1261" s="244">
        <f ca="1">(_xlfn.DAYS(TODAY(),Tabla1[[#This Row],[FECHA ING]])/365)</f>
        <v>6.0712328767123287</v>
      </c>
      <c r="T1261" s="244">
        <f ca="1">IF(Tabla1[[#This Row],[DIAS VAC]]&gt;1,Tabla1[[#This Row],[DIAS VAC]]-Tabla1[[#This Row],[ANTIG]],Tabla1[[#This Row],[DIAS VAC]])</f>
        <v>7.1232876712328697E-2</v>
      </c>
      <c r="U1261" s="244">
        <f ca="1">Tabla1[[#This Row],[VALID ANTIG]]*Tabla1[[#This Row],[SUE DIA]]*Tabla1[[#This Row],[DIAS VAC PAG]]</f>
        <v>128.75105022831039</v>
      </c>
    </row>
    <row r="1262" spans="2:21" hidden="1" x14ac:dyDescent="0.25">
      <c r="B1262" s="243">
        <v>393</v>
      </c>
      <c r="C1262" s="140" t="str">
        <f>VLOOKUP(B1262,BDD[],2,0)</f>
        <v>Rocio Diaz Palma</v>
      </c>
      <c r="D1262" s="140">
        <f>VLOOKUP(B1262,BDD[],3,0)</f>
        <v>10350</v>
      </c>
      <c r="E1262" s="140">
        <f>VLOOKUP(B1262,BDD[],4,0)</f>
        <v>345</v>
      </c>
      <c r="F1262" s="142">
        <f>VLOOKUP(B1262,BDD[],26,0)</f>
        <v>38.333333333333336</v>
      </c>
      <c r="G1262" s="268">
        <f>VLOOKUP(B1262,BDD[],6,0)</f>
        <v>42559</v>
      </c>
      <c r="H1262" s="139">
        <f ca="1">VLOOKUP(B1262,BDD[],7,0)</f>
        <v>6</v>
      </c>
      <c r="I1262" s="139">
        <f ca="1">VLOOKUP(B1262,BDD[],22,0)</f>
        <v>8</v>
      </c>
      <c r="J1262" s="168">
        <v>15</v>
      </c>
      <c r="K1262" s="139">
        <f>Tabla1[[#This Row],[DIAS LAB]]*Tabla1[[#This Row],[SUE DIA]]</f>
        <v>5175</v>
      </c>
      <c r="L1262" s="168">
        <v>0</v>
      </c>
      <c r="M1262" s="198">
        <f>Tabla1[[#This Row],[HRS EXT]]*Tabla1[[#This Row],[SUE X HR]]</f>
        <v>0</v>
      </c>
      <c r="N1262" s="168">
        <v>0</v>
      </c>
      <c r="O1262" s="198">
        <f>Tabla1[[#This Row],[ASUETO]]*Tabla1[[#This Row],[SUE DIA]]</f>
        <v>0</v>
      </c>
      <c r="P1262" s="139">
        <f>IF(Tabla1[[#This Row],[FECHA ING]]&lt;$P$1007,365,_xlfn.DAYS($P$1008,Tabla1[[#This Row],[FECHA ING]])+1)</f>
        <v>365</v>
      </c>
      <c r="Q1262" s="198">
        <f>INT(30*(Tabla1[[#This Row],[FECHAS CONTB AGNLDO]]/365))</f>
        <v>30</v>
      </c>
      <c r="R1262" s="244">
        <f ca="1">IF($W$32=$W$26,Tabla1[[#This Row],[SUE DIA]]*Tabla1[[#This Row],[DIAS PAG AGNLDO]],0)</f>
        <v>0</v>
      </c>
      <c r="S1262" s="244">
        <f ca="1">(_xlfn.DAYS(TODAY(),Tabla1[[#This Row],[FECHA ING]])/365)</f>
        <v>6.0301369863013701</v>
      </c>
      <c r="T1262" s="244">
        <f ca="1">IF(Tabla1[[#This Row],[DIAS VAC]]&gt;1,Tabla1[[#This Row],[DIAS VAC]]-Tabla1[[#This Row],[ANTIG]],Tabla1[[#This Row],[DIAS VAC]])</f>
        <v>3.0136986301370072E-2</v>
      </c>
      <c r="U1262" s="244">
        <f ca="1">Tabla1[[#This Row],[VALID ANTIG]]*Tabla1[[#This Row],[SUE DIA]]*Tabla1[[#This Row],[DIAS VAC PAG]]</f>
        <v>83.1780821917814</v>
      </c>
    </row>
    <row r="1263" spans="2:21" hidden="1" x14ac:dyDescent="0.25">
      <c r="B1263" s="243">
        <v>394</v>
      </c>
      <c r="C1263" s="140" t="str">
        <f>VLOOKUP(B1263,BDD[],2,0)</f>
        <v>Edson Alejandro Vazquez Castillo</v>
      </c>
      <c r="D1263" s="140">
        <f>VLOOKUP(B1263,BDD[],3,0)</f>
        <v>7445</v>
      </c>
      <c r="E1263" s="140">
        <f>VLOOKUP(B1263,BDD[],4,0)</f>
        <v>248.16666666666666</v>
      </c>
      <c r="F1263" s="142">
        <f>VLOOKUP(B1263,BDD[],26,0)</f>
        <v>27.574074074074073</v>
      </c>
      <c r="G1263" s="268">
        <f>VLOOKUP(B1263,BDD[],6,0)</f>
        <v>42588</v>
      </c>
      <c r="H1263" s="139">
        <f ca="1">VLOOKUP(B1263,BDD[],7,0)</f>
        <v>5</v>
      </c>
      <c r="I1263" s="139">
        <f ca="1">VLOOKUP(B1263,BDD[],22,0)</f>
        <v>8</v>
      </c>
      <c r="J1263" s="168">
        <v>15</v>
      </c>
      <c r="K1263" s="139">
        <f>Tabla1[[#This Row],[DIAS LAB]]*Tabla1[[#This Row],[SUE DIA]]</f>
        <v>3722.5</v>
      </c>
      <c r="L1263" s="168">
        <v>0</v>
      </c>
      <c r="M1263" s="198">
        <f>Tabla1[[#This Row],[HRS EXT]]*Tabla1[[#This Row],[SUE X HR]]</f>
        <v>0</v>
      </c>
      <c r="N1263" s="168">
        <v>0</v>
      </c>
      <c r="O1263" s="198">
        <f>Tabla1[[#This Row],[ASUETO]]*Tabla1[[#This Row],[SUE DIA]]</f>
        <v>0</v>
      </c>
      <c r="P1263" s="139">
        <f>IF(Tabla1[[#This Row],[FECHA ING]]&lt;$P$1007,365,_xlfn.DAYS($P$1008,Tabla1[[#This Row],[FECHA ING]])+1)</f>
        <v>365</v>
      </c>
      <c r="Q1263" s="198">
        <f>INT(30*(Tabla1[[#This Row],[FECHAS CONTB AGNLDO]]/365))</f>
        <v>30</v>
      </c>
      <c r="R1263" s="244">
        <f ca="1">IF($W$32=$W$26,Tabla1[[#This Row],[SUE DIA]]*Tabla1[[#This Row],[DIAS PAG AGNLDO]],0)</f>
        <v>0</v>
      </c>
      <c r="S1263" s="244">
        <f ca="1">(_xlfn.DAYS(TODAY(),Tabla1[[#This Row],[FECHA ING]])/365)</f>
        <v>5.9506849315068493</v>
      </c>
      <c r="T1263" s="244">
        <f ca="1">IF(Tabla1[[#This Row],[DIAS VAC]]&gt;1,Tabla1[[#This Row],[DIAS VAC]]-Tabla1[[#This Row],[ANTIG]],Tabla1[[#This Row],[DIAS VAC]])</f>
        <v>0.9506849315068493</v>
      </c>
      <c r="U1263" s="244">
        <f ca="1">Tabla1[[#This Row],[VALID ANTIG]]*Tabla1[[#This Row],[SUE DIA]]*Tabla1[[#This Row],[DIAS VAC PAG]]</f>
        <v>1887.4264840182648</v>
      </c>
    </row>
    <row r="1264" spans="2:21" hidden="1" x14ac:dyDescent="0.25">
      <c r="B1264" s="243">
        <v>395</v>
      </c>
      <c r="C1264" s="140" t="str">
        <f>VLOOKUP(B1264,BDD[],2,0)</f>
        <v>Irma Solis Bolivar</v>
      </c>
      <c r="D1264" s="140">
        <f>VLOOKUP(B1264,BDD[],3,0)</f>
        <v>9450</v>
      </c>
      <c r="E1264" s="140">
        <f>VLOOKUP(B1264,BDD[],4,0)</f>
        <v>315</v>
      </c>
      <c r="F1264" s="142">
        <f>VLOOKUP(B1264,BDD[],26,0)</f>
        <v>35</v>
      </c>
      <c r="G1264" s="268">
        <f>VLOOKUP(B1264,BDD[],6,0)</f>
        <v>42601</v>
      </c>
      <c r="H1264" s="139">
        <f ca="1">VLOOKUP(B1264,BDD[],7,0)</f>
        <v>5</v>
      </c>
      <c r="I1264" s="139">
        <f ca="1">VLOOKUP(B1264,BDD[],22,0)</f>
        <v>8</v>
      </c>
      <c r="J1264" s="168">
        <v>15</v>
      </c>
      <c r="K1264" s="139">
        <f>Tabla1[[#This Row],[DIAS LAB]]*Tabla1[[#This Row],[SUE DIA]]</f>
        <v>4725</v>
      </c>
      <c r="L1264" s="168">
        <v>0</v>
      </c>
      <c r="M1264" s="198">
        <f>Tabla1[[#This Row],[HRS EXT]]*Tabla1[[#This Row],[SUE X HR]]</f>
        <v>0</v>
      </c>
      <c r="N1264" s="168">
        <v>0</v>
      </c>
      <c r="O1264" s="198">
        <f>Tabla1[[#This Row],[ASUETO]]*Tabla1[[#This Row],[SUE DIA]]</f>
        <v>0</v>
      </c>
      <c r="P1264" s="139">
        <f>IF(Tabla1[[#This Row],[FECHA ING]]&lt;$P$1007,365,_xlfn.DAYS($P$1008,Tabla1[[#This Row],[FECHA ING]])+1)</f>
        <v>365</v>
      </c>
      <c r="Q1264" s="198">
        <f>INT(30*(Tabla1[[#This Row],[FECHAS CONTB AGNLDO]]/365))</f>
        <v>30</v>
      </c>
      <c r="R1264" s="244">
        <f ca="1">IF($W$32=$W$26,Tabla1[[#This Row],[SUE DIA]]*Tabla1[[#This Row],[DIAS PAG AGNLDO]],0)</f>
        <v>0</v>
      </c>
      <c r="S1264" s="244">
        <f ca="1">(_xlfn.DAYS(TODAY(),Tabla1[[#This Row],[FECHA ING]])/365)</f>
        <v>5.9150684931506845</v>
      </c>
      <c r="T1264" s="244">
        <f ca="1">IF(Tabla1[[#This Row],[DIAS VAC]]&gt;1,Tabla1[[#This Row],[DIAS VAC]]-Tabla1[[#This Row],[ANTIG]],Tabla1[[#This Row],[DIAS VAC]])</f>
        <v>0.9150684931506845</v>
      </c>
      <c r="U1264" s="244">
        <f ca="1">Tabla1[[#This Row],[VALID ANTIG]]*Tabla1[[#This Row],[SUE DIA]]*Tabla1[[#This Row],[DIAS VAC PAG]]</f>
        <v>2305.9726027397251</v>
      </c>
    </row>
    <row r="1265" spans="2:21" hidden="1" x14ac:dyDescent="0.25">
      <c r="B1265" s="243">
        <v>396</v>
      </c>
      <c r="C1265" s="140" t="str">
        <f>VLOOKUP(B1265,BDD[],2,0)</f>
        <v>Ingrid Elizabeth Perez Rangel</v>
      </c>
      <c r="D1265" s="140">
        <f>VLOOKUP(B1265,BDD[],3,0)</f>
        <v>9450</v>
      </c>
      <c r="E1265" s="140">
        <f>VLOOKUP(B1265,BDD[],4,0)</f>
        <v>315</v>
      </c>
      <c r="F1265" s="142">
        <f>VLOOKUP(B1265,BDD[],26,0)</f>
        <v>35</v>
      </c>
      <c r="G1265" s="268">
        <f>VLOOKUP(B1265,BDD[],6,0)</f>
        <v>42604</v>
      </c>
      <c r="H1265" s="139">
        <f ca="1">VLOOKUP(B1265,BDD[],7,0)</f>
        <v>5</v>
      </c>
      <c r="I1265" s="139">
        <f ca="1">VLOOKUP(B1265,BDD[],22,0)</f>
        <v>8</v>
      </c>
      <c r="J1265" s="168">
        <v>15</v>
      </c>
      <c r="K1265" s="139">
        <f>Tabla1[[#This Row],[DIAS LAB]]*Tabla1[[#This Row],[SUE DIA]]</f>
        <v>4725</v>
      </c>
      <c r="L1265" s="168">
        <v>0</v>
      </c>
      <c r="M1265" s="198">
        <f>Tabla1[[#This Row],[HRS EXT]]*Tabla1[[#This Row],[SUE X HR]]</f>
        <v>0</v>
      </c>
      <c r="N1265" s="168">
        <v>0</v>
      </c>
      <c r="O1265" s="198">
        <f>Tabla1[[#This Row],[ASUETO]]*Tabla1[[#This Row],[SUE DIA]]</f>
        <v>0</v>
      </c>
      <c r="P1265" s="139">
        <f>IF(Tabla1[[#This Row],[FECHA ING]]&lt;$P$1007,365,_xlfn.DAYS($P$1008,Tabla1[[#This Row],[FECHA ING]])+1)</f>
        <v>365</v>
      </c>
      <c r="Q1265" s="198">
        <f>INT(30*(Tabla1[[#This Row],[FECHAS CONTB AGNLDO]]/365))</f>
        <v>30</v>
      </c>
      <c r="R1265" s="244">
        <f ca="1">IF($W$32=$W$26,Tabla1[[#This Row],[SUE DIA]]*Tabla1[[#This Row],[DIAS PAG AGNLDO]],0)</f>
        <v>0</v>
      </c>
      <c r="S1265" s="244">
        <f ca="1">(_xlfn.DAYS(TODAY(),Tabla1[[#This Row],[FECHA ING]])/365)</f>
        <v>5.9068493150684933</v>
      </c>
      <c r="T1265" s="244">
        <f ca="1">IF(Tabla1[[#This Row],[DIAS VAC]]&gt;1,Tabla1[[#This Row],[DIAS VAC]]-Tabla1[[#This Row],[ANTIG]],Tabla1[[#This Row],[DIAS VAC]])</f>
        <v>0.90684931506849331</v>
      </c>
      <c r="U1265" s="244">
        <f ca="1">Tabla1[[#This Row],[VALID ANTIG]]*Tabla1[[#This Row],[SUE DIA]]*Tabla1[[#This Row],[DIAS VAC PAG]]</f>
        <v>2285.260273972603</v>
      </c>
    </row>
    <row r="1266" spans="2:21" hidden="1" x14ac:dyDescent="0.25">
      <c r="B1266" s="243">
        <v>397</v>
      </c>
      <c r="C1266" s="140" t="str">
        <f>VLOOKUP(B1266,BDD[],2,0)</f>
        <v>Juan Miguel Cruz Bailon</v>
      </c>
      <c r="D1266" s="140">
        <f>VLOOKUP(B1266,BDD[],3,0)</f>
        <v>9541</v>
      </c>
      <c r="E1266" s="140">
        <f>VLOOKUP(B1266,BDD[],4,0)</f>
        <v>318.03333333333336</v>
      </c>
      <c r="F1266" s="142">
        <f>VLOOKUP(B1266,BDD[],26,0)</f>
        <v>35.337037037037042</v>
      </c>
      <c r="G1266" s="268">
        <f>VLOOKUP(B1266,BDD[],6,0)</f>
        <v>42643</v>
      </c>
      <c r="H1266" s="139">
        <f ca="1">VLOOKUP(B1266,BDD[],7,0)</f>
        <v>5</v>
      </c>
      <c r="I1266" s="139">
        <f ca="1">VLOOKUP(B1266,BDD[],22,0)</f>
        <v>8</v>
      </c>
      <c r="J1266" s="168">
        <v>15</v>
      </c>
      <c r="K1266" s="139">
        <f>Tabla1[[#This Row],[DIAS LAB]]*Tabla1[[#This Row],[SUE DIA]]</f>
        <v>4770.5</v>
      </c>
      <c r="L1266" s="168">
        <v>0</v>
      </c>
      <c r="M1266" s="198">
        <f>Tabla1[[#This Row],[HRS EXT]]*Tabla1[[#This Row],[SUE X HR]]</f>
        <v>0</v>
      </c>
      <c r="N1266" s="168">
        <v>0</v>
      </c>
      <c r="O1266" s="198">
        <f>Tabla1[[#This Row],[ASUETO]]*Tabla1[[#This Row],[SUE DIA]]</f>
        <v>0</v>
      </c>
      <c r="P1266" s="139">
        <f>IF(Tabla1[[#This Row],[FECHA ING]]&lt;$P$1007,365,_xlfn.DAYS($P$1008,Tabla1[[#This Row],[FECHA ING]])+1)</f>
        <v>365</v>
      </c>
      <c r="Q1266" s="198">
        <f>INT(30*(Tabla1[[#This Row],[FECHAS CONTB AGNLDO]]/365))</f>
        <v>30</v>
      </c>
      <c r="R1266" s="244">
        <f ca="1">IF($W$32=$W$26,Tabla1[[#This Row],[SUE DIA]]*Tabla1[[#This Row],[DIAS PAG AGNLDO]],0)</f>
        <v>0</v>
      </c>
      <c r="S1266" s="244">
        <f ca="1">(_xlfn.DAYS(TODAY(),Tabla1[[#This Row],[FECHA ING]])/365)</f>
        <v>5.8</v>
      </c>
      <c r="T1266" s="244">
        <f ca="1">IF(Tabla1[[#This Row],[DIAS VAC]]&gt;1,Tabla1[[#This Row],[DIAS VAC]]-Tabla1[[#This Row],[ANTIG]],Tabla1[[#This Row],[DIAS VAC]])</f>
        <v>0.79999999999999982</v>
      </c>
      <c r="U1266" s="244">
        <f ca="1">Tabla1[[#This Row],[VALID ANTIG]]*Tabla1[[#This Row],[SUE DIA]]*Tabla1[[#This Row],[DIAS VAC PAG]]</f>
        <v>2035.413333333333</v>
      </c>
    </row>
    <row r="1267" spans="2:21" hidden="1" x14ac:dyDescent="0.25">
      <c r="B1267" s="243">
        <v>398</v>
      </c>
      <c r="C1267" s="140" t="str">
        <f>VLOOKUP(B1267,BDD[],2,0)</f>
        <v>Rocio Del Carmen Hernandez Gallardo</v>
      </c>
      <c r="D1267" s="140">
        <f>VLOOKUP(B1267,BDD[],3,0)</f>
        <v>7445</v>
      </c>
      <c r="E1267" s="140">
        <f>VLOOKUP(B1267,BDD[],4,0)</f>
        <v>248.16666666666666</v>
      </c>
      <c r="F1267" s="142">
        <f>VLOOKUP(B1267,BDD[],26,0)</f>
        <v>27.574074074074073</v>
      </c>
      <c r="G1267" s="268">
        <f>VLOOKUP(B1267,BDD[],6,0)</f>
        <v>42644</v>
      </c>
      <c r="H1267" s="139">
        <f ca="1">VLOOKUP(B1267,BDD[],7,0)</f>
        <v>5</v>
      </c>
      <c r="I1267" s="139">
        <f ca="1">VLOOKUP(B1267,BDD[],22,0)</f>
        <v>8</v>
      </c>
      <c r="J1267" s="168">
        <v>15</v>
      </c>
      <c r="K1267" s="139">
        <f>Tabla1[[#This Row],[DIAS LAB]]*Tabla1[[#This Row],[SUE DIA]]</f>
        <v>3722.5</v>
      </c>
      <c r="L1267" s="168">
        <v>0</v>
      </c>
      <c r="M1267" s="198">
        <f>Tabla1[[#This Row],[HRS EXT]]*Tabla1[[#This Row],[SUE X HR]]</f>
        <v>0</v>
      </c>
      <c r="N1267" s="168">
        <v>0</v>
      </c>
      <c r="O1267" s="198">
        <f>Tabla1[[#This Row],[ASUETO]]*Tabla1[[#This Row],[SUE DIA]]</f>
        <v>0</v>
      </c>
      <c r="P1267" s="139">
        <f>IF(Tabla1[[#This Row],[FECHA ING]]&lt;$P$1007,365,_xlfn.DAYS($P$1008,Tabla1[[#This Row],[FECHA ING]])+1)</f>
        <v>365</v>
      </c>
      <c r="Q1267" s="198">
        <f>INT(30*(Tabla1[[#This Row],[FECHAS CONTB AGNLDO]]/365))</f>
        <v>30</v>
      </c>
      <c r="R1267" s="244">
        <f ca="1">IF($W$32=$W$26,Tabla1[[#This Row],[SUE DIA]]*Tabla1[[#This Row],[DIAS PAG AGNLDO]],0)</f>
        <v>0</v>
      </c>
      <c r="S1267" s="244">
        <f ca="1">(_xlfn.DAYS(TODAY(),Tabla1[[#This Row],[FECHA ING]])/365)</f>
        <v>5.7972602739726025</v>
      </c>
      <c r="T1267" s="244">
        <f ca="1">IF(Tabla1[[#This Row],[DIAS VAC]]&gt;1,Tabla1[[#This Row],[DIAS VAC]]-Tabla1[[#This Row],[ANTIG]],Tabla1[[#This Row],[DIAS VAC]])</f>
        <v>0.79726027397260246</v>
      </c>
      <c r="U1267" s="244">
        <f ca="1">Tabla1[[#This Row],[VALID ANTIG]]*Tabla1[[#This Row],[SUE DIA]]*Tabla1[[#This Row],[DIAS VAC PAG]]</f>
        <v>1582.8273972602733</v>
      </c>
    </row>
    <row r="1268" spans="2:21" hidden="1" x14ac:dyDescent="0.25">
      <c r="B1268" s="243">
        <v>399</v>
      </c>
      <c r="C1268" s="140" t="str">
        <f>VLOOKUP(B1268,BDD[],2,0)</f>
        <v>Damaris López Cárcamo</v>
      </c>
      <c r="D1268" s="140">
        <f>VLOOKUP(B1268,BDD[],3,0)</f>
        <v>7445</v>
      </c>
      <c r="E1268" s="140">
        <f>VLOOKUP(B1268,BDD[],4,0)</f>
        <v>248.16666666666666</v>
      </c>
      <c r="F1268" s="142">
        <f>VLOOKUP(B1268,BDD[],26,0)</f>
        <v>27.574074074074073</v>
      </c>
      <c r="G1268" s="268">
        <f>VLOOKUP(B1268,BDD[],6,0)</f>
        <v>42646</v>
      </c>
      <c r="H1268" s="139">
        <f ca="1">VLOOKUP(B1268,BDD[],7,0)</f>
        <v>5</v>
      </c>
      <c r="I1268" s="139">
        <f ca="1">VLOOKUP(B1268,BDD[],22,0)</f>
        <v>8</v>
      </c>
      <c r="J1268" s="168">
        <v>15</v>
      </c>
      <c r="K1268" s="139">
        <f>Tabla1[[#This Row],[DIAS LAB]]*Tabla1[[#This Row],[SUE DIA]]</f>
        <v>3722.5</v>
      </c>
      <c r="L1268" s="168">
        <v>0</v>
      </c>
      <c r="M1268" s="198">
        <f>Tabla1[[#This Row],[HRS EXT]]*Tabla1[[#This Row],[SUE X HR]]</f>
        <v>0</v>
      </c>
      <c r="N1268" s="168">
        <v>0</v>
      </c>
      <c r="O1268" s="198">
        <f>Tabla1[[#This Row],[ASUETO]]*Tabla1[[#This Row],[SUE DIA]]</f>
        <v>0</v>
      </c>
      <c r="P1268" s="139">
        <f>IF(Tabla1[[#This Row],[FECHA ING]]&lt;$P$1007,365,_xlfn.DAYS($P$1008,Tabla1[[#This Row],[FECHA ING]])+1)</f>
        <v>365</v>
      </c>
      <c r="Q1268" s="198">
        <f>INT(30*(Tabla1[[#This Row],[FECHAS CONTB AGNLDO]]/365))</f>
        <v>30</v>
      </c>
      <c r="R1268" s="244">
        <f ca="1">IF($W$32=$W$26,Tabla1[[#This Row],[SUE DIA]]*Tabla1[[#This Row],[DIAS PAG AGNLDO]],0)</f>
        <v>0</v>
      </c>
      <c r="S1268" s="244">
        <f ca="1">(_xlfn.DAYS(TODAY(),Tabla1[[#This Row],[FECHA ING]])/365)</f>
        <v>5.7917808219178086</v>
      </c>
      <c r="T1268" s="244">
        <f ca="1">IF(Tabla1[[#This Row],[DIAS VAC]]&gt;1,Tabla1[[#This Row],[DIAS VAC]]-Tabla1[[#This Row],[ANTIG]],Tabla1[[#This Row],[DIAS VAC]])</f>
        <v>0.79178082191780863</v>
      </c>
      <c r="U1268" s="244">
        <f ca="1">Tabla1[[#This Row],[VALID ANTIG]]*Tabla1[[#This Row],[SUE DIA]]*Tabla1[[#This Row],[DIAS VAC PAG]]</f>
        <v>1571.9488584474893</v>
      </c>
    </row>
    <row r="1269" spans="2:21" hidden="1" x14ac:dyDescent="0.25">
      <c r="B1269" s="243">
        <v>401</v>
      </c>
      <c r="C1269" s="140" t="str">
        <f>VLOOKUP(B1269,BDD[],2,0)</f>
        <v>Juan Pablo Arellano Mejia</v>
      </c>
      <c r="D1269" s="140">
        <f>VLOOKUP(B1269,BDD[],3,0)</f>
        <v>7445</v>
      </c>
      <c r="E1269" s="140">
        <f>VLOOKUP(B1269,BDD[],4,0)</f>
        <v>248.16666666666666</v>
      </c>
      <c r="F1269" s="142">
        <f>VLOOKUP(B1269,BDD[],26,0)</f>
        <v>27.574074074074073</v>
      </c>
      <c r="G1269" s="268">
        <f>VLOOKUP(B1269,BDD[],6,0)</f>
        <v>42660</v>
      </c>
      <c r="H1269" s="139">
        <f ca="1">VLOOKUP(B1269,BDD[],7,0)</f>
        <v>5</v>
      </c>
      <c r="I1269" s="139">
        <f ca="1">VLOOKUP(B1269,BDD[],22,0)</f>
        <v>8</v>
      </c>
      <c r="J1269" s="168">
        <v>15</v>
      </c>
      <c r="K1269" s="139">
        <f>Tabla1[[#This Row],[DIAS LAB]]*Tabla1[[#This Row],[SUE DIA]]</f>
        <v>3722.5</v>
      </c>
      <c r="L1269" s="168">
        <v>0</v>
      </c>
      <c r="M1269" s="198">
        <f>Tabla1[[#This Row],[HRS EXT]]*Tabla1[[#This Row],[SUE X HR]]</f>
        <v>0</v>
      </c>
      <c r="N1269" s="168">
        <v>0</v>
      </c>
      <c r="O1269" s="198">
        <f>Tabla1[[#This Row],[ASUETO]]*Tabla1[[#This Row],[SUE DIA]]</f>
        <v>0</v>
      </c>
      <c r="P1269" s="139">
        <f>IF(Tabla1[[#This Row],[FECHA ING]]&lt;$P$1007,365,_xlfn.DAYS($P$1008,Tabla1[[#This Row],[FECHA ING]])+1)</f>
        <v>365</v>
      </c>
      <c r="Q1269" s="198">
        <f>INT(30*(Tabla1[[#This Row],[FECHAS CONTB AGNLDO]]/365))</f>
        <v>30</v>
      </c>
      <c r="R1269" s="244">
        <f ca="1">IF($W$32=$W$26,Tabla1[[#This Row],[SUE DIA]]*Tabla1[[#This Row],[DIAS PAG AGNLDO]],0)</f>
        <v>0</v>
      </c>
      <c r="S1269" s="244">
        <f ca="1">(_xlfn.DAYS(TODAY(),Tabla1[[#This Row],[FECHA ING]])/365)</f>
        <v>5.7534246575342465</v>
      </c>
      <c r="T1269" s="244">
        <f ca="1">IF(Tabla1[[#This Row],[DIAS VAC]]&gt;1,Tabla1[[#This Row],[DIAS VAC]]-Tabla1[[#This Row],[ANTIG]],Tabla1[[#This Row],[DIAS VAC]])</f>
        <v>0.75342465753424648</v>
      </c>
      <c r="U1269" s="244">
        <f ca="1">Tabla1[[#This Row],[VALID ANTIG]]*Tabla1[[#This Row],[SUE DIA]]*Tabla1[[#This Row],[DIAS VAC PAG]]</f>
        <v>1495.7990867579906</v>
      </c>
    </row>
    <row r="1270" spans="2:21" hidden="1" x14ac:dyDescent="0.25">
      <c r="B1270" s="243">
        <v>402</v>
      </c>
      <c r="C1270" s="140" t="str">
        <f>VLOOKUP(B1270,BDD[],2,0)</f>
        <v>José Humberto Peñaflor Galicia</v>
      </c>
      <c r="D1270" s="140">
        <f>VLOOKUP(B1270,BDD[],3,0)</f>
        <v>9541</v>
      </c>
      <c r="E1270" s="140">
        <f>VLOOKUP(B1270,BDD[],4,0)</f>
        <v>318.03333333333336</v>
      </c>
      <c r="F1270" s="142">
        <f>VLOOKUP(B1270,BDD[],26,0)</f>
        <v>35.337037037037042</v>
      </c>
      <c r="G1270" s="268">
        <f>VLOOKUP(B1270,BDD[],6,0)</f>
        <v>42665</v>
      </c>
      <c r="H1270" s="139">
        <f ca="1">VLOOKUP(B1270,BDD[],7,0)</f>
        <v>5</v>
      </c>
      <c r="I1270" s="139">
        <f ca="1">VLOOKUP(B1270,BDD[],22,0)</f>
        <v>8</v>
      </c>
      <c r="J1270" s="168">
        <v>15</v>
      </c>
      <c r="K1270" s="139">
        <f>Tabla1[[#This Row],[DIAS LAB]]*Tabla1[[#This Row],[SUE DIA]]</f>
        <v>4770.5</v>
      </c>
      <c r="L1270" s="168">
        <v>0</v>
      </c>
      <c r="M1270" s="198">
        <f>Tabla1[[#This Row],[HRS EXT]]*Tabla1[[#This Row],[SUE X HR]]</f>
        <v>0</v>
      </c>
      <c r="N1270" s="168">
        <v>0</v>
      </c>
      <c r="O1270" s="198">
        <f>Tabla1[[#This Row],[ASUETO]]*Tabla1[[#This Row],[SUE DIA]]</f>
        <v>0</v>
      </c>
      <c r="P1270" s="139">
        <f>IF(Tabla1[[#This Row],[FECHA ING]]&lt;$P$1007,365,_xlfn.DAYS($P$1008,Tabla1[[#This Row],[FECHA ING]])+1)</f>
        <v>365</v>
      </c>
      <c r="Q1270" s="198">
        <f>INT(30*(Tabla1[[#This Row],[FECHAS CONTB AGNLDO]]/365))</f>
        <v>30</v>
      </c>
      <c r="R1270" s="244">
        <f ca="1">IF($W$32=$W$26,Tabla1[[#This Row],[SUE DIA]]*Tabla1[[#This Row],[DIAS PAG AGNLDO]],0)</f>
        <v>0</v>
      </c>
      <c r="S1270" s="244">
        <f ca="1">(_xlfn.DAYS(TODAY(),Tabla1[[#This Row],[FECHA ING]])/365)</f>
        <v>5.7397260273972606</v>
      </c>
      <c r="T1270" s="244">
        <f ca="1">IF(Tabla1[[#This Row],[DIAS VAC]]&gt;1,Tabla1[[#This Row],[DIAS VAC]]-Tabla1[[#This Row],[ANTIG]],Tabla1[[#This Row],[DIAS VAC]])</f>
        <v>0.73972602739726057</v>
      </c>
      <c r="U1270" s="244">
        <f ca="1">Tabla1[[#This Row],[VALID ANTIG]]*Tabla1[[#This Row],[SUE DIA]]*Tabla1[[#This Row],[DIAS VAC PAG]]</f>
        <v>1882.0602739726037</v>
      </c>
    </row>
    <row r="1271" spans="2:21" hidden="1" x14ac:dyDescent="0.25">
      <c r="B1271" s="243">
        <v>403</v>
      </c>
      <c r="C1271" s="140" t="str">
        <f>VLOOKUP(B1271,BDD[],2,0)</f>
        <v>Sheyla Rubi Ocampo Ponce</v>
      </c>
      <c r="D1271" s="140">
        <f>VLOOKUP(B1271,BDD[],3,0)</f>
        <v>7950</v>
      </c>
      <c r="E1271" s="140">
        <f>VLOOKUP(B1271,BDD[],4,0)</f>
        <v>265</v>
      </c>
      <c r="F1271" s="142">
        <f>VLOOKUP(B1271,BDD[],26,0)</f>
        <v>29.444444444444443</v>
      </c>
      <c r="G1271" s="268">
        <f>VLOOKUP(B1271,BDD[],6,0)</f>
        <v>42694</v>
      </c>
      <c r="H1271" s="139">
        <f ca="1">VLOOKUP(B1271,BDD[],7,0)</f>
        <v>5</v>
      </c>
      <c r="I1271" s="139">
        <f ca="1">VLOOKUP(B1271,BDD[],22,0)</f>
        <v>8</v>
      </c>
      <c r="J1271" s="168">
        <v>15</v>
      </c>
      <c r="K1271" s="139">
        <f>Tabla1[[#This Row],[DIAS LAB]]*Tabla1[[#This Row],[SUE DIA]]</f>
        <v>3975</v>
      </c>
      <c r="L1271" s="168">
        <v>0</v>
      </c>
      <c r="M1271" s="198">
        <f>Tabla1[[#This Row],[HRS EXT]]*Tabla1[[#This Row],[SUE X HR]]</f>
        <v>0</v>
      </c>
      <c r="N1271" s="168">
        <v>0</v>
      </c>
      <c r="O1271" s="198">
        <f>Tabla1[[#This Row],[ASUETO]]*Tabla1[[#This Row],[SUE DIA]]</f>
        <v>0</v>
      </c>
      <c r="P1271" s="139">
        <f>IF(Tabla1[[#This Row],[FECHA ING]]&lt;$P$1007,365,_xlfn.DAYS($P$1008,Tabla1[[#This Row],[FECHA ING]])+1)</f>
        <v>365</v>
      </c>
      <c r="Q1271" s="198">
        <f>INT(30*(Tabla1[[#This Row],[FECHAS CONTB AGNLDO]]/365))</f>
        <v>30</v>
      </c>
      <c r="R1271" s="244">
        <f ca="1">IF($W$32=$W$26,Tabla1[[#This Row],[SUE DIA]]*Tabla1[[#This Row],[DIAS PAG AGNLDO]],0)</f>
        <v>0</v>
      </c>
      <c r="S1271" s="244">
        <f ca="1">(_xlfn.DAYS(TODAY(),Tabla1[[#This Row],[FECHA ING]])/365)</f>
        <v>5.6602739726027398</v>
      </c>
      <c r="T1271" s="244">
        <f ca="1">IF(Tabla1[[#This Row],[DIAS VAC]]&gt;1,Tabla1[[#This Row],[DIAS VAC]]-Tabla1[[#This Row],[ANTIG]],Tabla1[[#This Row],[DIAS VAC]])</f>
        <v>0.66027397260273979</v>
      </c>
      <c r="U1271" s="244">
        <f ca="1">Tabla1[[#This Row],[VALID ANTIG]]*Tabla1[[#This Row],[SUE DIA]]*Tabla1[[#This Row],[DIAS VAC PAG]]</f>
        <v>1399.7808219178085</v>
      </c>
    </row>
    <row r="1272" spans="2:21" hidden="1" x14ac:dyDescent="0.25">
      <c r="B1272" s="243">
        <v>404</v>
      </c>
      <c r="C1272" s="140" t="str">
        <f>VLOOKUP(B1272,BDD[],2,0)</f>
        <v>Jaime Alejandro Sanchez Niño</v>
      </c>
      <c r="D1272" s="140">
        <f>VLOOKUP(B1272,BDD[],3,0)</f>
        <v>9450</v>
      </c>
      <c r="E1272" s="140">
        <f>VLOOKUP(B1272,BDD[],4,0)</f>
        <v>315</v>
      </c>
      <c r="F1272" s="142">
        <f>VLOOKUP(B1272,BDD[],26,0)</f>
        <v>35</v>
      </c>
      <c r="G1272" s="268">
        <f>VLOOKUP(B1272,BDD[],6,0)</f>
        <v>42698</v>
      </c>
      <c r="H1272" s="139">
        <f ca="1">VLOOKUP(B1272,BDD[],7,0)</f>
        <v>5</v>
      </c>
      <c r="I1272" s="139">
        <f ca="1">VLOOKUP(B1272,BDD[],22,0)</f>
        <v>8</v>
      </c>
      <c r="J1272" s="168">
        <v>15</v>
      </c>
      <c r="K1272" s="139">
        <f>Tabla1[[#This Row],[DIAS LAB]]*Tabla1[[#This Row],[SUE DIA]]</f>
        <v>4725</v>
      </c>
      <c r="L1272" s="168">
        <v>0</v>
      </c>
      <c r="M1272" s="198">
        <f>Tabla1[[#This Row],[HRS EXT]]*Tabla1[[#This Row],[SUE X HR]]</f>
        <v>0</v>
      </c>
      <c r="N1272" s="168">
        <v>0</v>
      </c>
      <c r="O1272" s="198">
        <f>Tabla1[[#This Row],[ASUETO]]*Tabla1[[#This Row],[SUE DIA]]</f>
        <v>0</v>
      </c>
      <c r="P1272" s="139">
        <f>IF(Tabla1[[#This Row],[FECHA ING]]&lt;$P$1007,365,_xlfn.DAYS($P$1008,Tabla1[[#This Row],[FECHA ING]])+1)</f>
        <v>365</v>
      </c>
      <c r="Q1272" s="198">
        <f>INT(30*(Tabla1[[#This Row],[FECHAS CONTB AGNLDO]]/365))</f>
        <v>30</v>
      </c>
      <c r="R1272" s="244">
        <f ca="1">IF($W$32=$W$26,Tabla1[[#This Row],[SUE DIA]]*Tabla1[[#This Row],[DIAS PAG AGNLDO]],0)</f>
        <v>0</v>
      </c>
      <c r="S1272" s="244">
        <f ca="1">(_xlfn.DAYS(TODAY(),Tabla1[[#This Row],[FECHA ING]])/365)</f>
        <v>5.6493150684931503</v>
      </c>
      <c r="T1272" s="244">
        <f ca="1">IF(Tabla1[[#This Row],[DIAS VAC]]&gt;1,Tabla1[[#This Row],[DIAS VAC]]-Tabla1[[#This Row],[ANTIG]],Tabla1[[#This Row],[DIAS VAC]])</f>
        <v>0.64931506849315035</v>
      </c>
      <c r="U1272" s="244">
        <f ca="1">Tabla1[[#This Row],[VALID ANTIG]]*Tabla1[[#This Row],[SUE DIA]]*Tabla1[[#This Row],[DIAS VAC PAG]]</f>
        <v>1636.2739726027389</v>
      </c>
    </row>
    <row r="1273" spans="2:21" hidden="1" x14ac:dyDescent="0.25">
      <c r="B1273" s="243">
        <v>405</v>
      </c>
      <c r="C1273" s="140" t="str">
        <f>VLOOKUP(B1273,BDD[],2,0)</f>
        <v>Eduardo Pacheco Nava</v>
      </c>
      <c r="D1273" s="140">
        <f>VLOOKUP(B1273,BDD[],3,0)</f>
        <v>6778</v>
      </c>
      <c r="E1273" s="140">
        <f>VLOOKUP(B1273,BDD[],4,0)</f>
        <v>225.93333333333334</v>
      </c>
      <c r="F1273" s="142">
        <f>VLOOKUP(B1273,BDD[],26,0)</f>
        <v>25.103703703703705</v>
      </c>
      <c r="G1273" s="268">
        <f>VLOOKUP(B1273,BDD[],6,0)</f>
        <v>42699</v>
      </c>
      <c r="H1273" s="139">
        <f ca="1">VLOOKUP(B1273,BDD[],7,0)</f>
        <v>5</v>
      </c>
      <c r="I1273" s="139">
        <f ca="1">VLOOKUP(B1273,BDD[],22,0)</f>
        <v>4</v>
      </c>
      <c r="J1273" s="168">
        <v>15</v>
      </c>
      <c r="K1273" s="139">
        <f>Tabla1[[#This Row],[DIAS LAB]]*Tabla1[[#This Row],[SUE DIA]]</f>
        <v>3389</v>
      </c>
      <c r="L1273" s="168">
        <v>0</v>
      </c>
      <c r="M1273" s="198">
        <f>Tabla1[[#This Row],[HRS EXT]]*Tabla1[[#This Row],[SUE X HR]]</f>
        <v>0</v>
      </c>
      <c r="N1273" s="168">
        <v>0</v>
      </c>
      <c r="O1273" s="198">
        <f>Tabla1[[#This Row],[ASUETO]]*Tabla1[[#This Row],[SUE DIA]]</f>
        <v>0</v>
      </c>
      <c r="P1273" s="139">
        <f>IF(Tabla1[[#This Row],[FECHA ING]]&lt;$P$1007,365,_xlfn.DAYS($P$1008,Tabla1[[#This Row],[FECHA ING]])+1)</f>
        <v>365</v>
      </c>
      <c r="Q1273" s="198">
        <f>INT(30*(Tabla1[[#This Row],[FECHAS CONTB AGNLDO]]/365))</f>
        <v>30</v>
      </c>
      <c r="R1273" s="244">
        <f ca="1">IF($W$32=$W$26,Tabla1[[#This Row],[SUE DIA]]*Tabla1[[#This Row],[DIAS PAG AGNLDO]],0)</f>
        <v>0</v>
      </c>
      <c r="S1273" s="244">
        <f ca="1">(_xlfn.DAYS(TODAY(),Tabla1[[#This Row],[FECHA ING]])/365)</f>
        <v>5.646575342465753</v>
      </c>
      <c r="T1273" s="244">
        <f ca="1">IF(Tabla1[[#This Row],[DIAS VAC]]&gt;1,Tabla1[[#This Row],[DIAS VAC]]-Tabla1[[#This Row],[ANTIG]],Tabla1[[#This Row],[DIAS VAC]])</f>
        <v>0.64657534246575299</v>
      </c>
      <c r="U1273" s="244">
        <f ca="1">Tabla1[[#This Row],[VALID ANTIG]]*Tabla1[[#This Row],[SUE DIA]]*Tabla1[[#This Row],[DIAS VAC PAG]]</f>
        <v>584.33168949771652</v>
      </c>
    </row>
    <row r="1274" spans="2:21" hidden="1" x14ac:dyDescent="0.25">
      <c r="B1274" s="243">
        <v>407</v>
      </c>
      <c r="C1274" s="140" t="str">
        <f>VLOOKUP(B1274,BDD[],2,0)</f>
        <v>Bernandina Salgado Lorenzo</v>
      </c>
      <c r="D1274" s="140">
        <f>VLOOKUP(B1274,BDD[],3,0)</f>
        <v>7950</v>
      </c>
      <c r="E1274" s="140">
        <f>VLOOKUP(B1274,BDD[],4,0)</f>
        <v>265</v>
      </c>
      <c r="F1274" s="142">
        <f>VLOOKUP(B1274,BDD[],26,0)</f>
        <v>29.444444444444443</v>
      </c>
      <c r="G1274" s="268">
        <f>VLOOKUP(B1274,BDD[],6,0)</f>
        <v>42708</v>
      </c>
      <c r="H1274" s="139">
        <f ca="1">VLOOKUP(B1274,BDD[],7,0)</f>
        <v>5</v>
      </c>
      <c r="I1274" s="139">
        <f ca="1">VLOOKUP(B1274,BDD[],22,0)</f>
        <v>8</v>
      </c>
      <c r="J1274" s="168">
        <v>15</v>
      </c>
      <c r="K1274" s="139">
        <f>Tabla1[[#This Row],[DIAS LAB]]*Tabla1[[#This Row],[SUE DIA]]</f>
        <v>3975</v>
      </c>
      <c r="L1274" s="168">
        <v>0</v>
      </c>
      <c r="M1274" s="198">
        <f>Tabla1[[#This Row],[HRS EXT]]*Tabla1[[#This Row],[SUE X HR]]</f>
        <v>0</v>
      </c>
      <c r="N1274" s="168">
        <v>0</v>
      </c>
      <c r="O1274" s="198">
        <f>Tabla1[[#This Row],[ASUETO]]*Tabla1[[#This Row],[SUE DIA]]</f>
        <v>0</v>
      </c>
      <c r="P1274" s="139">
        <f>IF(Tabla1[[#This Row],[FECHA ING]]&lt;$P$1007,365,_xlfn.DAYS($P$1008,Tabla1[[#This Row],[FECHA ING]])+1)</f>
        <v>365</v>
      </c>
      <c r="Q1274" s="198">
        <f>INT(30*(Tabla1[[#This Row],[FECHAS CONTB AGNLDO]]/365))</f>
        <v>30</v>
      </c>
      <c r="R1274" s="244">
        <f ca="1">IF($W$32=$W$26,Tabla1[[#This Row],[SUE DIA]]*Tabla1[[#This Row],[DIAS PAG AGNLDO]],0)</f>
        <v>0</v>
      </c>
      <c r="S1274" s="244">
        <f ca="1">(_xlfn.DAYS(TODAY(),Tabla1[[#This Row],[FECHA ING]])/365)</f>
        <v>5.6219178082191785</v>
      </c>
      <c r="T1274" s="244">
        <f ca="1">IF(Tabla1[[#This Row],[DIAS VAC]]&gt;1,Tabla1[[#This Row],[DIAS VAC]]-Tabla1[[#This Row],[ANTIG]],Tabla1[[#This Row],[DIAS VAC]])</f>
        <v>0.62191780821917853</v>
      </c>
      <c r="U1274" s="244">
        <f ca="1">Tabla1[[#This Row],[VALID ANTIG]]*Tabla1[[#This Row],[SUE DIA]]*Tabla1[[#This Row],[DIAS VAC PAG]]</f>
        <v>1318.4657534246585</v>
      </c>
    </row>
    <row r="1275" spans="2:21" hidden="1" x14ac:dyDescent="0.25">
      <c r="B1275" s="243">
        <v>408</v>
      </c>
      <c r="C1275" s="140" t="str">
        <f>VLOOKUP(B1275,BDD[],2,0)</f>
        <v>Anadela Deyanira Rivera Betancourt</v>
      </c>
      <c r="D1275" s="140">
        <f>VLOOKUP(B1275,BDD[],3,0)</f>
        <v>6778</v>
      </c>
      <c r="E1275" s="140">
        <f>VLOOKUP(B1275,BDD[],4,0)</f>
        <v>225.93333333333334</v>
      </c>
      <c r="F1275" s="142">
        <f>VLOOKUP(B1275,BDD[],26,0)</f>
        <v>25.103703703703705</v>
      </c>
      <c r="G1275" s="268">
        <f>VLOOKUP(B1275,BDD[],6,0)</f>
        <v>42710</v>
      </c>
      <c r="H1275" s="139">
        <f ca="1">VLOOKUP(B1275,BDD[],7,0)</f>
        <v>5</v>
      </c>
      <c r="I1275" s="139">
        <f ca="1">VLOOKUP(B1275,BDD[],22,0)</f>
        <v>4</v>
      </c>
      <c r="J1275" s="168">
        <v>15</v>
      </c>
      <c r="K1275" s="139">
        <f>Tabla1[[#This Row],[DIAS LAB]]*Tabla1[[#This Row],[SUE DIA]]</f>
        <v>3389</v>
      </c>
      <c r="L1275" s="168">
        <v>0</v>
      </c>
      <c r="M1275" s="198">
        <f>Tabla1[[#This Row],[HRS EXT]]*Tabla1[[#This Row],[SUE X HR]]</f>
        <v>0</v>
      </c>
      <c r="N1275" s="168">
        <v>0</v>
      </c>
      <c r="O1275" s="198">
        <f>Tabla1[[#This Row],[ASUETO]]*Tabla1[[#This Row],[SUE DIA]]</f>
        <v>0</v>
      </c>
      <c r="P1275" s="139">
        <f>IF(Tabla1[[#This Row],[FECHA ING]]&lt;$P$1007,365,_xlfn.DAYS($P$1008,Tabla1[[#This Row],[FECHA ING]])+1)</f>
        <v>365</v>
      </c>
      <c r="Q1275" s="198">
        <f>INT(30*(Tabla1[[#This Row],[FECHAS CONTB AGNLDO]]/365))</f>
        <v>30</v>
      </c>
      <c r="R1275" s="244">
        <f ca="1">IF($W$32=$W$26,Tabla1[[#This Row],[SUE DIA]]*Tabla1[[#This Row],[DIAS PAG AGNLDO]],0)</f>
        <v>0</v>
      </c>
      <c r="S1275" s="244">
        <f ca="1">(_xlfn.DAYS(TODAY(),Tabla1[[#This Row],[FECHA ING]])/365)</f>
        <v>5.6164383561643838</v>
      </c>
      <c r="T1275" s="244">
        <f ca="1">IF(Tabla1[[#This Row],[DIAS VAC]]&gt;1,Tabla1[[#This Row],[DIAS VAC]]-Tabla1[[#This Row],[ANTIG]],Tabla1[[#This Row],[DIAS VAC]])</f>
        <v>0.6164383561643838</v>
      </c>
      <c r="U1275" s="244">
        <f ca="1">Tabla1[[#This Row],[VALID ANTIG]]*Tabla1[[#This Row],[SUE DIA]]*Tabla1[[#This Row],[DIAS VAC PAG]]</f>
        <v>557.0958904109591</v>
      </c>
    </row>
    <row r="1276" spans="2:21" hidden="1" x14ac:dyDescent="0.25">
      <c r="B1276" s="243">
        <v>410</v>
      </c>
      <c r="C1276" s="140" t="str">
        <f>VLOOKUP(B1276,BDD[],2,0)</f>
        <v>Paulina Guadalupe Lozano Morales</v>
      </c>
      <c r="D1276" s="140">
        <f>VLOOKUP(B1276,BDD[],3,0)</f>
        <v>9541</v>
      </c>
      <c r="E1276" s="140">
        <f>VLOOKUP(B1276,BDD[],4,0)</f>
        <v>318.03333333333336</v>
      </c>
      <c r="F1276" s="142">
        <f>VLOOKUP(B1276,BDD[],26,0)</f>
        <v>35.337037037037042</v>
      </c>
      <c r="G1276" s="268">
        <f>VLOOKUP(B1276,BDD[],6,0)</f>
        <v>42712</v>
      </c>
      <c r="H1276" s="139">
        <f ca="1">VLOOKUP(B1276,BDD[],7,0)</f>
        <v>5</v>
      </c>
      <c r="I1276" s="139">
        <f ca="1">VLOOKUP(B1276,BDD[],22,0)</f>
        <v>8</v>
      </c>
      <c r="J1276" s="168">
        <v>15</v>
      </c>
      <c r="K1276" s="139">
        <f>Tabla1[[#This Row],[DIAS LAB]]*Tabla1[[#This Row],[SUE DIA]]</f>
        <v>4770.5</v>
      </c>
      <c r="L1276" s="168">
        <v>0</v>
      </c>
      <c r="M1276" s="198">
        <f>Tabla1[[#This Row],[HRS EXT]]*Tabla1[[#This Row],[SUE X HR]]</f>
        <v>0</v>
      </c>
      <c r="N1276" s="168">
        <v>0</v>
      </c>
      <c r="O1276" s="198">
        <f>Tabla1[[#This Row],[ASUETO]]*Tabla1[[#This Row],[SUE DIA]]</f>
        <v>0</v>
      </c>
      <c r="P1276" s="139">
        <f>IF(Tabla1[[#This Row],[FECHA ING]]&lt;$P$1007,365,_xlfn.DAYS($P$1008,Tabla1[[#This Row],[FECHA ING]])+1)</f>
        <v>365</v>
      </c>
      <c r="Q1276" s="198">
        <f>INT(30*(Tabla1[[#This Row],[FECHAS CONTB AGNLDO]]/365))</f>
        <v>30</v>
      </c>
      <c r="R1276" s="244">
        <f ca="1">IF($W$32=$W$26,Tabla1[[#This Row],[SUE DIA]]*Tabla1[[#This Row],[DIAS PAG AGNLDO]],0)</f>
        <v>0</v>
      </c>
      <c r="S1276" s="244">
        <f ca="1">(_xlfn.DAYS(TODAY(),Tabla1[[#This Row],[FECHA ING]])/365)</f>
        <v>5.6109589041095891</v>
      </c>
      <c r="T1276" s="244">
        <f ca="1">IF(Tabla1[[#This Row],[DIAS VAC]]&gt;1,Tabla1[[#This Row],[DIAS VAC]]-Tabla1[[#This Row],[ANTIG]],Tabla1[[#This Row],[DIAS VAC]])</f>
        <v>0.61095890410958908</v>
      </c>
      <c r="U1276" s="244">
        <f ca="1">Tabla1[[#This Row],[VALID ANTIG]]*Tabla1[[#This Row],[SUE DIA]]*Tabla1[[#This Row],[DIAS VAC PAG]]</f>
        <v>1554.4423744292239</v>
      </c>
    </row>
    <row r="1277" spans="2:21" hidden="1" x14ac:dyDescent="0.25">
      <c r="B1277" s="243">
        <v>411</v>
      </c>
      <c r="C1277" s="140" t="str">
        <f>VLOOKUP(B1277,BDD[],2,0)</f>
        <v>Debanhi Patricia Escobar Gonzalez</v>
      </c>
      <c r="D1277" s="140">
        <f>VLOOKUP(B1277,BDD[],3,0)</f>
        <v>7445</v>
      </c>
      <c r="E1277" s="140">
        <f>VLOOKUP(B1277,BDD[],4,0)</f>
        <v>248.16666666666666</v>
      </c>
      <c r="F1277" s="142">
        <f>VLOOKUP(B1277,BDD[],26,0)</f>
        <v>27.574074074074073</v>
      </c>
      <c r="G1277" s="268">
        <f>VLOOKUP(B1277,BDD[],6,0)</f>
        <v>42713</v>
      </c>
      <c r="H1277" s="139">
        <f ca="1">VLOOKUP(B1277,BDD[],7,0)</f>
        <v>5</v>
      </c>
      <c r="I1277" s="139">
        <f ca="1">VLOOKUP(B1277,BDD[],22,0)</f>
        <v>8</v>
      </c>
      <c r="J1277" s="168">
        <v>15</v>
      </c>
      <c r="K1277" s="139">
        <f>Tabla1[[#This Row],[DIAS LAB]]*Tabla1[[#This Row],[SUE DIA]]</f>
        <v>3722.5</v>
      </c>
      <c r="L1277" s="168">
        <v>0</v>
      </c>
      <c r="M1277" s="198">
        <f>Tabla1[[#This Row],[HRS EXT]]*Tabla1[[#This Row],[SUE X HR]]</f>
        <v>0</v>
      </c>
      <c r="N1277" s="168">
        <v>0</v>
      </c>
      <c r="O1277" s="198">
        <f>Tabla1[[#This Row],[ASUETO]]*Tabla1[[#This Row],[SUE DIA]]</f>
        <v>0</v>
      </c>
      <c r="P1277" s="139">
        <f>IF(Tabla1[[#This Row],[FECHA ING]]&lt;$P$1007,365,_xlfn.DAYS($P$1008,Tabla1[[#This Row],[FECHA ING]])+1)</f>
        <v>365</v>
      </c>
      <c r="Q1277" s="198">
        <f>INT(30*(Tabla1[[#This Row],[FECHAS CONTB AGNLDO]]/365))</f>
        <v>30</v>
      </c>
      <c r="R1277" s="244">
        <f ca="1">IF($W$32=$W$26,Tabla1[[#This Row],[SUE DIA]]*Tabla1[[#This Row],[DIAS PAG AGNLDO]],0)</f>
        <v>0</v>
      </c>
      <c r="S1277" s="244">
        <f ca="1">(_xlfn.DAYS(TODAY(),Tabla1[[#This Row],[FECHA ING]])/365)</f>
        <v>5.6082191780821917</v>
      </c>
      <c r="T1277" s="244">
        <f ca="1">IF(Tabla1[[#This Row],[DIAS VAC]]&gt;1,Tabla1[[#This Row],[DIAS VAC]]-Tabla1[[#This Row],[ANTIG]],Tabla1[[#This Row],[DIAS VAC]])</f>
        <v>0.60821917808219172</v>
      </c>
      <c r="U1277" s="244">
        <f ca="1">Tabla1[[#This Row],[VALID ANTIG]]*Tabla1[[#This Row],[SUE DIA]]*Tabla1[[#This Row],[DIAS VAC PAG]]</f>
        <v>1207.5178082191778</v>
      </c>
    </row>
    <row r="1278" spans="2:21" hidden="1" x14ac:dyDescent="0.25">
      <c r="B1278" s="243">
        <v>413</v>
      </c>
      <c r="C1278" s="140" t="str">
        <f>VLOOKUP(B1278,BDD[],2,0)</f>
        <v>Silvia Olivia Mondragon Martinez</v>
      </c>
      <c r="D1278" s="140">
        <f>VLOOKUP(B1278,BDD[],3,0)</f>
        <v>7445</v>
      </c>
      <c r="E1278" s="140">
        <f>VLOOKUP(B1278,BDD[],4,0)</f>
        <v>248.16666666666666</v>
      </c>
      <c r="F1278" s="142">
        <f>VLOOKUP(B1278,BDD[],26,0)</f>
        <v>27.574074074074073</v>
      </c>
      <c r="G1278" s="268">
        <f>VLOOKUP(B1278,BDD[],6,0)</f>
        <v>42714</v>
      </c>
      <c r="H1278" s="139">
        <f ca="1">VLOOKUP(B1278,BDD[],7,0)</f>
        <v>5</v>
      </c>
      <c r="I1278" s="139">
        <f ca="1">VLOOKUP(B1278,BDD[],22,0)</f>
        <v>8</v>
      </c>
      <c r="J1278" s="168">
        <v>15</v>
      </c>
      <c r="K1278" s="139">
        <f>Tabla1[[#This Row],[DIAS LAB]]*Tabla1[[#This Row],[SUE DIA]]</f>
        <v>3722.5</v>
      </c>
      <c r="L1278" s="168">
        <v>0</v>
      </c>
      <c r="M1278" s="198">
        <f>Tabla1[[#This Row],[HRS EXT]]*Tabla1[[#This Row],[SUE X HR]]</f>
        <v>0</v>
      </c>
      <c r="N1278" s="168">
        <v>0</v>
      </c>
      <c r="O1278" s="198">
        <f>Tabla1[[#This Row],[ASUETO]]*Tabla1[[#This Row],[SUE DIA]]</f>
        <v>0</v>
      </c>
      <c r="P1278" s="139">
        <f>IF(Tabla1[[#This Row],[FECHA ING]]&lt;$P$1007,365,_xlfn.DAYS($P$1008,Tabla1[[#This Row],[FECHA ING]])+1)</f>
        <v>365</v>
      </c>
      <c r="Q1278" s="198">
        <f>INT(30*(Tabla1[[#This Row],[FECHAS CONTB AGNLDO]]/365))</f>
        <v>30</v>
      </c>
      <c r="R1278" s="244">
        <f ca="1">IF($W$32=$W$26,Tabla1[[#This Row],[SUE DIA]]*Tabla1[[#This Row],[DIAS PAG AGNLDO]],0)</f>
        <v>0</v>
      </c>
      <c r="S1278" s="244">
        <f ca="1">(_xlfn.DAYS(TODAY(),Tabla1[[#This Row],[FECHA ING]])/365)</f>
        <v>5.6054794520547944</v>
      </c>
      <c r="T1278" s="244">
        <f ca="1">IF(Tabla1[[#This Row],[DIAS VAC]]&gt;1,Tabla1[[#This Row],[DIAS VAC]]-Tabla1[[#This Row],[ANTIG]],Tabla1[[#This Row],[DIAS VAC]])</f>
        <v>0.60547945205479436</v>
      </c>
      <c r="U1278" s="244">
        <f ca="1">Tabla1[[#This Row],[VALID ANTIG]]*Tabla1[[#This Row],[SUE DIA]]*Tabla1[[#This Row],[DIAS VAC PAG]]</f>
        <v>1202.0785388127849</v>
      </c>
    </row>
    <row r="1279" spans="2:21" hidden="1" x14ac:dyDescent="0.25">
      <c r="B1279" s="243">
        <v>414</v>
      </c>
      <c r="C1279" s="140" t="str">
        <f>VLOOKUP(B1279,BDD[],2,0)</f>
        <v>Araceli Martinez Lopez</v>
      </c>
      <c r="D1279" s="140">
        <f>VLOOKUP(B1279,BDD[],3,0)</f>
        <v>6778</v>
      </c>
      <c r="E1279" s="140">
        <f>VLOOKUP(B1279,BDD[],4,0)</f>
        <v>225.93333333333334</v>
      </c>
      <c r="F1279" s="142">
        <f>VLOOKUP(B1279,BDD[],26,0)</f>
        <v>25.103703703703705</v>
      </c>
      <c r="G1279" s="268">
        <f>VLOOKUP(B1279,BDD[],6,0)</f>
        <v>42714</v>
      </c>
      <c r="H1279" s="139">
        <f ca="1">VLOOKUP(B1279,BDD[],7,0)</f>
        <v>5</v>
      </c>
      <c r="I1279" s="139">
        <f ca="1">VLOOKUP(B1279,BDD[],22,0)</f>
        <v>4</v>
      </c>
      <c r="J1279" s="168">
        <v>15</v>
      </c>
      <c r="K1279" s="139">
        <f>Tabla1[[#This Row],[DIAS LAB]]*Tabla1[[#This Row],[SUE DIA]]</f>
        <v>3389</v>
      </c>
      <c r="L1279" s="168">
        <v>0</v>
      </c>
      <c r="M1279" s="198">
        <f>Tabla1[[#This Row],[HRS EXT]]*Tabla1[[#This Row],[SUE X HR]]</f>
        <v>0</v>
      </c>
      <c r="N1279" s="168">
        <v>0</v>
      </c>
      <c r="O1279" s="198">
        <f>Tabla1[[#This Row],[ASUETO]]*Tabla1[[#This Row],[SUE DIA]]</f>
        <v>0</v>
      </c>
      <c r="P1279" s="139">
        <f>IF(Tabla1[[#This Row],[FECHA ING]]&lt;$P$1007,365,_xlfn.DAYS($P$1008,Tabla1[[#This Row],[FECHA ING]])+1)</f>
        <v>365</v>
      </c>
      <c r="Q1279" s="198">
        <f>INT(30*(Tabla1[[#This Row],[FECHAS CONTB AGNLDO]]/365))</f>
        <v>30</v>
      </c>
      <c r="R1279" s="244">
        <f ca="1">IF($W$32=$W$26,Tabla1[[#This Row],[SUE DIA]]*Tabla1[[#This Row],[DIAS PAG AGNLDO]],0)</f>
        <v>0</v>
      </c>
      <c r="S1279" s="244">
        <f ca="1">(_xlfn.DAYS(TODAY(),Tabla1[[#This Row],[FECHA ING]])/365)</f>
        <v>5.6054794520547944</v>
      </c>
      <c r="T1279" s="244">
        <f ca="1">IF(Tabla1[[#This Row],[DIAS VAC]]&gt;1,Tabla1[[#This Row],[DIAS VAC]]-Tabla1[[#This Row],[ANTIG]],Tabla1[[#This Row],[DIAS VAC]])</f>
        <v>0.60547945205479436</v>
      </c>
      <c r="U1279" s="244">
        <f ca="1">Tabla1[[#This Row],[VALID ANTIG]]*Tabla1[[#This Row],[SUE DIA]]*Tabla1[[#This Row],[DIAS VAC PAG]]</f>
        <v>547.19196347031948</v>
      </c>
    </row>
    <row r="1280" spans="2:21" hidden="1" x14ac:dyDescent="0.25">
      <c r="B1280" s="243">
        <v>415</v>
      </c>
      <c r="C1280" s="140" t="str">
        <f>VLOOKUP(B1280,BDD[],2,0)</f>
        <v>Debany Maríana Galván Galván</v>
      </c>
      <c r="D1280" s="140">
        <f>VLOOKUP(B1280,BDD[],3,0)</f>
        <v>9450</v>
      </c>
      <c r="E1280" s="140">
        <f>VLOOKUP(B1280,BDD[],4,0)</f>
        <v>315</v>
      </c>
      <c r="F1280" s="142">
        <f>VLOOKUP(B1280,BDD[],26,0)</f>
        <v>35</v>
      </c>
      <c r="G1280" s="268">
        <f>VLOOKUP(B1280,BDD[],6,0)</f>
        <v>42714</v>
      </c>
      <c r="H1280" s="139">
        <f ca="1">VLOOKUP(B1280,BDD[],7,0)</f>
        <v>5</v>
      </c>
      <c r="I1280" s="139">
        <f ca="1">VLOOKUP(B1280,BDD[],22,0)</f>
        <v>8</v>
      </c>
      <c r="J1280" s="168">
        <v>15</v>
      </c>
      <c r="K1280" s="139">
        <f>Tabla1[[#This Row],[DIAS LAB]]*Tabla1[[#This Row],[SUE DIA]]</f>
        <v>4725</v>
      </c>
      <c r="L1280" s="168">
        <v>0</v>
      </c>
      <c r="M1280" s="198">
        <f>Tabla1[[#This Row],[HRS EXT]]*Tabla1[[#This Row],[SUE X HR]]</f>
        <v>0</v>
      </c>
      <c r="N1280" s="168">
        <v>0</v>
      </c>
      <c r="O1280" s="198">
        <f>Tabla1[[#This Row],[ASUETO]]*Tabla1[[#This Row],[SUE DIA]]</f>
        <v>0</v>
      </c>
      <c r="P1280" s="139">
        <f>IF(Tabla1[[#This Row],[FECHA ING]]&lt;$P$1007,365,_xlfn.DAYS($P$1008,Tabla1[[#This Row],[FECHA ING]])+1)</f>
        <v>365</v>
      </c>
      <c r="Q1280" s="198">
        <f>INT(30*(Tabla1[[#This Row],[FECHAS CONTB AGNLDO]]/365))</f>
        <v>30</v>
      </c>
      <c r="R1280" s="244">
        <f ca="1">IF($W$32=$W$26,Tabla1[[#This Row],[SUE DIA]]*Tabla1[[#This Row],[DIAS PAG AGNLDO]],0)</f>
        <v>0</v>
      </c>
      <c r="S1280" s="244">
        <f ca="1">(_xlfn.DAYS(TODAY(),Tabla1[[#This Row],[FECHA ING]])/365)</f>
        <v>5.6054794520547944</v>
      </c>
      <c r="T1280" s="244">
        <f ca="1">IF(Tabla1[[#This Row],[DIAS VAC]]&gt;1,Tabla1[[#This Row],[DIAS VAC]]-Tabla1[[#This Row],[ANTIG]],Tabla1[[#This Row],[DIAS VAC]])</f>
        <v>0.60547945205479436</v>
      </c>
      <c r="U1280" s="244">
        <f ca="1">Tabla1[[#This Row],[VALID ANTIG]]*Tabla1[[#This Row],[SUE DIA]]*Tabla1[[#This Row],[DIAS VAC PAG]]</f>
        <v>1525.8082191780818</v>
      </c>
    </row>
    <row r="1281" spans="2:21" hidden="1" x14ac:dyDescent="0.25">
      <c r="B1281" s="243">
        <v>418</v>
      </c>
      <c r="C1281" s="140" t="str">
        <f>VLOOKUP(B1281,BDD[],2,0)</f>
        <v>Norbella Evangelista Hernandez</v>
      </c>
      <c r="D1281" s="140">
        <f>VLOOKUP(B1281,BDD[],3,0)</f>
        <v>7950</v>
      </c>
      <c r="E1281" s="140">
        <f>VLOOKUP(B1281,BDD[],4,0)</f>
        <v>265</v>
      </c>
      <c r="F1281" s="142">
        <f>VLOOKUP(B1281,BDD[],26,0)</f>
        <v>29.444444444444443</v>
      </c>
      <c r="G1281" s="268">
        <f>VLOOKUP(B1281,BDD[],6,0)</f>
        <v>42735</v>
      </c>
      <c r="H1281" s="139">
        <f ca="1">VLOOKUP(B1281,BDD[],7,0)</f>
        <v>5</v>
      </c>
      <c r="I1281" s="139">
        <f ca="1">VLOOKUP(B1281,BDD[],22,0)</f>
        <v>8</v>
      </c>
      <c r="J1281" s="168">
        <v>15</v>
      </c>
      <c r="K1281" s="139">
        <f>Tabla1[[#This Row],[DIAS LAB]]*Tabla1[[#This Row],[SUE DIA]]</f>
        <v>3975</v>
      </c>
      <c r="L1281" s="168">
        <v>0</v>
      </c>
      <c r="M1281" s="198">
        <f>Tabla1[[#This Row],[HRS EXT]]*Tabla1[[#This Row],[SUE X HR]]</f>
        <v>0</v>
      </c>
      <c r="N1281" s="168">
        <v>0</v>
      </c>
      <c r="O1281" s="198">
        <f>Tabla1[[#This Row],[ASUETO]]*Tabla1[[#This Row],[SUE DIA]]</f>
        <v>0</v>
      </c>
      <c r="P1281" s="139">
        <f>IF(Tabla1[[#This Row],[FECHA ING]]&lt;$P$1007,365,_xlfn.DAYS($P$1008,Tabla1[[#This Row],[FECHA ING]])+1)</f>
        <v>365</v>
      </c>
      <c r="Q1281" s="198">
        <f>INT(30*(Tabla1[[#This Row],[FECHAS CONTB AGNLDO]]/365))</f>
        <v>30</v>
      </c>
      <c r="R1281" s="244">
        <f ca="1">IF($W$32=$W$26,Tabla1[[#This Row],[SUE DIA]]*Tabla1[[#This Row],[DIAS PAG AGNLDO]],0)</f>
        <v>0</v>
      </c>
      <c r="S1281" s="244">
        <f ca="1">(_xlfn.DAYS(TODAY(),Tabla1[[#This Row],[FECHA ING]])/365)</f>
        <v>5.5479452054794525</v>
      </c>
      <c r="T1281" s="244">
        <f ca="1">IF(Tabla1[[#This Row],[DIAS VAC]]&gt;1,Tabla1[[#This Row],[DIAS VAC]]-Tabla1[[#This Row],[ANTIG]],Tabla1[[#This Row],[DIAS VAC]])</f>
        <v>0.54794520547945247</v>
      </c>
      <c r="U1281" s="244">
        <f ca="1">Tabla1[[#This Row],[VALID ANTIG]]*Tabla1[[#This Row],[SUE DIA]]*Tabla1[[#This Row],[DIAS VAC PAG]]</f>
        <v>1161.6438356164392</v>
      </c>
    </row>
    <row r="1282" spans="2:21" hidden="1" x14ac:dyDescent="0.25">
      <c r="B1282" s="243">
        <v>420</v>
      </c>
      <c r="C1282" s="140" t="str">
        <f>VLOOKUP(B1282,BDD[],2,0)</f>
        <v>Ana María Amelia Solis Saravia</v>
      </c>
      <c r="D1282" s="140">
        <f>VLOOKUP(B1282,BDD[],3,0)</f>
        <v>7445</v>
      </c>
      <c r="E1282" s="140">
        <f>VLOOKUP(B1282,BDD[],4,0)</f>
        <v>248.16666666666666</v>
      </c>
      <c r="F1282" s="142">
        <f>VLOOKUP(B1282,BDD[],26,0)</f>
        <v>27.574074074074073</v>
      </c>
      <c r="G1282" s="268">
        <f>VLOOKUP(B1282,BDD[],6,0)</f>
        <v>42739</v>
      </c>
      <c r="H1282" s="139">
        <f ca="1">VLOOKUP(B1282,BDD[],7,0)</f>
        <v>5</v>
      </c>
      <c r="I1282" s="139">
        <f ca="1">VLOOKUP(B1282,BDD[],22,0)</f>
        <v>8</v>
      </c>
      <c r="J1282" s="168">
        <v>15</v>
      </c>
      <c r="K1282" s="139">
        <f>Tabla1[[#This Row],[DIAS LAB]]*Tabla1[[#This Row],[SUE DIA]]</f>
        <v>3722.5</v>
      </c>
      <c r="L1282" s="168">
        <v>0</v>
      </c>
      <c r="M1282" s="198">
        <f>Tabla1[[#This Row],[HRS EXT]]*Tabla1[[#This Row],[SUE X HR]]</f>
        <v>0</v>
      </c>
      <c r="N1282" s="168">
        <v>0</v>
      </c>
      <c r="O1282" s="198">
        <f>Tabla1[[#This Row],[ASUETO]]*Tabla1[[#This Row],[SUE DIA]]</f>
        <v>0</v>
      </c>
      <c r="P1282" s="139">
        <f>IF(Tabla1[[#This Row],[FECHA ING]]&lt;$P$1007,365,_xlfn.DAYS($P$1008,Tabla1[[#This Row],[FECHA ING]])+1)</f>
        <v>365</v>
      </c>
      <c r="Q1282" s="198">
        <f>INT(30*(Tabla1[[#This Row],[FECHAS CONTB AGNLDO]]/365))</f>
        <v>30</v>
      </c>
      <c r="R1282" s="244">
        <f ca="1">IF($W$32=$W$26,Tabla1[[#This Row],[SUE DIA]]*Tabla1[[#This Row],[DIAS PAG AGNLDO]],0)</f>
        <v>0</v>
      </c>
      <c r="S1282" s="244">
        <f ca="1">(_xlfn.DAYS(TODAY(),Tabla1[[#This Row],[FECHA ING]])/365)</f>
        <v>5.536986301369863</v>
      </c>
      <c r="T1282" s="244">
        <f ca="1">IF(Tabla1[[#This Row],[DIAS VAC]]&gt;1,Tabla1[[#This Row],[DIAS VAC]]-Tabla1[[#This Row],[ANTIG]],Tabla1[[#This Row],[DIAS VAC]])</f>
        <v>0.53698630136986303</v>
      </c>
      <c r="U1282" s="244">
        <f ca="1">Tabla1[[#This Row],[VALID ANTIG]]*Tabla1[[#This Row],[SUE DIA]]*Tabla1[[#This Row],[DIAS VAC PAG]]</f>
        <v>1066.096803652968</v>
      </c>
    </row>
    <row r="1283" spans="2:21" hidden="1" x14ac:dyDescent="0.25">
      <c r="B1283" s="243">
        <v>421</v>
      </c>
      <c r="C1283" s="140" t="str">
        <f>VLOOKUP(B1283,BDD[],2,0)</f>
        <v>Norma Edith Santiago Ramos</v>
      </c>
      <c r="D1283" s="140">
        <f>VLOOKUP(B1283,BDD[],3,0)</f>
        <v>6778</v>
      </c>
      <c r="E1283" s="140">
        <f>VLOOKUP(B1283,BDD[],4,0)</f>
        <v>225.93333333333334</v>
      </c>
      <c r="F1283" s="142">
        <f>VLOOKUP(B1283,BDD[],26,0)</f>
        <v>25.103703703703705</v>
      </c>
      <c r="G1283" s="268">
        <f>VLOOKUP(B1283,BDD[],6,0)</f>
        <v>42744</v>
      </c>
      <c r="H1283" s="139">
        <f ca="1">VLOOKUP(B1283,BDD[],7,0)</f>
        <v>5</v>
      </c>
      <c r="I1283" s="139">
        <f ca="1">VLOOKUP(B1283,BDD[],22,0)</f>
        <v>4</v>
      </c>
      <c r="J1283" s="168">
        <v>15</v>
      </c>
      <c r="K1283" s="139">
        <f>Tabla1[[#This Row],[DIAS LAB]]*Tabla1[[#This Row],[SUE DIA]]</f>
        <v>3389</v>
      </c>
      <c r="L1283" s="168">
        <v>0</v>
      </c>
      <c r="M1283" s="198">
        <f>Tabla1[[#This Row],[HRS EXT]]*Tabla1[[#This Row],[SUE X HR]]</f>
        <v>0</v>
      </c>
      <c r="N1283" s="168">
        <v>0</v>
      </c>
      <c r="O1283" s="198">
        <f>Tabla1[[#This Row],[ASUETO]]*Tabla1[[#This Row],[SUE DIA]]</f>
        <v>0</v>
      </c>
      <c r="P1283" s="139">
        <f>IF(Tabla1[[#This Row],[FECHA ING]]&lt;$P$1007,365,_xlfn.DAYS($P$1008,Tabla1[[#This Row],[FECHA ING]])+1)</f>
        <v>365</v>
      </c>
      <c r="Q1283" s="198">
        <f>INT(30*(Tabla1[[#This Row],[FECHAS CONTB AGNLDO]]/365))</f>
        <v>30</v>
      </c>
      <c r="R1283" s="244">
        <f ca="1">IF($W$32=$W$26,Tabla1[[#This Row],[SUE DIA]]*Tabla1[[#This Row],[DIAS PAG AGNLDO]],0)</f>
        <v>0</v>
      </c>
      <c r="S1283" s="244">
        <f ca="1">(_xlfn.DAYS(TODAY(),Tabla1[[#This Row],[FECHA ING]])/365)</f>
        <v>5.5232876712328771</v>
      </c>
      <c r="T1283" s="244">
        <f ca="1">IF(Tabla1[[#This Row],[DIAS VAC]]&gt;1,Tabla1[[#This Row],[DIAS VAC]]-Tabla1[[#This Row],[ANTIG]],Tabla1[[#This Row],[DIAS VAC]])</f>
        <v>0.52328767123287712</v>
      </c>
      <c r="U1283" s="244">
        <f ca="1">Tabla1[[#This Row],[VALID ANTIG]]*Tabla1[[#This Row],[SUE DIA]]*Tabla1[[#This Row],[DIAS VAC PAG]]</f>
        <v>472.9125114155255</v>
      </c>
    </row>
    <row r="1284" spans="2:21" hidden="1" x14ac:dyDescent="0.25">
      <c r="B1284" s="243">
        <v>424</v>
      </c>
      <c r="C1284" s="140" t="str">
        <f>VLOOKUP(B1284,BDD[],2,0)</f>
        <v>Marcelo García Hernandez</v>
      </c>
      <c r="D1284" s="140">
        <f>VLOOKUP(B1284,BDD[],3,0)</f>
        <v>9541</v>
      </c>
      <c r="E1284" s="140">
        <f>VLOOKUP(B1284,BDD[],4,0)</f>
        <v>318.03333333333336</v>
      </c>
      <c r="F1284" s="142">
        <f>VLOOKUP(B1284,BDD[],26,0)</f>
        <v>35.337037037037042</v>
      </c>
      <c r="G1284" s="268">
        <f>VLOOKUP(B1284,BDD[],6,0)</f>
        <v>42766</v>
      </c>
      <c r="H1284" s="139">
        <f ca="1">VLOOKUP(B1284,BDD[],7,0)</f>
        <v>5</v>
      </c>
      <c r="I1284" s="139">
        <f ca="1">VLOOKUP(B1284,BDD[],22,0)</f>
        <v>8</v>
      </c>
      <c r="J1284" s="168">
        <v>15</v>
      </c>
      <c r="K1284" s="139">
        <f>Tabla1[[#This Row],[DIAS LAB]]*Tabla1[[#This Row],[SUE DIA]]</f>
        <v>4770.5</v>
      </c>
      <c r="L1284" s="168">
        <v>0</v>
      </c>
      <c r="M1284" s="198">
        <f>Tabla1[[#This Row],[HRS EXT]]*Tabla1[[#This Row],[SUE X HR]]</f>
        <v>0</v>
      </c>
      <c r="N1284" s="168">
        <v>0</v>
      </c>
      <c r="O1284" s="198">
        <f>Tabla1[[#This Row],[ASUETO]]*Tabla1[[#This Row],[SUE DIA]]</f>
        <v>0</v>
      </c>
      <c r="P1284" s="139">
        <f>IF(Tabla1[[#This Row],[FECHA ING]]&lt;$P$1007,365,_xlfn.DAYS($P$1008,Tabla1[[#This Row],[FECHA ING]])+1)</f>
        <v>365</v>
      </c>
      <c r="Q1284" s="198">
        <f>INT(30*(Tabla1[[#This Row],[FECHAS CONTB AGNLDO]]/365))</f>
        <v>30</v>
      </c>
      <c r="R1284" s="244">
        <f ca="1">IF($W$32=$W$26,Tabla1[[#This Row],[SUE DIA]]*Tabla1[[#This Row],[DIAS PAG AGNLDO]],0)</f>
        <v>0</v>
      </c>
      <c r="S1284" s="244">
        <f ca="1">(_xlfn.DAYS(TODAY(),Tabla1[[#This Row],[FECHA ING]])/365)</f>
        <v>5.463013698630137</v>
      </c>
      <c r="T1284" s="244">
        <f ca="1">IF(Tabla1[[#This Row],[DIAS VAC]]&gt;1,Tabla1[[#This Row],[DIAS VAC]]-Tabla1[[#This Row],[ANTIG]],Tabla1[[#This Row],[DIAS VAC]])</f>
        <v>0.46301369863013697</v>
      </c>
      <c r="U1284" s="244">
        <f ca="1">Tabla1[[#This Row],[VALID ANTIG]]*Tabla1[[#This Row],[SUE DIA]]*Tabla1[[#This Row],[DIAS VAC PAG]]</f>
        <v>1178.0303196347033</v>
      </c>
    </row>
    <row r="1285" spans="2:21" hidden="1" x14ac:dyDescent="0.25">
      <c r="B1285" s="243">
        <v>425</v>
      </c>
      <c r="C1285" s="140" t="str">
        <f>VLOOKUP(B1285,BDD[],2,0)</f>
        <v>José Ivan Zacarias Moreno</v>
      </c>
      <c r="D1285" s="140">
        <f>VLOOKUP(B1285,BDD[],3,0)</f>
        <v>10860</v>
      </c>
      <c r="E1285" s="140">
        <f>VLOOKUP(B1285,BDD[],4,0)</f>
        <v>362</v>
      </c>
      <c r="F1285" s="142">
        <f>VLOOKUP(B1285,BDD[],26,0)</f>
        <v>40.222222222222221</v>
      </c>
      <c r="G1285" s="268">
        <f>VLOOKUP(B1285,BDD[],6,0)</f>
        <v>42776</v>
      </c>
      <c r="H1285" s="139">
        <f ca="1">VLOOKUP(B1285,BDD[],7,0)</f>
        <v>5</v>
      </c>
      <c r="I1285" s="139">
        <f ca="1">VLOOKUP(B1285,BDD[],22,0)</f>
        <v>8</v>
      </c>
      <c r="J1285" s="168">
        <v>15</v>
      </c>
      <c r="K1285" s="139">
        <f>Tabla1[[#This Row],[DIAS LAB]]*Tabla1[[#This Row],[SUE DIA]]</f>
        <v>5430</v>
      </c>
      <c r="L1285" s="168">
        <v>0</v>
      </c>
      <c r="M1285" s="198">
        <f>Tabla1[[#This Row],[HRS EXT]]*Tabla1[[#This Row],[SUE X HR]]</f>
        <v>0</v>
      </c>
      <c r="N1285" s="168">
        <v>0</v>
      </c>
      <c r="O1285" s="198">
        <f>Tabla1[[#This Row],[ASUETO]]*Tabla1[[#This Row],[SUE DIA]]</f>
        <v>0</v>
      </c>
      <c r="P1285" s="139">
        <f>IF(Tabla1[[#This Row],[FECHA ING]]&lt;$P$1007,365,_xlfn.DAYS($P$1008,Tabla1[[#This Row],[FECHA ING]])+1)</f>
        <v>365</v>
      </c>
      <c r="Q1285" s="198">
        <f>INT(30*(Tabla1[[#This Row],[FECHAS CONTB AGNLDO]]/365))</f>
        <v>30</v>
      </c>
      <c r="R1285" s="244">
        <f ca="1">IF($W$32=$W$26,Tabla1[[#This Row],[SUE DIA]]*Tabla1[[#This Row],[DIAS PAG AGNLDO]],0)</f>
        <v>0</v>
      </c>
      <c r="S1285" s="244">
        <f ca="1">(_xlfn.DAYS(TODAY(),Tabla1[[#This Row],[FECHA ING]])/365)</f>
        <v>5.4356164383561643</v>
      </c>
      <c r="T1285" s="244">
        <f ca="1">IF(Tabla1[[#This Row],[DIAS VAC]]&gt;1,Tabla1[[#This Row],[DIAS VAC]]-Tabla1[[#This Row],[ANTIG]],Tabla1[[#This Row],[DIAS VAC]])</f>
        <v>0.43561643835616426</v>
      </c>
      <c r="U1285" s="244">
        <f ca="1">Tabla1[[#This Row],[VALID ANTIG]]*Tabla1[[#This Row],[SUE DIA]]*Tabla1[[#This Row],[DIAS VAC PAG]]</f>
        <v>1261.5452054794516</v>
      </c>
    </row>
    <row r="1286" spans="2:21" hidden="1" x14ac:dyDescent="0.25">
      <c r="B1286" s="243">
        <v>426</v>
      </c>
      <c r="C1286" s="140" t="str">
        <f>VLOOKUP(B1286,BDD[],2,0)</f>
        <v>Margarita Salgado Noguez</v>
      </c>
      <c r="D1286" s="140">
        <f>VLOOKUP(B1286,BDD[],3,0)</f>
        <v>9450</v>
      </c>
      <c r="E1286" s="140">
        <f>VLOOKUP(B1286,BDD[],4,0)</f>
        <v>315</v>
      </c>
      <c r="F1286" s="142">
        <f>VLOOKUP(B1286,BDD[],26,0)</f>
        <v>35</v>
      </c>
      <c r="G1286" s="268">
        <f>VLOOKUP(B1286,BDD[],6,0)</f>
        <v>42781</v>
      </c>
      <c r="H1286" s="139">
        <f ca="1">VLOOKUP(B1286,BDD[],7,0)</f>
        <v>5</v>
      </c>
      <c r="I1286" s="139">
        <f ca="1">VLOOKUP(B1286,BDD[],22,0)</f>
        <v>8</v>
      </c>
      <c r="J1286" s="168">
        <v>15</v>
      </c>
      <c r="K1286" s="139">
        <f>Tabla1[[#This Row],[DIAS LAB]]*Tabla1[[#This Row],[SUE DIA]]</f>
        <v>4725</v>
      </c>
      <c r="L1286" s="168">
        <v>0</v>
      </c>
      <c r="M1286" s="198">
        <f>Tabla1[[#This Row],[HRS EXT]]*Tabla1[[#This Row],[SUE X HR]]</f>
        <v>0</v>
      </c>
      <c r="N1286" s="168">
        <v>0</v>
      </c>
      <c r="O1286" s="198">
        <f>Tabla1[[#This Row],[ASUETO]]*Tabla1[[#This Row],[SUE DIA]]</f>
        <v>0</v>
      </c>
      <c r="P1286" s="139">
        <f>IF(Tabla1[[#This Row],[FECHA ING]]&lt;$P$1007,365,_xlfn.DAYS($P$1008,Tabla1[[#This Row],[FECHA ING]])+1)</f>
        <v>365</v>
      </c>
      <c r="Q1286" s="198">
        <f>INT(30*(Tabla1[[#This Row],[FECHAS CONTB AGNLDO]]/365))</f>
        <v>30</v>
      </c>
      <c r="R1286" s="244">
        <f ca="1">IF($W$32=$W$26,Tabla1[[#This Row],[SUE DIA]]*Tabla1[[#This Row],[DIAS PAG AGNLDO]],0)</f>
        <v>0</v>
      </c>
      <c r="S1286" s="244">
        <f ca="1">(_xlfn.DAYS(TODAY(),Tabla1[[#This Row],[FECHA ING]])/365)</f>
        <v>5.4219178082191783</v>
      </c>
      <c r="T1286" s="244">
        <f ca="1">IF(Tabla1[[#This Row],[DIAS VAC]]&gt;1,Tabla1[[#This Row],[DIAS VAC]]-Tabla1[[#This Row],[ANTIG]],Tabla1[[#This Row],[DIAS VAC]])</f>
        <v>0.42191780821917835</v>
      </c>
      <c r="U1286" s="244">
        <f ca="1">Tabla1[[#This Row],[VALID ANTIG]]*Tabla1[[#This Row],[SUE DIA]]*Tabla1[[#This Row],[DIAS VAC PAG]]</f>
        <v>1063.2328767123295</v>
      </c>
    </row>
    <row r="1287" spans="2:21" hidden="1" x14ac:dyDescent="0.25">
      <c r="B1287" s="243">
        <v>427</v>
      </c>
      <c r="C1287" s="140" t="str">
        <f>VLOOKUP(B1287,BDD[],2,0)</f>
        <v>Jorge Enrique Arellano Villalobos</v>
      </c>
      <c r="D1287" s="140">
        <f>VLOOKUP(B1287,BDD[],3,0)</f>
        <v>6778</v>
      </c>
      <c r="E1287" s="140">
        <f>VLOOKUP(B1287,BDD[],4,0)</f>
        <v>225.93333333333334</v>
      </c>
      <c r="F1287" s="142">
        <f>VLOOKUP(B1287,BDD[],26,0)</f>
        <v>25.103703703703705</v>
      </c>
      <c r="G1287" s="268">
        <f>VLOOKUP(B1287,BDD[],6,0)</f>
        <v>42784</v>
      </c>
      <c r="H1287" s="139">
        <f ca="1">VLOOKUP(B1287,BDD[],7,0)</f>
        <v>5</v>
      </c>
      <c r="I1287" s="139">
        <f ca="1">VLOOKUP(B1287,BDD[],22,0)</f>
        <v>4</v>
      </c>
      <c r="J1287" s="168">
        <v>15</v>
      </c>
      <c r="K1287" s="139">
        <f>Tabla1[[#This Row],[DIAS LAB]]*Tabla1[[#This Row],[SUE DIA]]</f>
        <v>3389</v>
      </c>
      <c r="L1287" s="168">
        <v>0</v>
      </c>
      <c r="M1287" s="198">
        <f>Tabla1[[#This Row],[HRS EXT]]*Tabla1[[#This Row],[SUE X HR]]</f>
        <v>0</v>
      </c>
      <c r="N1287" s="168">
        <v>0</v>
      </c>
      <c r="O1287" s="198">
        <f>Tabla1[[#This Row],[ASUETO]]*Tabla1[[#This Row],[SUE DIA]]</f>
        <v>0</v>
      </c>
      <c r="P1287" s="139">
        <f>IF(Tabla1[[#This Row],[FECHA ING]]&lt;$P$1007,365,_xlfn.DAYS($P$1008,Tabla1[[#This Row],[FECHA ING]])+1)</f>
        <v>365</v>
      </c>
      <c r="Q1287" s="198">
        <f>INT(30*(Tabla1[[#This Row],[FECHAS CONTB AGNLDO]]/365))</f>
        <v>30</v>
      </c>
      <c r="R1287" s="244">
        <f ca="1">IF($W$32=$W$26,Tabla1[[#This Row],[SUE DIA]]*Tabla1[[#This Row],[DIAS PAG AGNLDO]],0)</f>
        <v>0</v>
      </c>
      <c r="S1287" s="244">
        <f ca="1">(_xlfn.DAYS(TODAY(),Tabla1[[#This Row],[FECHA ING]])/365)</f>
        <v>5.4136986301369863</v>
      </c>
      <c r="T1287" s="244">
        <f ca="1">IF(Tabla1[[#This Row],[DIAS VAC]]&gt;1,Tabla1[[#This Row],[DIAS VAC]]-Tabla1[[#This Row],[ANTIG]],Tabla1[[#This Row],[DIAS VAC]])</f>
        <v>0.41369863013698627</v>
      </c>
      <c r="U1287" s="244">
        <f ca="1">Tabla1[[#This Row],[VALID ANTIG]]*Tabla1[[#This Row],[SUE DIA]]*Tabla1[[#This Row],[DIAS VAC PAG]]</f>
        <v>373.87324200913241</v>
      </c>
    </row>
    <row r="1288" spans="2:21" hidden="1" x14ac:dyDescent="0.25">
      <c r="B1288" s="243">
        <v>428</v>
      </c>
      <c r="C1288" s="140" t="str">
        <f>VLOOKUP(B1288,BDD[],2,0)</f>
        <v>Georgina Mayoral Nabor</v>
      </c>
      <c r="D1288" s="140">
        <f>VLOOKUP(B1288,BDD[],3,0)</f>
        <v>10350</v>
      </c>
      <c r="E1288" s="140">
        <f>VLOOKUP(B1288,BDD[],4,0)</f>
        <v>345</v>
      </c>
      <c r="F1288" s="142">
        <f>VLOOKUP(B1288,BDD[],26,0)</f>
        <v>38.333333333333336</v>
      </c>
      <c r="G1288" s="268">
        <f>VLOOKUP(B1288,BDD[],6,0)</f>
        <v>42791</v>
      </c>
      <c r="H1288" s="139">
        <f ca="1">VLOOKUP(B1288,BDD[],7,0)</f>
        <v>5</v>
      </c>
      <c r="I1288" s="139">
        <f ca="1">VLOOKUP(B1288,BDD[],22,0)</f>
        <v>8</v>
      </c>
      <c r="J1288" s="168">
        <v>15</v>
      </c>
      <c r="K1288" s="139">
        <f>Tabla1[[#This Row],[DIAS LAB]]*Tabla1[[#This Row],[SUE DIA]]</f>
        <v>5175</v>
      </c>
      <c r="L1288" s="168">
        <v>0</v>
      </c>
      <c r="M1288" s="198">
        <f>Tabla1[[#This Row],[HRS EXT]]*Tabla1[[#This Row],[SUE X HR]]</f>
        <v>0</v>
      </c>
      <c r="N1288" s="168">
        <v>0</v>
      </c>
      <c r="O1288" s="198">
        <f>Tabla1[[#This Row],[ASUETO]]*Tabla1[[#This Row],[SUE DIA]]</f>
        <v>0</v>
      </c>
      <c r="P1288" s="139">
        <f>IF(Tabla1[[#This Row],[FECHA ING]]&lt;$P$1007,365,_xlfn.DAYS($P$1008,Tabla1[[#This Row],[FECHA ING]])+1)</f>
        <v>365</v>
      </c>
      <c r="Q1288" s="198">
        <f>INT(30*(Tabla1[[#This Row],[FECHAS CONTB AGNLDO]]/365))</f>
        <v>30</v>
      </c>
      <c r="R1288" s="244">
        <f ca="1">IF($W$32=$W$26,Tabla1[[#This Row],[SUE DIA]]*Tabla1[[#This Row],[DIAS PAG AGNLDO]],0)</f>
        <v>0</v>
      </c>
      <c r="S1288" s="244">
        <f ca="1">(_xlfn.DAYS(TODAY(),Tabla1[[#This Row],[FECHA ING]])/365)</f>
        <v>5.3945205479452056</v>
      </c>
      <c r="T1288" s="244">
        <f ca="1">IF(Tabla1[[#This Row],[DIAS VAC]]&gt;1,Tabla1[[#This Row],[DIAS VAC]]-Tabla1[[#This Row],[ANTIG]],Tabla1[[#This Row],[DIAS VAC]])</f>
        <v>0.39452054794520564</v>
      </c>
      <c r="U1288" s="244">
        <f ca="1">Tabla1[[#This Row],[VALID ANTIG]]*Tabla1[[#This Row],[SUE DIA]]*Tabla1[[#This Row],[DIAS VAC PAG]]</f>
        <v>1088.8767123287676</v>
      </c>
    </row>
    <row r="1289" spans="2:21" hidden="1" x14ac:dyDescent="0.25">
      <c r="B1289" s="243">
        <v>430</v>
      </c>
      <c r="C1289" s="140" t="str">
        <f>VLOOKUP(B1289,BDD[],2,0)</f>
        <v>Miguel Angel Anguiano Blanco</v>
      </c>
      <c r="D1289" s="140">
        <f>VLOOKUP(B1289,BDD[],3,0)</f>
        <v>9541</v>
      </c>
      <c r="E1289" s="140">
        <f>VLOOKUP(B1289,BDD[],4,0)</f>
        <v>318.03333333333336</v>
      </c>
      <c r="F1289" s="142">
        <f>VLOOKUP(B1289,BDD[],26,0)</f>
        <v>35.337037037037042</v>
      </c>
      <c r="G1289" s="268">
        <f>VLOOKUP(B1289,BDD[],6,0)</f>
        <v>42799</v>
      </c>
      <c r="H1289" s="139">
        <f ca="1">VLOOKUP(B1289,BDD[],7,0)</f>
        <v>5</v>
      </c>
      <c r="I1289" s="139">
        <f ca="1">VLOOKUP(B1289,BDD[],22,0)</f>
        <v>8</v>
      </c>
      <c r="J1289" s="168">
        <v>15</v>
      </c>
      <c r="K1289" s="139">
        <f>Tabla1[[#This Row],[DIAS LAB]]*Tabla1[[#This Row],[SUE DIA]]</f>
        <v>4770.5</v>
      </c>
      <c r="L1289" s="168">
        <v>0</v>
      </c>
      <c r="M1289" s="198">
        <f>Tabla1[[#This Row],[HRS EXT]]*Tabla1[[#This Row],[SUE X HR]]</f>
        <v>0</v>
      </c>
      <c r="N1289" s="168">
        <v>0</v>
      </c>
      <c r="O1289" s="198">
        <f>Tabla1[[#This Row],[ASUETO]]*Tabla1[[#This Row],[SUE DIA]]</f>
        <v>0</v>
      </c>
      <c r="P1289" s="139">
        <f>IF(Tabla1[[#This Row],[FECHA ING]]&lt;$P$1007,365,_xlfn.DAYS($P$1008,Tabla1[[#This Row],[FECHA ING]])+1)</f>
        <v>365</v>
      </c>
      <c r="Q1289" s="198">
        <f>INT(30*(Tabla1[[#This Row],[FECHAS CONTB AGNLDO]]/365))</f>
        <v>30</v>
      </c>
      <c r="R1289" s="244">
        <f ca="1">IF($W$32=$W$26,Tabla1[[#This Row],[SUE DIA]]*Tabla1[[#This Row],[DIAS PAG AGNLDO]],0)</f>
        <v>0</v>
      </c>
      <c r="S1289" s="244">
        <f ca="1">(_xlfn.DAYS(TODAY(),Tabla1[[#This Row],[FECHA ING]])/365)</f>
        <v>5.3726027397260276</v>
      </c>
      <c r="T1289" s="244">
        <f ca="1">IF(Tabla1[[#This Row],[DIAS VAC]]&gt;1,Tabla1[[#This Row],[DIAS VAC]]-Tabla1[[#This Row],[ANTIG]],Tabla1[[#This Row],[DIAS VAC]])</f>
        <v>0.37260273972602764</v>
      </c>
      <c r="U1289" s="244">
        <f ca="1">Tabla1[[#This Row],[VALID ANTIG]]*Tabla1[[#This Row],[SUE DIA]]*Tabla1[[#This Row],[DIAS VAC PAG]]</f>
        <v>948.00073059360795</v>
      </c>
    </row>
    <row r="1290" spans="2:21" hidden="1" x14ac:dyDescent="0.25">
      <c r="B1290" s="243">
        <v>431</v>
      </c>
      <c r="C1290" s="140" t="str">
        <f>VLOOKUP(B1290,BDD[],2,0)</f>
        <v>Silvia Lizeth López Gómez</v>
      </c>
      <c r="D1290" s="140">
        <f>VLOOKUP(B1290,BDD[],3,0)</f>
        <v>7445</v>
      </c>
      <c r="E1290" s="140">
        <f>VLOOKUP(B1290,BDD[],4,0)</f>
        <v>248.16666666666666</v>
      </c>
      <c r="F1290" s="142">
        <f>VLOOKUP(B1290,BDD[],26,0)</f>
        <v>27.574074074074073</v>
      </c>
      <c r="G1290" s="268">
        <f>VLOOKUP(B1290,BDD[],6,0)</f>
        <v>42801</v>
      </c>
      <c r="H1290" s="139">
        <f ca="1">VLOOKUP(B1290,BDD[],7,0)</f>
        <v>5</v>
      </c>
      <c r="I1290" s="139">
        <f ca="1">VLOOKUP(B1290,BDD[],22,0)</f>
        <v>8</v>
      </c>
      <c r="J1290" s="168">
        <v>15</v>
      </c>
      <c r="K1290" s="139">
        <f>Tabla1[[#This Row],[DIAS LAB]]*Tabla1[[#This Row],[SUE DIA]]</f>
        <v>3722.5</v>
      </c>
      <c r="L1290" s="168">
        <v>0</v>
      </c>
      <c r="M1290" s="198">
        <f>Tabla1[[#This Row],[HRS EXT]]*Tabla1[[#This Row],[SUE X HR]]</f>
        <v>0</v>
      </c>
      <c r="N1290" s="168">
        <v>0</v>
      </c>
      <c r="O1290" s="198">
        <f>Tabla1[[#This Row],[ASUETO]]*Tabla1[[#This Row],[SUE DIA]]</f>
        <v>0</v>
      </c>
      <c r="P1290" s="139">
        <f>IF(Tabla1[[#This Row],[FECHA ING]]&lt;$P$1007,365,_xlfn.DAYS($P$1008,Tabla1[[#This Row],[FECHA ING]])+1)</f>
        <v>365</v>
      </c>
      <c r="Q1290" s="198">
        <f>INT(30*(Tabla1[[#This Row],[FECHAS CONTB AGNLDO]]/365))</f>
        <v>30</v>
      </c>
      <c r="R1290" s="244">
        <f ca="1">IF($W$32=$W$26,Tabla1[[#This Row],[SUE DIA]]*Tabla1[[#This Row],[DIAS PAG AGNLDO]],0)</f>
        <v>0</v>
      </c>
      <c r="S1290" s="244">
        <f ca="1">(_xlfn.DAYS(TODAY(),Tabla1[[#This Row],[FECHA ING]])/365)</f>
        <v>5.3671232876712329</v>
      </c>
      <c r="T1290" s="244">
        <f ca="1">IF(Tabla1[[#This Row],[DIAS VAC]]&gt;1,Tabla1[[#This Row],[DIAS VAC]]-Tabla1[[#This Row],[ANTIG]],Tabla1[[#This Row],[DIAS VAC]])</f>
        <v>0.36712328767123292</v>
      </c>
      <c r="U1290" s="244">
        <f ca="1">Tabla1[[#This Row],[VALID ANTIG]]*Tabla1[[#This Row],[SUE DIA]]*Tabla1[[#This Row],[DIAS VAC PAG]]</f>
        <v>728.86210045662108</v>
      </c>
    </row>
    <row r="1291" spans="2:21" hidden="1" x14ac:dyDescent="0.25">
      <c r="B1291" s="243">
        <v>432</v>
      </c>
      <c r="C1291" s="140" t="str">
        <f>VLOOKUP(B1291,BDD[],2,0)</f>
        <v>Jesus Alejandro Luna Lucio</v>
      </c>
      <c r="D1291" s="140">
        <f>VLOOKUP(B1291,BDD[],3,0)</f>
        <v>7445</v>
      </c>
      <c r="E1291" s="140">
        <f>VLOOKUP(B1291,BDD[],4,0)</f>
        <v>248.16666666666666</v>
      </c>
      <c r="F1291" s="142">
        <f>VLOOKUP(B1291,BDD[],26,0)</f>
        <v>27.574074074074073</v>
      </c>
      <c r="G1291" s="268">
        <f>VLOOKUP(B1291,BDD[],6,0)</f>
        <v>42832</v>
      </c>
      <c r="H1291" s="139">
        <f ca="1">VLOOKUP(B1291,BDD[],7,0)</f>
        <v>5</v>
      </c>
      <c r="I1291" s="139">
        <f ca="1">VLOOKUP(B1291,BDD[],22,0)</f>
        <v>8</v>
      </c>
      <c r="J1291" s="168">
        <v>15</v>
      </c>
      <c r="K1291" s="139">
        <f>Tabla1[[#This Row],[DIAS LAB]]*Tabla1[[#This Row],[SUE DIA]]</f>
        <v>3722.5</v>
      </c>
      <c r="L1291" s="168">
        <v>0</v>
      </c>
      <c r="M1291" s="198">
        <f>Tabla1[[#This Row],[HRS EXT]]*Tabla1[[#This Row],[SUE X HR]]</f>
        <v>0</v>
      </c>
      <c r="N1291" s="168">
        <v>0</v>
      </c>
      <c r="O1291" s="198">
        <f>Tabla1[[#This Row],[ASUETO]]*Tabla1[[#This Row],[SUE DIA]]</f>
        <v>0</v>
      </c>
      <c r="P1291" s="139">
        <f>IF(Tabla1[[#This Row],[FECHA ING]]&lt;$P$1007,365,_xlfn.DAYS($P$1008,Tabla1[[#This Row],[FECHA ING]])+1)</f>
        <v>365</v>
      </c>
      <c r="Q1291" s="198">
        <f>INT(30*(Tabla1[[#This Row],[FECHAS CONTB AGNLDO]]/365))</f>
        <v>30</v>
      </c>
      <c r="R1291" s="244">
        <f ca="1">IF($W$32=$W$26,Tabla1[[#This Row],[SUE DIA]]*Tabla1[[#This Row],[DIAS PAG AGNLDO]],0)</f>
        <v>0</v>
      </c>
      <c r="S1291" s="244">
        <f ca="1">(_xlfn.DAYS(TODAY(),Tabla1[[#This Row],[FECHA ING]])/365)</f>
        <v>5.2821917808219174</v>
      </c>
      <c r="T1291" s="244">
        <f ca="1">IF(Tabla1[[#This Row],[DIAS VAC]]&gt;1,Tabla1[[#This Row],[DIAS VAC]]-Tabla1[[#This Row],[ANTIG]],Tabla1[[#This Row],[DIAS VAC]])</f>
        <v>0.28219178082191743</v>
      </c>
      <c r="U1291" s="244">
        <f ca="1">Tabla1[[#This Row],[VALID ANTIG]]*Tabla1[[#This Row],[SUE DIA]]*Tabla1[[#This Row],[DIAS VAC PAG]]</f>
        <v>560.24474885844666</v>
      </c>
    </row>
    <row r="1292" spans="2:21" hidden="1" x14ac:dyDescent="0.25">
      <c r="B1292" s="243">
        <v>433</v>
      </c>
      <c r="C1292" s="140" t="str">
        <f>VLOOKUP(B1292,BDD[],2,0)</f>
        <v>Josélyn Galván Ruiz</v>
      </c>
      <c r="D1292" s="140">
        <f>VLOOKUP(B1292,BDD[],3,0)</f>
        <v>8825</v>
      </c>
      <c r="E1292" s="140">
        <f>VLOOKUP(B1292,BDD[],4,0)</f>
        <v>294.16666666666669</v>
      </c>
      <c r="F1292" s="142">
        <f>VLOOKUP(B1292,BDD[],26,0)</f>
        <v>32.68518518518519</v>
      </c>
      <c r="G1292" s="268">
        <f>VLOOKUP(B1292,BDD[],6,0)</f>
        <v>42837</v>
      </c>
      <c r="H1292" s="139">
        <f ca="1">VLOOKUP(B1292,BDD[],7,0)</f>
        <v>5</v>
      </c>
      <c r="I1292" s="139">
        <f ca="1">VLOOKUP(B1292,BDD[],22,0)</f>
        <v>8</v>
      </c>
      <c r="J1292" s="168">
        <v>15</v>
      </c>
      <c r="K1292" s="139">
        <f>Tabla1[[#This Row],[DIAS LAB]]*Tabla1[[#This Row],[SUE DIA]]</f>
        <v>4412.5</v>
      </c>
      <c r="L1292" s="168">
        <v>0</v>
      </c>
      <c r="M1292" s="198">
        <f>Tabla1[[#This Row],[HRS EXT]]*Tabla1[[#This Row],[SUE X HR]]</f>
        <v>0</v>
      </c>
      <c r="N1292" s="168">
        <v>0</v>
      </c>
      <c r="O1292" s="198">
        <f>Tabla1[[#This Row],[ASUETO]]*Tabla1[[#This Row],[SUE DIA]]</f>
        <v>0</v>
      </c>
      <c r="P1292" s="139">
        <f>IF(Tabla1[[#This Row],[FECHA ING]]&lt;$P$1007,365,_xlfn.DAYS($P$1008,Tabla1[[#This Row],[FECHA ING]])+1)</f>
        <v>365</v>
      </c>
      <c r="Q1292" s="198">
        <f>INT(30*(Tabla1[[#This Row],[FECHAS CONTB AGNLDO]]/365))</f>
        <v>30</v>
      </c>
      <c r="R1292" s="244">
        <f ca="1">IF($W$32=$W$26,Tabla1[[#This Row],[SUE DIA]]*Tabla1[[#This Row],[DIAS PAG AGNLDO]],0)</f>
        <v>0</v>
      </c>
      <c r="S1292" s="244">
        <f ca="1">(_xlfn.DAYS(TODAY(),Tabla1[[#This Row],[FECHA ING]])/365)</f>
        <v>5.2684931506849315</v>
      </c>
      <c r="T1292" s="244">
        <f ca="1">IF(Tabla1[[#This Row],[DIAS VAC]]&gt;1,Tabla1[[#This Row],[DIAS VAC]]-Tabla1[[#This Row],[ANTIG]],Tabla1[[#This Row],[DIAS VAC]])</f>
        <v>0.26849315068493151</v>
      </c>
      <c r="U1292" s="244">
        <f ca="1">Tabla1[[#This Row],[VALID ANTIG]]*Tabla1[[#This Row],[SUE DIA]]*Tabla1[[#This Row],[DIAS VAC PAG]]</f>
        <v>631.85388127853889</v>
      </c>
    </row>
    <row r="1293" spans="2:21" hidden="1" x14ac:dyDescent="0.25">
      <c r="B1293" s="243">
        <v>434</v>
      </c>
      <c r="C1293" s="140" t="str">
        <f>VLOOKUP(B1293,BDD[],2,0)</f>
        <v>Francisca Aurea Avila Fuentes</v>
      </c>
      <c r="D1293" s="140">
        <f>VLOOKUP(B1293,BDD[],3,0)</f>
        <v>10860</v>
      </c>
      <c r="E1293" s="140">
        <f>VLOOKUP(B1293,BDD[],4,0)</f>
        <v>362</v>
      </c>
      <c r="F1293" s="142">
        <f>VLOOKUP(B1293,BDD[],26,0)</f>
        <v>40.222222222222221</v>
      </c>
      <c r="G1293" s="268">
        <f>VLOOKUP(B1293,BDD[],6,0)</f>
        <v>42840</v>
      </c>
      <c r="H1293" s="139">
        <f ca="1">VLOOKUP(B1293,BDD[],7,0)</f>
        <v>5</v>
      </c>
      <c r="I1293" s="139">
        <f ca="1">VLOOKUP(B1293,BDD[],22,0)</f>
        <v>8</v>
      </c>
      <c r="J1293" s="168">
        <v>15</v>
      </c>
      <c r="K1293" s="139">
        <f>Tabla1[[#This Row],[DIAS LAB]]*Tabla1[[#This Row],[SUE DIA]]</f>
        <v>5430</v>
      </c>
      <c r="L1293" s="168">
        <v>0</v>
      </c>
      <c r="M1293" s="198">
        <f>Tabla1[[#This Row],[HRS EXT]]*Tabla1[[#This Row],[SUE X HR]]</f>
        <v>0</v>
      </c>
      <c r="N1293" s="168">
        <v>0</v>
      </c>
      <c r="O1293" s="198">
        <f>Tabla1[[#This Row],[ASUETO]]*Tabla1[[#This Row],[SUE DIA]]</f>
        <v>0</v>
      </c>
      <c r="P1293" s="139">
        <f>IF(Tabla1[[#This Row],[FECHA ING]]&lt;$P$1007,365,_xlfn.DAYS($P$1008,Tabla1[[#This Row],[FECHA ING]])+1)</f>
        <v>365</v>
      </c>
      <c r="Q1293" s="198">
        <f>INT(30*(Tabla1[[#This Row],[FECHAS CONTB AGNLDO]]/365))</f>
        <v>30</v>
      </c>
      <c r="R1293" s="244">
        <f ca="1">IF($W$32=$W$26,Tabla1[[#This Row],[SUE DIA]]*Tabla1[[#This Row],[DIAS PAG AGNLDO]],0)</f>
        <v>0</v>
      </c>
      <c r="S1293" s="244">
        <f ca="1">(_xlfn.DAYS(TODAY(),Tabla1[[#This Row],[FECHA ING]])/365)</f>
        <v>5.2602739726027394</v>
      </c>
      <c r="T1293" s="244">
        <f ca="1">IF(Tabla1[[#This Row],[DIAS VAC]]&gt;1,Tabla1[[#This Row],[DIAS VAC]]-Tabla1[[#This Row],[ANTIG]],Tabla1[[#This Row],[DIAS VAC]])</f>
        <v>0.26027397260273943</v>
      </c>
      <c r="U1293" s="244">
        <f ca="1">Tabla1[[#This Row],[VALID ANTIG]]*Tabla1[[#This Row],[SUE DIA]]*Tabla1[[#This Row],[DIAS VAC PAG]]</f>
        <v>753.7534246575334</v>
      </c>
    </row>
    <row r="1294" spans="2:21" hidden="1" x14ac:dyDescent="0.25">
      <c r="B1294" s="243">
        <v>435</v>
      </c>
      <c r="C1294" s="140" t="str">
        <f>VLOOKUP(B1294,BDD[],2,0)</f>
        <v>Cinthia Lucero Coronado Segundo</v>
      </c>
      <c r="D1294" s="140">
        <f>VLOOKUP(B1294,BDD[],3,0)</f>
        <v>7445</v>
      </c>
      <c r="E1294" s="140">
        <f>VLOOKUP(B1294,BDD[],4,0)</f>
        <v>248.16666666666666</v>
      </c>
      <c r="F1294" s="142">
        <f>VLOOKUP(B1294,BDD[],26,0)</f>
        <v>27.574074074074073</v>
      </c>
      <c r="G1294" s="268">
        <f>VLOOKUP(B1294,BDD[],6,0)</f>
        <v>42843</v>
      </c>
      <c r="H1294" s="139">
        <f ca="1">VLOOKUP(B1294,BDD[],7,0)</f>
        <v>5</v>
      </c>
      <c r="I1294" s="139">
        <f ca="1">VLOOKUP(B1294,BDD[],22,0)</f>
        <v>8</v>
      </c>
      <c r="J1294" s="168">
        <v>15</v>
      </c>
      <c r="K1294" s="139">
        <f>Tabla1[[#This Row],[DIAS LAB]]*Tabla1[[#This Row],[SUE DIA]]</f>
        <v>3722.5</v>
      </c>
      <c r="L1294" s="168">
        <v>0</v>
      </c>
      <c r="M1294" s="198">
        <f>Tabla1[[#This Row],[HRS EXT]]*Tabla1[[#This Row],[SUE X HR]]</f>
        <v>0</v>
      </c>
      <c r="N1294" s="168">
        <v>0</v>
      </c>
      <c r="O1294" s="198">
        <f>Tabla1[[#This Row],[ASUETO]]*Tabla1[[#This Row],[SUE DIA]]</f>
        <v>0</v>
      </c>
      <c r="P1294" s="139">
        <f>IF(Tabla1[[#This Row],[FECHA ING]]&lt;$P$1007,365,_xlfn.DAYS($P$1008,Tabla1[[#This Row],[FECHA ING]])+1)</f>
        <v>365</v>
      </c>
      <c r="Q1294" s="198">
        <f>INT(30*(Tabla1[[#This Row],[FECHAS CONTB AGNLDO]]/365))</f>
        <v>30</v>
      </c>
      <c r="R1294" s="244">
        <f ca="1">IF($W$32=$W$26,Tabla1[[#This Row],[SUE DIA]]*Tabla1[[#This Row],[DIAS PAG AGNLDO]],0)</f>
        <v>0</v>
      </c>
      <c r="S1294" s="244">
        <f ca="1">(_xlfn.DAYS(TODAY(),Tabla1[[#This Row],[FECHA ING]])/365)</f>
        <v>5.2520547945205482</v>
      </c>
      <c r="T1294" s="244">
        <f ca="1">IF(Tabla1[[#This Row],[DIAS VAC]]&gt;1,Tabla1[[#This Row],[DIAS VAC]]-Tabla1[[#This Row],[ANTIG]],Tabla1[[#This Row],[DIAS VAC]])</f>
        <v>0.25205479452054824</v>
      </c>
      <c r="U1294" s="244">
        <f ca="1">Tabla1[[#This Row],[VALID ANTIG]]*Tabla1[[#This Row],[SUE DIA]]*Tabla1[[#This Row],[DIAS VAC PAG]]</f>
        <v>500.41278538812844</v>
      </c>
    </row>
    <row r="1295" spans="2:21" hidden="1" x14ac:dyDescent="0.25">
      <c r="B1295" s="243">
        <v>436</v>
      </c>
      <c r="C1295" s="140" t="str">
        <f>VLOOKUP(B1295,BDD[],2,0)</f>
        <v>Rolando Hernandez Ortiz</v>
      </c>
      <c r="D1295" s="140">
        <f>VLOOKUP(B1295,BDD[],3,0)</f>
        <v>10860</v>
      </c>
      <c r="E1295" s="140">
        <f>VLOOKUP(B1295,BDD[],4,0)</f>
        <v>362</v>
      </c>
      <c r="F1295" s="142">
        <f>VLOOKUP(B1295,BDD[],26,0)</f>
        <v>40.222222222222221</v>
      </c>
      <c r="G1295" s="268">
        <f>VLOOKUP(B1295,BDD[],6,0)</f>
        <v>42882</v>
      </c>
      <c r="H1295" s="139">
        <f ca="1">VLOOKUP(B1295,BDD[],7,0)</f>
        <v>5</v>
      </c>
      <c r="I1295" s="139">
        <f ca="1">VLOOKUP(B1295,BDD[],22,0)</f>
        <v>8</v>
      </c>
      <c r="J1295" s="168">
        <v>15</v>
      </c>
      <c r="K1295" s="139">
        <f>Tabla1[[#This Row],[DIAS LAB]]*Tabla1[[#This Row],[SUE DIA]]</f>
        <v>5430</v>
      </c>
      <c r="L1295" s="168">
        <v>0</v>
      </c>
      <c r="M1295" s="198">
        <f>Tabla1[[#This Row],[HRS EXT]]*Tabla1[[#This Row],[SUE X HR]]</f>
        <v>0</v>
      </c>
      <c r="N1295" s="168">
        <v>0</v>
      </c>
      <c r="O1295" s="198">
        <f>Tabla1[[#This Row],[ASUETO]]*Tabla1[[#This Row],[SUE DIA]]</f>
        <v>0</v>
      </c>
      <c r="P1295" s="139">
        <f>IF(Tabla1[[#This Row],[FECHA ING]]&lt;$P$1007,365,_xlfn.DAYS($P$1008,Tabla1[[#This Row],[FECHA ING]])+1)</f>
        <v>365</v>
      </c>
      <c r="Q1295" s="198">
        <f>INT(30*(Tabla1[[#This Row],[FECHAS CONTB AGNLDO]]/365))</f>
        <v>30</v>
      </c>
      <c r="R1295" s="244">
        <f ca="1">IF($W$32=$W$26,Tabla1[[#This Row],[SUE DIA]]*Tabla1[[#This Row],[DIAS PAG AGNLDO]],0)</f>
        <v>0</v>
      </c>
      <c r="S1295" s="244">
        <f ca="1">(_xlfn.DAYS(TODAY(),Tabla1[[#This Row],[FECHA ING]])/365)</f>
        <v>5.1452054794520548</v>
      </c>
      <c r="T1295" s="244">
        <f ca="1">IF(Tabla1[[#This Row],[DIAS VAC]]&gt;1,Tabla1[[#This Row],[DIAS VAC]]-Tabla1[[#This Row],[ANTIG]],Tabla1[[#This Row],[DIAS VAC]])</f>
        <v>0.14520547945205475</v>
      </c>
      <c r="U1295" s="244">
        <f ca="1">Tabla1[[#This Row],[VALID ANTIG]]*Tabla1[[#This Row],[SUE DIA]]*Tabla1[[#This Row],[DIAS VAC PAG]]</f>
        <v>420.51506849315058</v>
      </c>
    </row>
    <row r="1296" spans="2:21" hidden="1" x14ac:dyDescent="0.25">
      <c r="B1296" s="243">
        <v>438</v>
      </c>
      <c r="C1296" s="140" t="str">
        <f>VLOOKUP(B1296,BDD[],2,0)</f>
        <v>Cynthia González Sánchez</v>
      </c>
      <c r="D1296" s="140">
        <f>VLOOKUP(B1296,BDD[],3,0)</f>
        <v>6778</v>
      </c>
      <c r="E1296" s="140">
        <f>VLOOKUP(B1296,BDD[],4,0)</f>
        <v>225.93333333333334</v>
      </c>
      <c r="F1296" s="142">
        <f>VLOOKUP(B1296,BDD[],26,0)</f>
        <v>25.103703703703705</v>
      </c>
      <c r="G1296" s="268">
        <f>VLOOKUP(B1296,BDD[],6,0)</f>
        <v>42887</v>
      </c>
      <c r="H1296" s="139">
        <f ca="1">VLOOKUP(B1296,BDD[],7,0)</f>
        <v>5</v>
      </c>
      <c r="I1296" s="139">
        <f ca="1">VLOOKUP(B1296,BDD[],22,0)</f>
        <v>4</v>
      </c>
      <c r="J1296" s="168">
        <v>15</v>
      </c>
      <c r="K1296" s="139">
        <f>Tabla1[[#This Row],[DIAS LAB]]*Tabla1[[#This Row],[SUE DIA]]</f>
        <v>3389</v>
      </c>
      <c r="L1296" s="168">
        <v>0</v>
      </c>
      <c r="M1296" s="198">
        <f>Tabla1[[#This Row],[HRS EXT]]*Tabla1[[#This Row],[SUE X HR]]</f>
        <v>0</v>
      </c>
      <c r="N1296" s="168">
        <v>0</v>
      </c>
      <c r="O1296" s="198">
        <f>Tabla1[[#This Row],[ASUETO]]*Tabla1[[#This Row],[SUE DIA]]</f>
        <v>0</v>
      </c>
      <c r="P1296" s="139">
        <f>IF(Tabla1[[#This Row],[FECHA ING]]&lt;$P$1007,365,_xlfn.DAYS($P$1008,Tabla1[[#This Row],[FECHA ING]])+1)</f>
        <v>365</v>
      </c>
      <c r="Q1296" s="198">
        <f>INT(30*(Tabla1[[#This Row],[FECHAS CONTB AGNLDO]]/365))</f>
        <v>30</v>
      </c>
      <c r="R1296" s="244">
        <f ca="1">IF($W$32=$W$26,Tabla1[[#This Row],[SUE DIA]]*Tabla1[[#This Row],[DIAS PAG AGNLDO]],0)</f>
        <v>0</v>
      </c>
      <c r="S1296" s="244">
        <f ca="1">(_xlfn.DAYS(TODAY(),Tabla1[[#This Row],[FECHA ING]])/365)</f>
        <v>5.1315068493150688</v>
      </c>
      <c r="T1296" s="244">
        <f ca="1">IF(Tabla1[[#This Row],[DIAS VAC]]&gt;1,Tabla1[[#This Row],[DIAS VAC]]-Tabla1[[#This Row],[ANTIG]],Tabla1[[#This Row],[DIAS VAC]])</f>
        <v>0.13150684931506884</v>
      </c>
      <c r="U1296" s="244">
        <f ca="1">Tabla1[[#This Row],[VALID ANTIG]]*Tabla1[[#This Row],[SUE DIA]]*Tabla1[[#This Row],[DIAS VAC PAG]]</f>
        <v>118.84712328767155</v>
      </c>
    </row>
    <row r="1297" spans="2:21" hidden="1" x14ac:dyDescent="0.25">
      <c r="B1297" s="246">
        <v>439</v>
      </c>
      <c r="C1297" s="140" t="str">
        <f>VLOOKUP(B1297,BDD[],2,0)</f>
        <v>Adriana Ríos Powers</v>
      </c>
      <c r="D1297" s="140">
        <f>VLOOKUP(B1297,BDD[],3,0)</f>
        <v>6778</v>
      </c>
      <c r="E1297" s="140">
        <f>VLOOKUP(B1297,BDD[],4,0)</f>
        <v>225.93333333333334</v>
      </c>
      <c r="F1297" s="142">
        <f>VLOOKUP(B1297,BDD[],26,0)</f>
        <v>25.103703703703705</v>
      </c>
      <c r="G1297" s="268">
        <f>VLOOKUP(B1297,BDD[],6,0)</f>
        <v>42903</v>
      </c>
      <c r="H1297" s="139">
        <f ca="1">VLOOKUP(B1297,BDD[],7,0)</f>
        <v>5</v>
      </c>
      <c r="I1297" s="139">
        <f ca="1">VLOOKUP(B1297,BDD[],22,0)</f>
        <v>4</v>
      </c>
      <c r="J1297" s="168">
        <v>15</v>
      </c>
      <c r="K1297" s="139">
        <f>Tabla1[[#This Row],[DIAS LAB]]*Tabla1[[#This Row],[SUE DIA]]</f>
        <v>3389</v>
      </c>
      <c r="L1297" s="168">
        <v>0</v>
      </c>
      <c r="M1297" s="198">
        <f>Tabla1[[#This Row],[HRS EXT]]*Tabla1[[#This Row],[SUE X HR]]</f>
        <v>0</v>
      </c>
      <c r="N1297" s="168">
        <v>0</v>
      </c>
      <c r="O1297" s="198">
        <f>Tabla1[[#This Row],[ASUETO]]*Tabla1[[#This Row],[SUE DIA]]</f>
        <v>0</v>
      </c>
      <c r="P1297" s="139">
        <f>IF(Tabla1[[#This Row],[FECHA ING]]&lt;$P$1007,365,_xlfn.DAYS($P$1008,Tabla1[[#This Row],[FECHA ING]])+1)</f>
        <v>365</v>
      </c>
      <c r="Q1297" s="198">
        <f>INT(30*(Tabla1[[#This Row],[FECHAS CONTB AGNLDO]]/365))</f>
        <v>30</v>
      </c>
      <c r="R1297" s="244">
        <f ca="1">IF($W$32=$W$26,Tabla1[[#This Row],[SUE DIA]]*Tabla1[[#This Row],[DIAS PAG AGNLDO]],0)</f>
        <v>0</v>
      </c>
      <c r="S1297" s="244">
        <f ca="1">(_xlfn.DAYS(TODAY(),Tabla1[[#This Row],[FECHA ING]])/365)</f>
        <v>5.087671232876712</v>
      </c>
      <c r="T1297" s="244">
        <f ca="1">IF(Tabla1[[#This Row],[DIAS VAC]]&gt;1,Tabla1[[#This Row],[DIAS VAC]]-Tabla1[[#This Row],[ANTIG]],Tabla1[[#This Row],[DIAS VAC]])</f>
        <v>8.7671232876711969E-2</v>
      </c>
      <c r="U1297" s="244">
        <f ca="1">Tabla1[[#This Row],[VALID ANTIG]]*Tabla1[[#This Row],[SUE DIA]]*Tabla1[[#This Row],[DIAS VAC PAG]]</f>
        <v>79.231415525113832</v>
      </c>
    </row>
    <row r="1298" spans="2:21" hidden="1" x14ac:dyDescent="0.25">
      <c r="B1298" s="243">
        <v>442</v>
      </c>
      <c r="C1298" s="140" t="str">
        <f>VLOOKUP(B1298,BDD[],2,0)</f>
        <v>Jesus Ignacio Villa Corrales</v>
      </c>
      <c r="D1298" s="140">
        <f>VLOOKUP(B1298,BDD[],3,0)</f>
        <v>8825</v>
      </c>
      <c r="E1298" s="140">
        <f>VLOOKUP(B1298,BDD[],4,0)</f>
        <v>294.16666666666669</v>
      </c>
      <c r="F1298" s="142">
        <f>VLOOKUP(B1298,BDD[],26,0)</f>
        <v>32.68518518518519</v>
      </c>
      <c r="G1298" s="268">
        <f>VLOOKUP(B1298,BDD[],6,0)</f>
        <v>42904</v>
      </c>
      <c r="H1298" s="139">
        <f ca="1">VLOOKUP(B1298,BDD[],7,0)</f>
        <v>5</v>
      </c>
      <c r="I1298" s="139">
        <f ca="1">VLOOKUP(B1298,BDD[],22,0)</f>
        <v>8</v>
      </c>
      <c r="J1298" s="168">
        <v>15</v>
      </c>
      <c r="K1298" s="139">
        <f>Tabla1[[#This Row],[DIAS LAB]]*Tabla1[[#This Row],[SUE DIA]]</f>
        <v>4412.5</v>
      </c>
      <c r="L1298" s="168">
        <v>0</v>
      </c>
      <c r="M1298" s="198">
        <f>Tabla1[[#This Row],[HRS EXT]]*Tabla1[[#This Row],[SUE X HR]]</f>
        <v>0</v>
      </c>
      <c r="N1298" s="168">
        <v>0</v>
      </c>
      <c r="O1298" s="198">
        <f>Tabla1[[#This Row],[ASUETO]]*Tabla1[[#This Row],[SUE DIA]]</f>
        <v>0</v>
      </c>
      <c r="P1298" s="139">
        <f>IF(Tabla1[[#This Row],[FECHA ING]]&lt;$P$1007,365,_xlfn.DAYS($P$1008,Tabla1[[#This Row],[FECHA ING]])+1)</f>
        <v>365</v>
      </c>
      <c r="Q1298" s="198">
        <f>INT(30*(Tabla1[[#This Row],[FECHAS CONTB AGNLDO]]/365))</f>
        <v>30</v>
      </c>
      <c r="R1298" s="244">
        <f ca="1">IF($W$32=$W$26,Tabla1[[#This Row],[SUE DIA]]*Tabla1[[#This Row],[DIAS PAG AGNLDO]],0)</f>
        <v>0</v>
      </c>
      <c r="S1298" s="244">
        <f ca="1">(_xlfn.DAYS(TODAY(),Tabla1[[#This Row],[FECHA ING]])/365)</f>
        <v>5.0849315068493155</v>
      </c>
      <c r="T1298" s="244">
        <f ca="1">IF(Tabla1[[#This Row],[DIAS VAC]]&gt;1,Tabla1[[#This Row],[DIAS VAC]]-Tabla1[[#This Row],[ANTIG]],Tabla1[[#This Row],[DIAS VAC]])</f>
        <v>8.4931506849315497E-2</v>
      </c>
      <c r="U1298" s="244">
        <f ca="1">Tabla1[[#This Row],[VALID ANTIG]]*Tabla1[[#This Row],[SUE DIA]]*Tabla1[[#This Row],[DIAS VAC PAG]]</f>
        <v>199.87214611872247</v>
      </c>
    </row>
    <row r="1299" spans="2:21" hidden="1" x14ac:dyDescent="0.25">
      <c r="B1299" s="243">
        <v>443</v>
      </c>
      <c r="C1299" s="140" t="str">
        <f>VLOOKUP(B1299,BDD[],2,0)</f>
        <v>Javier Nicacio Martinez</v>
      </c>
      <c r="D1299" s="140">
        <f>VLOOKUP(B1299,BDD[],3,0)</f>
        <v>6778</v>
      </c>
      <c r="E1299" s="140">
        <f>VLOOKUP(B1299,BDD[],4,0)</f>
        <v>225.93333333333334</v>
      </c>
      <c r="F1299" s="142">
        <f>VLOOKUP(B1299,BDD[],26,0)</f>
        <v>25.103703703703705</v>
      </c>
      <c r="G1299" s="268">
        <f>VLOOKUP(B1299,BDD[],6,0)</f>
        <v>42911</v>
      </c>
      <c r="H1299" s="139">
        <f ca="1">VLOOKUP(B1299,BDD[],7,0)</f>
        <v>5</v>
      </c>
      <c r="I1299" s="139">
        <f ca="1">VLOOKUP(B1299,BDD[],22,0)</f>
        <v>4</v>
      </c>
      <c r="J1299" s="168">
        <v>15</v>
      </c>
      <c r="K1299" s="139">
        <f>Tabla1[[#This Row],[DIAS LAB]]*Tabla1[[#This Row],[SUE DIA]]</f>
        <v>3389</v>
      </c>
      <c r="L1299" s="168">
        <v>0</v>
      </c>
      <c r="M1299" s="198">
        <f>Tabla1[[#This Row],[HRS EXT]]*Tabla1[[#This Row],[SUE X HR]]</f>
        <v>0</v>
      </c>
      <c r="N1299" s="168">
        <v>0</v>
      </c>
      <c r="O1299" s="198">
        <f>Tabla1[[#This Row],[ASUETO]]*Tabla1[[#This Row],[SUE DIA]]</f>
        <v>0</v>
      </c>
      <c r="P1299" s="139">
        <f>IF(Tabla1[[#This Row],[FECHA ING]]&lt;$P$1007,365,_xlfn.DAYS($P$1008,Tabla1[[#This Row],[FECHA ING]])+1)</f>
        <v>365</v>
      </c>
      <c r="Q1299" s="198">
        <f>INT(30*(Tabla1[[#This Row],[FECHAS CONTB AGNLDO]]/365))</f>
        <v>30</v>
      </c>
      <c r="R1299" s="244">
        <f ca="1">IF($W$32=$W$26,Tabla1[[#This Row],[SUE DIA]]*Tabla1[[#This Row],[DIAS PAG AGNLDO]],0)</f>
        <v>0</v>
      </c>
      <c r="S1299" s="244">
        <f ca="1">(_xlfn.DAYS(TODAY(),Tabla1[[#This Row],[FECHA ING]])/365)</f>
        <v>5.065753424657534</v>
      </c>
      <c r="T1299" s="244">
        <f ca="1">IF(Tabla1[[#This Row],[DIAS VAC]]&gt;1,Tabla1[[#This Row],[DIAS VAC]]-Tabla1[[#This Row],[ANTIG]],Tabla1[[#This Row],[DIAS VAC]])</f>
        <v>6.5753424657533976E-2</v>
      </c>
      <c r="U1299" s="244">
        <f ca="1">Tabla1[[#This Row],[VALID ANTIG]]*Tabla1[[#This Row],[SUE DIA]]*Tabla1[[#This Row],[DIAS VAC PAG]]</f>
        <v>59.42356164383537</v>
      </c>
    </row>
    <row r="1300" spans="2:21" hidden="1" x14ac:dyDescent="0.25">
      <c r="B1300" s="243">
        <v>444</v>
      </c>
      <c r="C1300" s="140" t="str">
        <f>VLOOKUP(B1300,BDD[],2,0)</f>
        <v>Marco Raúl Hernández Salazar</v>
      </c>
      <c r="D1300" s="140">
        <f>VLOOKUP(B1300,BDD[],3,0)</f>
        <v>7445</v>
      </c>
      <c r="E1300" s="140">
        <f>VLOOKUP(B1300,BDD[],4,0)</f>
        <v>248.16666666666666</v>
      </c>
      <c r="F1300" s="142">
        <f>VLOOKUP(B1300,BDD[],26,0)</f>
        <v>27.574074074074073</v>
      </c>
      <c r="G1300" s="268">
        <f>VLOOKUP(B1300,BDD[],6,0)</f>
        <v>42913</v>
      </c>
      <c r="H1300" s="139">
        <f ca="1">VLOOKUP(B1300,BDD[],7,0)</f>
        <v>5</v>
      </c>
      <c r="I1300" s="139">
        <f ca="1">VLOOKUP(B1300,BDD[],22,0)</f>
        <v>8</v>
      </c>
      <c r="J1300" s="168">
        <v>15</v>
      </c>
      <c r="K1300" s="139">
        <f>Tabla1[[#This Row],[DIAS LAB]]*Tabla1[[#This Row],[SUE DIA]]</f>
        <v>3722.5</v>
      </c>
      <c r="L1300" s="168">
        <v>0</v>
      </c>
      <c r="M1300" s="198">
        <f>Tabla1[[#This Row],[HRS EXT]]*Tabla1[[#This Row],[SUE X HR]]</f>
        <v>0</v>
      </c>
      <c r="N1300" s="168">
        <v>0</v>
      </c>
      <c r="O1300" s="198">
        <f>Tabla1[[#This Row],[ASUETO]]*Tabla1[[#This Row],[SUE DIA]]</f>
        <v>0</v>
      </c>
      <c r="P1300" s="139">
        <f>IF(Tabla1[[#This Row],[FECHA ING]]&lt;$P$1007,365,_xlfn.DAYS($P$1008,Tabla1[[#This Row],[FECHA ING]])+1)</f>
        <v>365</v>
      </c>
      <c r="Q1300" s="198">
        <f>INT(30*(Tabla1[[#This Row],[FECHAS CONTB AGNLDO]]/365))</f>
        <v>30</v>
      </c>
      <c r="R1300" s="244">
        <f ca="1">IF($W$32=$W$26,Tabla1[[#This Row],[SUE DIA]]*Tabla1[[#This Row],[DIAS PAG AGNLDO]],0)</f>
        <v>0</v>
      </c>
      <c r="S1300" s="244">
        <f ca="1">(_xlfn.DAYS(TODAY(),Tabla1[[#This Row],[FECHA ING]])/365)</f>
        <v>5.0602739726027401</v>
      </c>
      <c r="T1300" s="244">
        <f ca="1">IF(Tabla1[[#This Row],[DIAS VAC]]&gt;1,Tabla1[[#This Row],[DIAS VAC]]-Tabla1[[#This Row],[ANTIG]],Tabla1[[#This Row],[DIAS VAC]])</f>
        <v>6.0273972602740145E-2</v>
      </c>
      <c r="U1300" s="244">
        <f ca="1">Tabla1[[#This Row],[VALID ANTIG]]*Tabla1[[#This Row],[SUE DIA]]*Tabla1[[#This Row],[DIAS VAC PAG]]</f>
        <v>119.6639269406401</v>
      </c>
    </row>
    <row r="1301" spans="2:21" hidden="1" x14ac:dyDescent="0.25">
      <c r="B1301" s="243">
        <v>445</v>
      </c>
      <c r="C1301" s="140" t="str">
        <f>VLOOKUP(B1301,BDD[],2,0)</f>
        <v>Enrique Bolaños Torres</v>
      </c>
      <c r="D1301" s="140">
        <f>VLOOKUP(B1301,BDD[],3,0)</f>
        <v>9541</v>
      </c>
      <c r="E1301" s="140">
        <f>VLOOKUP(B1301,BDD[],4,0)</f>
        <v>318.03333333333336</v>
      </c>
      <c r="F1301" s="142">
        <f>VLOOKUP(B1301,BDD[],26,0)</f>
        <v>35.337037037037042</v>
      </c>
      <c r="G1301" s="268">
        <f>VLOOKUP(B1301,BDD[],6,0)</f>
        <v>42942</v>
      </c>
      <c r="H1301" s="139">
        <f ca="1">VLOOKUP(B1301,BDD[],7,0)</f>
        <v>4</v>
      </c>
      <c r="I1301" s="139">
        <f ca="1">VLOOKUP(B1301,BDD[],22,0)</f>
        <v>7</v>
      </c>
      <c r="J1301" s="168">
        <v>15</v>
      </c>
      <c r="K1301" s="139">
        <f>Tabla1[[#This Row],[DIAS LAB]]*Tabla1[[#This Row],[SUE DIA]]</f>
        <v>4770.5</v>
      </c>
      <c r="L1301" s="168">
        <v>0</v>
      </c>
      <c r="M1301" s="198">
        <f>Tabla1[[#This Row],[HRS EXT]]*Tabla1[[#This Row],[SUE X HR]]</f>
        <v>0</v>
      </c>
      <c r="N1301" s="168">
        <v>0</v>
      </c>
      <c r="O1301" s="198">
        <f>Tabla1[[#This Row],[ASUETO]]*Tabla1[[#This Row],[SUE DIA]]</f>
        <v>0</v>
      </c>
      <c r="P1301" s="139">
        <f>IF(Tabla1[[#This Row],[FECHA ING]]&lt;$P$1007,365,_xlfn.DAYS($P$1008,Tabla1[[#This Row],[FECHA ING]])+1)</f>
        <v>365</v>
      </c>
      <c r="Q1301" s="198">
        <f>INT(30*(Tabla1[[#This Row],[FECHAS CONTB AGNLDO]]/365))</f>
        <v>30</v>
      </c>
      <c r="R1301" s="244">
        <f ca="1">IF($W$32=$W$26,Tabla1[[#This Row],[SUE DIA]]*Tabla1[[#This Row],[DIAS PAG AGNLDO]],0)</f>
        <v>0</v>
      </c>
      <c r="S1301" s="244">
        <f ca="1">(_xlfn.DAYS(TODAY(),Tabla1[[#This Row],[FECHA ING]])/365)</f>
        <v>4.9808219178082194</v>
      </c>
      <c r="T1301" s="244">
        <f ca="1">IF(Tabla1[[#This Row],[DIAS VAC]]&gt;1,Tabla1[[#This Row],[DIAS VAC]]-Tabla1[[#This Row],[ANTIG]],Tabla1[[#This Row],[DIAS VAC]])</f>
        <v>0.98082191780821937</v>
      </c>
      <c r="U1301" s="244">
        <f ca="1">Tabla1[[#This Row],[VALID ANTIG]]*Tabla1[[#This Row],[SUE DIA]]*Tabla1[[#This Row],[DIAS VAC PAG]]</f>
        <v>2183.538447488585</v>
      </c>
    </row>
    <row r="1302" spans="2:21" hidden="1" x14ac:dyDescent="0.25">
      <c r="B1302" s="243">
        <v>446</v>
      </c>
      <c r="C1302" s="140" t="str">
        <f>VLOOKUP(B1302,BDD[],2,0)</f>
        <v>Brayan Alexis Reyes Cuellar</v>
      </c>
      <c r="D1302" s="140">
        <f>VLOOKUP(B1302,BDD[],3,0)</f>
        <v>6778</v>
      </c>
      <c r="E1302" s="140">
        <f>VLOOKUP(B1302,BDD[],4,0)</f>
        <v>225.93333333333334</v>
      </c>
      <c r="F1302" s="142">
        <f>VLOOKUP(B1302,BDD[],26,0)</f>
        <v>25.103703703703705</v>
      </c>
      <c r="G1302" s="268">
        <f>VLOOKUP(B1302,BDD[],6,0)</f>
        <v>42947</v>
      </c>
      <c r="H1302" s="139">
        <f ca="1">VLOOKUP(B1302,BDD[],7,0)</f>
        <v>4</v>
      </c>
      <c r="I1302" s="139">
        <f ca="1">VLOOKUP(B1302,BDD[],22,0)</f>
        <v>3.5</v>
      </c>
      <c r="J1302" s="168">
        <v>15</v>
      </c>
      <c r="K1302" s="139">
        <f>Tabla1[[#This Row],[DIAS LAB]]*Tabla1[[#This Row],[SUE DIA]]</f>
        <v>3389</v>
      </c>
      <c r="L1302" s="168">
        <v>0</v>
      </c>
      <c r="M1302" s="198">
        <f>Tabla1[[#This Row],[HRS EXT]]*Tabla1[[#This Row],[SUE X HR]]</f>
        <v>0</v>
      </c>
      <c r="N1302" s="168">
        <v>0</v>
      </c>
      <c r="O1302" s="198">
        <f>Tabla1[[#This Row],[ASUETO]]*Tabla1[[#This Row],[SUE DIA]]</f>
        <v>0</v>
      </c>
      <c r="P1302" s="139">
        <f>IF(Tabla1[[#This Row],[FECHA ING]]&lt;$P$1007,365,_xlfn.DAYS($P$1008,Tabla1[[#This Row],[FECHA ING]])+1)</f>
        <v>365</v>
      </c>
      <c r="Q1302" s="198">
        <f>INT(30*(Tabla1[[#This Row],[FECHAS CONTB AGNLDO]]/365))</f>
        <v>30</v>
      </c>
      <c r="R1302" s="244">
        <f ca="1">IF($W$32=$W$26,Tabla1[[#This Row],[SUE DIA]]*Tabla1[[#This Row],[DIAS PAG AGNLDO]],0)</f>
        <v>0</v>
      </c>
      <c r="S1302" s="244">
        <f ca="1">(_xlfn.DAYS(TODAY(),Tabla1[[#This Row],[FECHA ING]])/365)</f>
        <v>4.9671232876712326</v>
      </c>
      <c r="T1302" s="244">
        <f ca="1">IF(Tabla1[[#This Row],[DIAS VAC]]&gt;1,Tabla1[[#This Row],[DIAS VAC]]-Tabla1[[#This Row],[ANTIG]],Tabla1[[#This Row],[DIAS VAC]])</f>
        <v>0.96712328767123257</v>
      </c>
      <c r="U1302" s="244">
        <f ca="1">Tabla1[[#This Row],[VALID ANTIG]]*Tabla1[[#This Row],[SUE DIA]]*Tabla1[[#This Row],[DIAS VAC PAG]]</f>
        <v>764.76885844748836</v>
      </c>
    </row>
    <row r="1303" spans="2:21" hidden="1" x14ac:dyDescent="0.25">
      <c r="B1303" s="243">
        <v>448</v>
      </c>
      <c r="C1303" s="140" t="str">
        <f>VLOOKUP(B1303,BDD[],2,0)</f>
        <v>Arturo Nava Atilano</v>
      </c>
      <c r="D1303" s="140">
        <f>VLOOKUP(B1303,BDD[],3,0)</f>
        <v>9541</v>
      </c>
      <c r="E1303" s="140">
        <f>VLOOKUP(B1303,BDD[],4,0)</f>
        <v>318.03333333333336</v>
      </c>
      <c r="F1303" s="142">
        <f>VLOOKUP(B1303,BDD[],26,0)</f>
        <v>35.337037037037042</v>
      </c>
      <c r="G1303" s="268">
        <f>VLOOKUP(B1303,BDD[],6,0)</f>
        <v>42947</v>
      </c>
      <c r="H1303" s="139">
        <f ca="1">VLOOKUP(B1303,BDD[],7,0)</f>
        <v>4</v>
      </c>
      <c r="I1303" s="139">
        <f ca="1">VLOOKUP(B1303,BDD[],22,0)</f>
        <v>7</v>
      </c>
      <c r="J1303" s="168">
        <v>15</v>
      </c>
      <c r="K1303" s="139">
        <f>Tabla1[[#This Row],[DIAS LAB]]*Tabla1[[#This Row],[SUE DIA]]</f>
        <v>4770.5</v>
      </c>
      <c r="L1303" s="168">
        <v>0</v>
      </c>
      <c r="M1303" s="198">
        <f>Tabla1[[#This Row],[HRS EXT]]*Tabla1[[#This Row],[SUE X HR]]</f>
        <v>0</v>
      </c>
      <c r="N1303" s="168">
        <v>0</v>
      </c>
      <c r="O1303" s="198">
        <f>Tabla1[[#This Row],[ASUETO]]*Tabla1[[#This Row],[SUE DIA]]</f>
        <v>0</v>
      </c>
      <c r="P1303" s="139">
        <f>IF(Tabla1[[#This Row],[FECHA ING]]&lt;$P$1007,365,_xlfn.DAYS($P$1008,Tabla1[[#This Row],[FECHA ING]])+1)</f>
        <v>365</v>
      </c>
      <c r="Q1303" s="198">
        <f>INT(30*(Tabla1[[#This Row],[FECHAS CONTB AGNLDO]]/365))</f>
        <v>30</v>
      </c>
      <c r="R1303" s="244">
        <f ca="1">IF($W$32=$W$26,Tabla1[[#This Row],[SUE DIA]]*Tabla1[[#This Row],[DIAS PAG AGNLDO]],0)</f>
        <v>0</v>
      </c>
      <c r="S1303" s="244">
        <f ca="1">(_xlfn.DAYS(TODAY(),Tabla1[[#This Row],[FECHA ING]])/365)</f>
        <v>4.9671232876712326</v>
      </c>
      <c r="T1303" s="244">
        <f ca="1">IF(Tabla1[[#This Row],[DIAS VAC]]&gt;1,Tabla1[[#This Row],[DIAS VAC]]-Tabla1[[#This Row],[ANTIG]],Tabla1[[#This Row],[DIAS VAC]])</f>
        <v>0.96712328767123257</v>
      </c>
      <c r="U1303" s="244">
        <f ca="1">Tabla1[[#This Row],[VALID ANTIG]]*Tabla1[[#This Row],[SUE DIA]]*Tabla1[[#This Row],[DIAS VAC PAG]]</f>
        <v>2153.0421004566206</v>
      </c>
    </row>
    <row r="1304" spans="2:21" hidden="1" x14ac:dyDescent="0.25">
      <c r="B1304" s="243">
        <v>449</v>
      </c>
      <c r="C1304" s="140" t="str">
        <f>VLOOKUP(B1304,BDD[],2,0)</f>
        <v>Eduardo Jesus Soto Solis</v>
      </c>
      <c r="D1304" s="140">
        <f>VLOOKUP(B1304,BDD[],3,0)</f>
        <v>9450</v>
      </c>
      <c r="E1304" s="140">
        <f>VLOOKUP(B1304,BDD[],4,0)</f>
        <v>315</v>
      </c>
      <c r="F1304" s="142">
        <f>VLOOKUP(B1304,BDD[],26,0)</f>
        <v>35</v>
      </c>
      <c r="G1304" s="268">
        <f>VLOOKUP(B1304,BDD[],6,0)</f>
        <v>42951</v>
      </c>
      <c r="H1304" s="139">
        <f ca="1">VLOOKUP(B1304,BDD[],7,0)</f>
        <v>4</v>
      </c>
      <c r="I1304" s="139">
        <f ca="1">VLOOKUP(B1304,BDD[],22,0)</f>
        <v>7</v>
      </c>
      <c r="J1304" s="168">
        <v>15</v>
      </c>
      <c r="K1304" s="139">
        <f>Tabla1[[#This Row],[DIAS LAB]]*Tabla1[[#This Row],[SUE DIA]]</f>
        <v>4725</v>
      </c>
      <c r="L1304" s="168">
        <v>0</v>
      </c>
      <c r="M1304" s="198">
        <f>Tabla1[[#This Row],[HRS EXT]]*Tabla1[[#This Row],[SUE X HR]]</f>
        <v>0</v>
      </c>
      <c r="N1304" s="168">
        <v>0</v>
      </c>
      <c r="O1304" s="198">
        <f>Tabla1[[#This Row],[ASUETO]]*Tabla1[[#This Row],[SUE DIA]]</f>
        <v>0</v>
      </c>
      <c r="P1304" s="139">
        <f>IF(Tabla1[[#This Row],[FECHA ING]]&lt;$P$1007,365,_xlfn.DAYS($P$1008,Tabla1[[#This Row],[FECHA ING]])+1)</f>
        <v>365</v>
      </c>
      <c r="Q1304" s="198">
        <f>INT(30*(Tabla1[[#This Row],[FECHAS CONTB AGNLDO]]/365))</f>
        <v>30</v>
      </c>
      <c r="R1304" s="244">
        <f ca="1">IF($W$32=$W$26,Tabla1[[#This Row],[SUE DIA]]*Tabla1[[#This Row],[DIAS PAG AGNLDO]],0)</f>
        <v>0</v>
      </c>
      <c r="S1304" s="244">
        <f ca="1">(_xlfn.DAYS(TODAY(),Tabla1[[#This Row],[FECHA ING]])/365)</f>
        <v>4.956164383561644</v>
      </c>
      <c r="T1304" s="244">
        <f ca="1">IF(Tabla1[[#This Row],[DIAS VAC]]&gt;1,Tabla1[[#This Row],[DIAS VAC]]-Tabla1[[#This Row],[ANTIG]],Tabla1[[#This Row],[DIAS VAC]])</f>
        <v>0.95616438356164402</v>
      </c>
      <c r="U1304" s="244">
        <f ca="1">Tabla1[[#This Row],[VALID ANTIG]]*Tabla1[[#This Row],[SUE DIA]]*Tabla1[[#This Row],[DIAS VAC PAG]]</f>
        <v>2108.3424657534251</v>
      </c>
    </row>
    <row r="1305" spans="2:21" hidden="1" x14ac:dyDescent="0.25">
      <c r="B1305" s="243">
        <v>450</v>
      </c>
      <c r="C1305" s="140" t="str">
        <f>VLOOKUP(B1305,BDD[],2,0)</f>
        <v>Alexa Sofia Rivas Sauceda</v>
      </c>
      <c r="D1305" s="140">
        <f>VLOOKUP(B1305,BDD[],3,0)</f>
        <v>7445</v>
      </c>
      <c r="E1305" s="140">
        <f>VLOOKUP(B1305,BDD[],4,0)</f>
        <v>248.16666666666666</v>
      </c>
      <c r="F1305" s="142">
        <f>VLOOKUP(B1305,BDD[],26,0)</f>
        <v>27.574074074074073</v>
      </c>
      <c r="G1305" s="268">
        <f>VLOOKUP(B1305,BDD[],6,0)</f>
        <v>42962</v>
      </c>
      <c r="H1305" s="139">
        <f ca="1">VLOOKUP(B1305,BDD[],7,0)</f>
        <v>4</v>
      </c>
      <c r="I1305" s="139">
        <f ca="1">VLOOKUP(B1305,BDD[],22,0)</f>
        <v>7</v>
      </c>
      <c r="J1305" s="168">
        <v>15</v>
      </c>
      <c r="K1305" s="139">
        <f>Tabla1[[#This Row],[DIAS LAB]]*Tabla1[[#This Row],[SUE DIA]]</f>
        <v>3722.5</v>
      </c>
      <c r="L1305" s="168">
        <v>0</v>
      </c>
      <c r="M1305" s="198">
        <f>Tabla1[[#This Row],[HRS EXT]]*Tabla1[[#This Row],[SUE X HR]]</f>
        <v>0</v>
      </c>
      <c r="N1305" s="168">
        <v>0</v>
      </c>
      <c r="O1305" s="198">
        <f>Tabla1[[#This Row],[ASUETO]]*Tabla1[[#This Row],[SUE DIA]]</f>
        <v>0</v>
      </c>
      <c r="P1305" s="139">
        <f>IF(Tabla1[[#This Row],[FECHA ING]]&lt;$P$1007,365,_xlfn.DAYS($P$1008,Tabla1[[#This Row],[FECHA ING]])+1)</f>
        <v>365</v>
      </c>
      <c r="Q1305" s="198">
        <f>INT(30*(Tabla1[[#This Row],[FECHAS CONTB AGNLDO]]/365))</f>
        <v>30</v>
      </c>
      <c r="R1305" s="244">
        <f ca="1">IF($W$32=$W$26,Tabla1[[#This Row],[SUE DIA]]*Tabla1[[#This Row],[DIAS PAG AGNLDO]],0)</f>
        <v>0</v>
      </c>
      <c r="S1305" s="244">
        <f ca="1">(_xlfn.DAYS(TODAY(),Tabla1[[#This Row],[FECHA ING]])/365)</f>
        <v>4.9260273972602739</v>
      </c>
      <c r="T1305" s="244">
        <f ca="1">IF(Tabla1[[#This Row],[DIAS VAC]]&gt;1,Tabla1[[#This Row],[DIAS VAC]]-Tabla1[[#This Row],[ANTIG]],Tabla1[[#This Row],[DIAS VAC]])</f>
        <v>0.92602739726027394</v>
      </c>
      <c r="U1305" s="244">
        <f ca="1">Tabla1[[#This Row],[VALID ANTIG]]*Tabla1[[#This Row],[SUE DIA]]*Tabla1[[#This Row],[DIAS VAC PAG]]</f>
        <v>1608.6639269406392</v>
      </c>
    </row>
    <row r="1306" spans="2:21" hidden="1" x14ac:dyDescent="0.25">
      <c r="B1306" s="243">
        <v>451</v>
      </c>
      <c r="C1306" s="140" t="str">
        <f>VLOOKUP(B1306,BDD[],2,0)</f>
        <v>Melanie Priscila Ibarra García</v>
      </c>
      <c r="D1306" s="140">
        <f>VLOOKUP(B1306,BDD[],3,0)</f>
        <v>7445</v>
      </c>
      <c r="E1306" s="140">
        <f>VLOOKUP(B1306,BDD[],4,0)</f>
        <v>248.16666666666666</v>
      </c>
      <c r="F1306" s="142">
        <f>VLOOKUP(B1306,BDD[],26,0)</f>
        <v>27.574074074074073</v>
      </c>
      <c r="G1306" s="268">
        <f>VLOOKUP(B1306,BDD[],6,0)</f>
        <v>42965</v>
      </c>
      <c r="H1306" s="139">
        <f ca="1">VLOOKUP(B1306,BDD[],7,0)</f>
        <v>4</v>
      </c>
      <c r="I1306" s="139">
        <f ca="1">VLOOKUP(B1306,BDD[],22,0)</f>
        <v>7</v>
      </c>
      <c r="J1306" s="168">
        <v>15</v>
      </c>
      <c r="K1306" s="139">
        <f>Tabla1[[#This Row],[DIAS LAB]]*Tabla1[[#This Row],[SUE DIA]]</f>
        <v>3722.5</v>
      </c>
      <c r="L1306" s="168">
        <v>0</v>
      </c>
      <c r="M1306" s="198">
        <f>Tabla1[[#This Row],[HRS EXT]]*Tabla1[[#This Row],[SUE X HR]]</f>
        <v>0</v>
      </c>
      <c r="N1306" s="168">
        <v>0</v>
      </c>
      <c r="O1306" s="198">
        <f>Tabla1[[#This Row],[ASUETO]]*Tabla1[[#This Row],[SUE DIA]]</f>
        <v>0</v>
      </c>
      <c r="P1306" s="139">
        <f>IF(Tabla1[[#This Row],[FECHA ING]]&lt;$P$1007,365,_xlfn.DAYS($P$1008,Tabla1[[#This Row],[FECHA ING]])+1)</f>
        <v>365</v>
      </c>
      <c r="Q1306" s="198">
        <f>INT(30*(Tabla1[[#This Row],[FECHAS CONTB AGNLDO]]/365))</f>
        <v>30</v>
      </c>
      <c r="R1306" s="244">
        <f ca="1">IF($W$32=$W$26,Tabla1[[#This Row],[SUE DIA]]*Tabla1[[#This Row],[DIAS PAG AGNLDO]],0)</f>
        <v>0</v>
      </c>
      <c r="S1306" s="244">
        <f ca="1">(_xlfn.DAYS(TODAY(),Tabla1[[#This Row],[FECHA ING]])/365)</f>
        <v>4.9178082191780819</v>
      </c>
      <c r="T1306" s="244">
        <f ca="1">IF(Tabla1[[#This Row],[DIAS VAC]]&gt;1,Tabla1[[#This Row],[DIAS VAC]]-Tabla1[[#This Row],[ANTIG]],Tabla1[[#This Row],[DIAS VAC]])</f>
        <v>0.91780821917808186</v>
      </c>
      <c r="U1306" s="244">
        <f ca="1">Tabla1[[#This Row],[VALID ANTIG]]*Tabla1[[#This Row],[SUE DIA]]*Tabla1[[#This Row],[DIAS VAC PAG]]</f>
        <v>1594.3858447488578</v>
      </c>
    </row>
    <row r="1307" spans="2:21" hidden="1" x14ac:dyDescent="0.25">
      <c r="B1307" s="243">
        <v>452</v>
      </c>
      <c r="C1307" s="140" t="str">
        <f>VLOOKUP(B1307,BDD[],2,0)</f>
        <v>Lucia Granados Cortez</v>
      </c>
      <c r="D1307" s="140">
        <f>VLOOKUP(B1307,BDD[],3,0)</f>
        <v>9541</v>
      </c>
      <c r="E1307" s="140">
        <f>VLOOKUP(B1307,BDD[],4,0)</f>
        <v>318.03333333333336</v>
      </c>
      <c r="F1307" s="142">
        <f>VLOOKUP(B1307,BDD[],26,0)</f>
        <v>35.337037037037042</v>
      </c>
      <c r="G1307" s="268">
        <f>VLOOKUP(B1307,BDD[],6,0)</f>
        <v>42993</v>
      </c>
      <c r="H1307" s="139">
        <f ca="1">VLOOKUP(B1307,BDD[],7,0)</f>
        <v>4</v>
      </c>
      <c r="I1307" s="139">
        <f ca="1">VLOOKUP(B1307,BDD[],22,0)</f>
        <v>7</v>
      </c>
      <c r="J1307" s="168">
        <v>15</v>
      </c>
      <c r="K1307" s="139">
        <f>Tabla1[[#This Row],[DIAS LAB]]*Tabla1[[#This Row],[SUE DIA]]</f>
        <v>4770.5</v>
      </c>
      <c r="L1307" s="168">
        <v>0</v>
      </c>
      <c r="M1307" s="198">
        <f>Tabla1[[#This Row],[HRS EXT]]*Tabla1[[#This Row],[SUE X HR]]</f>
        <v>0</v>
      </c>
      <c r="N1307" s="168">
        <v>0</v>
      </c>
      <c r="O1307" s="198">
        <f>Tabla1[[#This Row],[ASUETO]]*Tabla1[[#This Row],[SUE DIA]]</f>
        <v>0</v>
      </c>
      <c r="P1307" s="139">
        <f>IF(Tabla1[[#This Row],[FECHA ING]]&lt;$P$1007,365,_xlfn.DAYS($P$1008,Tabla1[[#This Row],[FECHA ING]])+1)</f>
        <v>365</v>
      </c>
      <c r="Q1307" s="198">
        <f>INT(30*(Tabla1[[#This Row],[FECHAS CONTB AGNLDO]]/365))</f>
        <v>30</v>
      </c>
      <c r="R1307" s="244">
        <f ca="1">IF($W$32=$W$26,Tabla1[[#This Row],[SUE DIA]]*Tabla1[[#This Row],[DIAS PAG AGNLDO]],0)</f>
        <v>0</v>
      </c>
      <c r="S1307" s="244">
        <f ca="1">(_xlfn.DAYS(TODAY(),Tabla1[[#This Row],[FECHA ING]])/365)</f>
        <v>4.8410958904109593</v>
      </c>
      <c r="T1307" s="244">
        <f ca="1">IF(Tabla1[[#This Row],[DIAS VAC]]&gt;1,Tabla1[[#This Row],[DIAS VAC]]-Tabla1[[#This Row],[ANTIG]],Tabla1[[#This Row],[DIAS VAC]])</f>
        <v>0.84109589041095933</v>
      </c>
      <c r="U1307" s="244">
        <f ca="1">Tabla1[[#This Row],[VALID ANTIG]]*Tabla1[[#This Row],[SUE DIA]]*Tabla1[[#This Row],[DIAS VAC PAG]]</f>
        <v>1872.4757077625584</v>
      </c>
    </row>
    <row r="1308" spans="2:21" hidden="1" x14ac:dyDescent="0.25">
      <c r="B1308" s="243">
        <v>455</v>
      </c>
      <c r="C1308" s="140" t="str">
        <f>VLOOKUP(B1308,BDD[],2,0)</f>
        <v>Marbella Reyes Santiago</v>
      </c>
      <c r="D1308" s="140">
        <f>VLOOKUP(B1308,BDD[],3,0)</f>
        <v>7445</v>
      </c>
      <c r="E1308" s="140">
        <f>VLOOKUP(B1308,BDD[],4,0)</f>
        <v>248.16666666666666</v>
      </c>
      <c r="F1308" s="142">
        <f>VLOOKUP(B1308,BDD[],26,0)</f>
        <v>27.574074074074073</v>
      </c>
      <c r="G1308" s="268">
        <f>VLOOKUP(B1308,BDD[],6,0)</f>
        <v>43003</v>
      </c>
      <c r="H1308" s="139">
        <f ca="1">VLOOKUP(B1308,BDD[],7,0)</f>
        <v>4</v>
      </c>
      <c r="I1308" s="139">
        <f ca="1">VLOOKUP(B1308,BDD[],22,0)</f>
        <v>7</v>
      </c>
      <c r="J1308" s="168">
        <v>15</v>
      </c>
      <c r="K1308" s="139">
        <f>Tabla1[[#This Row],[DIAS LAB]]*Tabla1[[#This Row],[SUE DIA]]</f>
        <v>3722.5</v>
      </c>
      <c r="L1308" s="168">
        <v>0</v>
      </c>
      <c r="M1308" s="198">
        <f>Tabla1[[#This Row],[HRS EXT]]*Tabla1[[#This Row],[SUE X HR]]</f>
        <v>0</v>
      </c>
      <c r="N1308" s="168">
        <v>0</v>
      </c>
      <c r="O1308" s="198">
        <f>Tabla1[[#This Row],[ASUETO]]*Tabla1[[#This Row],[SUE DIA]]</f>
        <v>0</v>
      </c>
      <c r="P1308" s="139">
        <f>IF(Tabla1[[#This Row],[FECHA ING]]&lt;$P$1007,365,_xlfn.DAYS($P$1008,Tabla1[[#This Row],[FECHA ING]])+1)</f>
        <v>365</v>
      </c>
      <c r="Q1308" s="198">
        <f>INT(30*(Tabla1[[#This Row],[FECHAS CONTB AGNLDO]]/365))</f>
        <v>30</v>
      </c>
      <c r="R1308" s="244">
        <f ca="1">IF($W$32=$W$26,Tabla1[[#This Row],[SUE DIA]]*Tabla1[[#This Row],[DIAS PAG AGNLDO]],0)</f>
        <v>0</v>
      </c>
      <c r="S1308" s="244">
        <f ca="1">(_xlfn.DAYS(TODAY(),Tabla1[[#This Row],[FECHA ING]])/365)</f>
        <v>4.8136986301369866</v>
      </c>
      <c r="T1308" s="244">
        <f ca="1">IF(Tabla1[[#This Row],[DIAS VAC]]&gt;1,Tabla1[[#This Row],[DIAS VAC]]-Tabla1[[#This Row],[ANTIG]],Tabla1[[#This Row],[DIAS VAC]])</f>
        <v>0.81369863013698662</v>
      </c>
      <c r="U1308" s="244">
        <f ca="1">Tabla1[[#This Row],[VALID ANTIG]]*Tabla1[[#This Row],[SUE DIA]]*Tabla1[[#This Row],[DIAS VAC PAG]]</f>
        <v>1413.5301369863018</v>
      </c>
    </row>
    <row r="1309" spans="2:21" hidden="1" x14ac:dyDescent="0.25">
      <c r="B1309" s="243">
        <v>456</v>
      </c>
      <c r="C1309" s="140" t="str">
        <f>VLOOKUP(B1309,BDD[],2,0)</f>
        <v>Ana Laura Orbe García</v>
      </c>
      <c r="D1309" s="140">
        <f>VLOOKUP(B1309,BDD[],3,0)</f>
        <v>9541</v>
      </c>
      <c r="E1309" s="140">
        <f>VLOOKUP(B1309,BDD[],4,0)</f>
        <v>318.03333333333336</v>
      </c>
      <c r="F1309" s="142">
        <f>VLOOKUP(B1309,BDD[],26,0)</f>
        <v>35.337037037037042</v>
      </c>
      <c r="G1309" s="268">
        <f>VLOOKUP(B1309,BDD[],6,0)</f>
        <v>43019</v>
      </c>
      <c r="H1309" s="139">
        <f ca="1">VLOOKUP(B1309,BDD[],7,0)</f>
        <v>4</v>
      </c>
      <c r="I1309" s="139">
        <f ca="1">VLOOKUP(B1309,BDD[],22,0)</f>
        <v>7</v>
      </c>
      <c r="J1309" s="168">
        <v>15</v>
      </c>
      <c r="K1309" s="139">
        <f>Tabla1[[#This Row],[DIAS LAB]]*Tabla1[[#This Row],[SUE DIA]]</f>
        <v>4770.5</v>
      </c>
      <c r="L1309" s="168">
        <v>0</v>
      </c>
      <c r="M1309" s="198">
        <f>Tabla1[[#This Row],[HRS EXT]]*Tabla1[[#This Row],[SUE X HR]]</f>
        <v>0</v>
      </c>
      <c r="N1309" s="168">
        <v>0</v>
      </c>
      <c r="O1309" s="198">
        <f>Tabla1[[#This Row],[ASUETO]]*Tabla1[[#This Row],[SUE DIA]]</f>
        <v>0</v>
      </c>
      <c r="P1309" s="139">
        <f>IF(Tabla1[[#This Row],[FECHA ING]]&lt;$P$1007,365,_xlfn.DAYS($P$1008,Tabla1[[#This Row],[FECHA ING]])+1)</f>
        <v>365</v>
      </c>
      <c r="Q1309" s="198">
        <f>INT(30*(Tabla1[[#This Row],[FECHAS CONTB AGNLDO]]/365))</f>
        <v>30</v>
      </c>
      <c r="R1309" s="244">
        <f ca="1">IF($W$32=$W$26,Tabla1[[#This Row],[SUE DIA]]*Tabla1[[#This Row],[DIAS PAG AGNLDO]],0)</f>
        <v>0</v>
      </c>
      <c r="S1309" s="244">
        <f ca="1">(_xlfn.DAYS(TODAY(),Tabla1[[#This Row],[FECHA ING]])/365)</f>
        <v>4.7698630136986298</v>
      </c>
      <c r="T1309" s="244">
        <f ca="1">IF(Tabla1[[#This Row],[DIAS VAC]]&gt;1,Tabla1[[#This Row],[DIAS VAC]]-Tabla1[[#This Row],[ANTIG]],Tabla1[[#This Row],[DIAS VAC]])</f>
        <v>0.76986301369862975</v>
      </c>
      <c r="U1309" s="244">
        <f ca="1">Tabla1[[#This Row],[VALID ANTIG]]*Tabla1[[#This Row],[SUE DIA]]*Tabla1[[#This Row],[DIAS VAC PAG]]</f>
        <v>1713.8947031963462</v>
      </c>
    </row>
    <row r="1310" spans="2:21" hidden="1" x14ac:dyDescent="0.25">
      <c r="B1310" s="243">
        <v>458</v>
      </c>
      <c r="C1310" s="140" t="str">
        <f>VLOOKUP(B1310,BDD[],2,0)</f>
        <v>Ma Esperanza García Gutierrez</v>
      </c>
      <c r="D1310" s="140">
        <f>VLOOKUP(B1310,BDD[],3,0)</f>
        <v>9541</v>
      </c>
      <c r="E1310" s="140">
        <f>VLOOKUP(B1310,BDD[],4,0)</f>
        <v>318.03333333333336</v>
      </c>
      <c r="F1310" s="142">
        <f>VLOOKUP(B1310,BDD[],26,0)</f>
        <v>35.337037037037042</v>
      </c>
      <c r="G1310" s="268">
        <f>VLOOKUP(B1310,BDD[],6,0)</f>
        <v>43019</v>
      </c>
      <c r="H1310" s="139">
        <f ca="1">VLOOKUP(B1310,BDD[],7,0)</f>
        <v>4</v>
      </c>
      <c r="I1310" s="139">
        <f ca="1">VLOOKUP(B1310,BDD[],22,0)</f>
        <v>7</v>
      </c>
      <c r="J1310" s="168">
        <v>15</v>
      </c>
      <c r="K1310" s="139">
        <f>Tabla1[[#This Row],[DIAS LAB]]*Tabla1[[#This Row],[SUE DIA]]</f>
        <v>4770.5</v>
      </c>
      <c r="L1310" s="168">
        <v>0</v>
      </c>
      <c r="M1310" s="198">
        <f>Tabla1[[#This Row],[HRS EXT]]*Tabla1[[#This Row],[SUE X HR]]</f>
        <v>0</v>
      </c>
      <c r="N1310" s="168">
        <v>0</v>
      </c>
      <c r="O1310" s="198">
        <f>Tabla1[[#This Row],[ASUETO]]*Tabla1[[#This Row],[SUE DIA]]</f>
        <v>0</v>
      </c>
      <c r="P1310" s="139">
        <f>IF(Tabla1[[#This Row],[FECHA ING]]&lt;$P$1007,365,_xlfn.DAYS($P$1008,Tabla1[[#This Row],[FECHA ING]])+1)</f>
        <v>365</v>
      </c>
      <c r="Q1310" s="198">
        <f>INT(30*(Tabla1[[#This Row],[FECHAS CONTB AGNLDO]]/365))</f>
        <v>30</v>
      </c>
      <c r="R1310" s="244">
        <f ca="1">IF($W$32=$W$26,Tabla1[[#This Row],[SUE DIA]]*Tabla1[[#This Row],[DIAS PAG AGNLDO]],0)</f>
        <v>0</v>
      </c>
      <c r="S1310" s="244">
        <f ca="1">(_xlfn.DAYS(TODAY(),Tabla1[[#This Row],[FECHA ING]])/365)</f>
        <v>4.7698630136986298</v>
      </c>
      <c r="T1310" s="244">
        <f ca="1">IF(Tabla1[[#This Row],[DIAS VAC]]&gt;1,Tabla1[[#This Row],[DIAS VAC]]-Tabla1[[#This Row],[ANTIG]],Tabla1[[#This Row],[DIAS VAC]])</f>
        <v>0.76986301369862975</v>
      </c>
      <c r="U1310" s="244">
        <f ca="1">Tabla1[[#This Row],[VALID ANTIG]]*Tabla1[[#This Row],[SUE DIA]]*Tabla1[[#This Row],[DIAS VAC PAG]]</f>
        <v>1713.8947031963462</v>
      </c>
    </row>
    <row r="1311" spans="2:21" hidden="1" x14ac:dyDescent="0.25">
      <c r="B1311" s="243">
        <v>460</v>
      </c>
      <c r="C1311" s="140" t="str">
        <f>VLOOKUP(B1311,BDD[],2,0)</f>
        <v>Marían Aurora Martínez López</v>
      </c>
      <c r="D1311" s="140">
        <f>VLOOKUP(B1311,BDD[],3,0)</f>
        <v>9450</v>
      </c>
      <c r="E1311" s="140">
        <f>VLOOKUP(B1311,BDD[],4,0)</f>
        <v>315</v>
      </c>
      <c r="F1311" s="142">
        <f>VLOOKUP(B1311,BDD[],26,0)</f>
        <v>35</v>
      </c>
      <c r="G1311" s="268">
        <f>VLOOKUP(B1311,BDD[],6,0)</f>
        <v>43019</v>
      </c>
      <c r="H1311" s="139">
        <f ca="1">VLOOKUP(B1311,BDD[],7,0)</f>
        <v>4</v>
      </c>
      <c r="I1311" s="139">
        <f ca="1">VLOOKUP(B1311,BDD[],22,0)</f>
        <v>7</v>
      </c>
      <c r="J1311" s="168">
        <v>15</v>
      </c>
      <c r="K1311" s="139">
        <f>Tabla1[[#This Row],[DIAS LAB]]*Tabla1[[#This Row],[SUE DIA]]</f>
        <v>4725</v>
      </c>
      <c r="L1311" s="168">
        <v>0</v>
      </c>
      <c r="M1311" s="198">
        <f>Tabla1[[#This Row],[HRS EXT]]*Tabla1[[#This Row],[SUE X HR]]</f>
        <v>0</v>
      </c>
      <c r="N1311" s="168">
        <v>0</v>
      </c>
      <c r="O1311" s="198">
        <f>Tabla1[[#This Row],[ASUETO]]*Tabla1[[#This Row],[SUE DIA]]</f>
        <v>0</v>
      </c>
      <c r="P1311" s="139">
        <f>IF(Tabla1[[#This Row],[FECHA ING]]&lt;$P$1007,365,_xlfn.DAYS($P$1008,Tabla1[[#This Row],[FECHA ING]])+1)</f>
        <v>365</v>
      </c>
      <c r="Q1311" s="198">
        <f>INT(30*(Tabla1[[#This Row],[FECHAS CONTB AGNLDO]]/365))</f>
        <v>30</v>
      </c>
      <c r="R1311" s="244">
        <f ca="1">IF($W$32=$W$26,Tabla1[[#This Row],[SUE DIA]]*Tabla1[[#This Row],[DIAS PAG AGNLDO]],0)</f>
        <v>0</v>
      </c>
      <c r="S1311" s="244">
        <f ca="1">(_xlfn.DAYS(TODAY(),Tabla1[[#This Row],[FECHA ING]])/365)</f>
        <v>4.7698630136986298</v>
      </c>
      <c r="T1311" s="244">
        <f ca="1">IF(Tabla1[[#This Row],[DIAS VAC]]&gt;1,Tabla1[[#This Row],[DIAS VAC]]-Tabla1[[#This Row],[ANTIG]],Tabla1[[#This Row],[DIAS VAC]])</f>
        <v>0.76986301369862975</v>
      </c>
      <c r="U1311" s="244">
        <f ca="1">Tabla1[[#This Row],[VALID ANTIG]]*Tabla1[[#This Row],[SUE DIA]]*Tabla1[[#This Row],[DIAS VAC PAG]]</f>
        <v>1697.5479452054785</v>
      </c>
    </row>
    <row r="1312" spans="2:21" hidden="1" x14ac:dyDescent="0.25">
      <c r="B1312" s="243">
        <v>461</v>
      </c>
      <c r="C1312" s="140" t="str">
        <f>VLOOKUP(B1312,BDD[],2,0)</f>
        <v>Marina Mijarez Medina</v>
      </c>
      <c r="D1312" s="140">
        <f>VLOOKUP(B1312,BDD[],3,0)</f>
        <v>9541</v>
      </c>
      <c r="E1312" s="140">
        <f>VLOOKUP(B1312,BDD[],4,0)</f>
        <v>318.03333333333336</v>
      </c>
      <c r="F1312" s="142">
        <f>VLOOKUP(B1312,BDD[],26,0)</f>
        <v>35.337037037037042</v>
      </c>
      <c r="G1312" s="268">
        <f>VLOOKUP(B1312,BDD[],6,0)</f>
        <v>43020</v>
      </c>
      <c r="H1312" s="139">
        <f ca="1">VLOOKUP(B1312,BDD[],7,0)</f>
        <v>4</v>
      </c>
      <c r="I1312" s="139">
        <f ca="1">VLOOKUP(B1312,BDD[],22,0)</f>
        <v>7</v>
      </c>
      <c r="J1312" s="168">
        <v>15</v>
      </c>
      <c r="K1312" s="139">
        <f>Tabla1[[#This Row],[DIAS LAB]]*Tabla1[[#This Row],[SUE DIA]]</f>
        <v>4770.5</v>
      </c>
      <c r="L1312" s="168">
        <v>0</v>
      </c>
      <c r="M1312" s="198">
        <f>Tabla1[[#This Row],[HRS EXT]]*Tabla1[[#This Row],[SUE X HR]]</f>
        <v>0</v>
      </c>
      <c r="N1312" s="168">
        <v>0</v>
      </c>
      <c r="O1312" s="198">
        <f>Tabla1[[#This Row],[ASUETO]]*Tabla1[[#This Row],[SUE DIA]]</f>
        <v>0</v>
      </c>
      <c r="P1312" s="139">
        <f>IF(Tabla1[[#This Row],[FECHA ING]]&lt;$P$1007,365,_xlfn.DAYS($P$1008,Tabla1[[#This Row],[FECHA ING]])+1)</f>
        <v>365</v>
      </c>
      <c r="Q1312" s="198">
        <f>INT(30*(Tabla1[[#This Row],[FECHAS CONTB AGNLDO]]/365))</f>
        <v>30</v>
      </c>
      <c r="R1312" s="244">
        <f ca="1">IF($W$32=$W$26,Tabla1[[#This Row],[SUE DIA]]*Tabla1[[#This Row],[DIAS PAG AGNLDO]],0)</f>
        <v>0</v>
      </c>
      <c r="S1312" s="244">
        <f ca="1">(_xlfn.DAYS(TODAY(),Tabla1[[#This Row],[FECHA ING]])/365)</f>
        <v>4.7671232876712333</v>
      </c>
      <c r="T1312" s="244">
        <f ca="1">IF(Tabla1[[#This Row],[DIAS VAC]]&gt;1,Tabla1[[#This Row],[DIAS VAC]]-Tabla1[[#This Row],[ANTIG]],Tabla1[[#This Row],[DIAS VAC]])</f>
        <v>0.76712328767123328</v>
      </c>
      <c r="U1312" s="244">
        <f ca="1">Tabla1[[#This Row],[VALID ANTIG]]*Tabla1[[#This Row],[SUE DIA]]*Tabla1[[#This Row],[DIAS VAC PAG]]</f>
        <v>1707.7954337899553</v>
      </c>
    </row>
    <row r="1313" spans="2:21" hidden="1" x14ac:dyDescent="0.25">
      <c r="B1313" s="243">
        <v>462</v>
      </c>
      <c r="C1313" s="140" t="str">
        <f>VLOOKUP(B1313,BDD[],2,0)</f>
        <v>Yolani Cruz Jacinto</v>
      </c>
      <c r="D1313" s="140">
        <f>VLOOKUP(B1313,BDD[],3,0)</f>
        <v>9450</v>
      </c>
      <c r="E1313" s="140">
        <f>VLOOKUP(B1313,BDD[],4,0)</f>
        <v>315</v>
      </c>
      <c r="F1313" s="142">
        <f>VLOOKUP(B1313,BDD[],26,0)</f>
        <v>35</v>
      </c>
      <c r="G1313" s="268">
        <f>VLOOKUP(B1313,BDD[],6,0)</f>
        <v>43028</v>
      </c>
      <c r="H1313" s="139">
        <f ca="1">VLOOKUP(B1313,BDD[],7,0)</f>
        <v>4</v>
      </c>
      <c r="I1313" s="139">
        <f ca="1">VLOOKUP(B1313,BDD[],22,0)</f>
        <v>7</v>
      </c>
      <c r="J1313" s="168">
        <v>15</v>
      </c>
      <c r="K1313" s="139">
        <f>Tabla1[[#This Row],[DIAS LAB]]*Tabla1[[#This Row],[SUE DIA]]</f>
        <v>4725</v>
      </c>
      <c r="L1313" s="168">
        <v>0</v>
      </c>
      <c r="M1313" s="198">
        <f>Tabla1[[#This Row],[HRS EXT]]*Tabla1[[#This Row],[SUE X HR]]</f>
        <v>0</v>
      </c>
      <c r="N1313" s="168">
        <v>0</v>
      </c>
      <c r="O1313" s="198">
        <f>Tabla1[[#This Row],[ASUETO]]*Tabla1[[#This Row],[SUE DIA]]</f>
        <v>0</v>
      </c>
      <c r="P1313" s="139">
        <f>IF(Tabla1[[#This Row],[FECHA ING]]&lt;$P$1007,365,_xlfn.DAYS($P$1008,Tabla1[[#This Row],[FECHA ING]])+1)</f>
        <v>365</v>
      </c>
      <c r="Q1313" s="198">
        <f>INT(30*(Tabla1[[#This Row],[FECHAS CONTB AGNLDO]]/365))</f>
        <v>30</v>
      </c>
      <c r="R1313" s="244">
        <f ca="1">IF($W$32=$W$26,Tabla1[[#This Row],[SUE DIA]]*Tabla1[[#This Row],[DIAS PAG AGNLDO]],0)</f>
        <v>0</v>
      </c>
      <c r="S1313" s="244">
        <f ca="1">(_xlfn.DAYS(TODAY(),Tabla1[[#This Row],[FECHA ING]])/365)</f>
        <v>4.7452054794520544</v>
      </c>
      <c r="T1313" s="244">
        <f ca="1">IF(Tabla1[[#This Row],[DIAS VAC]]&gt;1,Tabla1[[#This Row],[DIAS VAC]]-Tabla1[[#This Row],[ANTIG]],Tabla1[[#This Row],[DIAS VAC]])</f>
        <v>0.7452054794520544</v>
      </c>
      <c r="U1313" s="244">
        <f ca="1">Tabla1[[#This Row],[VALID ANTIG]]*Tabla1[[#This Row],[SUE DIA]]*Tabla1[[#This Row],[DIAS VAC PAG]]</f>
        <v>1643.1780821917798</v>
      </c>
    </row>
    <row r="1314" spans="2:21" hidden="1" x14ac:dyDescent="0.25">
      <c r="B1314" s="243">
        <v>463</v>
      </c>
      <c r="C1314" s="140" t="str">
        <f>VLOOKUP(B1314,BDD[],2,0)</f>
        <v>Blanca Zuady Chavez Mendoza</v>
      </c>
      <c r="D1314" s="140">
        <f>VLOOKUP(B1314,BDD[],3,0)</f>
        <v>9541</v>
      </c>
      <c r="E1314" s="140">
        <f>VLOOKUP(B1314,BDD[],4,0)</f>
        <v>318.03333333333336</v>
      </c>
      <c r="F1314" s="142">
        <f>VLOOKUP(B1314,BDD[],26,0)</f>
        <v>35.337037037037042</v>
      </c>
      <c r="G1314" s="268">
        <f>VLOOKUP(B1314,BDD[],6,0)</f>
        <v>43028</v>
      </c>
      <c r="H1314" s="139">
        <f ca="1">VLOOKUP(B1314,BDD[],7,0)</f>
        <v>4</v>
      </c>
      <c r="I1314" s="139">
        <f ca="1">VLOOKUP(B1314,BDD[],22,0)</f>
        <v>7</v>
      </c>
      <c r="J1314" s="168">
        <v>15</v>
      </c>
      <c r="K1314" s="139">
        <f>Tabla1[[#This Row],[DIAS LAB]]*Tabla1[[#This Row],[SUE DIA]]</f>
        <v>4770.5</v>
      </c>
      <c r="L1314" s="168">
        <v>0</v>
      </c>
      <c r="M1314" s="198">
        <f>Tabla1[[#This Row],[HRS EXT]]*Tabla1[[#This Row],[SUE X HR]]</f>
        <v>0</v>
      </c>
      <c r="N1314" s="168">
        <v>0</v>
      </c>
      <c r="O1314" s="198">
        <f>Tabla1[[#This Row],[ASUETO]]*Tabla1[[#This Row],[SUE DIA]]</f>
        <v>0</v>
      </c>
      <c r="P1314" s="139">
        <f>IF(Tabla1[[#This Row],[FECHA ING]]&lt;$P$1007,365,_xlfn.DAYS($P$1008,Tabla1[[#This Row],[FECHA ING]])+1)</f>
        <v>365</v>
      </c>
      <c r="Q1314" s="198">
        <f>INT(30*(Tabla1[[#This Row],[FECHAS CONTB AGNLDO]]/365))</f>
        <v>30</v>
      </c>
      <c r="R1314" s="244">
        <f ca="1">IF($W$32=$W$26,Tabla1[[#This Row],[SUE DIA]]*Tabla1[[#This Row],[DIAS PAG AGNLDO]],0)</f>
        <v>0</v>
      </c>
      <c r="S1314" s="244">
        <f ca="1">(_xlfn.DAYS(TODAY(),Tabla1[[#This Row],[FECHA ING]])/365)</f>
        <v>4.7452054794520544</v>
      </c>
      <c r="T1314" s="244">
        <f ca="1">IF(Tabla1[[#This Row],[DIAS VAC]]&gt;1,Tabla1[[#This Row],[DIAS VAC]]-Tabla1[[#This Row],[ANTIG]],Tabla1[[#This Row],[DIAS VAC]])</f>
        <v>0.7452054794520544</v>
      </c>
      <c r="U1314" s="244">
        <f ca="1">Tabla1[[#This Row],[VALID ANTIG]]*Tabla1[[#This Row],[SUE DIA]]*Tabla1[[#This Row],[DIAS VAC PAG]]</f>
        <v>1659.0012785388121</v>
      </c>
    </row>
    <row r="1315" spans="2:21" hidden="1" x14ac:dyDescent="0.25">
      <c r="B1315" s="243">
        <v>464</v>
      </c>
      <c r="C1315" s="140" t="str">
        <f>VLOOKUP(B1315,BDD[],2,0)</f>
        <v>Grecia Alejandra Oyervides Garza</v>
      </c>
      <c r="D1315" s="140">
        <f>VLOOKUP(B1315,BDD[],3,0)</f>
        <v>7445</v>
      </c>
      <c r="E1315" s="140">
        <f>VLOOKUP(B1315,BDD[],4,0)</f>
        <v>248.16666666666666</v>
      </c>
      <c r="F1315" s="142">
        <f>VLOOKUP(B1315,BDD[],26,0)</f>
        <v>27.574074074074073</v>
      </c>
      <c r="G1315" s="268">
        <f>VLOOKUP(B1315,BDD[],6,0)</f>
        <v>43032</v>
      </c>
      <c r="H1315" s="139">
        <f ca="1">VLOOKUP(B1315,BDD[],7,0)</f>
        <v>4</v>
      </c>
      <c r="I1315" s="139">
        <f ca="1">VLOOKUP(B1315,BDD[],22,0)</f>
        <v>7</v>
      </c>
      <c r="J1315" s="168">
        <v>15</v>
      </c>
      <c r="K1315" s="139">
        <f>Tabla1[[#This Row],[DIAS LAB]]*Tabla1[[#This Row],[SUE DIA]]</f>
        <v>3722.5</v>
      </c>
      <c r="L1315" s="168">
        <v>0</v>
      </c>
      <c r="M1315" s="198">
        <f>Tabla1[[#This Row],[HRS EXT]]*Tabla1[[#This Row],[SUE X HR]]</f>
        <v>0</v>
      </c>
      <c r="N1315" s="168">
        <v>0</v>
      </c>
      <c r="O1315" s="198">
        <f>Tabla1[[#This Row],[ASUETO]]*Tabla1[[#This Row],[SUE DIA]]</f>
        <v>0</v>
      </c>
      <c r="P1315" s="139">
        <f>IF(Tabla1[[#This Row],[FECHA ING]]&lt;$P$1007,365,_xlfn.DAYS($P$1008,Tabla1[[#This Row],[FECHA ING]])+1)</f>
        <v>365</v>
      </c>
      <c r="Q1315" s="198">
        <f>INT(30*(Tabla1[[#This Row],[FECHAS CONTB AGNLDO]]/365))</f>
        <v>30</v>
      </c>
      <c r="R1315" s="244">
        <f ca="1">IF($W$32=$W$26,Tabla1[[#This Row],[SUE DIA]]*Tabla1[[#This Row],[DIAS PAG AGNLDO]],0)</f>
        <v>0</v>
      </c>
      <c r="S1315" s="244">
        <f ca="1">(_xlfn.DAYS(TODAY(),Tabla1[[#This Row],[FECHA ING]])/365)</f>
        <v>4.7342465753424658</v>
      </c>
      <c r="T1315" s="244">
        <f ca="1">IF(Tabla1[[#This Row],[DIAS VAC]]&gt;1,Tabla1[[#This Row],[DIAS VAC]]-Tabla1[[#This Row],[ANTIG]],Tabla1[[#This Row],[DIAS VAC]])</f>
        <v>0.73424657534246585</v>
      </c>
      <c r="U1315" s="244">
        <f ca="1">Tabla1[[#This Row],[VALID ANTIG]]*Tabla1[[#This Row],[SUE DIA]]*Tabla1[[#This Row],[DIAS VAC PAG]]</f>
        <v>1275.5086757990869</v>
      </c>
    </row>
    <row r="1316" spans="2:21" hidden="1" x14ac:dyDescent="0.25">
      <c r="B1316" s="243">
        <v>466</v>
      </c>
      <c r="C1316" s="140" t="str">
        <f>VLOOKUP(B1316,BDD[],2,0)</f>
        <v>Rocio Janett Sauceda Delgado</v>
      </c>
      <c r="D1316" s="140">
        <f>VLOOKUP(B1316,BDD[],3,0)</f>
        <v>9541</v>
      </c>
      <c r="E1316" s="140">
        <f>VLOOKUP(B1316,BDD[],4,0)</f>
        <v>318.03333333333336</v>
      </c>
      <c r="F1316" s="142">
        <f>VLOOKUP(B1316,BDD[],26,0)</f>
        <v>35.337037037037042</v>
      </c>
      <c r="G1316" s="268">
        <f>VLOOKUP(B1316,BDD[],6,0)</f>
        <v>43038</v>
      </c>
      <c r="H1316" s="139">
        <f ca="1">VLOOKUP(B1316,BDD[],7,0)</f>
        <v>4</v>
      </c>
      <c r="I1316" s="139">
        <f ca="1">VLOOKUP(B1316,BDD[],22,0)</f>
        <v>7</v>
      </c>
      <c r="J1316" s="168">
        <v>15</v>
      </c>
      <c r="K1316" s="139">
        <f>Tabla1[[#This Row],[DIAS LAB]]*Tabla1[[#This Row],[SUE DIA]]</f>
        <v>4770.5</v>
      </c>
      <c r="L1316" s="168">
        <v>0</v>
      </c>
      <c r="M1316" s="198">
        <f>Tabla1[[#This Row],[HRS EXT]]*Tabla1[[#This Row],[SUE X HR]]</f>
        <v>0</v>
      </c>
      <c r="N1316" s="168">
        <v>0</v>
      </c>
      <c r="O1316" s="198">
        <f>Tabla1[[#This Row],[ASUETO]]*Tabla1[[#This Row],[SUE DIA]]</f>
        <v>0</v>
      </c>
      <c r="P1316" s="139">
        <f>IF(Tabla1[[#This Row],[FECHA ING]]&lt;$P$1007,365,_xlfn.DAYS($P$1008,Tabla1[[#This Row],[FECHA ING]])+1)</f>
        <v>365</v>
      </c>
      <c r="Q1316" s="198">
        <f>INT(30*(Tabla1[[#This Row],[FECHAS CONTB AGNLDO]]/365))</f>
        <v>30</v>
      </c>
      <c r="R1316" s="244">
        <f ca="1">IF($W$32=$W$26,Tabla1[[#This Row],[SUE DIA]]*Tabla1[[#This Row],[DIAS PAG AGNLDO]],0)</f>
        <v>0</v>
      </c>
      <c r="S1316" s="244">
        <f ca="1">(_xlfn.DAYS(TODAY(),Tabla1[[#This Row],[FECHA ING]])/365)</f>
        <v>4.7178082191780826</v>
      </c>
      <c r="T1316" s="244">
        <f ca="1">IF(Tabla1[[#This Row],[DIAS VAC]]&gt;1,Tabla1[[#This Row],[DIAS VAC]]-Tabla1[[#This Row],[ANTIG]],Tabla1[[#This Row],[DIAS VAC]])</f>
        <v>0.71780821917808257</v>
      </c>
      <c r="U1316" s="244">
        <f ca="1">Tabla1[[#This Row],[VALID ANTIG]]*Tabla1[[#This Row],[SUE DIA]]*Tabla1[[#This Row],[DIAS VAC PAG]]</f>
        <v>1598.0085844748869</v>
      </c>
    </row>
    <row r="1317" spans="2:21" hidden="1" x14ac:dyDescent="0.25">
      <c r="B1317" s="243">
        <v>467</v>
      </c>
      <c r="C1317" s="140" t="str">
        <f>VLOOKUP(B1317,BDD[],2,0)</f>
        <v>Carmela Flores Carrillo</v>
      </c>
      <c r="D1317" s="140">
        <f>VLOOKUP(B1317,BDD[],3,0)</f>
        <v>9541</v>
      </c>
      <c r="E1317" s="140">
        <f>VLOOKUP(B1317,BDD[],4,0)</f>
        <v>318.03333333333336</v>
      </c>
      <c r="F1317" s="142">
        <f>VLOOKUP(B1317,BDD[],26,0)</f>
        <v>35.337037037037042</v>
      </c>
      <c r="G1317" s="268">
        <f>VLOOKUP(B1317,BDD[],6,0)</f>
        <v>43039</v>
      </c>
      <c r="H1317" s="139">
        <f ca="1">VLOOKUP(B1317,BDD[],7,0)</f>
        <v>4</v>
      </c>
      <c r="I1317" s="139">
        <f ca="1">VLOOKUP(B1317,BDD[],22,0)</f>
        <v>7</v>
      </c>
      <c r="J1317" s="168">
        <v>15</v>
      </c>
      <c r="K1317" s="139">
        <f>Tabla1[[#This Row],[DIAS LAB]]*Tabla1[[#This Row],[SUE DIA]]</f>
        <v>4770.5</v>
      </c>
      <c r="L1317" s="168">
        <v>0</v>
      </c>
      <c r="M1317" s="198">
        <f>Tabla1[[#This Row],[HRS EXT]]*Tabla1[[#This Row],[SUE X HR]]</f>
        <v>0</v>
      </c>
      <c r="N1317" s="168">
        <v>0</v>
      </c>
      <c r="O1317" s="198">
        <f>Tabla1[[#This Row],[ASUETO]]*Tabla1[[#This Row],[SUE DIA]]</f>
        <v>0</v>
      </c>
      <c r="P1317" s="139">
        <f>IF(Tabla1[[#This Row],[FECHA ING]]&lt;$P$1007,365,_xlfn.DAYS($P$1008,Tabla1[[#This Row],[FECHA ING]])+1)</f>
        <v>365</v>
      </c>
      <c r="Q1317" s="198">
        <f>INT(30*(Tabla1[[#This Row],[FECHAS CONTB AGNLDO]]/365))</f>
        <v>30</v>
      </c>
      <c r="R1317" s="244">
        <f ca="1">IF($W$32=$W$26,Tabla1[[#This Row],[SUE DIA]]*Tabla1[[#This Row],[DIAS PAG AGNLDO]],0)</f>
        <v>0</v>
      </c>
      <c r="S1317" s="244">
        <f ca="1">(_xlfn.DAYS(TODAY(),Tabla1[[#This Row],[FECHA ING]])/365)</f>
        <v>4.7150684931506852</v>
      </c>
      <c r="T1317" s="244">
        <f ca="1">IF(Tabla1[[#This Row],[DIAS VAC]]&gt;1,Tabla1[[#This Row],[DIAS VAC]]-Tabla1[[#This Row],[ANTIG]],Tabla1[[#This Row],[DIAS VAC]])</f>
        <v>0.71506849315068521</v>
      </c>
      <c r="U1317" s="244">
        <f ca="1">Tabla1[[#This Row],[VALID ANTIG]]*Tabla1[[#This Row],[SUE DIA]]*Tabla1[[#This Row],[DIAS VAC PAG]]</f>
        <v>1591.9093150684939</v>
      </c>
    </row>
    <row r="1318" spans="2:21" hidden="1" x14ac:dyDescent="0.25">
      <c r="B1318" s="243">
        <v>468</v>
      </c>
      <c r="C1318" s="140" t="str">
        <f>VLOOKUP(B1318,BDD[],2,0)</f>
        <v>Diana María Melo Jimenez</v>
      </c>
      <c r="D1318" s="140">
        <f>VLOOKUP(B1318,BDD[],3,0)</f>
        <v>9541</v>
      </c>
      <c r="E1318" s="140">
        <f>VLOOKUP(B1318,BDD[],4,0)</f>
        <v>318.03333333333336</v>
      </c>
      <c r="F1318" s="142">
        <f>VLOOKUP(B1318,BDD[],26,0)</f>
        <v>35.337037037037042</v>
      </c>
      <c r="G1318" s="268">
        <f>VLOOKUP(B1318,BDD[],6,0)</f>
        <v>43040</v>
      </c>
      <c r="H1318" s="139">
        <f ca="1">VLOOKUP(B1318,BDD[],7,0)</f>
        <v>4</v>
      </c>
      <c r="I1318" s="139">
        <f ca="1">VLOOKUP(B1318,BDD[],22,0)</f>
        <v>7</v>
      </c>
      <c r="J1318" s="168">
        <v>15</v>
      </c>
      <c r="K1318" s="139">
        <f>Tabla1[[#This Row],[DIAS LAB]]*Tabla1[[#This Row],[SUE DIA]]</f>
        <v>4770.5</v>
      </c>
      <c r="L1318" s="168">
        <v>0</v>
      </c>
      <c r="M1318" s="198">
        <f>Tabla1[[#This Row],[HRS EXT]]*Tabla1[[#This Row],[SUE X HR]]</f>
        <v>0</v>
      </c>
      <c r="N1318" s="168">
        <v>0</v>
      </c>
      <c r="O1318" s="198">
        <f>Tabla1[[#This Row],[ASUETO]]*Tabla1[[#This Row],[SUE DIA]]</f>
        <v>0</v>
      </c>
      <c r="P1318" s="139">
        <f>IF(Tabla1[[#This Row],[FECHA ING]]&lt;$P$1007,365,_xlfn.DAYS($P$1008,Tabla1[[#This Row],[FECHA ING]])+1)</f>
        <v>365</v>
      </c>
      <c r="Q1318" s="198">
        <f>INT(30*(Tabla1[[#This Row],[FECHAS CONTB AGNLDO]]/365))</f>
        <v>30</v>
      </c>
      <c r="R1318" s="244">
        <f ca="1">IF($W$32=$W$26,Tabla1[[#This Row],[SUE DIA]]*Tabla1[[#This Row],[DIAS PAG AGNLDO]],0)</f>
        <v>0</v>
      </c>
      <c r="S1318" s="244">
        <f ca="1">(_xlfn.DAYS(TODAY(),Tabla1[[#This Row],[FECHA ING]])/365)</f>
        <v>4.7123287671232879</v>
      </c>
      <c r="T1318" s="244">
        <f ca="1">IF(Tabla1[[#This Row],[DIAS VAC]]&gt;1,Tabla1[[#This Row],[DIAS VAC]]-Tabla1[[#This Row],[ANTIG]],Tabla1[[#This Row],[DIAS VAC]])</f>
        <v>0.71232876712328785</v>
      </c>
      <c r="U1318" s="244">
        <f ca="1">Tabla1[[#This Row],[VALID ANTIG]]*Tabla1[[#This Row],[SUE DIA]]*Tabla1[[#This Row],[DIAS VAC PAG]]</f>
        <v>1585.8100456621009</v>
      </c>
    </row>
    <row r="1319" spans="2:21" hidden="1" x14ac:dyDescent="0.25">
      <c r="B1319" s="243">
        <v>469</v>
      </c>
      <c r="C1319" s="140" t="str">
        <f>VLOOKUP(B1319,BDD[],2,0)</f>
        <v>Sandra Lisia Santiago Cruz</v>
      </c>
      <c r="D1319" s="140">
        <f>VLOOKUP(B1319,BDD[],3,0)</f>
        <v>10350</v>
      </c>
      <c r="E1319" s="140">
        <f>VLOOKUP(B1319,BDD[],4,0)</f>
        <v>345</v>
      </c>
      <c r="F1319" s="142">
        <f>VLOOKUP(B1319,BDD[],26,0)</f>
        <v>38.333333333333336</v>
      </c>
      <c r="G1319" s="268">
        <f>VLOOKUP(B1319,BDD[],6,0)</f>
        <v>43043</v>
      </c>
      <c r="H1319" s="139">
        <f ca="1">VLOOKUP(B1319,BDD[],7,0)</f>
        <v>4</v>
      </c>
      <c r="I1319" s="139">
        <f ca="1">VLOOKUP(B1319,BDD[],22,0)</f>
        <v>7</v>
      </c>
      <c r="J1319" s="168">
        <v>15</v>
      </c>
      <c r="K1319" s="139">
        <f>Tabla1[[#This Row],[DIAS LAB]]*Tabla1[[#This Row],[SUE DIA]]</f>
        <v>5175</v>
      </c>
      <c r="L1319" s="168">
        <v>0</v>
      </c>
      <c r="M1319" s="198">
        <f>Tabla1[[#This Row],[HRS EXT]]*Tabla1[[#This Row],[SUE X HR]]</f>
        <v>0</v>
      </c>
      <c r="N1319" s="168">
        <v>0</v>
      </c>
      <c r="O1319" s="198">
        <f>Tabla1[[#This Row],[ASUETO]]*Tabla1[[#This Row],[SUE DIA]]</f>
        <v>0</v>
      </c>
      <c r="P1319" s="139">
        <f>IF(Tabla1[[#This Row],[FECHA ING]]&lt;$P$1007,365,_xlfn.DAYS($P$1008,Tabla1[[#This Row],[FECHA ING]])+1)</f>
        <v>365</v>
      </c>
      <c r="Q1319" s="198">
        <f>INT(30*(Tabla1[[#This Row],[FECHAS CONTB AGNLDO]]/365))</f>
        <v>30</v>
      </c>
      <c r="R1319" s="244">
        <f ca="1">IF($W$32=$W$26,Tabla1[[#This Row],[SUE DIA]]*Tabla1[[#This Row],[DIAS PAG AGNLDO]],0)</f>
        <v>0</v>
      </c>
      <c r="S1319" s="244">
        <f ca="1">(_xlfn.DAYS(TODAY(),Tabla1[[#This Row],[FECHA ING]])/365)</f>
        <v>4.7041095890410958</v>
      </c>
      <c r="T1319" s="244">
        <f ca="1">IF(Tabla1[[#This Row],[DIAS VAC]]&gt;1,Tabla1[[#This Row],[DIAS VAC]]-Tabla1[[#This Row],[ANTIG]],Tabla1[[#This Row],[DIAS VAC]])</f>
        <v>0.70410958904109577</v>
      </c>
      <c r="U1319" s="244">
        <f ca="1">Tabla1[[#This Row],[VALID ANTIG]]*Tabla1[[#This Row],[SUE DIA]]*Tabla1[[#This Row],[DIAS VAC PAG]]</f>
        <v>1700.4246575342463</v>
      </c>
    </row>
    <row r="1320" spans="2:21" hidden="1" x14ac:dyDescent="0.25">
      <c r="B1320" s="243">
        <v>470</v>
      </c>
      <c r="C1320" s="140" t="str">
        <f>VLOOKUP(B1320,BDD[],2,0)</f>
        <v>Cecilia Guadalupe Ochoa Rivera</v>
      </c>
      <c r="D1320" s="140">
        <f>VLOOKUP(B1320,BDD[],3,0)</f>
        <v>9450</v>
      </c>
      <c r="E1320" s="140">
        <f>VLOOKUP(B1320,BDD[],4,0)</f>
        <v>315</v>
      </c>
      <c r="F1320" s="142">
        <f>VLOOKUP(B1320,BDD[],26,0)</f>
        <v>35</v>
      </c>
      <c r="G1320" s="268">
        <f>VLOOKUP(B1320,BDD[],6,0)</f>
        <v>43043</v>
      </c>
      <c r="H1320" s="139">
        <f ca="1">VLOOKUP(B1320,BDD[],7,0)</f>
        <v>4</v>
      </c>
      <c r="I1320" s="139">
        <f ca="1">VLOOKUP(B1320,BDD[],22,0)</f>
        <v>7</v>
      </c>
      <c r="J1320" s="168">
        <v>15</v>
      </c>
      <c r="K1320" s="139">
        <f>Tabla1[[#This Row],[DIAS LAB]]*Tabla1[[#This Row],[SUE DIA]]</f>
        <v>4725</v>
      </c>
      <c r="L1320" s="168">
        <v>0</v>
      </c>
      <c r="M1320" s="198">
        <f>Tabla1[[#This Row],[HRS EXT]]*Tabla1[[#This Row],[SUE X HR]]</f>
        <v>0</v>
      </c>
      <c r="N1320" s="168">
        <v>0</v>
      </c>
      <c r="O1320" s="198">
        <f>Tabla1[[#This Row],[ASUETO]]*Tabla1[[#This Row],[SUE DIA]]</f>
        <v>0</v>
      </c>
      <c r="P1320" s="139">
        <f>IF(Tabla1[[#This Row],[FECHA ING]]&lt;$P$1007,365,_xlfn.DAYS($P$1008,Tabla1[[#This Row],[FECHA ING]])+1)</f>
        <v>365</v>
      </c>
      <c r="Q1320" s="198">
        <f>INT(30*(Tabla1[[#This Row],[FECHAS CONTB AGNLDO]]/365))</f>
        <v>30</v>
      </c>
      <c r="R1320" s="244">
        <f ca="1">IF($W$32=$W$26,Tabla1[[#This Row],[SUE DIA]]*Tabla1[[#This Row],[DIAS PAG AGNLDO]],0)</f>
        <v>0</v>
      </c>
      <c r="S1320" s="244">
        <f ca="1">(_xlfn.DAYS(TODAY(),Tabla1[[#This Row],[FECHA ING]])/365)</f>
        <v>4.7041095890410958</v>
      </c>
      <c r="T1320" s="244">
        <f ca="1">IF(Tabla1[[#This Row],[DIAS VAC]]&gt;1,Tabla1[[#This Row],[DIAS VAC]]-Tabla1[[#This Row],[ANTIG]],Tabla1[[#This Row],[DIAS VAC]])</f>
        <v>0.70410958904109577</v>
      </c>
      <c r="U1320" s="244">
        <f ca="1">Tabla1[[#This Row],[VALID ANTIG]]*Tabla1[[#This Row],[SUE DIA]]*Tabla1[[#This Row],[DIAS VAC PAG]]</f>
        <v>1552.5616438356162</v>
      </c>
    </row>
    <row r="1321" spans="2:21" hidden="1" x14ac:dyDescent="0.25">
      <c r="B1321" s="243">
        <v>472</v>
      </c>
      <c r="C1321" s="140" t="str">
        <f>VLOOKUP(B1321,BDD[],2,0)</f>
        <v>David Alejandro Hernandez Guerra</v>
      </c>
      <c r="D1321" s="140">
        <f>VLOOKUP(B1321,BDD[],3,0)</f>
        <v>6778</v>
      </c>
      <c r="E1321" s="140">
        <f>VLOOKUP(B1321,BDD[],4,0)</f>
        <v>225.93333333333334</v>
      </c>
      <c r="F1321" s="142">
        <f>VLOOKUP(B1321,BDD[],26,0)</f>
        <v>25.103703703703705</v>
      </c>
      <c r="G1321" s="268">
        <f>VLOOKUP(B1321,BDD[],6,0)</f>
        <v>43053</v>
      </c>
      <c r="H1321" s="139">
        <f ca="1">VLOOKUP(B1321,BDD[],7,0)</f>
        <v>4</v>
      </c>
      <c r="I1321" s="139">
        <f ca="1">VLOOKUP(B1321,BDD[],22,0)</f>
        <v>3.5</v>
      </c>
      <c r="J1321" s="168">
        <v>15</v>
      </c>
      <c r="K1321" s="139">
        <f>Tabla1[[#This Row],[DIAS LAB]]*Tabla1[[#This Row],[SUE DIA]]</f>
        <v>3389</v>
      </c>
      <c r="L1321" s="168">
        <v>0</v>
      </c>
      <c r="M1321" s="198">
        <f>Tabla1[[#This Row],[HRS EXT]]*Tabla1[[#This Row],[SUE X HR]]</f>
        <v>0</v>
      </c>
      <c r="N1321" s="168">
        <v>0</v>
      </c>
      <c r="O1321" s="198">
        <f>Tabla1[[#This Row],[ASUETO]]*Tabla1[[#This Row],[SUE DIA]]</f>
        <v>0</v>
      </c>
      <c r="P1321" s="139">
        <f>IF(Tabla1[[#This Row],[FECHA ING]]&lt;$P$1007,365,_xlfn.DAYS($P$1008,Tabla1[[#This Row],[FECHA ING]])+1)</f>
        <v>365</v>
      </c>
      <c r="Q1321" s="198">
        <f>INT(30*(Tabla1[[#This Row],[FECHAS CONTB AGNLDO]]/365))</f>
        <v>30</v>
      </c>
      <c r="R1321" s="244">
        <f ca="1">IF($W$32=$W$26,Tabla1[[#This Row],[SUE DIA]]*Tabla1[[#This Row],[DIAS PAG AGNLDO]],0)</f>
        <v>0</v>
      </c>
      <c r="S1321" s="244">
        <f ca="1">(_xlfn.DAYS(TODAY(),Tabla1[[#This Row],[FECHA ING]])/365)</f>
        <v>4.6767123287671231</v>
      </c>
      <c r="T1321" s="244">
        <f ca="1">IF(Tabla1[[#This Row],[DIAS VAC]]&gt;1,Tabla1[[#This Row],[DIAS VAC]]-Tabla1[[#This Row],[ANTIG]],Tabla1[[#This Row],[DIAS VAC]])</f>
        <v>0.67671232876712306</v>
      </c>
      <c r="U1321" s="244">
        <f ca="1">Tabla1[[#This Row],[VALID ANTIG]]*Tabla1[[#This Row],[SUE DIA]]*Tabla1[[#This Row],[DIAS VAC PAG]]</f>
        <v>535.12155251141542</v>
      </c>
    </row>
    <row r="1322" spans="2:21" hidden="1" x14ac:dyDescent="0.25">
      <c r="B1322" s="243">
        <v>473</v>
      </c>
      <c r="C1322" s="140" t="str">
        <f>VLOOKUP(B1322,BDD[],2,0)</f>
        <v>Cristian Daniel Ramos Hernández</v>
      </c>
      <c r="D1322" s="140">
        <f>VLOOKUP(B1322,BDD[],3,0)</f>
        <v>7445</v>
      </c>
      <c r="E1322" s="140">
        <f>VLOOKUP(B1322,BDD[],4,0)</f>
        <v>248.16666666666666</v>
      </c>
      <c r="F1322" s="142">
        <f>VLOOKUP(B1322,BDD[],26,0)</f>
        <v>27.574074074074073</v>
      </c>
      <c r="G1322" s="268">
        <f>VLOOKUP(B1322,BDD[],6,0)</f>
        <v>43068</v>
      </c>
      <c r="H1322" s="139">
        <f ca="1">VLOOKUP(B1322,BDD[],7,0)</f>
        <v>4</v>
      </c>
      <c r="I1322" s="139">
        <f ca="1">VLOOKUP(B1322,BDD[],22,0)</f>
        <v>7</v>
      </c>
      <c r="J1322" s="168">
        <v>15</v>
      </c>
      <c r="K1322" s="139">
        <f>Tabla1[[#This Row],[DIAS LAB]]*Tabla1[[#This Row],[SUE DIA]]</f>
        <v>3722.5</v>
      </c>
      <c r="L1322" s="168">
        <v>0</v>
      </c>
      <c r="M1322" s="198">
        <f>Tabla1[[#This Row],[HRS EXT]]*Tabla1[[#This Row],[SUE X HR]]</f>
        <v>0</v>
      </c>
      <c r="N1322" s="168">
        <v>0</v>
      </c>
      <c r="O1322" s="198">
        <f>Tabla1[[#This Row],[ASUETO]]*Tabla1[[#This Row],[SUE DIA]]</f>
        <v>0</v>
      </c>
      <c r="P1322" s="139">
        <f>IF(Tabla1[[#This Row],[FECHA ING]]&lt;$P$1007,365,_xlfn.DAYS($P$1008,Tabla1[[#This Row],[FECHA ING]])+1)</f>
        <v>365</v>
      </c>
      <c r="Q1322" s="198">
        <f>INT(30*(Tabla1[[#This Row],[FECHAS CONTB AGNLDO]]/365))</f>
        <v>30</v>
      </c>
      <c r="R1322" s="244">
        <f ca="1">IF($W$32=$W$26,Tabla1[[#This Row],[SUE DIA]]*Tabla1[[#This Row],[DIAS PAG AGNLDO]],0)</f>
        <v>0</v>
      </c>
      <c r="S1322" s="244">
        <f ca="1">(_xlfn.DAYS(TODAY(),Tabla1[[#This Row],[FECHA ING]])/365)</f>
        <v>4.6356164383561644</v>
      </c>
      <c r="T1322" s="244">
        <f ca="1">IF(Tabla1[[#This Row],[DIAS VAC]]&gt;1,Tabla1[[#This Row],[DIAS VAC]]-Tabla1[[#This Row],[ANTIG]],Tabla1[[#This Row],[DIAS VAC]])</f>
        <v>0.63561643835616444</v>
      </c>
      <c r="U1322" s="244">
        <f ca="1">Tabla1[[#This Row],[VALID ANTIG]]*Tabla1[[#This Row],[SUE DIA]]*Tabla1[[#This Row],[DIAS VAC PAG]]</f>
        <v>1104.1716894977171</v>
      </c>
    </row>
    <row r="1323" spans="2:21" hidden="1" x14ac:dyDescent="0.25">
      <c r="B1323" s="243">
        <v>474</v>
      </c>
      <c r="C1323" s="140" t="str">
        <f>VLOOKUP(B1323,BDD[],2,0)</f>
        <v xml:space="preserve">Nadya Nallely Rangel </v>
      </c>
      <c r="D1323" s="140">
        <f>VLOOKUP(B1323,BDD[],3,0)</f>
        <v>9541</v>
      </c>
      <c r="E1323" s="140">
        <f>VLOOKUP(B1323,BDD[],4,0)</f>
        <v>318.03333333333336</v>
      </c>
      <c r="F1323" s="142">
        <f>VLOOKUP(B1323,BDD[],26,0)</f>
        <v>35.337037037037042</v>
      </c>
      <c r="G1323" s="268">
        <f>VLOOKUP(B1323,BDD[],6,0)</f>
        <v>43082</v>
      </c>
      <c r="H1323" s="139">
        <f ca="1">VLOOKUP(B1323,BDD[],7,0)</f>
        <v>4</v>
      </c>
      <c r="I1323" s="139">
        <f ca="1">VLOOKUP(B1323,BDD[],22,0)</f>
        <v>7</v>
      </c>
      <c r="J1323" s="168">
        <v>15</v>
      </c>
      <c r="K1323" s="139">
        <f>Tabla1[[#This Row],[DIAS LAB]]*Tabla1[[#This Row],[SUE DIA]]</f>
        <v>4770.5</v>
      </c>
      <c r="L1323" s="168">
        <v>0</v>
      </c>
      <c r="M1323" s="198">
        <f>Tabla1[[#This Row],[HRS EXT]]*Tabla1[[#This Row],[SUE X HR]]</f>
        <v>0</v>
      </c>
      <c r="N1323" s="168">
        <v>0</v>
      </c>
      <c r="O1323" s="198">
        <f>Tabla1[[#This Row],[ASUETO]]*Tabla1[[#This Row],[SUE DIA]]</f>
        <v>0</v>
      </c>
      <c r="P1323" s="139">
        <f>IF(Tabla1[[#This Row],[FECHA ING]]&lt;$P$1007,365,_xlfn.DAYS($P$1008,Tabla1[[#This Row],[FECHA ING]])+1)</f>
        <v>365</v>
      </c>
      <c r="Q1323" s="198">
        <f>INT(30*(Tabla1[[#This Row],[FECHAS CONTB AGNLDO]]/365))</f>
        <v>30</v>
      </c>
      <c r="R1323" s="244">
        <f ca="1">IF($W$32=$W$26,Tabla1[[#This Row],[SUE DIA]]*Tabla1[[#This Row],[DIAS PAG AGNLDO]],0)</f>
        <v>0</v>
      </c>
      <c r="S1323" s="244">
        <f ca="1">(_xlfn.DAYS(TODAY(),Tabla1[[#This Row],[FECHA ING]])/365)</f>
        <v>4.5972602739726032</v>
      </c>
      <c r="T1323" s="244">
        <f ca="1">IF(Tabla1[[#This Row],[DIAS VAC]]&gt;1,Tabla1[[#This Row],[DIAS VAC]]-Tabla1[[#This Row],[ANTIG]],Tabla1[[#This Row],[DIAS VAC]])</f>
        <v>0.59726027397260317</v>
      </c>
      <c r="U1323" s="244">
        <f ca="1">Tabla1[[#This Row],[VALID ANTIG]]*Tabla1[[#This Row],[SUE DIA]]*Tabla1[[#This Row],[DIAS VAC PAG]]</f>
        <v>1329.6407305936084</v>
      </c>
    </row>
    <row r="1324" spans="2:21" hidden="1" x14ac:dyDescent="0.25">
      <c r="B1324" s="243">
        <v>475</v>
      </c>
      <c r="C1324" s="140" t="str">
        <f>VLOOKUP(B1324,BDD[],2,0)</f>
        <v>Jaime  Jaime Garza</v>
      </c>
      <c r="D1324" s="140">
        <f>VLOOKUP(B1324,BDD[],3,0)</f>
        <v>9450</v>
      </c>
      <c r="E1324" s="140">
        <f>VLOOKUP(B1324,BDD[],4,0)</f>
        <v>315</v>
      </c>
      <c r="F1324" s="142">
        <f>VLOOKUP(B1324,BDD[],26,0)</f>
        <v>35</v>
      </c>
      <c r="G1324" s="268">
        <f>VLOOKUP(B1324,BDD[],6,0)</f>
        <v>43110</v>
      </c>
      <c r="H1324" s="139">
        <f ca="1">VLOOKUP(B1324,BDD[],7,0)</f>
        <v>4</v>
      </c>
      <c r="I1324" s="139">
        <f ca="1">VLOOKUP(B1324,BDD[],22,0)</f>
        <v>7</v>
      </c>
      <c r="J1324" s="168">
        <v>15</v>
      </c>
      <c r="K1324" s="139">
        <f>Tabla1[[#This Row],[DIAS LAB]]*Tabla1[[#This Row],[SUE DIA]]</f>
        <v>4725</v>
      </c>
      <c r="L1324" s="168">
        <v>0</v>
      </c>
      <c r="M1324" s="198">
        <f>Tabla1[[#This Row],[HRS EXT]]*Tabla1[[#This Row],[SUE X HR]]</f>
        <v>0</v>
      </c>
      <c r="N1324" s="168">
        <v>0</v>
      </c>
      <c r="O1324" s="198">
        <f>Tabla1[[#This Row],[ASUETO]]*Tabla1[[#This Row],[SUE DIA]]</f>
        <v>0</v>
      </c>
      <c r="P1324" s="139">
        <f>IF(Tabla1[[#This Row],[FECHA ING]]&lt;$P$1007,365,_xlfn.DAYS($P$1008,Tabla1[[#This Row],[FECHA ING]])+1)</f>
        <v>365</v>
      </c>
      <c r="Q1324" s="198">
        <f>INT(30*(Tabla1[[#This Row],[FECHAS CONTB AGNLDO]]/365))</f>
        <v>30</v>
      </c>
      <c r="R1324" s="244">
        <f ca="1">IF($W$32=$W$26,Tabla1[[#This Row],[SUE DIA]]*Tabla1[[#This Row],[DIAS PAG AGNLDO]],0)</f>
        <v>0</v>
      </c>
      <c r="S1324" s="244">
        <f ca="1">(_xlfn.DAYS(TODAY(),Tabla1[[#This Row],[FECHA ING]])/365)</f>
        <v>4.5205479452054798</v>
      </c>
      <c r="T1324" s="244">
        <f ca="1">IF(Tabla1[[#This Row],[DIAS VAC]]&gt;1,Tabla1[[#This Row],[DIAS VAC]]-Tabla1[[#This Row],[ANTIG]],Tabla1[[#This Row],[DIAS VAC]])</f>
        <v>0.52054794520547976</v>
      </c>
      <c r="U1324" s="244">
        <f ca="1">Tabla1[[#This Row],[VALID ANTIG]]*Tabla1[[#This Row],[SUE DIA]]*Tabla1[[#This Row],[DIAS VAC PAG]]</f>
        <v>1147.8082191780827</v>
      </c>
    </row>
    <row r="1325" spans="2:21" hidden="1" x14ac:dyDescent="0.25">
      <c r="B1325" s="243">
        <v>476</v>
      </c>
      <c r="C1325" s="140" t="str">
        <f>VLOOKUP(B1325,BDD[],2,0)</f>
        <v>María De Los Ángeles Toledo López</v>
      </c>
      <c r="D1325" s="140">
        <f>VLOOKUP(B1325,BDD[],3,0)</f>
        <v>7950</v>
      </c>
      <c r="E1325" s="140">
        <f>VLOOKUP(B1325,BDD[],4,0)</f>
        <v>265</v>
      </c>
      <c r="F1325" s="142">
        <f>VLOOKUP(B1325,BDD[],26,0)</f>
        <v>29.444444444444443</v>
      </c>
      <c r="G1325" s="268">
        <f>VLOOKUP(B1325,BDD[],6,0)</f>
        <v>43112</v>
      </c>
      <c r="H1325" s="139">
        <f ca="1">VLOOKUP(B1325,BDD[],7,0)</f>
        <v>4</v>
      </c>
      <c r="I1325" s="139">
        <f ca="1">VLOOKUP(B1325,BDD[],22,0)</f>
        <v>7</v>
      </c>
      <c r="J1325" s="168">
        <v>15</v>
      </c>
      <c r="K1325" s="139">
        <f>Tabla1[[#This Row],[DIAS LAB]]*Tabla1[[#This Row],[SUE DIA]]</f>
        <v>3975</v>
      </c>
      <c r="L1325" s="168">
        <v>0</v>
      </c>
      <c r="M1325" s="198">
        <f>Tabla1[[#This Row],[HRS EXT]]*Tabla1[[#This Row],[SUE X HR]]</f>
        <v>0</v>
      </c>
      <c r="N1325" s="168">
        <v>0</v>
      </c>
      <c r="O1325" s="198">
        <f>Tabla1[[#This Row],[ASUETO]]*Tabla1[[#This Row],[SUE DIA]]</f>
        <v>0</v>
      </c>
      <c r="P1325" s="139">
        <f>IF(Tabla1[[#This Row],[FECHA ING]]&lt;$P$1007,365,_xlfn.DAYS($P$1008,Tabla1[[#This Row],[FECHA ING]])+1)</f>
        <v>365</v>
      </c>
      <c r="Q1325" s="198">
        <f>INT(30*(Tabla1[[#This Row],[FECHAS CONTB AGNLDO]]/365))</f>
        <v>30</v>
      </c>
      <c r="R1325" s="244">
        <f ca="1">IF($W$32=$W$26,Tabla1[[#This Row],[SUE DIA]]*Tabla1[[#This Row],[DIAS PAG AGNLDO]],0)</f>
        <v>0</v>
      </c>
      <c r="S1325" s="244">
        <f ca="1">(_xlfn.DAYS(TODAY(),Tabla1[[#This Row],[FECHA ING]])/365)</f>
        <v>4.515068493150685</v>
      </c>
      <c r="T1325" s="244">
        <f ca="1">IF(Tabla1[[#This Row],[DIAS VAC]]&gt;1,Tabla1[[#This Row],[DIAS VAC]]-Tabla1[[#This Row],[ANTIG]],Tabla1[[#This Row],[DIAS VAC]])</f>
        <v>0.51506849315068504</v>
      </c>
      <c r="U1325" s="244">
        <f ca="1">Tabla1[[#This Row],[VALID ANTIG]]*Tabla1[[#This Row],[SUE DIA]]*Tabla1[[#This Row],[DIAS VAC PAG]]</f>
        <v>955.45205479452068</v>
      </c>
    </row>
    <row r="1326" spans="2:21" hidden="1" x14ac:dyDescent="0.25">
      <c r="B1326" s="243">
        <v>477</v>
      </c>
      <c r="C1326" s="140" t="str">
        <f>VLOOKUP(B1326,BDD[],2,0)</f>
        <v>Karyme Liliana Netro Chávez</v>
      </c>
      <c r="D1326" s="140">
        <f>VLOOKUP(B1326,BDD[],3,0)</f>
        <v>7445</v>
      </c>
      <c r="E1326" s="140">
        <f>VLOOKUP(B1326,BDD[],4,0)</f>
        <v>248.16666666666666</v>
      </c>
      <c r="F1326" s="142">
        <f>VLOOKUP(B1326,BDD[],26,0)</f>
        <v>27.574074074074073</v>
      </c>
      <c r="G1326" s="268">
        <f>VLOOKUP(B1326,BDD[],6,0)</f>
        <v>43114</v>
      </c>
      <c r="H1326" s="139">
        <f ca="1">VLOOKUP(B1326,BDD[],7,0)</f>
        <v>4</v>
      </c>
      <c r="I1326" s="139">
        <f ca="1">VLOOKUP(B1326,BDD[],22,0)</f>
        <v>7</v>
      </c>
      <c r="J1326" s="168">
        <v>15</v>
      </c>
      <c r="K1326" s="139">
        <f>Tabla1[[#This Row],[DIAS LAB]]*Tabla1[[#This Row],[SUE DIA]]</f>
        <v>3722.5</v>
      </c>
      <c r="L1326" s="168">
        <v>0</v>
      </c>
      <c r="M1326" s="198">
        <f>Tabla1[[#This Row],[HRS EXT]]*Tabla1[[#This Row],[SUE X HR]]</f>
        <v>0</v>
      </c>
      <c r="N1326" s="168">
        <v>0</v>
      </c>
      <c r="O1326" s="198">
        <f>Tabla1[[#This Row],[ASUETO]]*Tabla1[[#This Row],[SUE DIA]]</f>
        <v>0</v>
      </c>
      <c r="P1326" s="139">
        <f>IF(Tabla1[[#This Row],[FECHA ING]]&lt;$P$1007,365,_xlfn.DAYS($P$1008,Tabla1[[#This Row],[FECHA ING]])+1)</f>
        <v>365</v>
      </c>
      <c r="Q1326" s="198">
        <f>INT(30*(Tabla1[[#This Row],[FECHAS CONTB AGNLDO]]/365))</f>
        <v>30</v>
      </c>
      <c r="R1326" s="244">
        <f ca="1">IF($W$32=$W$26,Tabla1[[#This Row],[SUE DIA]]*Tabla1[[#This Row],[DIAS PAG AGNLDO]],0)</f>
        <v>0</v>
      </c>
      <c r="S1326" s="244">
        <f ca="1">(_xlfn.DAYS(TODAY(),Tabla1[[#This Row],[FECHA ING]])/365)</f>
        <v>4.5095890410958903</v>
      </c>
      <c r="T1326" s="244">
        <f ca="1">IF(Tabla1[[#This Row],[DIAS VAC]]&gt;1,Tabla1[[#This Row],[DIAS VAC]]-Tabla1[[#This Row],[ANTIG]],Tabla1[[#This Row],[DIAS VAC]])</f>
        <v>0.50958904109589032</v>
      </c>
      <c r="U1326" s="244">
        <f ca="1">Tabla1[[#This Row],[VALID ANTIG]]*Tabla1[[#This Row],[SUE DIA]]*Tabla1[[#This Row],[DIAS VAC PAG]]</f>
        <v>885.24109589041075</v>
      </c>
    </row>
    <row r="1327" spans="2:21" hidden="1" x14ac:dyDescent="0.25">
      <c r="B1327" s="243">
        <v>478</v>
      </c>
      <c r="C1327" s="140" t="str">
        <f>VLOOKUP(B1327,BDD[],2,0)</f>
        <v>Alfonso Robles Armijo</v>
      </c>
      <c r="D1327" s="140">
        <f>VLOOKUP(B1327,BDD[],3,0)</f>
        <v>7950</v>
      </c>
      <c r="E1327" s="140">
        <f>VLOOKUP(B1327,BDD[],4,0)</f>
        <v>265</v>
      </c>
      <c r="F1327" s="142">
        <f>VLOOKUP(B1327,BDD[],26,0)</f>
        <v>29.444444444444443</v>
      </c>
      <c r="G1327" s="268">
        <f>VLOOKUP(B1327,BDD[],6,0)</f>
        <v>43125</v>
      </c>
      <c r="H1327" s="139">
        <f ca="1">VLOOKUP(B1327,BDD[],7,0)</f>
        <v>4</v>
      </c>
      <c r="I1327" s="139">
        <f ca="1">VLOOKUP(B1327,BDD[],22,0)</f>
        <v>7</v>
      </c>
      <c r="J1327" s="168">
        <v>15</v>
      </c>
      <c r="K1327" s="139">
        <f>Tabla1[[#This Row],[DIAS LAB]]*Tabla1[[#This Row],[SUE DIA]]</f>
        <v>3975</v>
      </c>
      <c r="L1327" s="168">
        <v>0</v>
      </c>
      <c r="M1327" s="198">
        <f>Tabla1[[#This Row],[HRS EXT]]*Tabla1[[#This Row],[SUE X HR]]</f>
        <v>0</v>
      </c>
      <c r="N1327" s="168">
        <v>0</v>
      </c>
      <c r="O1327" s="198">
        <f>Tabla1[[#This Row],[ASUETO]]*Tabla1[[#This Row],[SUE DIA]]</f>
        <v>0</v>
      </c>
      <c r="P1327" s="139">
        <f>IF(Tabla1[[#This Row],[FECHA ING]]&lt;$P$1007,365,_xlfn.DAYS($P$1008,Tabla1[[#This Row],[FECHA ING]])+1)</f>
        <v>365</v>
      </c>
      <c r="Q1327" s="198">
        <f>INT(30*(Tabla1[[#This Row],[FECHAS CONTB AGNLDO]]/365))</f>
        <v>30</v>
      </c>
      <c r="R1327" s="244">
        <f ca="1">IF($W$32=$W$26,Tabla1[[#This Row],[SUE DIA]]*Tabla1[[#This Row],[DIAS PAG AGNLDO]],0)</f>
        <v>0</v>
      </c>
      <c r="S1327" s="244">
        <f ca="1">(_xlfn.DAYS(TODAY(),Tabla1[[#This Row],[FECHA ING]])/365)</f>
        <v>4.4794520547945202</v>
      </c>
      <c r="T1327" s="244">
        <f ca="1">IF(Tabla1[[#This Row],[DIAS VAC]]&gt;1,Tabla1[[#This Row],[DIAS VAC]]-Tabla1[[#This Row],[ANTIG]],Tabla1[[#This Row],[DIAS VAC]])</f>
        <v>0.47945205479452024</v>
      </c>
      <c r="U1327" s="244">
        <f ca="1">Tabla1[[#This Row],[VALID ANTIG]]*Tabla1[[#This Row],[SUE DIA]]*Tabla1[[#This Row],[DIAS VAC PAG]]</f>
        <v>889.38356164383504</v>
      </c>
    </row>
    <row r="1328" spans="2:21" hidden="1" x14ac:dyDescent="0.25">
      <c r="B1328" s="243">
        <v>479</v>
      </c>
      <c r="C1328" s="140" t="str">
        <f>VLOOKUP(B1328,BDD[],2,0)</f>
        <v>Valeria Solís Elizondo</v>
      </c>
      <c r="D1328" s="140">
        <f>VLOOKUP(B1328,BDD[],3,0)</f>
        <v>9450</v>
      </c>
      <c r="E1328" s="140">
        <f>VLOOKUP(B1328,BDD[],4,0)</f>
        <v>315</v>
      </c>
      <c r="F1328" s="142">
        <f>VLOOKUP(B1328,BDD[],26,0)</f>
        <v>35</v>
      </c>
      <c r="G1328" s="268">
        <f>VLOOKUP(B1328,BDD[],6,0)</f>
        <v>43131</v>
      </c>
      <c r="H1328" s="139">
        <f ca="1">VLOOKUP(B1328,BDD[],7,0)</f>
        <v>4</v>
      </c>
      <c r="I1328" s="139">
        <f ca="1">VLOOKUP(B1328,BDD[],22,0)</f>
        <v>7</v>
      </c>
      <c r="J1328" s="168">
        <v>15</v>
      </c>
      <c r="K1328" s="139">
        <f>Tabla1[[#This Row],[DIAS LAB]]*Tabla1[[#This Row],[SUE DIA]]</f>
        <v>4725</v>
      </c>
      <c r="L1328" s="168">
        <v>0</v>
      </c>
      <c r="M1328" s="198">
        <f>Tabla1[[#This Row],[HRS EXT]]*Tabla1[[#This Row],[SUE X HR]]</f>
        <v>0</v>
      </c>
      <c r="N1328" s="168">
        <v>0</v>
      </c>
      <c r="O1328" s="198">
        <f>Tabla1[[#This Row],[ASUETO]]*Tabla1[[#This Row],[SUE DIA]]</f>
        <v>0</v>
      </c>
      <c r="P1328" s="139">
        <f>IF(Tabla1[[#This Row],[FECHA ING]]&lt;$P$1007,365,_xlfn.DAYS($P$1008,Tabla1[[#This Row],[FECHA ING]])+1)</f>
        <v>365</v>
      </c>
      <c r="Q1328" s="198">
        <f>INT(30*(Tabla1[[#This Row],[FECHAS CONTB AGNLDO]]/365))</f>
        <v>30</v>
      </c>
      <c r="R1328" s="244">
        <f ca="1">IF($W$32=$W$26,Tabla1[[#This Row],[SUE DIA]]*Tabla1[[#This Row],[DIAS PAG AGNLDO]],0)</f>
        <v>0</v>
      </c>
      <c r="S1328" s="244">
        <f ca="1">(_xlfn.DAYS(TODAY(),Tabla1[[#This Row],[FECHA ING]])/365)</f>
        <v>4.463013698630137</v>
      </c>
      <c r="T1328" s="244">
        <f ca="1">IF(Tabla1[[#This Row],[DIAS VAC]]&gt;1,Tabla1[[#This Row],[DIAS VAC]]-Tabla1[[#This Row],[ANTIG]],Tabla1[[#This Row],[DIAS VAC]])</f>
        <v>0.46301369863013697</v>
      </c>
      <c r="U1328" s="244">
        <f ca="1">Tabla1[[#This Row],[VALID ANTIG]]*Tabla1[[#This Row],[SUE DIA]]*Tabla1[[#This Row],[DIAS VAC PAG]]</f>
        <v>1020.9452054794521</v>
      </c>
    </row>
    <row r="1329" spans="2:21" hidden="1" x14ac:dyDescent="0.25">
      <c r="B1329" s="243">
        <v>482</v>
      </c>
      <c r="C1329" s="140" t="str">
        <f>VLOOKUP(B1329,BDD[],2,0)</f>
        <v>Miriam Guadalupe Flores Gracida</v>
      </c>
      <c r="D1329" s="140">
        <f>VLOOKUP(B1329,BDD[],3,0)</f>
        <v>9450</v>
      </c>
      <c r="E1329" s="140">
        <f>VLOOKUP(B1329,BDD[],4,0)</f>
        <v>315</v>
      </c>
      <c r="F1329" s="142">
        <f>VLOOKUP(B1329,BDD[],26,0)</f>
        <v>35</v>
      </c>
      <c r="G1329" s="268">
        <f>VLOOKUP(B1329,BDD[],6,0)</f>
        <v>43173</v>
      </c>
      <c r="H1329" s="139">
        <f ca="1">VLOOKUP(B1329,BDD[],7,0)</f>
        <v>4</v>
      </c>
      <c r="I1329" s="139">
        <f ca="1">VLOOKUP(B1329,BDD[],22,0)</f>
        <v>7</v>
      </c>
      <c r="J1329" s="168">
        <v>15</v>
      </c>
      <c r="K1329" s="139">
        <f>Tabla1[[#This Row],[DIAS LAB]]*Tabla1[[#This Row],[SUE DIA]]</f>
        <v>4725</v>
      </c>
      <c r="L1329" s="168">
        <v>0</v>
      </c>
      <c r="M1329" s="198">
        <f>Tabla1[[#This Row],[HRS EXT]]*Tabla1[[#This Row],[SUE X HR]]</f>
        <v>0</v>
      </c>
      <c r="N1329" s="168">
        <v>0</v>
      </c>
      <c r="O1329" s="198">
        <f>Tabla1[[#This Row],[ASUETO]]*Tabla1[[#This Row],[SUE DIA]]</f>
        <v>0</v>
      </c>
      <c r="P1329" s="139">
        <f>IF(Tabla1[[#This Row],[FECHA ING]]&lt;$P$1007,365,_xlfn.DAYS($P$1008,Tabla1[[#This Row],[FECHA ING]])+1)</f>
        <v>365</v>
      </c>
      <c r="Q1329" s="198">
        <f>INT(30*(Tabla1[[#This Row],[FECHAS CONTB AGNLDO]]/365))</f>
        <v>30</v>
      </c>
      <c r="R1329" s="244">
        <f ca="1">IF($W$32=$W$26,Tabla1[[#This Row],[SUE DIA]]*Tabla1[[#This Row],[DIAS PAG AGNLDO]],0)</f>
        <v>0</v>
      </c>
      <c r="S1329" s="244">
        <f ca="1">(_xlfn.DAYS(TODAY(),Tabla1[[#This Row],[FECHA ING]])/365)</f>
        <v>4.3479452054794523</v>
      </c>
      <c r="T1329" s="244">
        <f ca="1">IF(Tabla1[[#This Row],[DIAS VAC]]&gt;1,Tabla1[[#This Row],[DIAS VAC]]-Tabla1[[#This Row],[ANTIG]],Tabla1[[#This Row],[DIAS VAC]])</f>
        <v>0.34794520547945229</v>
      </c>
      <c r="U1329" s="244">
        <f ca="1">Tabla1[[#This Row],[VALID ANTIG]]*Tabla1[[#This Row],[SUE DIA]]*Tabla1[[#This Row],[DIAS VAC PAG]]</f>
        <v>767.21917808219223</v>
      </c>
    </row>
    <row r="1330" spans="2:21" hidden="1" x14ac:dyDescent="0.25">
      <c r="B1330" s="243">
        <v>484</v>
      </c>
      <c r="C1330" s="140" t="str">
        <f>VLOOKUP(B1330,BDD[],2,0)</f>
        <v>Lizeth Anahi Hernandez Sanchez</v>
      </c>
      <c r="D1330" s="140">
        <f>VLOOKUP(B1330,BDD[],3,0)</f>
        <v>9450</v>
      </c>
      <c r="E1330" s="140">
        <f>VLOOKUP(B1330,BDD[],4,0)</f>
        <v>315</v>
      </c>
      <c r="F1330" s="142">
        <f>VLOOKUP(B1330,BDD[],26,0)</f>
        <v>35</v>
      </c>
      <c r="G1330" s="268">
        <f>VLOOKUP(B1330,BDD[],6,0)</f>
        <v>43192</v>
      </c>
      <c r="H1330" s="139">
        <f ca="1">VLOOKUP(B1330,BDD[],7,0)</f>
        <v>4</v>
      </c>
      <c r="I1330" s="139">
        <f ca="1">VLOOKUP(B1330,BDD[],22,0)</f>
        <v>7</v>
      </c>
      <c r="J1330" s="168">
        <v>15</v>
      </c>
      <c r="K1330" s="139">
        <f>Tabla1[[#This Row],[DIAS LAB]]*Tabla1[[#This Row],[SUE DIA]]</f>
        <v>4725</v>
      </c>
      <c r="L1330" s="168">
        <v>0</v>
      </c>
      <c r="M1330" s="198">
        <f>Tabla1[[#This Row],[HRS EXT]]*Tabla1[[#This Row],[SUE X HR]]</f>
        <v>0</v>
      </c>
      <c r="N1330" s="168">
        <v>0</v>
      </c>
      <c r="O1330" s="198">
        <f>Tabla1[[#This Row],[ASUETO]]*Tabla1[[#This Row],[SUE DIA]]</f>
        <v>0</v>
      </c>
      <c r="P1330" s="139">
        <f>IF(Tabla1[[#This Row],[FECHA ING]]&lt;$P$1007,365,_xlfn.DAYS($P$1008,Tabla1[[#This Row],[FECHA ING]])+1)</f>
        <v>365</v>
      </c>
      <c r="Q1330" s="198">
        <f>INT(30*(Tabla1[[#This Row],[FECHAS CONTB AGNLDO]]/365))</f>
        <v>30</v>
      </c>
      <c r="R1330" s="244">
        <f ca="1">IF($W$32=$W$26,Tabla1[[#This Row],[SUE DIA]]*Tabla1[[#This Row],[DIAS PAG AGNLDO]],0)</f>
        <v>0</v>
      </c>
      <c r="S1330" s="244">
        <f ca="1">(_xlfn.DAYS(TODAY(),Tabla1[[#This Row],[FECHA ING]])/365)</f>
        <v>4.2958904109589042</v>
      </c>
      <c r="T1330" s="244">
        <f ca="1">IF(Tabla1[[#This Row],[DIAS VAC]]&gt;1,Tabla1[[#This Row],[DIAS VAC]]-Tabla1[[#This Row],[ANTIG]],Tabla1[[#This Row],[DIAS VAC]])</f>
        <v>0.29589041095890423</v>
      </c>
      <c r="U1330" s="244">
        <f ca="1">Tabla1[[#This Row],[VALID ANTIG]]*Tabla1[[#This Row],[SUE DIA]]*Tabla1[[#This Row],[DIAS VAC PAG]]</f>
        <v>652.43835616438378</v>
      </c>
    </row>
    <row r="1331" spans="2:21" hidden="1" x14ac:dyDescent="0.25">
      <c r="B1331" s="243">
        <v>485</v>
      </c>
      <c r="C1331" s="140" t="str">
        <f>VLOOKUP(B1331,BDD[],2,0)</f>
        <v>Elda Guadalupe Aripez Romero</v>
      </c>
      <c r="D1331" s="140">
        <f>VLOOKUP(B1331,BDD[],3,0)</f>
        <v>9541</v>
      </c>
      <c r="E1331" s="140">
        <f>VLOOKUP(B1331,BDD[],4,0)</f>
        <v>318.03333333333336</v>
      </c>
      <c r="F1331" s="142">
        <f>VLOOKUP(B1331,BDD[],26,0)</f>
        <v>35.337037037037042</v>
      </c>
      <c r="G1331" s="268">
        <f>VLOOKUP(B1331,BDD[],6,0)</f>
        <v>43197</v>
      </c>
      <c r="H1331" s="139">
        <f ca="1">VLOOKUP(B1331,BDD[],7,0)</f>
        <v>4</v>
      </c>
      <c r="I1331" s="139">
        <f ca="1">VLOOKUP(B1331,BDD[],22,0)</f>
        <v>7</v>
      </c>
      <c r="J1331" s="168">
        <v>15</v>
      </c>
      <c r="K1331" s="139">
        <f>Tabla1[[#This Row],[DIAS LAB]]*Tabla1[[#This Row],[SUE DIA]]</f>
        <v>4770.5</v>
      </c>
      <c r="L1331" s="168">
        <v>0</v>
      </c>
      <c r="M1331" s="198">
        <f>Tabla1[[#This Row],[HRS EXT]]*Tabla1[[#This Row],[SUE X HR]]</f>
        <v>0</v>
      </c>
      <c r="N1331" s="168">
        <v>0</v>
      </c>
      <c r="O1331" s="198">
        <f>Tabla1[[#This Row],[ASUETO]]*Tabla1[[#This Row],[SUE DIA]]</f>
        <v>0</v>
      </c>
      <c r="P1331" s="139">
        <f>IF(Tabla1[[#This Row],[FECHA ING]]&lt;$P$1007,365,_xlfn.DAYS($P$1008,Tabla1[[#This Row],[FECHA ING]])+1)</f>
        <v>365</v>
      </c>
      <c r="Q1331" s="198">
        <f>INT(30*(Tabla1[[#This Row],[FECHAS CONTB AGNLDO]]/365))</f>
        <v>30</v>
      </c>
      <c r="R1331" s="244">
        <f ca="1">IF($W$32=$W$26,Tabla1[[#This Row],[SUE DIA]]*Tabla1[[#This Row],[DIAS PAG AGNLDO]],0)</f>
        <v>0</v>
      </c>
      <c r="S1331" s="244">
        <f ca="1">(_xlfn.DAYS(TODAY(),Tabla1[[#This Row],[FECHA ING]])/365)</f>
        <v>4.2821917808219174</v>
      </c>
      <c r="T1331" s="244">
        <f ca="1">IF(Tabla1[[#This Row],[DIAS VAC]]&gt;1,Tabla1[[#This Row],[DIAS VAC]]-Tabla1[[#This Row],[ANTIG]],Tabla1[[#This Row],[DIAS VAC]])</f>
        <v>0.28219178082191743</v>
      </c>
      <c r="U1331" s="244">
        <f ca="1">Tabla1[[#This Row],[VALID ANTIG]]*Tabla1[[#This Row],[SUE DIA]]*Tabla1[[#This Row],[DIAS VAC PAG]]</f>
        <v>628.22474885844667</v>
      </c>
    </row>
    <row r="1332" spans="2:21" hidden="1" x14ac:dyDescent="0.25">
      <c r="B1332" s="243">
        <v>486</v>
      </c>
      <c r="C1332" s="140" t="str">
        <f>VLOOKUP(B1332,BDD[],2,0)</f>
        <v>Gabriela Judith Alanis Hernandez</v>
      </c>
      <c r="D1332" s="140">
        <f>VLOOKUP(B1332,BDD[],3,0)</f>
        <v>9450</v>
      </c>
      <c r="E1332" s="140">
        <f>VLOOKUP(B1332,BDD[],4,0)</f>
        <v>315</v>
      </c>
      <c r="F1332" s="142">
        <f>VLOOKUP(B1332,BDD[],26,0)</f>
        <v>35</v>
      </c>
      <c r="G1332" s="268">
        <f>VLOOKUP(B1332,BDD[],6,0)</f>
        <v>43198</v>
      </c>
      <c r="H1332" s="139">
        <f ca="1">VLOOKUP(B1332,BDD[],7,0)</f>
        <v>4</v>
      </c>
      <c r="I1332" s="139">
        <f ca="1">VLOOKUP(B1332,BDD[],22,0)</f>
        <v>7</v>
      </c>
      <c r="J1332" s="168">
        <v>15</v>
      </c>
      <c r="K1332" s="139">
        <f>Tabla1[[#This Row],[DIAS LAB]]*Tabla1[[#This Row],[SUE DIA]]</f>
        <v>4725</v>
      </c>
      <c r="L1332" s="168">
        <v>0</v>
      </c>
      <c r="M1332" s="198">
        <f>Tabla1[[#This Row],[HRS EXT]]*Tabla1[[#This Row],[SUE X HR]]</f>
        <v>0</v>
      </c>
      <c r="N1332" s="168">
        <v>0</v>
      </c>
      <c r="O1332" s="198">
        <f>Tabla1[[#This Row],[ASUETO]]*Tabla1[[#This Row],[SUE DIA]]</f>
        <v>0</v>
      </c>
      <c r="P1332" s="139">
        <f>IF(Tabla1[[#This Row],[FECHA ING]]&lt;$P$1007,365,_xlfn.DAYS($P$1008,Tabla1[[#This Row],[FECHA ING]])+1)</f>
        <v>365</v>
      </c>
      <c r="Q1332" s="198">
        <f>INT(30*(Tabla1[[#This Row],[FECHAS CONTB AGNLDO]]/365))</f>
        <v>30</v>
      </c>
      <c r="R1332" s="244">
        <f ca="1">IF($W$32=$W$26,Tabla1[[#This Row],[SUE DIA]]*Tabla1[[#This Row],[DIAS PAG AGNLDO]],0)</f>
        <v>0</v>
      </c>
      <c r="S1332" s="244">
        <f ca="1">(_xlfn.DAYS(TODAY(),Tabla1[[#This Row],[FECHA ING]])/365)</f>
        <v>4.279452054794521</v>
      </c>
      <c r="T1332" s="244">
        <f ca="1">IF(Tabla1[[#This Row],[DIAS VAC]]&gt;1,Tabla1[[#This Row],[DIAS VAC]]-Tabla1[[#This Row],[ANTIG]],Tabla1[[#This Row],[DIAS VAC]])</f>
        <v>0.27945205479452095</v>
      </c>
      <c r="U1332" s="244">
        <f ca="1">Tabla1[[#This Row],[VALID ANTIG]]*Tabla1[[#This Row],[SUE DIA]]*Tabla1[[#This Row],[DIAS VAC PAG]]</f>
        <v>616.19178082191866</v>
      </c>
    </row>
    <row r="1333" spans="2:21" hidden="1" x14ac:dyDescent="0.25">
      <c r="B1333" s="243">
        <v>487</v>
      </c>
      <c r="C1333" s="140" t="str">
        <f>VLOOKUP(B1333,BDD[],2,0)</f>
        <v>José Antonio Valdez Andraca</v>
      </c>
      <c r="D1333" s="140">
        <f>VLOOKUP(B1333,BDD[],3,0)</f>
        <v>10350</v>
      </c>
      <c r="E1333" s="140">
        <f>VLOOKUP(B1333,BDD[],4,0)</f>
        <v>345</v>
      </c>
      <c r="F1333" s="142">
        <f>VLOOKUP(B1333,BDD[],26,0)</f>
        <v>38.333333333333336</v>
      </c>
      <c r="G1333" s="268">
        <f>VLOOKUP(B1333,BDD[],6,0)</f>
        <v>43202</v>
      </c>
      <c r="H1333" s="139">
        <f ca="1">VLOOKUP(B1333,BDD[],7,0)</f>
        <v>4</v>
      </c>
      <c r="I1333" s="139">
        <f ca="1">VLOOKUP(B1333,BDD[],22,0)</f>
        <v>7</v>
      </c>
      <c r="J1333" s="168">
        <v>15</v>
      </c>
      <c r="K1333" s="139">
        <f>Tabla1[[#This Row],[DIAS LAB]]*Tabla1[[#This Row],[SUE DIA]]</f>
        <v>5175</v>
      </c>
      <c r="L1333" s="168">
        <v>0</v>
      </c>
      <c r="M1333" s="198">
        <f>Tabla1[[#This Row],[HRS EXT]]*Tabla1[[#This Row],[SUE X HR]]</f>
        <v>0</v>
      </c>
      <c r="N1333" s="168">
        <v>0</v>
      </c>
      <c r="O1333" s="198">
        <f>Tabla1[[#This Row],[ASUETO]]*Tabla1[[#This Row],[SUE DIA]]</f>
        <v>0</v>
      </c>
      <c r="P1333" s="139">
        <f>IF(Tabla1[[#This Row],[FECHA ING]]&lt;$P$1007,365,_xlfn.DAYS($P$1008,Tabla1[[#This Row],[FECHA ING]])+1)</f>
        <v>365</v>
      </c>
      <c r="Q1333" s="198">
        <f>INT(30*(Tabla1[[#This Row],[FECHAS CONTB AGNLDO]]/365))</f>
        <v>30</v>
      </c>
      <c r="R1333" s="244">
        <f ca="1">IF($W$32=$W$26,Tabla1[[#This Row],[SUE DIA]]*Tabla1[[#This Row],[DIAS PAG AGNLDO]],0)</f>
        <v>0</v>
      </c>
      <c r="S1333" s="244">
        <f ca="1">(_xlfn.DAYS(TODAY(),Tabla1[[#This Row],[FECHA ING]])/365)</f>
        <v>4.2684931506849315</v>
      </c>
      <c r="T1333" s="244">
        <f ca="1">IF(Tabla1[[#This Row],[DIAS VAC]]&gt;1,Tabla1[[#This Row],[DIAS VAC]]-Tabla1[[#This Row],[ANTIG]],Tabla1[[#This Row],[DIAS VAC]])</f>
        <v>0.26849315068493151</v>
      </c>
      <c r="U1333" s="244">
        <f ca="1">Tabla1[[#This Row],[VALID ANTIG]]*Tabla1[[#This Row],[SUE DIA]]*Tabla1[[#This Row],[DIAS VAC PAG]]</f>
        <v>648.41095890410952</v>
      </c>
    </row>
    <row r="1334" spans="2:21" hidden="1" x14ac:dyDescent="0.25">
      <c r="B1334" s="243">
        <v>488</v>
      </c>
      <c r="C1334" s="140" t="str">
        <f>VLOOKUP(B1334,BDD[],2,0)</f>
        <v>Biridiana Abrajan Grande</v>
      </c>
      <c r="D1334" s="140">
        <f>VLOOKUP(B1334,BDD[],3,0)</f>
        <v>10350</v>
      </c>
      <c r="E1334" s="140">
        <f>VLOOKUP(B1334,BDD[],4,0)</f>
        <v>345</v>
      </c>
      <c r="F1334" s="142">
        <f>VLOOKUP(B1334,BDD[],26,0)</f>
        <v>38.333333333333336</v>
      </c>
      <c r="G1334" s="268">
        <f>VLOOKUP(B1334,BDD[],6,0)</f>
        <v>43203</v>
      </c>
      <c r="H1334" s="139">
        <f ca="1">VLOOKUP(B1334,BDD[],7,0)</f>
        <v>4</v>
      </c>
      <c r="I1334" s="139">
        <f ca="1">VLOOKUP(B1334,BDD[],22,0)</f>
        <v>7</v>
      </c>
      <c r="J1334" s="168">
        <v>15</v>
      </c>
      <c r="K1334" s="139">
        <f>Tabla1[[#This Row],[DIAS LAB]]*Tabla1[[#This Row],[SUE DIA]]</f>
        <v>5175</v>
      </c>
      <c r="L1334" s="168">
        <v>0</v>
      </c>
      <c r="M1334" s="198">
        <f>Tabla1[[#This Row],[HRS EXT]]*Tabla1[[#This Row],[SUE X HR]]</f>
        <v>0</v>
      </c>
      <c r="N1334" s="168">
        <v>0</v>
      </c>
      <c r="O1334" s="198">
        <f>Tabla1[[#This Row],[ASUETO]]*Tabla1[[#This Row],[SUE DIA]]</f>
        <v>0</v>
      </c>
      <c r="P1334" s="139">
        <f>IF(Tabla1[[#This Row],[FECHA ING]]&lt;$P$1007,365,_xlfn.DAYS($P$1008,Tabla1[[#This Row],[FECHA ING]])+1)</f>
        <v>365</v>
      </c>
      <c r="Q1334" s="198">
        <f>INT(30*(Tabla1[[#This Row],[FECHAS CONTB AGNLDO]]/365))</f>
        <v>30</v>
      </c>
      <c r="R1334" s="244">
        <f ca="1">IF($W$32=$W$26,Tabla1[[#This Row],[SUE DIA]]*Tabla1[[#This Row],[DIAS PAG AGNLDO]],0)</f>
        <v>0</v>
      </c>
      <c r="S1334" s="244">
        <f ca="1">(_xlfn.DAYS(TODAY(),Tabla1[[#This Row],[FECHA ING]])/365)</f>
        <v>4.2657534246575342</v>
      </c>
      <c r="T1334" s="244">
        <f ca="1">IF(Tabla1[[#This Row],[DIAS VAC]]&gt;1,Tabla1[[#This Row],[DIAS VAC]]-Tabla1[[#This Row],[ANTIG]],Tabla1[[#This Row],[DIAS VAC]])</f>
        <v>0.26575342465753415</v>
      </c>
      <c r="U1334" s="244">
        <f ca="1">Tabla1[[#This Row],[VALID ANTIG]]*Tabla1[[#This Row],[SUE DIA]]*Tabla1[[#This Row],[DIAS VAC PAG]]</f>
        <v>641.79452054794501</v>
      </c>
    </row>
    <row r="1335" spans="2:21" hidden="1" x14ac:dyDescent="0.25">
      <c r="B1335" s="243">
        <v>489</v>
      </c>
      <c r="C1335" s="140" t="str">
        <f>VLOOKUP(B1335,BDD[],2,0)</f>
        <v>Alejandra Dayreb Cisneros Montelongo</v>
      </c>
      <c r="D1335" s="140">
        <f>VLOOKUP(B1335,BDD[],3,0)</f>
        <v>7445</v>
      </c>
      <c r="E1335" s="140">
        <f>VLOOKUP(B1335,BDD[],4,0)</f>
        <v>248.16666666666666</v>
      </c>
      <c r="F1335" s="142">
        <f>VLOOKUP(B1335,BDD[],26,0)</f>
        <v>27.574074074074073</v>
      </c>
      <c r="G1335" s="268">
        <f>VLOOKUP(B1335,BDD[],6,0)</f>
        <v>43206</v>
      </c>
      <c r="H1335" s="139">
        <f ca="1">VLOOKUP(B1335,BDD[],7,0)</f>
        <v>4</v>
      </c>
      <c r="I1335" s="139">
        <f ca="1">VLOOKUP(B1335,BDD[],22,0)</f>
        <v>7</v>
      </c>
      <c r="J1335" s="168">
        <v>15</v>
      </c>
      <c r="K1335" s="139">
        <f>Tabla1[[#This Row],[DIAS LAB]]*Tabla1[[#This Row],[SUE DIA]]</f>
        <v>3722.5</v>
      </c>
      <c r="L1335" s="168">
        <v>0</v>
      </c>
      <c r="M1335" s="198">
        <f>Tabla1[[#This Row],[HRS EXT]]*Tabla1[[#This Row],[SUE X HR]]</f>
        <v>0</v>
      </c>
      <c r="N1335" s="168">
        <v>0</v>
      </c>
      <c r="O1335" s="198">
        <f>Tabla1[[#This Row],[ASUETO]]*Tabla1[[#This Row],[SUE DIA]]</f>
        <v>0</v>
      </c>
      <c r="P1335" s="139">
        <f>IF(Tabla1[[#This Row],[FECHA ING]]&lt;$P$1007,365,_xlfn.DAYS($P$1008,Tabla1[[#This Row],[FECHA ING]])+1)</f>
        <v>365</v>
      </c>
      <c r="Q1335" s="198">
        <f>INT(30*(Tabla1[[#This Row],[FECHAS CONTB AGNLDO]]/365))</f>
        <v>30</v>
      </c>
      <c r="R1335" s="244">
        <f ca="1">IF($W$32=$W$26,Tabla1[[#This Row],[SUE DIA]]*Tabla1[[#This Row],[DIAS PAG AGNLDO]],0)</f>
        <v>0</v>
      </c>
      <c r="S1335" s="244">
        <f ca="1">(_xlfn.DAYS(TODAY(),Tabla1[[#This Row],[FECHA ING]])/365)</f>
        <v>4.2575342465753421</v>
      </c>
      <c r="T1335" s="244">
        <f ca="1">IF(Tabla1[[#This Row],[DIAS VAC]]&gt;1,Tabla1[[#This Row],[DIAS VAC]]-Tabla1[[#This Row],[ANTIG]],Tabla1[[#This Row],[DIAS VAC]])</f>
        <v>0.25753424657534207</v>
      </c>
      <c r="U1335" s="244">
        <f ca="1">Tabla1[[#This Row],[VALID ANTIG]]*Tabla1[[#This Row],[SUE DIA]]*Tabla1[[#This Row],[DIAS VAC PAG]]</f>
        <v>447.37990867579839</v>
      </c>
    </row>
    <row r="1336" spans="2:21" hidden="1" x14ac:dyDescent="0.25">
      <c r="B1336" s="243">
        <v>491</v>
      </c>
      <c r="C1336" s="140" t="str">
        <f>VLOOKUP(B1336,BDD[],2,0)</f>
        <v>Pedro Emanuel Pérez Barrios</v>
      </c>
      <c r="D1336" s="140">
        <f>VLOOKUP(B1336,BDD[],3,0)</f>
        <v>9450</v>
      </c>
      <c r="E1336" s="140">
        <f>VLOOKUP(B1336,BDD[],4,0)</f>
        <v>315</v>
      </c>
      <c r="F1336" s="142">
        <f>VLOOKUP(B1336,BDD[],26,0)</f>
        <v>35</v>
      </c>
      <c r="G1336" s="268">
        <f>VLOOKUP(B1336,BDD[],6,0)</f>
        <v>43209</v>
      </c>
      <c r="H1336" s="139">
        <f ca="1">VLOOKUP(B1336,BDD[],7,0)</f>
        <v>4</v>
      </c>
      <c r="I1336" s="139">
        <f ca="1">VLOOKUP(B1336,BDD[],22,0)</f>
        <v>7</v>
      </c>
      <c r="J1336" s="168">
        <v>15</v>
      </c>
      <c r="K1336" s="139">
        <f>Tabla1[[#This Row],[DIAS LAB]]*Tabla1[[#This Row],[SUE DIA]]</f>
        <v>4725</v>
      </c>
      <c r="L1336" s="168">
        <v>0</v>
      </c>
      <c r="M1336" s="198">
        <f>Tabla1[[#This Row],[HRS EXT]]*Tabla1[[#This Row],[SUE X HR]]</f>
        <v>0</v>
      </c>
      <c r="N1336" s="168">
        <v>0</v>
      </c>
      <c r="O1336" s="198">
        <f>Tabla1[[#This Row],[ASUETO]]*Tabla1[[#This Row],[SUE DIA]]</f>
        <v>0</v>
      </c>
      <c r="P1336" s="139">
        <f>IF(Tabla1[[#This Row],[FECHA ING]]&lt;$P$1007,365,_xlfn.DAYS($P$1008,Tabla1[[#This Row],[FECHA ING]])+1)</f>
        <v>365</v>
      </c>
      <c r="Q1336" s="198">
        <f>INT(30*(Tabla1[[#This Row],[FECHAS CONTB AGNLDO]]/365))</f>
        <v>30</v>
      </c>
      <c r="R1336" s="244">
        <f ca="1">IF($W$32=$W$26,Tabla1[[#This Row],[SUE DIA]]*Tabla1[[#This Row],[DIAS PAG AGNLDO]],0)</f>
        <v>0</v>
      </c>
      <c r="S1336" s="244">
        <f ca="1">(_xlfn.DAYS(TODAY(),Tabla1[[#This Row],[FECHA ING]])/365)</f>
        <v>4.2493150684931509</v>
      </c>
      <c r="T1336" s="244">
        <f ca="1">IF(Tabla1[[#This Row],[DIAS VAC]]&gt;1,Tabla1[[#This Row],[DIAS VAC]]-Tabla1[[#This Row],[ANTIG]],Tabla1[[#This Row],[DIAS VAC]])</f>
        <v>0.24931506849315088</v>
      </c>
      <c r="U1336" s="244">
        <f ca="1">Tabla1[[#This Row],[VALID ANTIG]]*Tabla1[[#This Row],[SUE DIA]]*Tabla1[[#This Row],[DIAS VAC PAG]]</f>
        <v>549.73972602739764</v>
      </c>
    </row>
    <row r="1337" spans="2:21" hidden="1" x14ac:dyDescent="0.25">
      <c r="B1337" s="246">
        <v>493</v>
      </c>
      <c r="C1337" s="140" t="str">
        <f>VLOOKUP(B1337,BDD[],2,0)</f>
        <v>Hugo Alvarado Álvarez</v>
      </c>
      <c r="D1337" s="140">
        <f>VLOOKUP(B1337,BDD[],3,0)</f>
        <v>6778</v>
      </c>
      <c r="E1337" s="140">
        <f>VLOOKUP(B1337,BDD[],4,0)</f>
        <v>225.93333333333334</v>
      </c>
      <c r="F1337" s="142">
        <f>VLOOKUP(B1337,BDD[],26,0)</f>
        <v>25.103703703703705</v>
      </c>
      <c r="G1337" s="268">
        <f>VLOOKUP(B1337,BDD[],6,0)</f>
        <v>43222</v>
      </c>
      <c r="H1337" s="139">
        <f ca="1">VLOOKUP(B1337,BDD[],7,0)</f>
        <v>4</v>
      </c>
      <c r="I1337" s="139">
        <f ca="1">VLOOKUP(B1337,BDD[],22,0)</f>
        <v>3.5</v>
      </c>
      <c r="J1337" s="168">
        <v>15</v>
      </c>
      <c r="K1337" s="139">
        <f>Tabla1[[#This Row],[DIAS LAB]]*Tabla1[[#This Row],[SUE DIA]]</f>
        <v>3389</v>
      </c>
      <c r="L1337" s="168">
        <v>0</v>
      </c>
      <c r="M1337" s="198">
        <f>Tabla1[[#This Row],[HRS EXT]]*Tabla1[[#This Row],[SUE X HR]]</f>
        <v>0</v>
      </c>
      <c r="N1337" s="168">
        <v>0</v>
      </c>
      <c r="O1337" s="198">
        <f>Tabla1[[#This Row],[ASUETO]]*Tabla1[[#This Row],[SUE DIA]]</f>
        <v>0</v>
      </c>
      <c r="P1337" s="139">
        <f>IF(Tabla1[[#This Row],[FECHA ING]]&lt;$P$1007,365,_xlfn.DAYS($P$1008,Tabla1[[#This Row],[FECHA ING]])+1)</f>
        <v>365</v>
      </c>
      <c r="Q1337" s="198">
        <f>INT(30*(Tabla1[[#This Row],[FECHAS CONTB AGNLDO]]/365))</f>
        <v>30</v>
      </c>
      <c r="R1337" s="244">
        <f ca="1">IF($W$32=$W$26,Tabla1[[#This Row],[SUE DIA]]*Tabla1[[#This Row],[DIAS PAG AGNLDO]],0)</f>
        <v>0</v>
      </c>
      <c r="S1337" s="244">
        <f ca="1">(_xlfn.DAYS(TODAY(),Tabla1[[#This Row],[FECHA ING]])/365)</f>
        <v>4.2136986301369861</v>
      </c>
      <c r="T1337" s="244">
        <f ca="1">IF(Tabla1[[#This Row],[DIAS VAC]]&gt;1,Tabla1[[#This Row],[DIAS VAC]]-Tabla1[[#This Row],[ANTIG]],Tabla1[[#This Row],[DIAS VAC]])</f>
        <v>0.21369863013698609</v>
      </c>
      <c r="U1337" s="244">
        <f ca="1">Tabla1[[#This Row],[VALID ANTIG]]*Tabla1[[#This Row],[SUE DIA]]*Tabla1[[#This Row],[DIAS VAC PAG]]</f>
        <v>168.98575342465739</v>
      </c>
    </row>
    <row r="1338" spans="2:21" hidden="1" x14ac:dyDescent="0.25">
      <c r="B1338" s="243">
        <v>494</v>
      </c>
      <c r="C1338" s="140" t="str">
        <f>VLOOKUP(B1338,BDD[],2,0)</f>
        <v>Aylin Medellín Sanchez</v>
      </c>
      <c r="D1338" s="140">
        <f>VLOOKUP(B1338,BDD[],3,0)</f>
        <v>27150</v>
      </c>
      <c r="E1338" s="140">
        <f>VLOOKUP(B1338,BDD[],4,0)</f>
        <v>905</v>
      </c>
      <c r="F1338" s="142">
        <f>VLOOKUP(B1338,BDD[],26,0)</f>
        <v>100.55555555555556</v>
      </c>
      <c r="G1338" s="268">
        <f>VLOOKUP(B1338,BDD[],6,0)</f>
        <v>43222</v>
      </c>
      <c r="H1338" s="139">
        <f ca="1">VLOOKUP(B1338,BDD[],7,0)</f>
        <v>4</v>
      </c>
      <c r="I1338" s="139">
        <f ca="1">VLOOKUP(B1338,BDD[],22,0)</f>
        <v>7</v>
      </c>
      <c r="J1338" s="168">
        <v>15</v>
      </c>
      <c r="K1338" s="139">
        <f>Tabla1[[#This Row],[DIAS LAB]]*Tabla1[[#This Row],[SUE DIA]]</f>
        <v>13575</v>
      </c>
      <c r="L1338" s="168">
        <v>0</v>
      </c>
      <c r="M1338" s="198">
        <f>Tabla1[[#This Row],[HRS EXT]]*Tabla1[[#This Row],[SUE X HR]]</f>
        <v>0</v>
      </c>
      <c r="N1338" s="168">
        <v>0</v>
      </c>
      <c r="O1338" s="198">
        <f>Tabla1[[#This Row],[ASUETO]]*Tabla1[[#This Row],[SUE DIA]]</f>
        <v>0</v>
      </c>
      <c r="P1338" s="139">
        <f>IF(Tabla1[[#This Row],[FECHA ING]]&lt;$P$1007,365,_xlfn.DAYS($P$1008,Tabla1[[#This Row],[FECHA ING]])+1)</f>
        <v>365</v>
      </c>
      <c r="Q1338" s="198">
        <f>INT(30*(Tabla1[[#This Row],[FECHAS CONTB AGNLDO]]/365))</f>
        <v>30</v>
      </c>
      <c r="R1338" s="244">
        <f ca="1">IF($W$32=$W$26,Tabla1[[#This Row],[SUE DIA]]*Tabla1[[#This Row],[DIAS PAG AGNLDO]],0)</f>
        <v>0</v>
      </c>
      <c r="S1338" s="244">
        <f ca="1">(_xlfn.DAYS(TODAY(),Tabla1[[#This Row],[FECHA ING]])/365)</f>
        <v>4.2136986301369861</v>
      </c>
      <c r="T1338" s="244">
        <f ca="1">IF(Tabla1[[#This Row],[DIAS VAC]]&gt;1,Tabla1[[#This Row],[DIAS VAC]]-Tabla1[[#This Row],[ANTIG]],Tabla1[[#This Row],[DIAS VAC]])</f>
        <v>0.21369863013698609</v>
      </c>
      <c r="U1338" s="244">
        <f ca="1">Tabla1[[#This Row],[VALID ANTIG]]*Tabla1[[#This Row],[SUE DIA]]*Tabla1[[#This Row],[DIAS VAC PAG]]</f>
        <v>1353.7808219178069</v>
      </c>
    </row>
    <row r="1339" spans="2:21" hidden="1" x14ac:dyDescent="0.25">
      <c r="B1339" s="243">
        <v>495</v>
      </c>
      <c r="C1339" s="140" t="str">
        <f>VLOOKUP(B1339,BDD[],2,0)</f>
        <v>Erick Daniel Izaguirre Valle</v>
      </c>
      <c r="D1339" s="140">
        <f>VLOOKUP(B1339,BDD[],3,0)</f>
        <v>7445</v>
      </c>
      <c r="E1339" s="140">
        <f>VLOOKUP(B1339,BDD[],4,0)</f>
        <v>248.16666666666666</v>
      </c>
      <c r="F1339" s="142">
        <f>VLOOKUP(B1339,BDD[],26,0)</f>
        <v>27.574074074074073</v>
      </c>
      <c r="G1339" s="268">
        <f>VLOOKUP(B1339,BDD[],6,0)</f>
        <v>43236</v>
      </c>
      <c r="H1339" s="139">
        <f ca="1">VLOOKUP(B1339,BDD[],7,0)</f>
        <v>4</v>
      </c>
      <c r="I1339" s="139">
        <f ca="1">VLOOKUP(B1339,BDD[],22,0)</f>
        <v>7</v>
      </c>
      <c r="J1339" s="168">
        <v>15</v>
      </c>
      <c r="K1339" s="139">
        <f>Tabla1[[#This Row],[DIAS LAB]]*Tabla1[[#This Row],[SUE DIA]]</f>
        <v>3722.5</v>
      </c>
      <c r="L1339" s="168">
        <v>0</v>
      </c>
      <c r="M1339" s="198">
        <f>Tabla1[[#This Row],[HRS EXT]]*Tabla1[[#This Row],[SUE X HR]]</f>
        <v>0</v>
      </c>
      <c r="N1339" s="168">
        <v>0</v>
      </c>
      <c r="O1339" s="198">
        <f>Tabla1[[#This Row],[ASUETO]]*Tabla1[[#This Row],[SUE DIA]]</f>
        <v>0</v>
      </c>
      <c r="P1339" s="139">
        <f>IF(Tabla1[[#This Row],[FECHA ING]]&lt;$P$1007,365,_xlfn.DAYS($P$1008,Tabla1[[#This Row],[FECHA ING]])+1)</f>
        <v>365</v>
      </c>
      <c r="Q1339" s="198">
        <f>INT(30*(Tabla1[[#This Row],[FECHAS CONTB AGNLDO]]/365))</f>
        <v>30</v>
      </c>
      <c r="R1339" s="244">
        <f ca="1">IF($W$32=$W$26,Tabla1[[#This Row],[SUE DIA]]*Tabla1[[#This Row],[DIAS PAG AGNLDO]],0)</f>
        <v>0</v>
      </c>
      <c r="S1339" s="244">
        <f ca="1">(_xlfn.DAYS(TODAY(),Tabla1[[#This Row],[FECHA ING]])/365)</f>
        <v>4.1753424657534248</v>
      </c>
      <c r="T1339" s="244">
        <f ca="1">IF(Tabla1[[#This Row],[DIAS VAC]]&gt;1,Tabla1[[#This Row],[DIAS VAC]]-Tabla1[[#This Row],[ANTIG]],Tabla1[[#This Row],[DIAS VAC]])</f>
        <v>0.17534246575342483</v>
      </c>
      <c r="U1339" s="244">
        <f ca="1">Tabla1[[#This Row],[VALID ANTIG]]*Tabla1[[#This Row],[SUE DIA]]*Tabla1[[#This Row],[DIAS VAC PAG]]</f>
        <v>304.59908675799119</v>
      </c>
    </row>
    <row r="1340" spans="2:21" hidden="1" x14ac:dyDescent="0.25">
      <c r="B1340" s="243">
        <v>496</v>
      </c>
      <c r="C1340" s="140" t="str">
        <f>VLOOKUP(B1340,BDD[],2,0)</f>
        <v>Enrique Martinez Carbajal</v>
      </c>
      <c r="D1340" s="140">
        <f>VLOOKUP(B1340,BDD[],3,0)</f>
        <v>7445</v>
      </c>
      <c r="E1340" s="140">
        <f>VLOOKUP(B1340,BDD[],4,0)</f>
        <v>248.16666666666666</v>
      </c>
      <c r="F1340" s="142">
        <f>VLOOKUP(B1340,BDD[],26,0)</f>
        <v>27.574074074074073</v>
      </c>
      <c r="G1340" s="268">
        <f>VLOOKUP(B1340,BDD[],6,0)</f>
        <v>43264</v>
      </c>
      <c r="H1340" s="139">
        <f ca="1">VLOOKUP(B1340,BDD[],7,0)</f>
        <v>4</v>
      </c>
      <c r="I1340" s="139">
        <f ca="1">VLOOKUP(B1340,BDD[],22,0)</f>
        <v>7</v>
      </c>
      <c r="J1340" s="168">
        <v>15</v>
      </c>
      <c r="K1340" s="139">
        <f>Tabla1[[#This Row],[DIAS LAB]]*Tabla1[[#This Row],[SUE DIA]]</f>
        <v>3722.5</v>
      </c>
      <c r="L1340" s="168">
        <v>0</v>
      </c>
      <c r="M1340" s="198">
        <f>Tabla1[[#This Row],[HRS EXT]]*Tabla1[[#This Row],[SUE X HR]]</f>
        <v>0</v>
      </c>
      <c r="N1340" s="168">
        <v>0</v>
      </c>
      <c r="O1340" s="198">
        <f>Tabla1[[#This Row],[ASUETO]]*Tabla1[[#This Row],[SUE DIA]]</f>
        <v>0</v>
      </c>
      <c r="P1340" s="139">
        <f>IF(Tabla1[[#This Row],[FECHA ING]]&lt;$P$1007,365,_xlfn.DAYS($P$1008,Tabla1[[#This Row],[FECHA ING]])+1)</f>
        <v>365</v>
      </c>
      <c r="Q1340" s="198">
        <f>INT(30*(Tabla1[[#This Row],[FECHAS CONTB AGNLDO]]/365))</f>
        <v>30</v>
      </c>
      <c r="R1340" s="244">
        <f ca="1">IF($W$32=$W$26,Tabla1[[#This Row],[SUE DIA]]*Tabla1[[#This Row],[DIAS PAG AGNLDO]],0)</f>
        <v>0</v>
      </c>
      <c r="S1340" s="244">
        <f ca="1">(_xlfn.DAYS(TODAY(),Tabla1[[#This Row],[FECHA ING]])/365)</f>
        <v>4.0986301369863014</v>
      </c>
      <c r="T1340" s="244">
        <f ca="1">IF(Tabla1[[#This Row],[DIAS VAC]]&gt;1,Tabla1[[#This Row],[DIAS VAC]]-Tabla1[[#This Row],[ANTIG]],Tabla1[[#This Row],[DIAS VAC]])</f>
        <v>9.8630136986301409E-2</v>
      </c>
      <c r="U1340" s="244">
        <f ca="1">Tabla1[[#This Row],[VALID ANTIG]]*Tabla1[[#This Row],[SUE DIA]]*Tabla1[[#This Row],[DIAS VAC PAG]]</f>
        <v>171.33698630136993</v>
      </c>
    </row>
    <row r="1341" spans="2:21" hidden="1" x14ac:dyDescent="0.25">
      <c r="B1341" s="243">
        <v>497</v>
      </c>
      <c r="C1341" s="140" t="str">
        <f>VLOOKUP(B1341,BDD[],2,0)</f>
        <v>Daniel Alejandro García Tovar</v>
      </c>
      <c r="D1341" s="140">
        <f>VLOOKUP(B1341,BDD[],3,0)</f>
        <v>7445</v>
      </c>
      <c r="E1341" s="140">
        <f>VLOOKUP(B1341,BDD[],4,0)</f>
        <v>248.16666666666666</v>
      </c>
      <c r="F1341" s="142">
        <f>VLOOKUP(B1341,BDD[],26,0)</f>
        <v>27.574074074074073</v>
      </c>
      <c r="G1341" s="268">
        <f>VLOOKUP(B1341,BDD[],6,0)</f>
        <v>43268</v>
      </c>
      <c r="H1341" s="139">
        <f ca="1">VLOOKUP(B1341,BDD[],7,0)</f>
        <v>4</v>
      </c>
      <c r="I1341" s="139">
        <f ca="1">VLOOKUP(B1341,BDD[],22,0)</f>
        <v>7</v>
      </c>
      <c r="J1341" s="168">
        <v>15</v>
      </c>
      <c r="K1341" s="139">
        <f>Tabla1[[#This Row],[DIAS LAB]]*Tabla1[[#This Row],[SUE DIA]]</f>
        <v>3722.5</v>
      </c>
      <c r="L1341" s="168">
        <v>0</v>
      </c>
      <c r="M1341" s="198">
        <f>Tabla1[[#This Row],[HRS EXT]]*Tabla1[[#This Row],[SUE X HR]]</f>
        <v>0</v>
      </c>
      <c r="N1341" s="168">
        <v>0</v>
      </c>
      <c r="O1341" s="198">
        <f>Tabla1[[#This Row],[ASUETO]]*Tabla1[[#This Row],[SUE DIA]]</f>
        <v>0</v>
      </c>
      <c r="P1341" s="139">
        <f>IF(Tabla1[[#This Row],[FECHA ING]]&lt;$P$1007,365,_xlfn.DAYS($P$1008,Tabla1[[#This Row],[FECHA ING]])+1)</f>
        <v>365</v>
      </c>
      <c r="Q1341" s="198">
        <f>INT(30*(Tabla1[[#This Row],[FECHAS CONTB AGNLDO]]/365))</f>
        <v>30</v>
      </c>
      <c r="R1341" s="244">
        <f ca="1">IF($W$32=$W$26,Tabla1[[#This Row],[SUE DIA]]*Tabla1[[#This Row],[DIAS PAG AGNLDO]],0)</f>
        <v>0</v>
      </c>
      <c r="S1341" s="244">
        <f ca="1">(_xlfn.DAYS(TODAY(),Tabla1[[#This Row],[FECHA ING]])/365)</f>
        <v>4.087671232876712</v>
      </c>
      <c r="T1341" s="244">
        <f ca="1">IF(Tabla1[[#This Row],[DIAS VAC]]&gt;1,Tabla1[[#This Row],[DIAS VAC]]-Tabla1[[#This Row],[ANTIG]],Tabla1[[#This Row],[DIAS VAC]])</f>
        <v>8.7671232876711969E-2</v>
      </c>
      <c r="U1341" s="244">
        <f ca="1">Tabla1[[#This Row],[VALID ANTIG]]*Tabla1[[#This Row],[SUE DIA]]*Tabla1[[#This Row],[DIAS VAC PAG]]</f>
        <v>152.29954337899483</v>
      </c>
    </row>
    <row r="1342" spans="2:21" hidden="1" x14ac:dyDescent="0.25">
      <c r="B1342" s="243">
        <v>498</v>
      </c>
      <c r="C1342" s="140" t="str">
        <f>VLOOKUP(B1342,BDD[],2,0)</f>
        <v>Marcos Eliud Ocanas Tovar</v>
      </c>
      <c r="D1342" s="140">
        <f>VLOOKUP(B1342,BDD[],3,0)</f>
        <v>8825</v>
      </c>
      <c r="E1342" s="140">
        <f>VLOOKUP(B1342,BDD[],4,0)</f>
        <v>294.16666666666669</v>
      </c>
      <c r="F1342" s="142">
        <f>VLOOKUP(B1342,BDD[],26,0)</f>
        <v>32.68518518518519</v>
      </c>
      <c r="G1342" s="268">
        <f>VLOOKUP(B1342,BDD[],6,0)</f>
        <v>43268</v>
      </c>
      <c r="H1342" s="139">
        <f ca="1">VLOOKUP(B1342,BDD[],7,0)</f>
        <v>4</v>
      </c>
      <c r="I1342" s="139">
        <f ca="1">VLOOKUP(B1342,BDD[],22,0)</f>
        <v>7</v>
      </c>
      <c r="J1342" s="168">
        <v>15</v>
      </c>
      <c r="K1342" s="139">
        <f>Tabla1[[#This Row],[DIAS LAB]]*Tabla1[[#This Row],[SUE DIA]]</f>
        <v>4412.5</v>
      </c>
      <c r="L1342" s="168">
        <v>0</v>
      </c>
      <c r="M1342" s="198">
        <f>Tabla1[[#This Row],[HRS EXT]]*Tabla1[[#This Row],[SUE X HR]]</f>
        <v>0</v>
      </c>
      <c r="N1342" s="168">
        <v>0</v>
      </c>
      <c r="O1342" s="198">
        <f>Tabla1[[#This Row],[ASUETO]]*Tabla1[[#This Row],[SUE DIA]]</f>
        <v>0</v>
      </c>
      <c r="P1342" s="139">
        <f>IF(Tabla1[[#This Row],[FECHA ING]]&lt;$P$1007,365,_xlfn.DAYS($P$1008,Tabla1[[#This Row],[FECHA ING]])+1)</f>
        <v>365</v>
      </c>
      <c r="Q1342" s="198">
        <f>INT(30*(Tabla1[[#This Row],[FECHAS CONTB AGNLDO]]/365))</f>
        <v>30</v>
      </c>
      <c r="R1342" s="244">
        <f ca="1">IF($W$32=$W$26,Tabla1[[#This Row],[SUE DIA]]*Tabla1[[#This Row],[DIAS PAG AGNLDO]],0)</f>
        <v>0</v>
      </c>
      <c r="S1342" s="244">
        <f ca="1">(_xlfn.DAYS(TODAY(),Tabla1[[#This Row],[FECHA ING]])/365)</f>
        <v>4.087671232876712</v>
      </c>
      <c r="T1342" s="244">
        <f ca="1">IF(Tabla1[[#This Row],[DIAS VAC]]&gt;1,Tabla1[[#This Row],[DIAS VAC]]-Tabla1[[#This Row],[ANTIG]],Tabla1[[#This Row],[DIAS VAC]])</f>
        <v>8.7671232876711969E-2</v>
      </c>
      <c r="U1342" s="244">
        <f ca="1">Tabla1[[#This Row],[VALID ANTIG]]*Tabla1[[#This Row],[SUE DIA]]*Tabla1[[#This Row],[DIAS VAC PAG]]</f>
        <v>180.52968036529606</v>
      </c>
    </row>
    <row r="1343" spans="2:21" hidden="1" x14ac:dyDescent="0.25">
      <c r="B1343" s="243">
        <v>500</v>
      </c>
      <c r="C1343" s="140" t="str">
        <f>VLOOKUP(B1343,BDD[],2,0)</f>
        <v>Juanita Enedina Nieves Lara</v>
      </c>
      <c r="D1343" s="140">
        <f>VLOOKUP(B1343,BDD[],3,0)</f>
        <v>9541</v>
      </c>
      <c r="E1343" s="140">
        <f>VLOOKUP(B1343,BDD[],4,0)</f>
        <v>318.03333333333336</v>
      </c>
      <c r="F1343" s="142">
        <f>VLOOKUP(B1343,BDD[],26,0)</f>
        <v>35.337037037037042</v>
      </c>
      <c r="G1343" s="268">
        <f>VLOOKUP(B1343,BDD[],6,0)</f>
        <v>43269</v>
      </c>
      <c r="H1343" s="139">
        <f ca="1">VLOOKUP(B1343,BDD[],7,0)</f>
        <v>4</v>
      </c>
      <c r="I1343" s="139">
        <f ca="1">VLOOKUP(B1343,BDD[],22,0)</f>
        <v>7</v>
      </c>
      <c r="J1343" s="168">
        <v>15</v>
      </c>
      <c r="K1343" s="139">
        <f>Tabla1[[#This Row],[DIAS LAB]]*Tabla1[[#This Row],[SUE DIA]]</f>
        <v>4770.5</v>
      </c>
      <c r="L1343" s="168">
        <v>0</v>
      </c>
      <c r="M1343" s="198">
        <f>Tabla1[[#This Row],[HRS EXT]]*Tabla1[[#This Row],[SUE X HR]]</f>
        <v>0</v>
      </c>
      <c r="N1343" s="168">
        <v>0</v>
      </c>
      <c r="O1343" s="198">
        <f>Tabla1[[#This Row],[ASUETO]]*Tabla1[[#This Row],[SUE DIA]]</f>
        <v>0</v>
      </c>
      <c r="P1343" s="198">
        <f>IF(Tabla1[[#This Row],[FECHA ING]]&lt;$P$1007,365,_xlfn.DAYS($P$1008,Tabla1[[#This Row],[FECHA ING]])+1)</f>
        <v>365</v>
      </c>
      <c r="Q1343" s="198">
        <f>INT(30*(Tabla1[[#This Row],[FECHAS CONTB AGNLDO]]/365))</f>
        <v>30</v>
      </c>
      <c r="R1343" s="244">
        <f ca="1">IF($W$32=$W$26,Tabla1[[#This Row],[SUE DIA]]*Tabla1[[#This Row],[DIAS PAG AGNLDO]],0)</f>
        <v>0</v>
      </c>
      <c r="S1343" s="244">
        <f ca="1">(_xlfn.DAYS(TODAY(),Tabla1[[#This Row],[FECHA ING]])/365)</f>
        <v>4.0849315068493155</v>
      </c>
      <c r="T1343" s="244">
        <f ca="1">IF(Tabla1[[#This Row],[DIAS VAC]]&gt;1,Tabla1[[#This Row],[DIAS VAC]]-Tabla1[[#This Row],[ANTIG]],Tabla1[[#This Row],[DIAS VAC]])</f>
        <v>8.4931506849315497E-2</v>
      </c>
      <c r="U1343" s="244">
        <f ca="1">Tabla1[[#This Row],[VALID ANTIG]]*Tabla1[[#This Row],[SUE DIA]]*Tabla1[[#This Row],[DIAS VAC PAG]]</f>
        <v>189.07735159817449</v>
      </c>
    </row>
    <row r="1344" spans="2:21" hidden="1" x14ac:dyDescent="0.25">
      <c r="B1344" s="243">
        <v>501</v>
      </c>
      <c r="C1344" s="140" t="str">
        <f>VLOOKUP(B1344,BDD[],2,0)</f>
        <v>Arcenio Gatica Portillo</v>
      </c>
      <c r="D1344" s="140">
        <f>VLOOKUP(B1344,BDD[],3,0)</f>
        <v>6778</v>
      </c>
      <c r="E1344" s="140">
        <f>VLOOKUP(B1344,BDD[],4,0)</f>
        <v>225.93333333333334</v>
      </c>
      <c r="F1344" s="142">
        <f>VLOOKUP(B1344,BDD[],26,0)</f>
        <v>25.103703703703705</v>
      </c>
      <c r="G1344" s="268">
        <f>VLOOKUP(B1344,BDD[],6,0)</f>
        <v>43277</v>
      </c>
      <c r="H1344" s="139">
        <f ca="1">VLOOKUP(B1344,BDD[],7,0)</f>
        <v>4</v>
      </c>
      <c r="I1344" s="139">
        <f ca="1">VLOOKUP(B1344,BDD[],22,0)</f>
        <v>3.5</v>
      </c>
      <c r="J1344" s="168">
        <v>15</v>
      </c>
      <c r="K1344" s="139">
        <f>Tabla1[[#This Row],[DIAS LAB]]*Tabla1[[#This Row],[SUE DIA]]</f>
        <v>3389</v>
      </c>
      <c r="L1344" s="168">
        <v>0</v>
      </c>
      <c r="M1344" s="198">
        <f>Tabla1[[#This Row],[HRS EXT]]*Tabla1[[#This Row],[SUE X HR]]</f>
        <v>0</v>
      </c>
      <c r="N1344" s="168">
        <v>0</v>
      </c>
      <c r="O1344" s="198">
        <f>Tabla1[[#This Row],[ASUETO]]*Tabla1[[#This Row],[SUE DIA]]</f>
        <v>0</v>
      </c>
      <c r="P1344" s="139">
        <f>IF(Tabla1[[#This Row],[FECHA ING]]&lt;$P$1007,365,_xlfn.DAYS($P$1008,Tabla1[[#This Row],[FECHA ING]])+1)</f>
        <v>365</v>
      </c>
      <c r="Q1344" s="198">
        <f>INT(30*(Tabla1[[#This Row],[FECHAS CONTB AGNLDO]]/365))</f>
        <v>30</v>
      </c>
      <c r="R1344" s="244">
        <f ca="1">IF($W$32=$W$26,Tabla1[[#This Row],[SUE DIA]]*Tabla1[[#This Row],[DIAS PAG AGNLDO]],0)</f>
        <v>0</v>
      </c>
      <c r="S1344" s="244">
        <f ca="1">(_xlfn.DAYS(TODAY(),Tabla1[[#This Row],[FECHA ING]])/365)</f>
        <v>4.0630136986301366</v>
      </c>
      <c r="T1344" s="244">
        <f ca="1">IF(Tabla1[[#This Row],[DIAS VAC]]&gt;1,Tabla1[[#This Row],[DIAS VAC]]-Tabla1[[#This Row],[ANTIG]],Tabla1[[#This Row],[DIAS VAC]])</f>
        <v>6.3013698630136616E-2</v>
      </c>
      <c r="U1344" s="244">
        <f ca="1">Tabla1[[#This Row],[VALID ANTIG]]*Tabla1[[#This Row],[SUE DIA]]*Tabla1[[#This Row],[DIAS VAC PAG]]</f>
        <v>49.829132420091028</v>
      </c>
    </row>
    <row r="1345" spans="2:21" hidden="1" x14ac:dyDescent="0.25">
      <c r="B1345" s="243">
        <v>502</v>
      </c>
      <c r="C1345" s="140" t="str">
        <f>VLOOKUP(B1345,BDD[],2,0)</f>
        <v>Aranza Elizabeth Vazquez Rodriguez</v>
      </c>
      <c r="D1345" s="140">
        <f>VLOOKUP(B1345,BDD[],3,0)</f>
        <v>9450</v>
      </c>
      <c r="E1345" s="140">
        <f>VLOOKUP(B1345,BDD[],4,0)</f>
        <v>315</v>
      </c>
      <c r="F1345" s="142">
        <f>VLOOKUP(B1345,BDD[],26,0)</f>
        <v>35</v>
      </c>
      <c r="G1345" s="268">
        <f>VLOOKUP(B1345,BDD[],6,0)</f>
        <v>43288</v>
      </c>
      <c r="H1345" s="139">
        <f ca="1">VLOOKUP(B1345,BDD[],7,0)</f>
        <v>4</v>
      </c>
      <c r="I1345" s="139">
        <f ca="1">VLOOKUP(B1345,BDD[],22,0)</f>
        <v>7</v>
      </c>
      <c r="J1345" s="168">
        <v>15</v>
      </c>
      <c r="K1345" s="139">
        <f>Tabla1[[#This Row],[DIAS LAB]]*Tabla1[[#This Row],[SUE DIA]]</f>
        <v>4725</v>
      </c>
      <c r="L1345" s="168">
        <v>0</v>
      </c>
      <c r="M1345" s="198">
        <f>Tabla1[[#This Row],[HRS EXT]]*Tabla1[[#This Row],[SUE X HR]]</f>
        <v>0</v>
      </c>
      <c r="N1345" s="168">
        <v>0</v>
      </c>
      <c r="O1345" s="198">
        <f>Tabla1[[#This Row],[ASUETO]]*Tabla1[[#This Row],[SUE DIA]]</f>
        <v>0</v>
      </c>
      <c r="P1345" s="139">
        <f>IF(Tabla1[[#This Row],[FECHA ING]]&lt;$P$1007,365,_xlfn.DAYS($P$1008,Tabla1[[#This Row],[FECHA ING]])+1)</f>
        <v>365</v>
      </c>
      <c r="Q1345" s="198">
        <f>INT(30*(Tabla1[[#This Row],[FECHAS CONTB AGNLDO]]/365))</f>
        <v>30</v>
      </c>
      <c r="R1345" s="244">
        <f ca="1">IF($W$32=$W$26,Tabla1[[#This Row],[SUE DIA]]*Tabla1[[#This Row],[DIAS PAG AGNLDO]],0)</f>
        <v>0</v>
      </c>
      <c r="S1345" s="244">
        <f ca="1">(_xlfn.DAYS(TODAY(),Tabla1[[#This Row],[FECHA ING]])/365)</f>
        <v>4.0328767123287674</v>
      </c>
      <c r="T1345" s="244">
        <f ca="1">IF(Tabla1[[#This Row],[DIAS VAC]]&gt;1,Tabla1[[#This Row],[DIAS VAC]]-Tabla1[[#This Row],[ANTIG]],Tabla1[[#This Row],[DIAS VAC]])</f>
        <v>3.2876712328767432E-2</v>
      </c>
      <c r="U1345" s="244">
        <f ca="1">Tabla1[[#This Row],[VALID ANTIG]]*Tabla1[[#This Row],[SUE DIA]]*Tabla1[[#This Row],[DIAS VAC PAG]]</f>
        <v>72.493150684932175</v>
      </c>
    </row>
    <row r="1346" spans="2:21" hidden="1" x14ac:dyDescent="0.25">
      <c r="B1346" s="243">
        <v>503</v>
      </c>
      <c r="C1346" s="140" t="str">
        <f>VLOOKUP(B1346,BDD[],2,0)</f>
        <v>Hugo Alejandro Segura Viveros</v>
      </c>
      <c r="D1346" s="140">
        <f>VLOOKUP(B1346,BDD[],3,0)</f>
        <v>9541</v>
      </c>
      <c r="E1346" s="140">
        <f>VLOOKUP(B1346,BDD[],4,0)</f>
        <v>318.03333333333336</v>
      </c>
      <c r="F1346" s="142">
        <f>VLOOKUP(B1346,BDD[],26,0)</f>
        <v>35.337037037037042</v>
      </c>
      <c r="G1346" s="268">
        <f>VLOOKUP(B1346,BDD[],6,0)</f>
        <v>43300</v>
      </c>
      <c r="H1346" s="139">
        <f ca="1">VLOOKUP(B1346,BDD[],7,0)</f>
        <v>4</v>
      </c>
      <c r="I1346" s="139">
        <f ca="1">VLOOKUP(B1346,BDD[],22,0)</f>
        <v>7</v>
      </c>
      <c r="J1346" s="168">
        <v>15</v>
      </c>
      <c r="K1346" s="139">
        <f>Tabla1[[#This Row],[DIAS LAB]]*Tabla1[[#This Row],[SUE DIA]]</f>
        <v>4770.5</v>
      </c>
      <c r="L1346" s="168">
        <v>0</v>
      </c>
      <c r="M1346" s="198">
        <f>Tabla1[[#This Row],[HRS EXT]]*Tabla1[[#This Row],[SUE X HR]]</f>
        <v>0</v>
      </c>
      <c r="N1346" s="168">
        <v>0</v>
      </c>
      <c r="O1346" s="198">
        <f>Tabla1[[#This Row],[ASUETO]]*Tabla1[[#This Row],[SUE DIA]]</f>
        <v>0</v>
      </c>
      <c r="P1346" s="139">
        <f>IF(Tabla1[[#This Row],[FECHA ING]]&lt;$P$1007,365,_xlfn.DAYS($P$1008,Tabla1[[#This Row],[FECHA ING]])+1)</f>
        <v>365</v>
      </c>
      <c r="Q1346" s="198">
        <f>INT(30*(Tabla1[[#This Row],[FECHAS CONTB AGNLDO]]/365))</f>
        <v>30</v>
      </c>
      <c r="R1346" s="244">
        <f ca="1">IF($W$32=$W$26,Tabla1[[#This Row],[SUE DIA]]*Tabla1[[#This Row],[DIAS PAG AGNLDO]],0)</f>
        <v>0</v>
      </c>
      <c r="S1346" s="244">
        <f ca="1">(_xlfn.DAYS(TODAY(),Tabla1[[#This Row],[FECHA ING]])/365)</f>
        <v>4</v>
      </c>
      <c r="T1346" s="244">
        <f ca="1">IF(Tabla1[[#This Row],[DIAS VAC]]&gt;1,Tabla1[[#This Row],[DIAS VAC]]-Tabla1[[#This Row],[ANTIG]],Tabla1[[#This Row],[DIAS VAC]])</f>
        <v>0</v>
      </c>
      <c r="U1346" s="244">
        <f ca="1">Tabla1[[#This Row],[VALID ANTIG]]*Tabla1[[#This Row],[SUE DIA]]*Tabla1[[#This Row],[DIAS VAC PAG]]</f>
        <v>0</v>
      </c>
    </row>
    <row r="1347" spans="2:21" hidden="1" x14ac:dyDescent="0.25">
      <c r="B1347" s="243">
        <v>504</v>
      </c>
      <c r="C1347" s="140" t="str">
        <f>VLOOKUP(B1347,BDD[],2,0)</f>
        <v>Adrian García Villanueva</v>
      </c>
      <c r="D1347" s="140">
        <f>VLOOKUP(B1347,BDD[],3,0)</f>
        <v>7445</v>
      </c>
      <c r="E1347" s="140">
        <f>VLOOKUP(B1347,BDD[],4,0)</f>
        <v>248.16666666666666</v>
      </c>
      <c r="F1347" s="142">
        <f>VLOOKUP(B1347,BDD[],26,0)</f>
        <v>27.574074074074073</v>
      </c>
      <c r="G1347" s="268">
        <f>VLOOKUP(B1347,BDD[],6,0)</f>
        <v>43312</v>
      </c>
      <c r="H1347" s="139">
        <f ca="1">VLOOKUP(B1347,BDD[],7,0)</f>
        <v>3</v>
      </c>
      <c r="I1347" s="139">
        <f ca="1">VLOOKUP(B1347,BDD[],22,0)</f>
        <v>7</v>
      </c>
      <c r="J1347" s="168">
        <v>15</v>
      </c>
      <c r="K1347" s="139">
        <f>Tabla1[[#This Row],[DIAS LAB]]*Tabla1[[#This Row],[SUE DIA]]</f>
        <v>3722.5</v>
      </c>
      <c r="L1347" s="168">
        <v>0</v>
      </c>
      <c r="M1347" s="198">
        <f>Tabla1[[#This Row],[HRS EXT]]*Tabla1[[#This Row],[SUE X HR]]</f>
        <v>0</v>
      </c>
      <c r="N1347" s="168">
        <v>0</v>
      </c>
      <c r="O1347" s="198">
        <f>Tabla1[[#This Row],[ASUETO]]*Tabla1[[#This Row],[SUE DIA]]</f>
        <v>0</v>
      </c>
      <c r="P1347" s="139">
        <f>IF(Tabla1[[#This Row],[FECHA ING]]&lt;$P$1007,365,_xlfn.DAYS($P$1008,Tabla1[[#This Row],[FECHA ING]])+1)</f>
        <v>365</v>
      </c>
      <c r="Q1347" s="198">
        <f>INT(30*(Tabla1[[#This Row],[FECHAS CONTB AGNLDO]]/365))</f>
        <v>30</v>
      </c>
      <c r="R1347" s="244">
        <f ca="1">IF($W$32=$W$26,Tabla1[[#This Row],[SUE DIA]]*Tabla1[[#This Row],[DIAS PAG AGNLDO]],0)</f>
        <v>0</v>
      </c>
      <c r="S1347" s="244">
        <f ca="1">(_xlfn.DAYS(TODAY(),Tabla1[[#This Row],[FECHA ING]])/365)</f>
        <v>3.967123287671233</v>
      </c>
      <c r="T1347" s="244">
        <f ca="1">IF(Tabla1[[#This Row],[DIAS VAC]]&gt;1,Tabla1[[#This Row],[DIAS VAC]]-Tabla1[[#This Row],[ANTIG]],Tabla1[[#This Row],[DIAS VAC]])</f>
        <v>0.96712328767123301</v>
      </c>
      <c r="U1347" s="244">
        <f ca="1">Tabla1[[#This Row],[VALID ANTIG]]*Tabla1[[#This Row],[SUE DIA]]*Tabla1[[#This Row],[DIAS VAC PAG]]</f>
        <v>1680.0543378995435</v>
      </c>
    </row>
    <row r="1348" spans="2:21" hidden="1" x14ac:dyDescent="0.25">
      <c r="B1348" s="243">
        <v>507</v>
      </c>
      <c r="C1348" s="140" t="str">
        <f>VLOOKUP(B1348,BDD[],2,0)</f>
        <v>Epifanio Dominguez Ramos</v>
      </c>
      <c r="D1348" s="140">
        <f>VLOOKUP(B1348,BDD[],3,0)</f>
        <v>6778</v>
      </c>
      <c r="E1348" s="140">
        <f>VLOOKUP(B1348,BDD[],4,0)</f>
        <v>225.93333333333334</v>
      </c>
      <c r="F1348" s="142">
        <f>VLOOKUP(B1348,BDD[],26,0)</f>
        <v>25.103703703703705</v>
      </c>
      <c r="G1348" s="268">
        <f>VLOOKUP(B1348,BDD[],6,0)</f>
        <v>43343</v>
      </c>
      <c r="H1348" s="139">
        <f ca="1">VLOOKUP(B1348,BDD[],7,0)</f>
        <v>3</v>
      </c>
      <c r="I1348" s="139">
        <f ca="1">VLOOKUP(B1348,BDD[],22,0)</f>
        <v>3.5</v>
      </c>
      <c r="J1348" s="168">
        <v>15</v>
      </c>
      <c r="K1348" s="139">
        <f>Tabla1[[#This Row],[DIAS LAB]]*Tabla1[[#This Row],[SUE DIA]]</f>
        <v>3389</v>
      </c>
      <c r="L1348" s="168">
        <v>0</v>
      </c>
      <c r="M1348" s="198">
        <f>Tabla1[[#This Row],[HRS EXT]]*Tabla1[[#This Row],[SUE X HR]]</f>
        <v>0</v>
      </c>
      <c r="N1348" s="168">
        <v>0</v>
      </c>
      <c r="O1348" s="198">
        <f>Tabla1[[#This Row],[ASUETO]]*Tabla1[[#This Row],[SUE DIA]]</f>
        <v>0</v>
      </c>
      <c r="P1348" s="139">
        <f>IF(Tabla1[[#This Row],[FECHA ING]]&lt;$P$1007,365,_xlfn.DAYS($P$1008,Tabla1[[#This Row],[FECHA ING]])+1)</f>
        <v>365</v>
      </c>
      <c r="Q1348" s="198">
        <f>INT(30*(Tabla1[[#This Row],[FECHAS CONTB AGNLDO]]/365))</f>
        <v>30</v>
      </c>
      <c r="R1348" s="244">
        <f ca="1">IF($W$32=$W$26,Tabla1[[#This Row],[SUE DIA]]*Tabla1[[#This Row],[DIAS PAG AGNLDO]],0)</f>
        <v>0</v>
      </c>
      <c r="S1348" s="244">
        <f ca="1">(_xlfn.DAYS(TODAY(),Tabla1[[#This Row],[FECHA ING]])/365)</f>
        <v>3.882191780821918</v>
      </c>
      <c r="T1348" s="244">
        <f ca="1">IF(Tabla1[[#This Row],[DIAS VAC]]&gt;1,Tabla1[[#This Row],[DIAS VAC]]-Tabla1[[#This Row],[ANTIG]],Tabla1[[#This Row],[DIAS VAC]])</f>
        <v>0.88219178082191796</v>
      </c>
      <c r="U1348" s="244">
        <f ca="1">Tabla1[[#This Row],[VALID ANTIG]]*Tabla1[[#This Row],[SUE DIA]]*Tabla1[[#This Row],[DIAS VAC PAG]]</f>
        <v>697.60785388127863</v>
      </c>
    </row>
    <row r="1349" spans="2:21" hidden="1" x14ac:dyDescent="0.25">
      <c r="B1349" s="246">
        <v>509</v>
      </c>
      <c r="C1349" s="140" t="str">
        <f>VLOOKUP(B1349,BDD[],2,0)</f>
        <v>Pamela Bibiano González</v>
      </c>
      <c r="D1349" s="140">
        <f>VLOOKUP(B1349,BDD[],3,0)</f>
        <v>6778</v>
      </c>
      <c r="E1349" s="140">
        <f>VLOOKUP(B1349,BDD[],4,0)</f>
        <v>225.93333333333334</v>
      </c>
      <c r="F1349" s="142">
        <f>VLOOKUP(B1349,BDD[],26,0)</f>
        <v>25.103703703703705</v>
      </c>
      <c r="G1349" s="268">
        <f>VLOOKUP(B1349,BDD[],6,0)</f>
        <v>43345</v>
      </c>
      <c r="H1349" s="139">
        <f ca="1">VLOOKUP(B1349,BDD[],7,0)</f>
        <v>3</v>
      </c>
      <c r="I1349" s="139">
        <f ca="1">VLOOKUP(B1349,BDD[],22,0)</f>
        <v>3.5</v>
      </c>
      <c r="J1349" s="168">
        <v>15</v>
      </c>
      <c r="K1349" s="139">
        <f>Tabla1[[#This Row],[DIAS LAB]]*Tabla1[[#This Row],[SUE DIA]]</f>
        <v>3389</v>
      </c>
      <c r="L1349" s="168">
        <v>0</v>
      </c>
      <c r="M1349" s="198">
        <f>Tabla1[[#This Row],[HRS EXT]]*Tabla1[[#This Row],[SUE X HR]]</f>
        <v>0</v>
      </c>
      <c r="N1349" s="168">
        <v>0</v>
      </c>
      <c r="O1349" s="198">
        <f>Tabla1[[#This Row],[ASUETO]]*Tabla1[[#This Row],[SUE DIA]]</f>
        <v>0</v>
      </c>
      <c r="P1349" s="139">
        <f>IF(Tabla1[[#This Row],[FECHA ING]]&lt;$P$1007,365,_xlfn.DAYS($P$1008,Tabla1[[#This Row],[FECHA ING]])+1)</f>
        <v>365</v>
      </c>
      <c r="Q1349" s="198">
        <f>INT(30*(Tabla1[[#This Row],[FECHAS CONTB AGNLDO]]/365))</f>
        <v>30</v>
      </c>
      <c r="R1349" s="244">
        <f ca="1">IF($W$32=$W$26,Tabla1[[#This Row],[SUE DIA]]*Tabla1[[#This Row],[DIAS PAG AGNLDO]],0)</f>
        <v>0</v>
      </c>
      <c r="S1349" s="244">
        <f ca="1">(_xlfn.DAYS(TODAY(),Tabla1[[#This Row],[FECHA ING]])/365)</f>
        <v>3.8767123287671232</v>
      </c>
      <c r="T1349" s="244">
        <f ca="1">IF(Tabla1[[#This Row],[DIAS VAC]]&gt;1,Tabla1[[#This Row],[DIAS VAC]]-Tabla1[[#This Row],[ANTIG]],Tabla1[[#This Row],[DIAS VAC]])</f>
        <v>0.87671232876712324</v>
      </c>
      <c r="U1349" s="244">
        <f ca="1">Tabla1[[#This Row],[VALID ANTIG]]*Tabla1[[#This Row],[SUE DIA]]*Tabla1[[#This Row],[DIAS VAC PAG]]</f>
        <v>693.27488584474884</v>
      </c>
    </row>
    <row r="1350" spans="2:21" hidden="1" x14ac:dyDescent="0.25">
      <c r="B1350" s="243">
        <v>510</v>
      </c>
      <c r="C1350" s="140" t="str">
        <f>VLOOKUP(B1350,BDD[],2,0)</f>
        <v>Eduardo Sebastian Escalante Gonzalez</v>
      </c>
      <c r="D1350" s="140">
        <f>VLOOKUP(B1350,BDD[],3,0)</f>
        <v>9450</v>
      </c>
      <c r="E1350" s="140">
        <f>VLOOKUP(B1350,BDD[],4,0)</f>
        <v>315</v>
      </c>
      <c r="F1350" s="142">
        <f>VLOOKUP(B1350,BDD[],26,0)</f>
        <v>35</v>
      </c>
      <c r="G1350" s="268">
        <f>VLOOKUP(B1350,BDD[],6,0)</f>
        <v>43356</v>
      </c>
      <c r="H1350" s="139">
        <f ca="1">VLOOKUP(B1350,BDD[],7,0)</f>
        <v>3</v>
      </c>
      <c r="I1350" s="139">
        <f ca="1">VLOOKUP(B1350,BDD[],22,0)</f>
        <v>7</v>
      </c>
      <c r="J1350" s="168">
        <v>15</v>
      </c>
      <c r="K1350" s="139">
        <f>Tabla1[[#This Row],[DIAS LAB]]*Tabla1[[#This Row],[SUE DIA]]</f>
        <v>4725</v>
      </c>
      <c r="L1350" s="168">
        <v>0</v>
      </c>
      <c r="M1350" s="198">
        <f>Tabla1[[#This Row],[HRS EXT]]*Tabla1[[#This Row],[SUE X HR]]</f>
        <v>0</v>
      </c>
      <c r="N1350" s="168">
        <v>0</v>
      </c>
      <c r="O1350" s="198">
        <f>Tabla1[[#This Row],[ASUETO]]*Tabla1[[#This Row],[SUE DIA]]</f>
        <v>0</v>
      </c>
      <c r="P1350" s="139">
        <f>IF(Tabla1[[#This Row],[FECHA ING]]&lt;$P$1007,365,_xlfn.DAYS($P$1008,Tabla1[[#This Row],[FECHA ING]])+1)</f>
        <v>365</v>
      </c>
      <c r="Q1350" s="198">
        <f>INT(30*(Tabla1[[#This Row],[FECHAS CONTB AGNLDO]]/365))</f>
        <v>30</v>
      </c>
      <c r="R1350" s="244">
        <f ca="1">IF($W$32=$W$26,Tabla1[[#This Row],[SUE DIA]]*Tabla1[[#This Row],[DIAS PAG AGNLDO]],0)</f>
        <v>0</v>
      </c>
      <c r="S1350" s="244">
        <f ca="1">(_xlfn.DAYS(TODAY(),Tabla1[[#This Row],[FECHA ING]])/365)</f>
        <v>3.8465753424657536</v>
      </c>
      <c r="T1350" s="244">
        <f ca="1">IF(Tabla1[[#This Row],[DIAS VAC]]&gt;1,Tabla1[[#This Row],[DIAS VAC]]-Tabla1[[#This Row],[ANTIG]],Tabla1[[#This Row],[DIAS VAC]])</f>
        <v>0.84657534246575361</v>
      </c>
      <c r="U1350" s="244">
        <f ca="1">Tabla1[[#This Row],[VALID ANTIG]]*Tabla1[[#This Row],[SUE DIA]]*Tabla1[[#This Row],[DIAS VAC PAG]]</f>
        <v>1866.6986301369868</v>
      </c>
    </row>
    <row r="1351" spans="2:21" hidden="1" x14ac:dyDescent="0.25">
      <c r="B1351" s="243">
        <v>511</v>
      </c>
      <c r="C1351" s="140" t="str">
        <f>VLOOKUP(B1351,BDD[],2,0)</f>
        <v>Ana Paula Rodríguez Hernández</v>
      </c>
      <c r="D1351" s="140">
        <f>VLOOKUP(B1351,BDD[],3,0)</f>
        <v>25800</v>
      </c>
      <c r="E1351" s="140">
        <f>VLOOKUP(B1351,BDD[],4,0)</f>
        <v>860</v>
      </c>
      <c r="F1351" s="142">
        <f>VLOOKUP(B1351,BDD[],26,0)</f>
        <v>95.555555555555557</v>
      </c>
      <c r="G1351" s="268">
        <f>VLOOKUP(B1351,BDD[],6,0)</f>
        <v>43357</v>
      </c>
      <c r="H1351" s="139">
        <f ca="1">VLOOKUP(B1351,BDD[],7,0)</f>
        <v>3</v>
      </c>
      <c r="I1351" s="139">
        <f ca="1">VLOOKUP(B1351,BDD[],22,0)</f>
        <v>7</v>
      </c>
      <c r="J1351" s="168">
        <v>15</v>
      </c>
      <c r="K1351" s="139">
        <f>Tabla1[[#This Row],[DIAS LAB]]*Tabla1[[#This Row],[SUE DIA]]</f>
        <v>12900</v>
      </c>
      <c r="L1351" s="168">
        <v>0</v>
      </c>
      <c r="M1351" s="198">
        <f>Tabla1[[#This Row],[HRS EXT]]*Tabla1[[#This Row],[SUE X HR]]</f>
        <v>0</v>
      </c>
      <c r="N1351" s="168">
        <v>0</v>
      </c>
      <c r="O1351" s="198">
        <f>Tabla1[[#This Row],[ASUETO]]*Tabla1[[#This Row],[SUE DIA]]</f>
        <v>0</v>
      </c>
      <c r="P1351" s="139">
        <f>IF(Tabla1[[#This Row],[FECHA ING]]&lt;$P$1007,365,_xlfn.DAYS($P$1008,Tabla1[[#This Row],[FECHA ING]])+1)</f>
        <v>365</v>
      </c>
      <c r="Q1351" s="198">
        <f>INT(30*(Tabla1[[#This Row],[FECHAS CONTB AGNLDO]]/365))</f>
        <v>30</v>
      </c>
      <c r="R1351" s="244">
        <f ca="1">IF($W$32=$W$26,Tabla1[[#This Row],[SUE DIA]]*Tabla1[[#This Row],[DIAS PAG AGNLDO]],0)</f>
        <v>0</v>
      </c>
      <c r="S1351" s="244">
        <f ca="1">(_xlfn.DAYS(TODAY(),Tabla1[[#This Row],[FECHA ING]])/365)</f>
        <v>3.8438356164383563</v>
      </c>
      <c r="T1351" s="244">
        <f ca="1">IF(Tabla1[[#This Row],[DIAS VAC]]&gt;1,Tabla1[[#This Row],[DIAS VAC]]-Tabla1[[#This Row],[ANTIG]],Tabla1[[#This Row],[DIAS VAC]])</f>
        <v>0.84383561643835625</v>
      </c>
      <c r="U1351" s="244">
        <f ca="1">Tabla1[[#This Row],[VALID ANTIG]]*Tabla1[[#This Row],[SUE DIA]]*Tabla1[[#This Row],[DIAS VAC PAG]]</f>
        <v>5079.8904109589048</v>
      </c>
    </row>
    <row r="1352" spans="2:21" hidden="1" x14ac:dyDescent="0.25">
      <c r="B1352" s="246">
        <v>513</v>
      </c>
      <c r="C1352" s="140" t="str">
        <f>VLOOKUP(B1352,BDD[],2,0)</f>
        <v>David Alejandro Cuevas Aguilar</v>
      </c>
      <c r="D1352" s="140">
        <f>VLOOKUP(B1352,BDD[],3,0)</f>
        <v>6778</v>
      </c>
      <c r="E1352" s="140">
        <f>VLOOKUP(B1352,BDD[],4,0)</f>
        <v>225.93333333333334</v>
      </c>
      <c r="F1352" s="142">
        <f>VLOOKUP(B1352,BDD[],26,0)</f>
        <v>25.103703703703705</v>
      </c>
      <c r="G1352" s="268">
        <f>VLOOKUP(B1352,BDD[],6,0)</f>
        <v>43366</v>
      </c>
      <c r="H1352" s="139">
        <f ca="1">VLOOKUP(B1352,BDD[],7,0)</f>
        <v>3</v>
      </c>
      <c r="I1352" s="139">
        <f ca="1">VLOOKUP(B1352,BDD[],22,0)</f>
        <v>3.5</v>
      </c>
      <c r="J1352" s="168">
        <v>15</v>
      </c>
      <c r="K1352" s="139">
        <f>Tabla1[[#This Row],[DIAS LAB]]*Tabla1[[#This Row],[SUE DIA]]</f>
        <v>3389</v>
      </c>
      <c r="L1352" s="168">
        <v>0</v>
      </c>
      <c r="M1352" s="198">
        <f>Tabla1[[#This Row],[HRS EXT]]*Tabla1[[#This Row],[SUE X HR]]</f>
        <v>0</v>
      </c>
      <c r="N1352" s="168">
        <v>0</v>
      </c>
      <c r="O1352" s="198">
        <f>Tabla1[[#This Row],[ASUETO]]*Tabla1[[#This Row],[SUE DIA]]</f>
        <v>0</v>
      </c>
      <c r="P1352" s="139">
        <f>IF(Tabla1[[#This Row],[FECHA ING]]&lt;$P$1007,365,_xlfn.DAYS($P$1008,Tabla1[[#This Row],[FECHA ING]])+1)</f>
        <v>365</v>
      </c>
      <c r="Q1352" s="198">
        <f>INT(30*(Tabla1[[#This Row],[FECHAS CONTB AGNLDO]]/365))</f>
        <v>30</v>
      </c>
      <c r="R1352" s="244">
        <f ca="1">IF($W$32=$W$26,Tabla1[[#This Row],[SUE DIA]]*Tabla1[[#This Row],[DIAS PAG AGNLDO]],0)</f>
        <v>0</v>
      </c>
      <c r="S1352" s="244">
        <f ca="1">(_xlfn.DAYS(TODAY(),Tabla1[[#This Row],[FECHA ING]])/365)</f>
        <v>3.8191780821917809</v>
      </c>
      <c r="T1352" s="244">
        <f ca="1">IF(Tabla1[[#This Row],[DIAS VAC]]&gt;1,Tabla1[[#This Row],[DIAS VAC]]-Tabla1[[#This Row],[ANTIG]],Tabla1[[#This Row],[DIAS VAC]])</f>
        <v>0.8191780821917809</v>
      </c>
      <c r="U1352" s="244">
        <f ca="1">Tabla1[[#This Row],[VALID ANTIG]]*Tabla1[[#This Row],[SUE DIA]]*Tabla1[[#This Row],[DIAS VAC PAG]]</f>
        <v>647.77872146118727</v>
      </c>
    </row>
    <row r="1353" spans="2:21" hidden="1" x14ac:dyDescent="0.25">
      <c r="B1353" s="243">
        <v>514</v>
      </c>
      <c r="C1353" s="140" t="str">
        <f>VLOOKUP(B1353,BDD[],2,0)</f>
        <v>Larry Zamora Avila</v>
      </c>
      <c r="D1353" s="140">
        <f>VLOOKUP(B1353,BDD[],3,0)</f>
        <v>9541</v>
      </c>
      <c r="E1353" s="140">
        <f>VLOOKUP(B1353,BDD[],4,0)</f>
        <v>318.03333333333336</v>
      </c>
      <c r="F1353" s="142">
        <f>VLOOKUP(B1353,BDD[],26,0)</f>
        <v>35.337037037037042</v>
      </c>
      <c r="G1353" s="268">
        <f>VLOOKUP(B1353,BDD[],6,0)</f>
        <v>43367</v>
      </c>
      <c r="H1353" s="139">
        <f ca="1">VLOOKUP(B1353,BDD[],7,0)</f>
        <v>3</v>
      </c>
      <c r="I1353" s="139">
        <f ca="1">VLOOKUP(B1353,BDD[],22,0)</f>
        <v>7</v>
      </c>
      <c r="J1353" s="168">
        <v>15</v>
      </c>
      <c r="K1353" s="139">
        <f>Tabla1[[#This Row],[DIAS LAB]]*Tabla1[[#This Row],[SUE DIA]]</f>
        <v>4770.5</v>
      </c>
      <c r="L1353" s="168">
        <v>0</v>
      </c>
      <c r="M1353" s="198">
        <f>Tabla1[[#This Row],[HRS EXT]]*Tabla1[[#This Row],[SUE X HR]]</f>
        <v>0</v>
      </c>
      <c r="N1353" s="168">
        <v>0</v>
      </c>
      <c r="O1353" s="198">
        <f>Tabla1[[#This Row],[ASUETO]]*Tabla1[[#This Row],[SUE DIA]]</f>
        <v>0</v>
      </c>
      <c r="P1353" s="139">
        <f>IF(Tabla1[[#This Row],[FECHA ING]]&lt;$P$1007,365,_xlfn.DAYS($P$1008,Tabla1[[#This Row],[FECHA ING]])+1)</f>
        <v>365</v>
      </c>
      <c r="Q1353" s="198">
        <f>INT(30*(Tabla1[[#This Row],[FECHAS CONTB AGNLDO]]/365))</f>
        <v>30</v>
      </c>
      <c r="R1353" s="244">
        <f ca="1">IF($W$32=$W$26,Tabla1[[#This Row],[SUE DIA]]*Tabla1[[#This Row],[DIAS PAG AGNLDO]],0)</f>
        <v>0</v>
      </c>
      <c r="S1353" s="244">
        <f ca="1">(_xlfn.DAYS(TODAY(),Tabla1[[#This Row],[FECHA ING]])/365)</f>
        <v>3.8164383561643835</v>
      </c>
      <c r="T1353" s="244">
        <f ca="1">IF(Tabla1[[#This Row],[DIAS VAC]]&gt;1,Tabla1[[#This Row],[DIAS VAC]]-Tabla1[[#This Row],[ANTIG]],Tabla1[[#This Row],[DIAS VAC]])</f>
        <v>0.81643835616438354</v>
      </c>
      <c r="U1353" s="244">
        <f ca="1">Tabla1[[#This Row],[VALID ANTIG]]*Tabla1[[#This Row],[SUE DIA]]*Tabla1[[#This Row],[DIAS VAC PAG]]</f>
        <v>1817.5822831050227</v>
      </c>
    </row>
    <row r="1354" spans="2:21" hidden="1" x14ac:dyDescent="0.25">
      <c r="B1354" s="243">
        <v>516</v>
      </c>
      <c r="C1354" s="140" t="str">
        <f>VLOOKUP(B1354,BDD[],2,0)</f>
        <v>Edgar Ismael Rodriguez Vela</v>
      </c>
      <c r="D1354" s="140">
        <f>VLOOKUP(B1354,BDD[],3,0)</f>
        <v>9450</v>
      </c>
      <c r="E1354" s="140">
        <f>VLOOKUP(B1354,BDD[],4,0)</f>
        <v>315</v>
      </c>
      <c r="F1354" s="142">
        <f>VLOOKUP(B1354,BDD[],26,0)</f>
        <v>35</v>
      </c>
      <c r="G1354" s="268">
        <f>VLOOKUP(B1354,BDD[],6,0)</f>
        <v>43374</v>
      </c>
      <c r="H1354" s="139">
        <f ca="1">VLOOKUP(B1354,BDD[],7,0)</f>
        <v>3</v>
      </c>
      <c r="I1354" s="139">
        <f ca="1">VLOOKUP(B1354,BDD[],22,0)</f>
        <v>7</v>
      </c>
      <c r="J1354" s="168">
        <v>15</v>
      </c>
      <c r="K1354" s="139">
        <f>Tabla1[[#This Row],[DIAS LAB]]*Tabla1[[#This Row],[SUE DIA]]</f>
        <v>4725</v>
      </c>
      <c r="L1354" s="168">
        <v>0</v>
      </c>
      <c r="M1354" s="198">
        <f>Tabla1[[#This Row],[HRS EXT]]*Tabla1[[#This Row],[SUE X HR]]</f>
        <v>0</v>
      </c>
      <c r="N1354" s="168">
        <v>0</v>
      </c>
      <c r="O1354" s="198">
        <f>Tabla1[[#This Row],[ASUETO]]*Tabla1[[#This Row],[SUE DIA]]</f>
        <v>0</v>
      </c>
      <c r="P1354" s="139">
        <f>IF(Tabla1[[#This Row],[FECHA ING]]&lt;$P$1007,365,_xlfn.DAYS($P$1008,Tabla1[[#This Row],[FECHA ING]])+1)</f>
        <v>365</v>
      </c>
      <c r="Q1354" s="198">
        <f>INT(30*(Tabla1[[#This Row],[FECHAS CONTB AGNLDO]]/365))</f>
        <v>30</v>
      </c>
      <c r="R1354" s="244">
        <f ca="1">IF($W$32=$W$26,Tabla1[[#This Row],[SUE DIA]]*Tabla1[[#This Row],[DIAS PAG AGNLDO]],0)</f>
        <v>0</v>
      </c>
      <c r="S1354" s="244">
        <f ca="1">(_xlfn.DAYS(TODAY(),Tabla1[[#This Row],[FECHA ING]])/365)</f>
        <v>3.7972602739726029</v>
      </c>
      <c r="T1354" s="244">
        <f ca="1">IF(Tabla1[[#This Row],[DIAS VAC]]&gt;1,Tabla1[[#This Row],[DIAS VAC]]-Tabla1[[#This Row],[ANTIG]],Tabla1[[#This Row],[DIAS VAC]])</f>
        <v>0.79726027397260291</v>
      </c>
      <c r="U1354" s="244">
        <f ca="1">Tabla1[[#This Row],[VALID ANTIG]]*Tabla1[[#This Row],[SUE DIA]]*Tabla1[[#This Row],[DIAS VAC PAG]]</f>
        <v>1757.9589041095894</v>
      </c>
    </row>
    <row r="1355" spans="2:21" hidden="1" x14ac:dyDescent="0.25">
      <c r="B1355" s="243">
        <v>517</v>
      </c>
      <c r="C1355" s="140" t="str">
        <f>VLOOKUP(B1355,BDD[],2,0)</f>
        <v>Daniel Gervacio Javier</v>
      </c>
      <c r="D1355" s="140">
        <f>VLOOKUP(B1355,BDD[],3,0)</f>
        <v>9541</v>
      </c>
      <c r="E1355" s="140">
        <f>VLOOKUP(B1355,BDD[],4,0)</f>
        <v>318.03333333333336</v>
      </c>
      <c r="F1355" s="142">
        <f>VLOOKUP(B1355,BDD[],26,0)</f>
        <v>35.337037037037042</v>
      </c>
      <c r="G1355" s="268">
        <f>VLOOKUP(B1355,BDD[],6,0)</f>
        <v>43375</v>
      </c>
      <c r="H1355" s="139">
        <f ca="1">VLOOKUP(B1355,BDD[],7,0)</f>
        <v>3</v>
      </c>
      <c r="I1355" s="139">
        <f ca="1">VLOOKUP(B1355,BDD[],22,0)</f>
        <v>7</v>
      </c>
      <c r="J1355" s="168">
        <v>15</v>
      </c>
      <c r="K1355" s="139">
        <f>Tabla1[[#This Row],[DIAS LAB]]*Tabla1[[#This Row],[SUE DIA]]</f>
        <v>4770.5</v>
      </c>
      <c r="L1355" s="168">
        <v>0</v>
      </c>
      <c r="M1355" s="198">
        <f>Tabla1[[#This Row],[HRS EXT]]*Tabla1[[#This Row],[SUE X HR]]</f>
        <v>0</v>
      </c>
      <c r="N1355" s="168">
        <v>0</v>
      </c>
      <c r="O1355" s="198">
        <f>Tabla1[[#This Row],[ASUETO]]*Tabla1[[#This Row],[SUE DIA]]</f>
        <v>0</v>
      </c>
      <c r="P1355" s="139">
        <f>IF(Tabla1[[#This Row],[FECHA ING]]&lt;$P$1007,365,_xlfn.DAYS($P$1008,Tabla1[[#This Row],[FECHA ING]])+1)</f>
        <v>365</v>
      </c>
      <c r="Q1355" s="198">
        <f>INT(30*(Tabla1[[#This Row],[FECHAS CONTB AGNLDO]]/365))</f>
        <v>30</v>
      </c>
      <c r="R1355" s="244">
        <f ca="1">IF($W$32=$W$26,Tabla1[[#This Row],[SUE DIA]]*Tabla1[[#This Row],[DIAS PAG AGNLDO]],0)</f>
        <v>0</v>
      </c>
      <c r="S1355" s="244">
        <f ca="1">(_xlfn.DAYS(TODAY(),Tabla1[[#This Row],[FECHA ING]])/365)</f>
        <v>3.7945205479452055</v>
      </c>
      <c r="T1355" s="244">
        <f ca="1">IF(Tabla1[[#This Row],[DIAS VAC]]&gt;1,Tabla1[[#This Row],[DIAS VAC]]-Tabla1[[#This Row],[ANTIG]],Tabla1[[#This Row],[DIAS VAC]])</f>
        <v>0.79452054794520555</v>
      </c>
      <c r="U1355" s="244">
        <f ca="1">Tabla1[[#This Row],[VALID ANTIG]]*Tabla1[[#This Row],[SUE DIA]]*Tabla1[[#This Row],[DIAS VAC PAG]]</f>
        <v>1768.7881278538816</v>
      </c>
    </row>
    <row r="1356" spans="2:21" hidden="1" x14ac:dyDescent="0.25">
      <c r="B1356" s="243">
        <v>518</v>
      </c>
      <c r="C1356" s="140" t="str">
        <f>VLOOKUP(B1356,BDD[],2,0)</f>
        <v>José Eduardo Torres Arevalo</v>
      </c>
      <c r="D1356" s="140">
        <f>VLOOKUP(B1356,BDD[],3,0)</f>
        <v>9541</v>
      </c>
      <c r="E1356" s="140">
        <f>VLOOKUP(B1356,BDD[],4,0)</f>
        <v>318.03333333333336</v>
      </c>
      <c r="F1356" s="142">
        <f>VLOOKUP(B1356,BDD[],26,0)</f>
        <v>35.337037037037042</v>
      </c>
      <c r="G1356" s="268">
        <f>VLOOKUP(B1356,BDD[],6,0)</f>
        <v>43377</v>
      </c>
      <c r="H1356" s="139">
        <f ca="1">VLOOKUP(B1356,BDD[],7,0)</f>
        <v>3</v>
      </c>
      <c r="I1356" s="139">
        <f ca="1">VLOOKUP(B1356,BDD[],22,0)</f>
        <v>7</v>
      </c>
      <c r="J1356" s="168">
        <v>15</v>
      </c>
      <c r="K1356" s="139">
        <f>Tabla1[[#This Row],[DIAS LAB]]*Tabla1[[#This Row],[SUE DIA]]</f>
        <v>4770.5</v>
      </c>
      <c r="L1356" s="168">
        <v>0</v>
      </c>
      <c r="M1356" s="198">
        <f>Tabla1[[#This Row],[HRS EXT]]*Tabla1[[#This Row],[SUE X HR]]</f>
        <v>0</v>
      </c>
      <c r="N1356" s="168">
        <v>0</v>
      </c>
      <c r="O1356" s="198">
        <f>Tabla1[[#This Row],[ASUETO]]*Tabla1[[#This Row],[SUE DIA]]</f>
        <v>0</v>
      </c>
      <c r="P1356" s="139">
        <f>IF(Tabla1[[#This Row],[FECHA ING]]&lt;$P$1007,365,_xlfn.DAYS($P$1008,Tabla1[[#This Row],[FECHA ING]])+1)</f>
        <v>365</v>
      </c>
      <c r="Q1356" s="198">
        <f>INT(30*(Tabla1[[#This Row],[FECHAS CONTB AGNLDO]]/365))</f>
        <v>30</v>
      </c>
      <c r="R1356" s="244">
        <f ca="1">IF($W$32=$W$26,Tabla1[[#This Row],[SUE DIA]]*Tabla1[[#This Row],[DIAS PAG AGNLDO]],0)</f>
        <v>0</v>
      </c>
      <c r="S1356" s="244">
        <f ca="1">(_xlfn.DAYS(TODAY(),Tabla1[[#This Row],[FECHA ING]])/365)</f>
        <v>3.7890410958904108</v>
      </c>
      <c r="T1356" s="244">
        <f ca="1">IF(Tabla1[[#This Row],[DIAS VAC]]&gt;1,Tabla1[[#This Row],[DIAS VAC]]-Tabla1[[#This Row],[ANTIG]],Tabla1[[#This Row],[DIAS VAC]])</f>
        <v>0.78904109589041083</v>
      </c>
      <c r="U1356" s="244">
        <f ca="1">Tabla1[[#This Row],[VALID ANTIG]]*Tabla1[[#This Row],[SUE DIA]]*Tabla1[[#This Row],[DIAS VAC PAG]]</f>
        <v>1756.5895890410957</v>
      </c>
    </row>
    <row r="1357" spans="2:21" hidden="1" x14ac:dyDescent="0.25">
      <c r="B1357" s="243">
        <v>519</v>
      </c>
      <c r="C1357" s="140" t="str">
        <f>VLOOKUP(B1357,BDD[],2,0)</f>
        <v>Janis Lorraine Sanchez García</v>
      </c>
      <c r="D1357" s="140">
        <f>VLOOKUP(B1357,BDD[],3,0)</f>
        <v>7445</v>
      </c>
      <c r="E1357" s="140">
        <f>VLOOKUP(B1357,BDD[],4,0)</f>
        <v>248.16666666666666</v>
      </c>
      <c r="F1357" s="142">
        <f>VLOOKUP(B1357,BDD[],26,0)</f>
        <v>27.574074074074073</v>
      </c>
      <c r="G1357" s="268">
        <f>VLOOKUP(B1357,BDD[],6,0)</f>
        <v>43378</v>
      </c>
      <c r="H1357" s="139">
        <f ca="1">VLOOKUP(B1357,BDD[],7,0)</f>
        <v>3</v>
      </c>
      <c r="I1357" s="139">
        <f ca="1">VLOOKUP(B1357,BDD[],22,0)</f>
        <v>7</v>
      </c>
      <c r="J1357" s="168">
        <v>15</v>
      </c>
      <c r="K1357" s="139">
        <f>Tabla1[[#This Row],[DIAS LAB]]*Tabla1[[#This Row],[SUE DIA]]</f>
        <v>3722.5</v>
      </c>
      <c r="L1357" s="168">
        <v>0</v>
      </c>
      <c r="M1357" s="198">
        <f>Tabla1[[#This Row],[HRS EXT]]*Tabla1[[#This Row],[SUE X HR]]</f>
        <v>0</v>
      </c>
      <c r="N1357" s="168">
        <v>0</v>
      </c>
      <c r="O1357" s="198">
        <f>Tabla1[[#This Row],[ASUETO]]*Tabla1[[#This Row],[SUE DIA]]</f>
        <v>0</v>
      </c>
      <c r="P1357" s="139">
        <f>IF(Tabla1[[#This Row],[FECHA ING]]&lt;$P$1007,365,_xlfn.DAYS($P$1008,Tabla1[[#This Row],[FECHA ING]])+1)</f>
        <v>365</v>
      </c>
      <c r="Q1357" s="198">
        <f>INT(30*(Tabla1[[#This Row],[FECHAS CONTB AGNLDO]]/365))</f>
        <v>30</v>
      </c>
      <c r="R1357" s="244">
        <f ca="1">IF($W$32=$W$26,Tabla1[[#This Row],[SUE DIA]]*Tabla1[[#This Row],[DIAS PAG AGNLDO]],0)</f>
        <v>0</v>
      </c>
      <c r="S1357" s="244">
        <f ca="1">(_xlfn.DAYS(TODAY(),Tabla1[[#This Row],[FECHA ING]])/365)</f>
        <v>3.7863013698630139</v>
      </c>
      <c r="T1357" s="244">
        <f ca="1">IF(Tabla1[[#This Row],[DIAS VAC]]&gt;1,Tabla1[[#This Row],[DIAS VAC]]-Tabla1[[#This Row],[ANTIG]],Tabla1[[#This Row],[DIAS VAC]])</f>
        <v>0.78630136986301391</v>
      </c>
      <c r="U1357" s="244">
        <f ca="1">Tabla1[[#This Row],[VALID ANTIG]]*Tabla1[[#This Row],[SUE DIA]]*Tabla1[[#This Row],[DIAS VAC PAG]]</f>
        <v>1365.9365296803655</v>
      </c>
    </row>
    <row r="1358" spans="2:21" hidden="1" x14ac:dyDescent="0.25">
      <c r="B1358" s="243">
        <v>520</v>
      </c>
      <c r="C1358" s="140" t="str">
        <f>VLOOKUP(B1358,BDD[],2,0)</f>
        <v>Alejandro Turner Aguilar</v>
      </c>
      <c r="D1358" s="140">
        <f>VLOOKUP(B1358,BDD[],3,0)</f>
        <v>7445</v>
      </c>
      <c r="E1358" s="140">
        <f>VLOOKUP(B1358,BDD[],4,0)</f>
        <v>248.16666666666666</v>
      </c>
      <c r="F1358" s="142">
        <f>VLOOKUP(B1358,BDD[],26,0)</f>
        <v>27.574074074074073</v>
      </c>
      <c r="G1358" s="268">
        <f>VLOOKUP(B1358,BDD[],6,0)</f>
        <v>43379</v>
      </c>
      <c r="H1358" s="139">
        <f ca="1">VLOOKUP(B1358,BDD[],7,0)</f>
        <v>3</v>
      </c>
      <c r="I1358" s="139">
        <f ca="1">VLOOKUP(B1358,BDD[],22,0)</f>
        <v>7</v>
      </c>
      <c r="J1358" s="168">
        <v>15</v>
      </c>
      <c r="K1358" s="139">
        <f>Tabla1[[#This Row],[DIAS LAB]]*Tabla1[[#This Row],[SUE DIA]]</f>
        <v>3722.5</v>
      </c>
      <c r="L1358" s="168">
        <v>0</v>
      </c>
      <c r="M1358" s="198">
        <f>Tabla1[[#This Row],[HRS EXT]]*Tabla1[[#This Row],[SUE X HR]]</f>
        <v>0</v>
      </c>
      <c r="N1358" s="168">
        <v>0</v>
      </c>
      <c r="O1358" s="198">
        <f>Tabla1[[#This Row],[ASUETO]]*Tabla1[[#This Row],[SUE DIA]]</f>
        <v>0</v>
      </c>
      <c r="P1358" s="139">
        <f>IF(Tabla1[[#This Row],[FECHA ING]]&lt;$P$1007,365,_xlfn.DAYS($P$1008,Tabla1[[#This Row],[FECHA ING]])+1)</f>
        <v>365</v>
      </c>
      <c r="Q1358" s="198">
        <f>INT(30*(Tabla1[[#This Row],[FECHAS CONTB AGNLDO]]/365))</f>
        <v>30</v>
      </c>
      <c r="R1358" s="244">
        <f ca="1">IF($W$32=$W$26,Tabla1[[#This Row],[SUE DIA]]*Tabla1[[#This Row],[DIAS PAG AGNLDO]],0)</f>
        <v>0</v>
      </c>
      <c r="S1358" s="244">
        <f ca="1">(_xlfn.DAYS(TODAY(),Tabla1[[#This Row],[FECHA ING]])/365)</f>
        <v>3.7835616438356166</v>
      </c>
      <c r="T1358" s="244">
        <f ca="1">IF(Tabla1[[#This Row],[DIAS VAC]]&gt;1,Tabla1[[#This Row],[DIAS VAC]]-Tabla1[[#This Row],[ANTIG]],Tabla1[[#This Row],[DIAS VAC]])</f>
        <v>0.78356164383561655</v>
      </c>
      <c r="U1358" s="244">
        <f ca="1">Tabla1[[#This Row],[VALID ANTIG]]*Tabla1[[#This Row],[SUE DIA]]*Tabla1[[#This Row],[DIAS VAC PAG]]</f>
        <v>1361.1771689497718</v>
      </c>
    </row>
    <row r="1359" spans="2:21" hidden="1" x14ac:dyDescent="0.25">
      <c r="B1359" s="243">
        <v>521</v>
      </c>
      <c r="C1359" s="140" t="str">
        <f>VLOOKUP(B1359,BDD[],2,0)</f>
        <v>Angélica Paredes Soriano</v>
      </c>
      <c r="D1359" s="140">
        <f>VLOOKUP(B1359,BDD[],3,0)</f>
        <v>17750</v>
      </c>
      <c r="E1359" s="140">
        <f>VLOOKUP(B1359,BDD[],4,0)</f>
        <v>591.66666666666663</v>
      </c>
      <c r="F1359" s="142">
        <f>VLOOKUP(B1359,BDD[],26,0)</f>
        <v>65.740740740740733</v>
      </c>
      <c r="G1359" s="268">
        <f>VLOOKUP(B1359,BDD[],6,0)</f>
        <v>43380</v>
      </c>
      <c r="H1359" s="139">
        <f ca="1">VLOOKUP(B1359,BDD[],7,0)</f>
        <v>3</v>
      </c>
      <c r="I1359" s="139">
        <f ca="1">VLOOKUP(B1359,BDD[],22,0)</f>
        <v>7</v>
      </c>
      <c r="J1359" s="168">
        <v>15</v>
      </c>
      <c r="K1359" s="139">
        <f>Tabla1[[#This Row],[DIAS LAB]]*Tabla1[[#This Row],[SUE DIA]]</f>
        <v>8875</v>
      </c>
      <c r="L1359" s="168">
        <v>0</v>
      </c>
      <c r="M1359" s="198">
        <f>Tabla1[[#This Row],[HRS EXT]]*Tabla1[[#This Row],[SUE X HR]]</f>
        <v>0</v>
      </c>
      <c r="N1359" s="168">
        <v>0</v>
      </c>
      <c r="O1359" s="198">
        <f>Tabla1[[#This Row],[ASUETO]]*Tabla1[[#This Row],[SUE DIA]]</f>
        <v>0</v>
      </c>
      <c r="P1359" s="139">
        <f>IF(Tabla1[[#This Row],[FECHA ING]]&lt;$P$1007,365,_xlfn.DAYS($P$1008,Tabla1[[#This Row],[FECHA ING]])+1)</f>
        <v>365</v>
      </c>
      <c r="Q1359" s="198">
        <f>INT(30*(Tabla1[[#This Row],[FECHAS CONTB AGNLDO]]/365))</f>
        <v>30</v>
      </c>
      <c r="R1359" s="244">
        <f ca="1">IF($W$32=$W$26,Tabla1[[#This Row],[SUE DIA]]*Tabla1[[#This Row],[DIAS PAG AGNLDO]],0)</f>
        <v>0</v>
      </c>
      <c r="S1359" s="244">
        <f ca="1">(_xlfn.DAYS(TODAY(),Tabla1[[#This Row],[FECHA ING]])/365)</f>
        <v>3.7808219178082192</v>
      </c>
      <c r="T1359" s="244">
        <f ca="1">IF(Tabla1[[#This Row],[DIAS VAC]]&gt;1,Tabla1[[#This Row],[DIAS VAC]]-Tabla1[[#This Row],[ANTIG]],Tabla1[[#This Row],[DIAS VAC]])</f>
        <v>0.78082191780821919</v>
      </c>
      <c r="U1359" s="244">
        <f ca="1">Tabla1[[#This Row],[VALID ANTIG]]*Tabla1[[#This Row],[SUE DIA]]*Tabla1[[#This Row],[DIAS VAC PAG]]</f>
        <v>3233.9041095890407</v>
      </c>
    </row>
    <row r="1360" spans="2:21" hidden="1" x14ac:dyDescent="0.25">
      <c r="B1360" s="246">
        <v>522</v>
      </c>
      <c r="C1360" s="140" t="str">
        <f>VLOOKUP(B1360,BDD[],2,0)</f>
        <v>Roxana Bello López</v>
      </c>
      <c r="D1360" s="140">
        <f>VLOOKUP(B1360,BDD[],3,0)</f>
        <v>6778</v>
      </c>
      <c r="E1360" s="140">
        <f>VLOOKUP(B1360,BDD[],4,0)</f>
        <v>225.93333333333334</v>
      </c>
      <c r="F1360" s="142">
        <f>VLOOKUP(B1360,BDD[],26,0)</f>
        <v>25.103703703703705</v>
      </c>
      <c r="G1360" s="268">
        <f>VLOOKUP(B1360,BDD[],6,0)</f>
        <v>43403</v>
      </c>
      <c r="H1360" s="139">
        <f ca="1">VLOOKUP(B1360,BDD[],7,0)</f>
        <v>3</v>
      </c>
      <c r="I1360" s="139">
        <f ca="1">VLOOKUP(B1360,BDD[],22,0)</f>
        <v>3.5</v>
      </c>
      <c r="J1360" s="168">
        <v>15</v>
      </c>
      <c r="K1360" s="139">
        <f>Tabla1[[#This Row],[DIAS LAB]]*Tabla1[[#This Row],[SUE DIA]]</f>
        <v>3389</v>
      </c>
      <c r="L1360" s="168">
        <v>0</v>
      </c>
      <c r="M1360" s="198">
        <f>Tabla1[[#This Row],[HRS EXT]]*Tabla1[[#This Row],[SUE X HR]]</f>
        <v>0</v>
      </c>
      <c r="N1360" s="168">
        <v>0</v>
      </c>
      <c r="O1360" s="198">
        <f>Tabla1[[#This Row],[ASUETO]]*Tabla1[[#This Row],[SUE DIA]]</f>
        <v>0</v>
      </c>
      <c r="P1360" s="139">
        <f>IF(Tabla1[[#This Row],[FECHA ING]]&lt;$P$1007,365,_xlfn.DAYS($P$1008,Tabla1[[#This Row],[FECHA ING]])+1)</f>
        <v>365</v>
      </c>
      <c r="Q1360" s="198">
        <f>INT(30*(Tabla1[[#This Row],[FECHAS CONTB AGNLDO]]/365))</f>
        <v>30</v>
      </c>
      <c r="R1360" s="244">
        <f ca="1">IF($W$32=$W$26,Tabla1[[#This Row],[SUE DIA]]*Tabla1[[#This Row],[DIAS PAG AGNLDO]],0)</f>
        <v>0</v>
      </c>
      <c r="S1360" s="244">
        <f ca="1">(_xlfn.DAYS(TODAY(),Tabla1[[#This Row],[FECHA ING]])/365)</f>
        <v>3.7178082191780821</v>
      </c>
      <c r="T1360" s="244">
        <f ca="1">IF(Tabla1[[#This Row],[DIAS VAC]]&gt;1,Tabla1[[#This Row],[DIAS VAC]]-Tabla1[[#This Row],[ANTIG]],Tabla1[[#This Row],[DIAS VAC]])</f>
        <v>0.71780821917808213</v>
      </c>
      <c r="U1360" s="244">
        <f ca="1">Tabla1[[#This Row],[VALID ANTIG]]*Tabla1[[#This Row],[SUE DIA]]*Tabla1[[#This Row],[DIAS VAC PAG]]</f>
        <v>567.61881278538817</v>
      </c>
    </row>
    <row r="1361" spans="2:21" hidden="1" x14ac:dyDescent="0.25">
      <c r="B1361" s="243">
        <v>523</v>
      </c>
      <c r="C1361" s="140" t="str">
        <f>VLOOKUP(B1361,BDD[],2,0)</f>
        <v>Celestino Ceron Velazquez</v>
      </c>
      <c r="D1361" s="140">
        <f>VLOOKUP(B1361,BDD[],3,0)</f>
        <v>7445</v>
      </c>
      <c r="E1361" s="140">
        <f>VLOOKUP(B1361,BDD[],4,0)</f>
        <v>248.16666666666666</v>
      </c>
      <c r="F1361" s="142">
        <f>VLOOKUP(B1361,BDD[],26,0)</f>
        <v>27.574074074074073</v>
      </c>
      <c r="G1361" s="268">
        <f>VLOOKUP(B1361,BDD[],6,0)</f>
        <v>43410</v>
      </c>
      <c r="H1361" s="139">
        <f ca="1">VLOOKUP(B1361,BDD[],7,0)</f>
        <v>3</v>
      </c>
      <c r="I1361" s="139">
        <f ca="1">VLOOKUP(B1361,BDD[],22,0)</f>
        <v>7</v>
      </c>
      <c r="J1361" s="168">
        <v>15</v>
      </c>
      <c r="K1361" s="139">
        <f>Tabla1[[#This Row],[DIAS LAB]]*Tabla1[[#This Row],[SUE DIA]]</f>
        <v>3722.5</v>
      </c>
      <c r="L1361" s="168">
        <v>0</v>
      </c>
      <c r="M1361" s="198">
        <f>Tabla1[[#This Row],[HRS EXT]]*Tabla1[[#This Row],[SUE X HR]]</f>
        <v>0</v>
      </c>
      <c r="N1361" s="168">
        <v>0</v>
      </c>
      <c r="O1361" s="198">
        <f>Tabla1[[#This Row],[ASUETO]]*Tabla1[[#This Row],[SUE DIA]]</f>
        <v>0</v>
      </c>
      <c r="P1361" s="139">
        <f>IF(Tabla1[[#This Row],[FECHA ING]]&lt;$P$1007,365,_xlfn.DAYS($P$1008,Tabla1[[#This Row],[FECHA ING]])+1)</f>
        <v>365</v>
      </c>
      <c r="Q1361" s="198">
        <f>INT(30*(Tabla1[[#This Row],[FECHAS CONTB AGNLDO]]/365))</f>
        <v>30</v>
      </c>
      <c r="R1361" s="244">
        <f ca="1">IF($W$32=$W$26,Tabla1[[#This Row],[SUE DIA]]*Tabla1[[#This Row],[DIAS PAG AGNLDO]],0)</f>
        <v>0</v>
      </c>
      <c r="S1361" s="244">
        <f ca="1">(_xlfn.DAYS(TODAY(),Tabla1[[#This Row],[FECHA ING]])/365)</f>
        <v>3.6986301369863015</v>
      </c>
      <c r="T1361" s="244">
        <f ca="1">IF(Tabla1[[#This Row],[DIAS VAC]]&gt;1,Tabla1[[#This Row],[DIAS VAC]]-Tabla1[[#This Row],[ANTIG]],Tabla1[[#This Row],[DIAS VAC]])</f>
        <v>0.6986301369863015</v>
      </c>
      <c r="U1361" s="244">
        <f ca="1">Tabla1[[#This Row],[VALID ANTIG]]*Tabla1[[#This Row],[SUE DIA]]*Tabla1[[#This Row],[DIAS VAC PAG]]</f>
        <v>1213.6369863013701</v>
      </c>
    </row>
    <row r="1362" spans="2:21" hidden="1" x14ac:dyDescent="0.25">
      <c r="B1362" s="243">
        <v>524</v>
      </c>
      <c r="C1362" s="140" t="str">
        <f>VLOOKUP(B1362,BDD[],2,0)</f>
        <v>Victoria Edith Godínez Vélez</v>
      </c>
      <c r="D1362" s="140">
        <f>VLOOKUP(B1362,BDD[],3,0)</f>
        <v>10860</v>
      </c>
      <c r="E1362" s="140">
        <f>VLOOKUP(B1362,BDD[],4,0)</f>
        <v>362</v>
      </c>
      <c r="F1362" s="142">
        <f>VLOOKUP(B1362,BDD[],26,0)</f>
        <v>40.222222222222221</v>
      </c>
      <c r="G1362" s="268">
        <f>VLOOKUP(B1362,BDD[],6,0)</f>
        <v>43429</v>
      </c>
      <c r="H1362" s="139">
        <f ca="1">VLOOKUP(B1362,BDD[],7,0)</f>
        <v>3</v>
      </c>
      <c r="I1362" s="139">
        <f ca="1">VLOOKUP(B1362,BDD[],22,0)</f>
        <v>7</v>
      </c>
      <c r="J1362" s="168">
        <v>15</v>
      </c>
      <c r="K1362" s="139">
        <f>Tabla1[[#This Row],[DIAS LAB]]*Tabla1[[#This Row],[SUE DIA]]</f>
        <v>5430</v>
      </c>
      <c r="L1362" s="168">
        <v>0</v>
      </c>
      <c r="M1362" s="198">
        <f>Tabla1[[#This Row],[HRS EXT]]*Tabla1[[#This Row],[SUE X HR]]</f>
        <v>0</v>
      </c>
      <c r="N1362" s="168">
        <v>0</v>
      </c>
      <c r="O1362" s="198">
        <f>Tabla1[[#This Row],[ASUETO]]*Tabla1[[#This Row],[SUE DIA]]</f>
        <v>0</v>
      </c>
      <c r="P1362" s="139">
        <f>IF(Tabla1[[#This Row],[FECHA ING]]&lt;$P$1007,365,_xlfn.DAYS($P$1008,Tabla1[[#This Row],[FECHA ING]])+1)</f>
        <v>365</v>
      </c>
      <c r="Q1362" s="198">
        <f>INT(30*(Tabla1[[#This Row],[FECHAS CONTB AGNLDO]]/365))</f>
        <v>30</v>
      </c>
      <c r="R1362" s="244">
        <f ca="1">IF($W$32=$W$26,Tabla1[[#This Row],[SUE DIA]]*Tabla1[[#This Row],[DIAS PAG AGNLDO]],0)</f>
        <v>0</v>
      </c>
      <c r="S1362" s="244">
        <f ca="1">(_xlfn.DAYS(TODAY(),Tabla1[[#This Row],[FECHA ING]])/365)</f>
        <v>3.6465753424657534</v>
      </c>
      <c r="T1362" s="244">
        <f ca="1">IF(Tabla1[[#This Row],[DIAS VAC]]&gt;1,Tabla1[[#This Row],[DIAS VAC]]-Tabla1[[#This Row],[ANTIG]],Tabla1[[#This Row],[DIAS VAC]])</f>
        <v>0.64657534246575343</v>
      </c>
      <c r="U1362" s="244">
        <f ca="1">Tabla1[[#This Row],[VALID ANTIG]]*Tabla1[[#This Row],[SUE DIA]]*Tabla1[[#This Row],[DIAS VAC PAG]]</f>
        <v>1638.4219178082192</v>
      </c>
    </row>
    <row r="1363" spans="2:21" hidden="1" x14ac:dyDescent="0.25">
      <c r="B1363" s="243">
        <v>525</v>
      </c>
      <c r="C1363" s="140" t="str">
        <f>VLOOKUP(B1363,BDD[],2,0)</f>
        <v>Gregoria Diaz Ramirez</v>
      </c>
      <c r="D1363" s="140">
        <f>VLOOKUP(B1363,BDD[],3,0)</f>
        <v>10860</v>
      </c>
      <c r="E1363" s="140">
        <f>VLOOKUP(B1363,BDD[],4,0)</f>
        <v>362</v>
      </c>
      <c r="F1363" s="142">
        <f>VLOOKUP(B1363,BDD[],26,0)</f>
        <v>40.222222222222221</v>
      </c>
      <c r="G1363" s="268">
        <f>VLOOKUP(B1363,BDD[],6,0)</f>
        <v>43436</v>
      </c>
      <c r="H1363" s="139">
        <f ca="1">VLOOKUP(B1363,BDD[],7,0)</f>
        <v>3</v>
      </c>
      <c r="I1363" s="139">
        <f ca="1">VLOOKUP(B1363,BDD[],22,0)</f>
        <v>7</v>
      </c>
      <c r="J1363" s="168">
        <v>15</v>
      </c>
      <c r="K1363" s="139">
        <f>Tabla1[[#This Row],[DIAS LAB]]*Tabla1[[#This Row],[SUE DIA]]</f>
        <v>5430</v>
      </c>
      <c r="L1363" s="168">
        <v>0</v>
      </c>
      <c r="M1363" s="198">
        <f>Tabla1[[#This Row],[HRS EXT]]*Tabla1[[#This Row],[SUE X HR]]</f>
        <v>0</v>
      </c>
      <c r="N1363" s="168">
        <v>0</v>
      </c>
      <c r="O1363" s="198">
        <f>Tabla1[[#This Row],[ASUETO]]*Tabla1[[#This Row],[SUE DIA]]</f>
        <v>0</v>
      </c>
      <c r="P1363" s="139">
        <f>IF(Tabla1[[#This Row],[FECHA ING]]&lt;$P$1007,365,_xlfn.DAYS($P$1008,Tabla1[[#This Row],[FECHA ING]])+1)</f>
        <v>365</v>
      </c>
      <c r="Q1363" s="198">
        <f>INT(30*(Tabla1[[#This Row],[FECHAS CONTB AGNLDO]]/365))</f>
        <v>30</v>
      </c>
      <c r="R1363" s="244">
        <f ca="1">IF($W$32=$W$26,Tabla1[[#This Row],[SUE DIA]]*Tabla1[[#This Row],[DIAS PAG AGNLDO]],0)</f>
        <v>0</v>
      </c>
      <c r="S1363" s="244">
        <f ca="1">(_xlfn.DAYS(TODAY(),Tabla1[[#This Row],[FECHA ING]])/365)</f>
        <v>3.6273972602739728</v>
      </c>
      <c r="T1363" s="244">
        <f ca="1">IF(Tabla1[[#This Row],[DIAS VAC]]&gt;1,Tabla1[[#This Row],[DIAS VAC]]-Tabla1[[#This Row],[ANTIG]],Tabla1[[#This Row],[DIAS VAC]])</f>
        <v>0.6273972602739728</v>
      </c>
      <c r="U1363" s="244">
        <f ca="1">Tabla1[[#This Row],[VALID ANTIG]]*Tabla1[[#This Row],[SUE DIA]]*Tabla1[[#This Row],[DIAS VAC PAG]]</f>
        <v>1589.8246575342471</v>
      </c>
    </row>
    <row r="1364" spans="2:21" hidden="1" x14ac:dyDescent="0.25">
      <c r="B1364" s="243">
        <v>526</v>
      </c>
      <c r="C1364" s="140" t="str">
        <f>VLOOKUP(B1364,BDD[],2,0)</f>
        <v>Citlaly Yoryeth Segundo Martinez</v>
      </c>
      <c r="D1364" s="140">
        <f>VLOOKUP(B1364,BDD[],3,0)</f>
        <v>27150</v>
      </c>
      <c r="E1364" s="140">
        <f>VLOOKUP(B1364,BDD[],4,0)</f>
        <v>905</v>
      </c>
      <c r="F1364" s="142">
        <f>VLOOKUP(B1364,BDD[],26,0)</f>
        <v>100.55555555555556</v>
      </c>
      <c r="G1364" s="268">
        <f>VLOOKUP(B1364,BDD[],6,0)</f>
        <v>43438</v>
      </c>
      <c r="H1364" s="139">
        <f ca="1">VLOOKUP(B1364,BDD[],7,0)</f>
        <v>3</v>
      </c>
      <c r="I1364" s="139">
        <f ca="1">VLOOKUP(B1364,BDD[],22,0)</f>
        <v>7</v>
      </c>
      <c r="J1364" s="168">
        <v>15</v>
      </c>
      <c r="K1364" s="139">
        <f>Tabla1[[#This Row],[DIAS LAB]]*Tabla1[[#This Row],[SUE DIA]]</f>
        <v>13575</v>
      </c>
      <c r="L1364" s="168">
        <v>0</v>
      </c>
      <c r="M1364" s="198">
        <f>Tabla1[[#This Row],[HRS EXT]]*Tabla1[[#This Row],[SUE X HR]]</f>
        <v>0</v>
      </c>
      <c r="N1364" s="168">
        <v>0</v>
      </c>
      <c r="O1364" s="198">
        <f>Tabla1[[#This Row],[ASUETO]]*Tabla1[[#This Row],[SUE DIA]]</f>
        <v>0</v>
      </c>
      <c r="P1364" s="139">
        <f>IF(Tabla1[[#This Row],[FECHA ING]]&lt;$P$1007,365,_xlfn.DAYS($P$1008,Tabla1[[#This Row],[FECHA ING]])+1)</f>
        <v>365</v>
      </c>
      <c r="Q1364" s="198">
        <f>INT(30*(Tabla1[[#This Row],[FECHAS CONTB AGNLDO]]/365))</f>
        <v>30</v>
      </c>
      <c r="R1364" s="244">
        <f ca="1">IF($W$32=$W$26,Tabla1[[#This Row],[SUE DIA]]*Tabla1[[#This Row],[DIAS PAG AGNLDO]],0)</f>
        <v>0</v>
      </c>
      <c r="S1364" s="244">
        <f ca="1">(_xlfn.DAYS(TODAY(),Tabla1[[#This Row],[FECHA ING]])/365)</f>
        <v>3.6219178082191781</v>
      </c>
      <c r="T1364" s="244">
        <f ca="1">IF(Tabla1[[#This Row],[DIAS VAC]]&gt;1,Tabla1[[#This Row],[DIAS VAC]]-Tabla1[[#This Row],[ANTIG]],Tabla1[[#This Row],[DIAS VAC]])</f>
        <v>0.62191780821917808</v>
      </c>
      <c r="U1364" s="244">
        <f ca="1">Tabla1[[#This Row],[VALID ANTIG]]*Tabla1[[#This Row],[SUE DIA]]*Tabla1[[#This Row],[DIAS VAC PAG]]</f>
        <v>3939.8493150684931</v>
      </c>
    </row>
    <row r="1365" spans="2:21" hidden="1" x14ac:dyDescent="0.25">
      <c r="B1365" s="243">
        <v>527</v>
      </c>
      <c r="C1365" s="140" t="str">
        <f>VLOOKUP(B1365,BDD[],2,0)</f>
        <v>Reyna Esthela Collazo Mariscal</v>
      </c>
      <c r="D1365" s="140">
        <f>VLOOKUP(B1365,BDD[],3,0)</f>
        <v>7950</v>
      </c>
      <c r="E1365" s="140">
        <f>VLOOKUP(B1365,BDD[],4,0)</f>
        <v>265</v>
      </c>
      <c r="F1365" s="142">
        <f>VLOOKUP(B1365,BDD[],26,0)</f>
        <v>29.444444444444443</v>
      </c>
      <c r="G1365" s="268">
        <f>VLOOKUP(B1365,BDD[],6,0)</f>
        <v>43440</v>
      </c>
      <c r="H1365" s="139">
        <f ca="1">VLOOKUP(B1365,BDD[],7,0)</f>
        <v>3</v>
      </c>
      <c r="I1365" s="139">
        <f ca="1">VLOOKUP(B1365,BDD[],22,0)</f>
        <v>7</v>
      </c>
      <c r="J1365" s="168">
        <v>15</v>
      </c>
      <c r="K1365" s="139">
        <f>Tabla1[[#This Row],[DIAS LAB]]*Tabla1[[#This Row],[SUE DIA]]</f>
        <v>3975</v>
      </c>
      <c r="L1365" s="168">
        <v>0</v>
      </c>
      <c r="M1365" s="198">
        <f>Tabla1[[#This Row],[HRS EXT]]*Tabla1[[#This Row],[SUE X HR]]</f>
        <v>0</v>
      </c>
      <c r="N1365" s="168">
        <v>0</v>
      </c>
      <c r="O1365" s="198">
        <f>Tabla1[[#This Row],[ASUETO]]*Tabla1[[#This Row],[SUE DIA]]</f>
        <v>0</v>
      </c>
      <c r="P1365" s="139">
        <f>IF(Tabla1[[#This Row],[FECHA ING]]&lt;$P$1007,365,_xlfn.DAYS($P$1008,Tabla1[[#This Row],[FECHA ING]])+1)</f>
        <v>365</v>
      </c>
      <c r="Q1365" s="198">
        <f>INT(30*(Tabla1[[#This Row],[FECHAS CONTB AGNLDO]]/365))</f>
        <v>30</v>
      </c>
      <c r="R1365" s="244">
        <f ca="1">IF($W$32=$W$26,Tabla1[[#This Row],[SUE DIA]]*Tabla1[[#This Row],[DIAS PAG AGNLDO]],0)</f>
        <v>0</v>
      </c>
      <c r="S1365" s="244">
        <f ca="1">(_xlfn.DAYS(TODAY(),Tabla1[[#This Row],[FECHA ING]])/365)</f>
        <v>3.6164383561643834</v>
      </c>
      <c r="T1365" s="244">
        <f ca="1">IF(Tabla1[[#This Row],[DIAS VAC]]&gt;1,Tabla1[[#This Row],[DIAS VAC]]-Tabla1[[#This Row],[ANTIG]],Tabla1[[#This Row],[DIAS VAC]])</f>
        <v>0.61643835616438336</v>
      </c>
      <c r="U1365" s="244">
        <f ca="1">Tabla1[[#This Row],[VALID ANTIG]]*Tabla1[[#This Row],[SUE DIA]]*Tabla1[[#This Row],[DIAS VAC PAG]]</f>
        <v>1143.4931506849312</v>
      </c>
    </row>
    <row r="1366" spans="2:21" hidden="1" x14ac:dyDescent="0.25">
      <c r="B1366" s="243">
        <v>528</v>
      </c>
      <c r="C1366" s="140" t="str">
        <f>VLOOKUP(B1366,BDD[],2,0)</f>
        <v>Laura Abril Serna Olea</v>
      </c>
      <c r="D1366" s="140">
        <f>VLOOKUP(B1366,BDD[],3,0)</f>
        <v>9541</v>
      </c>
      <c r="E1366" s="140">
        <f>VLOOKUP(B1366,BDD[],4,0)</f>
        <v>318.03333333333336</v>
      </c>
      <c r="F1366" s="142">
        <f>VLOOKUP(B1366,BDD[],26,0)</f>
        <v>35.337037037037042</v>
      </c>
      <c r="G1366" s="268">
        <f>VLOOKUP(B1366,BDD[],6,0)</f>
        <v>43448</v>
      </c>
      <c r="H1366" s="139">
        <f ca="1">VLOOKUP(B1366,BDD[],7,0)</f>
        <v>3</v>
      </c>
      <c r="I1366" s="139">
        <f ca="1">VLOOKUP(B1366,BDD[],22,0)</f>
        <v>7</v>
      </c>
      <c r="J1366" s="168">
        <v>15</v>
      </c>
      <c r="K1366" s="139">
        <f>Tabla1[[#This Row],[DIAS LAB]]*Tabla1[[#This Row],[SUE DIA]]</f>
        <v>4770.5</v>
      </c>
      <c r="L1366" s="168">
        <v>0</v>
      </c>
      <c r="M1366" s="198">
        <f>Tabla1[[#This Row],[HRS EXT]]*Tabla1[[#This Row],[SUE X HR]]</f>
        <v>0</v>
      </c>
      <c r="N1366" s="168">
        <v>0</v>
      </c>
      <c r="O1366" s="198">
        <f>Tabla1[[#This Row],[ASUETO]]*Tabla1[[#This Row],[SUE DIA]]</f>
        <v>0</v>
      </c>
      <c r="P1366" s="139">
        <f>IF(Tabla1[[#This Row],[FECHA ING]]&lt;$P$1007,365,_xlfn.DAYS($P$1008,Tabla1[[#This Row],[FECHA ING]])+1)</f>
        <v>365</v>
      </c>
      <c r="Q1366" s="198">
        <f>INT(30*(Tabla1[[#This Row],[FECHAS CONTB AGNLDO]]/365))</f>
        <v>30</v>
      </c>
      <c r="R1366" s="244">
        <f ca="1">IF($W$32=$W$26,Tabla1[[#This Row],[SUE DIA]]*Tabla1[[#This Row],[DIAS PAG AGNLDO]],0)</f>
        <v>0</v>
      </c>
      <c r="S1366" s="244">
        <f ca="1">(_xlfn.DAYS(TODAY(),Tabla1[[#This Row],[FECHA ING]])/365)</f>
        <v>3.5945205479452054</v>
      </c>
      <c r="T1366" s="244">
        <f ca="1">IF(Tabla1[[#This Row],[DIAS VAC]]&gt;1,Tabla1[[#This Row],[DIAS VAC]]-Tabla1[[#This Row],[ANTIG]],Tabla1[[#This Row],[DIAS VAC]])</f>
        <v>0.59452054794520537</v>
      </c>
      <c r="U1366" s="244">
        <f ca="1">Tabla1[[#This Row],[VALID ANTIG]]*Tabla1[[#This Row],[SUE DIA]]*Tabla1[[#This Row],[DIAS VAC PAG]]</f>
        <v>1323.5414611872145</v>
      </c>
    </row>
    <row r="1367" spans="2:21" hidden="1" x14ac:dyDescent="0.25">
      <c r="B1367" s="243">
        <v>529</v>
      </c>
      <c r="C1367" s="140" t="str">
        <f>VLOOKUP(B1367,BDD[],2,0)</f>
        <v>Fatima Guadalupe Castillo Martinez</v>
      </c>
      <c r="D1367" s="140">
        <f>VLOOKUP(B1367,BDD[],3,0)</f>
        <v>6778</v>
      </c>
      <c r="E1367" s="140">
        <f>VLOOKUP(B1367,BDD[],4,0)</f>
        <v>225.93333333333334</v>
      </c>
      <c r="F1367" s="142">
        <f>VLOOKUP(B1367,BDD[],26,0)</f>
        <v>25.103703703703705</v>
      </c>
      <c r="G1367" s="268">
        <f>VLOOKUP(B1367,BDD[],6,0)</f>
        <v>43450</v>
      </c>
      <c r="H1367" s="139">
        <f ca="1">VLOOKUP(B1367,BDD[],7,0)</f>
        <v>3</v>
      </c>
      <c r="I1367" s="139">
        <f ca="1">VLOOKUP(B1367,BDD[],22,0)</f>
        <v>3.5</v>
      </c>
      <c r="J1367" s="168">
        <v>15</v>
      </c>
      <c r="K1367" s="139">
        <f>Tabla1[[#This Row],[DIAS LAB]]*Tabla1[[#This Row],[SUE DIA]]</f>
        <v>3389</v>
      </c>
      <c r="L1367" s="168">
        <v>0</v>
      </c>
      <c r="M1367" s="198">
        <f>Tabla1[[#This Row],[HRS EXT]]*Tabla1[[#This Row],[SUE X HR]]</f>
        <v>0</v>
      </c>
      <c r="N1367" s="168">
        <v>0</v>
      </c>
      <c r="O1367" s="198">
        <f>Tabla1[[#This Row],[ASUETO]]*Tabla1[[#This Row],[SUE DIA]]</f>
        <v>0</v>
      </c>
      <c r="P1367" s="139">
        <f>IF(Tabla1[[#This Row],[FECHA ING]]&lt;$P$1007,365,_xlfn.DAYS($P$1008,Tabla1[[#This Row],[FECHA ING]])+1)</f>
        <v>365</v>
      </c>
      <c r="Q1367" s="198">
        <f>INT(30*(Tabla1[[#This Row],[FECHAS CONTB AGNLDO]]/365))</f>
        <v>30</v>
      </c>
      <c r="R1367" s="244">
        <f ca="1">IF($W$32=$W$26,Tabla1[[#This Row],[SUE DIA]]*Tabla1[[#This Row],[DIAS PAG AGNLDO]],0)</f>
        <v>0</v>
      </c>
      <c r="S1367" s="244">
        <f ca="1">(_xlfn.DAYS(TODAY(),Tabla1[[#This Row],[FECHA ING]])/365)</f>
        <v>3.5890410958904111</v>
      </c>
      <c r="T1367" s="244">
        <f ca="1">IF(Tabla1[[#This Row],[DIAS VAC]]&gt;1,Tabla1[[#This Row],[DIAS VAC]]-Tabla1[[#This Row],[ANTIG]],Tabla1[[#This Row],[DIAS VAC]])</f>
        <v>0.58904109589041109</v>
      </c>
      <c r="U1367" s="244">
        <f ca="1">Tabla1[[#This Row],[VALID ANTIG]]*Tabla1[[#This Row],[SUE DIA]]*Tabla1[[#This Row],[DIAS VAC PAG]]</f>
        <v>465.79406392694074</v>
      </c>
    </row>
    <row r="1368" spans="2:21" hidden="1" x14ac:dyDescent="0.25">
      <c r="B1368" s="243">
        <v>530</v>
      </c>
      <c r="C1368" s="140" t="str">
        <f>VLOOKUP(B1368,BDD[],2,0)</f>
        <v>Nataly Guadalupe Zúñiga Cecilio</v>
      </c>
      <c r="D1368" s="140">
        <f>VLOOKUP(B1368,BDD[],3,0)</f>
        <v>27150</v>
      </c>
      <c r="E1368" s="140">
        <f>VLOOKUP(B1368,BDD[],4,0)</f>
        <v>905</v>
      </c>
      <c r="F1368" s="142">
        <f>VLOOKUP(B1368,BDD[],26,0)</f>
        <v>100.55555555555556</v>
      </c>
      <c r="G1368" s="268">
        <f>VLOOKUP(B1368,BDD[],6,0)</f>
        <v>43452</v>
      </c>
      <c r="H1368" s="139">
        <f ca="1">VLOOKUP(B1368,BDD[],7,0)</f>
        <v>3</v>
      </c>
      <c r="I1368" s="139">
        <f ca="1">VLOOKUP(B1368,BDD[],22,0)</f>
        <v>7</v>
      </c>
      <c r="J1368" s="168">
        <v>15</v>
      </c>
      <c r="K1368" s="139">
        <f>Tabla1[[#This Row],[DIAS LAB]]*Tabla1[[#This Row],[SUE DIA]]</f>
        <v>13575</v>
      </c>
      <c r="L1368" s="168">
        <v>0</v>
      </c>
      <c r="M1368" s="198">
        <f>Tabla1[[#This Row],[HRS EXT]]*Tabla1[[#This Row],[SUE X HR]]</f>
        <v>0</v>
      </c>
      <c r="N1368" s="168">
        <v>0</v>
      </c>
      <c r="O1368" s="198">
        <f>Tabla1[[#This Row],[ASUETO]]*Tabla1[[#This Row],[SUE DIA]]</f>
        <v>0</v>
      </c>
      <c r="P1368" s="139">
        <f>IF(Tabla1[[#This Row],[FECHA ING]]&lt;$P$1007,365,_xlfn.DAYS($P$1008,Tabla1[[#This Row],[FECHA ING]])+1)</f>
        <v>365</v>
      </c>
      <c r="Q1368" s="198">
        <f>INT(30*(Tabla1[[#This Row],[FECHAS CONTB AGNLDO]]/365))</f>
        <v>30</v>
      </c>
      <c r="R1368" s="244">
        <f ca="1">IF($W$32=$W$26,Tabla1[[#This Row],[SUE DIA]]*Tabla1[[#This Row],[DIAS PAG AGNLDO]],0)</f>
        <v>0</v>
      </c>
      <c r="S1368" s="244">
        <f ca="1">(_xlfn.DAYS(TODAY(),Tabla1[[#This Row],[FECHA ING]])/365)</f>
        <v>3.5835616438356164</v>
      </c>
      <c r="T1368" s="244">
        <f ca="1">IF(Tabla1[[#This Row],[DIAS VAC]]&gt;1,Tabla1[[#This Row],[DIAS VAC]]-Tabla1[[#This Row],[ANTIG]],Tabla1[[#This Row],[DIAS VAC]])</f>
        <v>0.58356164383561637</v>
      </c>
      <c r="U1368" s="244">
        <f ca="1">Tabla1[[#This Row],[VALID ANTIG]]*Tabla1[[#This Row],[SUE DIA]]*Tabla1[[#This Row],[DIAS VAC PAG]]</f>
        <v>3696.8630136986294</v>
      </c>
    </row>
    <row r="1369" spans="2:21" hidden="1" x14ac:dyDescent="0.25">
      <c r="B1369" s="243">
        <v>531</v>
      </c>
      <c r="C1369" s="140" t="str">
        <f>VLOOKUP(B1369,BDD[],2,0)</f>
        <v>Lorena Cortez Gaspar</v>
      </c>
      <c r="D1369" s="140">
        <f>VLOOKUP(B1369,BDD[],3,0)</f>
        <v>7445</v>
      </c>
      <c r="E1369" s="140">
        <f>VLOOKUP(B1369,BDD[],4,0)</f>
        <v>248.16666666666666</v>
      </c>
      <c r="F1369" s="142">
        <f>VLOOKUP(B1369,BDD[],26,0)</f>
        <v>27.574074074074073</v>
      </c>
      <c r="G1369" s="268">
        <f>VLOOKUP(B1369,BDD[],6,0)</f>
        <v>43463</v>
      </c>
      <c r="H1369" s="139">
        <f ca="1">VLOOKUP(B1369,BDD[],7,0)</f>
        <v>3</v>
      </c>
      <c r="I1369" s="139">
        <f ca="1">VLOOKUP(B1369,BDD[],22,0)</f>
        <v>7</v>
      </c>
      <c r="J1369" s="168">
        <v>15</v>
      </c>
      <c r="K1369" s="139">
        <f>Tabla1[[#This Row],[DIAS LAB]]*Tabla1[[#This Row],[SUE DIA]]</f>
        <v>3722.5</v>
      </c>
      <c r="L1369" s="168">
        <v>0</v>
      </c>
      <c r="M1369" s="198">
        <f>Tabla1[[#This Row],[HRS EXT]]*Tabla1[[#This Row],[SUE X HR]]</f>
        <v>0</v>
      </c>
      <c r="N1369" s="168">
        <v>0</v>
      </c>
      <c r="O1369" s="198">
        <f>Tabla1[[#This Row],[ASUETO]]*Tabla1[[#This Row],[SUE DIA]]</f>
        <v>0</v>
      </c>
      <c r="P1369" s="139">
        <f>IF(Tabla1[[#This Row],[FECHA ING]]&lt;$P$1007,365,_xlfn.DAYS($P$1008,Tabla1[[#This Row],[FECHA ING]])+1)</f>
        <v>365</v>
      </c>
      <c r="Q1369" s="198">
        <f>INT(30*(Tabla1[[#This Row],[FECHAS CONTB AGNLDO]]/365))</f>
        <v>30</v>
      </c>
      <c r="R1369" s="244">
        <f ca="1">IF($W$32=$W$26,Tabla1[[#This Row],[SUE DIA]]*Tabla1[[#This Row],[DIAS PAG AGNLDO]],0)</f>
        <v>0</v>
      </c>
      <c r="S1369" s="244">
        <f ca="1">(_xlfn.DAYS(TODAY(),Tabla1[[#This Row],[FECHA ING]])/365)</f>
        <v>3.5534246575342467</v>
      </c>
      <c r="T1369" s="244">
        <f ca="1">IF(Tabla1[[#This Row],[DIAS VAC]]&gt;1,Tabla1[[#This Row],[DIAS VAC]]-Tabla1[[#This Row],[ANTIG]],Tabla1[[#This Row],[DIAS VAC]])</f>
        <v>0.55342465753424674</v>
      </c>
      <c r="U1369" s="244">
        <f ca="1">Tabla1[[#This Row],[VALID ANTIG]]*Tabla1[[#This Row],[SUE DIA]]*Tabla1[[#This Row],[DIAS VAC PAG]]</f>
        <v>961.3908675799089</v>
      </c>
    </row>
    <row r="1370" spans="2:21" hidden="1" x14ac:dyDescent="0.25">
      <c r="B1370" s="243">
        <v>532</v>
      </c>
      <c r="C1370" s="140" t="str">
        <f>VLOOKUP(B1370,BDD[],2,0)</f>
        <v>Teresa Cruz Hurtado</v>
      </c>
      <c r="D1370" s="140">
        <f>VLOOKUP(B1370,BDD[],3,0)</f>
        <v>9541</v>
      </c>
      <c r="E1370" s="140">
        <f>VLOOKUP(B1370,BDD[],4,0)</f>
        <v>318.03333333333336</v>
      </c>
      <c r="F1370" s="142">
        <f>VLOOKUP(B1370,BDD[],26,0)</f>
        <v>35.337037037037042</v>
      </c>
      <c r="G1370" s="268">
        <f>VLOOKUP(B1370,BDD[],6,0)</f>
        <v>43468</v>
      </c>
      <c r="H1370" s="139">
        <f ca="1">VLOOKUP(B1370,BDD[],7,0)</f>
        <v>3</v>
      </c>
      <c r="I1370" s="139">
        <f ca="1">VLOOKUP(B1370,BDD[],22,0)</f>
        <v>7</v>
      </c>
      <c r="J1370" s="168">
        <v>15</v>
      </c>
      <c r="K1370" s="139">
        <f>Tabla1[[#This Row],[DIAS LAB]]*Tabla1[[#This Row],[SUE DIA]]</f>
        <v>4770.5</v>
      </c>
      <c r="L1370" s="168">
        <v>0</v>
      </c>
      <c r="M1370" s="198">
        <f>Tabla1[[#This Row],[HRS EXT]]*Tabla1[[#This Row],[SUE X HR]]</f>
        <v>0</v>
      </c>
      <c r="N1370" s="168">
        <v>0</v>
      </c>
      <c r="O1370" s="198">
        <f>Tabla1[[#This Row],[ASUETO]]*Tabla1[[#This Row],[SUE DIA]]</f>
        <v>0</v>
      </c>
      <c r="P1370" s="139">
        <f>IF(Tabla1[[#This Row],[FECHA ING]]&lt;$P$1007,365,_xlfn.DAYS($P$1008,Tabla1[[#This Row],[FECHA ING]])+1)</f>
        <v>365</v>
      </c>
      <c r="Q1370" s="198">
        <f>INT(30*(Tabla1[[#This Row],[FECHAS CONTB AGNLDO]]/365))</f>
        <v>30</v>
      </c>
      <c r="R1370" s="244">
        <f ca="1">IF($W$32=$W$26,Tabla1[[#This Row],[SUE DIA]]*Tabla1[[#This Row],[DIAS PAG AGNLDO]],0)</f>
        <v>0</v>
      </c>
      <c r="S1370" s="244">
        <f ca="1">(_xlfn.DAYS(TODAY(),Tabla1[[#This Row],[FECHA ING]])/365)</f>
        <v>3.5397260273972604</v>
      </c>
      <c r="T1370" s="244">
        <f ca="1">IF(Tabla1[[#This Row],[DIAS VAC]]&gt;1,Tabla1[[#This Row],[DIAS VAC]]-Tabla1[[#This Row],[ANTIG]],Tabla1[[#This Row],[DIAS VAC]])</f>
        <v>0.53972602739726039</v>
      </c>
      <c r="U1370" s="244">
        <f ca="1">Tabla1[[#This Row],[VALID ANTIG]]*Tabla1[[#This Row],[SUE DIA]]*Tabla1[[#This Row],[DIAS VAC PAG]]</f>
        <v>1201.5560730593611</v>
      </c>
    </row>
    <row r="1371" spans="2:21" hidden="1" x14ac:dyDescent="0.25">
      <c r="B1371" s="243">
        <v>533</v>
      </c>
      <c r="C1371" s="140" t="str">
        <f>VLOOKUP(B1371,BDD[],2,0)</f>
        <v>Edgar Omar Aleman Lopez</v>
      </c>
      <c r="D1371" s="140">
        <f>VLOOKUP(B1371,BDD[],3,0)</f>
        <v>9541</v>
      </c>
      <c r="E1371" s="140">
        <f>VLOOKUP(B1371,BDD[],4,0)</f>
        <v>318.03333333333336</v>
      </c>
      <c r="F1371" s="142">
        <f>VLOOKUP(B1371,BDD[],26,0)</f>
        <v>35.337037037037042</v>
      </c>
      <c r="G1371" s="268">
        <f>VLOOKUP(B1371,BDD[],6,0)</f>
        <v>43482</v>
      </c>
      <c r="H1371" s="139">
        <f ca="1">VLOOKUP(B1371,BDD[],7,0)</f>
        <v>3</v>
      </c>
      <c r="I1371" s="139">
        <f ca="1">VLOOKUP(B1371,BDD[],22,0)</f>
        <v>7</v>
      </c>
      <c r="J1371" s="168">
        <v>15</v>
      </c>
      <c r="K1371" s="139">
        <f>Tabla1[[#This Row],[DIAS LAB]]*Tabla1[[#This Row],[SUE DIA]]</f>
        <v>4770.5</v>
      </c>
      <c r="L1371" s="168">
        <v>0</v>
      </c>
      <c r="M1371" s="198">
        <f>Tabla1[[#This Row],[HRS EXT]]*Tabla1[[#This Row],[SUE X HR]]</f>
        <v>0</v>
      </c>
      <c r="N1371" s="168">
        <v>0</v>
      </c>
      <c r="O1371" s="198">
        <f>Tabla1[[#This Row],[ASUETO]]*Tabla1[[#This Row],[SUE DIA]]</f>
        <v>0</v>
      </c>
      <c r="P1371" s="139">
        <f>IF(Tabla1[[#This Row],[FECHA ING]]&lt;$P$1007,365,_xlfn.DAYS($P$1008,Tabla1[[#This Row],[FECHA ING]])+1)</f>
        <v>365</v>
      </c>
      <c r="Q1371" s="198">
        <f>INT(30*(Tabla1[[#This Row],[FECHAS CONTB AGNLDO]]/365))</f>
        <v>30</v>
      </c>
      <c r="R1371" s="244">
        <f ca="1">IF($W$32=$W$26,Tabla1[[#This Row],[SUE DIA]]*Tabla1[[#This Row],[DIAS PAG AGNLDO]],0)</f>
        <v>0</v>
      </c>
      <c r="S1371" s="244">
        <f ca="1">(_xlfn.DAYS(TODAY(),Tabla1[[#This Row],[FECHA ING]])/365)</f>
        <v>3.5013698630136987</v>
      </c>
      <c r="T1371" s="244">
        <f ca="1">IF(Tabla1[[#This Row],[DIAS VAC]]&gt;1,Tabla1[[#This Row],[DIAS VAC]]-Tabla1[[#This Row],[ANTIG]],Tabla1[[#This Row],[DIAS VAC]])</f>
        <v>0.50136986301369868</v>
      </c>
      <c r="U1371" s="244">
        <f ca="1">Tabla1[[#This Row],[VALID ANTIG]]*Tabla1[[#This Row],[SUE DIA]]*Tabla1[[#This Row],[DIAS VAC PAG]]</f>
        <v>1116.166301369863</v>
      </c>
    </row>
    <row r="1372" spans="2:21" hidden="1" x14ac:dyDescent="0.25">
      <c r="B1372" s="243">
        <v>535</v>
      </c>
      <c r="C1372" s="140" t="str">
        <f>VLOOKUP(B1372,BDD[],2,0)</f>
        <v>Heber Espinoza Tadeo</v>
      </c>
      <c r="D1372" s="140">
        <f>VLOOKUP(B1372,BDD[],3,0)</f>
        <v>9541</v>
      </c>
      <c r="E1372" s="140">
        <f>VLOOKUP(B1372,BDD[],4,0)</f>
        <v>318.03333333333336</v>
      </c>
      <c r="F1372" s="142">
        <f>VLOOKUP(B1372,BDD[],26,0)</f>
        <v>35.337037037037042</v>
      </c>
      <c r="G1372" s="268">
        <f>VLOOKUP(B1372,BDD[],6,0)</f>
        <v>43484</v>
      </c>
      <c r="H1372" s="139">
        <f ca="1">VLOOKUP(B1372,BDD[],7,0)</f>
        <v>3</v>
      </c>
      <c r="I1372" s="139">
        <f ca="1">VLOOKUP(B1372,BDD[],22,0)</f>
        <v>7</v>
      </c>
      <c r="J1372" s="168">
        <v>15</v>
      </c>
      <c r="K1372" s="139">
        <f>Tabla1[[#This Row],[DIAS LAB]]*Tabla1[[#This Row],[SUE DIA]]</f>
        <v>4770.5</v>
      </c>
      <c r="L1372" s="168">
        <v>0</v>
      </c>
      <c r="M1372" s="198">
        <f>Tabla1[[#This Row],[HRS EXT]]*Tabla1[[#This Row],[SUE X HR]]</f>
        <v>0</v>
      </c>
      <c r="N1372" s="168">
        <v>0</v>
      </c>
      <c r="O1372" s="198">
        <f>Tabla1[[#This Row],[ASUETO]]*Tabla1[[#This Row],[SUE DIA]]</f>
        <v>0</v>
      </c>
      <c r="P1372" s="139">
        <f>IF(Tabla1[[#This Row],[FECHA ING]]&lt;$P$1007,365,_xlfn.DAYS($P$1008,Tabla1[[#This Row],[FECHA ING]])+1)</f>
        <v>365</v>
      </c>
      <c r="Q1372" s="198">
        <f>INT(30*(Tabla1[[#This Row],[FECHAS CONTB AGNLDO]]/365))</f>
        <v>30</v>
      </c>
      <c r="R1372" s="244">
        <f ca="1">IF($W$32=$W$26,Tabla1[[#This Row],[SUE DIA]]*Tabla1[[#This Row],[DIAS PAG AGNLDO]],0)</f>
        <v>0</v>
      </c>
      <c r="S1372" s="244">
        <f ca="1">(_xlfn.DAYS(TODAY(),Tabla1[[#This Row],[FECHA ING]])/365)</f>
        <v>3.495890410958904</v>
      </c>
      <c r="T1372" s="244">
        <f ca="1">IF(Tabla1[[#This Row],[DIAS VAC]]&gt;1,Tabla1[[#This Row],[DIAS VAC]]-Tabla1[[#This Row],[ANTIG]],Tabla1[[#This Row],[DIAS VAC]])</f>
        <v>0.49589041095890396</v>
      </c>
      <c r="U1372" s="244">
        <f ca="1">Tabla1[[#This Row],[VALID ANTIG]]*Tabla1[[#This Row],[SUE DIA]]*Tabla1[[#This Row],[DIAS VAC PAG]]</f>
        <v>1103.9677625570775</v>
      </c>
    </row>
    <row r="1373" spans="2:21" hidden="1" x14ac:dyDescent="0.25">
      <c r="B1373" s="243">
        <v>536</v>
      </c>
      <c r="C1373" s="140" t="str">
        <f>VLOOKUP(B1373,BDD[],2,0)</f>
        <v>Imelda Rafaela Mendoza</v>
      </c>
      <c r="D1373" s="140">
        <f>VLOOKUP(B1373,BDD[],3,0)</f>
        <v>7445</v>
      </c>
      <c r="E1373" s="140">
        <f>VLOOKUP(B1373,BDD[],4,0)</f>
        <v>248.16666666666666</v>
      </c>
      <c r="F1373" s="142">
        <f>VLOOKUP(B1373,BDD[],26,0)</f>
        <v>27.574074074074073</v>
      </c>
      <c r="G1373" s="268">
        <f>VLOOKUP(B1373,BDD[],6,0)</f>
        <v>43485</v>
      </c>
      <c r="H1373" s="139">
        <f ca="1">VLOOKUP(B1373,BDD[],7,0)</f>
        <v>3</v>
      </c>
      <c r="I1373" s="139">
        <f ca="1">VLOOKUP(B1373,BDD[],22,0)</f>
        <v>7</v>
      </c>
      <c r="J1373" s="168">
        <v>15</v>
      </c>
      <c r="K1373" s="139">
        <f>Tabla1[[#This Row],[DIAS LAB]]*Tabla1[[#This Row],[SUE DIA]]</f>
        <v>3722.5</v>
      </c>
      <c r="L1373" s="168">
        <v>0</v>
      </c>
      <c r="M1373" s="198">
        <f>Tabla1[[#This Row],[HRS EXT]]*Tabla1[[#This Row],[SUE X HR]]</f>
        <v>0</v>
      </c>
      <c r="N1373" s="168">
        <v>0</v>
      </c>
      <c r="O1373" s="198">
        <f>Tabla1[[#This Row],[ASUETO]]*Tabla1[[#This Row],[SUE DIA]]</f>
        <v>0</v>
      </c>
      <c r="P1373" s="139">
        <f>IF(Tabla1[[#This Row],[FECHA ING]]&lt;$P$1007,365,_xlfn.DAYS($P$1008,Tabla1[[#This Row],[FECHA ING]])+1)</f>
        <v>365</v>
      </c>
      <c r="Q1373" s="198">
        <f>INT(30*(Tabla1[[#This Row],[FECHAS CONTB AGNLDO]]/365))</f>
        <v>30</v>
      </c>
      <c r="R1373" s="244">
        <f ca="1">IF($W$32=$W$26,Tabla1[[#This Row],[SUE DIA]]*Tabla1[[#This Row],[DIAS PAG AGNLDO]],0)</f>
        <v>0</v>
      </c>
      <c r="S1373" s="244">
        <f ca="1">(_xlfn.DAYS(TODAY(),Tabla1[[#This Row],[FECHA ING]])/365)</f>
        <v>3.493150684931507</v>
      </c>
      <c r="T1373" s="244">
        <f ca="1">IF(Tabla1[[#This Row],[DIAS VAC]]&gt;1,Tabla1[[#This Row],[DIAS VAC]]-Tabla1[[#This Row],[ANTIG]],Tabla1[[#This Row],[DIAS VAC]])</f>
        <v>0.49315068493150704</v>
      </c>
      <c r="U1373" s="244">
        <f ca="1">Tabla1[[#This Row],[VALID ANTIG]]*Tabla1[[#This Row],[SUE DIA]]*Tabla1[[#This Row],[DIAS VAC PAG]]</f>
        <v>856.68493150684958</v>
      </c>
    </row>
    <row r="1374" spans="2:21" hidden="1" x14ac:dyDescent="0.25">
      <c r="B1374" s="243">
        <v>537</v>
      </c>
      <c r="C1374" s="140" t="str">
        <f>VLOOKUP(B1374,BDD[],2,0)</f>
        <v>Kenia Priscila Ruiz García</v>
      </c>
      <c r="D1374" s="140">
        <f>VLOOKUP(B1374,BDD[],3,0)</f>
        <v>9450</v>
      </c>
      <c r="E1374" s="140">
        <f>VLOOKUP(B1374,BDD[],4,0)</f>
        <v>315</v>
      </c>
      <c r="F1374" s="142">
        <f>VLOOKUP(B1374,BDD[],26,0)</f>
        <v>35</v>
      </c>
      <c r="G1374" s="268">
        <f>VLOOKUP(B1374,BDD[],6,0)</f>
        <v>43485</v>
      </c>
      <c r="H1374" s="139">
        <f ca="1">VLOOKUP(B1374,BDD[],7,0)</f>
        <v>3</v>
      </c>
      <c r="I1374" s="139">
        <f ca="1">VLOOKUP(B1374,BDD[],22,0)</f>
        <v>7</v>
      </c>
      <c r="J1374" s="168">
        <v>15</v>
      </c>
      <c r="K1374" s="139">
        <f>Tabla1[[#This Row],[DIAS LAB]]*Tabla1[[#This Row],[SUE DIA]]</f>
        <v>4725</v>
      </c>
      <c r="L1374" s="168">
        <v>0</v>
      </c>
      <c r="M1374" s="198">
        <f>Tabla1[[#This Row],[HRS EXT]]*Tabla1[[#This Row],[SUE X HR]]</f>
        <v>0</v>
      </c>
      <c r="N1374" s="168">
        <v>0</v>
      </c>
      <c r="O1374" s="198">
        <f>Tabla1[[#This Row],[ASUETO]]*Tabla1[[#This Row],[SUE DIA]]</f>
        <v>0</v>
      </c>
      <c r="P1374" s="139">
        <f>IF(Tabla1[[#This Row],[FECHA ING]]&lt;$P$1007,365,_xlfn.DAYS($P$1008,Tabla1[[#This Row],[FECHA ING]])+1)</f>
        <v>365</v>
      </c>
      <c r="Q1374" s="198">
        <f>INT(30*(Tabla1[[#This Row],[FECHAS CONTB AGNLDO]]/365))</f>
        <v>30</v>
      </c>
      <c r="R1374" s="244">
        <f ca="1">IF($W$32=$W$26,Tabla1[[#This Row],[SUE DIA]]*Tabla1[[#This Row],[DIAS PAG AGNLDO]],0)</f>
        <v>0</v>
      </c>
      <c r="S1374" s="244">
        <f ca="1">(_xlfn.DAYS(TODAY(),Tabla1[[#This Row],[FECHA ING]])/365)</f>
        <v>3.493150684931507</v>
      </c>
      <c r="T1374" s="244">
        <f ca="1">IF(Tabla1[[#This Row],[DIAS VAC]]&gt;1,Tabla1[[#This Row],[DIAS VAC]]-Tabla1[[#This Row],[ANTIG]],Tabla1[[#This Row],[DIAS VAC]])</f>
        <v>0.49315068493150704</v>
      </c>
      <c r="U1374" s="244">
        <f ca="1">Tabla1[[#This Row],[VALID ANTIG]]*Tabla1[[#This Row],[SUE DIA]]*Tabla1[[#This Row],[DIAS VAC PAG]]</f>
        <v>1087.3972602739732</v>
      </c>
    </row>
    <row r="1375" spans="2:21" hidden="1" x14ac:dyDescent="0.25">
      <c r="B1375" s="243">
        <v>538</v>
      </c>
      <c r="C1375" s="140" t="str">
        <f>VLOOKUP(B1375,BDD[],2,0)</f>
        <v>Luis Omar Murillo Moreno</v>
      </c>
      <c r="D1375" s="140">
        <f>VLOOKUP(B1375,BDD[],3,0)</f>
        <v>10350</v>
      </c>
      <c r="E1375" s="140">
        <f>VLOOKUP(B1375,BDD[],4,0)</f>
        <v>345</v>
      </c>
      <c r="F1375" s="142">
        <f>VLOOKUP(B1375,BDD[],26,0)</f>
        <v>38.333333333333336</v>
      </c>
      <c r="G1375" s="268">
        <f>VLOOKUP(B1375,BDD[],6,0)</f>
        <v>43492</v>
      </c>
      <c r="H1375" s="139">
        <f ca="1">VLOOKUP(B1375,BDD[],7,0)</f>
        <v>3</v>
      </c>
      <c r="I1375" s="139">
        <f ca="1">VLOOKUP(B1375,BDD[],22,0)</f>
        <v>7</v>
      </c>
      <c r="J1375" s="168">
        <v>15</v>
      </c>
      <c r="K1375" s="139">
        <f>Tabla1[[#This Row],[DIAS LAB]]*Tabla1[[#This Row],[SUE DIA]]</f>
        <v>5175</v>
      </c>
      <c r="L1375" s="168">
        <v>0</v>
      </c>
      <c r="M1375" s="198">
        <f>Tabla1[[#This Row],[HRS EXT]]*Tabla1[[#This Row],[SUE X HR]]</f>
        <v>0</v>
      </c>
      <c r="N1375" s="168">
        <v>0</v>
      </c>
      <c r="O1375" s="198">
        <f>Tabla1[[#This Row],[ASUETO]]*Tabla1[[#This Row],[SUE DIA]]</f>
        <v>0</v>
      </c>
      <c r="P1375" s="139">
        <f>IF(Tabla1[[#This Row],[FECHA ING]]&lt;$P$1007,365,_xlfn.DAYS($P$1008,Tabla1[[#This Row],[FECHA ING]])+1)</f>
        <v>365</v>
      </c>
      <c r="Q1375" s="198">
        <f>INT(30*(Tabla1[[#This Row],[FECHAS CONTB AGNLDO]]/365))</f>
        <v>30</v>
      </c>
      <c r="R1375" s="244">
        <f ca="1">IF($W$32=$W$26,Tabla1[[#This Row],[SUE DIA]]*Tabla1[[#This Row],[DIAS PAG AGNLDO]],0)</f>
        <v>0</v>
      </c>
      <c r="S1375" s="244">
        <f ca="1">(_xlfn.DAYS(TODAY(),Tabla1[[#This Row],[FECHA ING]])/365)</f>
        <v>3.473972602739726</v>
      </c>
      <c r="T1375" s="244">
        <f ca="1">IF(Tabla1[[#This Row],[DIAS VAC]]&gt;1,Tabla1[[#This Row],[DIAS VAC]]-Tabla1[[#This Row],[ANTIG]],Tabla1[[#This Row],[DIAS VAC]])</f>
        <v>0.47397260273972597</v>
      </c>
      <c r="U1375" s="244">
        <f ca="1">Tabla1[[#This Row],[VALID ANTIG]]*Tabla1[[#This Row],[SUE DIA]]*Tabla1[[#This Row],[DIAS VAC PAG]]</f>
        <v>1144.6438356164383</v>
      </c>
    </row>
    <row r="1376" spans="2:21" hidden="1" x14ac:dyDescent="0.25">
      <c r="B1376" s="243">
        <v>541</v>
      </c>
      <c r="C1376" s="140" t="str">
        <f>VLOOKUP(B1376,BDD[],2,0)</f>
        <v>Joséfina Javier Miranda</v>
      </c>
      <c r="D1376" s="140">
        <f>VLOOKUP(B1376,BDD[],3,0)</f>
        <v>6778</v>
      </c>
      <c r="E1376" s="140">
        <f>VLOOKUP(B1376,BDD[],4,0)</f>
        <v>225.93333333333334</v>
      </c>
      <c r="F1376" s="142">
        <f>VLOOKUP(B1376,BDD[],26,0)</f>
        <v>25.103703703703705</v>
      </c>
      <c r="G1376" s="268">
        <f>VLOOKUP(B1376,BDD[],6,0)</f>
        <v>43497</v>
      </c>
      <c r="H1376" s="139">
        <f ca="1">VLOOKUP(B1376,BDD[],7,0)</f>
        <v>3</v>
      </c>
      <c r="I1376" s="139">
        <f ca="1">VLOOKUP(B1376,BDD[],22,0)</f>
        <v>3.5</v>
      </c>
      <c r="J1376" s="168">
        <v>15</v>
      </c>
      <c r="K1376" s="139">
        <f>Tabla1[[#This Row],[DIAS LAB]]*Tabla1[[#This Row],[SUE DIA]]</f>
        <v>3389</v>
      </c>
      <c r="L1376" s="168">
        <v>0</v>
      </c>
      <c r="M1376" s="198">
        <f>Tabla1[[#This Row],[HRS EXT]]*Tabla1[[#This Row],[SUE X HR]]</f>
        <v>0</v>
      </c>
      <c r="N1376" s="168">
        <v>0</v>
      </c>
      <c r="O1376" s="198">
        <f>Tabla1[[#This Row],[ASUETO]]*Tabla1[[#This Row],[SUE DIA]]</f>
        <v>0</v>
      </c>
      <c r="P1376" s="139">
        <f>IF(Tabla1[[#This Row],[FECHA ING]]&lt;$P$1007,365,_xlfn.DAYS($P$1008,Tabla1[[#This Row],[FECHA ING]])+1)</f>
        <v>365</v>
      </c>
      <c r="Q1376" s="198">
        <f>INT(30*(Tabla1[[#This Row],[FECHAS CONTB AGNLDO]]/365))</f>
        <v>30</v>
      </c>
      <c r="R1376" s="244">
        <f ca="1">IF($W$32=$W$26,Tabla1[[#This Row],[SUE DIA]]*Tabla1[[#This Row],[DIAS PAG AGNLDO]],0)</f>
        <v>0</v>
      </c>
      <c r="S1376" s="244">
        <f ca="1">(_xlfn.DAYS(TODAY(),Tabla1[[#This Row],[FECHA ING]])/365)</f>
        <v>3.4602739726027396</v>
      </c>
      <c r="T1376" s="244">
        <f ca="1">IF(Tabla1[[#This Row],[DIAS VAC]]&gt;1,Tabla1[[#This Row],[DIAS VAC]]-Tabla1[[#This Row],[ANTIG]],Tabla1[[#This Row],[DIAS VAC]])</f>
        <v>0.46027397260273961</v>
      </c>
      <c r="U1376" s="244">
        <f ca="1">Tabla1[[#This Row],[VALID ANTIG]]*Tabla1[[#This Row],[SUE DIA]]*Tabla1[[#This Row],[DIAS VAC PAG]]</f>
        <v>363.96931506849307</v>
      </c>
    </row>
    <row r="1377" spans="2:21" hidden="1" x14ac:dyDescent="0.25">
      <c r="B1377" s="243">
        <v>544</v>
      </c>
      <c r="C1377" s="140" t="str">
        <f>VLOOKUP(B1377,BDD[],2,0)</f>
        <v>Karen Villanueva Moreno</v>
      </c>
      <c r="D1377" s="140">
        <f>VLOOKUP(B1377,BDD[],3,0)</f>
        <v>7445</v>
      </c>
      <c r="E1377" s="140">
        <f>VLOOKUP(B1377,BDD[],4,0)</f>
        <v>248.16666666666666</v>
      </c>
      <c r="F1377" s="142">
        <f>VLOOKUP(B1377,BDD[],26,0)</f>
        <v>27.574074074074073</v>
      </c>
      <c r="G1377" s="268">
        <f>VLOOKUP(B1377,BDD[],6,0)</f>
        <v>43499</v>
      </c>
      <c r="H1377" s="139">
        <f ca="1">VLOOKUP(B1377,BDD[],7,0)</f>
        <v>3</v>
      </c>
      <c r="I1377" s="139">
        <f ca="1">VLOOKUP(B1377,BDD[],22,0)</f>
        <v>7</v>
      </c>
      <c r="J1377" s="168">
        <v>15</v>
      </c>
      <c r="K1377" s="139">
        <f>Tabla1[[#This Row],[DIAS LAB]]*Tabla1[[#This Row],[SUE DIA]]</f>
        <v>3722.5</v>
      </c>
      <c r="L1377" s="168">
        <v>0</v>
      </c>
      <c r="M1377" s="198">
        <f>Tabla1[[#This Row],[HRS EXT]]*Tabla1[[#This Row],[SUE X HR]]</f>
        <v>0</v>
      </c>
      <c r="N1377" s="168">
        <v>0</v>
      </c>
      <c r="O1377" s="198">
        <f>Tabla1[[#This Row],[ASUETO]]*Tabla1[[#This Row],[SUE DIA]]</f>
        <v>0</v>
      </c>
      <c r="P1377" s="139">
        <f>IF(Tabla1[[#This Row],[FECHA ING]]&lt;$P$1007,365,_xlfn.DAYS($P$1008,Tabla1[[#This Row],[FECHA ING]])+1)</f>
        <v>365</v>
      </c>
      <c r="Q1377" s="198">
        <f>INT(30*(Tabla1[[#This Row],[FECHAS CONTB AGNLDO]]/365))</f>
        <v>30</v>
      </c>
      <c r="R1377" s="244">
        <f ca="1">IF($W$32=$W$26,Tabla1[[#This Row],[SUE DIA]]*Tabla1[[#This Row],[DIAS PAG AGNLDO]],0)</f>
        <v>0</v>
      </c>
      <c r="S1377" s="244">
        <f ca="1">(_xlfn.DAYS(TODAY(),Tabla1[[#This Row],[FECHA ING]])/365)</f>
        <v>3.4547945205479453</v>
      </c>
      <c r="T1377" s="244">
        <f ca="1">IF(Tabla1[[#This Row],[DIAS VAC]]&gt;1,Tabla1[[#This Row],[DIAS VAC]]-Tabla1[[#This Row],[ANTIG]],Tabla1[[#This Row],[DIAS VAC]])</f>
        <v>0.45479452054794534</v>
      </c>
      <c r="U1377" s="244">
        <f ca="1">Tabla1[[#This Row],[VALID ANTIG]]*Tabla1[[#This Row],[SUE DIA]]*Tabla1[[#This Row],[DIAS VAC PAG]]</f>
        <v>790.05388127853905</v>
      </c>
    </row>
    <row r="1378" spans="2:21" hidden="1" x14ac:dyDescent="0.25">
      <c r="B1378" s="243">
        <v>545</v>
      </c>
      <c r="C1378" s="140" t="str">
        <f>VLOOKUP(B1378,BDD[],2,0)</f>
        <v>Cristina Gonzalez Guevara</v>
      </c>
      <c r="D1378" s="140">
        <f>VLOOKUP(B1378,BDD[],3,0)</f>
        <v>9541</v>
      </c>
      <c r="E1378" s="140">
        <f>VLOOKUP(B1378,BDD[],4,0)</f>
        <v>318.03333333333336</v>
      </c>
      <c r="F1378" s="142">
        <f>VLOOKUP(B1378,BDD[],26,0)</f>
        <v>35.337037037037042</v>
      </c>
      <c r="G1378" s="268">
        <f>VLOOKUP(B1378,BDD[],6,0)</f>
        <v>43501</v>
      </c>
      <c r="H1378" s="139">
        <f ca="1">VLOOKUP(B1378,BDD[],7,0)</f>
        <v>3</v>
      </c>
      <c r="I1378" s="139">
        <f ca="1">VLOOKUP(B1378,BDD[],22,0)</f>
        <v>7</v>
      </c>
      <c r="J1378" s="168">
        <v>15</v>
      </c>
      <c r="K1378" s="139">
        <f>Tabla1[[#This Row],[DIAS LAB]]*Tabla1[[#This Row],[SUE DIA]]</f>
        <v>4770.5</v>
      </c>
      <c r="L1378" s="168">
        <v>0</v>
      </c>
      <c r="M1378" s="198">
        <f>Tabla1[[#This Row],[HRS EXT]]*Tabla1[[#This Row],[SUE X HR]]</f>
        <v>0</v>
      </c>
      <c r="N1378" s="168">
        <v>0</v>
      </c>
      <c r="O1378" s="198">
        <f>Tabla1[[#This Row],[ASUETO]]*Tabla1[[#This Row],[SUE DIA]]</f>
        <v>0</v>
      </c>
      <c r="P1378" s="139">
        <f>IF(Tabla1[[#This Row],[FECHA ING]]&lt;$P$1007,365,_xlfn.DAYS($P$1008,Tabla1[[#This Row],[FECHA ING]])+1)</f>
        <v>365</v>
      </c>
      <c r="Q1378" s="198">
        <f>INT(30*(Tabla1[[#This Row],[FECHAS CONTB AGNLDO]]/365))</f>
        <v>30</v>
      </c>
      <c r="R1378" s="244">
        <f ca="1">IF($W$32=$W$26,Tabla1[[#This Row],[SUE DIA]]*Tabla1[[#This Row],[DIAS PAG AGNLDO]],0)</f>
        <v>0</v>
      </c>
      <c r="S1378" s="244">
        <f ca="1">(_xlfn.DAYS(TODAY(),Tabla1[[#This Row],[FECHA ING]])/365)</f>
        <v>3.4493150684931506</v>
      </c>
      <c r="T1378" s="244">
        <f ca="1">IF(Tabla1[[#This Row],[DIAS VAC]]&gt;1,Tabla1[[#This Row],[DIAS VAC]]-Tabla1[[#This Row],[ANTIG]],Tabla1[[#This Row],[DIAS VAC]])</f>
        <v>0.44931506849315062</v>
      </c>
      <c r="U1378" s="244">
        <f ca="1">Tabla1[[#This Row],[VALID ANTIG]]*Tabla1[[#This Row],[SUE DIA]]*Tabla1[[#This Row],[DIAS VAC PAG]]</f>
        <v>1000.2801826484017</v>
      </c>
    </row>
    <row r="1379" spans="2:21" hidden="1" x14ac:dyDescent="0.25">
      <c r="B1379" s="243">
        <v>546</v>
      </c>
      <c r="C1379" s="140" t="str">
        <f>VLOOKUP(B1379,BDD[],2,0)</f>
        <v>Gabriela Carvajal Rodriguez</v>
      </c>
      <c r="D1379" s="140">
        <f>VLOOKUP(B1379,BDD[],3,0)</f>
        <v>9541</v>
      </c>
      <c r="E1379" s="140">
        <f>VLOOKUP(B1379,BDD[],4,0)</f>
        <v>318.03333333333336</v>
      </c>
      <c r="F1379" s="142">
        <f>VLOOKUP(B1379,BDD[],26,0)</f>
        <v>35.337037037037042</v>
      </c>
      <c r="G1379" s="268">
        <f>VLOOKUP(B1379,BDD[],6,0)</f>
        <v>43511</v>
      </c>
      <c r="H1379" s="139">
        <f ca="1">VLOOKUP(B1379,BDD[],7,0)</f>
        <v>3</v>
      </c>
      <c r="I1379" s="139">
        <f ca="1">VLOOKUP(B1379,BDD[],22,0)</f>
        <v>7</v>
      </c>
      <c r="J1379" s="168">
        <v>15</v>
      </c>
      <c r="K1379" s="139">
        <f>Tabla1[[#This Row],[DIAS LAB]]*Tabla1[[#This Row],[SUE DIA]]</f>
        <v>4770.5</v>
      </c>
      <c r="L1379" s="168">
        <v>0</v>
      </c>
      <c r="M1379" s="198">
        <f>Tabla1[[#This Row],[HRS EXT]]*Tabla1[[#This Row],[SUE X HR]]</f>
        <v>0</v>
      </c>
      <c r="N1379" s="168">
        <v>0</v>
      </c>
      <c r="O1379" s="198">
        <f>Tabla1[[#This Row],[ASUETO]]*Tabla1[[#This Row],[SUE DIA]]</f>
        <v>0</v>
      </c>
      <c r="P1379" s="139">
        <f>IF(Tabla1[[#This Row],[FECHA ING]]&lt;$P$1007,365,_xlfn.DAYS($P$1008,Tabla1[[#This Row],[FECHA ING]])+1)</f>
        <v>365</v>
      </c>
      <c r="Q1379" s="198">
        <f>INT(30*(Tabla1[[#This Row],[FECHAS CONTB AGNLDO]]/365))</f>
        <v>30</v>
      </c>
      <c r="R1379" s="244">
        <f ca="1">IF($W$32=$W$26,Tabla1[[#This Row],[SUE DIA]]*Tabla1[[#This Row],[DIAS PAG AGNLDO]],0)</f>
        <v>0</v>
      </c>
      <c r="S1379" s="244">
        <f ca="1">(_xlfn.DAYS(TODAY(),Tabla1[[#This Row],[FECHA ING]])/365)</f>
        <v>3.4219178082191779</v>
      </c>
      <c r="T1379" s="244">
        <f ca="1">IF(Tabla1[[#This Row],[DIAS VAC]]&gt;1,Tabla1[[#This Row],[DIAS VAC]]-Tabla1[[#This Row],[ANTIG]],Tabla1[[#This Row],[DIAS VAC]])</f>
        <v>0.4219178082191779</v>
      </c>
      <c r="U1379" s="244">
        <f ca="1">Tabla1[[#This Row],[VALID ANTIG]]*Tabla1[[#This Row],[SUE DIA]]*Tabla1[[#This Row],[DIAS VAC PAG]]</f>
        <v>939.28748858447454</v>
      </c>
    </row>
    <row r="1380" spans="2:21" hidden="1" x14ac:dyDescent="0.25">
      <c r="B1380" s="243">
        <v>548</v>
      </c>
      <c r="C1380" s="140" t="str">
        <f>VLOOKUP(B1380,BDD[],2,0)</f>
        <v>Marco Antonio Pineda Vargas</v>
      </c>
      <c r="D1380" s="140">
        <f>VLOOKUP(B1380,BDD[],3,0)</f>
        <v>9541</v>
      </c>
      <c r="E1380" s="140">
        <f>VLOOKUP(B1380,BDD[],4,0)</f>
        <v>318.03333333333336</v>
      </c>
      <c r="F1380" s="142">
        <f>VLOOKUP(B1380,BDD[],26,0)</f>
        <v>35.337037037037042</v>
      </c>
      <c r="G1380" s="268">
        <f>VLOOKUP(B1380,BDD[],6,0)</f>
        <v>43512</v>
      </c>
      <c r="H1380" s="139">
        <f ca="1">VLOOKUP(B1380,BDD[],7,0)</f>
        <v>3</v>
      </c>
      <c r="I1380" s="139">
        <f ca="1">VLOOKUP(B1380,BDD[],22,0)</f>
        <v>7</v>
      </c>
      <c r="J1380" s="168">
        <v>15</v>
      </c>
      <c r="K1380" s="139">
        <f>Tabla1[[#This Row],[DIAS LAB]]*Tabla1[[#This Row],[SUE DIA]]</f>
        <v>4770.5</v>
      </c>
      <c r="L1380" s="168">
        <v>0</v>
      </c>
      <c r="M1380" s="198">
        <f>Tabla1[[#This Row],[HRS EXT]]*Tabla1[[#This Row],[SUE X HR]]</f>
        <v>0</v>
      </c>
      <c r="N1380" s="168">
        <v>0</v>
      </c>
      <c r="O1380" s="198">
        <f>Tabla1[[#This Row],[ASUETO]]*Tabla1[[#This Row],[SUE DIA]]</f>
        <v>0</v>
      </c>
      <c r="P1380" s="139">
        <f>IF(Tabla1[[#This Row],[FECHA ING]]&lt;$P$1007,365,_xlfn.DAYS($P$1008,Tabla1[[#This Row],[FECHA ING]])+1)</f>
        <v>365</v>
      </c>
      <c r="Q1380" s="198">
        <f>INT(30*(Tabla1[[#This Row],[FECHAS CONTB AGNLDO]]/365))</f>
        <v>30</v>
      </c>
      <c r="R1380" s="244">
        <f ca="1">IF($W$32=$W$26,Tabla1[[#This Row],[SUE DIA]]*Tabla1[[#This Row],[DIAS PAG AGNLDO]],0)</f>
        <v>0</v>
      </c>
      <c r="S1380" s="244">
        <f ca="1">(_xlfn.DAYS(TODAY(),Tabla1[[#This Row],[FECHA ING]])/365)</f>
        <v>3.419178082191781</v>
      </c>
      <c r="T1380" s="244">
        <f ca="1">IF(Tabla1[[#This Row],[DIAS VAC]]&gt;1,Tabla1[[#This Row],[DIAS VAC]]-Tabla1[[#This Row],[ANTIG]],Tabla1[[#This Row],[DIAS VAC]])</f>
        <v>0.41917808219178099</v>
      </c>
      <c r="U1380" s="244">
        <f ca="1">Tabla1[[#This Row],[VALID ANTIG]]*Tabla1[[#This Row],[SUE DIA]]*Tabla1[[#This Row],[DIAS VAC PAG]]</f>
        <v>933.18821917808259</v>
      </c>
    </row>
    <row r="1381" spans="2:21" hidden="1" x14ac:dyDescent="0.25">
      <c r="B1381" s="243">
        <v>551</v>
      </c>
      <c r="C1381" s="140" t="str">
        <f>VLOOKUP(B1381,BDD[],2,0)</f>
        <v>Gabriel Adrian Lara Barajas</v>
      </c>
      <c r="D1381" s="140">
        <f>VLOOKUP(B1381,BDD[],3,0)</f>
        <v>7445</v>
      </c>
      <c r="E1381" s="140">
        <f>VLOOKUP(B1381,BDD[],4,0)</f>
        <v>248.16666666666666</v>
      </c>
      <c r="F1381" s="142">
        <f>VLOOKUP(B1381,BDD[],26,0)</f>
        <v>27.574074074074073</v>
      </c>
      <c r="G1381" s="268">
        <f>VLOOKUP(B1381,BDD[],6,0)</f>
        <v>43515</v>
      </c>
      <c r="H1381" s="139">
        <f ca="1">VLOOKUP(B1381,BDD[],7,0)</f>
        <v>3</v>
      </c>
      <c r="I1381" s="139">
        <f ca="1">VLOOKUP(B1381,BDD[],22,0)</f>
        <v>7</v>
      </c>
      <c r="J1381" s="168">
        <v>15</v>
      </c>
      <c r="K1381" s="139">
        <f>Tabla1[[#This Row],[DIAS LAB]]*Tabla1[[#This Row],[SUE DIA]]</f>
        <v>3722.5</v>
      </c>
      <c r="L1381" s="168">
        <v>0</v>
      </c>
      <c r="M1381" s="198">
        <f>Tabla1[[#This Row],[HRS EXT]]*Tabla1[[#This Row],[SUE X HR]]</f>
        <v>0</v>
      </c>
      <c r="N1381" s="168">
        <v>0</v>
      </c>
      <c r="O1381" s="198">
        <f>Tabla1[[#This Row],[ASUETO]]*Tabla1[[#This Row],[SUE DIA]]</f>
        <v>0</v>
      </c>
      <c r="P1381" s="139">
        <f>IF(Tabla1[[#This Row],[FECHA ING]]&lt;$P$1007,365,_xlfn.DAYS($P$1008,Tabla1[[#This Row],[FECHA ING]])+1)</f>
        <v>365</v>
      </c>
      <c r="Q1381" s="198">
        <f>INT(30*(Tabla1[[#This Row],[FECHAS CONTB AGNLDO]]/365))</f>
        <v>30</v>
      </c>
      <c r="R1381" s="244">
        <f ca="1">IF($W$32=$W$26,Tabla1[[#This Row],[SUE DIA]]*Tabla1[[#This Row],[DIAS PAG AGNLDO]],0)</f>
        <v>0</v>
      </c>
      <c r="S1381" s="244">
        <f ca="1">(_xlfn.DAYS(TODAY(),Tabla1[[#This Row],[FECHA ING]])/365)</f>
        <v>3.4109589041095889</v>
      </c>
      <c r="T1381" s="244">
        <f ca="1">IF(Tabla1[[#This Row],[DIAS VAC]]&gt;1,Tabla1[[#This Row],[DIAS VAC]]-Tabla1[[#This Row],[ANTIG]],Tabla1[[#This Row],[DIAS VAC]])</f>
        <v>0.41095890410958891</v>
      </c>
      <c r="U1381" s="244">
        <f ca="1">Tabla1[[#This Row],[VALID ANTIG]]*Tabla1[[#This Row],[SUE DIA]]*Tabla1[[#This Row],[DIAS VAC PAG]]</f>
        <v>713.90410958904079</v>
      </c>
    </row>
    <row r="1382" spans="2:21" hidden="1" x14ac:dyDescent="0.25">
      <c r="B1382" s="243">
        <v>552</v>
      </c>
      <c r="C1382" s="140" t="str">
        <f>VLOOKUP(B1382,BDD[],2,0)</f>
        <v>Ivonet Campos Manrique</v>
      </c>
      <c r="D1382" s="140">
        <f>VLOOKUP(B1382,BDD[],3,0)</f>
        <v>9541</v>
      </c>
      <c r="E1382" s="140">
        <f>VLOOKUP(B1382,BDD[],4,0)</f>
        <v>318.03333333333336</v>
      </c>
      <c r="F1382" s="142">
        <f>VLOOKUP(B1382,BDD[],26,0)</f>
        <v>35.337037037037042</v>
      </c>
      <c r="G1382" s="268">
        <f>VLOOKUP(B1382,BDD[],6,0)</f>
        <v>43517</v>
      </c>
      <c r="H1382" s="139">
        <f ca="1">VLOOKUP(B1382,BDD[],7,0)</f>
        <v>3</v>
      </c>
      <c r="I1382" s="139">
        <f ca="1">VLOOKUP(B1382,BDD[],22,0)</f>
        <v>7</v>
      </c>
      <c r="J1382" s="168">
        <v>15</v>
      </c>
      <c r="K1382" s="139">
        <f>Tabla1[[#This Row],[DIAS LAB]]*Tabla1[[#This Row],[SUE DIA]]</f>
        <v>4770.5</v>
      </c>
      <c r="L1382" s="168">
        <v>0</v>
      </c>
      <c r="M1382" s="198">
        <f>Tabla1[[#This Row],[HRS EXT]]*Tabla1[[#This Row],[SUE X HR]]</f>
        <v>0</v>
      </c>
      <c r="N1382" s="168">
        <v>0</v>
      </c>
      <c r="O1382" s="198">
        <f>Tabla1[[#This Row],[ASUETO]]*Tabla1[[#This Row],[SUE DIA]]</f>
        <v>0</v>
      </c>
      <c r="P1382" s="139">
        <f>IF(Tabla1[[#This Row],[FECHA ING]]&lt;$P$1007,365,_xlfn.DAYS($P$1008,Tabla1[[#This Row],[FECHA ING]])+1)</f>
        <v>365</v>
      </c>
      <c r="Q1382" s="198">
        <f>INT(30*(Tabla1[[#This Row],[FECHAS CONTB AGNLDO]]/365))</f>
        <v>30</v>
      </c>
      <c r="R1382" s="244">
        <f ca="1">IF($W$32=$W$26,Tabla1[[#This Row],[SUE DIA]]*Tabla1[[#This Row],[DIAS PAG AGNLDO]],0)</f>
        <v>0</v>
      </c>
      <c r="S1382" s="244">
        <f ca="1">(_xlfn.DAYS(TODAY(),Tabla1[[#This Row],[FECHA ING]])/365)</f>
        <v>3.4054794520547946</v>
      </c>
      <c r="T1382" s="244">
        <f ca="1">IF(Tabla1[[#This Row],[DIAS VAC]]&gt;1,Tabla1[[#This Row],[DIAS VAC]]-Tabla1[[#This Row],[ANTIG]],Tabla1[[#This Row],[DIAS VAC]])</f>
        <v>0.40547945205479463</v>
      </c>
      <c r="U1382" s="244">
        <f ca="1">Tabla1[[#This Row],[VALID ANTIG]]*Tabla1[[#This Row],[SUE DIA]]*Tabla1[[#This Row],[DIAS VAC PAG]]</f>
        <v>902.69187214611907</v>
      </c>
    </row>
    <row r="1383" spans="2:21" hidden="1" x14ac:dyDescent="0.25">
      <c r="B1383" s="243">
        <v>553</v>
      </c>
      <c r="C1383" s="140" t="str">
        <f>VLOOKUP(B1383,BDD[],2,0)</f>
        <v>Guadalupe Martinez Chavez</v>
      </c>
      <c r="D1383" s="140">
        <f>VLOOKUP(B1383,BDD[],3,0)</f>
        <v>7445</v>
      </c>
      <c r="E1383" s="140">
        <f>VLOOKUP(B1383,BDD[],4,0)</f>
        <v>248.16666666666666</v>
      </c>
      <c r="F1383" s="142">
        <f>VLOOKUP(B1383,BDD[],26,0)</f>
        <v>27.574074074074073</v>
      </c>
      <c r="G1383" s="268">
        <f>VLOOKUP(B1383,BDD[],6,0)</f>
        <v>43518</v>
      </c>
      <c r="H1383" s="139">
        <f ca="1">VLOOKUP(B1383,BDD[],7,0)</f>
        <v>3</v>
      </c>
      <c r="I1383" s="139">
        <f ca="1">VLOOKUP(B1383,BDD[],22,0)</f>
        <v>7</v>
      </c>
      <c r="J1383" s="168">
        <v>15</v>
      </c>
      <c r="K1383" s="139">
        <f>Tabla1[[#This Row],[DIAS LAB]]*Tabla1[[#This Row],[SUE DIA]]</f>
        <v>3722.5</v>
      </c>
      <c r="L1383" s="168">
        <v>0</v>
      </c>
      <c r="M1383" s="198">
        <f>Tabla1[[#This Row],[HRS EXT]]*Tabla1[[#This Row],[SUE X HR]]</f>
        <v>0</v>
      </c>
      <c r="N1383" s="168">
        <v>0</v>
      </c>
      <c r="O1383" s="198">
        <f>Tabla1[[#This Row],[ASUETO]]*Tabla1[[#This Row],[SUE DIA]]</f>
        <v>0</v>
      </c>
      <c r="P1383" s="139">
        <f>IF(Tabla1[[#This Row],[FECHA ING]]&lt;$P$1007,365,_xlfn.DAYS($P$1008,Tabla1[[#This Row],[FECHA ING]])+1)</f>
        <v>365</v>
      </c>
      <c r="Q1383" s="198">
        <f>INT(30*(Tabla1[[#This Row],[FECHAS CONTB AGNLDO]]/365))</f>
        <v>30</v>
      </c>
      <c r="R1383" s="244">
        <f ca="1">IF($W$32=$W$26,Tabla1[[#This Row],[SUE DIA]]*Tabla1[[#This Row],[DIAS PAG AGNLDO]],0)</f>
        <v>0</v>
      </c>
      <c r="S1383" s="244">
        <f ca="1">(_xlfn.DAYS(TODAY(),Tabla1[[#This Row],[FECHA ING]])/365)</f>
        <v>3.4027397260273973</v>
      </c>
      <c r="T1383" s="244">
        <f ca="1">IF(Tabla1[[#This Row],[DIAS VAC]]&gt;1,Tabla1[[#This Row],[DIAS VAC]]-Tabla1[[#This Row],[ANTIG]],Tabla1[[#This Row],[DIAS VAC]])</f>
        <v>0.40273972602739727</v>
      </c>
      <c r="U1383" s="244">
        <f ca="1">Tabla1[[#This Row],[VALID ANTIG]]*Tabla1[[#This Row],[SUE DIA]]*Tabla1[[#This Row],[DIAS VAC PAG]]</f>
        <v>699.62602739726026</v>
      </c>
    </row>
    <row r="1384" spans="2:21" hidden="1" x14ac:dyDescent="0.25">
      <c r="B1384" s="243">
        <v>554</v>
      </c>
      <c r="C1384" s="140" t="str">
        <f>VLOOKUP(B1384,BDD[],2,0)</f>
        <v>Rogelio Miguel Mendoza Aguirre</v>
      </c>
      <c r="D1384" s="140">
        <f>VLOOKUP(B1384,BDD[],3,0)</f>
        <v>7950</v>
      </c>
      <c r="E1384" s="140">
        <f>VLOOKUP(B1384,BDD[],4,0)</f>
        <v>265</v>
      </c>
      <c r="F1384" s="142">
        <f>VLOOKUP(B1384,BDD[],26,0)</f>
        <v>29.444444444444443</v>
      </c>
      <c r="G1384" s="268">
        <f>VLOOKUP(B1384,BDD[],6,0)</f>
        <v>43518</v>
      </c>
      <c r="H1384" s="139">
        <f ca="1">VLOOKUP(B1384,BDD[],7,0)</f>
        <v>3</v>
      </c>
      <c r="I1384" s="139">
        <f ca="1">VLOOKUP(B1384,BDD[],22,0)</f>
        <v>7</v>
      </c>
      <c r="J1384" s="168">
        <v>15</v>
      </c>
      <c r="K1384" s="139">
        <f>Tabla1[[#This Row],[DIAS LAB]]*Tabla1[[#This Row],[SUE DIA]]</f>
        <v>3975</v>
      </c>
      <c r="L1384" s="168">
        <v>0</v>
      </c>
      <c r="M1384" s="198">
        <f>Tabla1[[#This Row],[HRS EXT]]*Tabla1[[#This Row],[SUE X HR]]</f>
        <v>0</v>
      </c>
      <c r="N1384" s="168">
        <v>0</v>
      </c>
      <c r="O1384" s="198">
        <f>Tabla1[[#This Row],[ASUETO]]*Tabla1[[#This Row],[SUE DIA]]</f>
        <v>0</v>
      </c>
      <c r="P1384" s="139">
        <f>IF(Tabla1[[#This Row],[FECHA ING]]&lt;$P$1007,365,_xlfn.DAYS($P$1008,Tabla1[[#This Row],[FECHA ING]])+1)</f>
        <v>365</v>
      </c>
      <c r="Q1384" s="198">
        <f>INT(30*(Tabla1[[#This Row],[FECHAS CONTB AGNLDO]]/365))</f>
        <v>30</v>
      </c>
      <c r="R1384" s="244">
        <f ca="1">IF($W$32=$W$26,Tabla1[[#This Row],[SUE DIA]]*Tabla1[[#This Row],[DIAS PAG AGNLDO]],0)</f>
        <v>0</v>
      </c>
      <c r="S1384" s="244">
        <f ca="1">(_xlfn.DAYS(TODAY(),Tabla1[[#This Row],[FECHA ING]])/365)</f>
        <v>3.4027397260273973</v>
      </c>
      <c r="T1384" s="244">
        <f ca="1">IF(Tabla1[[#This Row],[DIAS VAC]]&gt;1,Tabla1[[#This Row],[DIAS VAC]]-Tabla1[[#This Row],[ANTIG]],Tabla1[[#This Row],[DIAS VAC]])</f>
        <v>0.40273972602739727</v>
      </c>
      <c r="U1384" s="244">
        <f ca="1">Tabla1[[#This Row],[VALID ANTIG]]*Tabla1[[#This Row],[SUE DIA]]*Tabla1[[#This Row],[DIAS VAC PAG]]</f>
        <v>747.08219178082197</v>
      </c>
    </row>
    <row r="1385" spans="2:21" hidden="1" x14ac:dyDescent="0.25">
      <c r="B1385" s="243">
        <v>555</v>
      </c>
      <c r="C1385" s="140" t="str">
        <f>VLOOKUP(B1385,BDD[],2,0)</f>
        <v>Devany Yamileth Hernández De Los Santos</v>
      </c>
      <c r="D1385" s="140">
        <f>VLOOKUP(B1385,BDD[],3,0)</f>
        <v>6778</v>
      </c>
      <c r="E1385" s="140">
        <f>VLOOKUP(B1385,BDD[],4,0)</f>
        <v>225.93333333333334</v>
      </c>
      <c r="F1385" s="142">
        <f>VLOOKUP(B1385,BDD[],26,0)</f>
        <v>25.103703703703705</v>
      </c>
      <c r="G1385" s="268">
        <f>VLOOKUP(B1385,BDD[],6,0)</f>
        <v>43526</v>
      </c>
      <c r="H1385" s="139">
        <f ca="1">VLOOKUP(B1385,BDD[],7,0)</f>
        <v>3</v>
      </c>
      <c r="I1385" s="139">
        <f ca="1">VLOOKUP(B1385,BDD[],22,0)</f>
        <v>3.5</v>
      </c>
      <c r="J1385" s="168">
        <v>15</v>
      </c>
      <c r="K1385" s="139">
        <f>Tabla1[[#This Row],[DIAS LAB]]*Tabla1[[#This Row],[SUE DIA]]</f>
        <v>3389</v>
      </c>
      <c r="L1385" s="168">
        <v>0</v>
      </c>
      <c r="M1385" s="198">
        <f>Tabla1[[#This Row],[HRS EXT]]*Tabla1[[#This Row],[SUE X HR]]</f>
        <v>0</v>
      </c>
      <c r="N1385" s="168">
        <v>0</v>
      </c>
      <c r="O1385" s="198">
        <f>Tabla1[[#This Row],[ASUETO]]*Tabla1[[#This Row],[SUE DIA]]</f>
        <v>0</v>
      </c>
      <c r="P1385" s="139">
        <f>IF(Tabla1[[#This Row],[FECHA ING]]&lt;$P$1007,365,_xlfn.DAYS($P$1008,Tabla1[[#This Row],[FECHA ING]])+1)</f>
        <v>365</v>
      </c>
      <c r="Q1385" s="198">
        <f>INT(30*(Tabla1[[#This Row],[FECHAS CONTB AGNLDO]]/365))</f>
        <v>30</v>
      </c>
      <c r="R1385" s="244">
        <f ca="1">IF($W$32=$W$26,Tabla1[[#This Row],[SUE DIA]]*Tabla1[[#This Row],[DIAS PAG AGNLDO]],0)</f>
        <v>0</v>
      </c>
      <c r="S1385" s="244">
        <f ca="1">(_xlfn.DAYS(TODAY(),Tabla1[[#This Row],[FECHA ING]])/365)</f>
        <v>3.3808219178082193</v>
      </c>
      <c r="T1385" s="244">
        <f ca="1">IF(Tabla1[[#This Row],[DIAS VAC]]&gt;1,Tabla1[[#This Row],[DIAS VAC]]-Tabla1[[#This Row],[ANTIG]],Tabla1[[#This Row],[DIAS VAC]])</f>
        <v>0.38082191780821928</v>
      </c>
      <c r="U1385" s="244">
        <f ca="1">Tabla1[[#This Row],[VALID ANTIG]]*Tabla1[[#This Row],[SUE DIA]]*Tabla1[[#This Row],[DIAS VAC PAG]]</f>
        <v>301.14127853881286</v>
      </c>
    </row>
    <row r="1386" spans="2:21" hidden="1" x14ac:dyDescent="0.25">
      <c r="B1386" s="243">
        <v>556</v>
      </c>
      <c r="C1386" s="140" t="str">
        <f>VLOOKUP(B1386,BDD[],2,0)</f>
        <v>Debany Rebeca Morales Rangel</v>
      </c>
      <c r="D1386" s="140">
        <f>VLOOKUP(B1386,BDD[],3,0)</f>
        <v>8825</v>
      </c>
      <c r="E1386" s="140">
        <f>VLOOKUP(B1386,BDD[],4,0)</f>
        <v>294.16666666666669</v>
      </c>
      <c r="F1386" s="142">
        <f>VLOOKUP(B1386,BDD[],26,0)</f>
        <v>32.68518518518519</v>
      </c>
      <c r="G1386" s="268">
        <f>VLOOKUP(B1386,BDD[],6,0)</f>
        <v>43546</v>
      </c>
      <c r="H1386" s="139">
        <f ca="1">VLOOKUP(B1386,BDD[],7,0)</f>
        <v>3</v>
      </c>
      <c r="I1386" s="139">
        <f ca="1">VLOOKUP(B1386,BDD[],22,0)</f>
        <v>7</v>
      </c>
      <c r="J1386" s="168">
        <v>15</v>
      </c>
      <c r="K1386" s="139">
        <f>Tabla1[[#This Row],[DIAS LAB]]*Tabla1[[#This Row],[SUE DIA]]</f>
        <v>4412.5</v>
      </c>
      <c r="L1386" s="168">
        <v>0</v>
      </c>
      <c r="M1386" s="198">
        <f>Tabla1[[#This Row],[HRS EXT]]*Tabla1[[#This Row],[SUE X HR]]</f>
        <v>0</v>
      </c>
      <c r="N1386" s="168">
        <v>0</v>
      </c>
      <c r="O1386" s="198">
        <f>Tabla1[[#This Row],[ASUETO]]*Tabla1[[#This Row],[SUE DIA]]</f>
        <v>0</v>
      </c>
      <c r="P1386" s="139">
        <f>IF(Tabla1[[#This Row],[FECHA ING]]&lt;$P$1007,365,_xlfn.DAYS($P$1008,Tabla1[[#This Row],[FECHA ING]])+1)</f>
        <v>365</v>
      </c>
      <c r="Q1386" s="198">
        <f>INT(30*(Tabla1[[#This Row],[FECHAS CONTB AGNLDO]]/365))</f>
        <v>30</v>
      </c>
      <c r="R1386" s="244">
        <f ca="1">IF($W$32=$W$26,Tabla1[[#This Row],[SUE DIA]]*Tabla1[[#This Row],[DIAS PAG AGNLDO]],0)</f>
        <v>0</v>
      </c>
      <c r="S1386" s="244">
        <f ca="1">(_xlfn.DAYS(TODAY(),Tabla1[[#This Row],[FECHA ING]])/365)</f>
        <v>3.3260273972602739</v>
      </c>
      <c r="T1386" s="244">
        <f ca="1">IF(Tabla1[[#This Row],[DIAS VAC]]&gt;1,Tabla1[[#This Row],[DIAS VAC]]-Tabla1[[#This Row],[ANTIG]],Tabla1[[#This Row],[DIAS VAC]])</f>
        <v>0.32602739726027385</v>
      </c>
      <c r="U1386" s="244">
        <f ca="1">Tabla1[[#This Row],[VALID ANTIG]]*Tabla1[[#This Row],[SUE DIA]]*Tabla1[[#This Row],[DIAS VAC PAG]]</f>
        <v>671.34474885844725</v>
      </c>
    </row>
    <row r="1387" spans="2:21" hidden="1" x14ac:dyDescent="0.25">
      <c r="B1387" s="243">
        <v>558</v>
      </c>
      <c r="C1387" s="140" t="str">
        <f>VLOOKUP(B1387,BDD[],2,0)</f>
        <v>Miguel Angel Vazquez Parra</v>
      </c>
      <c r="D1387" s="140">
        <f>VLOOKUP(B1387,BDD[],3,0)</f>
        <v>9541</v>
      </c>
      <c r="E1387" s="140">
        <f>VLOOKUP(B1387,BDD[],4,0)</f>
        <v>318.03333333333336</v>
      </c>
      <c r="F1387" s="142">
        <f>VLOOKUP(B1387,BDD[],26,0)</f>
        <v>35.337037037037042</v>
      </c>
      <c r="G1387" s="268">
        <f>VLOOKUP(B1387,BDD[],6,0)</f>
        <v>43555</v>
      </c>
      <c r="H1387" s="139">
        <f ca="1">VLOOKUP(B1387,BDD[],7,0)</f>
        <v>3</v>
      </c>
      <c r="I1387" s="139">
        <f ca="1">VLOOKUP(B1387,BDD[],22,0)</f>
        <v>7</v>
      </c>
      <c r="J1387" s="168">
        <v>15</v>
      </c>
      <c r="K1387" s="139">
        <f>Tabla1[[#This Row],[DIAS LAB]]*Tabla1[[#This Row],[SUE DIA]]</f>
        <v>4770.5</v>
      </c>
      <c r="L1387" s="168">
        <v>0</v>
      </c>
      <c r="M1387" s="198">
        <f>Tabla1[[#This Row],[HRS EXT]]*Tabla1[[#This Row],[SUE X HR]]</f>
        <v>0</v>
      </c>
      <c r="N1387" s="168">
        <v>0</v>
      </c>
      <c r="O1387" s="198">
        <f>Tabla1[[#This Row],[ASUETO]]*Tabla1[[#This Row],[SUE DIA]]</f>
        <v>0</v>
      </c>
      <c r="P1387" s="139">
        <f>IF(Tabla1[[#This Row],[FECHA ING]]&lt;$P$1007,365,_xlfn.DAYS($P$1008,Tabla1[[#This Row],[FECHA ING]])+1)</f>
        <v>365</v>
      </c>
      <c r="Q1387" s="198">
        <f>INT(30*(Tabla1[[#This Row],[FECHAS CONTB AGNLDO]]/365))</f>
        <v>30</v>
      </c>
      <c r="R1387" s="244">
        <f ca="1">IF($W$32=$W$26,Tabla1[[#This Row],[SUE DIA]]*Tabla1[[#This Row],[DIAS PAG AGNLDO]],0)</f>
        <v>0</v>
      </c>
      <c r="S1387" s="244">
        <f ca="1">(_xlfn.DAYS(TODAY(),Tabla1[[#This Row],[FECHA ING]])/365)</f>
        <v>3.3013698630136985</v>
      </c>
      <c r="T1387" s="244">
        <f ca="1">IF(Tabla1[[#This Row],[DIAS VAC]]&gt;1,Tabla1[[#This Row],[DIAS VAC]]-Tabla1[[#This Row],[ANTIG]],Tabla1[[#This Row],[DIAS VAC]])</f>
        <v>0.3013698630136985</v>
      </c>
      <c r="U1387" s="244">
        <f ca="1">Tabla1[[#This Row],[VALID ANTIG]]*Tabla1[[#This Row],[SUE DIA]]*Tabla1[[#This Row],[DIAS VAC PAG]]</f>
        <v>670.91963470319615</v>
      </c>
    </row>
    <row r="1388" spans="2:21" hidden="1" x14ac:dyDescent="0.25">
      <c r="B1388" s="243">
        <v>559</v>
      </c>
      <c r="C1388" s="140" t="str">
        <f>VLOOKUP(B1388,BDD[],2,0)</f>
        <v>Elías Arturo Garza Tiburcio</v>
      </c>
      <c r="D1388" s="140">
        <f>VLOOKUP(B1388,BDD[],3,0)</f>
        <v>7950</v>
      </c>
      <c r="E1388" s="140">
        <f>VLOOKUP(B1388,BDD[],4,0)</f>
        <v>265</v>
      </c>
      <c r="F1388" s="142">
        <f>VLOOKUP(B1388,BDD[],26,0)</f>
        <v>29.444444444444443</v>
      </c>
      <c r="G1388" s="268">
        <f>VLOOKUP(B1388,BDD[],6,0)</f>
        <v>43555</v>
      </c>
      <c r="H1388" s="139">
        <f ca="1">VLOOKUP(B1388,BDD[],7,0)</f>
        <v>3</v>
      </c>
      <c r="I1388" s="139">
        <f ca="1">VLOOKUP(B1388,BDD[],22,0)</f>
        <v>7</v>
      </c>
      <c r="J1388" s="168">
        <v>15</v>
      </c>
      <c r="K1388" s="139">
        <f>Tabla1[[#This Row],[DIAS LAB]]*Tabla1[[#This Row],[SUE DIA]]</f>
        <v>3975</v>
      </c>
      <c r="L1388" s="168">
        <v>0</v>
      </c>
      <c r="M1388" s="198">
        <f>Tabla1[[#This Row],[HRS EXT]]*Tabla1[[#This Row],[SUE X HR]]</f>
        <v>0</v>
      </c>
      <c r="N1388" s="168">
        <v>0</v>
      </c>
      <c r="O1388" s="198">
        <f>Tabla1[[#This Row],[ASUETO]]*Tabla1[[#This Row],[SUE DIA]]</f>
        <v>0</v>
      </c>
      <c r="P1388" s="139">
        <f>IF(Tabla1[[#This Row],[FECHA ING]]&lt;$P$1007,365,_xlfn.DAYS($P$1008,Tabla1[[#This Row],[FECHA ING]])+1)</f>
        <v>365</v>
      </c>
      <c r="Q1388" s="198">
        <f>INT(30*(Tabla1[[#This Row],[FECHAS CONTB AGNLDO]]/365))</f>
        <v>30</v>
      </c>
      <c r="R1388" s="244">
        <f ca="1">IF($W$32=$W$26,Tabla1[[#This Row],[SUE DIA]]*Tabla1[[#This Row],[DIAS PAG AGNLDO]],0)</f>
        <v>0</v>
      </c>
      <c r="S1388" s="244">
        <f ca="1">(_xlfn.DAYS(TODAY(),Tabla1[[#This Row],[FECHA ING]])/365)</f>
        <v>3.3013698630136985</v>
      </c>
      <c r="T1388" s="244">
        <f ca="1">IF(Tabla1[[#This Row],[DIAS VAC]]&gt;1,Tabla1[[#This Row],[DIAS VAC]]-Tabla1[[#This Row],[ANTIG]],Tabla1[[#This Row],[DIAS VAC]])</f>
        <v>0.3013698630136985</v>
      </c>
      <c r="U1388" s="244">
        <f ca="1">Tabla1[[#This Row],[VALID ANTIG]]*Tabla1[[#This Row],[SUE DIA]]*Tabla1[[#This Row],[DIAS VAC PAG]]</f>
        <v>559.0410958904107</v>
      </c>
    </row>
    <row r="1389" spans="2:21" hidden="1" x14ac:dyDescent="0.25">
      <c r="B1389" s="243">
        <v>560</v>
      </c>
      <c r="C1389" s="140" t="str">
        <f>VLOOKUP(B1389,BDD[],2,0)</f>
        <v>María Fernanda Plata Ruiz</v>
      </c>
      <c r="D1389" s="140">
        <f>VLOOKUP(B1389,BDD[],3,0)</f>
        <v>9541</v>
      </c>
      <c r="E1389" s="140">
        <f>VLOOKUP(B1389,BDD[],4,0)</f>
        <v>318.03333333333336</v>
      </c>
      <c r="F1389" s="142">
        <f>VLOOKUP(B1389,BDD[],26,0)</f>
        <v>35.337037037037042</v>
      </c>
      <c r="G1389" s="268">
        <f>VLOOKUP(B1389,BDD[],6,0)</f>
        <v>43579</v>
      </c>
      <c r="H1389" s="139">
        <f ca="1">VLOOKUP(B1389,BDD[],7,0)</f>
        <v>3</v>
      </c>
      <c r="I1389" s="139">
        <f ca="1">VLOOKUP(B1389,BDD[],22,0)</f>
        <v>7</v>
      </c>
      <c r="J1389" s="168">
        <v>15</v>
      </c>
      <c r="K1389" s="139">
        <f>Tabla1[[#This Row],[DIAS LAB]]*Tabla1[[#This Row],[SUE DIA]]</f>
        <v>4770.5</v>
      </c>
      <c r="L1389" s="168">
        <v>0</v>
      </c>
      <c r="M1389" s="198">
        <f>Tabla1[[#This Row],[HRS EXT]]*Tabla1[[#This Row],[SUE X HR]]</f>
        <v>0</v>
      </c>
      <c r="N1389" s="168">
        <v>0</v>
      </c>
      <c r="O1389" s="198">
        <f>Tabla1[[#This Row],[ASUETO]]*Tabla1[[#This Row],[SUE DIA]]</f>
        <v>0</v>
      </c>
      <c r="P1389" s="139">
        <f>IF(Tabla1[[#This Row],[FECHA ING]]&lt;$P$1007,365,_xlfn.DAYS($P$1008,Tabla1[[#This Row],[FECHA ING]])+1)</f>
        <v>365</v>
      </c>
      <c r="Q1389" s="198">
        <f>INT(30*(Tabla1[[#This Row],[FECHAS CONTB AGNLDO]]/365))</f>
        <v>30</v>
      </c>
      <c r="R1389" s="244">
        <f ca="1">IF($W$32=$W$26,Tabla1[[#This Row],[SUE DIA]]*Tabla1[[#This Row],[DIAS PAG AGNLDO]],0)</f>
        <v>0</v>
      </c>
      <c r="S1389" s="244">
        <f ca="1">(_xlfn.DAYS(TODAY(),Tabla1[[#This Row],[FECHA ING]])/365)</f>
        <v>3.2356164383561645</v>
      </c>
      <c r="T1389" s="244">
        <f ca="1">IF(Tabla1[[#This Row],[DIAS VAC]]&gt;1,Tabla1[[#This Row],[DIAS VAC]]-Tabla1[[#This Row],[ANTIG]],Tabla1[[#This Row],[DIAS VAC]])</f>
        <v>0.23561643835616453</v>
      </c>
      <c r="U1389" s="244">
        <f ca="1">Tabla1[[#This Row],[VALID ANTIG]]*Tabla1[[#This Row],[SUE DIA]]*Tabla1[[#This Row],[DIAS VAC PAG]]</f>
        <v>524.53716894977208</v>
      </c>
    </row>
    <row r="1390" spans="2:21" hidden="1" x14ac:dyDescent="0.25">
      <c r="B1390" s="243">
        <v>561</v>
      </c>
      <c r="C1390" s="140" t="str">
        <f>VLOOKUP(B1390,BDD[],2,0)</f>
        <v>Patricia Nava Torres</v>
      </c>
      <c r="D1390" s="140">
        <f>VLOOKUP(B1390,BDD[],3,0)</f>
        <v>9450</v>
      </c>
      <c r="E1390" s="140">
        <f>VLOOKUP(B1390,BDD[],4,0)</f>
        <v>315</v>
      </c>
      <c r="F1390" s="142">
        <f>VLOOKUP(B1390,BDD[],26,0)</f>
        <v>35</v>
      </c>
      <c r="G1390" s="268">
        <f>VLOOKUP(B1390,BDD[],6,0)</f>
        <v>43581</v>
      </c>
      <c r="H1390" s="139">
        <f ca="1">VLOOKUP(B1390,BDD[],7,0)</f>
        <v>3</v>
      </c>
      <c r="I1390" s="139">
        <f ca="1">VLOOKUP(B1390,BDD[],22,0)</f>
        <v>7</v>
      </c>
      <c r="J1390" s="168">
        <v>15</v>
      </c>
      <c r="K1390" s="139">
        <f>Tabla1[[#This Row],[DIAS LAB]]*Tabla1[[#This Row],[SUE DIA]]</f>
        <v>4725</v>
      </c>
      <c r="L1390" s="168">
        <v>0</v>
      </c>
      <c r="M1390" s="198">
        <f>Tabla1[[#This Row],[HRS EXT]]*Tabla1[[#This Row],[SUE X HR]]</f>
        <v>0</v>
      </c>
      <c r="N1390" s="168">
        <v>0</v>
      </c>
      <c r="O1390" s="198">
        <f>Tabla1[[#This Row],[ASUETO]]*Tabla1[[#This Row],[SUE DIA]]</f>
        <v>0</v>
      </c>
      <c r="P1390" s="139">
        <f>IF(Tabla1[[#This Row],[FECHA ING]]&lt;$P$1007,365,_xlfn.DAYS($P$1008,Tabla1[[#This Row],[FECHA ING]])+1)</f>
        <v>365</v>
      </c>
      <c r="Q1390" s="198">
        <f>INT(30*(Tabla1[[#This Row],[FECHAS CONTB AGNLDO]]/365))</f>
        <v>30</v>
      </c>
      <c r="R1390" s="244">
        <f ca="1">IF($W$32=$W$26,Tabla1[[#This Row],[SUE DIA]]*Tabla1[[#This Row],[DIAS PAG AGNLDO]],0)</f>
        <v>0</v>
      </c>
      <c r="S1390" s="244">
        <f ca="1">(_xlfn.DAYS(TODAY(),Tabla1[[#This Row],[FECHA ING]])/365)</f>
        <v>3.2301369863013698</v>
      </c>
      <c r="T1390" s="244">
        <f ca="1">IF(Tabla1[[#This Row],[DIAS VAC]]&gt;1,Tabla1[[#This Row],[DIAS VAC]]-Tabla1[[#This Row],[ANTIG]],Tabla1[[#This Row],[DIAS VAC]])</f>
        <v>0.23013698630136981</v>
      </c>
      <c r="U1390" s="244">
        <f ca="1">Tabla1[[#This Row],[VALID ANTIG]]*Tabla1[[#This Row],[SUE DIA]]*Tabla1[[#This Row],[DIAS VAC PAG]]</f>
        <v>507.45205479452045</v>
      </c>
    </row>
    <row r="1391" spans="2:21" hidden="1" x14ac:dyDescent="0.25">
      <c r="B1391" s="243">
        <v>562</v>
      </c>
      <c r="C1391" s="140" t="str">
        <f>VLOOKUP(B1391,BDD[],2,0)</f>
        <v>María del Rosario Salinas Rivera</v>
      </c>
      <c r="D1391" s="140">
        <f>VLOOKUP(B1391,BDD[],3,0)</f>
        <v>27150</v>
      </c>
      <c r="E1391" s="140">
        <f>VLOOKUP(B1391,BDD[],4,0)</f>
        <v>905</v>
      </c>
      <c r="F1391" s="142">
        <f>VLOOKUP(B1391,BDD[],26,0)</f>
        <v>100.55555555555556</v>
      </c>
      <c r="G1391" s="268">
        <f>VLOOKUP(B1391,BDD[],6,0)</f>
        <v>43582</v>
      </c>
      <c r="H1391" s="139">
        <f ca="1">VLOOKUP(B1391,BDD[],7,0)</f>
        <v>3</v>
      </c>
      <c r="I1391" s="139">
        <f ca="1">VLOOKUP(B1391,BDD[],22,0)</f>
        <v>7</v>
      </c>
      <c r="J1391" s="168">
        <v>15</v>
      </c>
      <c r="K1391" s="139">
        <f>Tabla1[[#This Row],[DIAS LAB]]*Tabla1[[#This Row],[SUE DIA]]</f>
        <v>13575</v>
      </c>
      <c r="L1391" s="168">
        <v>0</v>
      </c>
      <c r="M1391" s="198">
        <f>Tabla1[[#This Row],[HRS EXT]]*Tabla1[[#This Row],[SUE X HR]]</f>
        <v>0</v>
      </c>
      <c r="N1391" s="168">
        <v>0</v>
      </c>
      <c r="O1391" s="198">
        <f>Tabla1[[#This Row],[ASUETO]]*Tabla1[[#This Row],[SUE DIA]]</f>
        <v>0</v>
      </c>
      <c r="P1391" s="139">
        <f>IF(Tabla1[[#This Row],[FECHA ING]]&lt;$P$1007,365,_xlfn.DAYS($P$1008,Tabla1[[#This Row],[FECHA ING]])+1)</f>
        <v>365</v>
      </c>
      <c r="Q1391" s="198">
        <f>INT(30*(Tabla1[[#This Row],[FECHAS CONTB AGNLDO]]/365))</f>
        <v>30</v>
      </c>
      <c r="R1391" s="244">
        <f ca="1">IF($W$32=$W$26,Tabla1[[#This Row],[SUE DIA]]*Tabla1[[#This Row],[DIAS PAG AGNLDO]],0)</f>
        <v>0</v>
      </c>
      <c r="S1391" s="244">
        <f ca="1">(_xlfn.DAYS(TODAY(),Tabla1[[#This Row],[FECHA ING]])/365)</f>
        <v>3.2273972602739724</v>
      </c>
      <c r="T1391" s="244">
        <f ca="1">IF(Tabla1[[#This Row],[DIAS VAC]]&gt;1,Tabla1[[#This Row],[DIAS VAC]]-Tabla1[[#This Row],[ANTIG]],Tabla1[[#This Row],[DIAS VAC]])</f>
        <v>0.22739726027397245</v>
      </c>
      <c r="U1391" s="244">
        <f ca="1">Tabla1[[#This Row],[VALID ANTIG]]*Tabla1[[#This Row],[SUE DIA]]*Tabla1[[#This Row],[DIAS VAC PAG]]</f>
        <v>1440.5616438356155</v>
      </c>
    </row>
    <row r="1392" spans="2:21" hidden="1" x14ac:dyDescent="0.25">
      <c r="B1392" s="243">
        <v>563</v>
      </c>
      <c r="C1392" s="140" t="str">
        <f>VLOOKUP(B1392,BDD[],2,0)</f>
        <v>María Guadalupe Cortes Trejo</v>
      </c>
      <c r="D1392" s="140">
        <f>VLOOKUP(B1392,BDD[],3,0)</f>
        <v>6778</v>
      </c>
      <c r="E1392" s="140">
        <f>VLOOKUP(B1392,BDD[],4,0)</f>
        <v>225.93333333333334</v>
      </c>
      <c r="F1392" s="142">
        <f>VLOOKUP(B1392,BDD[],26,0)</f>
        <v>25.103703703703705</v>
      </c>
      <c r="G1392" s="268">
        <f>VLOOKUP(B1392,BDD[],6,0)</f>
        <v>43587</v>
      </c>
      <c r="H1392" s="139">
        <f ca="1">VLOOKUP(B1392,BDD[],7,0)</f>
        <v>3</v>
      </c>
      <c r="I1392" s="139">
        <f ca="1">VLOOKUP(B1392,BDD[],22,0)</f>
        <v>3.5</v>
      </c>
      <c r="J1392" s="168">
        <v>15</v>
      </c>
      <c r="K1392" s="139">
        <f>Tabla1[[#This Row],[DIAS LAB]]*Tabla1[[#This Row],[SUE DIA]]</f>
        <v>3389</v>
      </c>
      <c r="L1392" s="168">
        <v>0</v>
      </c>
      <c r="M1392" s="198">
        <f>Tabla1[[#This Row],[HRS EXT]]*Tabla1[[#This Row],[SUE X HR]]</f>
        <v>0</v>
      </c>
      <c r="N1392" s="168">
        <v>0</v>
      </c>
      <c r="O1392" s="198">
        <f>Tabla1[[#This Row],[ASUETO]]*Tabla1[[#This Row],[SUE DIA]]</f>
        <v>0</v>
      </c>
      <c r="P1392" s="139">
        <f>IF(Tabla1[[#This Row],[FECHA ING]]&lt;$P$1007,365,_xlfn.DAYS($P$1008,Tabla1[[#This Row],[FECHA ING]])+1)</f>
        <v>365</v>
      </c>
      <c r="Q1392" s="198">
        <f>INT(30*(Tabla1[[#This Row],[FECHAS CONTB AGNLDO]]/365))</f>
        <v>30</v>
      </c>
      <c r="R1392" s="244">
        <f ca="1">IF($W$32=$W$26,Tabla1[[#This Row],[SUE DIA]]*Tabla1[[#This Row],[DIAS PAG AGNLDO]],0)</f>
        <v>0</v>
      </c>
      <c r="S1392" s="316">
        <f ca="1">(_xlfn.DAYS(TODAY(),Tabla1[[#This Row],[FECHA ING]])/365)</f>
        <v>3.2136986301369861</v>
      </c>
      <c r="T1392" s="244">
        <f ca="1">IF(Tabla1[[#This Row],[DIAS VAC]]&gt;1,Tabla1[[#This Row],[DIAS VAC]]-Tabla1[[#This Row],[ANTIG]],Tabla1[[#This Row],[DIAS VAC]])</f>
        <v>0.21369863013698609</v>
      </c>
      <c r="U1392" s="244">
        <f ca="1">Tabla1[[#This Row],[VALID ANTIG]]*Tabla1[[#This Row],[SUE DIA]]*Tabla1[[#This Row],[DIAS VAC PAG]]</f>
        <v>168.98575342465739</v>
      </c>
    </row>
    <row r="1393" spans="2:21" hidden="1" x14ac:dyDescent="0.25">
      <c r="B1393" s="243">
        <v>564</v>
      </c>
      <c r="C1393" s="140" t="str">
        <f>VLOOKUP(B1393,BDD[],2,0)</f>
        <v>Katya Daniela Rodriguez Ochoa</v>
      </c>
      <c r="D1393" s="140">
        <f>VLOOKUP(B1393,BDD[],3,0)</f>
        <v>7445</v>
      </c>
      <c r="E1393" s="140">
        <f>VLOOKUP(B1393,BDD[],4,0)</f>
        <v>248.16666666666666</v>
      </c>
      <c r="F1393" s="142">
        <f>VLOOKUP(B1393,BDD[],26,0)</f>
        <v>27.574074074074073</v>
      </c>
      <c r="G1393" s="268">
        <f>VLOOKUP(B1393,BDD[],6,0)</f>
        <v>43595</v>
      </c>
      <c r="H1393" s="139">
        <f ca="1">VLOOKUP(B1393,BDD[],7,0)</f>
        <v>3</v>
      </c>
      <c r="I1393" s="139">
        <f ca="1">VLOOKUP(B1393,BDD[],22,0)</f>
        <v>7</v>
      </c>
      <c r="J1393" s="168">
        <v>15</v>
      </c>
      <c r="K1393" s="139">
        <f>Tabla1[[#This Row],[DIAS LAB]]*Tabla1[[#This Row],[SUE DIA]]</f>
        <v>3722.5</v>
      </c>
      <c r="L1393" s="168">
        <v>0</v>
      </c>
      <c r="M1393" s="198">
        <f>Tabla1[[#This Row],[HRS EXT]]*Tabla1[[#This Row],[SUE X HR]]</f>
        <v>0</v>
      </c>
      <c r="N1393" s="168">
        <v>0</v>
      </c>
      <c r="O1393" s="198">
        <f>Tabla1[[#This Row],[ASUETO]]*Tabla1[[#This Row],[SUE DIA]]</f>
        <v>0</v>
      </c>
      <c r="P1393" s="139">
        <f>IF(Tabla1[[#This Row],[FECHA ING]]&lt;$P$1007,365,_xlfn.DAYS($P$1008,Tabla1[[#This Row],[FECHA ING]])+1)</f>
        <v>365</v>
      </c>
      <c r="Q1393" s="198">
        <f>INT(30*(Tabla1[[#This Row],[FECHAS CONTB AGNLDO]]/365))</f>
        <v>30</v>
      </c>
      <c r="R1393" s="244">
        <f ca="1">IF($W$32=$W$26,Tabla1[[#This Row],[SUE DIA]]*Tabla1[[#This Row],[DIAS PAG AGNLDO]],0)</f>
        <v>0</v>
      </c>
      <c r="S1393" s="244">
        <f ca="1">(_xlfn.DAYS(TODAY(),Tabla1[[#This Row],[FECHA ING]])/365)</f>
        <v>3.1917808219178081</v>
      </c>
      <c r="T1393" s="244">
        <f ca="1">IF(Tabla1[[#This Row],[DIAS VAC]]&gt;1,Tabla1[[#This Row],[DIAS VAC]]-Tabla1[[#This Row],[ANTIG]],Tabla1[[#This Row],[DIAS VAC]])</f>
        <v>0.1917808219178081</v>
      </c>
      <c r="U1393" s="244">
        <f ca="1">Tabla1[[#This Row],[VALID ANTIG]]*Tabla1[[#This Row],[SUE DIA]]*Tabla1[[#This Row],[DIAS VAC PAG]]</f>
        <v>333.1552511415523</v>
      </c>
    </row>
    <row r="1394" spans="2:21" hidden="1" x14ac:dyDescent="0.25">
      <c r="B1394" s="243">
        <v>568</v>
      </c>
      <c r="C1394" s="140" t="str">
        <f>VLOOKUP(B1394,BDD[],2,0)</f>
        <v>Brandon Alexis Fuentes Garza</v>
      </c>
      <c r="D1394" s="140">
        <f>VLOOKUP(B1394,BDD[],3,0)</f>
        <v>9541</v>
      </c>
      <c r="E1394" s="140">
        <f>VLOOKUP(B1394,BDD[],4,0)</f>
        <v>318.03333333333336</v>
      </c>
      <c r="F1394" s="142">
        <f>VLOOKUP(B1394,BDD[],26,0)</f>
        <v>35.337037037037042</v>
      </c>
      <c r="G1394" s="268">
        <f>VLOOKUP(B1394,BDD[],6,0)</f>
        <v>43597</v>
      </c>
      <c r="H1394" s="139">
        <f ca="1">VLOOKUP(B1394,BDD[],7,0)</f>
        <v>3</v>
      </c>
      <c r="I1394" s="139">
        <f ca="1">VLOOKUP(B1394,BDD[],22,0)</f>
        <v>7</v>
      </c>
      <c r="J1394" s="168">
        <v>15</v>
      </c>
      <c r="K1394" s="139">
        <f>Tabla1[[#This Row],[DIAS LAB]]*Tabla1[[#This Row],[SUE DIA]]</f>
        <v>4770.5</v>
      </c>
      <c r="L1394" s="168">
        <v>0</v>
      </c>
      <c r="M1394" s="198">
        <f>Tabla1[[#This Row],[HRS EXT]]*Tabla1[[#This Row],[SUE X HR]]</f>
        <v>0</v>
      </c>
      <c r="N1394" s="168">
        <v>0</v>
      </c>
      <c r="O1394" s="198">
        <f>Tabla1[[#This Row],[ASUETO]]*Tabla1[[#This Row],[SUE DIA]]</f>
        <v>0</v>
      </c>
      <c r="P1394" s="139">
        <f>IF(Tabla1[[#This Row],[FECHA ING]]&lt;$P$1007,365,_xlfn.DAYS($P$1008,Tabla1[[#This Row],[FECHA ING]])+1)</f>
        <v>365</v>
      </c>
      <c r="Q1394" s="198">
        <f>INT(30*(Tabla1[[#This Row],[FECHAS CONTB AGNLDO]]/365))</f>
        <v>30</v>
      </c>
      <c r="R1394" s="244">
        <f ca="1">IF($W$32=$W$26,Tabla1[[#This Row],[SUE DIA]]*Tabla1[[#This Row],[DIAS PAG AGNLDO]],0)</f>
        <v>0</v>
      </c>
      <c r="S1394" s="244">
        <f ca="1">(_xlfn.DAYS(TODAY(),Tabla1[[#This Row],[FECHA ING]])/365)</f>
        <v>3.1863013698630138</v>
      </c>
      <c r="T1394" s="244">
        <f ca="1">IF(Tabla1[[#This Row],[DIAS VAC]]&gt;1,Tabla1[[#This Row],[DIAS VAC]]-Tabla1[[#This Row],[ANTIG]],Tabla1[[#This Row],[DIAS VAC]])</f>
        <v>0.18630136986301382</v>
      </c>
      <c r="U1394" s="244">
        <f ca="1">Tabla1[[#This Row],[VALID ANTIG]]*Tabla1[[#This Row],[SUE DIA]]*Tabla1[[#This Row],[DIAS VAC PAG]]</f>
        <v>414.75031963470349</v>
      </c>
    </row>
    <row r="1395" spans="2:21" hidden="1" x14ac:dyDescent="0.25">
      <c r="B1395" s="243">
        <v>569</v>
      </c>
      <c r="C1395" s="140" t="str">
        <f>VLOOKUP(B1395,BDD[],2,0)</f>
        <v>Cassandra Denise Presas Rodarte</v>
      </c>
      <c r="D1395" s="140">
        <f>VLOOKUP(B1395,BDD[],3,0)</f>
        <v>9541</v>
      </c>
      <c r="E1395" s="140">
        <f>VLOOKUP(B1395,BDD[],4,0)</f>
        <v>318.03333333333336</v>
      </c>
      <c r="F1395" s="142">
        <f>VLOOKUP(B1395,BDD[],26,0)</f>
        <v>35.337037037037042</v>
      </c>
      <c r="G1395" s="268">
        <f>VLOOKUP(B1395,BDD[],6,0)</f>
        <v>43608</v>
      </c>
      <c r="H1395" s="139">
        <f ca="1">VLOOKUP(B1395,BDD[],7,0)</f>
        <v>3</v>
      </c>
      <c r="I1395" s="139">
        <f ca="1">VLOOKUP(B1395,BDD[],22,0)</f>
        <v>7</v>
      </c>
      <c r="J1395" s="168">
        <v>15</v>
      </c>
      <c r="K1395" s="139">
        <f>Tabla1[[#This Row],[DIAS LAB]]*Tabla1[[#This Row],[SUE DIA]]</f>
        <v>4770.5</v>
      </c>
      <c r="L1395" s="168">
        <v>0</v>
      </c>
      <c r="M1395" s="198">
        <f>Tabla1[[#This Row],[HRS EXT]]*Tabla1[[#This Row],[SUE X HR]]</f>
        <v>0</v>
      </c>
      <c r="N1395" s="168">
        <v>0</v>
      </c>
      <c r="O1395" s="198">
        <f>Tabla1[[#This Row],[ASUETO]]*Tabla1[[#This Row],[SUE DIA]]</f>
        <v>0</v>
      </c>
      <c r="P1395" s="139">
        <f>IF(Tabla1[[#This Row],[FECHA ING]]&lt;$P$1007,365,_xlfn.DAYS($P$1008,Tabla1[[#This Row],[FECHA ING]])+1)</f>
        <v>365</v>
      </c>
      <c r="Q1395" s="198">
        <f>INT(30*(Tabla1[[#This Row],[FECHAS CONTB AGNLDO]]/365))</f>
        <v>30</v>
      </c>
      <c r="R1395" s="244">
        <f ca="1">IF($W$32=$W$26,Tabla1[[#This Row],[SUE DIA]]*Tabla1[[#This Row],[DIAS PAG AGNLDO]],0)</f>
        <v>0</v>
      </c>
      <c r="S1395" s="244">
        <f ca="1">(_xlfn.DAYS(TODAY(),Tabla1[[#This Row],[FECHA ING]])/365)</f>
        <v>3.1561643835616437</v>
      </c>
      <c r="T1395" s="244">
        <f ca="1">IF(Tabla1[[#This Row],[DIAS VAC]]&gt;1,Tabla1[[#This Row],[DIAS VAC]]-Tabla1[[#This Row],[ANTIG]],Tabla1[[#This Row],[DIAS VAC]])</f>
        <v>0.15616438356164375</v>
      </c>
      <c r="U1395" s="244">
        <f ca="1">Tabla1[[#This Row],[VALID ANTIG]]*Tabla1[[#This Row],[SUE DIA]]*Tabla1[[#This Row],[DIAS VAC PAG]]</f>
        <v>347.65835616438335</v>
      </c>
    </row>
    <row r="1396" spans="2:21" hidden="1" x14ac:dyDescent="0.25">
      <c r="B1396" s="243">
        <v>571</v>
      </c>
      <c r="C1396" s="140" t="str">
        <f>VLOOKUP(B1396,BDD[],2,0)</f>
        <v>Elizabeth Celestino Torralba</v>
      </c>
      <c r="D1396" s="140">
        <f>VLOOKUP(B1396,BDD[],3,0)</f>
        <v>7950</v>
      </c>
      <c r="E1396" s="140">
        <f>VLOOKUP(B1396,BDD[],4,0)</f>
        <v>265</v>
      </c>
      <c r="F1396" s="142">
        <f>VLOOKUP(B1396,BDD[],26,0)</f>
        <v>29.444444444444443</v>
      </c>
      <c r="G1396" s="268">
        <f>VLOOKUP(B1396,BDD[],6,0)</f>
        <v>43609</v>
      </c>
      <c r="H1396" s="139">
        <f ca="1">VLOOKUP(B1396,BDD[],7,0)</f>
        <v>3</v>
      </c>
      <c r="I1396" s="139">
        <f ca="1">VLOOKUP(B1396,BDD[],22,0)</f>
        <v>7</v>
      </c>
      <c r="J1396" s="168">
        <v>15</v>
      </c>
      <c r="K1396" s="139">
        <f>Tabla1[[#This Row],[DIAS LAB]]*Tabla1[[#This Row],[SUE DIA]]</f>
        <v>3975</v>
      </c>
      <c r="L1396" s="168">
        <v>0</v>
      </c>
      <c r="M1396" s="198">
        <f>Tabla1[[#This Row],[HRS EXT]]*Tabla1[[#This Row],[SUE X HR]]</f>
        <v>0</v>
      </c>
      <c r="N1396" s="168">
        <v>0</v>
      </c>
      <c r="O1396" s="198">
        <f>Tabla1[[#This Row],[ASUETO]]*Tabla1[[#This Row],[SUE DIA]]</f>
        <v>0</v>
      </c>
      <c r="P1396" s="139">
        <f>IF(Tabla1[[#This Row],[FECHA ING]]&lt;$P$1007,365,_xlfn.DAYS($P$1008,Tabla1[[#This Row],[FECHA ING]])+1)</f>
        <v>365</v>
      </c>
      <c r="Q1396" s="198">
        <f>INT(30*(Tabla1[[#This Row],[FECHAS CONTB AGNLDO]]/365))</f>
        <v>30</v>
      </c>
      <c r="R1396" s="244">
        <f ca="1">IF($W$32=$W$26,Tabla1[[#This Row],[SUE DIA]]*Tabla1[[#This Row],[DIAS PAG AGNLDO]],0)</f>
        <v>0</v>
      </c>
      <c r="S1396" s="244">
        <f ca="1">(_xlfn.DAYS(TODAY(),Tabla1[[#This Row],[FECHA ING]])/365)</f>
        <v>3.1534246575342464</v>
      </c>
      <c r="T1396" s="244">
        <f ca="1">IF(Tabla1[[#This Row],[DIAS VAC]]&gt;1,Tabla1[[#This Row],[DIAS VAC]]-Tabla1[[#This Row],[ANTIG]],Tabla1[[#This Row],[DIAS VAC]])</f>
        <v>0.15342465753424639</v>
      </c>
      <c r="U1396" s="244">
        <f ca="1">Tabla1[[#This Row],[VALID ANTIG]]*Tabla1[[#This Row],[SUE DIA]]*Tabla1[[#This Row],[DIAS VAC PAG]]</f>
        <v>284.60273972602704</v>
      </c>
    </row>
    <row r="1397" spans="2:21" hidden="1" x14ac:dyDescent="0.25">
      <c r="B1397" s="243">
        <v>572</v>
      </c>
      <c r="C1397" s="140" t="str">
        <f>VLOOKUP(B1397,BDD[],2,0)</f>
        <v>Yaneth Marcela Vega García</v>
      </c>
      <c r="D1397" s="140">
        <f>VLOOKUP(B1397,BDD[],3,0)</f>
        <v>7950</v>
      </c>
      <c r="E1397" s="140">
        <f>VLOOKUP(B1397,BDD[],4,0)</f>
        <v>265</v>
      </c>
      <c r="F1397" s="142">
        <f>VLOOKUP(B1397,BDD[],26,0)</f>
        <v>29.444444444444443</v>
      </c>
      <c r="G1397" s="268">
        <f>VLOOKUP(B1397,BDD[],6,0)</f>
        <v>43615</v>
      </c>
      <c r="H1397" s="139">
        <f ca="1">VLOOKUP(B1397,BDD[],7,0)</f>
        <v>3</v>
      </c>
      <c r="I1397" s="139">
        <f ca="1">VLOOKUP(B1397,BDD[],22,0)</f>
        <v>7</v>
      </c>
      <c r="J1397" s="168">
        <v>15</v>
      </c>
      <c r="K1397" s="139">
        <f>Tabla1[[#This Row],[DIAS LAB]]*Tabla1[[#This Row],[SUE DIA]]</f>
        <v>3975</v>
      </c>
      <c r="L1397" s="168">
        <v>0</v>
      </c>
      <c r="M1397" s="198">
        <f>Tabla1[[#This Row],[HRS EXT]]*Tabla1[[#This Row],[SUE X HR]]</f>
        <v>0</v>
      </c>
      <c r="N1397" s="168">
        <v>0</v>
      </c>
      <c r="O1397" s="198">
        <f>Tabla1[[#This Row],[ASUETO]]*Tabla1[[#This Row],[SUE DIA]]</f>
        <v>0</v>
      </c>
      <c r="P1397" s="139">
        <f>IF(Tabla1[[#This Row],[FECHA ING]]&lt;$P$1007,365,_xlfn.DAYS($P$1008,Tabla1[[#This Row],[FECHA ING]])+1)</f>
        <v>365</v>
      </c>
      <c r="Q1397" s="198">
        <f>INT(30*(Tabla1[[#This Row],[FECHAS CONTB AGNLDO]]/365))</f>
        <v>30</v>
      </c>
      <c r="R1397" s="244">
        <f ca="1">IF($W$32=$W$26,Tabla1[[#This Row],[SUE DIA]]*Tabla1[[#This Row],[DIAS PAG AGNLDO]],0)</f>
        <v>0</v>
      </c>
      <c r="S1397" s="244">
        <f ca="1">(_xlfn.DAYS(TODAY(),Tabla1[[#This Row],[FECHA ING]])/365)</f>
        <v>3.1369863013698631</v>
      </c>
      <c r="T1397" s="244">
        <f ca="1">IF(Tabla1[[#This Row],[DIAS VAC]]&gt;1,Tabla1[[#This Row],[DIAS VAC]]-Tabla1[[#This Row],[ANTIG]],Tabla1[[#This Row],[DIAS VAC]])</f>
        <v>0.13698630136986312</v>
      </c>
      <c r="U1397" s="244">
        <f ca="1">Tabla1[[#This Row],[VALID ANTIG]]*Tabla1[[#This Row],[SUE DIA]]*Tabla1[[#This Row],[DIAS VAC PAG]]</f>
        <v>254.10958904109609</v>
      </c>
    </row>
    <row r="1398" spans="2:21" hidden="1" x14ac:dyDescent="0.25">
      <c r="B1398" s="243">
        <v>574</v>
      </c>
      <c r="C1398" s="140" t="str">
        <f>VLOOKUP(B1398,BDD[],2,0)</f>
        <v>Karina Lizbeth Estrada Galvan</v>
      </c>
      <c r="D1398" s="140">
        <f>VLOOKUP(B1398,BDD[],3,0)</f>
        <v>6778</v>
      </c>
      <c r="E1398" s="140">
        <f>VLOOKUP(B1398,BDD[],4,0)</f>
        <v>225.93333333333334</v>
      </c>
      <c r="F1398" s="142">
        <f>VLOOKUP(B1398,BDD[],26,0)</f>
        <v>25.103703703703705</v>
      </c>
      <c r="G1398" s="268">
        <f>VLOOKUP(B1398,BDD[],6,0)</f>
        <v>43623</v>
      </c>
      <c r="H1398" s="139">
        <f ca="1">VLOOKUP(B1398,BDD[],7,0)</f>
        <v>3</v>
      </c>
      <c r="I1398" s="139">
        <f ca="1">VLOOKUP(B1398,BDD[],22,0)</f>
        <v>3.5</v>
      </c>
      <c r="J1398" s="168">
        <v>15</v>
      </c>
      <c r="K1398" s="139">
        <f>Tabla1[[#This Row],[DIAS LAB]]*Tabla1[[#This Row],[SUE DIA]]</f>
        <v>3389</v>
      </c>
      <c r="L1398" s="168">
        <v>0</v>
      </c>
      <c r="M1398" s="198">
        <f>Tabla1[[#This Row],[HRS EXT]]*Tabla1[[#This Row],[SUE X HR]]</f>
        <v>0</v>
      </c>
      <c r="N1398" s="168">
        <v>0</v>
      </c>
      <c r="O1398" s="198">
        <f>Tabla1[[#This Row],[ASUETO]]*Tabla1[[#This Row],[SUE DIA]]</f>
        <v>0</v>
      </c>
      <c r="P1398" s="139">
        <f>IF(Tabla1[[#This Row],[FECHA ING]]&lt;$P$1007,365,_xlfn.DAYS($P$1008,Tabla1[[#This Row],[FECHA ING]])+1)</f>
        <v>365</v>
      </c>
      <c r="Q1398" s="198">
        <f>INT(30*(Tabla1[[#This Row],[FECHAS CONTB AGNLDO]]/365))</f>
        <v>30</v>
      </c>
      <c r="R1398" s="244">
        <f ca="1">IF($W$32=$W$26,Tabla1[[#This Row],[SUE DIA]]*Tabla1[[#This Row],[DIAS PAG AGNLDO]],0)</f>
        <v>0</v>
      </c>
      <c r="S1398" s="244">
        <f ca="1">(_xlfn.DAYS(TODAY(),Tabla1[[#This Row],[FECHA ING]])/365)</f>
        <v>3.1150684931506851</v>
      </c>
      <c r="T1398" s="244">
        <f ca="1">IF(Tabla1[[#This Row],[DIAS VAC]]&gt;1,Tabla1[[#This Row],[DIAS VAC]]-Tabla1[[#This Row],[ANTIG]],Tabla1[[#This Row],[DIAS VAC]])</f>
        <v>0.11506849315068512</v>
      </c>
      <c r="U1398" s="244">
        <f ca="1">Tabla1[[#This Row],[VALID ANTIG]]*Tabla1[[#This Row],[SUE DIA]]*Tabla1[[#This Row],[DIAS VAC PAG]]</f>
        <v>90.992328767123439</v>
      </c>
    </row>
    <row r="1399" spans="2:21" hidden="1" x14ac:dyDescent="0.25">
      <c r="B1399" s="243">
        <v>576</v>
      </c>
      <c r="C1399" s="140" t="str">
        <f>VLOOKUP(B1399,BDD[],2,0)</f>
        <v>Lizbeth Martha Pazcal Escobedo</v>
      </c>
      <c r="D1399" s="140">
        <f>VLOOKUP(B1399,BDD[],3,0)</f>
        <v>9541</v>
      </c>
      <c r="E1399" s="140">
        <f>VLOOKUP(B1399,BDD[],4,0)</f>
        <v>318.03333333333336</v>
      </c>
      <c r="F1399" s="142">
        <f>VLOOKUP(B1399,BDD[],26,0)</f>
        <v>35.337037037037042</v>
      </c>
      <c r="G1399" s="268">
        <f>VLOOKUP(B1399,BDD[],6,0)</f>
        <v>43624</v>
      </c>
      <c r="H1399" s="139">
        <f ca="1">VLOOKUP(B1399,BDD[],7,0)</f>
        <v>3</v>
      </c>
      <c r="I1399" s="139">
        <f ca="1">VLOOKUP(B1399,BDD[],22,0)</f>
        <v>7</v>
      </c>
      <c r="J1399" s="168">
        <v>15</v>
      </c>
      <c r="K1399" s="139">
        <f>Tabla1[[#This Row],[DIAS LAB]]*Tabla1[[#This Row],[SUE DIA]]</f>
        <v>4770.5</v>
      </c>
      <c r="L1399" s="168">
        <v>0</v>
      </c>
      <c r="M1399" s="198">
        <f>Tabla1[[#This Row],[HRS EXT]]*Tabla1[[#This Row],[SUE X HR]]</f>
        <v>0</v>
      </c>
      <c r="N1399" s="168">
        <v>0</v>
      </c>
      <c r="O1399" s="198">
        <f>Tabla1[[#This Row],[ASUETO]]*Tabla1[[#This Row],[SUE DIA]]</f>
        <v>0</v>
      </c>
      <c r="P1399" s="139">
        <f>IF(Tabla1[[#This Row],[FECHA ING]]&lt;$P$1007,365,_xlfn.DAYS($P$1008,Tabla1[[#This Row],[FECHA ING]])+1)</f>
        <v>365</v>
      </c>
      <c r="Q1399" s="198">
        <f>INT(30*(Tabla1[[#This Row],[FECHAS CONTB AGNLDO]]/365))</f>
        <v>30</v>
      </c>
      <c r="R1399" s="244">
        <f ca="1">IF($W$32=$W$26,Tabla1[[#This Row],[SUE DIA]]*Tabla1[[#This Row],[DIAS PAG AGNLDO]],0)</f>
        <v>0</v>
      </c>
      <c r="S1399" s="244">
        <f ca="1">(_xlfn.DAYS(TODAY(),Tabla1[[#This Row],[FECHA ING]])/365)</f>
        <v>3.1123287671232878</v>
      </c>
      <c r="T1399" s="244">
        <f ca="1">IF(Tabla1[[#This Row],[DIAS VAC]]&gt;1,Tabla1[[#This Row],[DIAS VAC]]-Tabla1[[#This Row],[ANTIG]],Tabla1[[#This Row],[DIAS VAC]])</f>
        <v>0.11232876712328776</v>
      </c>
      <c r="U1399" s="244">
        <f ca="1">Tabla1[[#This Row],[VALID ANTIG]]*Tabla1[[#This Row],[SUE DIA]]*Tabla1[[#This Row],[DIAS VAC PAG]]</f>
        <v>250.07004566210065</v>
      </c>
    </row>
    <row r="1400" spans="2:21" hidden="1" x14ac:dyDescent="0.25">
      <c r="B1400" s="243">
        <v>577</v>
      </c>
      <c r="C1400" s="140" t="str">
        <f>VLOOKUP(B1400,BDD[],2,0)</f>
        <v>Teodoro Contreras Cruz</v>
      </c>
      <c r="D1400" s="140">
        <f>VLOOKUP(B1400,BDD[],3,0)</f>
        <v>7950</v>
      </c>
      <c r="E1400" s="140">
        <f>VLOOKUP(B1400,BDD[],4,0)</f>
        <v>265</v>
      </c>
      <c r="F1400" s="142">
        <f>VLOOKUP(B1400,BDD[],26,0)</f>
        <v>29.444444444444443</v>
      </c>
      <c r="G1400" s="268">
        <f>VLOOKUP(B1400,BDD[],6,0)</f>
        <v>43625</v>
      </c>
      <c r="H1400" s="139">
        <f ca="1">VLOOKUP(B1400,BDD[],7,0)</f>
        <v>3</v>
      </c>
      <c r="I1400" s="139">
        <f ca="1">VLOOKUP(B1400,BDD[],22,0)</f>
        <v>7</v>
      </c>
      <c r="J1400" s="168">
        <v>15</v>
      </c>
      <c r="K1400" s="139">
        <f>Tabla1[[#This Row],[DIAS LAB]]*Tabla1[[#This Row],[SUE DIA]]</f>
        <v>3975</v>
      </c>
      <c r="L1400" s="168">
        <v>0</v>
      </c>
      <c r="M1400" s="198">
        <f>Tabla1[[#This Row],[HRS EXT]]*Tabla1[[#This Row],[SUE X HR]]</f>
        <v>0</v>
      </c>
      <c r="N1400" s="168">
        <v>0</v>
      </c>
      <c r="O1400" s="198">
        <f>Tabla1[[#This Row],[ASUETO]]*Tabla1[[#This Row],[SUE DIA]]</f>
        <v>0</v>
      </c>
      <c r="P1400" s="139">
        <f>IF(Tabla1[[#This Row],[FECHA ING]]&lt;$P$1007,365,_xlfn.DAYS($P$1008,Tabla1[[#This Row],[FECHA ING]])+1)</f>
        <v>365</v>
      </c>
      <c r="Q1400" s="198">
        <f>INT(30*(Tabla1[[#This Row],[FECHAS CONTB AGNLDO]]/365))</f>
        <v>30</v>
      </c>
      <c r="R1400" s="244">
        <f ca="1">IF($W$32=$W$26,Tabla1[[#This Row],[SUE DIA]]*Tabla1[[#This Row],[DIAS PAG AGNLDO]],0)</f>
        <v>0</v>
      </c>
      <c r="S1400" s="244">
        <f ca="1">(_xlfn.DAYS(TODAY(),Tabla1[[#This Row],[FECHA ING]])/365)</f>
        <v>3.1095890410958904</v>
      </c>
      <c r="T1400" s="244">
        <f ca="1">IF(Tabla1[[#This Row],[DIAS VAC]]&gt;1,Tabla1[[#This Row],[DIAS VAC]]-Tabla1[[#This Row],[ANTIG]],Tabla1[[#This Row],[DIAS VAC]])</f>
        <v>0.1095890410958904</v>
      </c>
      <c r="U1400" s="244">
        <f ca="1">Tabla1[[#This Row],[VALID ANTIG]]*Tabla1[[#This Row],[SUE DIA]]*Tabla1[[#This Row],[DIAS VAC PAG]]</f>
        <v>203.2876712328767</v>
      </c>
    </row>
    <row r="1401" spans="2:21" hidden="1" x14ac:dyDescent="0.25">
      <c r="B1401" s="243">
        <v>579</v>
      </c>
      <c r="C1401" s="140" t="str">
        <f>VLOOKUP(B1401,BDD[],2,0)</f>
        <v>Alma Susel Andrade Mendez</v>
      </c>
      <c r="D1401" s="140">
        <f>VLOOKUP(B1401,BDD[],3,0)</f>
        <v>10860</v>
      </c>
      <c r="E1401" s="140">
        <f>VLOOKUP(B1401,BDD[],4,0)</f>
        <v>362</v>
      </c>
      <c r="F1401" s="142">
        <f>VLOOKUP(B1401,BDD[],26,0)</f>
        <v>40.222222222222221</v>
      </c>
      <c r="G1401" s="268">
        <f>VLOOKUP(B1401,BDD[],6,0)</f>
        <v>43639</v>
      </c>
      <c r="H1401" s="139">
        <f ca="1">VLOOKUP(B1401,BDD[],7,0)</f>
        <v>3</v>
      </c>
      <c r="I1401" s="139">
        <f ca="1">VLOOKUP(B1401,BDD[],22,0)</f>
        <v>7</v>
      </c>
      <c r="J1401" s="168">
        <v>15</v>
      </c>
      <c r="K1401" s="139">
        <f>Tabla1[[#This Row],[DIAS LAB]]*Tabla1[[#This Row],[SUE DIA]]</f>
        <v>5430</v>
      </c>
      <c r="L1401" s="168">
        <v>0</v>
      </c>
      <c r="M1401" s="198">
        <f>Tabla1[[#This Row],[HRS EXT]]*Tabla1[[#This Row],[SUE X HR]]</f>
        <v>0</v>
      </c>
      <c r="N1401" s="168">
        <v>0</v>
      </c>
      <c r="O1401" s="198">
        <f>Tabla1[[#This Row],[ASUETO]]*Tabla1[[#This Row],[SUE DIA]]</f>
        <v>0</v>
      </c>
      <c r="P1401" s="139">
        <f>IF(Tabla1[[#This Row],[FECHA ING]]&lt;$P$1007,365,_xlfn.DAYS($P$1008,Tabla1[[#This Row],[FECHA ING]])+1)</f>
        <v>365</v>
      </c>
      <c r="Q1401" s="198">
        <f>INT(30*(Tabla1[[#This Row],[FECHAS CONTB AGNLDO]]/365))</f>
        <v>30</v>
      </c>
      <c r="R1401" s="244">
        <f ca="1">IF($W$32=$W$26,Tabla1[[#This Row],[SUE DIA]]*Tabla1[[#This Row],[DIAS PAG AGNLDO]],0)</f>
        <v>0</v>
      </c>
      <c r="S1401" s="244">
        <f ca="1">(_xlfn.DAYS(TODAY(),Tabla1[[#This Row],[FECHA ING]])/365)</f>
        <v>3.0712328767123287</v>
      </c>
      <c r="T1401" s="244">
        <f ca="1">IF(Tabla1[[#This Row],[DIAS VAC]]&gt;1,Tabla1[[#This Row],[DIAS VAC]]-Tabla1[[#This Row],[ANTIG]],Tabla1[[#This Row],[DIAS VAC]])</f>
        <v>7.1232876712328697E-2</v>
      </c>
      <c r="U1401" s="244">
        <f ca="1">Tabla1[[#This Row],[VALID ANTIG]]*Tabla1[[#This Row],[SUE DIA]]*Tabla1[[#This Row],[DIAS VAC PAG]]</f>
        <v>180.50410958904092</v>
      </c>
    </row>
    <row r="1402" spans="2:21" hidden="1" x14ac:dyDescent="0.25">
      <c r="B1402" s="243">
        <v>580</v>
      </c>
      <c r="C1402" s="140" t="str">
        <f>VLOOKUP(B1402,BDD[],2,0)</f>
        <v>Sahara Jackellyn González Aguilar</v>
      </c>
      <c r="D1402" s="140">
        <f>VLOOKUP(B1402,BDD[],3,0)</f>
        <v>7950</v>
      </c>
      <c r="E1402" s="140">
        <f>VLOOKUP(B1402,BDD[],4,0)</f>
        <v>265</v>
      </c>
      <c r="F1402" s="142">
        <f>VLOOKUP(B1402,BDD[],26,0)</f>
        <v>29.444444444444443</v>
      </c>
      <c r="G1402" s="268">
        <f>VLOOKUP(B1402,BDD[],6,0)</f>
        <v>43644</v>
      </c>
      <c r="H1402" s="139">
        <f ca="1">VLOOKUP(B1402,BDD[],7,0)</f>
        <v>3</v>
      </c>
      <c r="I1402" s="139">
        <f ca="1">VLOOKUP(B1402,BDD[],22,0)</f>
        <v>7</v>
      </c>
      <c r="J1402" s="168">
        <v>15</v>
      </c>
      <c r="K1402" s="139">
        <f>Tabla1[[#This Row],[DIAS LAB]]*Tabla1[[#This Row],[SUE DIA]]</f>
        <v>3975</v>
      </c>
      <c r="L1402" s="168">
        <v>0</v>
      </c>
      <c r="M1402" s="198">
        <f>Tabla1[[#This Row],[HRS EXT]]*Tabla1[[#This Row],[SUE X HR]]</f>
        <v>0</v>
      </c>
      <c r="N1402" s="168">
        <v>0</v>
      </c>
      <c r="O1402" s="198">
        <f>Tabla1[[#This Row],[ASUETO]]*Tabla1[[#This Row],[SUE DIA]]</f>
        <v>0</v>
      </c>
      <c r="P1402" s="139">
        <f>IF(Tabla1[[#This Row],[FECHA ING]]&lt;$P$1007,365,_xlfn.DAYS($P$1008,Tabla1[[#This Row],[FECHA ING]])+1)</f>
        <v>365</v>
      </c>
      <c r="Q1402" s="198">
        <f>INT(30*(Tabla1[[#This Row],[FECHAS CONTB AGNLDO]]/365))</f>
        <v>30</v>
      </c>
      <c r="R1402" s="244">
        <f ca="1">IF($W$32=$W$26,Tabla1[[#This Row],[SUE DIA]]*Tabla1[[#This Row],[DIAS PAG AGNLDO]],0)</f>
        <v>0</v>
      </c>
      <c r="S1402" s="244">
        <f ca="1">(_xlfn.DAYS(TODAY(),Tabla1[[#This Row],[FECHA ING]])/365)</f>
        <v>3.0575342465753423</v>
      </c>
      <c r="T1402" s="244">
        <f ca="1">IF(Tabla1[[#This Row],[DIAS VAC]]&gt;1,Tabla1[[#This Row],[DIAS VAC]]-Tabla1[[#This Row],[ANTIG]],Tabla1[[#This Row],[DIAS VAC]])</f>
        <v>5.753424657534234E-2</v>
      </c>
      <c r="U1402" s="244">
        <f ca="1">Tabla1[[#This Row],[VALID ANTIG]]*Tabla1[[#This Row],[SUE DIA]]*Tabla1[[#This Row],[DIAS VAC PAG]]</f>
        <v>106.72602739726004</v>
      </c>
    </row>
    <row r="1403" spans="2:21" hidden="1" x14ac:dyDescent="0.25">
      <c r="B1403" s="243">
        <v>581</v>
      </c>
      <c r="C1403" s="140" t="str">
        <f>VLOOKUP(B1403,BDD[],2,0)</f>
        <v>Mixcel Velazquez Lopez</v>
      </c>
      <c r="D1403" s="140">
        <f>VLOOKUP(B1403,BDD[],3,0)</f>
        <v>9450</v>
      </c>
      <c r="E1403" s="140">
        <f>VLOOKUP(B1403,BDD[],4,0)</f>
        <v>315</v>
      </c>
      <c r="F1403" s="142">
        <f>VLOOKUP(B1403,BDD[],26,0)</f>
        <v>35</v>
      </c>
      <c r="G1403" s="268">
        <f>VLOOKUP(B1403,BDD[],6,0)</f>
        <v>43653</v>
      </c>
      <c r="H1403" s="139">
        <f ca="1">VLOOKUP(B1403,BDD[],7,0)</f>
        <v>3</v>
      </c>
      <c r="I1403" s="139">
        <f ca="1">VLOOKUP(B1403,BDD[],22,0)</f>
        <v>7</v>
      </c>
      <c r="J1403" s="168">
        <v>15</v>
      </c>
      <c r="K1403" s="139">
        <f>Tabla1[[#This Row],[DIAS LAB]]*Tabla1[[#This Row],[SUE DIA]]</f>
        <v>4725</v>
      </c>
      <c r="L1403" s="168">
        <v>0</v>
      </c>
      <c r="M1403" s="198">
        <f>Tabla1[[#This Row],[HRS EXT]]*Tabla1[[#This Row],[SUE X HR]]</f>
        <v>0</v>
      </c>
      <c r="N1403" s="168">
        <v>0</v>
      </c>
      <c r="O1403" s="198">
        <f>Tabla1[[#This Row],[ASUETO]]*Tabla1[[#This Row],[SUE DIA]]</f>
        <v>0</v>
      </c>
      <c r="P1403" s="139">
        <f>IF(Tabla1[[#This Row],[FECHA ING]]&lt;$P$1007,365,_xlfn.DAYS($P$1008,Tabla1[[#This Row],[FECHA ING]])+1)</f>
        <v>365</v>
      </c>
      <c r="Q1403" s="198">
        <f>INT(30*(Tabla1[[#This Row],[FECHAS CONTB AGNLDO]]/365))</f>
        <v>30</v>
      </c>
      <c r="R1403" s="244">
        <f ca="1">IF($W$32=$W$26,Tabla1[[#This Row],[SUE DIA]]*Tabla1[[#This Row],[DIAS PAG AGNLDO]],0)</f>
        <v>0</v>
      </c>
      <c r="S1403" s="244">
        <f ca="1">(_xlfn.DAYS(TODAY(),Tabla1[[#This Row],[FECHA ING]])/365)</f>
        <v>3.032876712328767</v>
      </c>
      <c r="T1403" s="244">
        <f ca="1">IF(Tabla1[[#This Row],[DIAS VAC]]&gt;1,Tabla1[[#This Row],[DIAS VAC]]-Tabla1[[#This Row],[ANTIG]],Tabla1[[#This Row],[DIAS VAC]])</f>
        <v>3.2876712328766988E-2</v>
      </c>
      <c r="U1403" s="244">
        <f ca="1">Tabla1[[#This Row],[VALID ANTIG]]*Tabla1[[#This Row],[SUE DIA]]*Tabla1[[#This Row],[DIAS VAC PAG]]</f>
        <v>72.493150684931209</v>
      </c>
    </row>
    <row r="1404" spans="2:21" hidden="1" x14ac:dyDescent="0.25">
      <c r="B1404" s="243">
        <v>584</v>
      </c>
      <c r="C1404" s="140" t="str">
        <f>VLOOKUP(B1404,BDD[],2,0)</f>
        <v>Bertha Alejandra Cisneros Ramirez</v>
      </c>
      <c r="D1404" s="140">
        <f>VLOOKUP(B1404,BDD[],3,0)</f>
        <v>8825</v>
      </c>
      <c r="E1404" s="140">
        <f>VLOOKUP(B1404,BDD[],4,0)</f>
        <v>294.16666666666669</v>
      </c>
      <c r="F1404" s="142">
        <f>VLOOKUP(B1404,BDD[],26,0)</f>
        <v>32.68518518518519</v>
      </c>
      <c r="G1404" s="268">
        <f>VLOOKUP(B1404,BDD[],6,0)</f>
        <v>43656</v>
      </c>
      <c r="H1404" s="139">
        <f ca="1">VLOOKUP(B1404,BDD[],7,0)</f>
        <v>3</v>
      </c>
      <c r="I1404" s="139">
        <f ca="1">VLOOKUP(B1404,BDD[],22,0)</f>
        <v>7</v>
      </c>
      <c r="J1404" s="168">
        <v>15</v>
      </c>
      <c r="K1404" s="139">
        <f>Tabla1[[#This Row],[DIAS LAB]]*Tabla1[[#This Row],[SUE DIA]]</f>
        <v>4412.5</v>
      </c>
      <c r="L1404" s="168">
        <v>0</v>
      </c>
      <c r="M1404" s="198">
        <f>Tabla1[[#This Row],[HRS EXT]]*Tabla1[[#This Row],[SUE X HR]]</f>
        <v>0</v>
      </c>
      <c r="N1404" s="168">
        <v>0</v>
      </c>
      <c r="O1404" s="198">
        <f>Tabla1[[#This Row],[ASUETO]]*Tabla1[[#This Row],[SUE DIA]]</f>
        <v>0</v>
      </c>
      <c r="P1404" s="139">
        <f>IF(Tabla1[[#This Row],[FECHA ING]]&lt;$P$1007,365,_xlfn.DAYS($P$1008,Tabla1[[#This Row],[FECHA ING]])+1)</f>
        <v>365</v>
      </c>
      <c r="Q1404" s="198">
        <f>INT(30*(Tabla1[[#This Row],[FECHAS CONTB AGNLDO]]/365))</f>
        <v>30</v>
      </c>
      <c r="R1404" s="244">
        <f ca="1">IF($W$32=$W$26,Tabla1[[#This Row],[SUE DIA]]*Tabla1[[#This Row],[DIAS PAG AGNLDO]],0)</f>
        <v>0</v>
      </c>
      <c r="S1404" s="244">
        <f ca="1">(_xlfn.DAYS(TODAY(),Tabla1[[#This Row],[FECHA ING]])/365)</f>
        <v>3.0246575342465754</v>
      </c>
      <c r="T1404" s="244">
        <f ca="1">IF(Tabla1[[#This Row],[DIAS VAC]]&gt;1,Tabla1[[#This Row],[DIAS VAC]]-Tabla1[[#This Row],[ANTIG]],Tabla1[[#This Row],[DIAS VAC]])</f>
        <v>2.4657534246575352E-2</v>
      </c>
      <c r="U1404" s="244">
        <f ca="1">Tabla1[[#This Row],[VALID ANTIG]]*Tabla1[[#This Row],[SUE DIA]]*Tabla1[[#This Row],[DIAS VAC PAG]]</f>
        <v>50.773972602739747</v>
      </c>
    </row>
    <row r="1405" spans="2:21" hidden="1" x14ac:dyDescent="0.25">
      <c r="B1405" s="243">
        <v>585</v>
      </c>
      <c r="C1405" s="140" t="str">
        <f>VLOOKUP(B1405,BDD[],2,0)</f>
        <v>Sofia Idalia Luna Hernández</v>
      </c>
      <c r="D1405" s="140">
        <f>VLOOKUP(B1405,BDD[],3,0)</f>
        <v>7950</v>
      </c>
      <c r="E1405" s="140">
        <f>VLOOKUP(B1405,BDD[],4,0)</f>
        <v>265</v>
      </c>
      <c r="F1405" s="142">
        <f>VLOOKUP(B1405,BDD[],26,0)</f>
        <v>29.444444444444443</v>
      </c>
      <c r="G1405" s="268">
        <f>VLOOKUP(B1405,BDD[],6,0)</f>
        <v>43662</v>
      </c>
      <c r="H1405" s="139">
        <f ca="1">VLOOKUP(B1405,BDD[],7,0)</f>
        <v>3</v>
      </c>
      <c r="I1405" s="139">
        <f ca="1">VLOOKUP(B1405,BDD[],22,0)</f>
        <v>7</v>
      </c>
      <c r="J1405" s="168">
        <v>15</v>
      </c>
      <c r="K1405" s="139">
        <f>Tabla1[[#This Row],[DIAS LAB]]*Tabla1[[#This Row],[SUE DIA]]</f>
        <v>3975</v>
      </c>
      <c r="L1405" s="168">
        <v>0</v>
      </c>
      <c r="M1405" s="198">
        <f>Tabla1[[#This Row],[HRS EXT]]*Tabla1[[#This Row],[SUE X HR]]</f>
        <v>0</v>
      </c>
      <c r="N1405" s="168">
        <v>0</v>
      </c>
      <c r="O1405" s="198">
        <f>Tabla1[[#This Row],[ASUETO]]*Tabla1[[#This Row],[SUE DIA]]</f>
        <v>0</v>
      </c>
      <c r="P1405" s="139">
        <f>IF(Tabla1[[#This Row],[FECHA ING]]&lt;$P$1007,365,_xlfn.DAYS($P$1008,Tabla1[[#This Row],[FECHA ING]])+1)</f>
        <v>365</v>
      </c>
      <c r="Q1405" s="198">
        <f>INT(30*(Tabla1[[#This Row],[FECHAS CONTB AGNLDO]]/365))</f>
        <v>30</v>
      </c>
      <c r="R1405" s="244">
        <f ca="1">IF($W$32=$W$26,Tabla1[[#This Row],[SUE DIA]]*Tabla1[[#This Row],[DIAS PAG AGNLDO]],0)</f>
        <v>0</v>
      </c>
      <c r="S1405" s="244">
        <f ca="1">(_xlfn.DAYS(TODAY(),Tabla1[[#This Row],[FECHA ING]])/365)</f>
        <v>3.0082191780821916</v>
      </c>
      <c r="T1405" s="244">
        <f ca="1">IF(Tabla1[[#This Row],[DIAS VAC]]&gt;1,Tabla1[[#This Row],[DIAS VAC]]-Tabla1[[#This Row],[ANTIG]],Tabla1[[#This Row],[DIAS VAC]])</f>
        <v>8.219178082191636E-3</v>
      </c>
      <c r="U1405" s="244">
        <f ca="1">Tabla1[[#This Row],[VALID ANTIG]]*Tabla1[[#This Row],[SUE DIA]]*Tabla1[[#This Row],[DIAS VAC PAG]]</f>
        <v>15.246575342465485</v>
      </c>
    </row>
    <row r="1406" spans="2:21" hidden="1" x14ac:dyDescent="0.25">
      <c r="B1406" s="243">
        <v>586</v>
      </c>
      <c r="C1406" s="140" t="str">
        <f>VLOOKUP(B1406,BDD[],2,0)</f>
        <v>Elizabeth Fierro Lozano</v>
      </c>
      <c r="D1406" s="140">
        <f>VLOOKUP(B1406,BDD[],3,0)</f>
        <v>7445</v>
      </c>
      <c r="E1406" s="140">
        <f>VLOOKUP(B1406,BDD[],4,0)</f>
        <v>248.16666666666666</v>
      </c>
      <c r="F1406" s="142">
        <f>VLOOKUP(B1406,BDD[],26,0)</f>
        <v>27.574074074074073</v>
      </c>
      <c r="G1406" s="268">
        <f>VLOOKUP(B1406,BDD[],6,0)</f>
        <v>43668</v>
      </c>
      <c r="H1406" s="139">
        <f ca="1">VLOOKUP(B1406,BDD[],7,0)</f>
        <v>2</v>
      </c>
      <c r="I1406" s="139">
        <f ca="1">VLOOKUP(B1406,BDD[],22,0)</f>
        <v>5</v>
      </c>
      <c r="J1406" s="168">
        <v>15</v>
      </c>
      <c r="K1406" s="139">
        <f>Tabla1[[#This Row],[DIAS LAB]]*Tabla1[[#This Row],[SUE DIA]]</f>
        <v>3722.5</v>
      </c>
      <c r="L1406" s="168">
        <v>0</v>
      </c>
      <c r="M1406" s="198">
        <f>Tabla1[[#This Row],[HRS EXT]]*Tabla1[[#This Row],[SUE X HR]]</f>
        <v>0</v>
      </c>
      <c r="N1406" s="168">
        <v>0</v>
      </c>
      <c r="O1406" s="198">
        <f>Tabla1[[#This Row],[ASUETO]]*Tabla1[[#This Row],[SUE DIA]]</f>
        <v>0</v>
      </c>
      <c r="P1406" s="139">
        <f>IF(Tabla1[[#This Row],[FECHA ING]]&lt;$P$1007,365,_xlfn.DAYS($P$1008,Tabla1[[#This Row],[FECHA ING]])+1)</f>
        <v>365</v>
      </c>
      <c r="Q1406" s="198">
        <f>INT(30*(Tabla1[[#This Row],[FECHAS CONTB AGNLDO]]/365))</f>
        <v>30</v>
      </c>
      <c r="R1406" s="244">
        <f ca="1">IF($W$32=$W$26,Tabla1[[#This Row],[SUE DIA]]*Tabla1[[#This Row],[DIAS PAG AGNLDO]],0)</f>
        <v>0</v>
      </c>
      <c r="S1406" s="244">
        <f ca="1">(_xlfn.DAYS(TODAY(),Tabla1[[#This Row],[FECHA ING]])/365)</f>
        <v>2.9917808219178084</v>
      </c>
      <c r="T1406" s="244">
        <f ca="1">IF(Tabla1[[#This Row],[DIAS VAC]]&gt;1,Tabla1[[#This Row],[DIAS VAC]]-Tabla1[[#This Row],[ANTIG]],Tabla1[[#This Row],[DIAS VAC]])</f>
        <v>0.99178082191780836</v>
      </c>
      <c r="U1406" s="244">
        <f ca="1">Tabla1[[#This Row],[VALID ANTIG]]*Tabla1[[#This Row],[SUE DIA]]*Tabla1[[#This Row],[DIAS VAC PAG]]</f>
        <v>1230.6347031963471</v>
      </c>
    </row>
    <row r="1407" spans="2:21" hidden="1" x14ac:dyDescent="0.25">
      <c r="B1407" s="243">
        <v>587</v>
      </c>
      <c r="C1407" s="140" t="str">
        <f>VLOOKUP(B1407,BDD[],2,0)</f>
        <v>Karina Lizbeth Estrada Galvan</v>
      </c>
      <c r="D1407" s="140">
        <f>VLOOKUP(B1407,BDD[],3,0)</f>
        <v>7445</v>
      </c>
      <c r="E1407" s="140">
        <f>VLOOKUP(B1407,BDD[],4,0)</f>
        <v>248.16666666666666</v>
      </c>
      <c r="F1407" s="142">
        <f>VLOOKUP(B1407,BDD[],26,0)</f>
        <v>27.574074074074073</v>
      </c>
      <c r="G1407" s="268">
        <f>VLOOKUP(B1407,BDD[],6,0)</f>
        <v>43670</v>
      </c>
      <c r="H1407" s="139">
        <f ca="1">VLOOKUP(B1407,BDD[],7,0)</f>
        <v>2</v>
      </c>
      <c r="I1407" s="139">
        <f ca="1">VLOOKUP(B1407,BDD[],22,0)</f>
        <v>5</v>
      </c>
      <c r="J1407" s="168">
        <v>15</v>
      </c>
      <c r="K1407" s="139">
        <f>Tabla1[[#This Row],[DIAS LAB]]*Tabla1[[#This Row],[SUE DIA]]</f>
        <v>3722.5</v>
      </c>
      <c r="L1407" s="168">
        <v>0</v>
      </c>
      <c r="M1407" s="198">
        <f>Tabla1[[#This Row],[HRS EXT]]*Tabla1[[#This Row],[SUE X HR]]</f>
        <v>0</v>
      </c>
      <c r="N1407" s="168">
        <v>0</v>
      </c>
      <c r="O1407" s="198">
        <f>Tabla1[[#This Row],[ASUETO]]*Tabla1[[#This Row],[SUE DIA]]</f>
        <v>0</v>
      </c>
      <c r="P1407" s="139">
        <f>IF(Tabla1[[#This Row],[FECHA ING]]&lt;$P$1007,365,_xlfn.DAYS($P$1008,Tabla1[[#This Row],[FECHA ING]])+1)</f>
        <v>365</v>
      </c>
      <c r="Q1407" s="198">
        <f>INT(30*(Tabla1[[#This Row],[FECHAS CONTB AGNLDO]]/365))</f>
        <v>30</v>
      </c>
      <c r="R1407" s="244">
        <f ca="1">IF($W$32=$W$26,Tabla1[[#This Row],[SUE DIA]]*Tabla1[[#This Row],[DIAS PAG AGNLDO]],0)</f>
        <v>0</v>
      </c>
      <c r="S1407" s="244">
        <f ca="1">(_xlfn.DAYS(TODAY(),Tabla1[[#This Row],[FECHA ING]])/365)</f>
        <v>2.9863013698630136</v>
      </c>
      <c r="T1407" s="244">
        <f ca="1">IF(Tabla1[[#This Row],[DIAS VAC]]&gt;1,Tabla1[[#This Row],[DIAS VAC]]-Tabla1[[#This Row],[ANTIG]],Tabla1[[#This Row],[DIAS VAC]])</f>
        <v>0.98630136986301364</v>
      </c>
      <c r="U1407" s="244">
        <f ca="1">Tabla1[[#This Row],[VALID ANTIG]]*Tabla1[[#This Row],[SUE DIA]]*Tabla1[[#This Row],[DIAS VAC PAG]]</f>
        <v>1223.8356164383561</v>
      </c>
    </row>
    <row r="1408" spans="2:21" hidden="1" x14ac:dyDescent="0.25">
      <c r="B1408" s="243">
        <v>588</v>
      </c>
      <c r="C1408" s="140" t="str">
        <f>VLOOKUP(B1408,BDD[],2,0)</f>
        <v>Jazmin Valdez Sanchez</v>
      </c>
      <c r="D1408" s="140">
        <f>VLOOKUP(B1408,BDD[],3,0)</f>
        <v>9450</v>
      </c>
      <c r="E1408" s="140">
        <f>VLOOKUP(B1408,BDD[],4,0)</f>
        <v>315</v>
      </c>
      <c r="F1408" s="142">
        <f>VLOOKUP(B1408,BDD[],26,0)</f>
        <v>35</v>
      </c>
      <c r="G1408" s="268">
        <f>VLOOKUP(B1408,BDD[],6,0)</f>
        <v>43672</v>
      </c>
      <c r="H1408" s="139">
        <f ca="1">VLOOKUP(B1408,BDD[],7,0)</f>
        <v>2</v>
      </c>
      <c r="I1408" s="139">
        <f ca="1">VLOOKUP(B1408,BDD[],22,0)</f>
        <v>5</v>
      </c>
      <c r="J1408" s="168">
        <v>15</v>
      </c>
      <c r="K1408" s="139">
        <f>Tabla1[[#This Row],[DIAS LAB]]*Tabla1[[#This Row],[SUE DIA]]</f>
        <v>4725</v>
      </c>
      <c r="L1408" s="168">
        <v>0</v>
      </c>
      <c r="M1408" s="198">
        <f>Tabla1[[#This Row],[HRS EXT]]*Tabla1[[#This Row],[SUE X HR]]</f>
        <v>0</v>
      </c>
      <c r="N1408" s="168">
        <v>0</v>
      </c>
      <c r="O1408" s="198">
        <f>Tabla1[[#This Row],[ASUETO]]*Tabla1[[#This Row],[SUE DIA]]</f>
        <v>0</v>
      </c>
      <c r="P1408" s="139">
        <f>IF(Tabla1[[#This Row],[FECHA ING]]&lt;$P$1007,365,_xlfn.DAYS($P$1008,Tabla1[[#This Row],[FECHA ING]])+1)</f>
        <v>365</v>
      </c>
      <c r="Q1408" s="198">
        <f>INT(30*(Tabla1[[#This Row],[FECHAS CONTB AGNLDO]]/365))</f>
        <v>30</v>
      </c>
      <c r="R1408" s="244">
        <f ca="1">IF($W$32=$W$26,Tabla1[[#This Row],[SUE DIA]]*Tabla1[[#This Row],[DIAS PAG AGNLDO]],0)</f>
        <v>0</v>
      </c>
      <c r="S1408" s="244">
        <f ca="1">(_xlfn.DAYS(TODAY(),Tabla1[[#This Row],[FECHA ING]])/365)</f>
        <v>2.9808219178082194</v>
      </c>
      <c r="T1408" s="244">
        <f ca="1">IF(Tabla1[[#This Row],[DIAS VAC]]&gt;1,Tabla1[[#This Row],[DIAS VAC]]-Tabla1[[#This Row],[ANTIG]],Tabla1[[#This Row],[DIAS VAC]])</f>
        <v>0.98082191780821937</v>
      </c>
      <c r="U1408" s="244">
        <f ca="1">Tabla1[[#This Row],[VALID ANTIG]]*Tabla1[[#This Row],[SUE DIA]]*Tabla1[[#This Row],[DIAS VAC PAG]]</f>
        <v>1544.7945205479457</v>
      </c>
    </row>
    <row r="1409" spans="2:21" hidden="1" x14ac:dyDescent="0.25">
      <c r="B1409" s="243">
        <v>589</v>
      </c>
      <c r="C1409" s="140" t="str">
        <f>VLOOKUP(B1409,BDD[],2,0)</f>
        <v>Francisco Javier Mendez Arenas</v>
      </c>
      <c r="D1409" s="140">
        <f>VLOOKUP(B1409,BDD[],3,0)</f>
        <v>7950</v>
      </c>
      <c r="E1409" s="140">
        <f>VLOOKUP(B1409,BDD[],4,0)</f>
        <v>265</v>
      </c>
      <c r="F1409" s="142">
        <f>VLOOKUP(B1409,BDD[],26,0)</f>
        <v>29.444444444444443</v>
      </c>
      <c r="G1409" s="268">
        <f>VLOOKUP(B1409,BDD[],6,0)</f>
        <v>43673</v>
      </c>
      <c r="H1409" s="139">
        <f ca="1">VLOOKUP(B1409,BDD[],7,0)</f>
        <v>2</v>
      </c>
      <c r="I1409" s="139">
        <f ca="1">VLOOKUP(B1409,BDD[],22,0)</f>
        <v>5</v>
      </c>
      <c r="J1409" s="168">
        <v>15</v>
      </c>
      <c r="K1409" s="139">
        <f>Tabla1[[#This Row],[DIAS LAB]]*Tabla1[[#This Row],[SUE DIA]]</f>
        <v>3975</v>
      </c>
      <c r="L1409" s="168">
        <v>0</v>
      </c>
      <c r="M1409" s="198">
        <f>Tabla1[[#This Row],[HRS EXT]]*Tabla1[[#This Row],[SUE X HR]]</f>
        <v>0</v>
      </c>
      <c r="N1409" s="168">
        <v>0</v>
      </c>
      <c r="O1409" s="198">
        <f>Tabla1[[#This Row],[ASUETO]]*Tabla1[[#This Row],[SUE DIA]]</f>
        <v>0</v>
      </c>
      <c r="P1409" s="139">
        <f>IF(Tabla1[[#This Row],[FECHA ING]]&lt;$P$1007,365,_xlfn.DAYS($P$1008,Tabla1[[#This Row],[FECHA ING]])+1)</f>
        <v>365</v>
      </c>
      <c r="Q1409" s="198">
        <f>INT(30*(Tabla1[[#This Row],[FECHAS CONTB AGNLDO]]/365))</f>
        <v>30</v>
      </c>
      <c r="R1409" s="244">
        <f ca="1">IF($W$32=$W$26,Tabla1[[#This Row],[SUE DIA]]*Tabla1[[#This Row],[DIAS PAG AGNLDO]],0)</f>
        <v>0</v>
      </c>
      <c r="S1409" s="244">
        <f ca="1">(_xlfn.DAYS(TODAY(),Tabla1[[#This Row],[FECHA ING]])/365)</f>
        <v>2.978082191780822</v>
      </c>
      <c r="T1409" s="244">
        <f ca="1">IF(Tabla1[[#This Row],[DIAS VAC]]&gt;1,Tabla1[[#This Row],[DIAS VAC]]-Tabla1[[#This Row],[ANTIG]],Tabla1[[#This Row],[DIAS VAC]])</f>
        <v>0.97808219178082201</v>
      </c>
      <c r="U1409" s="244">
        <f ca="1">Tabla1[[#This Row],[VALID ANTIG]]*Tabla1[[#This Row],[SUE DIA]]*Tabla1[[#This Row],[DIAS VAC PAG]]</f>
        <v>1295.9589041095892</v>
      </c>
    </row>
    <row r="1410" spans="2:21" hidden="1" x14ac:dyDescent="0.25">
      <c r="B1410" s="243">
        <v>590</v>
      </c>
      <c r="C1410" s="140" t="str">
        <f>VLOOKUP(B1410,BDD[],2,0)</f>
        <v>Mayra Acevedo Presas</v>
      </c>
      <c r="D1410" s="140">
        <f>VLOOKUP(B1410,BDD[],3,0)</f>
        <v>27150</v>
      </c>
      <c r="E1410" s="140">
        <f>VLOOKUP(B1410,BDD[],4,0)</f>
        <v>905</v>
      </c>
      <c r="F1410" s="142">
        <f>VLOOKUP(B1410,BDD[],26,0)</f>
        <v>100.55555555555556</v>
      </c>
      <c r="G1410" s="268">
        <f>VLOOKUP(B1410,BDD[],6,0)</f>
        <v>43676</v>
      </c>
      <c r="H1410" s="139">
        <f ca="1">VLOOKUP(B1410,BDD[],7,0)</f>
        <v>2</v>
      </c>
      <c r="I1410" s="139">
        <f ca="1">VLOOKUP(B1410,BDD[],22,0)</f>
        <v>5</v>
      </c>
      <c r="J1410" s="168">
        <v>15</v>
      </c>
      <c r="K1410" s="139">
        <f>Tabla1[[#This Row],[DIAS LAB]]*Tabla1[[#This Row],[SUE DIA]]</f>
        <v>13575</v>
      </c>
      <c r="L1410" s="168">
        <v>0</v>
      </c>
      <c r="M1410" s="198">
        <f>Tabla1[[#This Row],[HRS EXT]]*Tabla1[[#This Row],[SUE X HR]]</f>
        <v>0</v>
      </c>
      <c r="N1410" s="168">
        <v>0</v>
      </c>
      <c r="O1410" s="198">
        <f>Tabla1[[#This Row],[ASUETO]]*Tabla1[[#This Row],[SUE DIA]]</f>
        <v>0</v>
      </c>
      <c r="P1410" s="139">
        <f>IF(Tabla1[[#This Row],[FECHA ING]]&lt;$P$1007,365,_xlfn.DAYS($P$1008,Tabla1[[#This Row],[FECHA ING]])+1)</f>
        <v>365</v>
      </c>
      <c r="Q1410" s="198">
        <f>INT(30*(Tabla1[[#This Row],[FECHAS CONTB AGNLDO]]/365))</f>
        <v>30</v>
      </c>
      <c r="R1410" s="244">
        <f ca="1">IF($W$32=$W$26,Tabla1[[#This Row],[SUE DIA]]*Tabla1[[#This Row],[DIAS PAG AGNLDO]],0)</f>
        <v>0</v>
      </c>
      <c r="S1410" s="244">
        <f ca="1">(_xlfn.DAYS(TODAY(),Tabla1[[#This Row],[FECHA ING]])/365)</f>
        <v>2.9698630136986299</v>
      </c>
      <c r="T1410" s="244">
        <f ca="1">IF(Tabla1[[#This Row],[DIAS VAC]]&gt;1,Tabla1[[#This Row],[DIAS VAC]]-Tabla1[[#This Row],[ANTIG]],Tabla1[[#This Row],[DIAS VAC]])</f>
        <v>0.96986301369862993</v>
      </c>
      <c r="U1410" s="244">
        <f ca="1">Tabla1[[#This Row],[VALID ANTIG]]*Tabla1[[#This Row],[SUE DIA]]*Tabla1[[#This Row],[DIAS VAC PAG]]</f>
        <v>4388.6301369863004</v>
      </c>
    </row>
    <row r="1411" spans="2:21" hidden="1" x14ac:dyDescent="0.25">
      <c r="B1411" s="243">
        <v>591</v>
      </c>
      <c r="C1411" s="140" t="str">
        <f>VLOOKUP(B1411,BDD[],2,0)</f>
        <v>Beatriz Basurto Carrillo</v>
      </c>
      <c r="D1411" s="140">
        <f>VLOOKUP(B1411,BDD[],3,0)</f>
        <v>9541</v>
      </c>
      <c r="E1411" s="140">
        <f>VLOOKUP(B1411,BDD[],4,0)</f>
        <v>318.03333333333336</v>
      </c>
      <c r="F1411" s="142">
        <f>VLOOKUP(B1411,BDD[],26,0)</f>
        <v>35.337037037037042</v>
      </c>
      <c r="G1411" s="268">
        <f>VLOOKUP(B1411,BDD[],6,0)</f>
        <v>43690</v>
      </c>
      <c r="H1411" s="139">
        <f ca="1">VLOOKUP(B1411,BDD[],7,0)</f>
        <v>2</v>
      </c>
      <c r="I1411" s="139">
        <f ca="1">VLOOKUP(B1411,BDD[],22,0)</f>
        <v>5</v>
      </c>
      <c r="J1411" s="168">
        <v>15</v>
      </c>
      <c r="K1411" s="139">
        <f>Tabla1[[#This Row],[DIAS LAB]]*Tabla1[[#This Row],[SUE DIA]]</f>
        <v>4770.5</v>
      </c>
      <c r="L1411" s="168">
        <v>0</v>
      </c>
      <c r="M1411" s="198">
        <f>Tabla1[[#This Row],[HRS EXT]]*Tabla1[[#This Row],[SUE X HR]]</f>
        <v>0</v>
      </c>
      <c r="N1411" s="168">
        <v>0</v>
      </c>
      <c r="O1411" s="198">
        <f>Tabla1[[#This Row],[ASUETO]]*Tabla1[[#This Row],[SUE DIA]]</f>
        <v>0</v>
      </c>
      <c r="P1411" s="139">
        <f>IF(Tabla1[[#This Row],[FECHA ING]]&lt;$P$1007,365,_xlfn.DAYS($P$1008,Tabla1[[#This Row],[FECHA ING]])+1)</f>
        <v>365</v>
      </c>
      <c r="Q1411" s="198">
        <f>INT(30*(Tabla1[[#This Row],[FECHAS CONTB AGNLDO]]/365))</f>
        <v>30</v>
      </c>
      <c r="R1411" s="244">
        <f ca="1">IF($W$32=$W$26,Tabla1[[#This Row],[SUE DIA]]*Tabla1[[#This Row],[DIAS PAG AGNLDO]],0)</f>
        <v>0</v>
      </c>
      <c r="S1411" s="244">
        <f ca="1">(_xlfn.DAYS(TODAY(),Tabla1[[#This Row],[FECHA ING]])/365)</f>
        <v>2.9315068493150687</v>
      </c>
      <c r="T1411" s="244">
        <f ca="1">IF(Tabla1[[#This Row],[DIAS VAC]]&gt;1,Tabla1[[#This Row],[DIAS VAC]]-Tabla1[[#This Row],[ANTIG]],Tabla1[[#This Row],[DIAS VAC]])</f>
        <v>0.93150684931506866</v>
      </c>
      <c r="U1411" s="244">
        <f ca="1">Tabla1[[#This Row],[VALID ANTIG]]*Tabla1[[#This Row],[SUE DIA]]*Tabla1[[#This Row],[DIAS VAC PAG]]</f>
        <v>1481.2511415525116</v>
      </c>
    </row>
    <row r="1412" spans="2:21" hidden="1" x14ac:dyDescent="0.25">
      <c r="B1412" s="243">
        <v>594</v>
      </c>
      <c r="C1412" s="140" t="str">
        <f>VLOOKUP(B1412,BDD[],2,0)</f>
        <v>Salvador Zanabriga Giron</v>
      </c>
      <c r="D1412" s="140">
        <f>VLOOKUP(B1412,BDD[],3,0)</f>
        <v>10350</v>
      </c>
      <c r="E1412" s="140">
        <f>VLOOKUP(B1412,BDD[],4,0)</f>
        <v>345</v>
      </c>
      <c r="F1412" s="142">
        <f>VLOOKUP(B1412,BDD[],26,0)</f>
        <v>38.333333333333336</v>
      </c>
      <c r="G1412" s="268">
        <f>VLOOKUP(B1412,BDD[],6,0)</f>
        <v>43700</v>
      </c>
      <c r="H1412" s="139">
        <f ca="1">VLOOKUP(B1412,BDD[],7,0)</f>
        <v>2</v>
      </c>
      <c r="I1412" s="139">
        <f ca="1">VLOOKUP(B1412,BDD[],22,0)</f>
        <v>5</v>
      </c>
      <c r="J1412" s="168">
        <v>15</v>
      </c>
      <c r="K1412" s="139">
        <f>Tabla1[[#This Row],[DIAS LAB]]*Tabla1[[#This Row],[SUE DIA]]</f>
        <v>5175</v>
      </c>
      <c r="L1412" s="168">
        <v>0</v>
      </c>
      <c r="M1412" s="198">
        <f>Tabla1[[#This Row],[HRS EXT]]*Tabla1[[#This Row],[SUE X HR]]</f>
        <v>0</v>
      </c>
      <c r="N1412" s="168">
        <v>0</v>
      </c>
      <c r="O1412" s="198">
        <f>Tabla1[[#This Row],[ASUETO]]*Tabla1[[#This Row],[SUE DIA]]</f>
        <v>0</v>
      </c>
      <c r="P1412" s="139">
        <f>IF(Tabla1[[#This Row],[FECHA ING]]&lt;$P$1007,365,_xlfn.DAYS($P$1008,Tabla1[[#This Row],[FECHA ING]])+1)</f>
        <v>365</v>
      </c>
      <c r="Q1412" s="198">
        <f>INT(30*(Tabla1[[#This Row],[FECHAS CONTB AGNLDO]]/365))</f>
        <v>30</v>
      </c>
      <c r="R1412" s="244">
        <f ca="1">IF($W$32=$W$26,Tabla1[[#This Row],[SUE DIA]]*Tabla1[[#This Row],[DIAS PAG AGNLDO]],0)</f>
        <v>0</v>
      </c>
      <c r="S1412" s="244">
        <f ca="1">(_xlfn.DAYS(TODAY(),Tabla1[[#This Row],[FECHA ING]])/365)</f>
        <v>2.904109589041096</v>
      </c>
      <c r="T1412" s="244">
        <f ca="1">IF(Tabla1[[#This Row],[DIAS VAC]]&gt;1,Tabla1[[#This Row],[DIAS VAC]]-Tabla1[[#This Row],[ANTIG]],Tabla1[[#This Row],[DIAS VAC]])</f>
        <v>0.90410958904109595</v>
      </c>
      <c r="U1412" s="244">
        <f ca="1">Tabla1[[#This Row],[VALID ANTIG]]*Tabla1[[#This Row],[SUE DIA]]*Tabla1[[#This Row],[DIAS VAC PAG]]</f>
        <v>1559.5890410958905</v>
      </c>
    </row>
    <row r="1413" spans="2:21" hidden="1" x14ac:dyDescent="0.25">
      <c r="B1413" s="243">
        <v>595</v>
      </c>
      <c r="C1413" s="140" t="str">
        <f>VLOOKUP(B1413,BDD[],2,0)</f>
        <v>Bartolome Rios Gutierrez</v>
      </c>
      <c r="D1413" s="140">
        <f>VLOOKUP(B1413,BDD[],3,0)</f>
        <v>6778</v>
      </c>
      <c r="E1413" s="140">
        <f>VLOOKUP(B1413,BDD[],4,0)</f>
        <v>225.93333333333334</v>
      </c>
      <c r="F1413" s="142">
        <f>VLOOKUP(B1413,BDD[],26,0)</f>
        <v>25.103703703703705</v>
      </c>
      <c r="G1413" s="268">
        <f>VLOOKUP(B1413,BDD[],6,0)</f>
        <v>43708</v>
      </c>
      <c r="H1413" s="139">
        <f ca="1">VLOOKUP(B1413,BDD[],7,0)</f>
        <v>2</v>
      </c>
      <c r="I1413" s="139">
        <f ca="1">VLOOKUP(B1413,BDD[],22,0)</f>
        <v>2.5</v>
      </c>
      <c r="J1413" s="168">
        <v>15</v>
      </c>
      <c r="K1413" s="139">
        <f>Tabla1[[#This Row],[DIAS LAB]]*Tabla1[[#This Row],[SUE DIA]]</f>
        <v>3389</v>
      </c>
      <c r="L1413" s="168">
        <v>0</v>
      </c>
      <c r="M1413" s="198">
        <f>Tabla1[[#This Row],[HRS EXT]]*Tabla1[[#This Row],[SUE X HR]]</f>
        <v>0</v>
      </c>
      <c r="N1413" s="168">
        <v>0</v>
      </c>
      <c r="O1413" s="198">
        <f>Tabla1[[#This Row],[ASUETO]]*Tabla1[[#This Row],[SUE DIA]]</f>
        <v>0</v>
      </c>
      <c r="P1413" s="139">
        <f>IF(Tabla1[[#This Row],[FECHA ING]]&lt;$P$1007,365,_xlfn.DAYS($P$1008,Tabla1[[#This Row],[FECHA ING]])+1)</f>
        <v>365</v>
      </c>
      <c r="Q1413" s="198">
        <f>INT(30*(Tabla1[[#This Row],[FECHAS CONTB AGNLDO]]/365))</f>
        <v>30</v>
      </c>
      <c r="R1413" s="244">
        <f ca="1">IF($W$32=$W$26,Tabla1[[#This Row],[SUE DIA]]*Tabla1[[#This Row],[DIAS PAG AGNLDO]],0)</f>
        <v>0</v>
      </c>
      <c r="S1413" s="244">
        <f ca="1">(_xlfn.DAYS(TODAY(),Tabla1[[#This Row],[FECHA ING]])/365)</f>
        <v>2.882191780821918</v>
      </c>
      <c r="T1413" s="244">
        <f ca="1">IF(Tabla1[[#This Row],[DIAS VAC]]&gt;1,Tabla1[[#This Row],[DIAS VAC]]-Tabla1[[#This Row],[ANTIG]],Tabla1[[#This Row],[DIAS VAC]])</f>
        <v>0.88219178082191796</v>
      </c>
      <c r="U1413" s="244">
        <f ca="1">Tabla1[[#This Row],[VALID ANTIG]]*Tabla1[[#This Row],[SUE DIA]]*Tabla1[[#This Row],[DIAS VAC PAG]]</f>
        <v>498.29132420091332</v>
      </c>
    </row>
    <row r="1414" spans="2:21" hidden="1" x14ac:dyDescent="0.25">
      <c r="B1414" s="243">
        <v>597</v>
      </c>
      <c r="C1414" s="140" t="str">
        <f>VLOOKUP(B1414,BDD[],2,0)</f>
        <v>Maríana Márquez Ortiz</v>
      </c>
      <c r="D1414" s="140">
        <f>VLOOKUP(B1414,BDD[],3,0)</f>
        <v>7445</v>
      </c>
      <c r="E1414" s="140">
        <f>VLOOKUP(B1414,BDD[],4,0)</f>
        <v>248.16666666666666</v>
      </c>
      <c r="F1414" s="142">
        <f>VLOOKUP(B1414,BDD[],26,0)</f>
        <v>27.574074074074073</v>
      </c>
      <c r="G1414" s="268">
        <f>VLOOKUP(B1414,BDD[],6,0)</f>
        <v>43716</v>
      </c>
      <c r="H1414" s="139">
        <f ca="1">VLOOKUP(B1414,BDD[],7,0)</f>
        <v>2</v>
      </c>
      <c r="I1414" s="139">
        <f ca="1">VLOOKUP(B1414,BDD[],22,0)</f>
        <v>5</v>
      </c>
      <c r="J1414" s="168">
        <v>15</v>
      </c>
      <c r="K1414" s="139">
        <f>Tabla1[[#This Row],[DIAS LAB]]*Tabla1[[#This Row],[SUE DIA]]</f>
        <v>3722.5</v>
      </c>
      <c r="L1414" s="168">
        <v>0</v>
      </c>
      <c r="M1414" s="198">
        <f>Tabla1[[#This Row],[HRS EXT]]*Tabla1[[#This Row],[SUE X HR]]</f>
        <v>0</v>
      </c>
      <c r="N1414" s="168">
        <v>0</v>
      </c>
      <c r="O1414" s="198">
        <f>Tabla1[[#This Row],[ASUETO]]*Tabla1[[#This Row],[SUE DIA]]</f>
        <v>0</v>
      </c>
      <c r="P1414" s="139">
        <f>IF(Tabla1[[#This Row],[FECHA ING]]&lt;$P$1007,365,_xlfn.DAYS($P$1008,Tabla1[[#This Row],[FECHA ING]])+1)</f>
        <v>365</v>
      </c>
      <c r="Q1414" s="198">
        <f>INT(30*(Tabla1[[#This Row],[FECHAS CONTB AGNLDO]]/365))</f>
        <v>30</v>
      </c>
      <c r="R1414" s="244">
        <f ca="1">IF($W$32=$W$26,Tabla1[[#This Row],[SUE DIA]]*Tabla1[[#This Row],[DIAS PAG AGNLDO]],0)</f>
        <v>0</v>
      </c>
      <c r="S1414" s="244">
        <f ca="1">(_xlfn.DAYS(TODAY(),Tabla1[[#This Row],[FECHA ING]])/365)</f>
        <v>2.8602739726027395</v>
      </c>
      <c r="T1414" s="244">
        <f ca="1">IF(Tabla1[[#This Row],[DIAS VAC]]&gt;1,Tabla1[[#This Row],[DIAS VAC]]-Tabla1[[#This Row],[ANTIG]],Tabla1[[#This Row],[DIAS VAC]])</f>
        <v>0.86027397260273952</v>
      </c>
      <c r="U1414" s="244">
        <f ca="1">Tabla1[[#This Row],[VALID ANTIG]]*Tabla1[[#This Row],[SUE DIA]]*Tabla1[[#This Row],[DIAS VAC PAG]]</f>
        <v>1067.4566210045659</v>
      </c>
    </row>
    <row r="1415" spans="2:21" hidden="1" x14ac:dyDescent="0.25">
      <c r="B1415" s="243">
        <v>598</v>
      </c>
      <c r="C1415" s="140" t="str">
        <f>VLOOKUP(B1415,BDD[],2,0)</f>
        <v>Francisco Gerardo Mota Escobedo</v>
      </c>
      <c r="D1415" s="140">
        <f>VLOOKUP(B1415,BDD[],3,0)</f>
        <v>10860</v>
      </c>
      <c r="E1415" s="140">
        <f>VLOOKUP(B1415,BDD[],4,0)</f>
        <v>362</v>
      </c>
      <c r="F1415" s="142">
        <f>VLOOKUP(B1415,BDD[],26,0)</f>
        <v>40.222222222222221</v>
      </c>
      <c r="G1415" s="268">
        <f>VLOOKUP(B1415,BDD[],6,0)</f>
        <v>43723</v>
      </c>
      <c r="H1415" s="139">
        <f ca="1">VLOOKUP(B1415,BDD[],7,0)</f>
        <v>2</v>
      </c>
      <c r="I1415" s="139">
        <f ca="1">VLOOKUP(B1415,BDD[],22,0)</f>
        <v>5</v>
      </c>
      <c r="J1415" s="168">
        <v>15</v>
      </c>
      <c r="K1415" s="139">
        <f>Tabla1[[#This Row],[DIAS LAB]]*Tabla1[[#This Row],[SUE DIA]]</f>
        <v>5430</v>
      </c>
      <c r="L1415" s="168">
        <v>0</v>
      </c>
      <c r="M1415" s="198">
        <f>Tabla1[[#This Row],[HRS EXT]]*Tabla1[[#This Row],[SUE X HR]]</f>
        <v>0</v>
      </c>
      <c r="N1415" s="168">
        <v>0</v>
      </c>
      <c r="O1415" s="198">
        <f>Tabla1[[#This Row],[ASUETO]]*Tabla1[[#This Row],[SUE DIA]]</f>
        <v>0</v>
      </c>
      <c r="P1415" s="139">
        <f>IF(Tabla1[[#This Row],[FECHA ING]]&lt;$P$1007,365,_xlfn.DAYS($P$1008,Tabla1[[#This Row],[FECHA ING]])+1)</f>
        <v>365</v>
      </c>
      <c r="Q1415" s="198">
        <f>INT(30*(Tabla1[[#This Row],[FECHAS CONTB AGNLDO]]/365))</f>
        <v>30</v>
      </c>
      <c r="R1415" s="244">
        <f ca="1">IF($W$32=$W$26,Tabla1[[#This Row],[SUE DIA]]*Tabla1[[#This Row],[DIAS PAG AGNLDO]],0)</f>
        <v>0</v>
      </c>
      <c r="S1415" s="244">
        <f ca="1">(_xlfn.DAYS(TODAY(),Tabla1[[#This Row],[FECHA ING]])/365)</f>
        <v>2.8410958904109589</v>
      </c>
      <c r="T1415" s="244">
        <f ca="1">IF(Tabla1[[#This Row],[DIAS VAC]]&gt;1,Tabla1[[#This Row],[DIAS VAC]]-Tabla1[[#This Row],[ANTIG]],Tabla1[[#This Row],[DIAS VAC]])</f>
        <v>0.84109589041095889</v>
      </c>
      <c r="U1415" s="244">
        <f ca="1">Tabla1[[#This Row],[VALID ANTIG]]*Tabla1[[#This Row],[SUE DIA]]*Tabla1[[#This Row],[DIAS VAC PAG]]</f>
        <v>1522.3835616438355</v>
      </c>
    </row>
    <row r="1416" spans="2:21" hidden="1" x14ac:dyDescent="0.25">
      <c r="B1416" s="243">
        <v>599</v>
      </c>
      <c r="C1416" s="140" t="str">
        <f>VLOOKUP(B1416,BDD[],2,0)</f>
        <v>Jennifer Coral Carrillo Sanchez</v>
      </c>
      <c r="D1416" s="140">
        <f>VLOOKUP(B1416,BDD[],3,0)</f>
        <v>10860</v>
      </c>
      <c r="E1416" s="140">
        <f>VLOOKUP(B1416,BDD[],4,0)</f>
        <v>362</v>
      </c>
      <c r="F1416" s="142">
        <f>VLOOKUP(B1416,BDD[],26,0)</f>
        <v>40.222222222222221</v>
      </c>
      <c r="G1416" s="268">
        <f>VLOOKUP(B1416,BDD[],6,0)</f>
        <v>43728</v>
      </c>
      <c r="H1416" s="139">
        <f ca="1">VLOOKUP(B1416,BDD[],7,0)</f>
        <v>2</v>
      </c>
      <c r="I1416" s="139">
        <f ca="1">VLOOKUP(B1416,BDD[],22,0)</f>
        <v>5</v>
      </c>
      <c r="J1416" s="168">
        <v>15</v>
      </c>
      <c r="K1416" s="139">
        <f>Tabla1[[#This Row],[DIAS LAB]]*Tabla1[[#This Row],[SUE DIA]]</f>
        <v>5430</v>
      </c>
      <c r="L1416" s="168">
        <v>0</v>
      </c>
      <c r="M1416" s="198">
        <f>Tabla1[[#This Row],[HRS EXT]]*Tabla1[[#This Row],[SUE X HR]]</f>
        <v>0</v>
      </c>
      <c r="N1416" s="168">
        <v>0</v>
      </c>
      <c r="O1416" s="198">
        <f>Tabla1[[#This Row],[ASUETO]]*Tabla1[[#This Row],[SUE DIA]]</f>
        <v>0</v>
      </c>
      <c r="P1416" s="139">
        <f>IF(Tabla1[[#This Row],[FECHA ING]]&lt;$P$1007,365,_xlfn.DAYS($P$1008,Tabla1[[#This Row],[FECHA ING]])+1)</f>
        <v>365</v>
      </c>
      <c r="Q1416" s="198">
        <f>INT(30*(Tabla1[[#This Row],[FECHAS CONTB AGNLDO]]/365))</f>
        <v>30</v>
      </c>
      <c r="R1416" s="244">
        <f ca="1">IF($W$32=$W$26,Tabla1[[#This Row],[SUE DIA]]*Tabla1[[#This Row],[DIAS PAG AGNLDO]],0)</f>
        <v>0</v>
      </c>
      <c r="S1416" s="244">
        <f ca="1">(_xlfn.DAYS(TODAY(),Tabla1[[#This Row],[FECHA ING]])/365)</f>
        <v>2.8273972602739725</v>
      </c>
      <c r="T1416" s="244">
        <f ca="1">IF(Tabla1[[#This Row],[DIAS VAC]]&gt;1,Tabla1[[#This Row],[DIAS VAC]]-Tabla1[[#This Row],[ANTIG]],Tabla1[[#This Row],[DIAS VAC]])</f>
        <v>0.82739726027397253</v>
      </c>
      <c r="U1416" s="244">
        <f ca="1">Tabla1[[#This Row],[VALID ANTIG]]*Tabla1[[#This Row],[SUE DIA]]*Tabla1[[#This Row],[DIAS VAC PAG]]</f>
        <v>1497.5890410958903</v>
      </c>
    </row>
    <row r="1417" spans="2:21" hidden="1" x14ac:dyDescent="0.25">
      <c r="B1417" s="243">
        <v>601</v>
      </c>
      <c r="C1417" s="140" t="str">
        <f>VLOOKUP(B1417,BDD[],2,0)</f>
        <v>Martha Corona Ocampo</v>
      </c>
      <c r="D1417" s="140">
        <f>VLOOKUP(B1417,BDD[],3,0)</f>
        <v>10350</v>
      </c>
      <c r="E1417" s="140">
        <f>VLOOKUP(B1417,BDD[],4,0)</f>
        <v>345</v>
      </c>
      <c r="F1417" s="142">
        <f>VLOOKUP(B1417,BDD[],26,0)</f>
        <v>38.333333333333336</v>
      </c>
      <c r="G1417" s="268">
        <f>VLOOKUP(B1417,BDD[],6,0)</f>
        <v>43731</v>
      </c>
      <c r="H1417" s="139">
        <f ca="1">VLOOKUP(B1417,BDD[],7,0)</f>
        <v>2</v>
      </c>
      <c r="I1417" s="139">
        <f ca="1">VLOOKUP(B1417,BDD[],22,0)</f>
        <v>5</v>
      </c>
      <c r="J1417" s="168">
        <v>15</v>
      </c>
      <c r="K1417" s="139">
        <f>Tabla1[[#This Row],[DIAS LAB]]*Tabla1[[#This Row],[SUE DIA]]</f>
        <v>5175</v>
      </c>
      <c r="L1417" s="168">
        <v>0</v>
      </c>
      <c r="M1417" s="198">
        <f>Tabla1[[#This Row],[HRS EXT]]*Tabla1[[#This Row],[SUE X HR]]</f>
        <v>0</v>
      </c>
      <c r="N1417" s="168">
        <v>0</v>
      </c>
      <c r="O1417" s="198">
        <f>Tabla1[[#This Row],[ASUETO]]*Tabla1[[#This Row],[SUE DIA]]</f>
        <v>0</v>
      </c>
      <c r="P1417" s="139">
        <f>IF(Tabla1[[#This Row],[FECHA ING]]&lt;$P$1007,365,_xlfn.DAYS($P$1008,Tabla1[[#This Row],[FECHA ING]])+1)</f>
        <v>365</v>
      </c>
      <c r="Q1417" s="198">
        <f>INT(30*(Tabla1[[#This Row],[FECHAS CONTB AGNLDO]]/365))</f>
        <v>30</v>
      </c>
      <c r="R1417" s="244">
        <f ca="1">IF($W$32=$W$26,Tabla1[[#This Row],[SUE DIA]]*Tabla1[[#This Row],[DIAS PAG AGNLDO]],0)</f>
        <v>0</v>
      </c>
      <c r="S1417" s="244">
        <f ca="1">(_xlfn.DAYS(TODAY(),Tabla1[[#This Row],[FECHA ING]])/365)</f>
        <v>2.8191780821917809</v>
      </c>
      <c r="T1417" s="244">
        <f ca="1">IF(Tabla1[[#This Row],[DIAS VAC]]&gt;1,Tabla1[[#This Row],[DIAS VAC]]-Tabla1[[#This Row],[ANTIG]],Tabla1[[#This Row],[DIAS VAC]])</f>
        <v>0.8191780821917809</v>
      </c>
      <c r="U1417" s="244">
        <f ca="1">Tabla1[[#This Row],[VALID ANTIG]]*Tabla1[[#This Row],[SUE DIA]]*Tabla1[[#This Row],[DIAS VAC PAG]]</f>
        <v>1413.0821917808221</v>
      </c>
    </row>
    <row r="1418" spans="2:21" hidden="1" x14ac:dyDescent="0.25">
      <c r="B1418" s="243">
        <v>602</v>
      </c>
      <c r="C1418" s="140" t="str">
        <f>VLOOKUP(B1418,BDD[],2,0)</f>
        <v>Brandon Javier Orta Reyna</v>
      </c>
      <c r="D1418" s="140">
        <f>VLOOKUP(B1418,BDD[],3,0)</f>
        <v>7445</v>
      </c>
      <c r="E1418" s="140">
        <f>VLOOKUP(B1418,BDD[],4,0)</f>
        <v>248.16666666666666</v>
      </c>
      <c r="F1418" s="142">
        <f>VLOOKUP(B1418,BDD[],26,0)</f>
        <v>27.574074074074073</v>
      </c>
      <c r="G1418" s="268">
        <f>VLOOKUP(B1418,BDD[],6,0)</f>
        <v>43733</v>
      </c>
      <c r="H1418" s="139">
        <f ca="1">VLOOKUP(B1418,BDD[],7,0)</f>
        <v>2</v>
      </c>
      <c r="I1418" s="139">
        <f ca="1">VLOOKUP(B1418,BDD[],22,0)</f>
        <v>5</v>
      </c>
      <c r="J1418" s="168">
        <v>15</v>
      </c>
      <c r="K1418" s="139">
        <f>Tabla1[[#This Row],[DIAS LAB]]*Tabla1[[#This Row],[SUE DIA]]</f>
        <v>3722.5</v>
      </c>
      <c r="L1418" s="168">
        <v>0</v>
      </c>
      <c r="M1418" s="198">
        <f>Tabla1[[#This Row],[HRS EXT]]*Tabla1[[#This Row],[SUE X HR]]</f>
        <v>0</v>
      </c>
      <c r="N1418" s="168">
        <v>0</v>
      </c>
      <c r="O1418" s="198">
        <f>Tabla1[[#This Row],[ASUETO]]*Tabla1[[#This Row],[SUE DIA]]</f>
        <v>0</v>
      </c>
      <c r="P1418" s="139">
        <f>IF(Tabla1[[#This Row],[FECHA ING]]&lt;$P$1007,365,_xlfn.DAYS($P$1008,Tabla1[[#This Row],[FECHA ING]])+1)</f>
        <v>365</v>
      </c>
      <c r="Q1418" s="198">
        <f>INT(30*(Tabla1[[#This Row],[FECHAS CONTB AGNLDO]]/365))</f>
        <v>30</v>
      </c>
      <c r="R1418" s="244">
        <f ca="1">IF($W$32=$W$26,Tabla1[[#This Row],[SUE DIA]]*Tabla1[[#This Row],[DIAS PAG AGNLDO]],0)</f>
        <v>0</v>
      </c>
      <c r="S1418" s="244">
        <f ca="1">(_xlfn.DAYS(TODAY(),Tabla1[[#This Row],[FECHA ING]])/365)</f>
        <v>2.8136986301369862</v>
      </c>
      <c r="T1418" s="244">
        <f ca="1">IF(Tabla1[[#This Row],[DIAS VAC]]&gt;1,Tabla1[[#This Row],[DIAS VAC]]-Tabla1[[#This Row],[ANTIG]],Tabla1[[#This Row],[DIAS VAC]])</f>
        <v>0.81369863013698618</v>
      </c>
      <c r="U1418" s="244">
        <f ca="1">Tabla1[[#This Row],[VALID ANTIG]]*Tabla1[[#This Row],[SUE DIA]]*Tabla1[[#This Row],[DIAS VAC PAG]]</f>
        <v>1009.6643835616436</v>
      </c>
    </row>
    <row r="1419" spans="2:21" hidden="1" x14ac:dyDescent="0.25">
      <c r="B1419" s="243">
        <v>603</v>
      </c>
      <c r="C1419" s="140" t="str">
        <f>VLOOKUP(B1419,BDD[],2,0)</f>
        <v>Edith García Barrios</v>
      </c>
      <c r="D1419" s="140">
        <f>VLOOKUP(B1419,BDD[],3,0)</f>
        <v>9541</v>
      </c>
      <c r="E1419" s="140">
        <f>VLOOKUP(B1419,BDD[],4,0)</f>
        <v>318.03333333333336</v>
      </c>
      <c r="F1419" s="142">
        <f>VLOOKUP(B1419,BDD[],26,0)</f>
        <v>35.337037037037042</v>
      </c>
      <c r="G1419" s="268">
        <f>VLOOKUP(B1419,BDD[],6,0)</f>
        <v>43738</v>
      </c>
      <c r="H1419" s="139">
        <f ca="1">VLOOKUP(B1419,BDD[],7,0)</f>
        <v>2</v>
      </c>
      <c r="I1419" s="139">
        <f ca="1">VLOOKUP(B1419,BDD[],22,0)</f>
        <v>5</v>
      </c>
      <c r="J1419" s="168">
        <v>15</v>
      </c>
      <c r="K1419" s="139">
        <f>Tabla1[[#This Row],[DIAS LAB]]*Tabla1[[#This Row],[SUE DIA]]</f>
        <v>4770.5</v>
      </c>
      <c r="L1419" s="168">
        <v>0</v>
      </c>
      <c r="M1419" s="198">
        <f>Tabla1[[#This Row],[HRS EXT]]*Tabla1[[#This Row],[SUE X HR]]</f>
        <v>0</v>
      </c>
      <c r="N1419" s="168">
        <v>0</v>
      </c>
      <c r="O1419" s="198">
        <f>Tabla1[[#This Row],[ASUETO]]*Tabla1[[#This Row],[SUE DIA]]</f>
        <v>0</v>
      </c>
      <c r="P1419" s="139">
        <f>IF(Tabla1[[#This Row],[FECHA ING]]&lt;$P$1007,365,_xlfn.DAYS($P$1008,Tabla1[[#This Row],[FECHA ING]])+1)</f>
        <v>365</v>
      </c>
      <c r="Q1419" s="198">
        <f>INT(30*(Tabla1[[#This Row],[FECHAS CONTB AGNLDO]]/365))</f>
        <v>30</v>
      </c>
      <c r="R1419" s="244">
        <f ca="1">IF($W$32=$W$26,Tabla1[[#This Row],[SUE DIA]]*Tabla1[[#This Row],[DIAS PAG AGNLDO]],0)</f>
        <v>0</v>
      </c>
      <c r="S1419" s="244">
        <f ca="1">(_xlfn.DAYS(TODAY(),Tabla1[[#This Row],[FECHA ING]])/365)</f>
        <v>2.8</v>
      </c>
      <c r="T1419" s="244">
        <f ca="1">IF(Tabla1[[#This Row],[DIAS VAC]]&gt;1,Tabla1[[#This Row],[DIAS VAC]]-Tabla1[[#This Row],[ANTIG]],Tabla1[[#This Row],[DIAS VAC]])</f>
        <v>0.79999999999999982</v>
      </c>
      <c r="U1419" s="244">
        <f ca="1">Tabla1[[#This Row],[VALID ANTIG]]*Tabla1[[#This Row],[SUE DIA]]*Tabla1[[#This Row],[DIAS VAC PAG]]</f>
        <v>1272.1333333333332</v>
      </c>
    </row>
    <row r="1420" spans="2:21" hidden="1" x14ac:dyDescent="0.25">
      <c r="B1420" s="243">
        <v>605</v>
      </c>
      <c r="C1420" s="140" t="str">
        <f>VLOOKUP(B1420,BDD[],2,0)</f>
        <v>Filiberto Herrera Nuñez</v>
      </c>
      <c r="D1420" s="140">
        <f>VLOOKUP(B1420,BDD[],3,0)</f>
        <v>9541</v>
      </c>
      <c r="E1420" s="140">
        <f>VLOOKUP(B1420,BDD[],4,0)</f>
        <v>318.03333333333336</v>
      </c>
      <c r="F1420" s="142">
        <f>VLOOKUP(B1420,BDD[],26,0)</f>
        <v>35.337037037037042</v>
      </c>
      <c r="G1420" s="268">
        <f>VLOOKUP(B1420,BDD[],6,0)</f>
        <v>43754</v>
      </c>
      <c r="H1420" s="139">
        <f ca="1">VLOOKUP(B1420,BDD[],7,0)</f>
        <v>2</v>
      </c>
      <c r="I1420" s="139">
        <f ca="1">VLOOKUP(B1420,BDD[],22,0)</f>
        <v>5</v>
      </c>
      <c r="J1420" s="168">
        <v>15</v>
      </c>
      <c r="K1420" s="139">
        <f>Tabla1[[#This Row],[DIAS LAB]]*Tabla1[[#This Row],[SUE DIA]]</f>
        <v>4770.5</v>
      </c>
      <c r="L1420" s="168">
        <v>0</v>
      </c>
      <c r="M1420" s="198">
        <f>Tabla1[[#This Row],[HRS EXT]]*Tabla1[[#This Row],[SUE X HR]]</f>
        <v>0</v>
      </c>
      <c r="N1420" s="168">
        <v>0</v>
      </c>
      <c r="O1420" s="198">
        <f>Tabla1[[#This Row],[ASUETO]]*Tabla1[[#This Row],[SUE DIA]]</f>
        <v>0</v>
      </c>
      <c r="P1420" s="139">
        <f>IF(Tabla1[[#This Row],[FECHA ING]]&lt;$P$1007,365,_xlfn.DAYS($P$1008,Tabla1[[#This Row],[FECHA ING]])+1)</f>
        <v>365</v>
      </c>
      <c r="Q1420" s="198">
        <f>INT(30*(Tabla1[[#This Row],[FECHAS CONTB AGNLDO]]/365))</f>
        <v>30</v>
      </c>
      <c r="R1420" s="244">
        <f ca="1">IF($W$32=$W$26,Tabla1[[#This Row],[SUE DIA]]*Tabla1[[#This Row],[DIAS PAG AGNLDO]],0)</f>
        <v>0</v>
      </c>
      <c r="S1420" s="244">
        <f ca="1">(_xlfn.DAYS(TODAY(),Tabla1[[#This Row],[FECHA ING]])/365)</f>
        <v>2.7561643835616438</v>
      </c>
      <c r="T1420" s="244">
        <f ca="1">IF(Tabla1[[#This Row],[DIAS VAC]]&gt;1,Tabla1[[#This Row],[DIAS VAC]]-Tabla1[[#This Row],[ANTIG]],Tabla1[[#This Row],[DIAS VAC]])</f>
        <v>0.75616438356164384</v>
      </c>
      <c r="U1420" s="244">
        <f ca="1">Tabla1[[#This Row],[VALID ANTIG]]*Tabla1[[#This Row],[SUE DIA]]*Tabla1[[#This Row],[DIAS VAC PAG]]</f>
        <v>1202.4273972602741</v>
      </c>
    </row>
    <row r="1421" spans="2:21" hidden="1" x14ac:dyDescent="0.25">
      <c r="B1421" s="243">
        <v>606</v>
      </c>
      <c r="C1421" s="140" t="str">
        <f>VLOOKUP(B1421,BDD[],2,0)</f>
        <v>Inocencia Navarrete Cabañas</v>
      </c>
      <c r="D1421" s="140">
        <f>VLOOKUP(B1421,BDD[],3,0)</f>
        <v>9541</v>
      </c>
      <c r="E1421" s="140">
        <f>VLOOKUP(B1421,BDD[],4,0)</f>
        <v>318.03333333333336</v>
      </c>
      <c r="F1421" s="142">
        <f>VLOOKUP(B1421,BDD[],26,0)</f>
        <v>35.337037037037042</v>
      </c>
      <c r="G1421" s="268">
        <f>VLOOKUP(B1421,BDD[],6,0)</f>
        <v>43758</v>
      </c>
      <c r="H1421" s="139">
        <f ca="1">VLOOKUP(B1421,BDD[],7,0)</f>
        <v>2</v>
      </c>
      <c r="I1421" s="139">
        <f ca="1">VLOOKUP(B1421,BDD[],22,0)</f>
        <v>5</v>
      </c>
      <c r="J1421" s="168">
        <v>15</v>
      </c>
      <c r="K1421" s="139">
        <f>Tabla1[[#This Row],[DIAS LAB]]*Tabla1[[#This Row],[SUE DIA]]</f>
        <v>4770.5</v>
      </c>
      <c r="L1421" s="168">
        <v>0</v>
      </c>
      <c r="M1421" s="198">
        <f>Tabla1[[#This Row],[HRS EXT]]*Tabla1[[#This Row],[SUE X HR]]</f>
        <v>0</v>
      </c>
      <c r="N1421" s="168">
        <v>0</v>
      </c>
      <c r="O1421" s="198">
        <f>Tabla1[[#This Row],[ASUETO]]*Tabla1[[#This Row],[SUE DIA]]</f>
        <v>0</v>
      </c>
      <c r="P1421" s="139">
        <f>IF(Tabla1[[#This Row],[FECHA ING]]&lt;$P$1007,365,_xlfn.DAYS($P$1008,Tabla1[[#This Row],[FECHA ING]])+1)</f>
        <v>365</v>
      </c>
      <c r="Q1421" s="198">
        <f>INT(30*(Tabla1[[#This Row],[FECHAS CONTB AGNLDO]]/365))</f>
        <v>30</v>
      </c>
      <c r="R1421" s="244">
        <f ca="1">IF($W$32=$W$26,Tabla1[[#This Row],[SUE DIA]]*Tabla1[[#This Row],[DIAS PAG AGNLDO]],0)</f>
        <v>0</v>
      </c>
      <c r="S1421" s="244">
        <f ca="1">(_xlfn.DAYS(TODAY(),Tabla1[[#This Row],[FECHA ING]])/365)</f>
        <v>2.7452054794520548</v>
      </c>
      <c r="T1421" s="244">
        <f ca="1">IF(Tabla1[[#This Row],[DIAS VAC]]&gt;1,Tabla1[[#This Row],[DIAS VAC]]-Tabla1[[#This Row],[ANTIG]],Tabla1[[#This Row],[DIAS VAC]])</f>
        <v>0.74520547945205484</v>
      </c>
      <c r="U1421" s="244">
        <f ca="1">Tabla1[[#This Row],[VALID ANTIG]]*Tabla1[[#This Row],[SUE DIA]]*Tabla1[[#This Row],[DIAS VAC PAG]]</f>
        <v>1185.0009132420093</v>
      </c>
    </row>
    <row r="1422" spans="2:21" hidden="1" x14ac:dyDescent="0.25">
      <c r="B1422" s="243">
        <v>608</v>
      </c>
      <c r="C1422" s="140" t="str">
        <f>VLOOKUP(B1422,BDD[],2,0)</f>
        <v>Litsi Jaqueline Carvajal Cortez</v>
      </c>
      <c r="D1422" s="140">
        <f>VLOOKUP(B1422,BDD[],3,0)</f>
        <v>9450</v>
      </c>
      <c r="E1422" s="140">
        <f>VLOOKUP(B1422,BDD[],4,0)</f>
        <v>315</v>
      </c>
      <c r="F1422" s="142">
        <f>VLOOKUP(B1422,BDD[],26,0)</f>
        <v>35</v>
      </c>
      <c r="G1422" s="268">
        <f>VLOOKUP(B1422,BDD[],6,0)</f>
        <v>43764</v>
      </c>
      <c r="H1422" s="139">
        <f ca="1">VLOOKUP(B1422,BDD[],7,0)</f>
        <v>2</v>
      </c>
      <c r="I1422" s="139">
        <f ca="1">VLOOKUP(B1422,BDD[],22,0)</f>
        <v>5</v>
      </c>
      <c r="J1422" s="168">
        <v>15</v>
      </c>
      <c r="K1422" s="139">
        <f>Tabla1[[#This Row],[DIAS LAB]]*Tabla1[[#This Row],[SUE DIA]]</f>
        <v>4725</v>
      </c>
      <c r="L1422" s="168">
        <v>0</v>
      </c>
      <c r="M1422" s="198">
        <f>Tabla1[[#This Row],[HRS EXT]]*Tabla1[[#This Row],[SUE X HR]]</f>
        <v>0</v>
      </c>
      <c r="N1422" s="168">
        <v>0</v>
      </c>
      <c r="O1422" s="198">
        <f>Tabla1[[#This Row],[ASUETO]]*Tabla1[[#This Row],[SUE DIA]]</f>
        <v>0</v>
      </c>
      <c r="P1422" s="139">
        <f>IF(Tabla1[[#This Row],[FECHA ING]]&lt;$P$1007,365,_xlfn.DAYS($P$1008,Tabla1[[#This Row],[FECHA ING]])+1)</f>
        <v>365</v>
      </c>
      <c r="Q1422" s="198">
        <f>INT(30*(Tabla1[[#This Row],[FECHAS CONTB AGNLDO]]/365))</f>
        <v>30</v>
      </c>
      <c r="R1422" s="244">
        <f ca="1">IF($W$32=$W$26,Tabla1[[#This Row],[SUE DIA]]*Tabla1[[#This Row],[DIAS PAG AGNLDO]],0)</f>
        <v>0</v>
      </c>
      <c r="S1422" s="244">
        <f ca="1">(_xlfn.DAYS(TODAY(),Tabla1[[#This Row],[FECHA ING]])/365)</f>
        <v>2.7287671232876711</v>
      </c>
      <c r="T1422" s="244">
        <f ca="1">IF(Tabla1[[#This Row],[DIAS VAC]]&gt;1,Tabla1[[#This Row],[DIAS VAC]]-Tabla1[[#This Row],[ANTIG]],Tabla1[[#This Row],[DIAS VAC]])</f>
        <v>0.72876712328767113</v>
      </c>
      <c r="U1422" s="244">
        <f ca="1">Tabla1[[#This Row],[VALID ANTIG]]*Tabla1[[#This Row],[SUE DIA]]*Tabla1[[#This Row],[DIAS VAC PAG]]</f>
        <v>1147.808219178082</v>
      </c>
    </row>
    <row r="1423" spans="2:21" hidden="1" x14ac:dyDescent="0.25">
      <c r="B1423" s="243">
        <v>609</v>
      </c>
      <c r="C1423" s="140" t="str">
        <f>VLOOKUP(B1423,BDD[],2,0)</f>
        <v>Marcela Rosas Villanueva</v>
      </c>
      <c r="D1423" s="140">
        <f>VLOOKUP(B1423,BDD[],3,0)</f>
        <v>8825</v>
      </c>
      <c r="E1423" s="140">
        <f>VLOOKUP(B1423,BDD[],4,0)</f>
        <v>294.16666666666669</v>
      </c>
      <c r="F1423" s="142">
        <f>VLOOKUP(B1423,BDD[],26,0)</f>
        <v>32.68518518518519</v>
      </c>
      <c r="G1423" s="268">
        <f>VLOOKUP(B1423,BDD[],6,0)</f>
        <v>43771</v>
      </c>
      <c r="H1423" s="139">
        <f ca="1">VLOOKUP(B1423,BDD[],7,0)</f>
        <v>2</v>
      </c>
      <c r="I1423" s="139">
        <f ca="1">VLOOKUP(B1423,BDD[],22,0)</f>
        <v>5</v>
      </c>
      <c r="J1423" s="168">
        <v>15</v>
      </c>
      <c r="K1423" s="139">
        <f>Tabla1[[#This Row],[DIAS LAB]]*Tabla1[[#This Row],[SUE DIA]]</f>
        <v>4412.5</v>
      </c>
      <c r="L1423" s="168">
        <v>0</v>
      </c>
      <c r="M1423" s="198">
        <f>Tabla1[[#This Row],[HRS EXT]]*Tabla1[[#This Row],[SUE X HR]]</f>
        <v>0</v>
      </c>
      <c r="N1423" s="168">
        <v>0</v>
      </c>
      <c r="O1423" s="198">
        <f>Tabla1[[#This Row],[ASUETO]]*Tabla1[[#This Row],[SUE DIA]]</f>
        <v>0</v>
      </c>
      <c r="P1423" s="139">
        <f>IF(Tabla1[[#This Row],[FECHA ING]]&lt;$P$1007,365,_xlfn.DAYS($P$1008,Tabla1[[#This Row],[FECHA ING]])+1)</f>
        <v>365</v>
      </c>
      <c r="Q1423" s="198">
        <f>INT(30*(Tabla1[[#This Row],[FECHAS CONTB AGNLDO]]/365))</f>
        <v>30</v>
      </c>
      <c r="R1423" s="244">
        <f ca="1">IF($W$32=$W$26,Tabla1[[#This Row],[SUE DIA]]*Tabla1[[#This Row],[DIAS PAG AGNLDO]],0)</f>
        <v>0</v>
      </c>
      <c r="S1423" s="244">
        <f ca="1">(_xlfn.DAYS(TODAY(),Tabla1[[#This Row],[FECHA ING]])/365)</f>
        <v>2.7095890410958905</v>
      </c>
      <c r="T1423" s="244">
        <f ca="1">IF(Tabla1[[#This Row],[DIAS VAC]]&gt;1,Tabla1[[#This Row],[DIAS VAC]]-Tabla1[[#This Row],[ANTIG]],Tabla1[[#This Row],[DIAS VAC]])</f>
        <v>0.70958904109589049</v>
      </c>
      <c r="U1423" s="244">
        <f ca="1">Tabla1[[#This Row],[VALID ANTIG]]*Tabla1[[#This Row],[SUE DIA]]*Tabla1[[#This Row],[DIAS VAC PAG]]</f>
        <v>1043.6872146118724</v>
      </c>
    </row>
    <row r="1424" spans="2:21" hidden="1" x14ac:dyDescent="0.25">
      <c r="B1424" s="243">
        <v>611</v>
      </c>
      <c r="C1424" s="140" t="str">
        <f>VLOOKUP(B1424,BDD[],2,0)</f>
        <v>Santos Daniel Hinojosa Torres</v>
      </c>
      <c r="D1424" s="140">
        <f>VLOOKUP(B1424,BDD[],3,0)</f>
        <v>9541</v>
      </c>
      <c r="E1424" s="140">
        <f>VLOOKUP(B1424,BDD[],4,0)</f>
        <v>318.03333333333336</v>
      </c>
      <c r="F1424" s="142">
        <f>VLOOKUP(B1424,BDD[],26,0)</f>
        <v>35.337037037037042</v>
      </c>
      <c r="G1424" s="268">
        <f>VLOOKUP(B1424,BDD[],6,0)</f>
        <v>43772</v>
      </c>
      <c r="H1424" s="139">
        <f ca="1">VLOOKUP(B1424,BDD[],7,0)</f>
        <v>2</v>
      </c>
      <c r="I1424" s="139">
        <f ca="1">VLOOKUP(B1424,BDD[],22,0)</f>
        <v>5</v>
      </c>
      <c r="J1424" s="168">
        <v>15</v>
      </c>
      <c r="K1424" s="139">
        <f>Tabla1[[#This Row],[DIAS LAB]]*Tabla1[[#This Row],[SUE DIA]]</f>
        <v>4770.5</v>
      </c>
      <c r="L1424" s="168">
        <v>0</v>
      </c>
      <c r="M1424" s="198">
        <f>Tabla1[[#This Row],[HRS EXT]]*Tabla1[[#This Row],[SUE X HR]]</f>
        <v>0</v>
      </c>
      <c r="N1424" s="168">
        <v>0</v>
      </c>
      <c r="O1424" s="198">
        <f>Tabla1[[#This Row],[ASUETO]]*Tabla1[[#This Row],[SUE DIA]]</f>
        <v>0</v>
      </c>
      <c r="P1424" s="139">
        <f>IF(Tabla1[[#This Row],[FECHA ING]]&lt;$P$1007,365,_xlfn.DAYS($P$1008,Tabla1[[#This Row],[FECHA ING]])+1)</f>
        <v>365</v>
      </c>
      <c r="Q1424" s="198">
        <f>INT(30*(Tabla1[[#This Row],[FECHAS CONTB AGNLDO]]/365))</f>
        <v>30</v>
      </c>
      <c r="R1424" s="244">
        <f ca="1">IF($W$32=$W$26,Tabla1[[#This Row],[SUE DIA]]*Tabla1[[#This Row],[DIAS PAG AGNLDO]],0)</f>
        <v>0</v>
      </c>
      <c r="S1424" s="244">
        <f ca="1">(_xlfn.DAYS(TODAY(),Tabla1[[#This Row],[FECHA ING]])/365)</f>
        <v>2.7068493150684931</v>
      </c>
      <c r="T1424" s="244">
        <f ca="1">IF(Tabla1[[#This Row],[DIAS VAC]]&gt;1,Tabla1[[#This Row],[DIAS VAC]]-Tabla1[[#This Row],[ANTIG]],Tabla1[[#This Row],[DIAS VAC]])</f>
        <v>0.70684931506849313</v>
      </c>
      <c r="U1424" s="244">
        <f ca="1">Tabla1[[#This Row],[VALID ANTIG]]*Tabla1[[#This Row],[SUE DIA]]*Tabla1[[#This Row],[DIAS VAC PAG]]</f>
        <v>1124.0082191780823</v>
      </c>
    </row>
    <row r="1425" spans="2:21" hidden="1" x14ac:dyDescent="0.25">
      <c r="B1425" s="243">
        <v>613</v>
      </c>
      <c r="C1425" s="140" t="str">
        <f>VLOOKUP(B1425,BDD[],2,0)</f>
        <v>Dorian Gamaiel Martínez Berlanga</v>
      </c>
      <c r="D1425" s="140">
        <f>VLOOKUP(B1425,BDD[],3,0)</f>
        <v>10350</v>
      </c>
      <c r="E1425" s="140">
        <f>VLOOKUP(B1425,BDD[],4,0)</f>
        <v>345</v>
      </c>
      <c r="F1425" s="142">
        <f>VLOOKUP(B1425,BDD[],26,0)</f>
        <v>38.333333333333336</v>
      </c>
      <c r="G1425" s="268">
        <f>VLOOKUP(B1425,BDD[],6,0)</f>
        <v>43775</v>
      </c>
      <c r="H1425" s="139">
        <f ca="1">VLOOKUP(B1425,BDD[],7,0)</f>
        <v>2</v>
      </c>
      <c r="I1425" s="139">
        <f ca="1">VLOOKUP(B1425,BDD[],22,0)</f>
        <v>5</v>
      </c>
      <c r="J1425" s="168">
        <v>15</v>
      </c>
      <c r="K1425" s="139">
        <f>Tabla1[[#This Row],[DIAS LAB]]*Tabla1[[#This Row],[SUE DIA]]</f>
        <v>5175</v>
      </c>
      <c r="L1425" s="168">
        <v>0</v>
      </c>
      <c r="M1425" s="198">
        <f>Tabla1[[#This Row],[HRS EXT]]*Tabla1[[#This Row],[SUE X HR]]</f>
        <v>0</v>
      </c>
      <c r="N1425" s="168">
        <v>0</v>
      </c>
      <c r="O1425" s="198">
        <f>Tabla1[[#This Row],[ASUETO]]*Tabla1[[#This Row],[SUE DIA]]</f>
        <v>0</v>
      </c>
      <c r="P1425" s="139">
        <f>IF(Tabla1[[#This Row],[FECHA ING]]&lt;$P$1007,365,_xlfn.DAYS($P$1008,Tabla1[[#This Row],[FECHA ING]])+1)</f>
        <v>365</v>
      </c>
      <c r="Q1425" s="198">
        <f>INT(30*(Tabla1[[#This Row],[FECHAS CONTB AGNLDO]]/365))</f>
        <v>30</v>
      </c>
      <c r="R1425" s="244">
        <f ca="1">IF($W$32=$W$26,Tabla1[[#This Row],[SUE DIA]]*Tabla1[[#This Row],[DIAS PAG AGNLDO]],0)</f>
        <v>0</v>
      </c>
      <c r="S1425" s="244">
        <f ca="1">(_xlfn.DAYS(TODAY(),Tabla1[[#This Row],[FECHA ING]])/365)</f>
        <v>2.6986301369863015</v>
      </c>
      <c r="T1425" s="244">
        <f ca="1">IF(Tabla1[[#This Row],[DIAS VAC]]&gt;1,Tabla1[[#This Row],[DIAS VAC]]-Tabla1[[#This Row],[ANTIG]],Tabla1[[#This Row],[DIAS VAC]])</f>
        <v>0.6986301369863015</v>
      </c>
      <c r="U1425" s="244">
        <f ca="1">Tabla1[[#This Row],[VALID ANTIG]]*Tabla1[[#This Row],[SUE DIA]]*Tabla1[[#This Row],[DIAS VAC PAG]]</f>
        <v>1205.1369863013701</v>
      </c>
    </row>
    <row r="1426" spans="2:21" hidden="1" x14ac:dyDescent="0.25">
      <c r="B1426" s="243">
        <v>614</v>
      </c>
      <c r="C1426" s="140" t="str">
        <f>VLOOKUP(B1426,BDD[],2,0)</f>
        <v>Gabriela Alejadra Martinez De Leon</v>
      </c>
      <c r="D1426" s="140">
        <f>VLOOKUP(B1426,BDD[],3,0)</f>
        <v>9450</v>
      </c>
      <c r="E1426" s="140">
        <f>VLOOKUP(B1426,BDD[],4,0)</f>
        <v>315</v>
      </c>
      <c r="F1426" s="142">
        <f>VLOOKUP(B1426,BDD[],26,0)</f>
        <v>35</v>
      </c>
      <c r="G1426" s="268">
        <f>VLOOKUP(B1426,BDD[],6,0)</f>
        <v>43778</v>
      </c>
      <c r="H1426" s="139">
        <f ca="1">VLOOKUP(B1426,BDD[],7,0)</f>
        <v>2</v>
      </c>
      <c r="I1426" s="139">
        <f ca="1">VLOOKUP(B1426,BDD[],22,0)</f>
        <v>5</v>
      </c>
      <c r="J1426" s="168">
        <v>15</v>
      </c>
      <c r="K1426" s="139">
        <f>Tabla1[[#This Row],[DIAS LAB]]*Tabla1[[#This Row],[SUE DIA]]</f>
        <v>4725</v>
      </c>
      <c r="L1426" s="168">
        <v>0</v>
      </c>
      <c r="M1426" s="198">
        <f>Tabla1[[#This Row],[HRS EXT]]*Tabla1[[#This Row],[SUE X HR]]</f>
        <v>0</v>
      </c>
      <c r="N1426" s="168">
        <v>0</v>
      </c>
      <c r="O1426" s="198">
        <f>Tabla1[[#This Row],[ASUETO]]*Tabla1[[#This Row],[SUE DIA]]</f>
        <v>0</v>
      </c>
      <c r="P1426" s="139">
        <f>IF(Tabla1[[#This Row],[FECHA ING]]&lt;$P$1007,365,_xlfn.DAYS($P$1008,Tabla1[[#This Row],[FECHA ING]])+1)</f>
        <v>365</v>
      </c>
      <c r="Q1426" s="198">
        <f>INT(30*(Tabla1[[#This Row],[FECHAS CONTB AGNLDO]]/365))</f>
        <v>30</v>
      </c>
      <c r="R1426" s="244">
        <f ca="1">IF($W$32=$W$26,Tabla1[[#This Row],[SUE DIA]]*Tabla1[[#This Row],[DIAS PAG AGNLDO]],0)</f>
        <v>0</v>
      </c>
      <c r="S1426" s="244">
        <f ca="1">(_xlfn.DAYS(TODAY(),Tabla1[[#This Row],[FECHA ING]])/365)</f>
        <v>2.6904109589041094</v>
      </c>
      <c r="T1426" s="244">
        <f ca="1">IF(Tabla1[[#This Row],[DIAS VAC]]&gt;1,Tabla1[[#This Row],[DIAS VAC]]-Tabla1[[#This Row],[ANTIG]],Tabla1[[#This Row],[DIAS VAC]])</f>
        <v>0.69041095890410942</v>
      </c>
      <c r="U1426" s="244">
        <f ca="1">Tabla1[[#This Row],[VALID ANTIG]]*Tabla1[[#This Row],[SUE DIA]]*Tabla1[[#This Row],[DIAS VAC PAG]]</f>
        <v>1087.3972602739723</v>
      </c>
    </row>
    <row r="1427" spans="2:21" hidden="1" x14ac:dyDescent="0.25">
      <c r="B1427" s="243">
        <v>615</v>
      </c>
      <c r="C1427" s="140" t="str">
        <f>VLOOKUP(B1427,BDD[],2,0)</f>
        <v>María Guadalupe Hernandez Herrera</v>
      </c>
      <c r="D1427" s="140">
        <f>VLOOKUP(B1427,BDD[],3,0)</f>
        <v>9541</v>
      </c>
      <c r="E1427" s="140">
        <f>VLOOKUP(B1427,BDD[],4,0)</f>
        <v>318.03333333333336</v>
      </c>
      <c r="F1427" s="142">
        <f>VLOOKUP(B1427,BDD[],26,0)</f>
        <v>35.337037037037042</v>
      </c>
      <c r="G1427" s="268">
        <f>VLOOKUP(B1427,BDD[],6,0)</f>
        <v>43778</v>
      </c>
      <c r="H1427" s="139">
        <f ca="1">VLOOKUP(B1427,BDD[],7,0)</f>
        <v>2</v>
      </c>
      <c r="I1427" s="139">
        <f ca="1">VLOOKUP(B1427,BDD[],22,0)</f>
        <v>5</v>
      </c>
      <c r="J1427" s="168">
        <v>15</v>
      </c>
      <c r="K1427" s="139">
        <f>Tabla1[[#This Row],[DIAS LAB]]*Tabla1[[#This Row],[SUE DIA]]</f>
        <v>4770.5</v>
      </c>
      <c r="L1427" s="168">
        <v>0</v>
      </c>
      <c r="M1427" s="198">
        <f>Tabla1[[#This Row],[HRS EXT]]*Tabla1[[#This Row],[SUE X HR]]</f>
        <v>0</v>
      </c>
      <c r="N1427" s="168">
        <v>0</v>
      </c>
      <c r="O1427" s="198">
        <f>Tabla1[[#This Row],[ASUETO]]*Tabla1[[#This Row],[SUE DIA]]</f>
        <v>0</v>
      </c>
      <c r="P1427" s="139">
        <f>IF(Tabla1[[#This Row],[FECHA ING]]&lt;$P$1007,365,_xlfn.DAYS($P$1008,Tabla1[[#This Row],[FECHA ING]])+1)</f>
        <v>365</v>
      </c>
      <c r="Q1427" s="198">
        <f>INT(30*(Tabla1[[#This Row],[FECHAS CONTB AGNLDO]]/365))</f>
        <v>30</v>
      </c>
      <c r="R1427" s="244">
        <f ca="1">IF($W$32=$W$26,Tabla1[[#This Row],[SUE DIA]]*Tabla1[[#This Row],[DIAS PAG AGNLDO]],0)</f>
        <v>0</v>
      </c>
      <c r="S1427" s="244">
        <f ca="1">(_xlfn.DAYS(TODAY(),Tabla1[[#This Row],[FECHA ING]])/365)</f>
        <v>2.6904109589041094</v>
      </c>
      <c r="T1427" s="244">
        <f ca="1">IF(Tabla1[[#This Row],[DIAS VAC]]&gt;1,Tabla1[[#This Row],[DIAS VAC]]-Tabla1[[#This Row],[ANTIG]],Tabla1[[#This Row],[DIAS VAC]])</f>
        <v>0.69041095890410942</v>
      </c>
      <c r="U1427" s="244">
        <f ca="1">Tabla1[[#This Row],[VALID ANTIG]]*Tabla1[[#This Row],[SUE DIA]]*Tabla1[[#This Row],[DIAS VAC PAG]]</f>
        <v>1097.8684931506848</v>
      </c>
    </row>
    <row r="1428" spans="2:21" hidden="1" x14ac:dyDescent="0.25">
      <c r="B1428" s="243">
        <v>616</v>
      </c>
      <c r="C1428" s="140" t="str">
        <f>VLOOKUP(B1428,BDD[],2,0)</f>
        <v>Jeidi Brisa Soto Martínez</v>
      </c>
      <c r="D1428" s="140">
        <f>VLOOKUP(B1428,BDD[],3,0)</f>
        <v>7445</v>
      </c>
      <c r="E1428" s="140">
        <f>VLOOKUP(B1428,BDD[],4,0)</f>
        <v>248.16666666666666</v>
      </c>
      <c r="F1428" s="142">
        <f>VLOOKUP(B1428,BDD[],26,0)</f>
        <v>27.574074074074073</v>
      </c>
      <c r="G1428" s="268">
        <f>VLOOKUP(B1428,BDD[],6,0)</f>
        <v>43782</v>
      </c>
      <c r="H1428" s="139">
        <f ca="1">VLOOKUP(B1428,BDD[],7,0)</f>
        <v>2</v>
      </c>
      <c r="I1428" s="139">
        <f ca="1">VLOOKUP(B1428,BDD[],22,0)</f>
        <v>5</v>
      </c>
      <c r="J1428" s="168">
        <v>15</v>
      </c>
      <c r="K1428" s="139">
        <f>Tabla1[[#This Row],[DIAS LAB]]*Tabla1[[#This Row],[SUE DIA]]</f>
        <v>3722.5</v>
      </c>
      <c r="L1428" s="168">
        <v>0</v>
      </c>
      <c r="M1428" s="198">
        <f>Tabla1[[#This Row],[HRS EXT]]*Tabla1[[#This Row],[SUE X HR]]</f>
        <v>0</v>
      </c>
      <c r="N1428" s="168">
        <v>0</v>
      </c>
      <c r="O1428" s="198">
        <f>Tabla1[[#This Row],[ASUETO]]*Tabla1[[#This Row],[SUE DIA]]</f>
        <v>0</v>
      </c>
      <c r="P1428" s="139">
        <f>IF(Tabla1[[#This Row],[FECHA ING]]&lt;$P$1007,365,_xlfn.DAYS($P$1008,Tabla1[[#This Row],[FECHA ING]])+1)</f>
        <v>365</v>
      </c>
      <c r="Q1428" s="198">
        <f>INT(30*(Tabla1[[#This Row],[FECHAS CONTB AGNLDO]]/365))</f>
        <v>30</v>
      </c>
      <c r="R1428" s="244">
        <f ca="1">IF($W$32=$W$26,Tabla1[[#This Row],[SUE DIA]]*Tabla1[[#This Row],[DIAS PAG AGNLDO]],0)</f>
        <v>0</v>
      </c>
      <c r="S1428" s="244">
        <f ca="1">(_xlfn.DAYS(TODAY(),Tabla1[[#This Row],[FECHA ING]])/365)</f>
        <v>2.6794520547945204</v>
      </c>
      <c r="T1428" s="244">
        <f ca="1">IF(Tabla1[[#This Row],[DIAS VAC]]&gt;1,Tabla1[[#This Row],[DIAS VAC]]-Tabla1[[#This Row],[ANTIG]],Tabla1[[#This Row],[DIAS VAC]])</f>
        <v>0.67945205479452042</v>
      </c>
      <c r="U1428" s="244">
        <f ca="1">Tabla1[[#This Row],[VALID ANTIG]]*Tabla1[[#This Row],[SUE DIA]]*Tabla1[[#This Row],[DIAS VAC PAG]]</f>
        <v>843.08675799086745</v>
      </c>
    </row>
    <row r="1429" spans="2:21" hidden="1" x14ac:dyDescent="0.25">
      <c r="B1429" s="243">
        <v>618</v>
      </c>
      <c r="C1429" s="140" t="str">
        <f>VLOOKUP(B1429,BDD[],2,0)</f>
        <v>Brayan Campos Hernández</v>
      </c>
      <c r="D1429" s="140">
        <f>VLOOKUP(B1429,BDD[],3,0)</f>
        <v>7445</v>
      </c>
      <c r="E1429" s="140">
        <f>VLOOKUP(B1429,BDD[],4,0)</f>
        <v>248.16666666666666</v>
      </c>
      <c r="F1429" s="142">
        <f>VLOOKUP(B1429,BDD[],26,0)</f>
        <v>27.574074074074073</v>
      </c>
      <c r="G1429" s="268">
        <f>VLOOKUP(B1429,BDD[],6,0)</f>
        <v>43788</v>
      </c>
      <c r="H1429" s="139">
        <f ca="1">VLOOKUP(B1429,BDD[],7,0)</f>
        <v>2</v>
      </c>
      <c r="I1429" s="139">
        <f ca="1">VLOOKUP(B1429,BDD[],22,0)</f>
        <v>5</v>
      </c>
      <c r="J1429" s="168">
        <v>15</v>
      </c>
      <c r="K1429" s="139">
        <f>Tabla1[[#This Row],[DIAS LAB]]*Tabla1[[#This Row],[SUE DIA]]</f>
        <v>3722.5</v>
      </c>
      <c r="L1429" s="168">
        <v>0</v>
      </c>
      <c r="M1429" s="198">
        <f>Tabla1[[#This Row],[HRS EXT]]*Tabla1[[#This Row],[SUE X HR]]</f>
        <v>0</v>
      </c>
      <c r="N1429" s="168">
        <v>0</v>
      </c>
      <c r="O1429" s="198">
        <f>Tabla1[[#This Row],[ASUETO]]*Tabla1[[#This Row],[SUE DIA]]</f>
        <v>0</v>
      </c>
      <c r="P1429" s="139">
        <f>IF(Tabla1[[#This Row],[FECHA ING]]&lt;$P$1007,365,_xlfn.DAYS($P$1008,Tabla1[[#This Row],[FECHA ING]])+1)</f>
        <v>365</v>
      </c>
      <c r="Q1429" s="198">
        <f>INT(30*(Tabla1[[#This Row],[FECHAS CONTB AGNLDO]]/365))</f>
        <v>30</v>
      </c>
      <c r="R1429" s="244">
        <f ca="1">IF($W$32=$W$26,Tabla1[[#This Row],[SUE DIA]]*Tabla1[[#This Row],[DIAS PAG AGNLDO]],0)</f>
        <v>0</v>
      </c>
      <c r="S1429" s="244">
        <f ca="1">(_xlfn.DAYS(TODAY(),Tabla1[[#This Row],[FECHA ING]])/365)</f>
        <v>2.6630136986301371</v>
      </c>
      <c r="T1429" s="244">
        <f ca="1">IF(Tabla1[[#This Row],[DIAS VAC]]&gt;1,Tabla1[[#This Row],[DIAS VAC]]-Tabla1[[#This Row],[ANTIG]],Tabla1[[#This Row],[DIAS VAC]])</f>
        <v>0.66301369863013715</v>
      </c>
      <c r="U1429" s="244">
        <f ca="1">Tabla1[[#This Row],[VALID ANTIG]]*Tabla1[[#This Row],[SUE DIA]]*Tabla1[[#This Row],[DIAS VAC PAG]]</f>
        <v>822.68949771689518</v>
      </c>
    </row>
    <row r="1430" spans="2:21" hidden="1" x14ac:dyDescent="0.25">
      <c r="B1430" s="243">
        <v>619</v>
      </c>
      <c r="C1430" s="140" t="str">
        <f>VLOOKUP(B1430,BDD[],2,0)</f>
        <v>Daniela Evangelista Gutierrez</v>
      </c>
      <c r="D1430" s="140">
        <f>VLOOKUP(B1430,BDD[],3,0)</f>
        <v>6778</v>
      </c>
      <c r="E1430" s="140">
        <f>VLOOKUP(B1430,BDD[],4,0)</f>
        <v>225.93333333333334</v>
      </c>
      <c r="F1430" s="142">
        <f>VLOOKUP(B1430,BDD[],26,0)</f>
        <v>25.103703703703705</v>
      </c>
      <c r="G1430" s="268">
        <f>VLOOKUP(B1430,BDD[],6,0)</f>
        <v>43792</v>
      </c>
      <c r="H1430" s="139">
        <f ca="1">VLOOKUP(B1430,BDD[],7,0)</f>
        <v>2</v>
      </c>
      <c r="I1430" s="139">
        <f ca="1">VLOOKUP(B1430,BDD[],22,0)</f>
        <v>2.5</v>
      </c>
      <c r="J1430" s="168">
        <v>15</v>
      </c>
      <c r="K1430" s="139">
        <f>Tabla1[[#This Row],[DIAS LAB]]*Tabla1[[#This Row],[SUE DIA]]</f>
        <v>3389</v>
      </c>
      <c r="L1430" s="168">
        <v>0</v>
      </c>
      <c r="M1430" s="198">
        <f>Tabla1[[#This Row],[HRS EXT]]*Tabla1[[#This Row],[SUE X HR]]</f>
        <v>0</v>
      </c>
      <c r="N1430" s="168">
        <v>0</v>
      </c>
      <c r="O1430" s="198">
        <f>Tabla1[[#This Row],[ASUETO]]*Tabla1[[#This Row],[SUE DIA]]</f>
        <v>0</v>
      </c>
      <c r="P1430" s="139">
        <f>IF(Tabla1[[#This Row],[FECHA ING]]&lt;$P$1007,365,_xlfn.DAYS($P$1008,Tabla1[[#This Row],[FECHA ING]])+1)</f>
        <v>365</v>
      </c>
      <c r="Q1430" s="198">
        <f>INT(30*(Tabla1[[#This Row],[FECHAS CONTB AGNLDO]]/365))</f>
        <v>30</v>
      </c>
      <c r="R1430" s="244">
        <f ca="1">IF($W$32=$W$26,Tabla1[[#This Row],[SUE DIA]]*Tabla1[[#This Row],[DIAS PAG AGNLDO]],0)</f>
        <v>0</v>
      </c>
      <c r="S1430" s="244">
        <f ca="1">(_xlfn.DAYS(TODAY(),Tabla1[[#This Row],[FECHA ING]])/365)</f>
        <v>2.6520547945205482</v>
      </c>
      <c r="T1430" s="244">
        <f ca="1">IF(Tabla1[[#This Row],[DIAS VAC]]&gt;1,Tabla1[[#This Row],[DIAS VAC]]-Tabla1[[#This Row],[ANTIG]],Tabla1[[#This Row],[DIAS VAC]])</f>
        <v>0.65205479452054815</v>
      </c>
      <c r="U1430" s="244">
        <f ca="1">Tabla1[[#This Row],[VALID ANTIG]]*Tabla1[[#This Row],[SUE DIA]]*Tabla1[[#This Row],[DIAS VAC PAG]]</f>
        <v>368.30228310502292</v>
      </c>
    </row>
    <row r="1431" spans="2:21" hidden="1" x14ac:dyDescent="0.25">
      <c r="B1431" s="243">
        <v>621</v>
      </c>
      <c r="C1431" s="140" t="str">
        <f>VLOOKUP(B1431,BDD[],2,0)</f>
        <v>Fatima Jaqueline Reyna Vazquez</v>
      </c>
      <c r="D1431" s="140">
        <f>VLOOKUP(B1431,BDD[],3,0)</f>
        <v>9450</v>
      </c>
      <c r="E1431" s="140">
        <f>VLOOKUP(B1431,BDD[],4,0)</f>
        <v>315</v>
      </c>
      <c r="F1431" s="142">
        <f>VLOOKUP(B1431,BDD[],26,0)</f>
        <v>35</v>
      </c>
      <c r="G1431" s="268">
        <f>VLOOKUP(B1431,BDD[],6,0)</f>
        <v>43795</v>
      </c>
      <c r="H1431" s="139">
        <f ca="1">VLOOKUP(B1431,BDD[],7,0)</f>
        <v>2</v>
      </c>
      <c r="I1431" s="139">
        <f ca="1">VLOOKUP(B1431,BDD[],22,0)</f>
        <v>5</v>
      </c>
      <c r="J1431" s="168">
        <v>15</v>
      </c>
      <c r="K1431" s="139">
        <f>Tabla1[[#This Row],[DIAS LAB]]*Tabla1[[#This Row],[SUE DIA]]</f>
        <v>4725</v>
      </c>
      <c r="L1431" s="168">
        <v>0</v>
      </c>
      <c r="M1431" s="198">
        <f>Tabla1[[#This Row],[HRS EXT]]*Tabla1[[#This Row],[SUE X HR]]</f>
        <v>0</v>
      </c>
      <c r="N1431" s="168">
        <v>0</v>
      </c>
      <c r="O1431" s="198">
        <f>Tabla1[[#This Row],[ASUETO]]*Tabla1[[#This Row],[SUE DIA]]</f>
        <v>0</v>
      </c>
      <c r="P1431" s="139">
        <f>IF(Tabla1[[#This Row],[FECHA ING]]&lt;$P$1007,365,_xlfn.DAYS($P$1008,Tabla1[[#This Row],[FECHA ING]])+1)</f>
        <v>365</v>
      </c>
      <c r="Q1431" s="198">
        <f>INT(30*(Tabla1[[#This Row],[FECHAS CONTB AGNLDO]]/365))</f>
        <v>30</v>
      </c>
      <c r="R1431" s="244">
        <f ca="1">IF($W$32=$W$26,Tabla1[[#This Row],[SUE DIA]]*Tabla1[[#This Row],[DIAS PAG AGNLDO]],0)</f>
        <v>0</v>
      </c>
      <c r="S1431" s="244">
        <f ca="1">(_xlfn.DAYS(TODAY(),Tabla1[[#This Row],[FECHA ING]])/365)</f>
        <v>2.6438356164383561</v>
      </c>
      <c r="T1431" s="244">
        <f ca="1">IF(Tabla1[[#This Row],[DIAS VAC]]&gt;1,Tabla1[[#This Row],[DIAS VAC]]-Tabla1[[#This Row],[ANTIG]],Tabla1[[#This Row],[DIAS VAC]])</f>
        <v>0.64383561643835607</v>
      </c>
      <c r="U1431" s="244">
        <f ca="1">Tabla1[[#This Row],[VALID ANTIG]]*Tabla1[[#This Row],[SUE DIA]]*Tabla1[[#This Row],[DIAS VAC PAG]]</f>
        <v>1014.0410958904108</v>
      </c>
    </row>
    <row r="1432" spans="2:21" hidden="1" x14ac:dyDescent="0.25">
      <c r="B1432" s="243">
        <v>625</v>
      </c>
      <c r="C1432" s="140" t="str">
        <f>VLOOKUP(B1432,BDD[],2,0)</f>
        <v>José Francisco Florentino</v>
      </c>
      <c r="D1432" s="140">
        <f>VLOOKUP(B1432,BDD[],3,0)</f>
        <v>10860</v>
      </c>
      <c r="E1432" s="140">
        <f>VLOOKUP(B1432,BDD[],4,0)</f>
        <v>362</v>
      </c>
      <c r="F1432" s="142">
        <f>VLOOKUP(B1432,BDD[],26,0)</f>
        <v>40.222222222222221</v>
      </c>
      <c r="G1432" s="268">
        <f>VLOOKUP(B1432,BDD[],6,0)</f>
        <v>43800</v>
      </c>
      <c r="H1432" s="139">
        <f ca="1">VLOOKUP(B1432,BDD[],7,0)</f>
        <v>2</v>
      </c>
      <c r="I1432" s="139">
        <f ca="1">VLOOKUP(B1432,BDD[],22,0)</f>
        <v>5</v>
      </c>
      <c r="J1432" s="168">
        <v>15</v>
      </c>
      <c r="K1432" s="139">
        <f>Tabla1[[#This Row],[DIAS LAB]]*Tabla1[[#This Row],[SUE DIA]]</f>
        <v>5430</v>
      </c>
      <c r="L1432" s="168">
        <v>0</v>
      </c>
      <c r="M1432" s="198">
        <f>Tabla1[[#This Row],[HRS EXT]]*Tabla1[[#This Row],[SUE X HR]]</f>
        <v>0</v>
      </c>
      <c r="N1432" s="168">
        <v>0</v>
      </c>
      <c r="O1432" s="198">
        <f>Tabla1[[#This Row],[ASUETO]]*Tabla1[[#This Row],[SUE DIA]]</f>
        <v>0</v>
      </c>
      <c r="P1432" s="139">
        <f>IF(Tabla1[[#This Row],[FECHA ING]]&lt;$P$1007,365,_xlfn.DAYS($P$1008,Tabla1[[#This Row],[FECHA ING]])+1)</f>
        <v>365</v>
      </c>
      <c r="Q1432" s="198">
        <f>INT(30*(Tabla1[[#This Row],[FECHAS CONTB AGNLDO]]/365))</f>
        <v>30</v>
      </c>
      <c r="R1432" s="244">
        <f ca="1">IF($W$32=$W$26,Tabla1[[#This Row],[SUE DIA]]*Tabla1[[#This Row],[DIAS PAG AGNLDO]],0)</f>
        <v>0</v>
      </c>
      <c r="S1432" s="244">
        <f ca="1">(_xlfn.DAYS(TODAY(),Tabla1[[#This Row],[FECHA ING]])/365)</f>
        <v>2.6301369863013697</v>
      </c>
      <c r="T1432" s="244">
        <f ca="1">IF(Tabla1[[#This Row],[DIAS VAC]]&gt;1,Tabla1[[#This Row],[DIAS VAC]]-Tabla1[[#This Row],[ANTIG]],Tabla1[[#This Row],[DIAS VAC]])</f>
        <v>0.63013698630136972</v>
      </c>
      <c r="U1432" s="244">
        <f ca="1">Tabla1[[#This Row],[VALID ANTIG]]*Tabla1[[#This Row],[SUE DIA]]*Tabla1[[#This Row],[DIAS VAC PAG]]</f>
        <v>1140.5479452054792</v>
      </c>
    </row>
    <row r="1433" spans="2:21" hidden="1" x14ac:dyDescent="0.25">
      <c r="B1433" s="243">
        <v>626</v>
      </c>
      <c r="C1433" s="140" t="str">
        <f>VLOOKUP(B1433,BDD[],2,0)</f>
        <v>Erika Beatriz Rodriguez Arista</v>
      </c>
      <c r="D1433" s="140">
        <f>VLOOKUP(B1433,BDD[],3,0)</f>
        <v>27150</v>
      </c>
      <c r="E1433" s="140">
        <f>VLOOKUP(B1433,BDD[],4,0)</f>
        <v>905</v>
      </c>
      <c r="F1433" s="142">
        <f>VLOOKUP(B1433,BDD[],26,0)</f>
        <v>100.55555555555556</v>
      </c>
      <c r="G1433" s="268">
        <f>VLOOKUP(B1433,BDD[],6,0)</f>
        <v>43804</v>
      </c>
      <c r="H1433" s="139">
        <f ca="1">VLOOKUP(B1433,BDD[],7,0)</f>
        <v>2</v>
      </c>
      <c r="I1433" s="139">
        <f ca="1">VLOOKUP(B1433,BDD[],22,0)</f>
        <v>5</v>
      </c>
      <c r="J1433" s="168">
        <v>15</v>
      </c>
      <c r="K1433" s="139">
        <f>Tabla1[[#This Row],[DIAS LAB]]*Tabla1[[#This Row],[SUE DIA]]</f>
        <v>13575</v>
      </c>
      <c r="L1433" s="168">
        <v>0</v>
      </c>
      <c r="M1433" s="198">
        <f>Tabla1[[#This Row],[HRS EXT]]*Tabla1[[#This Row],[SUE X HR]]</f>
        <v>0</v>
      </c>
      <c r="N1433" s="168">
        <v>0</v>
      </c>
      <c r="O1433" s="198">
        <f>Tabla1[[#This Row],[ASUETO]]*Tabla1[[#This Row],[SUE DIA]]</f>
        <v>0</v>
      </c>
      <c r="P1433" s="139">
        <f>IF(Tabla1[[#This Row],[FECHA ING]]&lt;$P$1007,365,_xlfn.DAYS($P$1008,Tabla1[[#This Row],[FECHA ING]])+1)</f>
        <v>365</v>
      </c>
      <c r="Q1433" s="198">
        <f>INT(30*(Tabla1[[#This Row],[FECHAS CONTB AGNLDO]]/365))</f>
        <v>30</v>
      </c>
      <c r="R1433" s="244">
        <f ca="1">IF($W$32=$W$26,Tabla1[[#This Row],[SUE DIA]]*Tabla1[[#This Row],[DIAS PAG AGNLDO]],0)</f>
        <v>0</v>
      </c>
      <c r="S1433" s="244">
        <f ca="1">(_xlfn.DAYS(TODAY(),Tabla1[[#This Row],[FECHA ING]])/365)</f>
        <v>2.6191780821917807</v>
      </c>
      <c r="T1433" s="244">
        <f ca="1">IF(Tabla1[[#This Row],[DIAS VAC]]&gt;1,Tabla1[[#This Row],[DIAS VAC]]-Tabla1[[#This Row],[ANTIG]],Tabla1[[#This Row],[DIAS VAC]])</f>
        <v>0.61917808219178072</v>
      </c>
      <c r="U1433" s="244">
        <f ca="1">Tabla1[[#This Row],[VALID ANTIG]]*Tabla1[[#This Row],[SUE DIA]]*Tabla1[[#This Row],[DIAS VAC PAG]]</f>
        <v>2801.7808219178078</v>
      </c>
    </row>
    <row r="1434" spans="2:21" hidden="1" x14ac:dyDescent="0.25">
      <c r="B1434" s="243">
        <v>628</v>
      </c>
      <c r="C1434" s="140" t="str">
        <f>VLOOKUP(B1434,BDD[],2,0)</f>
        <v>Felipa Hernandez Castro</v>
      </c>
      <c r="D1434" s="140">
        <f>VLOOKUP(B1434,BDD[],3,0)</f>
        <v>9541</v>
      </c>
      <c r="E1434" s="140">
        <f>VLOOKUP(B1434,BDD[],4,0)</f>
        <v>318.03333333333336</v>
      </c>
      <c r="F1434" s="142">
        <f>VLOOKUP(B1434,BDD[],26,0)</f>
        <v>35.337037037037042</v>
      </c>
      <c r="G1434" s="268">
        <f>VLOOKUP(B1434,BDD[],6,0)</f>
        <v>43809</v>
      </c>
      <c r="H1434" s="139">
        <f ca="1">VLOOKUP(B1434,BDD[],7,0)</f>
        <v>2</v>
      </c>
      <c r="I1434" s="139">
        <f ca="1">VLOOKUP(B1434,BDD[],22,0)</f>
        <v>5</v>
      </c>
      <c r="J1434" s="168">
        <v>15</v>
      </c>
      <c r="K1434" s="139">
        <f>Tabla1[[#This Row],[DIAS LAB]]*Tabla1[[#This Row],[SUE DIA]]</f>
        <v>4770.5</v>
      </c>
      <c r="L1434" s="168">
        <v>0</v>
      </c>
      <c r="M1434" s="198">
        <f>Tabla1[[#This Row],[HRS EXT]]*Tabla1[[#This Row],[SUE X HR]]</f>
        <v>0</v>
      </c>
      <c r="N1434" s="168">
        <v>0</v>
      </c>
      <c r="O1434" s="198">
        <f>Tabla1[[#This Row],[ASUETO]]*Tabla1[[#This Row],[SUE DIA]]</f>
        <v>0</v>
      </c>
      <c r="P1434" s="139">
        <f>IF(Tabla1[[#This Row],[FECHA ING]]&lt;$P$1007,365,_xlfn.DAYS($P$1008,Tabla1[[#This Row],[FECHA ING]])+1)</f>
        <v>365</v>
      </c>
      <c r="Q1434" s="198">
        <f>INT(30*(Tabla1[[#This Row],[FECHAS CONTB AGNLDO]]/365))</f>
        <v>30</v>
      </c>
      <c r="R1434" s="244">
        <f ca="1">IF($W$32=$W$26,Tabla1[[#This Row],[SUE DIA]]*Tabla1[[#This Row],[DIAS PAG AGNLDO]],0)</f>
        <v>0</v>
      </c>
      <c r="S1434" s="244">
        <f ca="1">(_xlfn.DAYS(TODAY(),Tabla1[[#This Row],[FECHA ING]])/365)</f>
        <v>2.6054794520547944</v>
      </c>
      <c r="T1434" s="244">
        <f ca="1">IF(Tabla1[[#This Row],[DIAS VAC]]&gt;1,Tabla1[[#This Row],[DIAS VAC]]-Tabla1[[#This Row],[ANTIG]],Tabla1[[#This Row],[DIAS VAC]])</f>
        <v>0.60547945205479436</v>
      </c>
      <c r="U1434" s="244">
        <f ca="1">Tabla1[[#This Row],[VALID ANTIG]]*Tabla1[[#This Row],[SUE DIA]]*Tabla1[[#This Row],[DIAS VAC PAG]]</f>
        <v>962.81324200913218</v>
      </c>
    </row>
    <row r="1435" spans="2:21" hidden="1" x14ac:dyDescent="0.25">
      <c r="B1435" s="243">
        <v>629</v>
      </c>
      <c r="C1435" s="140" t="str">
        <f>VLOOKUP(B1435,BDD[],2,0)</f>
        <v>Monserrat Montoya Nájera</v>
      </c>
      <c r="D1435" s="140">
        <f>VLOOKUP(B1435,BDD[],3,0)</f>
        <v>9450</v>
      </c>
      <c r="E1435" s="140">
        <f>VLOOKUP(B1435,BDD[],4,0)</f>
        <v>315</v>
      </c>
      <c r="F1435" s="142">
        <f>VLOOKUP(B1435,BDD[],26,0)</f>
        <v>35</v>
      </c>
      <c r="G1435" s="268">
        <f>VLOOKUP(B1435,BDD[],6,0)</f>
        <v>43823</v>
      </c>
      <c r="H1435" s="139">
        <f ca="1">VLOOKUP(B1435,BDD[],7,0)</f>
        <v>2</v>
      </c>
      <c r="I1435" s="139">
        <f ca="1">VLOOKUP(B1435,BDD[],22,0)</f>
        <v>5</v>
      </c>
      <c r="J1435" s="168">
        <v>15</v>
      </c>
      <c r="K1435" s="139">
        <f>Tabla1[[#This Row],[DIAS LAB]]*Tabla1[[#This Row],[SUE DIA]]</f>
        <v>4725</v>
      </c>
      <c r="L1435" s="168">
        <v>0</v>
      </c>
      <c r="M1435" s="198">
        <f>Tabla1[[#This Row],[HRS EXT]]*Tabla1[[#This Row],[SUE X HR]]</f>
        <v>0</v>
      </c>
      <c r="N1435" s="168">
        <v>0</v>
      </c>
      <c r="O1435" s="198">
        <f>Tabla1[[#This Row],[ASUETO]]*Tabla1[[#This Row],[SUE DIA]]</f>
        <v>0</v>
      </c>
      <c r="P1435" s="139">
        <f>IF(Tabla1[[#This Row],[FECHA ING]]&lt;$P$1007,365,_xlfn.DAYS($P$1008,Tabla1[[#This Row],[FECHA ING]])+1)</f>
        <v>365</v>
      </c>
      <c r="Q1435" s="198">
        <f>INT(30*(Tabla1[[#This Row],[FECHAS CONTB AGNLDO]]/365))</f>
        <v>30</v>
      </c>
      <c r="R1435" s="244">
        <f ca="1">IF($W$32=$W$26,Tabla1[[#This Row],[SUE DIA]]*Tabla1[[#This Row],[DIAS PAG AGNLDO]],0)</f>
        <v>0</v>
      </c>
      <c r="S1435" s="244">
        <f ca="1">(_xlfn.DAYS(TODAY(),Tabla1[[#This Row],[FECHA ING]])/365)</f>
        <v>2.5671232876712327</v>
      </c>
      <c r="T1435" s="244">
        <f ca="1">IF(Tabla1[[#This Row],[DIAS VAC]]&gt;1,Tabla1[[#This Row],[DIAS VAC]]-Tabla1[[#This Row],[ANTIG]],Tabla1[[#This Row],[DIAS VAC]])</f>
        <v>0.56712328767123266</v>
      </c>
      <c r="U1435" s="244">
        <f ca="1">Tabla1[[#This Row],[VALID ANTIG]]*Tabla1[[#This Row],[SUE DIA]]*Tabla1[[#This Row],[DIAS VAC PAG]]</f>
        <v>893.21917808219143</v>
      </c>
    </row>
    <row r="1436" spans="2:21" hidden="1" x14ac:dyDescent="0.25">
      <c r="B1436" s="243">
        <v>631</v>
      </c>
      <c r="C1436" s="140" t="str">
        <f>VLOOKUP(B1436,BDD[],2,0)</f>
        <v>Ricardo Reyes Sayago</v>
      </c>
      <c r="D1436" s="140">
        <f>VLOOKUP(B1436,BDD[],3,0)</f>
        <v>6778</v>
      </c>
      <c r="E1436" s="140">
        <f>VLOOKUP(B1436,BDD[],4,0)</f>
        <v>225.93333333333334</v>
      </c>
      <c r="F1436" s="142">
        <f>VLOOKUP(B1436,BDD[],26,0)</f>
        <v>25.103703703703705</v>
      </c>
      <c r="G1436" s="268">
        <f>VLOOKUP(B1436,BDD[],6,0)</f>
        <v>43825</v>
      </c>
      <c r="H1436" s="139">
        <f ca="1">VLOOKUP(B1436,BDD[],7,0)</f>
        <v>2</v>
      </c>
      <c r="I1436" s="139">
        <f ca="1">VLOOKUP(B1436,BDD[],22,0)</f>
        <v>2.5</v>
      </c>
      <c r="J1436" s="168">
        <v>15</v>
      </c>
      <c r="K1436" s="139">
        <f>Tabla1[[#This Row],[DIAS LAB]]*Tabla1[[#This Row],[SUE DIA]]</f>
        <v>3389</v>
      </c>
      <c r="L1436" s="168">
        <v>0</v>
      </c>
      <c r="M1436" s="198">
        <f>Tabla1[[#This Row],[HRS EXT]]*Tabla1[[#This Row],[SUE X HR]]</f>
        <v>0</v>
      </c>
      <c r="N1436" s="168">
        <v>0</v>
      </c>
      <c r="O1436" s="198">
        <f>Tabla1[[#This Row],[ASUETO]]*Tabla1[[#This Row],[SUE DIA]]</f>
        <v>0</v>
      </c>
      <c r="P1436" s="139">
        <f>IF(Tabla1[[#This Row],[FECHA ING]]&lt;$P$1007,365,_xlfn.DAYS($P$1008,Tabla1[[#This Row],[FECHA ING]])+1)</f>
        <v>365</v>
      </c>
      <c r="Q1436" s="198">
        <f>INT(30*(Tabla1[[#This Row],[FECHAS CONTB AGNLDO]]/365))</f>
        <v>30</v>
      </c>
      <c r="R1436" s="244">
        <f ca="1">IF($W$32=$W$26,Tabla1[[#This Row],[SUE DIA]]*Tabla1[[#This Row],[DIAS PAG AGNLDO]],0)</f>
        <v>0</v>
      </c>
      <c r="S1436" s="244">
        <f ca="1">(_xlfn.DAYS(TODAY(),Tabla1[[#This Row],[FECHA ING]])/365)</f>
        <v>2.5616438356164384</v>
      </c>
      <c r="T1436" s="244">
        <f ca="1">IF(Tabla1[[#This Row],[DIAS VAC]]&gt;1,Tabla1[[#This Row],[DIAS VAC]]-Tabla1[[#This Row],[ANTIG]],Tabla1[[#This Row],[DIAS VAC]])</f>
        <v>0.56164383561643838</v>
      </c>
      <c r="U1436" s="244">
        <f ca="1">Tabla1[[#This Row],[VALID ANTIG]]*Tabla1[[#This Row],[SUE DIA]]*Tabla1[[#This Row],[DIAS VAC PAG]]</f>
        <v>317.23515981735159</v>
      </c>
    </row>
    <row r="1437" spans="2:21" hidden="1" x14ac:dyDescent="0.25">
      <c r="B1437" s="243">
        <v>632</v>
      </c>
      <c r="C1437" s="140" t="str">
        <f>VLOOKUP(B1437,BDD[],2,0)</f>
        <v>Karla Alejandra Ortiz Hernandez</v>
      </c>
      <c r="D1437" s="140">
        <f>VLOOKUP(B1437,BDD[],3,0)</f>
        <v>9450</v>
      </c>
      <c r="E1437" s="140">
        <f>VLOOKUP(B1437,BDD[],4,0)</f>
        <v>315</v>
      </c>
      <c r="F1437" s="142">
        <f>VLOOKUP(B1437,BDD[],26,0)</f>
        <v>35</v>
      </c>
      <c r="G1437" s="268">
        <f>VLOOKUP(B1437,BDD[],6,0)</f>
        <v>43826</v>
      </c>
      <c r="H1437" s="139">
        <f ca="1">VLOOKUP(B1437,BDD[],7,0)</f>
        <v>2</v>
      </c>
      <c r="I1437" s="139">
        <f ca="1">VLOOKUP(B1437,BDD[],22,0)</f>
        <v>5</v>
      </c>
      <c r="J1437" s="168">
        <v>15</v>
      </c>
      <c r="K1437" s="139">
        <f>Tabla1[[#This Row],[DIAS LAB]]*Tabla1[[#This Row],[SUE DIA]]</f>
        <v>4725</v>
      </c>
      <c r="L1437" s="168">
        <v>0</v>
      </c>
      <c r="M1437" s="198">
        <f>Tabla1[[#This Row],[HRS EXT]]*Tabla1[[#This Row],[SUE X HR]]</f>
        <v>0</v>
      </c>
      <c r="N1437" s="168">
        <v>0</v>
      </c>
      <c r="O1437" s="198">
        <f>Tabla1[[#This Row],[ASUETO]]*Tabla1[[#This Row],[SUE DIA]]</f>
        <v>0</v>
      </c>
      <c r="P1437" s="139">
        <f>IF(Tabla1[[#This Row],[FECHA ING]]&lt;$P$1007,365,_xlfn.DAYS($P$1008,Tabla1[[#This Row],[FECHA ING]])+1)</f>
        <v>365</v>
      </c>
      <c r="Q1437" s="198">
        <f>INT(30*(Tabla1[[#This Row],[FECHAS CONTB AGNLDO]]/365))</f>
        <v>30</v>
      </c>
      <c r="R1437" s="244">
        <f ca="1">IF($W$32=$W$26,Tabla1[[#This Row],[SUE DIA]]*Tabla1[[#This Row],[DIAS PAG AGNLDO]],0)</f>
        <v>0</v>
      </c>
      <c r="S1437" s="244">
        <f ca="1">(_xlfn.DAYS(TODAY(),Tabla1[[#This Row],[FECHA ING]])/365)</f>
        <v>2.558904109589041</v>
      </c>
      <c r="T1437" s="244">
        <f ca="1">IF(Tabla1[[#This Row],[DIAS VAC]]&gt;1,Tabla1[[#This Row],[DIAS VAC]]-Tabla1[[#This Row],[ANTIG]],Tabla1[[#This Row],[DIAS VAC]])</f>
        <v>0.55890410958904102</v>
      </c>
      <c r="U1437" s="244">
        <f ca="1">Tabla1[[#This Row],[VALID ANTIG]]*Tabla1[[#This Row],[SUE DIA]]*Tabla1[[#This Row],[DIAS VAC PAG]]</f>
        <v>880.2739726027396</v>
      </c>
    </row>
    <row r="1438" spans="2:21" hidden="1" x14ac:dyDescent="0.25">
      <c r="B1438" s="243">
        <v>634</v>
      </c>
      <c r="C1438" s="140" t="str">
        <f>VLOOKUP(B1438,BDD[],2,0)</f>
        <v>Dulce Elizabeth Santos Martínez</v>
      </c>
      <c r="D1438" s="140">
        <f>VLOOKUP(B1438,BDD[],3,0)</f>
        <v>7445</v>
      </c>
      <c r="E1438" s="140">
        <f>VLOOKUP(B1438,BDD[],4,0)</f>
        <v>248.16666666666666</v>
      </c>
      <c r="F1438" s="142">
        <f>VLOOKUP(B1438,BDD[],26,0)</f>
        <v>27.574074074074073</v>
      </c>
      <c r="G1438" s="268">
        <f>VLOOKUP(B1438,BDD[],6,0)</f>
        <v>43827</v>
      </c>
      <c r="H1438" s="139">
        <f ca="1">VLOOKUP(B1438,BDD[],7,0)</f>
        <v>2</v>
      </c>
      <c r="I1438" s="139">
        <f ca="1">VLOOKUP(B1438,BDD[],22,0)</f>
        <v>5</v>
      </c>
      <c r="J1438" s="168">
        <v>15</v>
      </c>
      <c r="K1438" s="139">
        <f>Tabla1[[#This Row],[DIAS LAB]]*Tabla1[[#This Row],[SUE DIA]]</f>
        <v>3722.5</v>
      </c>
      <c r="L1438" s="168">
        <v>0</v>
      </c>
      <c r="M1438" s="198">
        <f>Tabla1[[#This Row],[HRS EXT]]*Tabla1[[#This Row],[SUE X HR]]</f>
        <v>0</v>
      </c>
      <c r="N1438" s="168">
        <v>0</v>
      </c>
      <c r="O1438" s="198">
        <f>Tabla1[[#This Row],[ASUETO]]*Tabla1[[#This Row],[SUE DIA]]</f>
        <v>0</v>
      </c>
      <c r="P1438" s="139">
        <f>IF(Tabla1[[#This Row],[FECHA ING]]&lt;$P$1007,365,_xlfn.DAYS($P$1008,Tabla1[[#This Row],[FECHA ING]])+1)</f>
        <v>365</v>
      </c>
      <c r="Q1438" s="198">
        <f>INT(30*(Tabla1[[#This Row],[FECHAS CONTB AGNLDO]]/365))</f>
        <v>30</v>
      </c>
      <c r="R1438" s="244">
        <f ca="1">IF($W$32=$W$26,Tabla1[[#This Row],[SUE DIA]]*Tabla1[[#This Row],[DIAS PAG AGNLDO]],0)</f>
        <v>0</v>
      </c>
      <c r="S1438" s="244">
        <f ca="1">(_xlfn.DAYS(TODAY(),Tabla1[[#This Row],[FECHA ING]])/365)</f>
        <v>2.5561643835616437</v>
      </c>
      <c r="T1438" s="244">
        <f ca="1">IF(Tabla1[[#This Row],[DIAS VAC]]&gt;1,Tabla1[[#This Row],[DIAS VAC]]-Tabla1[[#This Row],[ANTIG]],Tabla1[[#This Row],[DIAS VAC]])</f>
        <v>0.55616438356164366</v>
      </c>
      <c r="U1438" s="244">
        <f ca="1">Tabla1[[#This Row],[VALID ANTIG]]*Tabla1[[#This Row],[SUE DIA]]*Tabla1[[#This Row],[DIAS VAC PAG]]</f>
        <v>690.10730593607275</v>
      </c>
    </row>
    <row r="1439" spans="2:21" hidden="1" x14ac:dyDescent="0.25">
      <c r="B1439" s="243">
        <v>635</v>
      </c>
      <c r="C1439" s="140" t="str">
        <f>VLOOKUP(B1439,BDD[],2,0)</f>
        <v>Ana Karen Farias Castillo</v>
      </c>
      <c r="D1439" s="140">
        <f>VLOOKUP(B1439,BDD[],3,0)</f>
        <v>9450</v>
      </c>
      <c r="E1439" s="140">
        <f>VLOOKUP(B1439,BDD[],4,0)</f>
        <v>315</v>
      </c>
      <c r="F1439" s="142">
        <f>VLOOKUP(B1439,BDD[],26,0)</f>
        <v>35</v>
      </c>
      <c r="G1439" s="268">
        <f>VLOOKUP(B1439,BDD[],6,0)</f>
        <v>43830</v>
      </c>
      <c r="H1439" s="139">
        <f ca="1">VLOOKUP(B1439,BDD[],7,0)</f>
        <v>2</v>
      </c>
      <c r="I1439" s="139">
        <f ca="1">VLOOKUP(B1439,BDD[],22,0)</f>
        <v>5</v>
      </c>
      <c r="J1439" s="168">
        <v>15</v>
      </c>
      <c r="K1439" s="139">
        <f>Tabla1[[#This Row],[DIAS LAB]]*Tabla1[[#This Row],[SUE DIA]]</f>
        <v>4725</v>
      </c>
      <c r="L1439" s="168">
        <v>0</v>
      </c>
      <c r="M1439" s="198">
        <f>Tabla1[[#This Row],[HRS EXT]]*Tabla1[[#This Row],[SUE X HR]]</f>
        <v>0</v>
      </c>
      <c r="N1439" s="168">
        <v>0</v>
      </c>
      <c r="O1439" s="198">
        <f>Tabla1[[#This Row],[ASUETO]]*Tabla1[[#This Row],[SUE DIA]]</f>
        <v>0</v>
      </c>
      <c r="P1439" s="139">
        <f>IF(Tabla1[[#This Row],[FECHA ING]]&lt;$P$1007,365,_xlfn.DAYS($P$1008,Tabla1[[#This Row],[FECHA ING]])+1)</f>
        <v>365</v>
      </c>
      <c r="Q1439" s="198">
        <f>INT(30*(Tabla1[[#This Row],[FECHAS CONTB AGNLDO]]/365))</f>
        <v>30</v>
      </c>
      <c r="R1439" s="244">
        <f ca="1">IF($W$32=$W$26,Tabla1[[#This Row],[SUE DIA]]*Tabla1[[#This Row],[DIAS PAG AGNLDO]],0)</f>
        <v>0</v>
      </c>
      <c r="S1439" s="244">
        <f ca="1">(_xlfn.DAYS(TODAY(),Tabla1[[#This Row],[FECHA ING]])/365)</f>
        <v>2.547945205479452</v>
      </c>
      <c r="T1439" s="244">
        <f ca="1">IF(Tabla1[[#This Row],[DIAS VAC]]&gt;1,Tabla1[[#This Row],[DIAS VAC]]-Tabla1[[#This Row],[ANTIG]],Tabla1[[#This Row],[DIAS VAC]])</f>
        <v>0.54794520547945202</v>
      </c>
      <c r="U1439" s="244">
        <f ca="1">Tabla1[[#This Row],[VALID ANTIG]]*Tabla1[[#This Row],[SUE DIA]]*Tabla1[[#This Row],[DIAS VAC PAG]]</f>
        <v>863.0136986301369</v>
      </c>
    </row>
    <row r="1440" spans="2:21" hidden="1" x14ac:dyDescent="0.25">
      <c r="B1440" s="243">
        <v>636</v>
      </c>
      <c r="C1440" s="140" t="str">
        <f>VLOOKUP(B1440,BDD[],2,0)</f>
        <v>Delsy Yarlet Esparza Cedillo</v>
      </c>
      <c r="D1440" s="140">
        <f>VLOOKUP(B1440,BDD[],3,0)</f>
        <v>9541</v>
      </c>
      <c r="E1440" s="140">
        <f>VLOOKUP(B1440,BDD[],4,0)</f>
        <v>318.03333333333336</v>
      </c>
      <c r="F1440" s="142">
        <f>VLOOKUP(B1440,BDD[],26,0)</f>
        <v>35.337037037037042</v>
      </c>
      <c r="G1440" s="268">
        <f>VLOOKUP(B1440,BDD[],6,0)</f>
        <v>43836</v>
      </c>
      <c r="H1440" s="139">
        <f ca="1">VLOOKUP(B1440,BDD[],7,0)</f>
        <v>2</v>
      </c>
      <c r="I1440" s="139">
        <f ca="1">VLOOKUP(B1440,BDD[],22,0)</f>
        <v>5</v>
      </c>
      <c r="J1440" s="168">
        <v>15</v>
      </c>
      <c r="K1440" s="139">
        <f>Tabla1[[#This Row],[DIAS LAB]]*Tabla1[[#This Row],[SUE DIA]]</f>
        <v>4770.5</v>
      </c>
      <c r="L1440" s="168">
        <v>0</v>
      </c>
      <c r="M1440" s="198">
        <f>Tabla1[[#This Row],[HRS EXT]]*Tabla1[[#This Row],[SUE X HR]]</f>
        <v>0</v>
      </c>
      <c r="N1440" s="168">
        <v>0</v>
      </c>
      <c r="O1440" s="198">
        <f>Tabla1[[#This Row],[ASUETO]]*Tabla1[[#This Row],[SUE DIA]]</f>
        <v>0</v>
      </c>
      <c r="P1440" s="139">
        <f>IF(Tabla1[[#This Row],[FECHA ING]]&lt;$P$1007,365,_xlfn.DAYS($P$1008,Tabla1[[#This Row],[FECHA ING]])+1)</f>
        <v>365</v>
      </c>
      <c r="Q1440" s="198">
        <f>INT(30*(Tabla1[[#This Row],[FECHAS CONTB AGNLDO]]/365))</f>
        <v>30</v>
      </c>
      <c r="R1440" s="244">
        <f ca="1">IF($W$32=$W$26,Tabla1[[#This Row],[SUE DIA]]*Tabla1[[#This Row],[DIAS PAG AGNLDO]],0)</f>
        <v>0</v>
      </c>
      <c r="S1440" s="244">
        <f ca="1">(_xlfn.DAYS(TODAY(),Tabla1[[#This Row],[FECHA ING]])/365)</f>
        <v>2.5315068493150683</v>
      </c>
      <c r="T1440" s="244">
        <f ca="1">IF(Tabla1[[#This Row],[DIAS VAC]]&gt;1,Tabla1[[#This Row],[DIAS VAC]]-Tabla1[[#This Row],[ANTIG]],Tabla1[[#This Row],[DIAS VAC]])</f>
        <v>0.53150684931506831</v>
      </c>
      <c r="U1440" s="244">
        <f ca="1">Tabla1[[#This Row],[VALID ANTIG]]*Tabla1[[#This Row],[SUE DIA]]*Tabla1[[#This Row],[DIAS VAC PAG]]</f>
        <v>845.18447488584457</v>
      </c>
    </row>
    <row r="1441" spans="2:21" hidden="1" x14ac:dyDescent="0.25">
      <c r="B1441" s="243">
        <v>638</v>
      </c>
      <c r="C1441" s="140" t="str">
        <f>VLOOKUP(B1441,BDD[],2,0)</f>
        <v>Magdalena Leon Peña</v>
      </c>
      <c r="D1441" s="140">
        <f>VLOOKUP(B1441,BDD[],3,0)</f>
        <v>7445</v>
      </c>
      <c r="E1441" s="140">
        <f>VLOOKUP(B1441,BDD[],4,0)</f>
        <v>248.16666666666666</v>
      </c>
      <c r="F1441" s="142">
        <f>VLOOKUP(B1441,BDD[],26,0)</f>
        <v>27.574074074074073</v>
      </c>
      <c r="G1441" s="268">
        <f>VLOOKUP(B1441,BDD[],6,0)</f>
        <v>43889</v>
      </c>
      <c r="H1441" s="139">
        <f ca="1">VLOOKUP(B1441,BDD[],7,0)</f>
        <v>2</v>
      </c>
      <c r="I1441" s="139">
        <f ca="1">VLOOKUP(B1441,BDD[],22,0)</f>
        <v>2.5</v>
      </c>
      <c r="J1441" s="168">
        <v>15</v>
      </c>
      <c r="K1441" s="139">
        <f>Tabla1[[#This Row],[DIAS LAB]]*Tabla1[[#This Row],[SUE DIA]]</f>
        <v>3722.5</v>
      </c>
      <c r="L1441" s="168">
        <v>0</v>
      </c>
      <c r="M1441" s="198">
        <f>Tabla1[[#This Row],[HRS EXT]]*Tabla1[[#This Row],[SUE X HR]]</f>
        <v>0</v>
      </c>
      <c r="N1441" s="168">
        <v>0</v>
      </c>
      <c r="O1441" s="198">
        <f>Tabla1[[#This Row],[ASUETO]]*Tabla1[[#This Row],[SUE DIA]]</f>
        <v>0</v>
      </c>
      <c r="P1441" s="139">
        <f>IF(Tabla1[[#This Row],[FECHA ING]]&lt;$P$1007,365,_xlfn.DAYS($P$1008,Tabla1[[#This Row],[FECHA ING]])+1)</f>
        <v>365</v>
      </c>
      <c r="Q1441" s="198">
        <f>INT(30*(Tabla1[[#This Row],[FECHAS CONTB AGNLDO]]/365))</f>
        <v>30</v>
      </c>
      <c r="R1441" s="244">
        <f ca="1">IF($W$32=$W$26,Tabla1[[#This Row],[SUE DIA]]*Tabla1[[#This Row],[DIAS PAG AGNLDO]],0)</f>
        <v>0</v>
      </c>
      <c r="S1441" s="244">
        <f ca="1">(_xlfn.DAYS(TODAY(),Tabla1[[#This Row],[FECHA ING]])/365)</f>
        <v>2.3863013698630136</v>
      </c>
      <c r="T1441" s="244">
        <f ca="1">IF(Tabla1[[#This Row],[DIAS VAC]]&gt;1,Tabla1[[#This Row],[DIAS VAC]]-Tabla1[[#This Row],[ANTIG]],Tabla1[[#This Row],[DIAS VAC]])</f>
        <v>0.38630136986301356</v>
      </c>
      <c r="U1441" s="244">
        <f ca="1">Tabla1[[#This Row],[VALID ANTIG]]*Tabla1[[#This Row],[SUE DIA]]*Tabla1[[#This Row],[DIAS VAC PAG]]</f>
        <v>239.66780821917797</v>
      </c>
    </row>
    <row r="1442" spans="2:21" hidden="1" x14ac:dyDescent="0.25">
      <c r="B1442" s="243">
        <v>639</v>
      </c>
      <c r="C1442" s="140" t="str">
        <f>VLOOKUP(B1442,BDD[],2,0)</f>
        <v>Esthefanía Ramírez Ocampo</v>
      </c>
      <c r="D1442" s="140">
        <f>VLOOKUP(B1442,BDD[],3,0)</f>
        <v>7445</v>
      </c>
      <c r="E1442" s="140">
        <f>VLOOKUP(B1442,BDD[],4,0)</f>
        <v>248.16666666666666</v>
      </c>
      <c r="F1442" s="142">
        <f>VLOOKUP(B1442,BDD[],26,0)</f>
        <v>27.574074074074073</v>
      </c>
      <c r="G1442" s="268">
        <f>VLOOKUP(B1442,BDD[],6,0)</f>
        <v>43900</v>
      </c>
      <c r="H1442" s="139">
        <f ca="1">VLOOKUP(B1442,BDD[],7,0)</f>
        <v>2</v>
      </c>
      <c r="I1442" s="139">
        <f ca="1">VLOOKUP(B1442,BDD[],22,0)</f>
        <v>5</v>
      </c>
      <c r="J1442" s="168">
        <v>15</v>
      </c>
      <c r="K1442" s="139">
        <f>Tabla1[[#This Row],[DIAS LAB]]*Tabla1[[#This Row],[SUE DIA]]</f>
        <v>3722.5</v>
      </c>
      <c r="L1442" s="168">
        <v>0</v>
      </c>
      <c r="M1442" s="198">
        <f>Tabla1[[#This Row],[HRS EXT]]*Tabla1[[#This Row],[SUE X HR]]</f>
        <v>0</v>
      </c>
      <c r="N1442" s="168">
        <v>0</v>
      </c>
      <c r="O1442" s="198">
        <f>Tabla1[[#This Row],[ASUETO]]*Tabla1[[#This Row],[SUE DIA]]</f>
        <v>0</v>
      </c>
      <c r="P1442" s="139">
        <f>IF(Tabla1[[#This Row],[FECHA ING]]&lt;$P$1007,365,_xlfn.DAYS($P$1008,Tabla1[[#This Row],[FECHA ING]])+1)</f>
        <v>365</v>
      </c>
      <c r="Q1442" s="198">
        <f>INT(30*(Tabla1[[#This Row],[FECHAS CONTB AGNLDO]]/365))</f>
        <v>30</v>
      </c>
      <c r="R1442" s="244">
        <f ca="1">IF($W$32=$W$26,Tabla1[[#This Row],[SUE DIA]]*Tabla1[[#This Row],[DIAS PAG AGNLDO]],0)</f>
        <v>0</v>
      </c>
      <c r="S1442" s="244">
        <f ca="1">(_xlfn.DAYS(TODAY(),Tabla1[[#This Row],[FECHA ING]])/365)</f>
        <v>2.3561643835616439</v>
      </c>
      <c r="T1442" s="244">
        <f ca="1">IF(Tabla1[[#This Row],[DIAS VAC]]&gt;1,Tabla1[[#This Row],[DIAS VAC]]-Tabla1[[#This Row],[ANTIG]],Tabla1[[#This Row],[DIAS VAC]])</f>
        <v>0.35616438356164393</v>
      </c>
      <c r="U1442" s="244">
        <f ca="1">Tabla1[[#This Row],[VALID ANTIG]]*Tabla1[[#This Row],[SUE DIA]]*Tabla1[[#This Row],[DIAS VAC PAG]]</f>
        <v>441.94063926940652</v>
      </c>
    </row>
    <row r="1443" spans="2:21" hidden="1" x14ac:dyDescent="0.25">
      <c r="B1443" s="243">
        <v>642</v>
      </c>
      <c r="C1443" s="140" t="str">
        <f>VLOOKUP(B1443,BDD[],2,0)</f>
        <v>Omar Trevino Padilla</v>
      </c>
      <c r="D1443" s="140">
        <f>VLOOKUP(B1443,BDD[],3,0)</f>
        <v>7445</v>
      </c>
      <c r="E1443" s="140">
        <f>VLOOKUP(B1443,BDD[],4,0)</f>
        <v>248.16666666666666</v>
      </c>
      <c r="F1443" s="142">
        <f>VLOOKUP(B1443,BDD[],26,0)</f>
        <v>27.574074074074073</v>
      </c>
      <c r="G1443" s="268">
        <f>VLOOKUP(B1443,BDD[],6,0)</f>
        <v>43907</v>
      </c>
      <c r="H1443" s="139">
        <f ca="1">VLOOKUP(B1443,BDD[],7,0)</f>
        <v>2</v>
      </c>
      <c r="I1443" s="139">
        <f ca="1">VLOOKUP(B1443,BDD[],22,0)</f>
        <v>5</v>
      </c>
      <c r="J1443" s="168">
        <v>15</v>
      </c>
      <c r="K1443" s="139">
        <f>Tabla1[[#This Row],[DIAS LAB]]*Tabla1[[#This Row],[SUE DIA]]</f>
        <v>3722.5</v>
      </c>
      <c r="L1443" s="168">
        <v>0</v>
      </c>
      <c r="M1443" s="198">
        <f>Tabla1[[#This Row],[HRS EXT]]*Tabla1[[#This Row],[SUE X HR]]</f>
        <v>0</v>
      </c>
      <c r="N1443" s="168">
        <v>0</v>
      </c>
      <c r="O1443" s="198">
        <f>Tabla1[[#This Row],[ASUETO]]*Tabla1[[#This Row],[SUE DIA]]</f>
        <v>0</v>
      </c>
      <c r="P1443" s="139">
        <f>IF(Tabla1[[#This Row],[FECHA ING]]&lt;$P$1007,365,_xlfn.DAYS($P$1008,Tabla1[[#This Row],[FECHA ING]])+1)</f>
        <v>365</v>
      </c>
      <c r="Q1443" s="198">
        <f>INT(30*(Tabla1[[#This Row],[FECHAS CONTB AGNLDO]]/365))</f>
        <v>30</v>
      </c>
      <c r="R1443" s="244">
        <f ca="1">IF($W$32=$W$26,Tabla1[[#This Row],[SUE DIA]]*Tabla1[[#This Row],[DIAS PAG AGNLDO]],0)</f>
        <v>0</v>
      </c>
      <c r="S1443" s="244">
        <f ca="1">(_xlfn.DAYS(TODAY(),Tabla1[[#This Row],[FECHA ING]])/365)</f>
        <v>2.3369863013698629</v>
      </c>
      <c r="T1443" s="244">
        <f ca="1">IF(Tabla1[[#This Row],[DIAS VAC]]&gt;1,Tabla1[[#This Row],[DIAS VAC]]-Tabla1[[#This Row],[ANTIG]],Tabla1[[#This Row],[DIAS VAC]])</f>
        <v>0.33698630136986285</v>
      </c>
      <c r="U1443" s="244">
        <f ca="1">Tabla1[[#This Row],[VALID ANTIG]]*Tabla1[[#This Row],[SUE DIA]]*Tabla1[[#This Row],[DIAS VAC PAG]]</f>
        <v>418.14383561643814</v>
      </c>
    </row>
    <row r="1444" spans="2:21" hidden="1" x14ac:dyDescent="0.25">
      <c r="B1444" s="243">
        <v>643</v>
      </c>
      <c r="C1444" s="140" t="str">
        <f>VLOOKUP(B1444,BDD[],2,0)</f>
        <v>Arlet Samadhi Reyes Ochoa</v>
      </c>
      <c r="D1444" s="140">
        <f>VLOOKUP(B1444,BDD[],3,0)</f>
        <v>7445</v>
      </c>
      <c r="E1444" s="140">
        <f>VLOOKUP(B1444,BDD[],4,0)</f>
        <v>248.16666666666666</v>
      </c>
      <c r="F1444" s="142">
        <f>VLOOKUP(B1444,BDD[],26,0)</f>
        <v>27.574074074074073</v>
      </c>
      <c r="G1444" s="268">
        <f>VLOOKUP(B1444,BDD[],6,0)</f>
        <v>43914</v>
      </c>
      <c r="H1444" s="139">
        <f ca="1">VLOOKUP(B1444,BDD[],7,0)</f>
        <v>2</v>
      </c>
      <c r="I1444" s="139">
        <f ca="1">VLOOKUP(B1444,BDD[],22,0)</f>
        <v>5</v>
      </c>
      <c r="J1444" s="168">
        <v>15</v>
      </c>
      <c r="K1444" s="139">
        <f>Tabla1[[#This Row],[DIAS LAB]]*Tabla1[[#This Row],[SUE DIA]]</f>
        <v>3722.5</v>
      </c>
      <c r="L1444" s="168">
        <v>0</v>
      </c>
      <c r="M1444" s="198">
        <f>Tabla1[[#This Row],[HRS EXT]]*Tabla1[[#This Row],[SUE X HR]]</f>
        <v>0</v>
      </c>
      <c r="N1444" s="168">
        <v>0</v>
      </c>
      <c r="O1444" s="198">
        <f>Tabla1[[#This Row],[ASUETO]]*Tabla1[[#This Row],[SUE DIA]]</f>
        <v>0</v>
      </c>
      <c r="P1444" s="139">
        <f>IF(Tabla1[[#This Row],[FECHA ING]]&lt;$P$1007,365,_xlfn.DAYS($P$1008,Tabla1[[#This Row],[FECHA ING]])+1)</f>
        <v>365</v>
      </c>
      <c r="Q1444" s="198">
        <f>INT(30*(Tabla1[[#This Row],[FECHAS CONTB AGNLDO]]/365))</f>
        <v>30</v>
      </c>
      <c r="R1444" s="244">
        <f ca="1">IF($W$32=$W$26,Tabla1[[#This Row],[SUE DIA]]*Tabla1[[#This Row],[DIAS PAG AGNLDO]],0)</f>
        <v>0</v>
      </c>
      <c r="S1444" s="244">
        <f ca="1">(_xlfn.DAYS(TODAY(),Tabla1[[#This Row],[FECHA ING]])/365)</f>
        <v>2.3178082191780822</v>
      </c>
      <c r="T1444" s="244">
        <f ca="1">IF(Tabla1[[#This Row],[DIAS VAC]]&gt;1,Tabla1[[#This Row],[DIAS VAC]]-Tabla1[[#This Row],[ANTIG]],Tabla1[[#This Row],[DIAS VAC]])</f>
        <v>0.31780821917808222</v>
      </c>
      <c r="U1444" s="244">
        <f ca="1">Tabla1[[#This Row],[VALID ANTIG]]*Tabla1[[#This Row],[SUE DIA]]*Tabla1[[#This Row],[DIAS VAC PAG]]</f>
        <v>394.34703196347039</v>
      </c>
    </row>
    <row r="1445" spans="2:21" hidden="1" x14ac:dyDescent="0.25">
      <c r="B1445" s="243">
        <v>644</v>
      </c>
      <c r="C1445" s="140" t="str">
        <f>VLOOKUP(B1445,BDD[],2,0)</f>
        <v>Nanci Zavala Perez</v>
      </c>
      <c r="D1445" s="140">
        <f>VLOOKUP(B1445,BDD[],3,0)</f>
        <v>9541</v>
      </c>
      <c r="E1445" s="140">
        <f>VLOOKUP(B1445,BDD[],4,0)</f>
        <v>318.03333333333336</v>
      </c>
      <c r="F1445" s="142">
        <f>VLOOKUP(B1445,BDD[],26,0)</f>
        <v>35.337037037037042</v>
      </c>
      <c r="G1445" s="268">
        <f>VLOOKUP(B1445,BDD[],6,0)</f>
        <v>43922</v>
      </c>
      <c r="H1445" s="139">
        <f ca="1">VLOOKUP(B1445,BDD[],7,0)</f>
        <v>2</v>
      </c>
      <c r="I1445" s="139">
        <f ca="1">VLOOKUP(B1445,BDD[],22,0)</f>
        <v>5</v>
      </c>
      <c r="J1445" s="168">
        <v>15</v>
      </c>
      <c r="K1445" s="139">
        <f>Tabla1[[#This Row],[DIAS LAB]]*Tabla1[[#This Row],[SUE DIA]]</f>
        <v>4770.5</v>
      </c>
      <c r="L1445" s="168">
        <v>0</v>
      </c>
      <c r="M1445" s="198">
        <f>Tabla1[[#This Row],[HRS EXT]]*Tabla1[[#This Row],[SUE X HR]]</f>
        <v>0</v>
      </c>
      <c r="N1445" s="168">
        <v>0</v>
      </c>
      <c r="O1445" s="198">
        <f>Tabla1[[#This Row],[ASUETO]]*Tabla1[[#This Row],[SUE DIA]]</f>
        <v>0</v>
      </c>
      <c r="P1445" s="139">
        <f>IF(Tabla1[[#This Row],[FECHA ING]]&lt;$P$1007,365,_xlfn.DAYS($P$1008,Tabla1[[#This Row],[FECHA ING]])+1)</f>
        <v>365</v>
      </c>
      <c r="Q1445" s="198">
        <f>INT(30*(Tabla1[[#This Row],[FECHAS CONTB AGNLDO]]/365))</f>
        <v>30</v>
      </c>
      <c r="R1445" s="244">
        <f ca="1">IF($W$32=$W$26,Tabla1[[#This Row],[SUE DIA]]*Tabla1[[#This Row],[DIAS PAG AGNLDO]],0)</f>
        <v>0</v>
      </c>
      <c r="S1445" s="244">
        <f ca="1">(_xlfn.DAYS(TODAY(),Tabla1[[#This Row],[FECHA ING]])/365)</f>
        <v>2.2958904109589042</v>
      </c>
      <c r="T1445" s="244">
        <f ca="1">IF(Tabla1[[#This Row],[DIAS VAC]]&gt;1,Tabla1[[#This Row],[DIAS VAC]]-Tabla1[[#This Row],[ANTIG]],Tabla1[[#This Row],[DIAS VAC]])</f>
        <v>0.29589041095890423</v>
      </c>
      <c r="U1445" s="244">
        <f ca="1">Tabla1[[#This Row],[VALID ANTIG]]*Tabla1[[#This Row],[SUE DIA]]*Tabla1[[#This Row],[DIAS VAC PAG]]</f>
        <v>470.51506849315092</v>
      </c>
    </row>
    <row r="1446" spans="2:21" hidden="1" x14ac:dyDescent="0.25">
      <c r="B1446" s="243">
        <v>647</v>
      </c>
      <c r="C1446" s="140" t="str">
        <f>VLOOKUP(B1446,BDD[],2,0)</f>
        <v>Carlos Jimenez Martinez</v>
      </c>
      <c r="D1446" s="140">
        <f>VLOOKUP(B1446,BDD[],3,0)</f>
        <v>10860</v>
      </c>
      <c r="E1446" s="140">
        <f>VLOOKUP(B1446,BDD[],4,0)</f>
        <v>362</v>
      </c>
      <c r="F1446" s="142">
        <f>VLOOKUP(B1446,BDD[],26,0)</f>
        <v>40.222222222222221</v>
      </c>
      <c r="G1446" s="268">
        <f>VLOOKUP(B1446,BDD[],6,0)</f>
        <v>43923</v>
      </c>
      <c r="H1446" s="139">
        <f ca="1">VLOOKUP(B1446,BDD[],7,0)</f>
        <v>2</v>
      </c>
      <c r="I1446" s="139">
        <f ca="1">VLOOKUP(B1446,BDD[],22,0)</f>
        <v>5</v>
      </c>
      <c r="J1446" s="168">
        <v>15</v>
      </c>
      <c r="K1446" s="139">
        <f>Tabla1[[#This Row],[DIAS LAB]]*Tabla1[[#This Row],[SUE DIA]]</f>
        <v>5430</v>
      </c>
      <c r="L1446" s="168">
        <v>0</v>
      </c>
      <c r="M1446" s="198">
        <f>Tabla1[[#This Row],[HRS EXT]]*Tabla1[[#This Row],[SUE X HR]]</f>
        <v>0</v>
      </c>
      <c r="N1446" s="168">
        <v>0</v>
      </c>
      <c r="O1446" s="198">
        <f>Tabla1[[#This Row],[ASUETO]]*Tabla1[[#This Row],[SUE DIA]]</f>
        <v>0</v>
      </c>
      <c r="P1446" s="139">
        <f>IF(Tabla1[[#This Row],[FECHA ING]]&lt;$P$1007,365,_xlfn.DAYS($P$1008,Tabla1[[#This Row],[FECHA ING]])+1)</f>
        <v>365</v>
      </c>
      <c r="Q1446" s="198">
        <f>INT(30*(Tabla1[[#This Row],[FECHAS CONTB AGNLDO]]/365))</f>
        <v>30</v>
      </c>
      <c r="R1446" s="244">
        <f ca="1">IF($W$32=$W$26,Tabla1[[#This Row],[SUE DIA]]*Tabla1[[#This Row],[DIAS PAG AGNLDO]],0)</f>
        <v>0</v>
      </c>
      <c r="S1446" s="244">
        <f ca="1">(_xlfn.DAYS(TODAY(),Tabla1[[#This Row],[FECHA ING]])/365)</f>
        <v>2.2931506849315069</v>
      </c>
      <c r="T1446" s="244">
        <f ca="1">IF(Tabla1[[#This Row],[DIAS VAC]]&gt;1,Tabla1[[#This Row],[DIAS VAC]]-Tabla1[[#This Row],[ANTIG]],Tabla1[[#This Row],[DIAS VAC]])</f>
        <v>0.29315068493150687</v>
      </c>
      <c r="U1446" s="244">
        <f ca="1">Tabla1[[#This Row],[VALID ANTIG]]*Tabla1[[#This Row],[SUE DIA]]*Tabla1[[#This Row],[DIAS VAC PAG]]</f>
        <v>530.60273972602749</v>
      </c>
    </row>
    <row r="1447" spans="2:21" hidden="1" x14ac:dyDescent="0.25">
      <c r="B1447" s="243">
        <v>648</v>
      </c>
      <c r="C1447" s="140" t="str">
        <f>VLOOKUP(B1447,BDD[],2,0)</f>
        <v>Ana Victoria Fernandez Chavez</v>
      </c>
      <c r="D1447" s="140">
        <f>VLOOKUP(B1447,BDD[],3,0)</f>
        <v>9450</v>
      </c>
      <c r="E1447" s="140">
        <f>VLOOKUP(B1447,BDD[],4,0)</f>
        <v>315</v>
      </c>
      <c r="F1447" s="142">
        <f>VLOOKUP(B1447,BDD[],26,0)</f>
        <v>35</v>
      </c>
      <c r="G1447" s="268">
        <f>VLOOKUP(B1447,BDD[],6,0)</f>
        <v>43929</v>
      </c>
      <c r="H1447" s="139">
        <f ca="1">VLOOKUP(B1447,BDD[],7,0)</f>
        <v>2</v>
      </c>
      <c r="I1447" s="139">
        <f ca="1">VLOOKUP(B1447,BDD[],22,0)</f>
        <v>5</v>
      </c>
      <c r="J1447" s="168">
        <v>15</v>
      </c>
      <c r="K1447" s="139">
        <f>Tabla1[[#This Row],[DIAS LAB]]*Tabla1[[#This Row],[SUE DIA]]</f>
        <v>4725</v>
      </c>
      <c r="L1447" s="168">
        <v>0</v>
      </c>
      <c r="M1447" s="198">
        <f>Tabla1[[#This Row],[HRS EXT]]*Tabla1[[#This Row],[SUE X HR]]</f>
        <v>0</v>
      </c>
      <c r="N1447" s="168">
        <v>0</v>
      </c>
      <c r="O1447" s="198">
        <f>Tabla1[[#This Row],[ASUETO]]*Tabla1[[#This Row],[SUE DIA]]</f>
        <v>0</v>
      </c>
      <c r="P1447" s="139">
        <f>IF(Tabla1[[#This Row],[FECHA ING]]&lt;$P$1007,365,_xlfn.DAYS($P$1008,Tabla1[[#This Row],[FECHA ING]])+1)</f>
        <v>365</v>
      </c>
      <c r="Q1447" s="198">
        <f>INT(30*(Tabla1[[#This Row],[FECHAS CONTB AGNLDO]]/365))</f>
        <v>30</v>
      </c>
      <c r="R1447" s="244">
        <f ca="1">IF($W$32=$W$26,Tabla1[[#This Row],[SUE DIA]]*Tabla1[[#This Row],[DIAS PAG AGNLDO]],0)</f>
        <v>0</v>
      </c>
      <c r="S1447" s="244">
        <f ca="1">(_xlfn.DAYS(TODAY(),Tabla1[[#This Row],[FECHA ING]])/365)</f>
        <v>2.2767123287671232</v>
      </c>
      <c r="T1447" s="244">
        <f ca="1">IF(Tabla1[[#This Row],[DIAS VAC]]&gt;1,Tabla1[[#This Row],[DIAS VAC]]-Tabla1[[#This Row],[ANTIG]],Tabla1[[#This Row],[DIAS VAC]])</f>
        <v>0.27671232876712315</v>
      </c>
      <c r="U1447" s="244">
        <f ca="1">Tabla1[[#This Row],[VALID ANTIG]]*Tabla1[[#This Row],[SUE DIA]]*Tabla1[[#This Row],[DIAS VAC PAG]]</f>
        <v>435.82191780821893</v>
      </c>
    </row>
    <row r="1448" spans="2:21" hidden="1" x14ac:dyDescent="0.25">
      <c r="B1448" s="246">
        <v>649</v>
      </c>
      <c r="C1448" s="140" t="str">
        <f>VLOOKUP(B1448,BDD[],2,0)</f>
        <v>Mayra Castañeda Guerrero</v>
      </c>
      <c r="D1448" s="140">
        <f>VLOOKUP(B1448,BDD[],3,0)</f>
        <v>6778</v>
      </c>
      <c r="E1448" s="140">
        <f>VLOOKUP(B1448,BDD[],4,0)</f>
        <v>225.93333333333334</v>
      </c>
      <c r="F1448" s="142">
        <f>VLOOKUP(B1448,BDD[],26,0)</f>
        <v>25.103703703703705</v>
      </c>
      <c r="G1448" s="268">
        <f>VLOOKUP(B1448,BDD[],6,0)</f>
        <v>43930</v>
      </c>
      <c r="H1448" s="139">
        <f ca="1">VLOOKUP(B1448,BDD[],7,0)</f>
        <v>2</v>
      </c>
      <c r="I1448" s="139">
        <f ca="1">VLOOKUP(B1448,BDD[],22,0)</f>
        <v>2.5</v>
      </c>
      <c r="J1448" s="168">
        <v>15</v>
      </c>
      <c r="K1448" s="139">
        <f>Tabla1[[#This Row],[DIAS LAB]]*Tabla1[[#This Row],[SUE DIA]]</f>
        <v>3389</v>
      </c>
      <c r="L1448" s="168">
        <v>0</v>
      </c>
      <c r="M1448" s="198">
        <f>Tabla1[[#This Row],[HRS EXT]]*Tabla1[[#This Row],[SUE X HR]]</f>
        <v>0</v>
      </c>
      <c r="N1448" s="168">
        <v>0</v>
      </c>
      <c r="O1448" s="198">
        <f>Tabla1[[#This Row],[ASUETO]]*Tabla1[[#This Row],[SUE DIA]]</f>
        <v>0</v>
      </c>
      <c r="P1448" s="139">
        <f>IF(Tabla1[[#This Row],[FECHA ING]]&lt;$P$1007,365,_xlfn.DAYS($P$1008,Tabla1[[#This Row],[FECHA ING]])+1)</f>
        <v>365</v>
      </c>
      <c r="Q1448" s="198">
        <f>INT(30*(Tabla1[[#This Row],[FECHAS CONTB AGNLDO]]/365))</f>
        <v>30</v>
      </c>
      <c r="R1448" s="244">
        <f ca="1">IF($W$32=$W$26,Tabla1[[#This Row],[SUE DIA]]*Tabla1[[#This Row],[DIAS PAG AGNLDO]],0)</f>
        <v>0</v>
      </c>
      <c r="S1448" s="244">
        <f ca="1">(_xlfn.DAYS(TODAY(),Tabla1[[#This Row],[FECHA ING]])/365)</f>
        <v>2.2739726027397262</v>
      </c>
      <c r="T1448" s="244">
        <f ca="1">IF(Tabla1[[#This Row],[DIAS VAC]]&gt;1,Tabla1[[#This Row],[DIAS VAC]]-Tabla1[[#This Row],[ANTIG]],Tabla1[[#This Row],[DIAS VAC]])</f>
        <v>0.27397260273972623</v>
      </c>
      <c r="U1448" s="244">
        <f ca="1">Tabla1[[#This Row],[VALID ANTIG]]*Tabla1[[#This Row],[SUE DIA]]*Tabla1[[#This Row],[DIAS VAC PAG]]</f>
        <v>154.74885844748871</v>
      </c>
    </row>
    <row r="1449" spans="2:21" hidden="1" x14ac:dyDescent="0.25">
      <c r="B1449" s="243">
        <v>650</v>
      </c>
      <c r="C1449" s="140" t="str">
        <f>VLOOKUP(B1449,BDD[],2,0)</f>
        <v>Lilia Janice Estrada Esparza</v>
      </c>
      <c r="D1449" s="140">
        <f>VLOOKUP(B1449,BDD[],3,0)</f>
        <v>9541</v>
      </c>
      <c r="E1449" s="140">
        <f>VLOOKUP(B1449,BDD[],4,0)</f>
        <v>318.03333333333336</v>
      </c>
      <c r="F1449" s="142">
        <f>VLOOKUP(B1449,BDD[],26,0)</f>
        <v>35.337037037037042</v>
      </c>
      <c r="G1449" s="268">
        <f>VLOOKUP(B1449,BDD[],6,0)</f>
        <v>43933</v>
      </c>
      <c r="H1449" s="139">
        <f ca="1">VLOOKUP(B1449,BDD[],7,0)</f>
        <v>2</v>
      </c>
      <c r="I1449" s="139">
        <f ca="1">VLOOKUP(B1449,BDD[],22,0)</f>
        <v>5</v>
      </c>
      <c r="J1449" s="168">
        <v>15</v>
      </c>
      <c r="K1449" s="139">
        <f>Tabla1[[#This Row],[DIAS LAB]]*Tabla1[[#This Row],[SUE DIA]]</f>
        <v>4770.5</v>
      </c>
      <c r="L1449" s="168">
        <v>0</v>
      </c>
      <c r="M1449" s="198">
        <f>Tabla1[[#This Row],[HRS EXT]]*Tabla1[[#This Row],[SUE X HR]]</f>
        <v>0</v>
      </c>
      <c r="N1449" s="168">
        <v>0</v>
      </c>
      <c r="O1449" s="198">
        <f>Tabla1[[#This Row],[ASUETO]]*Tabla1[[#This Row],[SUE DIA]]</f>
        <v>0</v>
      </c>
      <c r="P1449" s="139">
        <f>IF(Tabla1[[#This Row],[FECHA ING]]&lt;$P$1007,365,_xlfn.DAYS($P$1008,Tabla1[[#This Row],[FECHA ING]])+1)</f>
        <v>365</v>
      </c>
      <c r="Q1449" s="198">
        <f>INT(30*(Tabla1[[#This Row],[FECHAS CONTB AGNLDO]]/365))</f>
        <v>30</v>
      </c>
      <c r="R1449" s="244">
        <f ca="1">IF($W$32=$W$26,Tabla1[[#This Row],[SUE DIA]]*Tabla1[[#This Row],[DIAS PAG AGNLDO]],0)</f>
        <v>0</v>
      </c>
      <c r="S1449" s="244">
        <f ca="1">(_xlfn.DAYS(TODAY(),Tabla1[[#This Row],[FECHA ING]])/365)</f>
        <v>2.2657534246575342</v>
      </c>
      <c r="T1449" s="244">
        <f ca="1">IF(Tabla1[[#This Row],[DIAS VAC]]&gt;1,Tabla1[[#This Row],[DIAS VAC]]-Tabla1[[#This Row],[ANTIG]],Tabla1[[#This Row],[DIAS VAC]])</f>
        <v>0.26575342465753415</v>
      </c>
      <c r="U1449" s="244">
        <f ca="1">Tabla1[[#This Row],[VALID ANTIG]]*Tabla1[[#This Row],[SUE DIA]]*Tabla1[[#This Row],[DIAS VAC PAG]]</f>
        <v>422.59223744292228</v>
      </c>
    </row>
    <row r="1450" spans="2:21" hidden="1" x14ac:dyDescent="0.25">
      <c r="B1450" s="243">
        <v>651</v>
      </c>
      <c r="C1450" s="140" t="str">
        <f>VLOOKUP(B1450,BDD[],2,0)</f>
        <v>Eden Francisco Ortega Rodriguez</v>
      </c>
      <c r="D1450" s="140">
        <f>VLOOKUP(B1450,BDD[],3,0)</f>
        <v>10860</v>
      </c>
      <c r="E1450" s="140">
        <f>VLOOKUP(B1450,BDD[],4,0)</f>
        <v>362</v>
      </c>
      <c r="F1450" s="142">
        <f>VLOOKUP(B1450,BDD[],26,0)</f>
        <v>40.222222222222221</v>
      </c>
      <c r="G1450" s="268">
        <f>VLOOKUP(B1450,BDD[],6,0)</f>
        <v>43939</v>
      </c>
      <c r="H1450" s="139">
        <f ca="1">VLOOKUP(B1450,BDD[],7,0)</f>
        <v>2</v>
      </c>
      <c r="I1450" s="139">
        <f ca="1">VLOOKUP(B1450,BDD[],22,0)</f>
        <v>5</v>
      </c>
      <c r="J1450" s="168">
        <v>15</v>
      </c>
      <c r="K1450" s="139">
        <f>Tabla1[[#This Row],[DIAS LAB]]*Tabla1[[#This Row],[SUE DIA]]</f>
        <v>5430</v>
      </c>
      <c r="L1450" s="168">
        <v>0</v>
      </c>
      <c r="M1450" s="198">
        <f>Tabla1[[#This Row],[HRS EXT]]*Tabla1[[#This Row],[SUE X HR]]</f>
        <v>0</v>
      </c>
      <c r="N1450" s="168">
        <v>0</v>
      </c>
      <c r="O1450" s="198">
        <f>Tabla1[[#This Row],[ASUETO]]*Tabla1[[#This Row],[SUE DIA]]</f>
        <v>0</v>
      </c>
      <c r="P1450" s="139">
        <f>IF(Tabla1[[#This Row],[FECHA ING]]&lt;$P$1007,365,_xlfn.DAYS($P$1008,Tabla1[[#This Row],[FECHA ING]])+1)</f>
        <v>365</v>
      </c>
      <c r="Q1450" s="198">
        <f>INT(30*(Tabla1[[#This Row],[FECHAS CONTB AGNLDO]]/365))</f>
        <v>30</v>
      </c>
      <c r="R1450" s="244">
        <f ca="1">IF($W$32=$W$26,Tabla1[[#This Row],[SUE DIA]]*Tabla1[[#This Row],[DIAS PAG AGNLDO]],0)</f>
        <v>0</v>
      </c>
      <c r="S1450" s="244">
        <f ca="1">(_xlfn.DAYS(TODAY(),Tabla1[[#This Row],[FECHA ING]])/365)</f>
        <v>2.2493150684931509</v>
      </c>
      <c r="T1450" s="244">
        <f ca="1">IF(Tabla1[[#This Row],[DIAS VAC]]&gt;1,Tabla1[[#This Row],[DIAS VAC]]-Tabla1[[#This Row],[ANTIG]],Tabla1[[#This Row],[DIAS VAC]])</f>
        <v>0.24931506849315088</v>
      </c>
      <c r="U1450" s="244">
        <f ca="1">Tabla1[[#This Row],[VALID ANTIG]]*Tabla1[[#This Row],[SUE DIA]]*Tabla1[[#This Row],[DIAS VAC PAG]]</f>
        <v>451.2602739726031</v>
      </c>
    </row>
    <row r="1451" spans="2:21" hidden="1" x14ac:dyDescent="0.25">
      <c r="B1451" s="243">
        <v>652</v>
      </c>
      <c r="C1451" s="140" t="str">
        <f>VLOOKUP(B1451,BDD[],2,0)</f>
        <v>Tatiana Lara Sánchez</v>
      </c>
      <c r="D1451" s="140">
        <f>VLOOKUP(B1451,BDD[],3,0)</f>
        <v>8825</v>
      </c>
      <c r="E1451" s="140">
        <f>VLOOKUP(B1451,BDD[],4,0)</f>
        <v>294.16666666666669</v>
      </c>
      <c r="F1451" s="142">
        <f>VLOOKUP(B1451,BDD[],26,0)</f>
        <v>32.68518518518519</v>
      </c>
      <c r="G1451" s="268">
        <f>VLOOKUP(B1451,BDD[],6,0)</f>
        <v>43939</v>
      </c>
      <c r="H1451" s="139">
        <f ca="1">VLOOKUP(B1451,BDD[],7,0)</f>
        <v>2</v>
      </c>
      <c r="I1451" s="139">
        <f ca="1">VLOOKUP(B1451,BDD[],22,0)</f>
        <v>5</v>
      </c>
      <c r="J1451" s="168">
        <v>15</v>
      </c>
      <c r="K1451" s="139">
        <f>Tabla1[[#This Row],[DIAS LAB]]*Tabla1[[#This Row],[SUE DIA]]</f>
        <v>4412.5</v>
      </c>
      <c r="L1451" s="168">
        <v>0</v>
      </c>
      <c r="M1451" s="198">
        <f>Tabla1[[#This Row],[HRS EXT]]*Tabla1[[#This Row],[SUE X HR]]</f>
        <v>0</v>
      </c>
      <c r="N1451" s="168">
        <v>0</v>
      </c>
      <c r="O1451" s="198">
        <f>Tabla1[[#This Row],[ASUETO]]*Tabla1[[#This Row],[SUE DIA]]</f>
        <v>0</v>
      </c>
      <c r="P1451" s="139">
        <f>IF(Tabla1[[#This Row],[FECHA ING]]&lt;$P$1007,365,_xlfn.DAYS($P$1008,Tabla1[[#This Row],[FECHA ING]])+1)</f>
        <v>365</v>
      </c>
      <c r="Q1451" s="198">
        <f>INT(30*(Tabla1[[#This Row],[FECHAS CONTB AGNLDO]]/365))</f>
        <v>30</v>
      </c>
      <c r="R1451" s="244">
        <f ca="1">IF($W$32=$W$26,Tabla1[[#This Row],[SUE DIA]]*Tabla1[[#This Row],[DIAS PAG AGNLDO]],0)</f>
        <v>0</v>
      </c>
      <c r="S1451" s="244">
        <f ca="1">(_xlfn.DAYS(TODAY(),Tabla1[[#This Row],[FECHA ING]])/365)</f>
        <v>2.2493150684931509</v>
      </c>
      <c r="T1451" s="244">
        <f ca="1">IF(Tabla1[[#This Row],[DIAS VAC]]&gt;1,Tabla1[[#This Row],[DIAS VAC]]-Tabla1[[#This Row],[ANTIG]],Tabla1[[#This Row],[DIAS VAC]])</f>
        <v>0.24931506849315088</v>
      </c>
      <c r="U1451" s="244">
        <f ca="1">Tabla1[[#This Row],[VALID ANTIG]]*Tabla1[[#This Row],[SUE DIA]]*Tabla1[[#This Row],[DIAS VAC PAG]]</f>
        <v>366.70091324200945</v>
      </c>
    </row>
    <row r="1452" spans="2:21" hidden="1" x14ac:dyDescent="0.25">
      <c r="B1452" s="243">
        <v>653</v>
      </c>
      <c r="C1452" s="140" t="str">
        <f>VLOOKUP(B1452,BDD[],2,0)</f>
        <v>Erika Alicia Ortiz Castro</v>
      </c>
      <c r="D1452" s="140">
        <f>VLOOKUP(B1452,BDD[],3,0)</f>
        <v>8825</v>
      </c>
      <c r="E1452" s="140">
        <f>VLOOKUP(B1452,BDD[],4,0)</f>
        <v>294.16666666666669</v>
      </c>
      <c r="F1452" s="142">
        <f>VLOOKUP(B1452,BDD[],26,0)</f>
        <v>32.68518518518519</v>
      </c>
      <c r="G1452" s="268">
        <f>VLOOKUP(B1452,BDD[],6,0)</f>
        <v>43941</v>
      </c>
      <c r="H1452" s="139">
        <f ca="1">VLOOKUP(B1452,BDD[],7,0)</f>
        <v>2</v>
      </c>
      <c r="I1452" s="139">
        <f ca="1">VLOOKUP(B1452,BDD[],22,0)</f>
        <v>5</v>
      </c>
      <c r="J1452" s="168">
        <v>15</v>
      </c>
      <c r="K1452" s="139">
        <f>Tabla1[[#This Row],[DIAS LAB]]*Tabla1[[#This Row],[SUE DIA]]</f>
        <v>4412.5</v>
      </c>
      <c r="L1452" s="168">
        <v>0</v>
      </c>
      <c r="M1452" s="198">
        <f>Tabla1[[#This Row],[HRS EXT]]*Tabla1[[#This Row],[SUE X HR]]</f>
        <v>0</v>
      </c>
      <c r="N1452" s="168">
        <v>0</v>
      </c>
      <c r="O1452" s="198">
        <f>Tabla1[[#This Row],[ASUETO]]*Tabla1[[#This Row],[SUE DIA]]</f>
        <v>0</v>
      </c>
      <c r="P1452" s="139">
        <f>IF(Tabla1[[#This Row],[FECHA ING]]&lt;$P$1007,365,_xlfn.DAYS($P$1008,Tabla1[[#This Row],[FECHA ING]])+1)</f>
        <v>365</v>
      </c>
      <c r="Q1452" s="198">
        <f>INT(30*(Tabla1[[#This Row],[FECHAS CONTB AGNLDO]]/365))</f>
        <v>30</v>
      </c>
      <c r="R1452" s="244">
        <f ca="1">IF($W$32=$W$26,Tabla1[[#This Row],[SUE DIA]]*Tabla1[[#This Row],[DIAS PAG AGNLDO]],0)</f>
        <v>0</v>
      </c>
      <c r="S1452" s="244">
        <f ca="1">(_xlfn.DAYS(TODAY(),Tabla1[[#This Row],[FECHA ING]])/365)</f>
        <v>2.2438356164383562</v>
      </c>
      <c r="T1452" s="244">
        <f ca="1">IF(Tabla1[[#This Row],[DIAS VAC]]&gt;1,Tabla1[[#This Row],[DIAS VAC]]-Tabla1[[#This Row],[ANTIG]],Tabla1[[#This Row],[DIAS VAC]])</f>
        <v>0.24383561643835616</v>
      </c>
      <c r="U1452" s="244">
        <f ca="1">Tabla1[[#This Row],[VALID ANTIG]]*Tabla1[[#This Row],[SUE DIA]]*Tabla1[[#This Row],[DIAS VAC PAG]]</f>
        <v>358.64155251141551</v>
      </c>
    </row>
    <row r="1453" spans="2:21" hidden="1" x14ac:dyDescent="0.25">
      <c r="B1453" s="243">
        <v>654</v>
      </c>
      <c r="C1453" s="140" t="str">
        <f>VLOOKUP(B1453,BDD[],2,0)</f>
        <v>Estefani  Gonzalez Carranza</v>
      </c>
      <c r="D1453" s="140">
        <f>VLOOKUP(B1453,BDD[],3,0)</f>
        <v>7445</v>
      </c>
      <c r="E1453" s="140">
        <f>VLOOKUP(B1453,BDD[],4,0)</f>
        <v>248.16666666666666</v>
      </c>
      <c r="F1453" s="142">
        <f>VLOOKUP(B1453,BDD[],26,0)</f>
        <v>27.574074074074073</v>
      </c>
      <c r="G1453" s="268">
        <f>VLOOKUP(B1453,BDD[],6,0)</f>
        <v>43945</v>
      </c>
      <c r="H1453" s="139">
        <f ca="1">VLOOKUP(B1453,BDD[],7,0)</f>
        <v>2</v>
      </c>
      <c r="I1453" s="139">
        <f ca="1">VLOOKUP(B1453,BDD[],22,0)</f>
        <v>5</v>
      </c>
      <c r="J1453" s="168">
        <v>15</v>
      </c>
      <c r="K1453" s="139">
        <f>Tabla1[[#This Row],[DIAS LAB]]*Tabla1[[#This Row],[SUE DIA]]</f>
        <v>3722.5</v>
      </c>
      <c r="L1453" s="168">
        <v>0</v>
      </c>
      <c r="M1453" s="198">
        <f>Tabla1[[#This Row],[HRS EXT]]*Tabla1[[#This Row],[SUE X HR]]</f>
        <v>0</v>
      </c>
      <c r="N1453" s="168">
        <v>0</v>
      </c>
      <c r="O1453" s="198">
        <f>Tabla1[[#This Row],[ASUETO]]*Tabla1[[#This Row],[SUE DIA]]</f>
        <v>0</v>
      </c>
      <c r="P1453" s="139">
        <f>IF(Tabla1[[#This Row],[FECHA ING]]&lt;$P$1007,365,_xlfn.DAYS($P$1008,Tabla1[[#This Row],[FECHA ING]])+1)</f>
        <v>365</v>
      </c>
      <c r="Q1453" s="198">
        <f>INT(30*(Tabla1[[#This Row],[FECHAS CONTB AGNLDO]]/365))</f>
        <v>30</v>
      </c>
      <c r="R1453" s="244">
        <f ca="1">IF($W$32=$W$26,Tabla1[[#This Row],[SUE DIA]]*Tabla1[[#This Row],[DIAS PAG AGNLDO]],0)</f>
        <v>0</v>
      </c>
      <c r="S1453" s="244">
        <f ca="1">(_xlfn.DAYS(TODAY(),Tabla1[[#This Row],[FECHA ING]])/365)</f>
        <v>2.2328767123287672</v>
      </c>
      <c r="T1453" s="244">
        <f ca="1">IF(Tabla1[[#This Row],[DIAS VAC]]&gt;1,Tabla1[[#This Row],[DIAS VAC]]-Tabla1[[#This Row],[ANTIG]],Tabla1[[#This Row],[DIAS VAC]])</f>
        <v>0.23287671232876717</v>
      </c>
      <c r="U1453" s="244">
        <f ca="1">Tabla1[[#This Row],[VALID ANTIG]]*Tabla1[[#This Row],[SUE DIA]]*Tabla1[[#This Row],[DIAS VAC PAG]]</f>
        <v>288.96118721461193</v>
      </c>
    </row>
    <row r="1454" spans="2:21" hidden="1" x14ac:dyDescent="0.25">
      <c r="B1454" s="243">
        <v>657</v>
      </c>
      <c r="C1454" s="140" t="str">
        <f>VLOOKUP(B1454,BDD[],2,0)</f>
        <v>José Gilberto Hernández López</v>
      </c>
      <c r="D1454" s="140">
        <f>VLOOKUP(B1454,BDD[],3,0)</f>
        <v>7445</v>
      </c>
      <c r="E1454" s="140">
        <f>VLOOKUP(B1454,BDD[],4,0)</f>
        <v>248.16666666666666</v>
      </c>
      <c r="F1454" s="142">
        <f>VLOOKUP(B1454,BDD[],26,0)</f>
        <v>27.574074074074073</v>
      </c>
      <c r="G1454" s="268">
        <f>VLOOKUP(B1454,BDD[],6,0)</f>
        <v>43964</v>
      </c>
      <c r="H1454" s="139">
        <f ca="1">VLOOKUP(B1454,BDD[],7,0)</f>
        <v>2</v>
      </c>
      <c r="I1454" s="139">
        <f ca="1">VLOOKUP(B1454,BDD[],22,0)</f>
        <v>5</v>
      </c>
      <c r="J1454" s="168">
        <v>15</v>
      </c>
      <c r="K1454" s="139">
        <f>Tabla1[[#This Row],[DIAS LAB]]*Tabla1[[#This Row],[SUE DIA]]</f>
        <v>3722.5</v>
      </c>
      <c r="L1454" s="168">
        <v>0</v>
      </c>
      <c r="M1454" s="198">
        <f>Tabla1[[#This Row],[HRS EXT]]*Tabla1[[#This Row],[SUE X HR]]</f>
        <v>0</v>
      </c>
      <c r="N1454" s="168">
        <v>0</v>
      </c>
      <c r="O1454" s="198">
        <f>Tabla1[[#This Row],[ASUETO]]*Tabla1[[#This Row],[SUE DIA]]</f>
        <v>0</v>
      </c>
      <c r="P1454" s="139">
        <f>IF(Tabla1[[#This Row],[FECHA ING]]&lt;$P$1007,365,_xlfn.DAYS($P$1008,Tabla1[[#This Row],[FECHA ING]])+1)</f>
        <v>365</v>
      </c>
      <c r="Q1454" s="198">
        <f>INT(30*(Tabla1[[#This Row],[FECHAS CONTB AGNLDO]]/365))</f>
        <v>30</v>
      </c>
      <c r="R1454" s="244">
        <f ca="1">IF($W$32=$W$26,Tabla1[[#This Row],[SUE DIA]]*Tabla1[[#This Row],[DIAS PAG AGNLDO]],0)</f>
        <v>0</v>
      </c>
      <c r="S1454" s="244">
        <f ca="1">(_xlfn.DAYS(TODAY(),Tabla1[[#This Row],[FECHA ING]])/365)</f>
        <v>2.1808219178082191</v>
      </c>
      <c r="T1454" s="244">
        <f ca="1">IF(Tabla1[[#This Row],[DIAS VAC]]&gt;1,Tabla1[[#This Row],[DIAS VAC]]-Tabla1[[#This Row],[ANTIG]],Tabla1[[#This Row],[DIAS VAC]])</f>
        <v>0.1808219178082191</v>
      </c>
      <c r="U1454" s="244">
        <f ca="1">Tabla1[[#This Row],[VALID ANTIG]]*Tabla1[[#This Row],[SUE DIA]]*Tabla1[[#This Row],[DIAS VAC PAG]]</f>
        <v>224.36986301369853</v>
      </c>
    </row>
    <row r="1455" spans="2:21" hidden="1" x14ac:dyDescent="0.25">
      <c r="B1455" s="243">
        <v>658</v>
      </c>
      <c r="C1455" s="140" t="str">
        <f>VLOOKUP(B1455,BDD[],2,0)</f>
        <v>Albino Rivera Carranza</v>
      </c>
      <c r="D1455" s="140">
        <f>VLOOKUP(B1455,BDD[],3,0)</f>
        <v>7445</v>
      </c>
      <c r="E1455" s="140">
        <f>VLOOKUP(B1455,BDD[],4,0)</f>
        <v>248.16666666666666</v>
      </c>
      <c r="F1455" s="142">
        <f>VLOOKUP(B1455,BDD[],26,0)</f>
        <v>27.574074074074073</v>
      </c>
      <c r="G1455" s="268">
        <f>VLOOKUP(B1455,BDD[],6,0)</f>
        <v>43965</v>
      </c>
      <c r="H1455" s="139">
        <f ca="1">VLOOKUP(B1455,BDD[],7,0)</f>
        <v>2</v>
      </c>
      <c r="I1455" s="139">
        <f ca="1">VLOOKUP(B1455,BDD[],22,0)</f>
        <v>5</v>
      </c>
      <c r="J1455" s="168">
        <v>15</v>
      </c>
      <c r="K1455" s="139">
        <f>Tabla1[[#This Row],[DIAS LAB]]*Tabla1[[#This Row],[SUE DIA]]</f>
        <v>3722.5</v>
      </c>
      <c r="L1455" s="168">
        <v>0</v>
      </c>
      <c r="M1455" s="198">
        <f>Tabla1[[#This Row],[HRS EXT]]*Tabla1[[#This Row],[SUE X HR]]</f>
        <v>0</v>
      </c>
      <c r="N1455" s="168">
        <v>0</v>
      </c>
      <c r="O1455" s="198">
        <f>Tabla1[[#This Row],[ASUETO]]*Tabla1[[#This Row],[SUE DIA]]</f>
        <v>0</v>
      </c>
      <c r="P1455" s="139">
        <f>IF(Tabla1[[#This Row],[FECHA ING]]&lt;$P$1007,365,_xlfn.DAYS($P$1008,Tabla1[[#This Row],[FECHA ING]])+1)</f>
        <v>365</v>
      </c>
      <c r="Q1455" s="198">
        <f>INT(30*(Tabla1[[#This Row],[FECHAS CONTB AGNLDO]]/365))</f>
        <v>30</v>
      </c>
      <c r="R1455" s="244">
        <f ca="1">IF($W$32=$W$26,Tabla1[[#This Row],[SUE DIA]]*Tabla1[[#This Row],[DIAS PAG AGNLDO]],0)</f>
        <v>0</v>
      </c>
      <c r="S1455" s="244">
        <f ca="1">(_xlfn.DAYS(TODAY(),Tabla1[[#This Row],[FECHA ING]])/365)</f>
        <v>2.1780821917808217</v>
      </c>
      <c r="T1455" s="244">
        <f ca="1">IF(Tabla1[[#This Row],[DIAS VAC]]&gt;1,Tabla1[[#This Row],[DIAS VAC]]-Tabla1[[#This Row],[ANTIG]],Tabla1[[#This Row],[DIAS VAC]])</f>
        <v>0.17808219178082174</v>
      </c>
      <c r="U1455" s="244">
        <f ca="1">Tabla1[[#This Row],[VALID ANTIG]]*Tabla1[[#This Row],[SUE DIA]]*Tabla1[[#This Row],[DIAS VAC PAG]]</f>
        <v>220.97031963470297</v>
      </c>
    </row>
    <row r="1456" spans="2:21" hidden="1" x14ac:dyDescent="0.25">
      <c r="B1456" s="243">
        <v>659</v>
      </c>
      <c r="C1456" s="140" t="str">
        <f>VLOOKUP(B1456,BDD[],2,0)</f>
        <v>Yamin Cardenas Martines</v>
      </c>
      <c r="D1456" s="140">
        <f>VLOOKUP(B1456,BDD[],3,0)</f>
        <v>9541</v>
      </c>
      <c r="E1456" s="140">
        <f>VLOOKUP(B1456,BDD[],4,0)</f>
        <v>318.03333333333336</v>
      </c>
      <c r="F1456" s="142">
        <f>VLOOKUP(B1456,BDD[],26,0)</f>
        <v>35.337037037037042</v>
      </c>
      <c r="G1456" s="268">
        <f>VLOOKUP(B1456,BDD[],6,0)</f>
        <v>43965</v>
      </c>
      <c r="H1456" s="139">
        <f ca="1">VLOOKUP(B1456,BDD[],7,0)</f>
        <v>2</v>
      </c>
      <c r="I1456" s="139">
        <f ca="1">VLOOKUP(B1456,BDD[],22,0)</f>
        <v>5</v>
      </c>
      <c r="J1456" s="168">
        <v>15</v>
      </c>
      <c r="K1456" s="139">
        <f>Tabla1[[#This Row],[DIAS LAB]]*Tabla1[[#This Row],[SUE DIA]]</f>
        <v>4770.5</v>
      </c>
      <c r="L1456" s="168">
        <v>0</v>
      </c>
      <c r="M1456" s="198">
        <f>Tabla1[[#This Row],[HRS EXT]]*Tabla1[[#This Row],[SUE X HR]]</f>
        <v>0</v>
      </c>
      <c r="N1456" s="168">
        <v>0</v>
      </c>
      <c r="O1456" s="198">
        <f>Tabla1[[#This Row],[ASUETO]]*Tabla1[[#This Row],[SUE DIA]]</f>
        <v>0</v>
      </c>
      <c r="P1456" s="139">
        <f>IF(Tabla1[[#This Row],[FECHA ING]]&lt;$P$1007,365,_xlfn.DAYS($P$1008,Tabla1[[#This Row],[FECHA ING]])+1)</f>
        <v>365</v>
      </c>
      <c r="Q1456" s="198">
        <f>INT(30*(Tabla1[[#This Row],[FECHAS CONTB AGNLDO]]/365))</f>
        <v>30</v>
      </c>
      <c r="R1456" s="244">
        <f ca="1">IF($W$32=$W$26,Tabla1[[#This Row],[SUE DIA]]*Tabla1[[#This Row],[DIAS PAG AGNLDO]],0)</f>
        <v>0</v>
      </c>
      <c r="S1456" s="244">
        <f ca="1">(_xlfn.DAYS(TODAY(),Tabla1[[#This Row],[FECHA ING]])/365)</f>
        <v>2.1780821917808217</v>
      </c>
      <c r="T1456" s="244">
        <f ca="1">IF(Tabla1[[#This Row],[DIAS VAC]]&gt;1,Tabla1[[#This Row],[DIAS VAC]]-Tabla1[[#This Row],[ANTIG]],Tabla1[[#This Row],[DIAS VAC]])</f>
        <v>0.17808219178082174</v>
      </c>
      <c r="U1456" s="244">
        <f ca="1">Tabla1[[#This Row],[VALID ANTIG]]*Tabla1[[#This Row],[SUE DIA]]*Tabla1[[#This Row],[DIAS VAC PAG]]</f>
        <v>283.18036529680336</v>
      </c>
    </row>
    <row r="1457" spans="2:21" hidden="1" x14ac:dyDescent="0.25">
      <c r="B1457" s="243">
        <v>663</v>
      </c>
      <c r="C1457" s="140" t="str">
        <f>VLOOKUP(B1457,BDD[],2,0)</f>
        <v>Lizeth Velazquez Lopez</v>
      </c>
      <c r="D1457" s="140">
        <f>VLOOKUP(B1457,BDD[],3,0)</f>
        <v>8825</v>
      </c>
      <c r="E1457" s="140">
        <f>VLOOKUP(B1457,BDD[],4,0)</f>
        <v>294.16666666666669</v>
      </c>
      <c r="F1457" s="142">
        <f>VLOOKUP(B1457,BDD[],26,0)</f>
        <v>32.68518518518519</v>
      </c>
      <c r="G1457" s="268">
        <f>VLOOKUP(B1457,BDD[],6,0)</f>
        <v>43965</v>
      </c>
      <c r="H1457" s="139">
        <f ca="1">VLOOKUP(B1457,BDD[],7,0)</f>
        <v>2</v>
      </c>
      <c r="I1457" s="139">
        <f ca="1">VLOOKUP(B1457,BDD[],22,0)</f>
        <v>5</v>
      </c>
      <c r="J1457" s="168">
        <v>15</v>
      </c>
      <c r="K1457" s="139">
        <f>Tabla1[[#This Row],[DIAS LAB]]*Tabla1[[#This Row],[SUE DIA]]</f>
        <v>4412.5</v>
      </c>
      <c r="L1457" s="168">
        <v>0</v>
      </c>
      <c r="M1457" s="198">
        <f>Tabla1[[#This Row],[HRS EXT]]*Tabla1[[#This Row],[SUE X HR]]</f>
        <v>0</v>
      </c>
      <c r="N1457" s="168">
        <v>0</v>
      </c>
      <c r="O1457" s="198">
        <f>Tabla1[[#This Row],[ASUETO]]*Tabla1[[#This Row],[SUE DIA]]</f>
        <v>0</v>
      </c>
      <c r="P1457" s="139">
        <f>IF(Tabla1[[#This Row],[FECHA ING]]&lt;$P$1007,365,_xlfn.DAYS($P$1008,Tabla1[[#This Row],[FECHA ING]])+1)</f>
        <v>365</v>
      </c>
      <c r="Q1457" s="198">
        <f>INT(30*(Tabla1[[#This Row],[FECHAS CONTB AGNLDO]]/365))</f>
        <v>30</v>
      </c>
      <c r="R1457" s="244">
        <f ca="1">IF($W$32=$W$26,Tabla1[[#This Row],[SUE DIA]]*Tabla1[[#This Row],[DIAS PAG AGNLDO]],0)</f>
        <v>0</v>
      </c>
      <c r="S1457" s="244">
        <f ca="1">(_xlfn.DAYS(TODAY(),Tabla1[[#This Row],[FECHA ING]])/365)</f>
        <v>2.1780821917808217</v>
      </c>
      <c r="T1457" s="244">
        <f ca="1">IF(Tabla1[[#This Row],[DIAS VAC]]&gt;1,Tabla1[[#This Row],[DIAS VAC]]-Tabla1[[#This Row],[ANTIG]],Tabla1[[#This Row],[DIAS VAC]])</f>
        <v>0.17808219178082174</v>
      </c>
      <c r="U1457" s="244">
        <f ca="1">Tabla1[[#This Row],[VALID ANTIG]]*Tabla1[[#This Row],[SUE DIA]]*Tabla1[[#This Row],[DIAS VAC PAG]]</f>
        <v>261.92922374429196</v>
      </c>
    </row>
    <row r="1458" spans="2:21" hidden="1" x14ac:dyDescent="0.25">
      <c r="B1458" s="243">
        <v>664</v>
      </c>
      <c r="C1458" s="140" t="str">
        <f>VLOOKUP(B1458,BDD[],2,0)</f>
        <v>Marcela Camarillo García</v>
      </c>
      <c r="D1458" s="140">
        <f>VLOOKUP(B1458,BDD[],3,0)</f>
        <v>9541</v>
      </c>
      <c r="E1458" s="140">
        <f>VLOOKUP(B1458,BDD[],4,0)</f>
        <v>318.03333333333336</v>
      </c>
      <c r="F1458" s="142">
        <f>VLOOKUP(B1458,BDD[],26,0)</f>
        <v>35.337037037037042</v>
      </c>
      <c r="G1458" s="268">
        <f>VLOOKUP(B1458,BDD[],6,0)</f>
        <v>43968</v>
      </c>
      <c r="H1458" s="139">
        <f ca="1">VLOOKUP(B1458,BDD[],7,0)</f>
        <v>2</v>
      </c>
      <c r="I1458" s="139">
        <f ca="1">VLOOKUP(B1458,BDD[],22,0)</f>
        <v>5</v>
      </c>
      <c r="J1458" s="168">
        <v>15</v>
      </c>
      <c r="K1458" s="139">
        <f>Tabla1[[#This Row],[DIAS LAB]]*Tabla1[[#This Row],[SUE DIA]]</f>
        <v>4770.5</v>
      </c>
      <c r="L1458" s="168">
        <v>0</v>
      </c>
      <c r="M1458" s="198">
        <f>Tabla1[[#This Row],[HRS EXT]]*Tabla1[[#This Row],[SUE X HR]]</f>
        <v>0</v>
      </c>
      <c r="N1458" s="168">
        <v>0</v>
      </c>
      <c r="O1458" s="198">
        <f>Tabla1[[#This Row],[ASUETO]]*Tabla1[[#This Row],[SUE DIA]]</f>
        <v>0</v>
      </c>
      <c r="P1458" s="139">
        <f>IF(Tabla1[[#This Row],[FECHA ING]]&lt;$P$1007,365,_xlfn.DAYS($P$1008,Tabla1[[#This Row],[FECHA ING]])+1)</f>
        <v>365</v>
      </c>
      <c r="Q1458" s="198">
        <f>INT(30*(Tabla1[[#This Row],[FECHAS CONTB AGNLDO]]/365))</f>
        <v>30</v>
      </c>
      <c r="R1458" s="244">
        <f ca="1">IF($W$32=$W$26,Tabla1[[#This Row],[SUE DIA]]*Tabla1[[#This Row],[DIAS PAG AGNLDO]],0)</f>
        <v>0</v>
      </c>
      <c r="S1458" s="244">
        <f ca="1">(_xlfn.DAYS(TODAY(),Tabla1[[#This Row],[FECHA ING]])/365)</f>
        <v>2.1698630136986301</v>
      </c>
      <c r="T1458" s="244">
        <f ca="1">IF(Tabla1[[#This Row],[DIAS VAC]]&gt;1,Tabla1[[#This Row],[DIAS VAC]]-Tabla1[[#This Row],[ANTIG]],Tabla1[[#This Row],[DIAS VAC]])</f>
        <v>0.16986301369863011</v>
      </c>
      <c r="U1458" s="244">
        <f ca="1">Tabla1[[#This Row],[VALID ANTIG]]*Tabla1[[#This Row],[SUE DIA]]*Tabla1[[#This Row],[DIAS VAC PAG]]</f>
        <v>270.11050228310501</v>
      </c>
    </row>
    <row r="1459" spans="2:21" hidden="1" x14ac:dyDescent="0.25">
      <c r="B1459" s="243">
        <v>665</v>
      </c>
      <c r="C1459" s="140" t="str">
        <f>VLOOKUP(B1459,BDD[],2,0)</f>
        <v>Felipe Hipolito Carbajal</v>
      </c>
      <c r="D1459" s="140">
        <f>VLOOKUP(B1459,BDD[],3,0)</f>
        <v>9541</v>
      </c>
      <c r="E1459" s="140">
        <f>VLOOKUP(B1459,BDD[],4,0)</f>
        <v>318.03333333333336</v>
      </c>
      <c r="F1459" s="142">
        <f>VLOOKUP(B1459,BDD[],26,0)</f>
        <v>35.337037037037042</v>
      </c>
      <c r="G1459" s="268">
        <f>VLOOKUP(B1459,BDD[],6,0)</f>
        <v>44003</v>
      </c>
      <c r="H1459" s="139">
        <f ca="1">VLOOKUP(B1459,BDD[],7,0)</f>
        <v>2</v>
      </c>
      <c r="I1459" s="139">
        <f ca="1">VLOOKUP(B1459,BDD[],22,0)</f>
        <v>5</v>
      </c>
      <c r="J1459" s="168">
        <v>15</v>
      </c>
      <c r="K1459" s="139">
        <f>Tabla1[[#This Row],[DIAS LAB]]*Tabla1[[#This Row],[SUE DIA]]</f>
        <v>4770.5</v>
      </c>
      <c r="L1459" s="168">
        <v>0</v>
      </c>
      <c r="M1459" s="198">
        <f>Tabla1[[#This Row],[HRS EXT]]*Tabla1[[#This Row],[SUE X HR]]</f>
        <v>0</v>
      </c>
      <c r="N1459" s="168">
        <v>0</v>
      </c>
      <c r="O1459" s="198">
        <f>Tabla1[[#This Row],[ASUETO]]*Tabla1[[#This Row],[SUE DIA]]</f>
        <v>0</v>
      </c>
      <c r="P1459" s="139">
        <f>IF(Tabla1[[#This Row],[FECHA ING]]&lt;$P$1007,365,_xlfn.DAYS($P$1008,Tabla1[[#This Row],[FECHA ING]])+1)</f>
        <v>365</v>
      </c>
      <c r="Q1459" s="198">
        <f>INT(30*(Tabla1[[#This Row],[FECHAS CONTB AGNLDO]]/365))</f>
        <v>30</v>
      </c>
      <c r="R1459" s="244">
        <f ca="1">IF($W$32=$W$26,Tabla1[[#This Row],[SUE DIA]]*Tabla1[[#This Row],[DIAS PAG AGNLDO]],0)</f>
        <v>0</v>
      </c>
      <c r="S1459" s="244">
        <f ca="1">(_xlfn.DAYS(TODAY(),Tabla1[[#This Row],[FECHA ING]])/365)</f>
        <v>2.0739726027397261</v>
      </c>
      <c r="T1459" s="244">
        <f ca="1">IF(Tabla1[[#This Row],[DIAS VAC]]&gt;1,Tabla1[[#This Row],[DIAS VAC]]-Tabla1[[#This Row],[ANTIG]],Tabla1[[#This Row],[DIAS VAC]])</f>
        <v>7.3972602739726057E-2</v>
      </c>
      <c r="U1459" s="244">
        <f ca="1">Tabla1[[#This Row],[VALID ANTIG]]*Tabla1[[#This Row],[SUE DIA]]*Tabla1[[#This Row],[DIAS VAC PAG]]</f>
        <v>117.62876712328773</v>
      </c>
    </row>
    <row r="1460" spans="2:21" hidden="1" x14ac:dyDescent="0.25">
      <c r="B1460" s="243">
        <v>666</v>
      </c>
      <c r="C1460" s="140" t="str">
        <f>VLOOKUP(B1460,BDD[],2,0)</f>
        <v>Lisset Guadalupe Cristobal Valdez</v>
      </c>
      <c r="D1460" s="140">
        <f>VLOOKUP(B1460,BDD[],3,0)</f>
        <v>9541</v>
      </c>
      <c r="E1460" s="140">
        <f>VLOOKUP(B1460,BDD[],4,0)</f>
        <v>318.03333333333336</v>
      </c>
      <c r="F1460" s="142">
        <f>VLOOKUP(B1460,BDD[],26,0)</f>
        <v>35.337037037037042</v>
      </c>
      <c r="G1460" s="268">
        <f>VLOOKUP(B1460,BDD[],6,0)</f>
        <v>44011</v>
      </c>
      <c r="H1460" s="139">
        <f ca="1">VLOOKUP(B1460,BDD[],7,0)</f>
        <v>2</v>
      </c>
      <c r="I1460" s="139">
        <f ca="1">VLOOKUP(B1460,BDD[],22,0)</f>
        <v>5</v>
      </c>
      <c r="J1460" s="168">
        <v>15</v>
      </c>
      <c r="K1460" s="139">
        <f>Tabla1[[#This Row],[DIAS LAB]]*Tabla1[[#This Row],[SUE DIA]]</f>
        <v>4770.5</v>
      </c>
      <c r="L1460" s="168">
        <v>0</v>
      </c>
      <c r="M1460" s="198">
        <f>Tabla1[[#This Row],[HRS EXT]]*Tabla1[[#This Row],[SUE X HR]]</f>
        <v>0</v>
      </c>
      <c r="N1460" s="168">
        <v>0</v>
      </c>
      <c r="O1460" s="198">
        <f>Tabla1[[#This Row],[ASUETO]]*Tabla1[[#This Row],[SUE DIA]]</f>
        <v>0</v>
      </c>
      <c r="P1460" s="139">
        <f>IF(Tabla1[[#This Row],[FECHA ING]]&lt;$P$1007,365,_xlfn.DAYS($P$1008,Tabla1[[#This Row],[FECHA ING]])+1)</f>
        <v>365</v>
      </c>
      <c r="Q1460" s="198">
        <f>INT(30*(Tabla1[[#This Row],[FECHAS CONTB AGNLDO]]/365))</f>
        <v>30</v>
      </c>
      <c r="R1460" s="244">
        <f ca="1">IF($W$32=$W$26,Tabla1[[#This Row],[SUE DIA]]*Tabla1[[#This Row],[DIAS PAG AGNLDO]],0)</f>
        <v>0</v>
      </c>
      <c r="S1460" s="244">
        <f ca="1">(_xlfn.DAYS(TODAY(),Tabla1[[#This Row],[FECHA ING]])/365)</f>
        <v>2.0520547945205481</v>
      </c>
      <c r="T1460" s="244">
        <f ca="1">IF(Tabla1[[#This Row],[DIAS VAC]]&gt;1,Tabla1[[#This Row],[DIAS VAC]]-Tabla1[[#This Row],[ANTIG]],Tabla1[[#This Row],[DIAS VAC]])</f>
        <v>5.2054794520548064E-2</v>
      </c>
      <c r="U1460" s="244">
        <f ca="1">Tabla1[[#This Row],[VALID ANTIG]]*Tabla1[[#This Row],[SUE DIA]]*Tabla1[[#This Row],[DIAS VAC PAG]]</f>
        <v>82.775799086758184</v>
      </c>
    </row>
    <row r="1461" spans="2:21" hidden="1" x14ac:dyDescent="0.25">
      <c r="B1461" s="243">
        <v>667</v>
      </c>
      <c r="C1461" s="140" t="str">
        <f>VLOOKUP(B1461,BDD[],2,0)</f>
        <v>Angélica Justiniano Galvez</v>
      </c>
      <c r="D1461" s="140">
        <f>VLOOKUP(B1461,BDD[],3,0)</f>
        <v>10860</v>
      </c>
      <c r="E1461" s="140">
        <f>VLOOKUP(B1461,BDD[],4,0)</f>
        <v>362</v>
      </c>
      <c r="F1461" s="142">
        <f>VLOOKUP(B1461,BDD[],26,0)</f>
        <v>40.222222222222221</v>
      </c>
      <c r="G1461" s="268">
        <f>VLOOKUP(B1461,BDD[],6,0)</f>
        <v>44036</v>
      </c>
      <c r="H1461" s="139">
        <f ca="1">VLOOKUP(B1461,BDD[],7,0)</f>
        <v>1</v>
      </c>
      <c r="I1461" s="139">
        <f ca="1">VLOOKUP(B1461,BDD[],22,0)</f>
        <v>5</v>
      </c>
      <c r="J1461" s="168">
        <v>15</v>
      </c>
      <c r="K1461" s="139">
        <f>Tabla1[[#This Row],[DIAS LAB]]*Tabla1[[#This Row],[SUE DIA]]</f>
        <v>5430</v>
      </c>
      <c r="L1461" s="168">
        <v>0</v>
      </c>
      <c r="M1461" s="139">
        <f>Tabla1[[#This Row],[HRS EXT]]*Tabla1[[#This Row],[SUE X HR]]</f>
        <v>0</v>
      </c>
      <c r="N1461" s="168">
        <v>0</v>
      </c>
      <c r="O1461" s="198">
        <f>Tabla1[[#This Row],[ASUETO]]*Tabla1[[#This Row],[SUE DIA]]</f>
        <v>0</v>
      </c>
      <c r="P1461" s="139">
        <f>IF(Tabla1[[#This Row],[FECHA ING]]&lt;$P$1007,365,_xlfn.DAYS($P$1008,Tabla1[[#This Row],[FECHA ING]])+1)</f>
        <v>365</v>
      </c>
      <c r="Q1461" s="198">
        <f>INT(30*(Tabla1[[#This Row],[FECHAS CONTB AGNLDO]]/365))</f>
        <v>30</v>
      </c>
      <c r="R1461" s="244">
        <f ca="1">IF($W$32=$W$26,Tabla1[[#This Row],[SUE DIA]]*Tabla1[[#This Row],[DIAS PAG AGNLDO]],0)</f>
        <v>0</v>
      </c>
      <c r="S1461" s="244">
        <f ca="1">(_xlfn.DAYS(TODAY(),Tabla1[[#This Row],[FECHA ING]])/365)</f>
        <v>1.9835616438356165</v>
      </c>
      <c r="T1461" s="244">
        <f ca="1">IF(Tabla1[[#This Row],[DIAS VAC]]&gt;1,Tabla1[[#This Row],[DIAS VAC]]-Tabla1[[#This Row],[ANTIG]],Tabla1[[#This Row],[DIAS VAC]])</f>
        <v>0.98356164383561651</v>
      </c>
      <c r="U1461" s="244">
        <f ca="1">Tabla1[[#This Row],[VALID ANTIG]]*Tabla1[[#This Row],[SUE DIA]]*Tabla1[[#This Row],[DIAS VAC PAG]]</f>
        <v>1780.2465753424658</v>
      </c>
    </row>
    <row r="1462" spans="2:21" hidden="1" x14ac:dyDescent="0.25">
      <c r="B1462" s="243">
        <v>669</v>
      </c>
      <c r="C1462" s="140" t="str">
        <f>VLOOKUP(B1462,BDD[],2,0)</f>
        <v>Cristina Rivas Vinalay</v>
      </c>
      <c r="D1462" s="140">
        <f>VLOOKUP(B1462,BDD[],3,0)</f>
        <v>7445</v>
      </c>
      <c r="E1462" s="140">
        <f>VLOOKUP(B1462,BDD[],4,0)</f>
        <v>248.16666666666666</v>
      </c>
      <c r="F1462" s="142">
        <f>VLOOKUP(B1462,BDD[],26,0)</f>
        <v>27.574074074074073</v>
      </c>
      <c r="G1462" s="268">
        <f>VLOOKUP(B1462,BDD[],6,0)</f>
        <v>44039</v>
      </c>
      <c r="H1462" s="139">
        <f ca="1">VLOOKUP(B1462,BDD[],7,0)</f>
        <v>1</v>
      </c>
      <c r="I1462" s="139">
        <f ca="1">VLOOKUP(B1462,BDD[],22,0)</f>
        <v>5</v>
      </c>
      <c r="J1462" s="168">
        <v>15</v>
      </c>
      <c r="K1462" s="139">
        <f>Tabla1[[#This Row],[DIAS LAB]]*Tabla1[[#This Row],[SUE DIA]]</f>
        <v>3722.5</v>
      </c>
      <c r="L1462" s="168">
        <v>0</v>
      </c>
      <c r="M1462" s="198">
        <f>Tabla1[[#This Row],[HRS EXT]]*Tabla1[[#This Row],[SUE X HR]]</f>
        <v>0</v>
      </c>
      <c r="N1462" s="168">
        <v>0</v>
      </c>
      <c r="O1462" s="198">
        <f>Tabla1[[#This Row],[ASUETO]]*Tabla1[[#This Row],[SUE DIA]]</f>
        <v>0</v>
      </c>
      <c r="P1462" s="139">
        <f>IF(Tabla1[[#This Row],[FECHA ING]]&lt;$P$1007,365,_xlfn.DAYS($P$1008,Tabla1[[#This Row],[FECHA ING]])+1)</f>
        <v>365</v>
      </c>
      <c r="Q1462" s="198">
        <f>INT(30*(Tabla1[[#This Row],[FECHAS CONTB AGNLDO]]/365))</f>
        <v>30</v>
      </c>
      <c r="R1462" s="244">
        <f ca="1">IF($W$32=$W$26,Tabla1[[#This Row],[SUE DIA]]*Tabla1[[#This Row],[DIAS PAG AGNLDO]],0)</f>
        <v>0</v>
      </c>
      <c r="S1462" s="244">
        <f ca="1">(_xlfn.DAYS(TODAY(),Tabla1[[#This Row],[FECHA ING]])/365)</f>
        <v>1.9753424657534246</v>
      </c>
      <c r="T1462" s="244">
        <f ca="1">IF(Tabla1[[#This Row],[DIAS VAC]]&gt;1,Tabla1[[#This Row],[DIAS VAC]]-Tabla1[[#This Row],[ANTIG]],Tabla1[[#This Row],[DIAS VAC]])</f>
        <v>0.97534246575342465</v>
      </c>
      <c r="U1462" s="244">
        <f ca="1">Tabla1[[#This Row],[VALID ANTIG]]*Tabla1[[#This Row],[SUE DIA]]*Tabla1[[#This Row],[DIAS VAC PAG]]</f>
        <v>1210.2374429223744</v>
      </c>
    </row>
    <row r="1463" spans="2:21" hidden="1" x14ac:dyDescent="0.25">
      <c r="B1463" s="243">
        <v>670</v>
      </c>
      <c r="C1463" s="140" t="str">
        <f>VLOOKUP(B1463,BDD[],2,0)</f>
        <v>Ana Bertha Cortez Bautista</v>
      </c>
      <c r="D1463" s="140">
        <f>VLOOKUP(B1463,BDD[],3,0)</f>
        <v>10350</v>
      </c>
      <c r="E1463" s="140">
        <f>VLOOKUP(B1463,BDD[],4,0)</f>
        <v>345</v>
      </c>
      <c r="F1463" s="142">
        <f>VLOOKUP(B1463,BDD[],26,0)</f>
        <v>38.333333333333336</v>
      </c>
      <c r="G1463" s="268">
        <f>VLOOKUP(B1463,BDD[],6,0)</f>
        <v>44049</v>
      </c>
      <c r="H1463" s="139">
        <f ca="1">VLOOKUP(B1463,BDD[],7,0)</f>
        <v>1</v>
      </c>
      <c r="I1463" s="139">
        <f ca="1">VLOOKUP(B1463,BDD[],22,0)</f>
        <v>5</v>
      </c>
      <c r="J1463" s="168">
        <v>15</v>
      </c>
      <c r="K1463" s="139">
        <f>Tabla1[[#This Row],[DIAS LAB]]*Tabla1[[#This Row],[SUE DIA]]</f>
        <v>5175</v>
      </c>
      <c r="L1463" s="168">
        <v>0</v>
      </c>
      <c r="M1463" s="198">
        <f>Tabla1[[#This Row],[HRS EXT]]*Tabla1[[#This Row],[SUE X HR]]</f>
        <v>0</v>
      </c>
      <c r="N1463" s="168">
        <v>0</v>
      </c>
      <c r="O1463" s="198">
        <f>Tabla1[[#This Row],[ASUETO]]*Tabla1[[#This Row],[SUE DIA]]</f>
        <v>0</v>
      </c>
      <c r="P1463" s="139">
        <f>IF(Tabla1[[#This Row],[FECHA ING]]&lt;$P$1007,365,_xlfn.DAYS($P$1008,Tabla1[[#This Row],[FECHA ING]])+1)</f>
        <v>365</v>
      </c>
      <c r="Q1463" s="198">
        <f>INT(30*(Tabla1[[#This Row],[FECHAS CONTB AGNLDO]]/365))</f>
        <v>30</v>
      </c>
      <c r="R1463" s="244">
        <f ca="1">IF($W$32=$W$26,Tabla1[[#This Row],[SUE DIA]]*Tabla1[[#This Row],[DIAS PAG AGNLDO]],0)</f>
        <v>0</v>
      </c>
      <c r="S1463" s="244">
        <f ca="1">(_xlfn.DAYS(TODAY(),Tabla1[[#This Row],[FECHA ING]])/365)</f>
        <v>1.9479452054794522</v>
      </c>
      <c r="T1463" s="244">
        <f ca="1">IF(Tabla1[[#This Row],[DIAS VAC]]&gt;1,Tabla1[[#This Row],[DIAS VAC]]-Tabla1[[#This Row],[ANTIG]],Tabla1[[#This Row],[DIAS VAC]])</f>
        <v>0.94794520547945216</v>
      </c>
      <c r="U1463" s="244">
        <f ca="1">Tabla1[[#This Row],[VALID ANTIG]]*Tabla1[[#This Row],[SUE DIA]]*Tabla1[[#This Row],[DIAS VAC PAG]]</f>
        <v>1635.205479452055</v>
      </c>
    </row>
    <row r="1464" spans="2:21" hidden="1" x14ac:dyDescent="0.25">
      <c r="B1464" s="243">
        <v>671</v>
      </c>
      <c r="C1464" s="140" t="str">
        <f>VLOOKUP(B1464,BDD[],2,0)</f>
        <v>Diana Laura Lomas Rangel</v>
      </c>
      <c r="D1464" s="140">
        <f>VLOOKUP(B1464,BDD[],3,0)</f>
        <v>7445</v>
      </c>
      <c r="E1464" s="140">
        <f>VLOOKUP(B1464,BDD[],4,0)</f>
        <v>248.16666666666666</v>
      </c>
      <c r="F1464" s="142">
        <f>VLOOKUP(B1464,BDD[],26,0)</f>
        <v>27.574074074074073</v>
      </c>
      <c r="G1464" s="268">
        <f>VLOOKUP(B1464,BDD[],6,0)</f>
        <v>44050</v>
      </c>
      <c r="H1464" s="139">
        <f ca="1">VLOOKUP(B1464,BDD[],7,0)</f>
        <v>1</v>
      </c>
      <c r="I1464" s="139">
        <f ca="1">VLOOKUP(B1464,BDD[],22,0)</f>
        <v>5</v>
      </c>
      <c r="J1464" s="168">
        <v>15</v>
      </c>
      <c r="K1464" s="139">
        <f>Tabla1[[#This Row],[DIAS LAB]]*Tabla1[[#This Row],[SUE DIA]]</f>
        <v>3722.5</v>
      </c>
      <c r="L1464" s="168">
        <v>0</v>
      </c>
      <c r="M1464" s="198">
        <f>Tabla1[[#This Row],[HRS EXT]]*Tabla1[[#This Row],[SUE X HR]]</f>
        <v>0</v>
      </c>
      <c r="N1464" s="168">
        <v>0</v>
      </c>
      <c r="O1464" s="198">
        <f>Tabla1[[#This Row],[ASUETO]]*Tabla1[[#This Row],[SUE DIA]]</f>
        <v>0</v>
      </c>
      <c r="P1464" s="139">
        <f>IF(Tabla1[[#This Row],[FECHA ING]]&lt;$P$1007,365,_xlfn.DAYS($P$1008,Tabla1[[#This Row],[FECHA ING]])+1)</f>
        <v>365</v>
      </c>
      <c r="Q1464" s="198">
        <f>INT(30*(Tabla1[[#This Row],[FECHAS CONTB AGNLDO]]/365))</f>
        <v>30</v>
      </c>
      <c r="R1464" s="244">
        <f ca="1">IF($W$32=$W$26,Tabla1[[#This Row],[SUE DIA]]*Tabla1[[#This Row],[DIAS PAG AGNLDO]],0)</f>
        <v>0</v>
      </c>
      <c r="S1464" s="244">
        <f ca="1">(_xlfn.DAYS(TODAY(),Tabla1[[#This Row],[FECHA ING]])/365)</f>
        <v>1.9452054794520548</v>
      </c>
      <c r="T1464" s="244">
        <f ca="1">IF(Tabla1[[#This Row],[DIAS VAC]]&gt;1,Tabla1[[#This Row],[DIAS VAC]]-Tabla1[[#This Row],[ANTIG]],Tabla1[[#This Row],[DIAS VAC]])</f>
        <v>0.9452054794520548</v>
      </c>
      <c r="U1464" s="244">
        <f ca="1">Tabla1[[#This Row],[VALID ANTIG]]*Tabla1[[#This Row],[SUE DIA]]*Tabla1[[#This Row],[DIAS VAC PAG]]</f>
        <v>1172.8424657534247</v>
      </c>
    </row>
    <row r="1465" spans="2:21" hidden="1" x14ac:dyDescent="0.25">
      <c r="B1465" s="243">
        <v>673</v>
      </c>
      <c r="C1465" s="140" t="str">
        <f>VLOOKUP(B1465,BDD[],2,0)</f>
        <v>Aldo Alejandro Quiroga Vargas</v>
      </c>
      <c r="D1465" s="140">
        <f>VLOOKUP(B1465,BDD[],3,0)</f>
        <v>7445</v>
      </c>
      <c r="E1465" s="140">
        <f>VLOOKUP(B1465,BDD[],4,0)</f>
        <v>248.16666666666666</v>
      </c>
      <c r="F1465" s="142">
        <f>VLOOKUP(B1465,BDD[],26,0)</f>
        <v>27.574074074074073</v>
      </c>
      <c r="G1465" s="268">
        <f>VLOOKUP(B1465,BDD[],6,0)</f>
        <v>44059</v>
      </c>
      <c r="H1465" s="139">
        <f ca="1">VLOOKUP(B1465,BDD[],7,0)</f>
        <v>1</v>
      </c>
      <c r="I1465" s="139">
        <f ca="1">VLOOKUP(B1465,BDD[],22,0)</f>
        <v>5</v>
      </c>
      <c r="J1465" s="168">
        <v>15</v>
      </c>
      <c r="K1465" s="139">
        <f>Tabla1[[#This Row],[DIAS LAB]]*Tabla1[[#This Row],[SUE DIA]]</f>
        <v>3722.5</v>
      </c>
      <c r="L1465" s="168">
        <v>0</v>
      </c>
      <c r="M1465" s="198">
        <f>Tabla1[[#This Row],[HRS EXT]]*Tabla1[[#This Row],[SUE X HR]]</f>
        <v>0</v>
      </c>
      <c r="N1465" s="168">
        <v>0</v>
      </c>
      <c r="O1465" s="198">
        <f>Tabla1[[#This Row],[ASUETO]]*Tabla1[[#This Row],[SUE DIA]]</f>
        <v>0</v>
      </c>
      <c r="P1465" s="139">
        <f>IF(Tabla1[[#This Row],[FECHA ING]]&lt;$P$1007,365,_xlfn.DAYS($P$1008,Tabla1[[#This Row],[FECHA ING]])+1)</f>
        <v>365</v>
      </c>
      <c r="Q1465" s="198">
        <f>INT(30*(Tabla1[[#This Row],[FECHAS CONTB AGNLDO]]/365))</f>
        <v>30</v>
      </c>
      <c r="R1465" s="244">
        <f ca="1">IF($W$32=$W$26,Tabla1[[#This Row],[SUE DIA]]*Tabla1[[#This Row],[DIAS PAG AGNLDO]],0)</f>
        <v>0</v>
      </c>
      <c r="S1465" s="244">
        <f ca="1">(_xlfn.DAYS(TODAY(),Tabla1[[#This Row],[FECHA ING]])/365)</f>
        <v>1.9205479452054794</v>
      </c>
      <c r="T1465" s="244">
        <f ca="1">IF(Tabla1[[#This Row],[DIAS VAC]]&gt;1,Tabla1[[#This Row],[DIAS VAC]]-Tabla1[[#This Row],[ANTIG]],Tabla1[[#This Row],[DIAS VAC]])</f>
        <v>0.92054794520547945</v>
      </c>
      <c r="U1465" s="244">
        <f ca="1">Tabla1[[#This Row],[VALID ANTIG]]*Tabla1[[#This Row],[SUE DIA]]*Tabla1[[#This Row],[DIAS VAC PAG]]</f>
        <v>1142.2465753424658</v>
      </c>
    </row>
    <row r="1466" spans="2:21" hidden="1" x14ac:dyDescent="0.25">
      <c r="B1466" s="243">
        <v>674</v>
      </c>
      <c r="C1466" s="140" t="str">
        <f>VLOOKUP(B1466,BDD[],2,0)</f>
        <v>María Mendez Mendez</v>
      </c>
      <c r="D1466" s="140">
        <f>VLOOKUP(B1466,BDD[],3,0)</f>
        <v>7950</v>
      </c>
      <c r="E1466" s="140">
        <f>VLOOKUP(B1466,BDD[],4,0)</f>
        <v>265</v>
      </c>
      <c r="F1466" s="142">
        <f>VLOOKUP(B1466,BDD[],26,0)</f>
        <v>29.444444444444443</v>
      </c>
      <c r="G1466" s="268">
        <f>VLOOKUP(B1466,BDD[],6,0)</f>
        <v>44079</v>
      </c>
      <c r="H1466" s="139">
        <f ca="1">VLOOKUP(B1466,BDD[],7,0)</f>
        <v>1</v>
      </c>
      <c r="I1466" s="139">
        <f ca="1">VLOOKUP(B1466,BDD[],22,0)</f>
        <v>5</v>
      </c>
      <c r="J1466" s="168">
        <v>15</v>
      </c>
      <c r="K1466" s="139">
        <f>Tabla1[[#This Row],[DIAS LAB]]*Tabla1[[#This Row],[SUE DIA]]</f>
        <v>3975</v>
      </c>
      <c r="L1466" s="168">
        <v>0</v>
      </c>
      <c r="M1466" s="198">
        <f>Tabla1[[#This Row],[HRS EXT]]*Tabla1[[#This Row],[SUE X HR]]</f>
        <v>0</v>
      </c>
      <c r="N1466" s="168">
        <v>0</v>
      </c>
      <c r="O1466" s="198">
        <f>Tabla1[[#This Row],[ASUETO]]*Tabla1[[#This Row],[SUE DIA]]</f>
        <v>0</v>
      </c>
      <c r="P1466" s="139">
        <f>IF(Tabla1[[#This Row],[FECHA ING]]&lt;$P$1007,365,_xlfn.DAYS($P$1008,Tabla1[[#This Row],[FECHA ING]])+1)</f>
        <v>365</v>
      </c>
      <c r="Q1466" s="198">
        <f>INT(30*(Tabla1[[#This Row],[FECHAS CONTB AGNLDO]]/365))</f>
        <v>30</v>
      </c>
      <c r="R1466" s="244">
        <f ca="1">IF($W$32=$W$26,Tabla1[[#This Row],[SUE DIA]]*Tabla1[[#This Row],[DIAS PAG AGNLDO]],0)</f>
        <v>0</v>
      </c>
      <c r="S1466" s="244">
        <f ca="1">(_xlfn.DAYS(TODAY(),Tabla1[[#This Row],[FECHA ING]])/365)</f>
        <v>1.8657534246575342</v>
      </c>
      <c r="T1466" s="244">
        <f ca="1">IF(Tabla1[[#This Row],[DIAS VAC]]&gt;1,Tabla1[[#This Row],[DIAS VAC]]-Tabla1[[#This Row],[ANTIG]],Tabla1[[#This Row],[DIAS VAC]])</f>
        <v>0.86575342465753424</v>
      </c>
      <c r="U1466" s="244">
        <f ca="1">Tabla1[[#This Row],[VALID ANTIG]]*Tabla1[[#This Row],[SUE DIA]]*Tabla1[[#This Row],[DIAS VAC PAG]]</f>
        <v>1147.1232876712329</v>
      </c>
    </row>
    <row r="1467" spans="2:21" hidden="1" x14ac:dyDescent="0.25">
      <c r="B1467" s="243">
        <v>675</v>
      </c>
      <c r="C1467" s="140" t="str">
        <f>VLOOKUP(B1467,BDD[],2,0)</f>
        <v>Paola Alejandra Alvarado Guerrero</v>
      </c>
      <c r="D1467" s="140">
        <f>VLOOKUP(B1467,BDD[],3,0)</f>
        <v>9450</v>
      </c>
      <c r="E1467" s="140">
        <f>VLOOKUP(B1467,BDD[],4,0)</f>
        <v>315</v>
      </c>
      <c r="F1467" s="142">
        <f>VLOOKUP(B1467,BDD[],26,0)</f>
        <v>35</v>
      </c>
      <c r="G1467" s="268">
        <f>VLOOKUP(B1467,BDD[],6,0)</f>
        <v>44081</v>
      </c>
      <c r="H1467" s="139">
        <f ca="1">VLOOKUP(B1467,BDD[],7,0)</f>
        <v>1</v>
      </c>
      <c r="I1467" s="139">
        <f ca="1">VLOOKUP(B1467,BDD[],22,0)</f>
        <v>5</v>
      </c>
      <c r="J1467" s="168">
        <v>15</v>
      </c>
      <c r="K1467" s="139">
        <f>Tabla1[[#This Row],[DIAS LAB]]*Tabla1[[#This Row],[SUE DIA]]</f>
        <v>4725</v>
      </c>
      <c r="L1467" s="168">
        <v>0</v>
      </c>
      <c r="M1467" s="198">
        <f>Tabla1[[#This Row],[HRS EXT]]*Tabla1[[#This Row],[SUE X HR]]</f>
        <v>0</v>
      </c>
      <c r="N1467" s="168">
        <v>0</v>
      </c>
      <c r="O1467" s="198">
        <f>Tabla1[[#This Row],[ASUETO]]*Tabla1[[#This Row],[SUE DIA]]</f>
        <v>0</v>
      </c>
      <c r="P1467" s="139">
        <f>IF(Tabla1[[#This Row],[FECHA ING]]&lt;$P$1007,365,_xlfn.DAYS($P$1008,Tabla1[[#This Row],[FECHA ING]])+1)</f>
        <v>365</v>
      </c>
      <c r="Q1467" s="198">
        <f>INT(30*(Tabla1[[#This Row],[FECHAS CONTB AGNLDO]]/365))</f>
        <v>30</v>
      </c>
      <c r="R1467" s="244">
        <f ca="1">IF($W$32=$W$26,Tabla1[[#This Row],[SUE DIA]]*Tabla1[[#This Row],[DIAS PAG AGNLDO]],0)</f>
        <v>0</v>
      </c>
      <c r="S1467" s="244">
        <f ca="1">(_xlfn.DAYS(TODAY(),Tabla1[[#This Row],[FECHA ING]])/365)</f>
        <v>1.8602739726027397</v>
      </c>
      <c r="T1467" s="244">
        <f ca="1">IF(Tabla1[[#This Row],[DIAS VAC]]&gt;1,Tabla1[[#This Row],[DIAS VAC]]-Tabla1[[#This Row],[ANTIG]],Tabla1[[#This Row],[DIAS VAC]])</f>
        <v>0.86027397260273974</v>
      </c>
      <c r="U1467" s="244">
        <f ca="1">Tabla1[[#This Row],[VALID ANTIG]]*Tabla1[[#This Row],[SUE DIA]]*Tabla1[[#This Row],[DIAS VAC PAG]]</f>
        <v>1354.9315068493152</v>
      </c>
    </row>
    <row r="1468" spans="2:21" hidden="1" x14ac:dyDescent="0.25">
      <c r="B1468" s="243">
        <v>677</v>
      </c>
      <c r="C1468" s="140" t="str">
        <f>VLOOKUP(B1468,BDD[],2,0)</f>
        <v>Francisco Lopez Adame</v>
      </c>
      <c r="D1468" s="140">
        <f>VLOOKUP(B1468,BDD[],3,0)</f>
        <v>6778</v>
      </c>
      <c r="E1468" s="140">
        <f>VLOOKUP(B1468,BDD[],4,0)</f>
        <v>225.93333333333334</v>
      </c>
      <c r="F1468" s="142">
        <f>VLOOKUP(B1468,BDD[],26,0)</f>
        <v>25.103703703703705</v>
      </c>
      <c r="G1468" s="268">
        <f>VLOOKUP(B1468,BDD[],6,0)</f>
        <v>44084</v>
      </c>
      <c r="H1468" s="139">
        <f ca="1">VLOOKUP(B1468,BDD[],7,0)</f>
        <v>1</v>
      </c>
      <c r="I1468" s="139">
        <f ca="1">VLOOKUP(B1468,BDD[],22,0)</f>
        <v>2.5</v>
      </c>
      <c r="J1468" s="168">
        <v>15</v>
      </c>
      <c r="K1468" s="139">
        <f>Tabla1[[#This Row],[DIAS LAB]]*Tabla1[[#This Row],[SUE DIA]]</f>
        <v>3389</v>
      </c>
      <c r="L1468" s="168">
        <v>0</v>
      </c>
      <c r="M1468" s="198">
        <f>Tabla1[[#This Row],[HRS EXT]]*Tabla1[[#This Row],[SUE X HR]]</f>
        <v>0</v>
      </c>
      <c r="N1468" s="168">
        <v>0</v>
      </c>
      <c r="O1468" s="198">
        <f>Tabla1[[#This Row],[ASUETO]]*Tabla1[[#This Row],[SUE DIA]]</f>
        <v>0</v>
      </c>
      <c r="P1468" s="139">
        <f>IF(Tabla1[[#This Row],[FECHA ING]]&lt;$P$1007,365,_xlfn.DAYS($P$1008,Tabla1[[#This Row],[FECHA ING]])+1)</f>
        <v>365</v>
      </c>
      <c r="Q1468" s="198">
        <f>INT(30*(Tabla1[[#This Row],[FECHAS CONTB AGNLDO]]/365))</f>
        <v>30</v>
      </c>
      <c r="R1468" s="244">
        <f ca="1">IF($W$32=$W$26,Tabla1[[#This Row],[SUE DIA]]*Tabla1[[#This Row],[DIAS PAG AGNLDO]],0)</f>
        <v>0</v>
      </c>
      <c r="S1468" s="244">
        <f ca="1">(_xlfn.DAYS(TODAY(),Tabla1[[#This Row],[FECHA ING]])/365)</f>
        <v>1.8520547945205479</v>
      </c>
      <c r="T1468" s="244">
        <f ca="1">IF(Tabla1[[#This Row],[DIAS VAC]]&gt;1,Tabla1[[#This Row],[DIAS VAC]]-Tabla1[[#This Row],[ANTIG]],Tabla1[[#This Row],[DIAS VAC]])</f>
        <v>0.85205479452054789</v>
      </c>
      <c r="U1468" s="244">
        <f ca="1">Tabla1[[#This Row],[VALID ANTIG]]*Tabla1[[#This Row],[SUE DIA]]*Tabla1[[#This Row],[DIAS VAC PAG]]</f>
        <v>481.26894977168945</v>
      </c>
    </row>
    <row r="1469" spans="2:21" hidden="1" x14ac:dyDescent="0.25">
      <c r="B1469" s="243">
        <v>678</v>
      </c>
      <c r="C1469" s="140" t="str">
        <f>VLOOKUP(B1469,BDD[],2,0)</f>
        <v>Eduardo Isai Longoria Hernández</v>
      </c>
      <c r="D1469" s="140">
        <f>VLOOKUP(B1469,BDD[],3,0)</f>
        <v>7445</v>
      </c>
      <c r="E1469" s="140">
        <f>VLOOKUP(B1469,BDD[],4,0)</f>
        <v>248.16666666666666</v>
      </c>
      <c r="F1469" s="142">
        <f>VLOOKUP(B1469,BDD[],26,0)</f>
        <v>27.574074074074073</v>
      </c>
      <c r="G1469" s="268">
        <f>VLOOKUP(B1469,BDD[],6,0)</f>
        <v>44086</v>
      </c>
      <c r="H1469" s="139">
        <f ca="1">VLOOKUP(B1469,BDD[],7,0)</f>
        <v>1</v>
      </c>
      <c r="I1469" s="139">
        <f ca="1">VLOOKUP(B1469,BDD[],22,0)</f>
        <v>5</v>
      </c>
      <c r="J1469" s="168">
        <v>15</v>
      </c>
      <c r="K1469" s="139">
        <f>Tabla1[[#This Row],[DIAS LAB]]*Tabla1[[#This Row],[SUE DIA]]</f>
        <v>3722.5</v>
      </c>
      <c r="L1469" s="168">
        <v>0</v>
      </c>
      <c r="M1469" s="198">
        <f>Tabla1[[#This Row],[HRS EXT]]*Tabla1[[#This Row],[SUE X HR]]</f>
        <v>0</v>
      </c>
      <c r="N1469" s="168">
        <v>0</v>
      </c>
      <c r="O1469" s="198">
        <f>Tabla1[[#This Row],[ASUETO]]*Tabla1[[#This Row],[SUE DIA]]</f>
        <v>0</v>
      </c>
      <c r="P1469" s="139">
        <f>IF(Tabla1[[#This Row],[FECHA ING]]&lt;$P$1007,365,_xlfn.DAYS($P$1008,Tabla1[[#This Row],[FECHA ING]])+1)</f>
        <v>365</v>
      </c>
      <c r="Q1469" s="198">
        <f>INT(30*(Tabla1[[#This Row],[FECHAS CONTB AGNLDO]]/365))</f>
        <v>30</v>
      </c>
      <c r="R1469" s="244">
        <f ca="1">IF($W$32=$W$26,Tabla1[[#This Row],[SUE DIA]]*Tabla1[[#This Row],[DIAS PAG AGNLDO]],0)</f>
        <v>0</v>
      </c>
      <c r="S1469" s="244">
        <f ca="1">(_xlfn.DAYS(TODAY(),Tabla1[[#This Row],[FECHA ING]])/365)</f>
        <v>1.8465753424657534</v>
      </c>
      <c r="T1469" s="244">
        <f ca="1">IF(Tabla1[[#This Row],[DIAS VAC]]&gt;1,Tabla1[[#This Row],[DIAS VAC]]-Tabla1[[#This Row],[ANTIG]],Tabla1[[#This Row],[DIAS VAC]])</f>
        <v>0.84657534246575339</v>
      </c>
      <c r="U1469" s="244">
        <f ca="1">Tabla1[[#This Row],[VALID ANTIG]]*Tabla1[[#This Row],[SUE DIA]]*Tabla1[[#This Row],[DIAS VAC PAG]]</f>
        <v>1050.458904109589</v>
      </c>
    </row>
    <row r="1470" spans="2:21" hidden="1" x14ac:dyDescent="0.25">
      <c r="B1470" s="243">
        <v>679</v>
      </c>
      <c r="C1470" s="140" t="str">
        <f>VLOOKUP(B1470,BDD[],2,0)</f>
        <v>Edson Ricardo Rivera Luna</v>
      </c>
      <c r="D1470" s="140">
        <f>VLOOKUP(B1470,BDD[],3,0)</f>
        <v>7950</v>
      </c>
      <c r="E1470" s="140">
        <f>VLOOKUP(B1470,BDD[],4,0)</f>
        <v>265</v>
      </c>
      <c r="F1470" s="142">
        <f>VLOOKUP(B1470,BDD[],26,0)</f>
        <v>29.444444444444443</v>
      </c>
      <c r="G1470" s="268">
        <f>VLOOKUP(B1470,BDD[],6,0)</f>
        <v>44089</v>
      </c>
      <c r="H1470" s="139">
        <f ca="1">VLOOKUP(B1470,BDD[],7,0)</f>
        <v>1</v>
      </c>
      <c r="I1470" s="139">
        <f ca="1">VLOOKUP(B1470,BDD[],22,0)</f>
        <v>5</v>
      </c>
      <c r="J1470" s="168">
        <v>15</v>
      </c>
      <c r="K1470" s="139">
        <f>Tabla1[[#This Row],[DIAS LAB]]*Tabla1[[#This Row],[SUE DIA]]</f>
        <v>3975</v>
      </c>
      <c r="L1470" s="168">
        <v>0</v>
      </c>
      <c r="M1470" s="198">
        <f>Tabla1[[#This Row],[HRS EXT]]*Tabla1[[#This Row],[SUE X HR]]</f>
        <v>0</v>
      </c>
      <c r="N1470" s="168">
        <v>0</v>
      </c>
      <c r="O1470" s="198">
        <f>Tabla1[[#This Row],[ASUETO]]*Tabla1[[#This Row],[SUE DIA]]</f>
        <v>0</v>
      </c>
      <c r="P1470" s="139">
        <f>IF(Tabla1[[#This Row],[FECHA ING]]&lt;$P$1007,365,_xlfn.DAYS($P$1008,Tabla1[[#This Row],[FECHA ING]])+1)</f>
        <v>365</v>
      </c>
      <c r="Q1470" s="198">
        <f>INT(30*(Tabla1[[#This Row],[FECHAS CONTB AGNLDO]]/365))</f>
        <v>30</v>
      </c>
      <c r="R1470" s="244">
        <f ca="1">IF($W$32=$W$26,Tabla1[[#This Row],[SUE DIA]]*Tabla1[[#This Row],[DIAS PAG AGNLDO]],0)</f>
        <v>0</v>
      </c>
      <c r="S1470" s="244">
        <f ca="1">(_xlfn.DAYS(TODAY(),Tabla1[[#This Row],[FECHA ING]])/365)</f>
        <v>1.8383561643835618</v>
      </c>
      <c r="T1470" s="244">
        <f ca="1">IF(Tabla1[[#This Row],[DIAS VAC]]&gt;1,Tabla1[[#This Row],[DIAS VAC]]-Tabla1[[#This Row],[ANTIG]],Tabla1[[#This Row],[DIAS VAC]])</f>
        <v>0.83835616438356175</v>
      </c>
      <c r="U1470" s="244">
        <f ca="1">Tabla1[[#This Row],[VALID ANTIG]]*Tabla1[[#This Row],[SUE DIA]]*Tabla1[[#This Row],[DIAS VAC PAG]]</f>
        <v>1110.8219178082193</v>
      </c>
    </row>
    <row r="1471" spans="2:21" hidden="1" x14ac:dyDescent="0.25">
      <c r="B1471" s="243">
        <v>680</v>
      </c>
      <c r="C1471" s="140" t="str">
        <f>VLOOKUP(B1471,BDD[],2,0)</f>
        <v>Aide Ortega Anell</v>
      </c>
      <c r="D1471" s="140">
        <f>VLOOKUP(B1471,BDD[],3,0)</f>
        <v>7445</v>
      </c>
      <c r="E1471" s="140">
        <f>VLOOKUP(B1471,BDD[],4,0)</f>
        <v>248.16666666666666</v>
      </c>
      <c r="F1471" s="142">
        <f>VLOOKUP(B1471,BDD[],26,0)</f>
        <v>27.574074074074073</v>
      </c>
      <c r="G1471" s="268">
        <f>VLOOKUP(B1471,BDD[],6,0)</f>
        <v>44147</v>
      </c>
      <c r="H1471" s="139">
        <f ca="1">VLOOKUP(B1471,BDD[],7,0)</f>
        <v>1</v>
      </c>
      <c r="I1471" s="139">
        <f ca="1">VLOOKUP(B1471,BDD[],22,0)</f>
        <v>5</v>
      </c>
      <c r="J1471" s="168">
        <v>15</v>
      </c>
      <c r="K1471" s="139">
        <f>Tabla1[[#This Row],[DIAS LAB]]*Tabla1[[#This Row],[SUE DIA]]</f>
        <v>3722.5</v>
      </c>
      <c r="L1471" s="168">
        <v>0</v>
      </c>
      <c r="M1471" s="198">
        <f>Tabla1[[#This Row],[HRS EXT]]*Tabla1[[#This Row],[SUE X HR]]</f>
        <v>0</v>
      </c>
      <c r="N1471" s="168">
        <v>0</v>
      </c>
      <c r="O1471" s="198">
        <f>Tabla1[[#This Row],[ASUETO]]*Tabla1[[#This Row],[SUE DIA]]</f>
        <v>0</v>
      </c>
      <c r="P1471" s="139">
        <f>IF(Tabla1[[#This Row],[FECHA ING]]&lt;$P$1007,365,_xlfn.DAYS($P$1008,Tabla1[[#This Row],[FECHA ING]])+1)</f>
        <v>365</v>
      </c>
      <c r="Q1471" s="198">
        <f>INT(30*(Tabla1[[#This Row],[FECHAS CONTB AGNLDO]]/365))</f>
        <v>30</v>
      </c>
      <c r="R1471" s="244">
        <f ca="1">IF($W$32=$W$26,Tabla1[[#This Row],[SUE DIA]]*Tabla1[[#This Row],[DIAS PAG AGNLDO]],0)</f>
        <v>0</v>
      </c>
      <c r="S1471" s="244">
        <f ca="1">(_xlfn.DAYS(TODAY(),Tabla1[[#This Row],[FECHA ING]])/365)</f>
        <v>1.6794520547945206</v>
      </c>
      <c r="T1471" s="244">
        <f ca="1">IF(Tabla1[[#This Row],[DIAS VAC]]&gt;1,Tabla1[[#This Row],[DIAS VAC]]-Tabla1[[#This Row],[ANTIG]],Tabla1[[#This Row],[DIAS VAC]])</f>
        <v>0.67945205479452064</v>
      </c>
      <c r="U1471" s="244">
        <f ca="1">Tabla1[[#This Row],[VALID ANTIG]]*Tabla1[[#This Row],[SUE DIA]]*Tabla1[[#This Row],[DIAS VAC PAG]]</f>
        <v>843.08675799086768</v>
      </c>
    </row>
    <row r="1472" spans="2:21" hidden="1" x14ac:dyDescent="0.25">
      <c r="B1472" s="243">
        <v>682</v>
      </c>
      <c r="C1472" s="140" t="str">
        <f>VLOOKUP(B1472,BDD[],2,0)</f>
        <v>Cecilia Tamara Farías Flores</v>
      </c>
      <c r="D1472" s="140">
        <f>VLOOKUP(B1472,BDD[],3,0)</f>
        <v>9450</v>
      </c>
      <c r="E1472" s="140">
        <f>VLOOKUP(B1472,BDD[],4,0)</f>
        <v>315</v>
      </c>
      <c r="F1472" s="142">
        <f>VLOOKUP(B1472,BDD[],26,0)</f>
        <v>35</v>
      </c>
      <c r="G1472" s="268">
        <f>VLOOKUP(B1472,BDD[],6,0)</f>
        <v>44160</v>
      </c>
      <c r="H1472" s="139">
        <f ca="1">VLOOKUP(B1472,BDD[],7,0)</f>
        <v>1</v>
      </c>
      <c r="I1472" s="139">
        <f ca="1">VLOOKUP(B1472,BDD[],22,0)</f>
        <v>5</v>
      </c>
      <c r="J1472" s="168">
        <v>15</v>
      </c>
      <c r="K1472" s="139">
        <f>Tabla1[[#This Row],[DIAS LAB]]*Tabla1[[#This Row],[SUE DIA]]</f>
        <v>4725</v>
      </c>
      <c r="L1472" s="168">
        <v>0</v>
      </c>
      <c r="M1472" s="198">
        <f>Tabla1[[#This Row],[HRS EXT]]*Tabla1[[#This Row],[SUE X HR]]</f>
        <v>0</v>
      </c>
      <c r="N1472" s="168">
        <v>0</v>
      </c>
      <c r="O1472" s="198">
        <f>Tabla1[[#This Row],[ASUETO]]*Tabla1[[#This Row],[SUE DIA]]</f>
        <v>0</v>
      </c>
      <c r="P1472" s="139">
        <f>IF(Tabla1[[#This Row],[FECHA ING]]&lt;$P$1007,365,_xlfn.DAYS($P$1008,Tabla1[[#This Row],[FECHA ING]])+1)</f>
        <v>365</v>
      </c>
      <c r="Q1472" s="198">
        <f>INT(30*(Tabla1[[#This Row],[FECHAS CONTB AGNLDO]]/365))</f>
        <v>30</v>
      </c>
      <c r="R1472" s="244">
        <f ca="1">IF($W$32=$W$26,Tabla1[[#This Row],[SUE DIA]]*Tabla1[[#This Row],[DIAS PAG AGNLDO]],0)</f>
        <v>0</v>
      </c>
      <c r="S1472" s="244">
        <f ca="1">(_xlfn.DAYS(TODAY(),Tabla1[[#This Row],[FECHA ING]])/365)</f>
        <v>1.6438356164383561</v>
      </c>
      <c r="T1472" s="244">
        <f ca="1">IF(Tabla1[[#This Row],[DIAS VAC]]&gt;1,Tabla1[[#This Row],[DIAS VAC]]-Tabla1[[#This Row],[ANTIG]],Tabla1[[#This Row],[DIAS VAC]])</f>
        <v>0.64383561643835607</v>
      </c>
      <c r="U1472" s="244">
        <f ca="1">Tabla1[[#This Row],[VALID ANTIG]]*Tabla1[[#This Row],[SUE DIA]]*Tabla1[[#This Row],[DIAS VAC PAG]]</f>
        <v>1014.0410958904108</v>
      </c>
    </row>
    <row r="1473" spans="2:21" hidden="1" x14ac:dyDescent="0.25">
      <c r="B1473" s="243">
        <v>683</v>
      </c>
      <c r="C1473" s="140" t="str">
        <f>VLOOKUP(B1473,BDD[],2,0)</f>
        <v>Jair De Jesús Frausto González</v>
      </c>
      <c r="D1473" s="140">
        <f>VLOOKUP(B1473,BDD[],3,0)</f>
        <v>7950</v>
      </c>
      <c r="E1473" s="140">
        <f>VLOOKUP(B1473,BDD[],4,0)</f>
        <v>265</v>
      </c>
      <c r="F1473" s="142">
        <f>VLOOKUP(B1473,BDD[],26,0)</f>
        <v>29.444444444444443</v>
      </c>
      <c r="G1473" s="268">
        <f>VLOOKUP(B1473,BDD[],6,0)</f>
        <v>44161</v>
      </c>
      <c r="H1473" s="139">
        <f ca="1">VLOOKUP(B1473,BDD[],7,0)</f>
        <v>1</v>
      </c>
      <c r="I1473" s="139">
        <f ca="1">VLOOKUP(B1473,BDD[],22,0)</f>
        <v>5</v>
      </c>
      <c r="J1473" s="168">
        <v>15</v>
      </c>
      <c r="K1473" s="139">
        <f>Tabla1[[#This Row],[DIAS LAB]]*Tabla1[[#This Row],[SUE DIA]]</f>
        <v>3975</v>
      </c>
      <c r="L1473" s="168">
        <v>0</v>
      </c>
      <c r="M1473" s="198">
        <f>Tabla1[[#This Row],[HRS EXT]]*Tabla1[[#This Row],[SUE X HR]]</f>
        <v>0</v>
      </c>
      <c r="N1473" s="168">
        <v>0</v>
      </c>
      <c r="O1473" s="198">
        <f>Tabla1[[#This Row],[ASUETO]]*Tabla1[[#This Row],[SUE DIA]]</f>
        <v>0</v>
      </c>
      <c r="P1473" s="139">
        <f>IF(Tabla1[[#This Row],[FECHA ING]]&lt;$P$1007,365,_xlfn.DAYS($P$1008,Tabla1[[#This Row],[FECHA ING]])+1)</f>
        <v>365</v>
      </c>
      <c r="Q1473" s="198">
        <f>INT(30*(Tabla1[[#This Row],[FECHAS CONTB AGNLDO]]/365))</f>
        <v>30</v>
      </c>
      <c r="R1473" s="244">
        <f ca="1">IF($W$32=$W$26,Tabla1[[#This Row],[SUE DIA]]*Tabla1[[#This Row],[DIAS PAG AGNLDO]],0)</f>
        <v>0</v>
      </c>
      <c r="S1473" s="244">
        <f ca="1">(_xlfn.DAYS(TODAY(),Tabla1[[#This Row],[FECHA ING]])/365)</f>
        <v>1.6410958904109589</v>
      </c>
      <c r="T1473" s="244">
        <f ca="1">IF(Tabla1[[#This Row],[DIAS VAC]]&gt;1,Tabla1[[#This Row],[DIAS VAC]]-Tabla1[[#This Row],[ANTIG]],Tabla1[[#This Row],[DIAS VAC]])</f>
        <v>0.64109589041095894</v>
      </c>
      <c r="U1473" s="244">
        <f ca="1">Tabla1[[#This Row],[VALID ANTIG]]*Tabla1[[#This Row],[SUE DIA]]*Tabla1[[#This Row],[DIAS VAC PAG]]</f>
        <v>849.45205479452056</v>
      </c>
    </row>
    <row r="1474" spans="2:21" hidden="1" x14ac:dyDescent="0.25">
      <c r="B1474" s="243">
        <v>684</v>
      </c>
      <c r="C1474" s="140" t="str">
        <f>VLOOKUP(B1474,BDD[],2,0)</f>
        <v>Mayra Dolores Hernandez García</v>
      </c>
      <c r="D1474" s="140">
        <f>VLOOKUP(B1474,BDD[],3,0)</f>
        <v>8825</v>
      </c>
      <c r="E1474" s="140">
        <f>VLOOKUP(B1474,BDD[],4,0)</f>
        <v>294.16666666666669</v>
      </c>
      <c r="F1474" s="142">
        <f>VLOOKUP(B1474,BDD[],26,0)</f>
        <v>32.68518518518519</v>
      </c>
      <c r="G1474" s="268">
        <f>VLOOKUP(B1474,BDD[],6,0)</f>
        <v>44165</v>
      </c>
      <c r="H1474" s="139">
        <f ca="1">VLOOKUP(B1474,BDD[],7,0)</f>
        <v>1</v>
      </c>
      <c r="I1474" s="139">
        <f ca="1">VLOOKUP(B1474,BDD[],22,0)</f>
        <v>5</v>
      </c>
      <c r="J1474" s="168">
        <v>15</v>
      </c>
      <c r="K1474" s="139">
        <f>Tabla1[[#This Row],[DIAS LAB]]*Tabla1[[#This Row],[SUE DIA]]</f>
        <v>4412.5</v>
      </c>
      <c r="L1474" s="168">
        <v>0</v>
      </c>
      <c r="M1474" s="198">
        <f>Tabla1[[#This Row],[HRS EXT]]*Tabla1[[#This Row],[SUE X HR]]</f>
        <v>0</v>
      </c>
      <c r="N1474" s="168">
        <v>0</v>
      </c>
      <c r="O1474" s="198">
        <f>Tabla1[[#This Row],[ASUETO]]*Tabla1[[#This Row],[SUE DIA]]</f>
        <v>0</v>
      </c>
      <c r="P1474" s="139">
        <f>IF(Tabla1[[#This Row],[FECHA ING]]&lt;$P$1007,365,_xlfn.DAYS($P$1008,Tabla1[[#This Row],[FECHA ING]])+1)</f>
        <v>365</v>
      </c>
      <c r="Q1474" s="198">
        <f>INT(30*(Tabla1[[#This Row],[FECHAS CONTB AGNLDO]]/365))</f>
        <v>30</v>
      </c>
      <c r="R1474" s="244">
        <f ca="1">IF($W$32=$W$26,Tabla1[[#This Row],[SUE DIA]]*Tabla1[[#This Row],[DIAS PAG AGNLDO]],0)</f>
        <v>0</v>
      </c>
      <c r="S1474" s="244">
        <f ca="1">(_xlfn.DAYS(TODAY(),Tabla1[[#This Row],[FECHA ING]])/365)</f>
        <v>1.6301369863013699</v>
      </c>
      <c r="T1474" s="244">
        <f ca="1">IF(Tabla1[[#This Row],[DIAS VAC]]&gt;1,Tabla1[[#This Row],[DIAS VAC]]-Tabla1[[#This Row],[ANTIG]],Tabla1[[#This Row],[DIAS VAC]])</f>
        <v>0.63013698630136994</v>
      </c>
      <c r="U1474" s="244">
        <f ca="1">Tabla1[[#This Row],[VALID ANTIG]]*Tabla1[[#This Row],[SUE DIA]]*Tabla1[[#This Row],[DIAS VAC PAG]]</f>
        <v>926.82648401826498</v>
      </c>
    </row>
    <row r="1475" spans="2:21" hidden="1" x14ac:dyDescent="0.25">
      <c r="B1475" s="243">
        <v>688</v>
      </c>
      <c r="C1475" s="140" t="str">
        <f>VLOOKUP(B1475,BDD[],2,0)</f>
        <v>Rafael Lopez Lopez</v>
      </c>
      <c r="D1475" s="140">
        <f>VLOOKUP(B1475,BDD[],3,0)</f>
        <v>10350</v>
      </c>
      <c r="E1475" s="140">
        <f>VLOOKUP(B1475,BDD[],4,0)</f>
        <v>345</v>
      </c>
      <c r="F1475" s="142">
        <f>VLOOKUP(B1475,BDD[],26,0)</f>
        <v>38.333333333333336</v>
      </c>
      <c r="G1475" s="268">
        <f>VLOOKUP(B1475,BDD[],6,0)</f>
        <v>44166</v>
      </c>
      <c r="H1475" s="139">
        <f ca="1">VLOOKUP(B1475,BDD[],7,0)</f>
        <v>1</v>
      </c>
      <c r="I1475" s="139">
        <f ca="1">VLOOKUP(B1475,BDD[],22,0)</f>
        <v>5</v>
      </c>
      <c r="J1475" s="168">
        <v>15</v>
      </c>
      <c r="K1475" s="139">
        <f>Tabla1[[#This Row],[DIAS LAB]]*Tabla1[[#This Row],[SUE DIA]]</f>
        <v>5175</v>
      </c>
      <c r="L1475" s="168">
        <v>0</v>
      </c>
      <c r="M1475" s="198">
        <f>Tabla1[[#This Row],[HRS EXT]]*Tabla1[[#This Row],[SUE X HR]]</f>
        <v>0</v>
      </c>
      <c r="N1475" s="168">
        <v>0</v>
      </c>
      <c r="O1475" s="198">
        <f>Tabla1[[#This Row],[ASUETO]]*Tabla1[[#This Row],[SUE DIA]]</f>
        <v>0</v>
      </c>
      <c r="P1475" s="139">
        <f>IF(Tabla1[[#This Row],[FECHA ING]]&lt;$P$1007,365,_xlfn.DAYS($P$1008,Tabla1[[#This Row],[FECHA ING]])+1)</f>
        <v>365</v>
      </c>
      <c r="Q1475" s="198">
        <f>INT(30*(Tabla1[[#This Row],[FECHAS CONTB AGNLDO]]/365))</f>
        <v>30</v>
      </c>
      <c r="R1475" s="244">
        <f ca="1">IF($W$32=$W$26,Tabla1[[#This Row],[SUE DIA]]*Tabla1[[#This Row],[DIAS PAG AGNLDO]],0)</f>
        <v>0</v>
      </c>
      <c r="S1475" s="244">
        <f ca="1">(_xlfn.DAYS(TODAY(),Tabla1[[#This Row],[FECHA ING]])/365)</f>
        <v>1.6273972602739726</v>
      </c>
      <c r="T1475" s="244">
        <f ca="1">IF(Tabla1[[#This Row],[DIAS VAC]]&gt;1,Tabla1[[#This Row],[DIAS VAC]]-Tabla1[[#This Row],[ANTIG]],Tabla1[[#This Row],[DIAS VAC]])</f>
        <v>0.62739726027397258</v>
      </c>
      <c r="U1475" s="244">
        <f ca="1">Tabla1[[#This Row],[VALID ANTIG]]*Tabla1[[#This Row],[SUE DIA]]*Tabla1[[#This Row],[DIAS VAC PAG]]</f>
        <v>1082.2602739726026</v>
      </c>
    </row>
    <row r="1476" spans="2:21" hidden="1" x14ac:dyDescent="0.25">
      <c r="B1476" s="243">
        <v>689</v>
      </c>
      <c r="C1476" s="140" t="str">
        <f>VLOOKUP(B1476,BDD[],2,0)</f>
        <v>Alfredo Perez Lopez</v>
      </c>
      <c r="D1476" s="140">
        <f>VLOOKUP(B1476,BDD[],3,0)</f>
        <v>6778</v>
      </c>
      <c r="E1476" s="140">
        <f>VLOOKUP(B1476,BDD[],4,0)</f>
        <v>225.93333333333334</v>
      </c>
      <c r="F1476" s="142">
        <f>VLOOKUP(B1476,BDD[],26,0)</f>
        <v>25.103703703703705</v>
      </c>
      <c r="G1476" s="268">
        <f>VLOOKUP(B1476,BDD[],6,0)</f>
        <v>44171</v>
      </c>
      <c r="H1476" s="139">
        <f ca="1">VLOOKUP(B1476,BDD[],7,0)</f>
        <v>1</v>
      </c>
      <c r="I1476" s="139">
        <f ca="1">VLOOKUP(B1476,BDD[],22,0)</f>
        <v>2.5</v>
      </c>
      <c r="J1476" s="168">
        <v>15</v>
      </c>
      <c r="K1476" s="139">
        <f>Tabla1[[#This Row],[DIAS LAB]]*Tabla1[[#This Row],[SUE DIA]]</f>
        <v>3389</v>
      </c>
      <c r="L1476" s="168">
        <v>0</v>
      </c>
      <c r="M1476" s="198">
        <f>Tabla1[[#This Row],[HRS EXT]]*Tabla1[[#This Row],[SUE X HR]]</f>
        <v>0</v>
      </c>
      <c r="N1476" s="168">
        <v>0</v>
      </c>
      <c r="O1476" s="198">
        <f>Tabla1[[#This Row],[ASUETO]]*Tabla1[[#This Row],[SUE DIA]]</f>
        <v>0</v>
      </c>
      <c r="P1476" s="139">
        <f>IF(Tabla1[[#This Row],[FECHA ING]]&lt;$P$1007,365,_xlfn.DAYS($P$1008,Tabla1[[#This Row],[FECHA ING]])+1)</f>
        <v>365</v>
      </c>
      <c r="Q1476" s="198">
        <f>INT(30*(Tabla1[[#This Row],[FECHAS CONTB AGNLDO]]/365))</f>
        <v>30</v>
      </c>
      <c r="R1476" s="244">
        <f ca="1">IF($W$32=$W$26,Tabla1[[#This Row],[SUE DIA]]*Tabla1[[#This Row],[DIAS PAG AGNLDO]],0)</f>
        <v>0</v>
      </c>
      <c r="S1476" s="244">
        <f ca="1">(_xlfn.DAYS(TODAY(),Tabla1[[#This Row],[FECHA ING]])/365)</f>
        <v>1.6136986301369862</v>
      </c>
      <c r="T1476" s="244">
        <f ca="1">IF(Tabla1[[#This Row],[DIAS VAC]]&gt;1,Tabla1[[#This Row],[DIAS VAC]]-Tabla1[[#This Row],[ANTIG]],Tabla1[[#This Row],[DIAS VAC]])</f>
        <v>0.61369863013698622</v>
      </c>
      <c r="U1476" s="244">
        <f ca="1">Tabla1[[#This Row],[VALID ANTIG]]*Tabla1[[#This Row],[SUE DIA]]*Tabla1[[#This Row],[DIAS VAC PAG]]</f>
        <v>346.63744292237436</v>
      </c>
    </row>
    <row r="1477" spans="2:21" hidden="1" x14ac:dyDescent="0.25">
      <c r="B1477" s="243">
        <v>690</v>
      </c>
      <c r="C1477" s="140" t="str">
        <f>VLOOKUP(B1477,BDD[],2,0)</f>
        <v>Mónica Samantha López Lara</v>
      </c>
      <c r="D1477" s="140">
        <f>VLOOKUP(B1477,BDD[],3,0)</f>
        <v>7445</v>
      </c>
      <c r="E1477" s="140">
        <f>VLOOKUP(B1477,BDD[],4,0)</f>
        <v>248.16666666666666</v>
      </c>
      <c r="F1477" s="142">
        <f>VLOOKUP(B1477,BDD[],26,0)</f>
        <v>27.574074074074073</v>
      </c>
      <c r="G1477" s="268">
        <f>VLOOKUP(B1477,BDD[],6,0)</f>
        <v>44171</v>
      </c>
      <c r="H1477" s="139">
        <f ca="1">VLOOKUP(B1477,BDD[],7,0)</f>
        <v>1</v>
      </c>
      <c r="I1477" s="139">
        <f ca="1">VLOOKUP(B1477,BDD[],22,0)</f>
        <v>5</v>
      </c>
      <c r="J1477" s="168">
        <v>15</v>
      </c>
      <c r="K1477" s="139">
        <f>Tabla1[[#This Row],[DIAS LAB]]*Tabla1[[#This Row],[SUE DIA]]</f>
        <v>3722.5</v>
      </c>
      <c r="L1477" s="168">
        <v>0</v>
      </c>
      <c r="M1477" s="198">
        <f>Tabla1[[#This Row],[HRS EXT]]*Tabla1[[#This Row],[SUE X HR]]</f>
        <v>0</v>
      </c>
      <c r="N1477" s="168">
        <v>0</v>
      </c>
      <c r="O1477" s="198">
        <f>Tabla1[[#This Row],[ASUETO]]*Tabla1[[#This Row],[SUE DIA]]</f>
        <v>0</v>
      </c>
      <c r="P1477" s="139">
        <f>IF(Tabla1[[#This Row],[FECHA ING]]&lt;$P$1007,365,_xlfn.DAYS($P$1008,Tabla1[[#This Row],[FECHA ING]])+1)</f>
        <v>365</v>
      </c>
      <c r="Q1477" s="198">
        <f>INT(30*(Tabla1[[#This Row],[FECHAS CONTB AGNLDO]]/365))</f>
        <v>30</v>
      </c>
      <c r="R1477" s="244">
        <f ca="1">IF($W$32=$W$26,Tabla1[[#This Row],[SUE DIA]]*Tabla1[[#This Row],[DIAS PAG AGNLDO]],0)</f>
        <v>0</v>
      </c>
      <c r="S1477" s="244">
        <f ca="1">(_xlfn.DAYS(TODAY(),Tabla1[[#This Row],[FECHA ING]])/365)</f>
        <v>1.6136986301369862</v>
      </c>
      <c r="T1477" s="244">
        <f ca="1">IF(Tabla1[[#This Row],[DIAS VAC]]&gt;1,Tabla1[[#This Row],[DIAS VAC]]-Tabla1[[#This Row],[ANTIG]],Tabla1[[#This Row],[DIAS VAC]])</f>
        <v>0.61369863013698622</v>
      </c>
      <c r="U1477" s="244">
        <f ca="1">Tabla1[[#This Row],[VALID ANTIG]]*Tabla1[[#This Row],[SUE DIA]]*Tabla1[[#This Row],[DIAS VAC PAG]]</f>
        <v>761.49771689497697</v>
      </c>
    </row>
    <row r="1478" spans="2:21" hidden="1" x14ac:dyDescent="0.25">
      <c r="B1478" s="243">
        <v>691</v>
      </c>
      <c r="C1478" s="140" t="str">
        <f>VLOOKUP(B1478,BDD[],2,0)</f>
        <v>Julio Cesar Angel Silva</v>
      </c>
      <c r="D1478" s="140">
        <f>VLOOKUP(B1478,BDD[],3,0)</f>
        <v>9450</v>
      </c>
      <c r="E1478" s="140">
        <f>VLOOKUP(B1478,BDD[],4,0)</f>
        <v>315</v>
      </c>
      <c r="F1478" s="142">
        <f>VLOOKUP(B1478,BDD[],26,0)</f>
        <v>35</v>
      </c>
      <c r="G1478" s="268">
        <f>VLOOKUP(B1478,BDD[],6,0)</f>
        <v>44171</v>
      </c>
      <c r="H1478" s="139">
        <f ca="1">VLOOKUP(B1478,BDD[],7,0)</f>
        <v>1</v>
      </c>
      <c r="I1478" s="139">
        <f ca="1">VLOOKUP(B1478,BDD[],22,0)</f>
        <v>5</v>
      </c>
      <c r="J1478" s="168">
        <v>15</v>
      </c>
      <c r="K1478" s="139">
        <f>Tabla1[[#This Row],[DIAS LAB]]*Tabla1[[#This Row],[SUE DIA]]</f>
        <v>4725</v>
      </c>
      <c r="L1478" s="168">
        <v>0</v>
      </c>
      <c r="M1478" s="198">
        <f>Tabla1[[#This Row],[HRS EXT]]*Tabla1[[#This Row],[SUE X HR]]</f>
        <v>0</v>
      </c>
      <c r="N1478" s="168">
        <v>0</v>
      </c>
      <c r="O1478" s="198">
        <f>Tabla1[[#This Row],[ASUETO]]*Tabla1[[#This Row],[SUE DIA]]</f>
        <v>0</v>
      </c>
      <c r="P1478" s="139">
        <f>IF(Tabla1[[#This Row],[FECHA ING]]&lt;$P$1007,365,_xlfn.DAYS($P$1008,Tabla1[[#This Row],[FECHA ING]])+1)</f>
        <v>365</v>
      </c>
      <c r="Q1478" s="198">
        <f>INT(30*(Tabla1[[#This Row],[FECHAS CONTB AGNLDO]]/365))</f>
        <v>30</v>
      </c>
      <c r="R1478" s="244">
        <f ca="1">IF($W$32=$W$26,Tabla1[[#This Row],[SUE DIA]]*Tabla1[[#This Row],[DIAS PAG AGNLDO]],0)</f>
        <v>0</v>
      </c>
      <c r="S1478" s="244">
        <f ca="1">(_xlfn.DAYS(TODAY(),Tabla1[[#This Row],[FECHA ING]])/365)</f>
        <v>1.6136986301369862</v>
      </c>
      <c r="T1478" s="244">
        <f ca="1">IF(Tabla1[[#This Row],[DIAS VAC]]&gt;1,Tabla1[[#This Row],[DIAS VAC]]-Tabla1[[#This Row],[ANTIG]],Tabla1[[#This Row],[DIAS VAC]])</f>
        <v>0.61369863013698622</v>
      </c>
      <c r="U1478" s="244">
        <f ca="1">Tabla1[[#This Row],[VALID ANTIG]]*Tabla1[[#This Row],[SUE DIA]]*Tabla1[[#This Row],[DIAS VAC PAG]]</f>
        <v>966.57534246575324</v>
      </c>
    </row>
    <row r="1479" spans="2:21" hidden="1" x14ac:dyDescent="0.25">
      <c r="B1479" s="243">
        <v>692</v>
      </c>
      <c r="C1479" s="140" t="str">
        <f>VLOOKUP(B1479,BDD[],2,0)</f>
        <v>Amalia Marino Valdovinos</v>
      </c>
      <c r="D1479" s="140">
        <f>VLOOKUP(B1479,BDD[],3,0)</f>
        <v>7445</v>
      </c>
      <c r="E1479" s="140">
        <f>VLOOKUP(B1479,BDD[],4,0)</f>
        <v>248.16666666666666</v>
      </c>
      <c r="F1479" s="142">
        <f>VLOOKUP(B1479,BDD[],26,0)</f>
        <v>27.574074074074073</v>
      </c>
      <c r="G1479" s="268">
        <f>VLOOKUP(B1479,BDD[],6,0)</f>
        <v>44172</v>
      </c>
      <c r="H1479" s="139">
        <f ca="1">VLOOKUP(B1479,BDD[],7,0)</f>
        <v>1</v>
      </c>
      <c r="I1479" s="139">
        <f ca="1">VLOOKUP(B1479,BDD[],22,0)</f>
        <v>5</v>
      </c>
      <c r="J1479" s="168">
        <v>15</v>
      </c>
      <c r="K1479" s="139">
        <f>Tabla1[[#This Row],[DIAS LAB]]*Tabla1[[#This Row],[SUE DIA]]</f>
        <v>3722.5</v>
      </c>
      <c r="L1479" s="168">
        <v>0</v>
      </c>
      <c r="M1479" s="198">
        <f>Tabla1[[#This Row],[HRS EXT]]*Tabla1[[#This Row],[SUE X HR]]</f>
        <v>0</v>
      </c>
      <c r="N1479" s="168">
        <v>0</v>
      </c>
      <c r="O1479" s="198">
        <f>Tabla1[[#This Row],[ASUETO]]*Tabla1[[#This Row],[SUE DIA]]</f>
        <v>0</v>
      </c>
      <c r="P1479" s="139">
        <f>IF(Tabla1[[#This Row],[FECHA ING]]&lt;$P$1007,365,_xlfn.DAYS($P$1008,Tabla1[[#This Row],[FECHA ING]])+1)</f>
        <v>365</v>
      </c>
      <c r="Q1479" s="198">
        <f>INT(30*(Tabla1[[#This Row],[FECHAS CONTB AGNLDO]]/365))</f>
        <v>30</v>
      </c>
      <c r="R1479" s="244">
        <f ca="1">IF($W$32=$W$26,Tabla1[[#This Row],[SUE DIA]]*Tabla1[[#This Row],[DIAS PAG AGNLDO]],0)</f>
        <v>0</v>
      </c>
      <c r="S1479" s="244">
        <f ca="1">(_xlfn.DAYS(TODAY(),Tabla1[[#This Row],[FECHA ING]])/365)</f>
        <v>1.6109589041095891</v>
      </c>
      <c r="T1479" s="244">
        <f ca="1">IF(Tabla1[[#This Row],[DIAS VAC]]&gt;1,Tabla1[[#This Row],[DIAS VAC]]-Tabla1[[#This Row],[ANTIG]],Tabla1[[#This Row],[DIAS VAC]])</f>
        <v>0.61095890410958908</v>
      </c>
      <c r="U1479" s="244">
        <f ca="1">Tabla1[[#This Row],[VALID ANTIG]]*Tabla1[[#This Row],[SUE DIA]]*Tabla1[[#This Row],[DIAS VAC PAG]]</f>
        <v>758.09817351598167</v>
      </c>
    </row>
    <row r="1480" spans="2:21" hidden="1" x14ac:dyDescent="0.25">
      <c r="B1480" s="243">
        <v>693</v>
      </c>
      <c r="C1480" s="140" t="str">
        <f>VLOOKUP(B1480,BDD[],2,0)</f>
        <v>María Del Carmen Luna Acosta</v>
      </c>
      <c r="D1480" s="140">
        <f>VLOOKUP(B1480,BDD[],3,0)</f>
        <v>9541</v>
      </c>
      <c r="E1480" s="140">
        <f>VLOOKUP(B1480,BDD[],4,0)</f>
        <v>318.03333333333336</v>
      </c>
      <c r="F1480" s="142">
        <f>VLOOKUP(B1480,BDD[],26,0)</f>
        <v>35.337037037037042</v>
      </c>
      <c r="G1480" s="268">
        <f>VLOOKUP(B1480,BDD[],6,0)</f>
        <v>44173</v>
      </c>
      <c r="H1480" s="139">
        <f ca="1">VLOOKUP(B1480,BDD[],7,0)</f>
        <v>1</v>
      </c>
      <c r="I1480" s="139">
        <f ca="1">VLOOKUP(B1480,BDD[],22,0)</f>
        <v>5</v>
      </c>
      <c r="J1480" s="168">
        <v>15</v>
      </c>
      <c r="K1480" s="139">
        <f>Tabla1[[#This Row],[DIAS LAB]]*Tabla1[[#This Row],[SUE DIA]]</f>
        <v>4770.5</v>
      </c>
      <c r="L1480" s="168">
        <v>0</v>
      </c>
      <c r="M1480" s="198">
        <f>Tabla1[[#This Row],[HRS EXT]]*Tabla1[[#This Row],[SUE X HR]]</f>
        <v>0</v>
      </c>
      <c r="N1480" s="168">
        <v>0</v>
      </c>
      <c r="O1480" s="198">
        <f>Tabla1[[#This Row],[ASUETO]]*Tabla1[[#This Row],[SUE DIA]]</f>
        <v>0</v>
      </c>
      <c r="P1480" s="139">
        <f>IF(Tabla1[[#This Row],[FECHA ING]]&lt;$P$1007,365,_xlfn.DAYS($P$1008,Tabla1[[#This Row],[FECHA ING]])+1)</f>
        <v>365</v>
      </c>
      <c r="Q1480" s="198">
        <f>INT(30*(Tabla1[[#This Row],[FECHAS CONTB AGNLDO]]/365))</f>
        <v>30</v>
      </c>
      <c r="R1480" s="244">
        <f ca="1">IF($W$32=$W$26,Tabla1[[#This Row],[SUE DIA]]*Tabla1[[#This Row],[DIAS PAG AGNLDO]],0)</f>
        <v>0</v>
      </c>
      <c r="S1480" s="244">
        <f ca="1">(_xlfn.DAYS(TODAY(),Tabla1[[#This Row],[FECHA ING]])/365)</f>
        <v>1.6082191780821917</v>
      </c>
      <c r="T1480" s="244">
        <f ca="1">IF(Tabla1[[#This Row],[DIAS VAC]]&gt;1,Tabla1[[#This Row],[DIAS VAC]]-Tabla1[[#This Row],[ANTIG]],Tabla1[[#This Row],[DIAS VAC]])</f>
        <v>0.60821917808219172</v>
      </c>
      <c r="U1480" s="244">
        <f ca="1">Tabla1[[#This Row],[VALID ANTIG]]*Tabla1[[#This Row],[SUE DIA]]*Tabla1[[#This Row],[DIAS VAC PAG]]</f>
        <v>967.16986301369855</v>
      </c>
    </row>
    <row r="1481" spans="2:21" hidden="1" x14ac:dyDescent="0.25">
      <c r="B1481" s="243">
        <v>694</v>
      </c>
      <c r="C1481" s="140" t="str">
        <f>VLOOKUP(B1481,BDD[],2,0)</f>
        <v>Verónica Lucía Hernández Mata</v>
      </c>
      <c r="D1481" s="140">
        <f>VLOOKUP(B1481,BDD[],3,0)</f>
        <v>7445</v>
      </c>
      <c r="E1481" s="140">
        <f>VLOOKUP(B1481,BDD[],4,0)</f>
        <v>248.16666666666666</v>
      </c>
      <c r="F1481" s="142">
        <f>VLOOKUP(B1481,BDD[],26,0)</f>
        <v>27.574074074074073</v>
      </c>
      <c r="G1481" s="268">
        <f>VLOOKUP(B1481,BDD[],6,0)</f>
        <v>44173</v>
      </c>
      <c r="H1481" s="139">
        <f ca="1">VLOOKUP(B1481,BDD[],7,0)</f>
        <v>1</v>
      </c>
      <c r="I1481" s="139">
        <f ca="1">VLOOKUP(B1481,BDD[],22,0)</f>
        <v>5</v>
      </c>
      <c r="J1481" s="168">
        <v>15</v>
      </c>
      <c r="K1481" s="139">
        <f>Tabla1[[#This Row],[DIAS LAB]]*Tabla1[[#This Row],[SUE DIA]]</f>
        <v>3722.5</v>
      </c>
      <c r="L1481" s="168">
        <v>0</v>
      </c>
      <c r="M1481" s="198">
        <f>Tabla1[[#This Row],[HRS EXT]]*Tabla1[[#This Row],[SUE X HR]]</f>
        <v>0</v>
      </c>
      <c r="N1481" s="168">
        <v>0</v>
      </c>
      <c r="O1481" s="198">
        <f>Tabla1[[#This Row],[ASUETO]]*Tabla1[[#This Row],[SUE DIA]]</f>
        <v>0</v>
      </c>
      <c r="P1481" s="139">
        <f>IF(Tabla1[[#This Row],[FECHA ING]]&lt;$P$1007,365,_xlfn.DAYS($P$1008,Tabla1[[#This Row],[FECHA ING]])+1)</f>
        <v>365</v>
      </c>
      <c r="Q1481" s="198">
        <f>INT(30*(Tabla1[[#This Row],[FECHAS CONTB AGNLDO]]/365))</f>
        <v>30</v>
      </c>
      <c r="R1481" s="244">
        <f ca="1">IF($W$32=$W$26,Tabla1[[#This Row],[SUE DIA]]*Tabla1[[#This Row],[DIAS PAG AGNLDO]],0)</f>
        <v>0</v>
      </c>
      <c r="S1481" s="244">
        <f ca="1">(_xlfn.DAYS(TODAY(),Tabla1[[#This Row],[FECHA ING]])/365)</f>
        <v>1.6082191780821917</v>
      </c>
      <c r="T1481" s="244">
        <f ca="1">IF(Tabla1[[#This Row],[DIAS VAC]]&gt;1,Tabla1[[#This Row],[DIAS VAC]]-Tabla1[[#This Row],[ANTIG]],Tabla1[[#This Row],[DIAS VAC]])</f>
        <v>0.60821917808219172</v>
      </c>
      <c r="U1481" s="244">
        <f ca="1">Tabla1[[#This Row],[VALID ANTIG]]*Tabla1[[#This Row],[SUE DIA]]*Tabla1[[#This Row],[DIAS VAC PAG]]</f>
        <v>754.69863013698614</v>
      </c>
    </row>
    <row r="1482" spans="2:21" hidden="1" x14ac:dyDescent="0.25">
      <c r="B1482" s="243">
        <v>695</v>
      </c>
      <c r="C1482" s="140" t="str">
        <f>VLOOKUP(B1482,BDD[],2,0)</f>
        <v>Rosa Liz Chavez Cortez</v>
      </c>
      <c r="D1482" s="140">
        <f>VLOOKUP(B1482,BDD[],3,0)</f>
        <v>9541</v>
      </c>
      <c r="E1482" s="140">
        <f>VLOOKUP(B1482,BDD[],4,0)</f>
        <v>318.03333333333336</v>
      </c>
      <c r="F1482" s="142">
        <f>VLOOKUP(B1482,BDD[],26,0)</f>
        <v>35.337037037037042</v>
      </c>
      <c r="G1482" s="268">
        <f>VLOOKUP(B1482,BDD[],6,0)</f>
        <v>44175</v>
      </c>
      <c r="H1482" s="139">
        <f ca="1">VLOOKUP(B1482,BDD[],7,0)</f>
        <v>1</v>
      </c>
      <c r="I1482" s="139">
        <f ca="1">VLOOKUP(B1482,BDD[],22,0)</f>
        <v>5</v>
      </c>
      <c r="J1482" s="168">
        <v>15</v>
      </c>
      <c r="K1482" s="139">
        <f>Tabla1[[#This Row],[DIAS LAB]]*Tabla1[[#This Row],[SUE DIA]]</f>
        <v>4770.5</v>
      </c>
      <c r="L1482" s="168">
        <v>0</v>
      </c>
      <c r="M1482" s="198">
        <f>Tabla1[[#This Row],[HRS EXT]]*Tabla1[[#This Row],[SUE X HR]]</f>
        <v>0</v>
      </c>
      <c r="N1482" s="168">
        <v>0</v>
      </c>
      <c r="O1482" s="198">
        <f>Tabla1[[#This Row],[ASUETO]]*Tabla1[[#This Row],[SUE DIA]]</f>
        <v>0</v>
      </c>
      <c r="P1482" s="139">
        <f>IF(Tabla1[[#This Row],[FECHA ING]]&lt;$P$1007,365,_xlfn.DAYS($P$1008,Tabla1[[#This Row],[FECHA ING]])+1)</f>
        <v>365</v>
      </c>
      <c r="Q1482" s="198">
        <f>INT(30*(Tabla1[[#This Row],[FECHAS CONTB AGNLDO]]/365))</f>
        <v>30</v>
      </c>
      <c r="R1482" s="244">
        <f ca="1">IF($W$32=$W$26,Tabla1[[#This Row],[SUE DIA]]*Tabla1[[#This Row],[DIAS PAG AGNLDO]],0)</f>
        <v>0</v>
      </c>
      <c r="S1482" s="244">
        <f ca="1">(_xlfn.DAYS(TODAY(),Tabla1[[#This Row],[FECHA ING]])/365)</f>
        <v>1.6027397260273972</v>
      </c>
      <c r="T1482" s="244">
        <f ca="1">IF(Tabla1[[#This Row],[DIAS VAC]]&gt;1,Tabla1[[#This Row],[DIAS VAC]]-Tabla1[[#This Row],[ANTIG]],Tabla1[[#This Row],[DIAS VAC]])</f>
        <v>0.60273972602739723</v>
      </c>
      <c r="U1482" s="244">
        <f ca="1">Tabla1[[#This Row],[VALID ANTIG]]*Tabla1[[#This Row],[SUE DIA]]*Tabla1[[#This Row],[DIAS VAC PAG]]</f>
        <v>958.45662100456616</v>
      </c>
    </row>
    <row r="1483" spans="2:21" hidden="1" x14ac:dyDescent="0.25">
      <c r="B1483" s="243">
        <v>697</v>
      </c>
      <c r="C1483" s="140" t="str">
        <f>VLOOKUP(B1483,BDD[],2,0)</f>
        <v>Daniel Antonio García Marine</v>
      </c>
      <c r="D1483" s="140">
        <f>VLOOKUP(B1483,BDD[],3,0)</f>
        <v>9450</v>
      </c>
      <c r="E1483" s="140">
        <f>VLOOKUP(B1483,BDD[],4,0)</f>
        <v>315</v>
      </c>
      <c r="F1483" s="142">
        <f>VLOOKUP(B1483,BDD[],26,0)</f>
        <v>35</v>
      </c>
      <c r="G1483" s="268">
        <f>VLOOKUP(B1483,BDD[],6,0)</f>
        <v>44176</v>
      </c>
      <c r="H1483" s="139">
        <f ca="1">VLOOKUP(B1483,BDD[],7,0)</f>
        <v>1</v>
      </c>
      <c r="I1483" s="139">
        <f ca="1">VLOOKUP(B1483,BDD[],22,0)</f>
        <v>5</v>
      </c>
      <c r="J1483" s="168">
        <v>15</v>
      </c>
      <c r="K1483" s="139">
        <f>Tabla1[[#This Row],[DIAS LAB]]*Tabla1[[#This Row],[SUE DIA]]</f>
        <v>4725</v>
      </c>
      <c r="L1483" s="168">
        <v>0</v>
      </c>
      <c r="M1483" s="198">
        <f>Tabla1[[#This Row],[HRS EXT]]*Tabla1[[#This Row],[SUE X HR]]</f>
        <v>0</v>
      </c>
      <c r="N1483" s="168">
        <v>0</v>
      </c>
      <c r="O1483" s="198">
        <f>Tabla1[[#This Row],[ASUETO]]*Tabla1[[#This Row],[SUE DIA]]</f>
        <v>0</v>
      </c>
      <c r="P1483" s="139">
        <f>IF(Tabla1[[#This Row],[FECHA ING]]&lt;$P$1007,365,_xlfn.DAYS($P$1008,Tabla1[[#This Row],[FECHA ING]])+1)</f>
        <v>365</v>
      </c>
      <c r="Q1483" s="198">
        <f>INT(30*(Tabla1[[#This Row],[FECHAS CONTB AGNLDO]]/365))</f>
        <v>30</v>
      </c>
      <c r="R1483" s="244">
        <f ca="1">IF($W$32=$W$26,Tabla1[[#This Row],[SUE DIA]]*Tabla1[[#This Row],[DIAS PAG AGNLDO]],0)</f>
        <v>0</v>
      </c>
      <c r="S1483" s="244">
        <f ca="1">(_xlfn.DAYS(TODAY(),Tabla1[[#This Row],[FECHA ING]])/365)</f>
        <v>1.6</v>
      </c>
      <c r="T1483" s="244">
        <f ca="1">IF(Tabla1[[#This Row],[DIAS VAC]]&gt;1,Tabla1[[#This Row],[DIAS VAC]]-Tabla1[[#This Row],[ANTIG]],Tabla1[[#This Row],[DIAS VAC]])</f>
        <v>0.60000000000000009</v>
      </c>
      <c r="U1483" s="244">
        <f ca="1">Tabla1[[#This Row],[VALID ANTIG]]*Tabla1[[#This Row],[SUE DIA]]*Tabla1[[#This Row],[DIAS VAC PAG]]</f>
        <v>945.00000000000011</v>
      </c>
    </row>
    <row r="1484" spans="2:21" hidden="1" x14ac:dyDescent="0.25">
      <c r="B1484" s="243">
        <v>701</v>
      </c>
      <c r="C1484" s="140" t="str">
        <f>VLOOKUP(B1484,BDD[],2,0)</f>
        <v>Marilu Valdovinos Blanco</v>
      </c>
      <c r="D1484" s="140">
        <f>VLOOKUP(B1484,BDD[],3,0)</f>
        <v>7445</v>
      </c>
      <c r="E1484" s="140">
        <f>VLOOKUP(B1484,BDD[],4,0)</f>
        <v>248.16666666666666</v>
      </c>
      <c r="F1484" s="142">
        <f>VLOOKUP(B1484,BDD[],26,0)</f>
        <v>27.574074074074073</v>
      </c>
      <c r="G1484" s="268">
        <f>VLOOKUP(B1484,BDD[],6,0)</f>
        <v>44176</v>
      </c>
      <c r="H1484" s="139">
        <f ca="1">VLOOKUP(B1484,BDD[],7,0)</f>
        <v>1</v>
      </c>
      <c r="I1484" s="139">
        <f ca="1">VLOOKUP(B1484,BDD[],22,0)</f>
        <v>5</v>
      </c>
      <c r="J1484" s="168">
        <v>15</v>
      </c>
      <c r="K1484" s="139">
        <f>Tabla1[[#This Row],[DIAS LAB]]*Tabla1[[#This Row],[SUE DIA]]</f>
        <v>3722.5</v>
      </c>
      <c r="L1484" s="168">
        <v>0</v>
      </c>
      <c r="M1484" s="198">
        <f>Tabla1[[#This Row],[HRS EXT]]*Tabla1[[#This Row],[SUE X HR]]</f>
        <v>0</v>
      </c>
      <c r="N1484" s="168">
        <v>0</v>
      </c>
      <c r="O1484" s="198">
        <f>Tabla1[[#This Row],[ASUETO]]*Tabla1[[#This Row],[SUE DIA]]</f>
        <v>0</v>
      </c>
      <c r="P1484" s="139">
        <f>IF(Tabla1[[#This Row],[FECHA ING]]&lt;$P$1007,365,_xlfn.DAYS($P$1008,Tabla1[[#This Row],[FECHA ING]])+1)</f>
        <v>365</v>
      </c>
      <c r="Q1484" s="198">
        <f>INT(30*(Tabla1[[#This Row],[FECHAS CONTB AGNLDO]]/365))</f>
        <v>30</v>
      </c>
      <c r="R1484" s="244">
        <f ca="1">IF($W$32=$W$26,Tabla1[[#This Row],[SUE DIA]]*Tabla1[[#This Row],[DIAS PAG AGNLDO]],0)</f>
        <v>0</v>
      </c>
      <c r="S1484" s="244">
        <f ca="1">(_xlfn.DAYS(TODAY(),Tabla1[[#This Row],[FECHA ING]])/365)</f>
        <v>1.6</v>
      </c>
      <c r="T1484" s="244">
        <f ca="1">IF(Tabla1[[#This Row],[DIAS VAC]]&gt;1,Tabla1[[#This Row],[DIAS VAC]]-Tabla1[[#This Row],[ANTIG]],Tabla1[[#This Row],[DIAS VAC]])</f>
        <v>0.60000000000000009</v>
      </c>
      <c r="U1484" s="244">
        <f ca="1">Tabla1[[#This Row],[VALID ANTIG]]*Tabla1[[#This Row],[SUE DIA]]*Tabla1[[#This Row],[DIAS VAC PAG]]</f>
        <v>744.5</v>
      </c>
    </row>
    <row r="1485" spans="2:21" hidden="1" x14ac:dyDescent="0.25">
      <c r="B1485" s="243">
        <v>702</v>
      </c>
      <c r="C1485" s="140" t="str">
        <f>VLOOKUP(B1485,BDD[],2,0)</f>
        <v>Roberto Alejandro Jaramillo González</v>
      </c>
      <c r="D1485" s="140">
        <f>VLOOKUP(B1485,BDD[],3,0)</f>
        <v>10860</v>
      </c>
      <c r="E1485" s="140">
        <f>VLOOKUP(B1485,BDD[],4,0)</f>
        <v>362</v>
      </c>
      <c r="F1485" s="142">
        <f>VLOOKUP(B1485,BDD[],26,0)</f>
        <v>40.222222222222221</v>
      </c>
      <c r="G1485" s="268">
        <f>VLOOKUP(B1485,BDD[],6,0)</f>
        <v>44208</v>
      </c>
      <c r="H1485" s="139">
        <f ca="1">VLOOKUP(B1485,BDD[],7,0)</f>
        <v>1</v>
      </c>
      <c r="I1485" s="139">
        <f ca="1">VLOOKUP(B1485,BDD[],22,0)</f>
        <v>5</v>
      </c>
      <c r="J1485" s="168">
        <v>15</v>
      </c>
      <c r="K1485" s="139">
        <f>Tabla1[[#This Row],[DIAS LAB]]*Tabla1[[#This Row],[SUE DIA]]</f>
        <v>5430</v>
      </c>
      <c r="L1485" s="168">
        <v>0</v>
      </c>
      <c r="M1485" s="198">
        <f>Tabla1[[#This Row],[HRS EXT]]*Tabla1[[#This Row],[SUE X HR]]</f>
        <v>0</v>
      </c>
      <c r="N1485" s="168">
        <v>0</v>
      </c>
      <c r="O1485" s="198">
        <f>Tabla1[[#This Row],[ASUETO]]*Tabla1[[#This Row],[SUE DIA]]</f>
        <v>0</v>
      </c>
      <c r="P1485" s="139">
        <f>IF(Tabla1[[#This Row],[FECHA ING]]&lt;$P$1007,365,_xlfn.DAYS($P$1008,Tabla1[[#This Row],[FECHA ING]])+1)</f>
        <v>365</v>
      </c>
      <c r="Q1485" s="198">
        <f>INT(30*(Tabla1[[#This Row],[FECHAS CONTB AGNLDO]]/365))</f>
        <v>30</v>
      </c>
      <c r="R1485" s="244">
        <f ca="1">IF($W$32=$W$26,Tabla1[[#This Row],[SUE DIA]]*Tabla1[[#This Row],[DIAS PAG AGNLDO]],0)</f>
        <v>0</v>
      </c>
      <c r="S1485" s="244">
        <f ca="1">(_xlfn.DAYS(TODAY(),Tabla1[[#This Row],[FECHA ING]])/365)</f>
        <v>1.5123287671232877</v>
      </c>
      <c r="T1485" s="244">
        <f ca="1">IF(Tabla1[[#This Row],[DIAS VAC]]&gt;1,Tabla1[[#This Row],[DIAS VAC]]-Tabla1[[#This Row],[ANTIG]],Tabla1[[#This Row],[DIAS VAC]])</f>
        <v>0.51232876712328768</v>
      </c>
      <c r="U1485" s="244">
        <f ca="1">Tabla1[[#This Row],[VALID ANTIG]]*Tabla1[[#This Row],[SUE DIA]]*Tabla1[[#This Row],[DIAS VAC PAG]]</f>
        <v>927.31506849315065</v>
      </c>
    </row>
    <row r="1486" spans="2:21" hidden="1" x14ac:dyDescent="0.25">
      <c r="B1486" s="243">
        <v>703</v>
      </c>
      <c r="C1486" s="140" t="str">
        <f>VLOOKUP(B1486,BDD[],2,0)</f>
        <v>Yesenia Reyes Cordoba</v>
      </c>
      <c r="D1486" s="140">
        <f>VLOOKUP(B1486,BDD[],3,0)</f>
        <v>10860</v>
      </c>
      <c r="E1486" s="140">
        <f>VLOOKUP(B1486,BDD[],4,0)</f>
        <v>362</v>
      </c>
      <c r="F1486" s="142">
        <f>VLOOKUP(B1486,BDD[],26,0)</f>
        <v>40.222222222222221</v>
      </c>
      <c r="G1486" s="268">
        <f>VLOOKUP(B1486,BDD[],6,0)</f>
        <v>44241</v>
      </c>
      <c r="H1486" s="139">
        <f ca="1">VLOOKUP(B1486,BDD[],7,0)</f>
        <v>1</v>
      </c>
      <c r="I1486" s="139">
        <f ca="1">VLOOKUP(B1486,BDD[],22,0)</f>
        <v>5</v>
      </c>
      <c r="J1486" s="168">
        <v>15</v>
      </c>
      <c r="K1486" s="139">
        <f>Tabla1[[#This Row],[DIAS LAB]]*Tabla1[[#This Row],[SUE DIA]]</f>
        <v>5430</v>
      </c>
      <c r="L1486" s="168">
        <v>0</v>
      </c>
      <c r="M1486" s="198">
        <f>Tabla1[[#This Row],[HRS EXT]]*Tabla1[[#This Row],[SUE X HR]]</f>
        <v>0</v>
      </c>
      <c r="N1486" s="168">
        <v>0</v>
      </c>
      <c r="O1486" s="198">
        <f>Tabla1[[#This Row],[ASUETO]]*Tabla1[[#This Row],[SUE DIA]]</f>
        <v>0</v>
      </c>
      <c r="P1486" s="139">
        <f>IF(Tabla1[[#This Row],[FECHA ING]]&lt;$P$1007,365,_xlfn.DAYS($P$1008,Tabla1[[#This Row],[FECHA ING]])+1)</f>
        <v>365</v>
      </c>
      <c r="Q1486" s="198">
        <f>INT(30*(Tabla1[[#This Row],[FECHAS CONTB AGNLDO]]/365))</f>
        <v>30</v>
      </c>
      <c r="R1486" s="244">
        <f ca="1">IF($W$32=$W$26,Tabla1[[#This Row],[SUE DIA]]*Tabla1[[#This Row],[DIAS PAG AGNLDO]],0)</f>
        <v>0</v>
      </c>
      <c r="S1486" s="244">
        <f ca="1">(_xlfn.DAYS(TODAY(),Tabla1[[#This Row],[FECHA ING]])/365)</f>
        <v>1.4219178082191781</v>
      </c>
      <c r="T1486" s="244">
        <f ca="1">IF(Tabla1[[#This Row],[DIAS VAC]]&gt;1,Tabla1[[#This Row],[DIAS VAC]]-Tabla1[[#This Row],[ANTIG]],Tabla1[[#This Row],[DIAS VAC]])</f>
        <v>0.42191780821917813</v>
      </c>
      <c r="U1486" s="244">
        <f ca="1">Tabla1[[#This Row],[VALID ANTIG]]*Tabla1[[#This Row],[SUE DIA]]*Tabla1[[#This Row],[DIAS VAC PAG]]</f>
        <v>763.67123287671234</v>
      </c>
    </row>
    <row r="1487" spans="2:21" hidden="1" x14ac:dyDescent="0.25">
      <c r="B1487" s="243">
        <v>704</v>
      </c>
      <c r="C1487" s="140" t="str">
        <f>VLOOKUP(B1487,BDD[],2,0)</f>
        <v>Miriam Denisse Cisneros Sánchez</v>
      </c>
      <c r="D1487" s="140">
        <f>VLOOKUP(B1487,BDD[],3,0)</f>
        <v>9450</v>
      </c>
      <c r="E1487" s="140">
        <f>VLOOKUP(B1487,BDD[],4,0)</f>
        <v>315</v>
      </c>
      <c r="F1487" s="142">
        <f>VLOOKUP(B1487,BDD[],26,0)</f>
        <v>35</v>
      </c>
      <c r="G1487" s="268">
        <f>VLOOKUP(B1487,BDD[],6,0)</f>
        <v>44247</v>
      </c>
      <c r="H1487" s="139">
        <f ca="1">VLOOKUP(B1487,BDD[],7,0)</f>
        <v>1</v>
      </c>
      <c r="I1487" s="139">
        <f ca="1">VLOOKUP(B1487,BDD[],22,0)</f>
        <v>5</v>
      </c>
      <c r="J1487" s="168">
        <v>15</v>
      </c>
      <c r="K1487" s="139">
        <f>Tabla1[[#This Row],[DIAS LAB]]*Tabla1[[#This Row],[SUE DIA]]</f>
        <v>4725</v>
      </c>
      <c r="L1487" s="168">
        <v>0</v>
      </c>
      <c r="M1487" s="198">
        <f>Tabla1[[#This Row],[HRS EXT]]*Tabla1[[#This Row],[SUE X HR]]</f>
        <v>0</v>
      </c>
      <c r="N1487" s="168">
        <v>0</v>
      </c>
      <c r="O1487" s="198">
        <f>Tabla1[[#This Row],[ASUETO]]*Tabla1[[#This Row],[SUE DIA]]</f>
        <v>0</v>
      </c>
      <c r="P1487" s="139">
        <f>IF(Tabla1[[#This Row],[FECHA ING]]&lt;$P$1007,365,_xlfn.DAYS($P$1008,Tabla1[[#This Row],[FECHA ING]])+1)</f>
        <v>365</v>
      </c>
      <c r="Q1487" s="198">
        <f>INT(30*(Tabla1[[#This Row],[FECHAS CONTB AGNLDO]]/365))</f>
        <v>30</v>
      </c>
      <c r="R1487" s="244">
        <f ca="1">IF($W$32=$W$26,Tabla1[[#This Row],[SUE DIA]]*Tabla1[[#This Row],[DIAS PAG AGNLDO]],0)</f>
        <v>0</v>
      </c>
      <c r="S1487" s="244">
        <f ca="1">(_xlfn.DAYS(TODAY(),Tabla1[[#This Row],[FECHA ING]])/365)</f>
        <v>1.4054794520547946</v>
      </c>
      <c r="T1487" s="244">
        <f ca="1">IF(Tabla1[[#This Row],[DIAS VAC]]&gt;1,Tabla1[[#This Row],[DIAS VAC]]-Tabla1[[#This Row],[ANTIG]],Tabla1[[#This Row],[DIAS VAC]])</f>
        <v>0.40547945205479463</v>
      </c>
      <c r="U1487" s="244">
        <f ca="1">Tabla1[[#This Row],[VALID ANTIG]]*Tabla1[[#This Row],[SUE DIA]]*Tabla1[[#This Row],[DIAS VAC PAG]]</f>
        <v>638.63013698630152</v>
      </c>
    </row>
    <row r="1488" spans="2:21" hidden="1" x14ac:dyDescent="0.25">
      <c r="B1488" s="243">
        <v>705</v>
      </c>
      <c r="C1488" s="140" t="str">
        <f>VLOOKUP(B1488,BDD[],2,0)</f>
        <v>William Ulises Gómez González</v>
      </c>
      <c r="D1488" s="140">
        <f>VLOOKUP(B1488,BDD[],3,0)</f>
        <v>6778</v>
      </c>
      <c r="E1488" s="140">
        <f>VLOOKUP(B1488,BDD[],4,0)</f>
        <v>225.93333333333334</v>
      </c>
      <c r="F1488" s="142">
        <f>VLOOKUP(B1488,BDD[],26,0)</f>
        <v>25.103703703703705</v>
      </c>
      <c r="G1488" s="268">
        <f>VLOOKUP(B1488,BDD[],6,0)</f>
        <v>44277</v>
      </c>
      <c r="H1488" s="139">
        <f ca="1">VLOOKUP(B1488,BDD[],7,0)</f>
        <v>1</v>
      </c>
      <c r="I1488" s="139">
        <f ca="1">VLOOKUP(B1488,BDD[],22,0)</f>
        <v>2.5</v>
      </c>
      <c r="J1488" s="168">
        <v>15</v>
      </c>
      <c r="K1488" s="139">
        <f>Tabla1[[#This Row],[DIAS LAB]]*Tabla1[[#This Row],[SUE DIA]]</f>
        <v>3389</v>
      </c>
      <c r="L1488" s="168">
        <v>0</v>
      </c>
      <c r="M1488" s="198">
        <f>Tabla1[[#This Row],[HRS EXT]]*Tabla1[[#This Row],[SUE X HR]]</f>
        <v>0</v>
      </c>
      <c r="N1488" s="168">
        <v>0</v>
      </c>
      <c r="O1488" s="198">
        <f>Tabla1[[#This Row],[ASUETO]]*Tabla1[[#This Row],[SUE DIA]]</f>
        <v>0</v>
      </c>
      <c r="P1488" s="139">
        <f>IF(Tabla1[[#This Row],[FECHA ING]]&lt;$P$1007,365,_xlfn.DAYS($P$1008,Tabla1[[#This Row],[FECHA ING]])+1)</f>
        <v>365</v>
      </c>
      <c r="Q1488" s="198">
        <f>INT(30*(Tabla1[[#This Row],[FECHAS CONTB AGNLDO]]/365))</f>
        <v>30</v>
      </c>
      <c r="R1488" s="244">
        <f ca="1">IF($W$32=$W$26,Tabla1[[#This Row],[SUE DIA]]*Tabla1[[#This Row],[DIAS PAG AGNLDO]],0)</f>
        <v>0</v>
      </c>
      <c r="S1488" s="244">
        <f ca="1">(_xlfn.DAYS(TODAY(),Tabla1[[#This Row],[FECHA ING]])/365)</f>
        <v>1.3232876712328767</v>
      </c>
      <c r="T1488" s="244">
        <f ca="1">IF(Tabla1[[#This Row],[DIAS VAC]]&gt;1,Tabla1[[#This Row],[DIAS VAC]]-Tabla1[[#This Row],[ANTIG]],Tabla1[[#This Row],[DIAS VAC]])</f>
        <v>0.32328767123287672</v>
      </c>
      <c r="U1488" s="244">
        <f ca="1">Tabla1[[#This Row],[VALID ANTIG]]*Tabla1[[#This Row],[SUE DIA]]*Tabla1[[#This Row],[DIAS VAC PAG]]</f>
        <v>182.60365296803653</v>
      </c>
    </row>
    <row r="1489" spans="2:21" hidden="1" x14ac:dyDescent="0.25">
      <c r="B1489" s="243">
        <v>708</v>
      </c>
      <c r="C1489" s="140" t="str">
        <f>VLOOKUP(B1489,BDD[],2,0)</f>
        <v>Jair Elihu Olguin Valdes</v>
      </c>
      <c r="D1489" s="140">
        <f>VLOOKUP(B1489,BDD[],3,0)</f>
        <v>9541</v>
      </c>
      <c r="E1489" s="140">
        <f>VLOOKUP(B1489,BDD[],4,0)</f>
        <v>318.03333333333336</v>
      </c>
      <c r="F1489" s="142">
        <f>VLOOKUP(B1489,BDD[],26,0)</f>
        <v>35.337037037037042</v>
      </c>
      <c r="G1489" s="268">
        <f>VLOOKUP(B1489,BDD[],6,0)</f>
        <v>44289</v>
      </c>
      <c r="H1489" s="139">
        <f ca="1">VLOOKUP(B1489,BDD[],7,0)</f>
        <v>1</v>
      </c>
      <c r="I1489" s="139">
        <f ca="1">VLOOKUP(B1489,BDD[],22,0)</f>
        <v>5</v>
      </c>
      <c r="J1489" s="168">
        <v>15</v>
      </c>
      <c r="K1489" s="139">
        <f>Tabla1[[#This Row],[DIAS LAB]]*Tabla1[[#This Row],[SUE DIA]]</f>
        <v>4770.5</v>
      </c>
      <c r="L1489" s="168">
        <v>0</v>
      </c>
      <c r="M1489" s="198">
        <f>Tabla1[[#This Row],[HRS EXT]]*Tabla1[[#This Row],[SUE X HR]]</f>
        <v>0</v>
      </c>
      <c r="N1489" s="168">
        <v>0</v>
      </c>
      <c r="O1489" s="198">
        <f>Tabla1[[#This Row],[ASUETO]]*Tabla1[[#This Row],[SUE DIA]]</f>
        <v>0</v>
      </c>
      <c r="P1489" s="139">
        <f>IF(Tabla1[[#This Row],[FECHA ING]]&lt;$P$1007,365,_xlfn.DAYS($P$1008,Tabla1[[#This Row],[FECHA ING]])+1)</f>
        <v>365</v>
      </c>
      <c r="Q1489" s="198">
        <f>INT(30*(Tabla1[[#This Row],[FECHAS CONTB AGNLDO]]/365))</f>
        <v>30</v>
      </c>
      <c r="R1489" s="244">
        <f ca="1">IF($W$32=$W$26,Tabla1[[#This Row],[SUE DIA]]*Tabla1[[#This Row],[DIAS PAG AGNLDO]],0)</f>
        <v>0</v>
      </c>
      <c r="S1489" s="244">
        <f ca="1">(_xlfn.DAYS(TODAY(),Tabla1[[#This Row],[FECHA ING]])/365)</f>
        <v>1.2904109589041095</v>
      </c>
      <c r="T1489" s="244">
        <f ca="1">IF(Tabla1[[#This Row],[DIAS VAC]]&gt;1,Tabla1[[#This Row],[DIAS VAC]]-Tabla1[[#This Row],[ANTIG]],Tabla1[[#This Row],[DIAS VAC]])</f>
        <v>0.29041095890410951</v>
      </c>
      <c r="U1489" s="244">
        <f ca="1">Tabla1[[#This Row],[VALID ANTIG]]*Tabla1[[#This Row],[SUE DIA]]*Tabla1[[#This Row],[DIAS VAC PAG]]</f>
        <v>461.80182648401819</v>
      </c>
    </row>
    <row r="1490" spans="2:21" hidden="1" x14ac:dyDescent="0.25">
      <c r="B1490" s="243">
        <v>709</v>
      </c>
      <c r="C1490" s="140" t="str">
        <f>VLOOKUP(B1490,BDD[],2,0)</f>
        <v>Lorena Cortes Torralbo</v>
      </c>
      <c r="D1490" s="140">
        <f>VLOOKUP(B1490,BDD[],3,0)</f>
        <v>10350</v>
      </c>
      <c r="E1490" s="140">
        <f>VLOOKUP(B1490,BDD[],4,0)</f>
        <v>345</v>
      </c>
      <c r="F1490" s="142">
        <f>VLOOKUP(B1490,BDD[],26,0)</f>
        <v>38.333333333333336</v>
      </c>
      <c r="G1490" s="268">
        <f>VLOOKUP(B1490,BDD[],6,0)</f>
        <v>44307</v>
      </c>
      <c r="H1490" s="139">
        <f ca="1">VLOOKUP(B1490,BDD[],7,0)</f>
        <v>1</v>
      </c>
      <c r="I1490" s="139">
        <f ca="1">VLOOKUP(B1490,BDD[],22,0)</f>
        <v>5</v>
      </c>
      <c r="J1490" s="168">
        <v>15</v>
      </c>
      <c r="K1490" s="139">
        <f>Tabla1[[#This Row],[DIAS LAB]]*Tabla1[[#This Row],[SUE DIA]]</f>
        <v>5175</v>
      </c>
      <c r="L1490" s="168">
        <v>0</v>
      </c>
      <c r="M1490" s="198">
        <f>Tabla1[[#This Row],[HRS EXT]]*Tabla1[[#This Row],[SUE X HR]]</f>
        <v>0</v>
      </c>
      <c r="N1490" s="168">
        <v>0</v>
      </c>
      <c r="O1490" s="198">
        <f>Tabla1[[#This Row],[ASUETO]]*Tabla1[[#This Row],[SUE DIA]]</f>
        <v>0</v>
      </c>
      <c r="P1490" s="139">
        <f>IF(Tabla1[[#This Row],[FECHA ING]]&lt;$P$1007,365,_xlfn.DAYS($P$1008,Tabla1[[#This Row],[FECHA ING]])+1)</f>
        <v>365</v>
      </c>
      <c r="Q1490" s="198">
        <f>INT(30*(Tabla1[[#This Row],[FECHAS CONTB AGNLDO]]/365))</f>
        <v>30</v>
      </c>
      <c r="R1490" s="244">
        <f ca="1">IF($W$32=$W$26,Tabla1[[#This Row],[SUE DIA]]*Tabla1[[#This Row],[DIAS PAG AGNLDO]],0)</f>
        <v>0</v>
      </c>
      <c r="S1490" s="244">
        <f ca="1">(_xlfn.DAYS(TODAY(),Tabla1[[#This Row],[FECHA ING]])/365)</f>
        <v>1.2410958904109588</v>
      </c>
      <c r="T1490" s="244">
        <f ca="1">IF(Tabla1[[#This Row],[DIAS VAC]]&gt;1,Tabla1[[#This Row],[DIAS VAC]]-Tabla1[[#This Row],[ANTIG]],Tabla1[[#This Row],[DIAS VAC]])</f>
        <v>0.2410958904109588</v>
      </c>
      <c r="U1490" s="244">
        <f ca="1">Tabla1[[#This Row],[VALID ANTIG]]*Tabla1[[#This Row],[SUE DIA]]*Tabla1[[#This Row],[DIAS VAC PAG]]</f>
        <v>415.89041095890394</v>
      </c>
    </row>
    <row r="1491" spans="2:21" hidden="1" x14ac:dyDescent="0.25">
      <c r="B1491" s="243">
        <v>710</v>
      </c>
      <c r="C1491" s="140" t="str">
        <f>VLOOKUP(B1491,BDD[],2,0)</f>
        <v>Angel Estrada Abundiz</v>
      </c>
      <c r="D1491" s="140">
        <f>VLOOKUP(B1491,BDD[],3,0)</f>
        <v>9450</v>
      </c>
      <c r="E1491" s="140">
        <f>VLOOKUP(B1491,BDD[],4,0)</f>
        <v>315</v>
      </c>
      <c r="F1491" s="142">
        <f>VLOOKUP(B1491,BDD[],26,0)</f>
        <v>35</v>
      </c>
      <c r="G1491" s="268">
        <f>VLOOKUP(B1491,BDD[],6,0)</f>
        <v>44321</v>
      </c>
      <c r="H1491" s="139">
        <f ca="1">VLOOKUP(B1491,BDD[],7,0)</f>
        <v>1</v>
      </c>
      <c r="I1491" s="139">
        <f ca="1">VLOOKUP(B1491,BDD[],22,0)</f>
        <v>5</v>
      </c>
      <c r="J1491" s="168">
        <v>15</v>
      </c>
      <c r="K1491" s="139">
        <f>Tabla1[[#This Row],[DIAS LAB]]*Tabla1[[#This Row],[SUE DIA]]</f>
        <v>4725</v>
      </c>
      <c r="L1491" s="168">
        <v>0</v>
      </c>
      <c r="M1491" s="198">
        <f>Tabla1[[#This Row],[HRS EXT]]*Tabla1[[#This Row],[SUE X HR]]</f>
        <v>0</v>
      </c>
      <c r="N1491" s="168">
        <v>0</v>
      </c>
      <c r="O1491" s="198">
        <f>Tabla1[[#This Row],[ASUETO]]*Tabla1[[#This Row],[SUE DIA]]</f>
        <v>0</v>
      </c>
      <c r="P1491" s="139">
        <f>IF(Tabla1[[#This Row],[FECHA ING]]&lt;$P$1007,365,_xlfn.DAYS($P$1008,Tabla1[[#This Row],[FECHA ING]])+1)</f>
        <v>365</v>
      </c>
      <c r="Q1491" s="198">
        <f>INT(30*(Tabla1[[#This Row],[FECHAS CONTB AGNLDO]]/365))</f>
        <v>30</v>
      </c>
      <c r="R1491" s="244">
        <f ca="1">IF($W$32=$W$26,Tabla1[[#This Row],[SUE DIA]]*Tabla1[[#This Row],[DIAS PAG AGNLDO]],0)</f>
        <v>0</v>
      </c>
      <c r="S1491" s="244">
        <f ca="1">(_xlfn.DAYS(TODAY(),Tabla1[[#This Row],[FECHA ING]])/365)</f>
        <v>1.2027397260273973</v>
      </c>
      <c r="T1491" s="244">
        <f ca="1">IF(Tabla1[[#This Row],[DIAS VAC]]&gt;1,Tabla1[[#This Row],[DIAS VAC]]-Tabla1[[#This Row],[ANTIG]],Tabla1[[#This Row],[DIAS VAC]])</f>
        <v>0.20273972602739732</v>
      </c>
      <c r="U1491" s="244">
        <f ca="1">Tabla1[[#This Row],[VALID ANTIG]]*Tabla1[[#This Row],[SUE DIA]]*Tabla1[[#This Row],[DIAS VAC PAG]]</f>
        <v>319.31506849315076</v>
      </c>
    </row>
    <row r="1492" spans="2:21" hidden="1" x14ac:dyDescent="0.25">
      <c r="B1492" s="243">
        <v>711</v>
      </c>
      <c r="C1492" s="140" t="str">
        <f>VLOOKUP(B1492,BDD[],2,0)</f>
        <v>Victor Jesus Mota Gomez</v>
      </c>
      <c r="D1492" s="140">
        <f>VLOOKUP(B1492,BDD[],3,0)</f>
        <v>9450</v>
      </c>
      <c r="E1492" s="140">
        <f>VLOOKUP(B1492,BDD[],4,0)</f>
        <v>315</v>
      </c>
      <c r="F1492" s="142">
        <f>VLOOKUP(B1492,BDD[],26,0)</f>
        <v>35</v>
      </c>
      <c r="G1492" s="268">
        <f>VLOOKUP(B1492,BDD[],6,0)</f>
        <v>44340</v>
      </c>
      <c r="H1492" s="139">
        <f ca="1">VLOOKUP(B1492,BDD[],7,0)</f>
        <v>1</v>
      </c>
      <c r="I1492" s="139">
        <f ca="1">VLOOKUP(B1492,BDD[],22,0)</f>
        <v>5</v>
      </c>
      <c r="J1492" s="168">
        <v>15</v>
      </c>
      <c r="K1492" s="139">
        <f>Tabla1[[#This Row],[DIAS LAB]]*Tabla1[[#This Row],[SUE DIA]]</f>
        <v>4725</v>
      </c>
      <c r="L1492" s="168">
        <v>0</v>
      </c>
      <c r="M1492" s="198">
        <f>Tabla1[[#This Row],[HRS EXT]]*Tabla1[[#This Row],[SUE X HR]]</f>
        <v>0</v>
      </c>
      <c r="N1492" s="168">
        <v>0</v>
      </c>
      <c r="O1492" s="198">
        <f>Tabla1[[#This Row],[ASUETO]]*Tabla1[[#This Row],[SUE DIA]]</f>
        <v>0</v>
      </c>
      <c r="P1492" s="139">
        <f>IF(Tabla1[[#This Row],[FECHA ING]]&lt;$P$1007,365,_xlfn.DAYS($P$1008,Tabla1[[#This Row],[FECHA ING]])+1)</f>
        <v>365</v>
      </c>
      <c r="Q1492" s="198">
        <f>INT(30*(Tabla1[[#This Row],[FECHAS CONTB AGNLDO]]/365))</f>
        <v>30</v>
      </c>
      <c r="R1492" s="244">
        <f ca="1">IF($W$32=$W$26,Tabla1[[#This Row],[SUE DIA]]*Tabla1[[#This Row],[DIAS PAG AGNLDO]],0)</f>
        <v>0</v>
      </c>
      <c r="S1492" s="244">
        <f ca="1">(_xlfn.DAYS(TODAY(),Tabla1[[#This Row],[FECHA ING]])/365)</f>
        <v>1.1506849315068493</v>
      </c>
      <c r="T1492" s="244">
        <f ca="1">IF(Tabla1[[#This Row],[DIAS VAC]]&gt;1,Tabla1[[#This Row],[DIAS VAC]]-Tabla1[[#This Row],[ANTIG]],Tabla1[[#This Row],[DIAS VAC]])</f>
        <v>0.15068493150684925</v>
      </c>
      <c r="U1492" s="244">
        <f ca="1">Tabla1[[#This Row],[VALID ANTIG]]*Tabla1[[#This Row],[SUE DIA]]*Tabla1[[#This Row],[DIAS VAC PAG]]</f>
        <v>237.32876712328758</v>
      </c>
    </row>
    <row r="1493" spans="2:21" hidden="1" x14ac:dyDescent="0.25">
      <c r="B1493" s="243">
        <v>712</v>
      </c>
      <c r="C1493" s="140" t="str">
        <f>VLOOKUP(B1493,BDD[],2,0)</f>
        <v>Daniel Alejandro Rojo Berlanga</v>
      </c>
      <c r="D1493" s="140">
        <f>VLOOKUP(B1493,BDD[],3,0)</f>
        <v>27150</v>
      </c>
      <c r="E1493" s="140">
        <f>VLOOKUP(B1493,BDD[],4,0)</f>
        <v>905</v>
      </c>
      <c r="F1493" s="142">
        <f>VLOOKUP(B1493,BDD[],26,0)</f>
        <v>100.55555555555556</v>
      </c>
      <c r="G1493" s="268">
        <f>VLOOKUP(B1493,BDD[],6,0)</f>
        <v>44341</v>
      </c>
      <c r="H1493" s="139">
        <f ca="1">VLOOKUP(B1493,BDD[],7,0)</f>
        <v>1</v>
      </c>
      <c r="I1493" s="139">
        <f ca="1">VLOOKUP(B1493,BDD[],22,0)</f>
        <v>5</v>
      </c>
      <c r="J1493" s="168">
        <v>15</v>
      </c>
      <c r="K1493" s="139">
        <f>Tabla1[[#This Row],[DIAS LAB]]*Tabla1[[#This Row],[SUE DIA]]</f>
        <v>13575</v>
      </c>
      <c r="L1493" s="168">
        <v>0</v>
      </c>
      <c r="M1493" s="198">
        <f>Tabla1[[#This Row],[HRS EXT]]*Tabla1[[#This Row],[SUE X HR]]</f>
        <v>0</v>
      </c>
      <c r="N1493" s="168">
        <v>0</v>
      </c>
      <c r="O1493" s="198">
        <f>Tabla1[[#This Row],[ASUETO]]*Tabla1[[#This Row],[SUE DIA]]</f>
        <v>0</v>
      </c>
      <c r="P1493" s="139">
        <f>IF(Tabla1[[#This Row],[FECHA ING]]&lt;$P$1007,365,_xlfn.DAYS($P$1008,Tabla1[[#This Row],[FECHA ING]])+1)</f>
        <v>365</v>
      </c>
      <c r="Q1493" s="198">
        <f>INT(30*(Tabla1[[#This Row],[FECHAS CONTB AGNLDO]]/365))</f>
        <v>30</v>
      </c>
      <c r="R1493" s="244">
        <f ca="1">IF($W$32=$W$26,Tabla1[[#This Row],[SUE DIA]]*Tabla1[[#This Row],[DIAS PAG AGNLDO]],0)</f>
        <v>0</v>
      </c>
      <c r="S1493" s="244">
        <f ca="1">(_xlfn.DAYS(TODAY(),Tabla1[[#This Row],[FECHA ING]])/365)</f>
        <v>1.1479452054794521</v>
      </c>
      <c r="T1493" s="244">
        <f ca="1">IF(Tabla1[[#This Row],[DIAS VAC]]&gt;1,Tabla1[[#This Row],[DIAS VAC]]-Tabla1[[#This Row],[ANTIG]],Tabla1[[#This Row],[DIAS VAC]])</f>
        <v>0.14794520547945211</v>
      </c>
      <c r="U1493" s="244">
        <f ca="1">Tabla1[[#This Row],[VALID ANTIG]]*Tabla1[[#This Row],[SUE DIA]]*Tabla1[[#This Row],[DIAS VAC PAG]]</f>
        <v>669.45205479452079</v>
      </c>
    </row>
    <row r="1494" spans="2:21" hidden="1" x14ac:dyDescent="0.25">
      <c r="B1494" s="243">
        <v>713</v>
      </c>
      <c r="C1494" s="140" t="str">
        <f>VLOOKUP(B1494,BDD[],2,0)</f>
        <v>Daniela Alejandra Delgado Domínguez</v>
      </c>
      <c r="D1494" s="140">
        <f>VLOOKUP(B1494,BDD[],3,0)</f>
        <v>7445</v>
      </c>
      <c r="E1494" s="140">
        <f>VLOOKUP(B1494,BDD[],4,0)</f>
        <v>248.16666666666666</v>
      </c>
      <c r="F1494" s="142">
        <f>VLOOKUP(B1494,BDD[],26,0)</f>
        <v>27.574074074074073</v>
      </c>
      <c r="G1494" s="268">
        <f>VLOOKUP(B1494,BDD[],6,0)</f>
        <v>44348</v>
      </c>
      <c r="H1494" s="139">
        <f ca="1">VLOOKUP(B1494,BDD[],7,0)</f>
        <v>1</v>
      </c>
      <c r="I1494" s="139">
        <f ca="1">VLOOKUP(B1494,BDD[],22,0)</f>
        <v>5</v>
      </c>
      <c r="J1494" s="168">
        <v>15</v>
      </c>
      <c r="K1494" s="139">
        <f>Tabla1[[#This Row],[DIAS LAB]]*Tabla1[[#This Row],[SUE DIA]]</f>
        <v>3722.5</v>
      </c>
      <c r="L1494" s="168">
        <v>0</v>
      </c>
      <c r="M1494" s="198">
        <f>Tabla1[[#This Row],[HRS EXT]]*Tabla1[[#This Row],[SUE X HR]]</f>
        <v>0</v>
      </c>
      <c r="N1494" s="168">
        <v>0</v>
      </c>
      <c r="O1494" s="198">
        <f>Tabla1[[#This Row],[ASUETO]]*Tabla1[[#This Row],[SUE DIA]]</f>
        <v>0</v>
      </c>
      <c r="P1494" s="139">
        <f>IF(Tabla1[[#This Row],[FECHA ING]]&lt;$P$1007,365,_xlfn.DAYS($P$1008,Tabla1[[#This Row],[FECHA ING]])+1)</f>
        <v>365</v>
      </c>
      <c r="Q1494" s="198">
        <f>INT(30*(Tabla1[[#This Row],[FECHAS CONTB AGNLDO]]/365))</f>
        <v>30</v>
      </c>
      <c r="R1494" s="244">
        <f ca="1">IF($W$32=$W$26,Tabla1[[#This Row],[SUE DIA]]*Tabla1[[#This Row],[DIAS PAG AGNLDO]],0)</f>
        <v>0</v>
      </c>
      <c r="S1494" s="244">
        <f ca="1">(_xlfn.DAYS(TODAY(),Tabla1[[#This Row],[FECHA ING]])/365)</f>
        <v>1.1287671232876713</v>
      </c>
      <c r="T1494" s="244">
        <f ca="1">IF(Tabla1[[#This Row],[DIAS VAC]]&gt;1,Tabla1[[#This Row],[DIAS VAC]]-Tabla1[[#This Row],[ANTIG]],Tabla1[[#This Row],[DIAS VAC]])</f>
        <v>0.12876712328767126</v>
      </c>
      <c r="U1494" s="244">
        <f ca="1">Tabla1[[#This Row],[VALID ANTIG]]*Tabla1[[#This Row],[SUE DIA]]*Tabla1[[#This Row],[DIAS VAC PAG]]</f>
        <v>159.77853881278543</v>
      </c>
    </row>
    <row r="1495" spans="2:21" hidden="1" x14ac:dyDescent="0.25">
      <c r="B1495" s="243">
        <v>714</v>
      </c>
      <c r="C1495" s="140" t="str">
        <f>VLOOKUP(B1495,BDD[],2,0)</f>
        <v>Damaris Michelle Ambriz Ruiz</v>
      </c>
      <c r="D1495" s="140">
        <f>VLOOKUP(B1495,BDD[],3,0)</f>
        <v>7445</v>
      </c>
      <c r="E1495" s="140">
        <f>VLOOKUP(B1495,BDD[],4,0)</f>
        <v>248.16666666666666</v>
      </c>
      <c r="F1495" s="142">
        <f>VLOOKUP(B1495,BDD[],26,0)</f>
        <v>27.574074074074073</v>
      </c>
      <c r="G1495" s="268">
        <f>VLOOKUP(B1495,BDD[],6,0)</f>
        <v>44358</v>
      </c>
      <c r="H1495" s="139">
        <f ca="1">VLOOKUP(B1495,BDD[],7,0)</f>
        <v>1</v>
      </c>
      <c r="I1495" s="139">
        <f ca="1">VLOOKUP(B1495,BDD[],22,0)</f>
        <v>5</v>
      </c>
      <c r="J1495" s="168">
        <v>15</v>
      </c>
      <c r="K1495" s="139">
        <f>Tabla1[[#This Row],[DIAS LAB]]*Tabla1[[#This Row],[SUE DIA]]</f>
        <v>3722.5</v>
      </c>
      <c r="L1495" s="168">
        <v>0</v>
      </c>
      <c r="M1495" s="198">
        <f>Tabla1[[#This Row],[HRS EXT]]*Tabla1[[#This Row],[SUE X HR]]</f>
        <v>0</v>
      </c>
      <c r="N1495" s="168">
        <v>0</v>
      </c>
      <c r="O1495" s="198">
        <f>Tabla1[[#This Row],[ASUETO]]*Tabla1[[#This Row],[SUE DIA]]</f>
        <v>0</v>
      </c>
      <c r="P1495" s="139">
        <f>IF(Tabla1[[#This Row],[FECHA ING]]&lt;$P$1007,365,_xlfn.DAYS($P$1008,Tabla1[[#This Row],[FECHA ING]])+1)</f>
        <v>365</v>
      </c>
      <c r="Q1495" s="198">
        <f>INT(30*(Tabla1[[#This Row],[FECHAS CONTB AGNLDO]]/365))</f>
        <v>30</v>
      </c>
      <c r="R1495" s="244">
        <f ca="1">IF($W$32=$W$26,Tabla1[[#This Row],[SUE DIA]]*Tabla1[[#This Row],[DIAS PAG AGNLDO]],0)</f>
        <v>0</v>
      </c>
      <c r="S1495" s="244">
        <f ca="1">(_xlfn.DAYS(TODAY(),Tabla1[[#This Row],[FECHA ING]])/365)</f>
        <v>1.1013698630136985</v>
      </c>
      <c r="T1495" s="244">
        <f ca="1">IF(Tabla1[[#This Row],[DIAS VAC]]&gt;1,Tabla1[[#This Row],[DIAS VAC]]-Tabla1[[#This Row],[ANTIG]],Tabla1[[#This Row],[DIAS VAC]])</f>
        <v>0.10136986301369855</v>
      </c>
      <c r="U1495" s="244">
        <f ca="1">Tabla1[[#This Row],[VALID ANTIG]]*Tabla1[[#This Row],[SUE DIA]]*Tabla1[[#This Row],[DIAS VAC PAG]]</f>
        <v>125.78310502283094</v>
      </c>
    </row>
    <row r="1496" spans="2:21" hidden="1" x14ac:dyDescent="0.25">
      <c r="B1496" s="243">
        <v>715</v>
      </c>
      <c r="C1496" s="140" t="str">
        <f>VLOOKUP(B1496,BDD[],2,0)</f>
        <v>Perla Yamileth García Olivo</v>
      </c>
      <c r="D1496" s="140">
        <f>VLOOKUP(B1496,BDD[],3,0)</f>
        <v>27150</v>
      </c>
      <c r="E1496" s="140">
        <f>VLOOKUP(B1496,BDD[],4,0)</f>
        <v>905</v>
      </c>
      <c r="F1496" s="142">
        <f>VLOOKUP(B1496,BDD[],26,0)</f>
        <v>100.55555555555556</v>
      </c>
      <c r="G1496" s="268">
        <f>VLOOKUP(B1496,BDD[],6,0)</f>
        <v>44361</v>
      </c>
      <c r="H1496" s="139">
        <f ca="1">VLOOKUP(B1496,BDD[],7,0)</f>
        <v>1</v>
      </c>
      <c r="I1496" s="139">
        <f ca="1">VLOOKUP(B1496,BDD[],22,0)</f>
        <v>5</v>
      </c>
      <c r="J1496" s="168">
        <v>15</v>
      </c>
      <c r="K1496" s="139">
        <f>Tabla1[[#This Row],[DIAS LAB]]*Tabla1[[#This Row],[SUE DIA]]</f>
        <v>13575</v>
      </c>
      <c r="L1496" s="168">
        <v>0</v>
      </c>
      <c r="M1496" s="198">
        <f>Tabla1[[#This Row],[HRS EXT]]*Tabla1[[#This Row],[SUE X HR]]</f>
        <v>0</v>
      </c>
      <c r="N1496" s="168">
        <v>0</v>
      </c>
      <c r="O1496" s="198">
        <f>Tabla1[[#This Row],[ASUETO]]*Tabla1[[#This Row],[SUE DIA]]</f>
        <v>0</v>
      </c>
      <c r="P1496" s="139">
        <f>IF(Tabla1[[#This Row],[FECHA ING]]&lt;$P$1007,365,_xlfn.DAYS($P$1008,Tabla1[[#This Row],[FECHA ING]])+1)</f>
        <v>365</v>
      </c>
      <c r="Q1496" s="198">
        <f>INT(30*(Tabla1[[#This Row],[FECHAS CONTB AGNLDO]]/365))</f>
        <v>30</v>
      </c>
      <c r="R1496" s="244">
        <f ca="1">IF($W$32=$W$26,Tabla1[[#This Row],[SUE DIA]]*Tabla1[[#This Row],[DIAS PAG AGNLDO]],0)</f>
        <v>0</v>
      </c>
      <c r="S1496" s="244">
        <f ca="1">(_xlfn.DAYS(TODAY(),Tabla1[[#This Row],[FECHA ING]])/365)</f>
        <v>1.0931506849315069</v>
      </c>
      <c r="T1496" s="244">
        <f ca="1">IF(Tabla1[[#This Row],[DIAS VAC]]&gt;1,Tabla1[[#This Row],[DIAS VAC]]-Tabla1[[#This Row],[ANTIG]],Tabla1[[#This Row],[DIAS VAC]])</f>
        <v>9.3150684931506911E-2</v>
      </c>
      <c r="U1496" s="244">
        <f ca="1">Tabla1[[#This Row],[VALID ANTIG]]*Tabla1[[#This Row],[SUE DIA]]*Tabla1[[#This Row],[DIAS VAC PAG]]</f>
        <v>421.50684931506879</v>
      </c>
    </row>
    <row r="1497" spans="2:21" hidden="1" x14ac:dyDescent="0.25">
      <c r="B1497" s="243">
        <v>716</v>
      </c>
      <c r="C1497" s="140" t="str">
        <f>VLOOKUP(B1497,BDD[],2,0)</f>
        <v>Humberto Pacheco Cabrera</v>
      </c>
      <c r="D1497" s="140">
        <f>VLOOKUP(B1497,BDD[],3,0)</f>
        <v>9450</v>
      </c>
      <c r="E1497" s="140">
        <f>VLOOKUP(B1497,BDD[],4,0)</f>
        <v>315</v>
      </c>
      <c r="F1497" s="142">
        <f>VLOOKUP(B1497,BDD[],26,0)</f>
        <v>35</v>
      </c>
      <c r="G1497" s="268">
        <f ca="1">VLOOKUP(B1497,BDD[],6,0)</f>
        <v>44395</v>
      </c>
      <c r="H1497" s="139">
        <f ca="1">VLOOKUP(B1497,BDD[],7,0)</f>
        <v>1</v>
      </c>
      <c r="I1497" s="139">
        <f ca="1">VLOOKUP(B1497,BDD[],22,0)</f>
        <v>5</v>
      </c>
      <c r="J1497" s="168">
        <v>15</v>
      </c>
      <c r="K1497" s="139">
        <f>Tabla1[[#This Row],[DIAS LAB]]*Tabla1[[#This Row],[SUE DIA]]</f>
        <v>4725</v>
      </c>
      <c r="L1497" s="168">
        <v>0</v>
      </c>
      <c r="M1497" s="198">
        <f>Tabla1[[#This Row],[HRS EXT]]*Tabla1[[#This Row],[SUE X HR]]</f>
        <v>0</v>
      </c>
      <c r="N1497" s="168">
        <v>0</v>
      </c>
      <c r="O1497" s="198">
        <f>Tabla1[[#This Row],[ASUETO]]*Tabla1[[#This Row],[SUE DIA]]</f>
        <v>0</v>
      </c>
      <c r="P1497" s="139">
        <f ca="1">IF(Tabla1[[#This Row],[FECHA ING]]&lt;$P$1007,365,_xlfn.DAYS($P$1008,Tabla1[[#This Row],[FECHA ING]])+1)</f>
        <v>365</v>
      </c>
      <c r="Q1497" s="198">
        <f ca="1">INT(30*(Tabla1[[#This Row],[FECHAS CONTB AGNLDO]]/365))</f>
        <v>30</v>
      </c>
      <c r="R1497" s="244">
        <f ca="1">IF($W$32=$W$26,Tabla1[[#This Row],[SUE DIA]]*Tabla1[[#This Row],[DIAS PAG AGNLDO]],0)</f>
        <v>0</v>
      </c>
      <c r="S1497" s="244">
        <f ca="1">(_xlfn.DAYS(TODAY(),Tabla1[[#This Row],[FECHA ING]])/365)</f>
        <v>1</v>
      </c>
      <c r="T1497" s="244">
        <f ca="1">IF(Tabla1[[#This Row],[DIAS VAC]]&gt;1,Tabla1[[#This Row],[DIAS VAC]]-Tabla1[[#This Row],[ANTIG]],Tabla1[[#This Row],[DIAS VAC]])</f>
        <v>1</v>
      </c>
      <c r="U1497" s="244">
        <f ca="1">Tabla1[[#This Row],[VALID ANTIG]]*Tabla1[[#This Row],[SUE DIA]]*Tabla1[[#This Row],[DIAS VAC PAG]]</f>
        <v>1575</v>
      </c>
    </row>
    <row r="1498" spans="2:21" hidden="1" x14ac:dyDescent="0.25">
      <c r="B1498" s="243">
        <v>717</v>
      </c>
      <c r="C1498" s="140" t="str">
        <f>VLOOKUP(B1498,BDD[],2,0)</f>
        <v>Miguel Ángel Arroyo Villegas</v>
      </c>
      <c r="D1498" s="140">
        <f>VLOOKUP(B1498,BDD[],3,0)</f>
        <v>9450</v>
      </c>
      <c r="E1498" s="140">
        <f>VLOOKUP(B1498,BDD[],4,0)</f>
        <v>315</v>
      </c>
      <c r="F1498" s="142">
        <f>VLOOKUP(B1498,BDD[],26,0)</f>
        <v>35</v>
      </c>
      <c r="G1498" s="268">
        <f>VLOOKUP(B1498,BDD[],6,0)</f>
        <v>44437</v>
      </c>
      <c r="H1498" s="139">
        <f ca="1">VLOOKUP(B1498,BDD[],7,0)</f>
        <v>0</v>
      </c>
      <c r="I1498" s="139">
        <f ca="1">VLOOKUP(B1498,BDD[],22,0)</f>
        <v>3</v>
      </c>
      <c r="J1498" s="168">
        <v>15</v>
      </c>
      <c r="K1498" s="139">
        <f>Tabla1[[#This Row],[DIAS LAB]]*Tabla1[[#This Row],[SUE DIA]]</f>
        <v>4725</v>
      </c>
      <c r="L1498" s="168">
        <v>0</v>
      </c>
      <c r="M1498" s="198">
        <f>Tabla1[[#This Row],[HRS EXT]]*Tabla1[[#This Row],[SUE X HR]]</f>
        <v>0</v>
      </c>
      <c r="N1498" s="168">
        <v>0</v>
      </c>
      <c r="O1498" s="198">
        <f>Tabla1[[#This Row],[ASUETO]]*Tabla1[[#This Row],[SUE DIA]]</f>
        <v>0</v>
      </c>
      <c r="P1498" s="139">
        <f>IF(Tabla1[[#This Row],[FECHA ING]]&lt;$P$1007,365,_xlfn.DAYS($P$1008,Tabla1[[#This Row],[FECHA ING]])+1)</f>
        <v>365</v>
      </c>
      <c r="Q1498" s="198">
        <f>INT(30*(Tabla1[[#This Row],[FECHAS CONTB AGNLDO]]/365))</f>
        <v>30</v>
      </c>
      <c r="R1498" s="244">
        <f ca="1">IF($W$32=$W$26,Tabla1[[#This Row],[SUE DIA]]*Tabla1[[#This Row],[DIAS PAG AGNLDO]],0)</f>
        <v>0</v>
      </c>
      <c r="S1498" s="244">
        <f ca="1">(_xlfn.DAYS(TODAY(),Tabla1[[#This Row],[FECHA ING]])/365)</f>
        <v>0.8849315068493151</v>
      </c>
      <c r="T1498" s="244">
        <f ca="1">IF(Tabla1[[#This Row],[DIAS VAC]]&gt;1,Tabla1[[#This Row],[DIAS VAC]]-Tabla1[[#This Row],[ANTIG]],Tabla1[[#This Row],[DIAS VAC]])</f>
        <v>0.8849315068493151</v>
      </c>
      <c r="U1498" s="244">
        <f ca="1">Tabla1[[#This Row],[VALID ANTIG]]*Tabla1[[#This Row],[SUE DIA]]*Tabla1[[#This Row],[DIAS VAC PAG]]</f>
        <v>836.26027397260282</v>
      </c>
    </row>
    <row r="1499" spans="2:21" hidden="1" x14ac:dyDescent="0.25">
      <c r="B1499" s="246">
        <v>719</v>
      </c>
      <c r="C1499" s="140" t="str">
        <f>VLOOKUP(B1499,BDD[],2,0)</f>
        <v>Carlos Peña González</v>
      </c>
      <c r="D1499" s="140">
        <f>VLOOKUP(B1499,BDD[],3,0)</f>
        <v>6778</v>
      </c>
      <c r="E1499" s="140">
        <f>VLOOKUP(B1499,BDD[],4,0)</f>
        <v>225.93333333333334</v>
      </c>
      <c r="F1499" s="142">
        <f>VLOOKUP(B1499,BDD[],26,0)</f>
        <v>25.103703703703705</v>
      </c>
      <c r="G1499" s="268">
        <f>VLOOKUP(B1499,BDD[],6,0)</f>
        <v>44451</v>
      </c>
      <c r="H1499" s="139">
        <f ca="1">VLOOKUP(B1499,BDD[],7,0)</f>
        <v>0</v>
      </c>
      <c r="I1499" s="139">
        <f ca="1">VLOOKUP(B1499,BDD[],22,0)</f>
        <v>1.5</v>
      </c>
      <c r="J1499" s="168">
        <v>15</v>
      </c>
      <c r="K1499" s="139">
        <f>Tabla1[[#This Row],[DIAS LAB]]*Tabla1[[#This Row],[SUE DIA]]</f>
        <v>3389</v>
      </c>
      <c r="L1499" s="168">
        <v>0</v>
      </c>
      <c r="M1499" s="198">
        <f>Tabla1[[#This Row],[HRS EXT]]*Tabla1[[#This Row],[SUE X HR]]</f>
        <v>0</v>
      </c>
      <c r="N1499" s="168">
        <v>0</v>
      </c>
      <c r="O1499" s="198">
        <f>Tabla1[[#This Row],[ASUETO]]*Tabla1[[#This Row],[SUE DIA]]</f>
        <v>0</v>
      </c>
      <c r="P1499" s="139">
        <f>IF(Tabla1[[#This Row],[FECHA ING]]&lt;$P$1007,365,_xlfn.DAYS($P$1008,Tabla1[[#This Row],[FECHA ING]])+1)</f>
        <v>365</v>
      </c>
      <c r="Q1499" s="198">
        <f>INT(30*(Tabla1[[#This Row],[FECHAS CONTB AGNLDO]]/365))</f>
        <v>30</v>
      </c>
      <c r="R1499" s="244">
        <f ca="1">IF($W$32=$W$26,Tabla1[[#This Row],[SUE DIA]]*Tabla1[[#This Row],[DIAS PAG AGNLDO]],0)</f>
        <v>0</v>
      </c>
      <c r="S1499" s="244">
        <f ca="1">(_xlfn.DAYS(TODAY(),Tabla1[[#This Row],[FECHA ING]])/365)</f>
        <v>0.84657534246575339</v>
      </c>
      <c r="T1499" s="244">
        <f ca="1">IF(Tabla1[[#This Row],[DIAS VAC]]&gt;1,Tabla1[[#This Row],[DIAS VAC]]-Tabla1[[#This Row],[ANTIG]],Tabla1[[#This Row],[DIAS VAC]])</f>
        <v>0.84657534246575339</v>
      </c>
      <c r="U1499" s="244">
        <f ca="1">Tabla1[[#This Row],[VALID ANTIG]]*Tabla1[[#This Row],[SUE DIA]]*Tabla1[[#This Row],[DIAS VAC PAG]]</f>
        <v>286.90438356164384</v>
      </c>
    </row>
    <row r="1500" spans="2:21" hidden="1" x14ac:dyDescent="0.25">
      <c r="B1500" s="243">
        <v>720</v>
      </c>
      <c r="C1500" s="140" t="str">
        <f>VLOOKUP(B1500,BDD[],2,0)</f>
        <v>Julian Mejia Hernandez</v>
      </c>
      <c r="D1500" s="140">
        <f>VLOOKUP(B1500,BDD[],3,0)</f>
        <v>10350</v>
      </c>
      <c r="E1500" s="140">
        <f>VLOOKUP(B1500,BDD[],4,0)</f>
        <v>345</v>
      </c>
      <c r="F1500" s="142">
        <f>VLOOKUP(B1500,BDD[],26,0)</f>
        <v>38.333333333333336</v>
      </c>
      <c r="G1500" s="268">
        <f>VLOOKUP(B1500,BDD[],6,0)</f>
        <v>44452</v>
      </c>
      <c r="H1500" s="139">
        <f ca="1">VLOOKUP(B1500,BDD[],7,0)</f>
        <v>0</v>
      </c>
      <c r="I1500" s="139">
        <f ca="1">VLOOKUP(B1500,BDD[],22,0)</f>
        <v>3</v>
      </c>
      <c r="J1500" s="168">
        <v>15</v>
      </c>
      <c r="K1500" s="139">
        <f>Tabla1[[#This Row],[DIAS LAB]]*Tabla1[[#This Row],[SUE DIA]]</f>
        <v>5175</v>
      </c>
      <c r="L1500" s="168">
        <v>0</v>
      </c>
      <c r="M1500" s="198">
        <f>Tabla1[[#This Row],[HRS EXT]]*Tabla1[[#This Row],[SUE X HR]]</f>
        <v>0</v>
      </c>
      <c r="N1500" s="168">
        <v>0</v>
      </c>
      <c r="O1500" s="198">
        <f>Tabla1[[#This Row],[ASUETO]]*Tabla1[[#This Row],[SUE DIA]]</f>
        <v>0</v>
      </c>
      <c r="P1500" s="139">
        <f>IF(Tabla1[[#This Row],[FECHA ING]]&lt;$P$1007,365,_xlfn.DAYS($P$1008,Tabla1[[#This Row],[FECHA ING]])+1)</f>
        <v>365</v>
      </c>
      <c r="Q1500" s="198">
        <f>INT(30*(Tabla1[[#This Row],[FECHAS CONTB AGNLDO]]/365))</f>
        <v>30</v>
      </c>
      <c r="R1500" s="244">
        <f ca="1">IF($W$32=$W$26,Tabla1[[#This Row],[SUE DIA]]*Tabla1[[#This Row],[DIAS PAG AGNLDO]],0)</f>
        <v>0</v>
      </c>
      <c r="S1500" s="244">
        <f ca="1">(_xlfn.DAYS(TODAY(),Tabla1[[#This Row],[FECHA ING]])/365)</f>
        <v>0.84383561643835614</v>
      </c>
      <c r="T1500" s="244">
        <f ca="1">IF(Tabla1[[#This Row],[DIAS VAC]]&gt;1,Tabla1[[#This Row],[DIAS VAC]]-Tabla1[[#This Row],[ANTIG]],Tabla1[[#This Row],[DIAS VAC]])</f>
        <v>0.84383561643835614</v>
      </c>
      <c r="U1500" s="244">
        <f ca="1">Tabla1[[#This Row],[VALID ANTIG]]*Tabla1[[#This Row],[SUE DIA]]*Tabla1[[#This Row],[DIAS VAC PAG]]</f>
        <v>873.36986301369848</v>
      </c>
    </row>
    <row r="1501" spans="2:21" hidden="1" x14ac:dyDescent="0.25">
      <c r="B1501" s="243">
        <v>721</v>
      </c>
      <c r="C1501" s="140" t="str">
        <f>VLOOKUP(B1501,BDD[],2,0)</f>
        <v>Edwin Palma Alvarez</v>
      </c>
      <c r="D1501" s="140">
        <f>VLOOKUP(B1501,BDD[],3,0)</f>
        <v>9541</v>
      </c>
      <c r="E1501" s="140">
        <f>VLOOKUP(B1501,BDD[],4,0)</f>
        <v>318.03333333333336</v>
      </c>
      <c r="F1501" s="142">
        <f>VLOOKUP(B1501,BDD[],26,0)</f>
        <v>35.337037037037042</v>
      </c>
      <c r="G1501" s="268">
        <f>VLOOKUP(B1501,BDD[],6,0)</f>
        <v>44452</v>
      </c>
      <c r="H1501" s="139">
        <f ca="1">VLOOKUP(B1501,BDD[],7,0)</f>
        <v>0</v>
      </c>
      <c r="I1501" s="139">
        <f ca="1">VLOOKUP(B1501,BDD[],22,0)</f>
        <v>3</v>
      </c>
      <c r="J1501" s="168">
        <v>15</v>
      </c>
      <c r="K1501" s="139">
        <f>Tabla1[[#This Row],[DIAS LAB]]*Tabla1[[#This Row],[SUE DIA]]</f>
        <v>4770.5</v>
      </c>
      <c r="L1501" s="168">
        <v>0</v>
      </c>
      <c r="M1501" s="198">
        <f>Tabla1[[#This Row],[HRS EXT]]*Tabla1[[#This Row],[SUE X HR]]</f>
        <v>0</v>
      </c>
      <c r="N1501" s="168">
        <v>0</v>
      </c>
      <c r="O1501" s="198">
        <f>Tabla1[[#This Row],[ASUETO]]*Tabla1[[#This Row],[SUE DIA]]</f>
        <v>0</v>
      </c>
      <c r="P1501" s="139">
        <f>IF(Tabla1[[#This Row],[FECHA ING]]&lt;$P$1007,365,_xlfn.DAYS($P$1008,Tabla1[[#This Row],[FECHA ING]])+1)</f>
        <v>365</v>
      </c>
      <c r="Q1501" s="198">
        <f>INT(30*(Tabla1[[#This Row],[FECHAS CONTB AGNLDO]]/365))</f>
        <v>30</v>
      </c>
      <c r="R1501" s="244">
        <f ca="1">IF($W$32=$W$26,Tabla1[[#This Row],[SUE DIA]]*Tabla1[[#This Row],[DIAS PAG AGNLDO]],0)</f>
        <v>0</v>
      </c>
      <c r="S1501" s="244">
        <f ca="1">(_xlfn.DAYS(TODAY(),Tabla1[[#This Row],[FECHA ING]])/365)</f>
        <v>0.84383561643835614</v>
      </c>
      <c r="T1501" s="244">
        <f ca="1">IF(Tabla1[[#This Row],[DIAS VAC]]&gt;1,Tabla1[[#This Row],[DIAS VAC]]-Tabla1[[#This Row],[ANTIG]],Tabla1[[#This Row],[DIAS VAC]])</f>
        <v>0.84383561643835614</v>
      </c>
      <c r="U1501" s="244">
        <f ca="1">Tabla1[[#This Row],[VALID ANTIG]]*Tabla1[[#This Row],[SUE DIA]]*Tabla1[[#This Row],[DIAS VAC PAG]]</f>
        <v>805.10356164383575</v>
      </c>
    </row>
    <row r="1502" spans="2:21" hidden="1" x14ac:dyDescent="0.25">
      <c r="B1502" s="243">
        <v>722</v>
      </c>
      <c r="C1502" s="140" t="str">
        <f>VLOOKUP(B1502,BDD[],2,0)</f>
        <v>Clara Guadalupe Ramirez Mata</v>
      </c>
      <c r="D1502" s="140">
        <f>VLOOKUP(B1502,BDD[],3,0)</f>
        <v>7445</v>
      </c>
      <c r="E1502" s="140">
        <f>VLOOKUP(B1502,BDD[],4,0)</f>
        <v>248.16666666666666</v>
      </c>
      <c r="F1502" s="142">
        <f>VLOOKUP(B1502,BDD[],26,0)</f>
        <v>27.574074074074073</v>
      </c>
      <c r="G1502" s="268">
        <f>VLOOKUP(B1502,BDD[],6,0)</f>
        <v>44468</v>
      </c>
      <c r="H1502" s="139">
        <f ca="1">VLOOKUP(B1502,BDD[],7,0)</f>
        <v>0</v>
      </c>
      <c r="I1502" s="139">
        <f ca="1">VLOOKUP(B1502,BDD[],22,0)</f>
        <v>3</v>
      </c>
      <c r="J1502" s="168">
        <v>15</v>
      </c>
      <c r="K1502" s="139">
        <f>Tabla1[[#This Row],[DIAS LAB]]*Tabla1[[#This Row],[SUE DIA]]</f>
        <v>3722.5</v>
      </c>
      <c r="L1502" s="168">
        <v>1</v>
      </c>
      <c r="M1502" s="198">
        <f>Tabla1[[#This Row],[HRS EXT]]*Tabla1[[#This Row],[SUE X HR]]</f>
        <v>27.574074074074073</v>
      </c>
      <c r="N1502" s="168">
        <v>0</v>
      </c>
      <c r="O1502" s="198">
        <f>Tabla1[[#This Row],[ASUETO]]*Tabla1[[#This Row],[SUE DIA]]</f>
        <v>0</v>
      </c>
      <c r="P1502" s="139">
        <f>IF(Tabla1[[#This Row],[FECHA ING]]&lt;$P$1007,365,_xlfn.DAYS($P$1008,Tabla1[[#This Row],[FECHA ING]])+1)</f>
        <v>365</v>
      </c>
      <c r="Q1502" s="198">
        <f>INT(30*(Tabla1[[#This Row],[FECHAS CONTB AGNLDO]]/365))</f>
        <v>30</v>
      </c>
      <c r="R1502" s="244">
        <f ca="1">IF($W$32=$W$26,Tabla1[[#This Row],[SUE DIA]]*Tabla1[[#This Row],[DIAS PAG AGNLDO]],0)</f>
        <v>0</v>
      </c>
      <c r="S1502" s="244">
        <f ca="1">(_xlfn.DAYS(TODAY(),Tabla1[[#This Row],[FECHA ING]])/365)</f>
        <v>0.8</v>
      </c>
      <c r="T1502" s="244">
        <f ca="1">IF(Tabla1[[#This Row],[DIAS VAC]]&gt;1,Tabla1[[#This Row],[DIAS VAC]]-Tabla1[[#This Row],[ANTIG]],Tabla1[[#This Row],[DIAS VAC]])</f>
        <v>0.8</v>
      </c>
      <c r="U1502" s="244">
        <f ca="1">Tabla1[[#This Row],[VALID ANTIG]]*Tabla1[[#This Row],[SUE DIA]]*Tabla1[[#This Row],[DIAS VAC PAG]]</f>
        <v>595.6</v>
      </c>
    </row>
    <row r="1503" spans="2:21" hidden="1" x14ac:dyDescent="0.25">
      <c r="B1503" s="243">
        <v>723</v>
      </c>
      <c r="C1503" s="140" t="str">
        <f>VLOOKUP(B1503,BDD[],2,0)</f>
        <v>Jair Alejandro Garza Elizondo</v>
      </c>
      <c r="D1503" s="140">
        <f>VLOOKUP(B1503,BDD[],3,0)</f>
        <v>7445</v>
      </c>
      <c r="E1503" s="140">
        <f>VLOOKUP(B1503,BDD[],4,0)</f>
        <v>248.16666666666666</v>
      </c>
      <c r="F1503" s="142">
        <f>VLOOKUP(B1503,BDD[],26,0)</f>
        <v>27.574074074074073</v>
      </c>
      <c r="G1503" s="268">
        <f>VLOOKUP(B1503,BDD[],6,0)</f>
        <v>44472</v>
      </c>
      <c r="H1503" s="139">
        <f ca="1">VLOOKUP(B1503,BDD[],7,0)</f>
        <v>0</v>
      </c>
      <c r="I1503" s="139">
        <f ca="1">VLOOKUP(B1503,BDD[],22,0)</f>
        <v>3</v>
      </c>
      <c r="J1503" s="168">
        <v>15</v>
      </c>
      <c r="K1503" s="139">
        <f>Tabla1[[#This Row],[DIAS LAB]]*Tabla1[[#This Row],[SUE DIA]]</f>
        <v>3722.5</v>
      </c>
      <c r="L1503" s="168">
        <v>0</v>
      </c>
      <c r="M1503" s="198">
        <f>Tabla1[[#This Row],[HRS EXT]]*Tabla1[[#This Row],[SUE X HR]]</f>
        <v>0</v>
      </c>
      <c r="N1503" s="168">
        <v>0</v>
      </c>
      <c r="O1503" s="198">
        <f>Tabla1[[#This Row],[ASUETO]]*Tabla1[[#This Row],[SUE DIA]]</f>
        <v>0</v>
      </c>
      <c r="P1503" s="139">
        <f>IF(Tabla1[[#This Row],[FECHA ING]]&lt;$P$1007,365,_xlfn.DAYS($P$1008,Tabla1[[#This Row],[FECHA ING]])+1)</f>
        <v>365</v>
      </c>
      <c r="Q1503" s="198">
        <f>INT(30*(Tabla1[[#This Row],[FECHAS CONTB AGNLDO]]/365))</f>
        <v>30</v>
      </c>
      <c r="R1503" s="244">
        <f ca="1">IF($W$32=$W$26,Tabla1[[#This Row],[SUE DIA]]*Tabla1[[#This Row],[DIAS PAG AGNLDO]],0)</f>
        <v>0</v>
      </c>
      <c r="S1503" s="244">
        <f ca="1">(_xlfn.DAYS(TODAY(),Tabla1[[#This Row],[FECHA ING]])/365)</f>
        <v>0.78904109589041094</v>
      </c>
      <c r="T1503" s="244">
        <f ca="1">IF(Tabla1[[#This Row],[DIAS VAC]]&gt;1,Tabla1[[#This Row],[DIAS VAC]]-Tabla1[[#This Row],[ANTIG]],Tabla1[[#This Row],[DIAS VAC]])</f>
        <v>0.78904109589041094</v>
      </c>
      <c r="U1503" s="244">
        <f ca="1">Tabla1[[#This Row],[VALID ANTIG]]*Tabla1[[#This Row],[SUE DIA]]*Tabla1[[#This Row],[DIAS VAC PAG]]</f>
        <v>587.44109589041091</v>
      </c>
    </row>
    <row r="1504" spans="2:21" hidden="1" x14ac:dyDescent="0.25">
      <c r="B1504" s="243">
        <v>724</v>
      </c>
      <c r="C1504" s="140" t="str">
        <f>VLOOKUP(B1504,BDD[],2,0)</f>
        <v>Stephany Alondra Sarmiento Hernández</v>
      </c>
      <c r="D1504" s="140">
        <f>VLOOKUP(B1504,BDD[],3,0)</f>
        <v>7950</v>
      </c>
      <c r="E1504" s="140">
        <f>VLOOKUP(B1504,BDD[],4,0)</f>
        <v>265</v>
      </c>
      <c r="F1504" s="142">
        <f>VLOOKUP(B1504,BDD[],26,0)</f>
        <v>29.444444444444443</v>
      </c>
      <c r="G1504" s="268">
        <f>VLOOKUP(B1504,BDD[],6,0)</f>
        <v>44480</v>
      </c>
      <c r="H1504" s="139">
        <f ca="1">VLOOKUP(B1504,BDD[],7,0)</f>
        <v>0</v>
      </c>
      <c r="I1504" s="139">
        <f ca="1">VLOOKUP(B1504,BDD[],22,0)</f>
        <v>3</v>
      </c>
      <c r="J1504" s="168">
        <v>15</v>
      </c>
      <c r="K1504" s="139">
        <f>Tabla1[[#This Row],[DIAS LAB]]*Tabla1[[#This Row],[SUE DIA]]</f>
        <v>3975</v>
      </c>
      <c r="L1504" s="168">
        <v>0</v>
      </c>
      <c r="M1504" s="198">
        <f>Tabla1[[#This Row],[HRS EXT]]*Tabla1[[#This Row],[SUE X HR]]</f>
        <v>0</v>
      </c>
      <c r="N1504" s="168">
        <v>0</v>
      </c>
      <c r="O1504" s="198">
        <f>Tabla1[[#This Row],[ASUETO]]*Tabla1[[#This Row],[SUE DIA]]</f>
        <v>0</v>
      </c>
      <c r="P1504" s="139">
        <f>IF(Tabla1[[#This Row],[FECHA ING]]&lt;$P$1007,365,_xlfn.DAYS($P$1008,Tabla1[[#This Row],[FECHA ING]])+1)</f>
        <v>365</v>
      </c>
      <c r="Q1504" s="198">
        <f>INT(30*(Tabla1[[#This Row],[FECHAS CONTB AGNLDO]]/365))</f>
        <v>30</v>
      </c>
      <c r="R1504" s="244">
        <f ca="1">IF($W$32=$W$26,Tabla1[[#This Row],[SUE DIA]]*Tabla1[[#This Row],[DIAS PAG AGNLDO]],0)</f>
        <v>0</v>
      </c>
      <c r="S1504" s="244">
        <f ca="1">(_xlfn.DAYS(TODAY(),Tabla1[[#This Row],[FECHA ING]])/365)</f>
        <v>0.76712328767123283</v>
      </c>
      <c r="T1504" s="244">
        <f ca="1">IF(Tabla1[[#This Row],[DIAS VAC]]&gt;1,Tabla1[[#This Row],[DIAS VAC]]-Tabla1[[#This Row],[ANTIG]],Tabla1[[#This Row],[DIAS VAC]])</f>
        <v>0.76712328767123283</v>
      </c>
      <c r="U1504" s="244">
        <f ca="1">Tabla1[[#This Row],[VALID ANTIG]]*Tabla1[[#This Row],[SUE DIA]]*Tabla1[[#This Row],[DIAS VAC PAG]]</f>
        <v>609.86301369863008</v>
      </c>
    </row>
    <row r="1505" spans="2:21" hidden="1" x14ac:dyDescent="0.25">
      <c r="B1505" s="243">
        <v>725</v>
      </c>
      <c r="C1505" s="140" t="str">
        <f>VLOOKUP(B1505,BDD[],2,0)</f>
        <v>Nancy Abigail Cazares Herrera</v>
      </c>
      <c r="D1505" s="140">
        <f>VLOOKUP(B1505,BDD[],3,0)</f>
        <v>9450</v>
      </c>
      <c r="E1505" s="140">
        <f>VLOOKUP(B1505,BDD[],4,0)</f>
        <v>315</v>
      </c>
      <c r="F1505" s="142">
        <f>VLOOKUP(B1505,BDD[],26,0)</f>
        <v>35</v>
      </c>
      <c r="G1505" s="268">
        <f>VLOOKUP(B1505,BDD[],6,0)</f>
        <v>44481</v>
      </c>
      <c r="H1505" s="139">
        <f ca="1">VLOOKUP(B1505,BDD[],7,0)</f>
        <v>0</v>
      </c>
      <c r="I1505" s="139">
        <f ca="1">VLOOKUP(B1505,BDD[],22,0)</f>
        <v>3</v>
      </c>
      <c r="J1505" s="168">
        <v>15</v>
      </c>
      <c r="K1505" s="139">
        <f>Tabla1[[#This Row],[DIAS LAB]]*Tabla1[[#This Row],[SUE DIA]]</f>
        <v>4725</v>
      </c>
      <c r="L1505" s="168">
        <v>0</v>
      </c>
      <c r="M1505" s="198">
        <f>Tabla1[[#This Row],[HRS EXT]]*Tabla1[[#This Row],[SUE X HR]]</f>
        <v>0</v>
      </c>
      <c r="N1505" s="168">
        <v>0</v>
      </c>
      <c r="O1505" s="198">
        <f>Tabla1[[#This Row],[ASUETO]]*Tabla1[[#This Row],[SUE DIA]]</f>
        <v>0</v>
      </c>
      <c r="P1505" s="139">
        <f>IF(Tabla1[[#This Row],[FECHA ING]]&lt;$P$1007,365,_xlfn.DAYS($P$1008,Tabla1[[#This Row],[FECHA ING]])+1)</f>
        <v>365</v>
      </c>
      <c r="Q1505" s="198">
        <f>INT(30*(Tabla1[[#This Row],[FECHAS CONTB AGNLDO]]/365))</f>
        <v>30</v>
      </c>
      <c r="R1505" s="244">
        <f ca="1">IF($W$32=$W$26,Tabla1[[#This Row],[SUE DIA]]*Tabla1[[#This Row],[DIAS PAG AGNLDO]],0)</f>
        <v>0</v>
      </c>
      <c r="S1505" s="244">
        <f ca="1">(_xlfn.DAYS(TODAY(),Tabla1[[#This Row],[FECHA ING]])/365)</f>
        <v>0.76438356164383559</v>
      </c>
      <c r="T1505" s="244">
        <f ca="1">IF(Tabla1[[#This Row],[DIAS VAC]]&gt;1,Tabla1[[#This Row],[DIAS VAC]]-Tabla1[[#This Row],[ANTIG]],Tabla1[[#This Row],[DIAS VAC]])</f>
        <v>0.76438356164383559</v>
      </c>
      <c r="U1505" s="244">
        <f ca="1">Tabla1[[#This Row],[VALID ANTIG]]*Tabla1[[#This Row],[SUE DIA]]*Tabla1[[#This Row],[DIAS VAC PAG]]</f>
        <v>722.34246575342456</v>
      </c>
    </row>
    <row r="1506" spans="2:21" hidden="1" x14ac:dyDescent="0.25">
      <c r="B1506" s="243">
        <v>726</v>
      </c>
      <c r="C1506" s="140" t="str">
        <f>VLOOKUP(B1506,BDD[],2,0)</f>
        <v>Devany Maríana Galvan Galvan</v>
      </c>
      <c r="D1506" s="140">
        <f>VLOOKUP(B1506,BDD[],3,0)</f>
        <v>9541</v>
      </c>
      <c r="E1506" s="140">
        <f>VLOOKUP(B1506,BDD[],4,0)</f>
        <v>318.03333333333336</v>
      </c>
      <c r="F1506" s="142">
        <f>VLOOKUP(B1506,BDD[],26,0)</f>
        <v>35.337037037037042</v>
      </c>
      <c r="G1506" s="268">
        <f>VLOOKUP(B1506,BDD[],6,0)</f>
        <v>44481</v>
      </c>
      <c r="H1506" s="139">
        <f ca="1">VLOOKUP(B1506,BDD[],7,0)</f>
        <v>0</v>
      </c>
      <c r="I1506" s="139">
        <f ca="1">VLOOKUP(B1506,BDD[],22,0)</f>
        <v>3</v>
      </c>
      <c r="J1506" s="168">
        <v>15</v>
      </c>
      <c r="K1506" s="139">
        <f>Tabla1[[#This Row],[DIAS LAB]]*Tabla1[[#This Row],[SUE DIA]]</f>
        <v>4770.5</v>
      </c>
      <c r="L1506" s="168">
        <v>0</v>
      </c>
      <c r="M1506" s="198">
        <f>Tabla1[[#This Row],[HRS EXT]]*Tabla1[[#This Row],[SUE X HR]]</f>
        <v>0</v>
      </c>
      <c r="N1506" s="168">
        <v>0</v>
      </c>
      <c r="O1506" s="198">
        <f>Tabla1[[#This Row],[ASUETO]]*Tabla1[[#This Row],[SUE DIA]]</f>
        <v>0</v>
      </c>
      <c r="P1506" s="139">
        <f>IF(Tabla1[[#This Row],[FECHA ING]]&lt;$P$1007,365,_xlfn.DAYS($P$1008,Tabla1[[#This Row],[FECHA ING]])+1)</f>
        <v>365</v>
      </c>
      <c r="Q1506" s="198">
        <f>INT(30*(Tabla1[[#This Row],[FECHAS CONTB AGNLDO]]/365))</f>
        <v>30</v>
      </c>
      <c r="R1506" s="244">
        <f ca="1">IF($W$32=$W$26,Tabla1[[#This Row],[SUE DIA]]*Tabla1[[#This Row],[DIAS PAG AGNLDO]],0)</f>
        <v>0</v>
      </c>
      <c r="S1506" s="244">
        <f ca="1">(_xlfn.DAYS(TODAY(),Tabla1[[#This Row],[FECHA ING]])/365)</f>
        <v>0.76438356164383559</v>
      </c>
      <c r="T1506" s="244">
        <f ca="1">IF(Tabla1[[#This Row],[DIAS VAC]]&gt;1,Tabla1[[#This Row],[DIAS VAC]]-Tabla1[[#This Row],[ANTIG]],Tabla1[[#This Row],[DIAS VAC]])</f>
        <v>0.76438356164383559</v>
      </c>
      <c r="U1506" s="244">
        <f ca="1">Tabla1[[#This Row],[VALID ANTIG]]*Tabla1[[#This Row],[SUE DIA]]*Tabla1[[#This Row],[DIAS VAC PAG]]</f>
        <v>729.29835616438368</v>
      </c>
    </row>
    <row r="1507" spans="2:21" hidden="1" x14ac:dyDescent="0.25">
      <c r="B1507" s="243">
        <v>728</v>
      </c>
      <c r="C1507" s="140" t="str">
        <f>VLOOKUP(B1507,BDD[],2,0)</f>
        <v>Maritza Samantha Ramos Serna</v>
      </c>
      <c r="D1507" s="140">
        <f>VLOOKUP(B1507,BDD[],3,0)</f>
        <v>9541</v>
      </c>
      <c r="E1507" s="140">
        <f>VLOOKUP(B1507,BDD[],4,0)</f>
        <v>318.03333333333336</v>
      </c>
      <c r="F1507" s="142">
        <f>VLOOKUP(B1507,BDD[],26,0)</f>
        <v>35.337037037037042</v>
      </c>
      <c r="G1507" s="268">
        <f>VLOOKUP(B1507,BDD[],6,0)</f>
        <v>44481</v>
      </c>
      <c r="H1507" s="139">
        <f ca="1">VLOOKUP(B1507,BDD[],7,0)</f>
        <v>0</v>
      </c>
      <c r="I1507" s="139">
        <f ca="1">VLOOKUP(B1507,BDD[],22,0)</f>
        <v>3</v>
      </c>
      <c r="J1507" s="168">
        <v>15</v>
      </c>
      <c r="K1507" s="139">
        <f>Tabla1[[#This Row],[DIAS LAB]]*Tabla1[[#This Row],[SUE DIA]]</f>
        <v>4770.5</v>
      </c>
      <c r="L1507" s="168">
        <v>0</v>
      </c>
      <c r="M1507" s="198">
        <f>Tabla1[[#This Row],[HRS EXT]]*Tabla1[[#This Row],[SUE X HR]]</f>
        <v>0</v>
      </c>
      <c r="N1507" s="168">
        <v>0</v>
      </c>
      <c r="O1507" s="198">
        <f>Tabla1[[#This Row],[ASUETO]]*Tabla1[[#This Row],[SUE DIA]]</f>
        <v>0</v>
      </c>
      <c r="P1507" s="139">
        <f>IF(Tabla1[[#This Row],[FECHA ING]]&lt;$P$1007,365,_xlfn.DAYS($P$1008,Tabla1[[#This Row],[FECHA ING]])+1)</f>
        <v>365</v>
      </c>
      <c r="Q1507" s="198">
        <f>INT(30*(Tabla1[[#This Row],[FECHAS CONTB AGNLDO]]/365))</f>
        <v>30</v>
      </c>
      <c r="R1507" s="244">
        <f ca="1">IF($W$32=$W$26,Tabla1[[#This Row],[SUE DIA]]*Tabla1[[#This Row],[DIAS PAG AGNLDO]],0)</f>
        <v>0</v>
      </c>
      <c r="S1507" s="244">
        <f ca="1">(_xlfn.DAYS(TODAY(),Tabla1[[#This Row],[FECHA ING]])/365)</f>
        <v>0.76438356164383559</v>
      </c>
      <c r="T1507" s="244">
        <f ca="1">IF(Tabla1[[#This Row],[DIAS VAC]]&gt;1,Tabla1[[#This Row],[DIAS VAC]]-Tabla1[[#This Row],[ANTIG]],Tabla1[[#This Row],[DIAS VAC]])</f>
        <v>0.76438356164383559</v>
      </c>
      <c r="U1507" s="244">
        <f ca="1">Tabla1[[#This Row],[VALID ANTIG]]*Tabla1[[#This Row],[SUE DIA]]*Tabla1[[#This Row],[DIAS VAC PAG]]</f>
        <v>729.29835616438368</v>
      </c>
    </row>
    <row r="1508" spans="2:21" hidden="1" x14ac:dyDescent="0.25">
      <c r="B1508" s="243">
        <v>730</v>
      </c>
      <c r="C1508" s="140" t="str">
        <f>VLOOKUP(B1508,BDD[],2,0)</f>
        <v>Areli Suzette Vázquez Hernández</v>
      </c>
      <c r="D1508" s="140">
        <f>VLOOKUP(B1508,BDD[],3,0)</f>
        <v>9450</v>
      </c>
      <c r="E1508" s="140">
        <f>VLOOKUP(B1508,BDD[],4,0)</f>
        <v>315</v>
      </c>
      <c r="F1508" s="142">
        <f>VLOOKUP(B1508,BDD[],26,0)</f>
        <v>35</v>
      </c>
      <c r="G1508" s="268">
        <f>VLOOKUP(B1508,BDD[],6,0)</f>
        <v>44484</v>
      </c>
      <c r="H1508" s="139">
        <f ca="1">VLOOKUP(B1508,BDD[],7,0)</f>
        <v>0</v>
      </c>
      <c r="I1508" s="139">
        <f ca="1">VLOOKUP(B1508,BDD[],22,0)</f>
        <v>3</v>
      </c>
      <c r="J1508" s="168">
        <v>15</v>
      </c>
      <c r="K1508" s="139">
        <f>Tabla1[[#This Row],[DIAS LAB]]*Tabla1[[#This Row],[SUE DIA]]</f>
        <v>4725</v>
      </c>
      <c r="L1508" s="168">
        <v>0</v>
      </c>
      <c r="M1508" s="198">
        <f>Tabla1[[#This Row],[HRS EXT]]*Tabla1[[#This Row],[SUE X HR]]</f>
        <v>0</v>
      </c>
      <c r="N1508" s="168">
        <v>0</v>
      </c>
      <c r="O1508" s="198">
        <f>Tabla1[[#This Row],[ASUETO]]*Tabla1[[#This Row],[SUE DIA]]</f>
        <v>0</v>
      </c>
      <c r="P1508" s="139">
        <f>IF(Tabla1[[#This Row],[FECHA ING]]&lt;$P$1007,365,_xlfn.DAYS($P$1008,Tabla1[[#This Row],[FECHA ING]])+1)</f>
        <v>365</v>
      </c>
      <c r="Q1508" s="198">
        <f>INT(30*(Tabla1[[#This Row],[FECHAS CONTB AGNLDO]]/365))</f>
        <v>30</v>
      </c>
      <c r="R1508" s="244">
        <f ca="1">IF($W$32=$W$26,Tabla1[[#This Row],[SUE DIA]]*Tabla1[[#This Row],[DIAS PAG AGNLDO]],0)</f>
        <v>0</v>
      </c>
      <c r="S1508" s="244">
        <f ca="1">(_xlfn.DAYS(TODAY(),Tabla1[[#This Row],[FECHA ING]])/365)</f>
        <v>0.75616438356164384</v>
      </c>
      <c r="T1508" s="244">
        <f ca="1">IF(Tabla1[[#This Row],[DIAS VAC]]&gt;1,Tabla1[[#This Row],[DIAS VAC]]-Tabla1[[#This Row],[ANTIG]],Tabla1[[#This Row],[DIAS VAC]])</f>
        <v>0.75616438356164384</v>
      </c>
      <c r="U1508" s="244">
        <f ca="1">Tabla1[[#This Row],[VALID ANTIG]]*Tabla1[[#This Row],[SUE DIA]]*Tabla1[[#This Row],[DIAS VAC PAG]]</f>
        <v>714.57534246575347</v>
      </c>
    </row>
    <row r="1509" spans="2:21" hidden="1" x14ac:dyDescent="0.25">
      <c r="B1509" s="243">
        <v>731</v>
      </c>
      <c r="C1509" s="140" t="str">
        <f>VLOOKUP(B1509,BDD[],2,0)</f>
        <v>Silvia Villalva Guzman</v>
      </c>
      <c r="D1509" s="140">
        <f>VLOOKUP(B1509,BDD[],3,0)</f>
        <v>8825</v>
      </c>
      <c r="E1509" s="140">
        <f>VLOOKUP(B1509,BDD[],4,0)</f>
        <v>294.16666666666669</v>
      </c>
      <c r="F1509" s="142">
        <f>VLOOKUP(B1509,BDD[],26,0)</f>
        <v>32.68518518518519</v>
      </c>
      <c r="G1509" s="268">
        <f>VLOOKUP(B1509,BDD[],6,0)</f>
        <v>44486</v>
      </c>
      <c r="H1509" s="139">
        <f ca="1">VLOOKUP(B1509,BDD[],7,0)</f>
        <v>0</v>
      </c>
      <c r="I1509" s="139">
        <f ca="1">VLOOKUP(B1509,BDD[],22,0)</f>
        <v>3</v>
      </c>
      <c r="J1509" s="168">
        <v>15</v>
      </c>
      <c r="K1509" s="139">
        <f>Tabla1[[#This Row],[DIAS LAB]]*Tabla1[[#This Row],[SUE DIA]]</f>
        <v>4412.5</v>
      </c>
      <c r="L1509" s="168">
        <v>0</v>
      </c>
      <c r="M1509" s="198">
        <f>Tabla1[[#This Row],[HRS EXT]]*Tabla1[[#This Row],[SUE X HR]]</f>
        <v>0</v>
      </c>
      <c r="N1509" s="168">
        <v>0</v>
      </c>
      <c r="O1509" s="198">
        <f>Tabla1[[#This Row],[ASUETO]]*Tabla1[[#This Row],[SUE DIA]]</f>
        <v>0</v>
      </c>
      <c r="P1509" s="139">
        <f>IF(Tabla1[[#This Row],[FECHA ING]]&lt;$P$1007,365,_xlfn.DAYS($P$1008,Tabla1[[#This Row],[FECHA ING]])+1)</f>
        <v>365</v>
      </c>
      <c r="Q1509" s="198">
        <f>INT(30*(Tabla1[[#This Row],[FECHAS CONTB AGNLDO]]/365))</f>
        <v>30</v>
      </c>
      <c r="R1509" s="244">
        <f ca="1">IF($W$32=$W$26,Tabla1[[#This Row],[SUE DIA]]*Tabla1[[#This Row],[DIAS PAG AGNLDO]],0)</f>
        <v>0</v>
      </c>
      <c r="S1509" s="244">
        <f ca="1">(_xlfn.DAYS(TODAY(),Tabla1[[#This Row],[FECHA ING]])/365)</f>
        <v>0.75068493150684934</v>
      </c>
      <c r="T1509" s="244">
        <f ca="1">IF(Tabla1[[#This Row],[DIAS VAC]]&gt;1,Tabla1[[#This Row],[DIAS VAC]]-Tabla1[[#This Row],[ANTIG]],Tabla1[[#This Row],[DIAS VAC]])</f>
        <v>0.75068493150684934</v>
      </c>
      <c r="U1509" s="244">
        <f ca="1">Tabla1[[#This Row],[VALID ANTIG]]*Tabla1[[#This Row],[SUE DIA]]*Tabla1[[#This Row],[DIAS VAC PAG]]</f>
        <v>662.47945205479459</v>
      </c>
    </row>
    <row r="1510" spans="2:21" hidden="1" x14ac:dyDescent="0.25">
      <c r="B1510" s="243">
        <v>733</v>
      </c>
      <c r="C1510" s="140" t="str">
        <f>VLOOKUP(B1510,BDD[],2,0)</f>
        <v>María Guadalupe Carrillo Chavez</v>
      </c>
      <c r="D1510" s="140">
        <f>VLOOKUP(B1510,BDD[],3,0)</f>
        <v>7445</v>
      </c>
      <c r="E1510" s="140">
        <f>VLOOKUP(B1510,BDD[],4,0)</f>
        <v>248.16666666666666</v>
      </c>
      <c r="F1510" s="142">
        <f>VLOOKUP(B1510,BDD[],26,0)</f>
        <v>27.574074074074073</v>
      </c>
      <c r="G1510" s="268">
        <f>VLOOKUP(B1510,BDD[],6,0)</f>
        <v>44491</v>
      </c>
      <c r="H1510" s="139">
        <f ca="1">VLOOKUP(B1510,BDD[],7,0)</f>
        <v>0</v>
      </c>
      <c r="I1510" s="139">
        <f ca="1">VLOOKUP(B1510,BDD[],22,0)</f>
        <v>3</v>
      </c>
      <c r="J1510" s="168">
        <v>15</v>
      </c>
      <c r="K1510" s="139">
        <f>Tabla1[[#This Row],[DIAS LAB]]*Tabla1[[#This Row],[SUE DIA]]</f>
        <v>3722.5</v>
      </c>
      <c r="L1510" s="168">
        <v>0</v>
      </c>
      <c r="M1510" s="139">
        <f>Tabla1[[#This Row],[HRS EXT]]*Tabla1[[#This Row],[SUE X HR]]</f>
        <v>0</v>
      </c>
      <c r="N1510" s="168">
        <v>0</v>
      </c>
      <c r="O1510" s="198">
        <f>Tabla1[[#This Row],[ASUETO]]*Tabla1[[#This Row],[SUE DIA]]</f>
        <v>0</v>
      </c>
      <c r="P1510" s="139">
        <f>IF(Tabla1[[#This Row],[FECHA ING]]&lt;$P$1007,365,_xlfn.DAYS($P$1008,Tabla1[[#This Row],[FECHA ING]])+1)</f>
        <v>365</v>
      </c>
      <c r="Q1510" s="198">
        <f>INT(30*(Tabla1[[#This Row],[FECHAS CONTB AGNLDO]]/365))</f>
        <v>30</v>
      </c>
      <c r="R1510" s="244">
        <f ca="1">IF($W$32=$W$26,Tabla1[[#This Row],[SUE DIA]]*Tabla1[[#This Row],[DIAS PAG AGNLDO]],0)</f>
        <v>0</v>
      </c>
      <c r="S1510" s="244">
        <f ca="1">(_xlfn.DAYS(TODAY(),Tabla1[[#This Row],[FECHA ING]])/365)</f>
        <v>0.73698630136986298</v>
      </c>
      <c r="T1510" s="244">
        <f ca="1">IF(Tabla1[[#This Row],[DIAS VAC]]&gt;1,Tabla1[[#This Row],[DIAS VAC]]-Tabla1[[#This Row],[ANTIG]],Tabla1[[#This Row],[DIAS VAC]])</f>
        <v>0.73698630136986298</v>
      </c>
      <c r="U1510" s="244">
        <f ca="1">Tabla1[[#This Row],[VALID ANTIG]]*Tabla1[[#This Row],[SUE DIA]]*Tabla1[[#This Row],[DIAS VAC PAG]]</f>
        <v>548.68630136986303</v>
      </c>
    </row>
    <row r="1511" spans="2:21" hidden="1" x14ac:dyDescent="0.25">
      <c r="B1511" s="243">
        <v>734</v>
      </c>
      <c r="C1511" s="140" t="str">
        <f>VLOOKUP(B1511,BDD[],2,0)</f>
        <v>Ruby Isela Tolentino Bernal</v>
      </c>
      <c r="D1511" s="140">
        <f>VLOOKUP(B1511,BDD[],3,0)</f>
        <v>9541</v>
      </c>
      <c r="E1511" s="140">
        <f>VLOOKUP(B1511,BDD[],4,0)</f>
        <v>318.03333333333336</v>
      </c>
      <c r="F1511" s="142">
        <f>VLOOKUP(B1511,BDD[],26,0)</f>
        <v>35.337037037037042</v>
      </c>
      <c r="G1511" s="268">
        <f>VLOOKUP(B1511,BDD[],6,0)</f>
        <v>44522</v>
      </c>
      <c r="H1511" s="139">
        <f ca="1">VLOOKUP(B1511,BDD[],7,0)</f>
        <v>0</v>
      </c>
      <c r="I1511" s="139">
        <f ca="1">VLOOKUP(B1511,BDD[],22,0)</f>
        <v>3</v>
      </c>
      <c r="J1511" s="168">
        <v>15</v>
      </c>
      <c r="K1511" s="139">
        <f>Tabla1[[#This Row],[DIAS LAB]]*Tabla1[[#This Row],[SUE DIA]]</f>
        <v>4770.5</v>
      </c>
      <c r="L1511" s="168">
        <v>0</v>
      </c>
      <c r="M1511" s="198">
        <f>Tabla1[[#This Row],[HRS EXT]]*Tabla1[[#This Row],[SUE X HR]]</f>
        <v>0</v>
      </c>
      <c r="N1511" s="168">
        <v>0</v>
      </c>
      <c r="O1511" s="198">
        <f>Tabla1[[#This Row],[ASUETO]]*Tabla1[[#This Row],[SUE DIA]]</f>
        <v>0</v>
      </c>
      <c r="P1511" s="139">
        <f>IF(Tabla1[[#This Row],[FECHA ING]]&lt;$P$1007,365,_xlfn.DAYS($P$1008,Tabla1[[#This Row],[FECHA ING]])+1)</f>
        <v>365</v>
      </c>
      <c r="Q1511" s="198">
        <f>INT(30*(Tabla1[[#This Row],[FECHAS CONTB AGNLDO]]/365))</f>
        <v>30</v>
      </c>
      <c r="R1511" s="244">
        <f ca="1">IF($W$32=$W$26,Tabla1[[#This Row],[SUE DIA]]*Tabla1[[#This Row],[DIAS PAG AGNLDO]],0)</f>
        <v>0</v>
      </c>
      <c r="S1511" s="244">
        <f ca="1">(_xlfn.DAYS(TODAY(),Tabla1[[#This Row],[FECHA ING]])/365)</f>
        <v>0.65205479452054793</v>
      </c>
      <c r="T1511" s="244">
        <f ca="1">IF(Tabla1[[#This Row],[DIAS VAC]]&gt;1,Tabla1[[#This Row],[DIAS VAC]]-Tabla1[[#This Row],[ANTIG]],Tabla1[[#This Row],[DIAS VAC]])</f>
        <v>0.65205479452054793</v>
      </c>
      <c r="U1511" s="244">
        <f ca="1">Tabla1[[#This Row],[VALID ANTIG]]*Tabla1[[#This Row],[SUE DIA]]*Tabla1[[#This Row],[DIAS VAC PAG]]</f>
        <v>622.12547945205483</v>
      </c>
    </row>
    <row r="1512" spans="2:21" hidden="1" x14ac:dyDescent="0.25">
      <c r="B1512" s="243">
        <v>735</v>
      </c>
      <c r="C1512" s="140" t="str">
        <f>VLOOKUP(B1512,BDD[],2,0)</f>
        <v>Emiliana Cruz Ramirez</v>
      </c>
      <c r="D1512" s="140">
        <f>VLOOKUP(B1512,BDD[],3,0)</f>
        <v>7445</v>
      </c>
      <c r="E1512" s="140">
        <f>VLOOKUP(B1512,BDD[],4,0)</f>
        <v>248.16666666666666</v>
      </c>
      <c r="F1512" s="142">
        <f>VLOOKUP(B1512,BDD[],26,0)</f>
        <v>27.574074074074073</v>
      </c>
      <c r="G1512" s="268">
        <f>VLOOKUP(B1512,BDD[],6,0)</f>
        <v>44583</v>
      </c>
      <c r="H1512" s="139">
        <f ca="1">VLOOKUP(B1512,BDD[],7,0)</f>
        <v>0</v>
      </c>
      <c r="I1512" s="139">
        <f ca="1">VLOOKUP(B1512,BDD[],22,0)</f>
        <v>3</v>
      </c>
      <c r="J1512" s="168">
        <v>15</v>
      </c>
      <c r="K1512" s="139">
        <f>Tabla1[[#This Row],[DIAS LAB]]*Tabla1[[#This Row],[SUE DIA]]</f>
        <v>3722.5</v>
      </c>
      <c r="L1512" s="168">
        <v>0</v>
      </c>
      <c r="M1512" s="198">
        <f>Tabla1[[#This Row],[HRS EXT]]*Tabla1[[#This Row],[SUE X HR]]</f>
        <v>0</v>
      </c>
      <c r="N1512" s="168">
        <v>0</v>
      </c>
      <c r="O1512" s="198">
        <f>Tabla1[[#This Row],[ASUETO]]*Tabla1[[#This Row],[SUE DIA]]</f>
        <v>0</v>
      </c>
      <c r="P1512" s="139">
        <f ca="1">IF(Tabla1[[#This Row],[FECHA ING]]&lt;$P$1007,365,_xlfn.DAYS($P$1008,Tabla1[[#This Row],[FECHA ING]])+1)</f>
        <v>344</v>
      </c>
      <c r="Q1512" s="198">
        <f ca="1">INT(30*(Tabla1[[#This Row],[FECHAS CONTB AGNLDO]]/365))</f>
        <v>28</v>
      </c>
      <c r="R1512" s="244">
        <f ca="1">IF($W$32=$W$26,Tabla1[[#This Row],[SUE DIA]]*Tabla1[[#This Row],[DIAS PAG AGNLDO]],0)</f>
        <v>0</v>
      </c>
      <c r="S1512" s="244">
        <f ca="1">(_xlfn.DAYS(TODAY(),Tabla1[[#This Row],[FECHA ING]])/365)</f>
        <v>0.48493150684931507</v>
      </c>
      <c r="T1512" s="244">
        <f ca="1">IF(Tabla1[[#This Row],[DIAS VAC]]&gt;1,Tabla1[[#This Row],[DIAS VAC]]-Tabla1[[#This Row],[ANTIG]],Tabla1[[#This Row],[DIAS VAC]])</f>
        <v>0.48493150684931507</v>
      </c>
      <c r="U1512" s="244">
        <f ca="1">Tabla1[[#This Row],[VALID ANTIG]]*Tabla1[[#This Row],[SUE DIA]]*Tabla1[[#This Row],[DIAS VAC PAG]]</f>
        <v>361.03150684931506</v>
      </c>
    </row>
    <row r="1513" spans="2:21" hidden="1" x14ac:dyDescent="0.25">
      <c r="B1513" s="243">
        <v>736</v>
      </c>
      <c r="C1513" s="140" t="str">
        <f>VLOOKUP(B1513,BDD[],2,0)</f>
        <v>Marco Antonio Martínez Guerrero</v>
      </c>
      <c r="D1513" s="140">
        <f>VLOOKUP(B1513,BDD[],3,0)</f>
        <v>7950</v>
      </c>
      <c r="E1513" s="140">
        <f>VLOOKUP(B1513,BDD[],4,0)</f>
        <v>265</v>
      </c>
      <c r="F1513" s="142">
        <f>VLOOKUP(B1513,BDD[],26,0)</f>
        <v>29.444444444444443</v>
      </c>
      <c r="G1513" s="268">
        <f ca="1">VLOOKUP(B1513,BDD[],6,0)</f>
        <v>44759</v>
      </c>
      <c r="H1513" s="139">
        <f ca="1">VLOOKUP(B1513,BDD[],7,0)</f>
        <v>0</v>
      </c>
      <c r="I1513" s="139">
        <f ca="1">VLOOKUP(B1513,BDD[],22,0)</f>
        <v>3</v>
      </c>
      <c r="J1513" s="168">
        <v>15</v>
      </c>
      <c r="K1513" s="139">
        <f>Tabla1[[#This Row],[DIAS LAB]]*Tabla1[[#This Row],[SUE DIA]]</f>
        <v>3975</v>
      </c>
      <c r="L1513" s="168">
        <v>0</v>
      </c>
      <c r="M1513" s="198">
        <f>Tabla1[[#This Row],[HRS EXT]]*Tabla1[[#This Row],[SUE X HR]]</f>
        <v>0</v>
      </c>
      <c r="N1513" s="168">
        <v>0</v>
      </c>
      <c r="O1513" s="198">
        <f>Tabla1[[#This Row],[ASUETO]]*Tabla1[[#This Row],[SUE DIA]]</f>
        <v>0</v>
      </c>
      <c r="P1513" s="139">
        <f ca="1">IF(Tabla1[[#This Row],[FECHA ING]]&lt;$P$1007,365,_xlfn.DAYS($P$1008,Tabla1[[#This Row],[FECHA ING]])+1)</f>
        <v>168</v>
      </c>
      <c r="Q1513" s="198">
        <f ca="1">INT(30*(Tabla1[[#This Row],[FECHAS CONTB AGNLDO]]/365))</f>
        <v>13</v>
      </c>
      <c r="R1513" s="244">
        <f ca="1">IF($W$32=$W$26,Tabla1[[#This Row],[SUE DIA]]*Tabla1[[#This Row],[DIAS PAG AGNLDO]],0)</f>
        <v>0</v>
      </c>
      <c r="S1513" s="244">
        <f ca="1">(_xlfn.DAYS(TODAY(),Tabla1[[#This Row],[FECHA ING]])/365)</f>
        <v>2.7397260273972603E-3</v>
      </c>
      <c r="T1513" s="244">
        <f ca="1">IF(Tabla1[[#This Row],[DIAS VAC]]&gt;1,Tabla1[[#This Row],[DIAS VAC]]-Tabla1[[#This Row],[ANTIG]],Tabla1[[#This Row],[DIAS VAC]])</f>
        <v>2.7397260273972603E-3</v>
      </c>
      <c r="U1513" s="244">
        <f ca="1">Tabla1[[#This Row],[VALID ANTIG]]*Tabla1[[#This Row],[SUE DIA]]*Tabla1[[#This Row],[DIAS VAC PAG]]</f>
        <v>2.1780821917808222</v>
      </c>
    </row>
    <row r="1514" spans="2:21" hidden="1" x14ac:dyDescent="0.25">
      <c r="B1514" s="243">
        <v>737</v>
      </c>
      <c r="C1514" s="140" t="str">
        <f>VLOOKUP(B1514,BDD[],2,0)</f>
        <v>Josélyn Lara Garza</v>
      </c>
      <c r="D1514" s="140">
        <f>VLOOKUP(B1514,BDD[],3,0)</f>
        <v>7445</v>
      </c>
      <c r="E1514" s="140">
        <f>VLOOKUP(B1514,BDD[],4,0)</f>
        <v>248.16666666666666</v>
      </c>
      <c r="F1514" s="142">
        <f>VLOOKUP(B1514,BDD[],26,0)</f>
        <v>27.574074074074073</v>
      </c>
      <c r="G1514" s="268">
        <f ca="1">VLOOKUP(B1514,BDD[],6,0)</f>
        <v>44760</v>
      </c>
      <c r="H1514" s="139">
        <f ca="1">VLOOKUP(B1514,BDD[],7,0)</f>
        <v>0</v>
      </c>
      <c r="I1514" s="139">
        <f ca="1">VLOOKUP(B1514,BDD[],22,0)</f>
        <v>3</v>
      </c>
      <c r="J1514" s="168">
        <v>15</v>
      </c>
      <c r="K1514" s="139">
        <f>Tabla1[[#This Row],[DIAS LAB]]*Tabla1[[#This Row],[SUE DIA]]</f>
        <v>3722.5</v>
      </c>
      <c r="L1514" s="168">
        <v>0</v>
      </c>
      <c r="M1514" s="198">
        <f>Tabla1[[#This Row],[HRS EXT]]*Tabla1[[#This Row],[SUE X HR]]</f>
        <v>0</v>
      </c>
      <c r="N1514" s="168">
        <v>0</v>
      </c>
      <c r="O1514" s="198">
        <f>Tabla1[[#This Row],[ASUETO]]*Tabla1[[#This Row],[SUE DIA]]</f>
        <v>0</v>
      </c>
      <c r="P1514" s="139">
        <f ca="1">IF(Tabla1[[#This Row],[FECHA ING]]&lt;$P$1007,365,_xlfn.DAYS($P$1008,Tabla1[[#This Row],[FECHA ING]])+1)</f>
        <v>167</v>
      </c>
      <c r="Q1514" s="198">
        <f ca="1">INT(30*(Tabla1[[#This Row],[FECHAS CONTB AGNLDO]]/365))</f>
        <v>13</v>
      </c>
      <c r="R1514" s="244">
        <f ca="1">IF($W$32=$W$26,Tabla1[[#This Row],[SUE DIA]]*Tabla1[[#This Row],[DIAS PAG AGNLDO]],0)</f>
        <v>0</v>
      </c>
      <c r="S1514" s="244">
        <f ca="1">(_xlfn.DAYS(TODAY(),Tabla1[[#This Row],[FECHA ING]])/365)</f>
        <v>0</v>
      </c>
      <c r="T1514" s="244">
        <f ca="1">IF(Tabla1[[#This Row],[DIAS VAC]]&gt;1,Tabla1[[#This Row],[DIAS VAC]]-Tabla1[[#This Row],[ANTIG]],Tabla1[[#This Row],[DIAS VAC]])</f>
        <v>0</v>
      </c>
      <c r="U1514" s="244">
        <f ca="1">Tabla1[[#This Row],[VALID ANTIG]]*Tabla1[[#This Row],[SUE DIA]]*Tabla1[[#This Row],[DIAS VAC PAG]]</f>
        <v>0</v>
      </c>
    </row>
    <row r="1515" spans="2:21" hidden="1" x14ac:dyDescent="0.25"/>
    <row r="1516" spans="2:21" hidden="1" x14ac:dyDescent="0.25"/>
    <row r="1517" spans="2:21" hidden="1" x14ac:dyDescent="0.25"/>
    <row r="1518" spans="2:21" hidden="1" x14ac:dyDescent="0.25"/>
    <row r="1519" spans="2:21" hidden="1" x14ac:dyDescent="0.25"/>
    <row r="1520" spans="2:21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</sheetData>
  <mergeCells count="23">
    <mergeCell ref="AG107:AJ107"/>
    <mergeCell ref="V2:W2"/>
    <mergeCell ref="M107:N107"/>
    <mergeCell ref="M113:N113"/>
    <mergeCell ref="M117:N117"/>
    <mergeCell ref="M116:N116"/>
    <mergeCell ref="M115:N115"/>
    <mergeCell ref="V31:W31"/>
    <mergeCell ref="AD122:AE122"/>
    <mergeCell ref="AG122:AN122"/>
    <mergeCell ref="C122:I122"/>
    <mergeCell ref="L115:L117"/>
    <mergeCell ref="L108:L114"/>
    <mergeCell ref="M114:N114"/>
    <mergeCell ref="M109:N112"/>
    <mergeCell ref="M108:N108"/>
    <mergeCell ref="B1022:I1022"/>
    <mergeCell ref="K1022:L1022"/>
    <mergeCell ref="M1022:N1022"/>
    <mergeCell ref="V3:W3"/>
    <mergeCell ref="J122:T122"/>
    <mergeCell ref="U122:AC122"/>
    <mergeCell ref="O1022:R1022"/>
  </mergeCells>
  <phoneticPr fontId="4" type="noConversion"/>
  <pageMargins left="0.25" right="0.25" top="0.75" bottom="0.75" header="0.3" footer="0.3"/>
  <pageSetup scale="10" orientation="portrait" r:id="rId1"/>
  <drawing r:id="rId2"/>
  <legacyDrawing r:id="rId3"/>
  <tableParts count="4">
    <tablePart r:id="rId4"/>
    <tablePart r:id="rId5"/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A0BAAFE2-66A8-4A6F-9606-F78F2EFCF6D4}">
            <xm:f>Extendido!$F$2</xm:f>
            <x14:dxf>
              <font>
                <color auto="1"/>
              </font>
              <fill>
                <patternFill>
                  <bgColor theme="2" tint="-9.9948118533890809E-2"/>
                </patternFill>
              </fill>
            </x14:dxf>
          </x14:cfRule>
          <xm:sqref>C139:C615</xm:sqref>
        </x14:conditionalFormatting>
        <x14:conditionalFormatting xmlns:xm="http://schemas.microsoft.com/office/excel/2006/main">
          <x14:cfRule type="cellIs" priority="2" operator="equal" id="{6FDC156E-7344-4896-8F7D-FFADD7AD3AD5}">
            <xm:f>Extendido!$F$2</xm:f>
            <x14:dxf>
              <font>
                <color auto="1"/>
              </font>
              <fill>
                <patternFill>
                  <bgColor theme="2" tint="-9.9948118533890809E-2"/>
                </patternFill>
              </fill>
            </x14:dxf>
          </x14:cfRule>
          <xm:sqref>B1038:B1514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03FA8-1EC3-4E7F-B181-2114C36308CF}">
  <dimension ref="B1:N82"/>
  <sheetViews>
    <sheetView workbookViewId="0">
      <selection activeCell="C86" sqref="C86"/>
    </sheetView>
  </sheetViews>
  <sheetFormatPr baseColWidth="10" defaultRowHeight="15" x14ac:dyDescent="0.25"/>
  <cols>
    <col min="2" max="2" width="21.28515625" bestFit="1" customWidth="1"/>
    <col min="3" max="3" width="24.28515625" bestFit="1" customWidth="1"/>
    <col min="4" max="4" width="29.5703125" bestFit="1" customWidth="1"/>
    <col min="5" max="5" width="29.85546875" bestFit="1" customWidth="1"/>
    <col min="6" max="6" width="35.140625" bestFit="1" customWidth="1"/>
    <col min="7" max="7" width="13.42578125" bestFit="1" customWidth="1"/>
    <col min="8" max="9" width="7.42578125" bestFit="1" customWidth="1"/>
    <col min="10" max="10" width="18.42578125" bestFit="1" customWidth="1"/>
    <col min="11" max="11" width="19.42578125" bestFit="1" customWidth="1"/>
    <col min="12" max="12" width="14" bestFit="1" customWidth="1"/>
    <col min="13" max="13" width="18.42578125" bestFit="1" customWidth="1"/>
    <col min="14" max="14" width="19.7109375" customWidth="1"/>
    <col min="15" max="15" width="20.5703125" bestFit="1" customWidth="1"/>
    <col min="16" max="16" width="4.7109375" bestFit="1" customWidth="1"/>
    <col min="17" max="17" width="12.7109375" bestFit="1" customWidth="1"/>
    <col min="18" max="18" width="9.28515625" bestFit="1" customWidth="1"/>
    <col min="19" max="20" width="4.28515625" bestFit="1" customWidth="1"/>
    <col min="21" max="21" width="12.7109375" bestFit="1" customWidth="1"/>
    <col min="22" max="22" width="11" bestFit="1" customWidth="1"/>
    <col min="23" max="23" width="9.28515625" bestFit="1" customWidth="1"/>
    <col min="24" max="24" width="3.85546875" bestFit="1" customWidth="1"/>
    <col min="25" max="25" width="4.5703125" bestFit="1" customWidth="1"/>
    <col min="26" max="26" width="12.7109375" bestFit="1" customWidth="1"/>
    <col min="27" max="27" width="9.28515625" bestFit="1" customWidth="1"/>
    <col min="28" max="28" width="12.7109375" bestFit="1" customWidth="1"/>
    <col min="29" max="29" width="9.28515625" bestFit="1" customWidth="1"/>
    <col min="30" max="30" width="4.42578125" bestFit="1" customWidth="1"/>
    <col min="31" max="31" width="3.7109375" bestFit="1" customWidth="1"/>
    <col min="32" max="32" width="12.7109375" bestFit="1" customWidth="1"/>
    <col min="33" max="33" width="11" bestFit="1" customWidth="1"/>
    <col min="34" max="34" width="9.28515625" bestFit="1" customWidth="1"/>
    <col min="35" max="35" width="3.85546875" bestFit="1" customWidth="1"/>
    <col min="36" max="36" width="4.5703125" bestFit="1" customWidth="1"/>
    <col min="37" max="37" width="12.7109375" bestFit="1" customWidth="1"/>
    <col min="38" max="38" width="9.28515625" bestFit="1" customWidth="1"/>
    <col min="39" max="39" width="4.7109375" bestFit="1" customWidth="1"/>
    <col min="40" max="40" width="12.7109375" bestFit="1" customWidth="1"/>
    <col min="41" max="41" width="9.28515625" bestFit="1" customWidth="1"/>
    <col min="42" max="42" width="12.7109375" bestFit="1" customWidth="1"/>
    <col min="43" max="43" width="9.28515625" bestFit="1" customWidth="1"/>
    <col min="44" max="44" width="3.7109375" bestFit="1" customWidth="1"/>
    <col min="45" max="45" width="12.7109375" bestFit="1" customWidth="1"/>
    <col min="46" max="46" width="11" bestFit="1" customWidth="1"/>
    <col min="47" max="47" width="9.28515625" bestFit="1" customWidth="1"/>
    <col min="48" max="48" width="12.7109375" bestFit="1" customWidth="1"/>
    <col min="49" max="49" width="9.28515625" bestFit="1" customWidth="1"/>
    <col min="50" max="50" width="12.7109375" bestFit="1" customWidth="1"/>
    <col min="51" max="51" width="9.28515625" bestFit="1" customWidth="1"/>
    <col min="52" max="52" width="4.28515625" bestFit="1" customWidth="1"/>
    <col min="53" max="53" width="12.7109375" bestFit="1" customWidth="1"/>
    <col min="54" max="54" width="9.28515625" bestFit="1" customWidth="1"/>
    <col min="55" max="55" width="12.7109375" bestFit="1" customWidth="1"/>
    <col min="56" max="56" width="11" bestFit="1" customWidth="1"/>
    <col min="57" max="57" width="9.28515625" bestFit="1" customWidth="1"/>
    <col min="58" max="58" width="12.7109375" bestFit="1" customWidth="1"/>
    <col min="59" max="59" width="9.28515625" bestFit="1" customWidth="1"/>
    <col min="60" max="60" width="4.7109375" bestFit="1" customWidth="1"/>
    <col min="61" max="61" width="12.7109375" bestFit="1" customWidth="1"/>
    <col min="62" max="62" width="9.28515625" bestFit="1" customWidth="1"/>
    <col min="63" max="64" width="4.28515625" bestFit="1" customWidth="1"/>
    <col min="65" max="65" width="12.7109375" bestFit="1" customWidth="1"/>
    <col min="66" max="66" width="9.28515625" bestFit="1" customWidth="1"/>
    <col min="67" max="67" width="12.7109375" bestFit="1" customWidth="1"/>
    <col min="68" max="68" width="11" bestFit="1" customWidth="1"/>
    <col min="69" max="69" width="9.28515625" bestFit="1" customWidth="1"/>
    <col min="70" max="70" width="3.85546875" bestFit="1" customWidth="1"/>
    <col min="71" max="71" width="4.5703125" bestFit="1" customWidth="1"/>
    <col min="72" max="72" width="12.7109375" bestFit="1" customWidth="1"/>
    <col min="73" max="73" width="9.28515625" bestFit="1" customWidth="1"/>
    <col min="74" max="74" width="4.7109375" bestFit="1" customWidth="1"/>
    <col min="75" max="75" width="12.7109375" bestFit="1" customWidth="1"/>
    <col min="76" max="76" width="9.28515625" bestFit="1" customWidth="1"/>
    <col min="77" max="77" width="4.28515625" bestFit="1" customWidth="1"/>
    <col min="78" max="78" width="12.7109375" bestFit="1" customWidth="1"/>
    <col min="79" max="79" width="9.28515625" bestFit="1" customWidth="1"/>
    <col min="80" max="80" width="12.7109375" bestFit="1" customWidth="1"/>
    <col min="81" max="81" width="11" bestFit="1" customWidth="1"/>
    <col min="82" max="82" width="9.28515625" bestFit="1" customWidth="1"/>
    <col min="83" max="83" width="3.85546875" bestFit="1" customWidth="1"/>
    <col min="84" max="84" width="12.7109375" bestFit="1" customWidth="1"/>
    <col min="85" max="85" width="9.28515625" bestFit="1" customWidth="1"/>
    <col min="86" max="86" width="3.85546875" bestFit="1" customWidth="1"/>
    <col min="87" max="87" width="12.7109375" bestFit="1" customWidth="1"/>
    <col min="88" max="88" width="9.28515625" bestFit="1" customWidth="1"/>
    <col min="89" max="89" width="12.7109375" bestFit="1" customWidth="1"/>
    <col min="90" max="90" width="9.28515625" bestFit="1" customWidth="1"/>
    <col min="91" max="91" width="12.7109375" bestFit="1" customWidth="1"/>
    <col min="92" max="92" width="11" bestFit="1" customWidth="1"/>
    <col min="93" max="93" width="9.28515625" bestFit="1" customWidth="1"/>
    <col min="94" max="94" width="3.85546875" bestFit="1" customWidth="1"/>
    <col min="95" max="95" width="4.5703125" bestFit="1" customWidth="1"/>
    <col min="96" max="96" width="12.7109375" bestFit="1" customWidth="1"/>
    <col min="97" max="97" width="9.28515625" bestFit="1" customWidth="1"/>
    <col min="98" max="98" width="3.85546875" bestFit="1" customWidth="1"/>
    <col min="99" max="99" width="12.7109375" bestFit="1" customWidth="1"/>
    <col min="100" max="100" width="9.28515625" bestFit="1" customWidth="1"/>
    <col min="101" max="101" width="4.28515625" bestFit="1" customWidth="1"/>
    <col min="102" max="102" width="12.7109375" bestFit="1" customWidth="1"/>
    <col min="103" max="103" width="9.28515625" bestFit="1" customWidth="1"/>
    <col min="104" max="104" width="4.42578125" bestFit="1" customWidth="1"/>
    <col min="105" max="105" width="3.7109375" bestFit="1" customWidth="1"/>
    <col min="106" max="106" width="12.7109375" bestFit="1" customWidth="1"/>
    <col min="107" max="107" width="11" bestFit="1" customWidth="1"/>
    <col min="108" max="108" width="9.28515625" bestFit="1" customWidth="1"/>
    <col min="109" max="109" width="4.5703125" bestFit="1" customWidth="1"/>
    <col min="110" max="110" width="12.7109375" bestFit="1" customWidth="1"/>
    <col min="111" max="111" width="9.28515625" bestFit="1" customWidth="1"/>
    <col min="112" max="112" width="3.85546875" bestFit="1" customWidth="1"/>
    <col min="113" max="113" width="12.7109375" bestFit="1" customWidth="1"/>
    <col min="114" max="114" width="9.28515625" bestFit="1" customWidth="1"/>
    <col min="115" max="115" width="4.28515625" bestFit="1" customWidth="1"/>
    <col min="116" max="116" width="12.7109375" bestFit="1" customWidth="1"/>
    <col min="117" max="117" width="9.28515625" bestFit="1" customWidth="1"/>
    <col min="118" max="118" width="4.42578125" bestFit="1" customWidth="1"/>
    <col min="119" max="119" width="3.7109375" bestFit="1" customWidth="1"/>
    <col min="120" max="120" width="12.7109375" bestFit="1" customWidth="1"/>
    <col min="121" max="121" width="11" bestFit="1" customWidth="1"/>
    <col min="122" max="122" width="9.28515625" bestFit="1" customWidth="1"/>
    <col min="123" max="123" width="4.5703125" bestFit="1" customWidth="1"/>
    <col min="124" max="124" width="12.7109375" bestFit="1" customWidth="1"/>
    <col min="125" max="125" width="9.28515625" bestFit="1" customWidth="1"/>
    <col min="126" max="126" width="4.7109375" bestFit="1" customWidth="1"/>
    <col min="127" max="127" width="12.7109375" bestFit="1" customWidth="1"/>
    <col min="128" max="128" width="9.28515625" bestFit="1" customWidth="1"/>
    <col min="129" max="130" width="4.28515625" bestFit="1" customWidth="1"/>
    <col min="131" max="131" width="12.7109375" bestFit="1" customWidth="1"/>
    <col min="132" max="132" width="9.28515625" bestFit="1" customWidth="1"/>
    <col min="133" max="133" width="12.7109375" bestFit="1" customWidth="1"/>
    <col min="134" max="134" width="11" bestFit="1" customWidth="1"/>
    <col min="135" max="135" width="13.42578125" bestFit="1" customWidth="1"/>
    <col min="136" max="143" width="11.28515625" bestFit="1" customWidth="1"/>
    <col min="144" max="144" width="13.42578125" bestFit="1" customWidth="1"/>
    <col min="145" max="145" width="12.7109375" bestFit="1" customWidth="1"/>
    <col min="146" max="146" width="9.28515625" bestFit="1" customWidth="1"/>
    <col min="147" max="148" width="4.28515625" bestFit="1" customWidth="1"/>
    <col min="149" max="149" width="12.7109375" bestFit="1" customWidth="1"/>
    <col min="150" max="150" width="9.28515625" bestFit="1" customWidth="1"/>
    <col min="151" max="151" width="4.42578125" bestFit="1" customWidth="1"/>
    <col min="152" max="152" width="3.7109375" bestFit="1" customWidth="1"/>
    <col min="153" max="153" width="12.7109375" bestFit="1" customWidth="1"/>
    <col min="154" max="154" width="11" bestFit="1" customWidth="1"/>
    <col min="155" max="155" width="9.28515625" bestFit="1" customWidth="1"/>
    <col min="156" max="156" width="3.85546875" bestFit="1" customWidth="1"/>
    <col min="157" max="157" width="4.5703125" bestFit="1" customWidth="1"/>
    <col min="158" max="158" width="12.7109375" bestFit="1" customWidth="1"/>
    <col min="159" max="159" width="9.28515625" bestFit="1" customWidth="1"/>
    <col min="160" max="160" width="4.7109375" bestFit="1" customWidth="1"/>
    <col min="161" max="161" width="3.85546875" bestFit="1" customWidth="1"/>
    <col min="162" max="162" width="12.7109375" bestFit="1" customWidth="1"/>
    <col min="163" max="163" width="9.28515625" bestFit="1" customWidth="1"/>
    <col min="164" max="165" width="4.28515625" bestFit="1" customWidth="1"/>
    <col min="166" max="166" width="12.7109375" bestFit="1" customWidth="1"/>
    <col min="167" max="167" width="9.28515625" bestFit="1" customWidth="1"/>
    <col min="168" max="168" width="4.42578125" bestFit="1" customWidth="1"/>
    <col min="169" max="169" width="3.7109375" bestFit="1" customWidth="1"/>
    <col min="170" max="170" width="12.7109375" bestFit="1" customWidth="1"/>
    <col min="171" max="171" width="11" bestFit="1" customWidth="1"/>
    <col min="172" max="172" width="9.28515625" bestFit="1" customWidth="1"/>
    <col min="173" max="173" width="3.85546875" bestFit="1" customWidth="1"/>
    <col min="174" max="174" width="4.5703125" bestFit="1" customWidth="1"/>
    <col min="175" max="175" width="12.7109375" bestFit="1" customWidth="1"/>
    <col min="176" max="176" width="9.28515625" bestFit="1" customWidth="1"/>
    <col min="177" max="177" width="4.7109375" bestFit="1" customWidth="1"/>
    <col min="178" max="178" width="3.85546875" bestFit="1" customWidth="1"/>
    <col min="179" max="179" width="12.7109375" bestFit="1" customWidth="1"/>
    <col min="180" max="180" width="9.28515625" bestFit="1" customWidth="1"/>
    <col min="181" max="182" width="4.28515625" bestFit="1" customWidth="1"/>
    <col min="183" max="183" width="12.7109375" bestFit="1" customWidth="1"/>
    <col min="184" max="184" width="9.28515625" bestFit="1" customWidth="1"/>
    <col min="185" max="185" width="3.7109375" bestFit="1" customWidth="1"/>
    <col min="186" max="186" width="12.7109375" bestFit="1" customWidth="1"/>
    <col min="187" max="187" width="11" bestFit="1" customWidth="1"/>
    <col min="188" max="188" width="9.28515625" bestFit="1" customWidth="1"/>
    <col min="189" max="189" width="3.85546875" bestFit="1" customWidth="1"/>
    <col min="190" max="190" width="4.5703125" bestFit="1" customWidth="1"/>
    <col min="191" max="191" width="12.7109375" bestFit="1" customWidth="1"/>
    <col min="192" max="192" width="9.28515625" bestFit="1" customWidth="1"/>
    <col min="193" max="193" width="4.7109375" bestFit="1" customWidth="1"/>
    <col min="194" max="194" width="3.85546875" bestFit="1" customWidth="1"/>
    <col min="195" max="195" width="12.7109375" bestFit="1" customWidth="1"/>
    <col min="196" max="196" width="9.28515625" bestFit="1" customWidth="1"/>
    <col min="197" max="197" width="4.28515625" bestFit="1" customWidth="1"/>
    <col min="198" max="198" width="12.7109375" bestFit="1" customWidth="1"/>
    <col min="199" max="199" width="9.28515625" bestFit="1" customWidth="1"/>
    <col min="200" max="200" width="4.42578125" bestFit="1" customWidth="1"/>
    <col min="201" max="201" width="12.7109375" bestFit="1" customWidth="1"/>
    <col min="202" max="202" width="11" bestFit="1" customWidth="1"/>
    <col min="203" max="203" width="9.28515625" bestFit="1" customWidth="1"/>
    <col min="204" max="204" width="12.7109375" bestFit="1" customWidth="1"/>
    <col min="205" max="205" width="9.28515625" bestFit="1" customWidth="1"/>
    <col min="206" max="206" width="12.7109375" bestFit="1" customWidth="1"/>
    <col min="207" max="207" width="11" bestFit="1" customWidth="1"/>
    <col min="208" max="208" width="13.42578125" bestFit="1" customWidth="1"/>
    <col min="209" max="441" width="11.28515625" bestFit="1" customWidth="1"/>
    <col min="442" max="442" width="13.42578125" bestFit="1" customWidth="1"/>
  </cols>
  <sheetData>
    <row r="1" spans="2:14" x14ac:dyDescent="0.25">
      <c r="B1" s="332" t="s">
        <v>283</v>
      </c>
      <c r="C1">
        <f>GETPIVOTDATA("NEM",$B$6)</f>
        <v>474</v>
      </c>
      <c r="E1">
        <f>GETPIVOTDATA("FECHA ING.",$E$6,"Años",2021)</f>
        <v>27</v>
      </c>
    </row>
    <row r="3" spans="2:14" x14ac:dyDescent="0.25">
      <c r="B3" s="325" t="s">
        <v>2307</v>
      </c>
      <c r="C3" t="s">
        <v>2293</v>
      </c>
    </row>
    <row r="4" spans="2:14" x14ac:dyDescent="0.25">
      <c r="B4" s="325" t="s">
        <v>22</v>
      </c>
      <c r="C4" t="s">
        <v>2293</v>
      </c>
      <c r="E4" s="325" t="s">
        <v>22</v>
      </c>
      <c r="F4" t="s">
        <v>2293</v>
      </c>
    </row>
    <row r="5" spans="2:14" x14ac:dyDescent="0.25">
      <c r="J5" s="325" t="s">
        <v>2307</v>
      </c>
      <c r="K5" t="s">
        <v>2293</v>
      </c>
      <c r="M5" s="325" t="s">
        <v>2307</v>
      </c>
      <c r="N5" t="s">
        <v>2293</v>
      </c>
    </row>
    <row r="6" spans="2:14" x14ac:dyDescent="0.25">
      <c r="B6" s="325" t="s">
        <v>2287</v>
      </c>
      <c r="C6" t="s">
        <v>2294</v>
      </c>
      <c r="E6" s="325" t="s">
        <v>2299</v>
      </c>
      <c r="F6" s="325" t="s">
        <v>2289</v>
      </c>
      <c r="J6" s="325" t="s">
        <v>22</v>
      </c>
      <c r="K6" t="s">
        <v>2293</v>
      </c>
      <c r="M6" s="325" t="s">
        <v>22</v>
      </c>
      <c r="N6" t="s">
        <v>2293</v>
      </c>
    </row>
    <row r="7" spans="2:14" x14ac:dyDescent="0.25">
      <c r="B7" s="327" t="s">
        <v>159</v>
      </c>
      <c r="C7" s="329">
        <v>82</v>
      </c>
      <c r="F7" t="s">
        <v>2290</v>
      </c>
      <c r="G7" t="s">
        <v>2288</v>
      </c>
    </row>
    <row r="8" spans="2:14" x14ac:dyDescent="0.25">
      <c r="B8" s="328" t="s">
        <v>736</v>
      </c>
      <c r="C8" s="329">
        <v>32</v>
      </c>
      <c r="E8" s="325" t="s">
        <v>2287</v>
      </c>
      <c r="J8" s="325" t="s">
        <v>2287</v>
      </c>
      <c r="K8" t="s">
        <v>2294</v>
      </c>
      <c r="M8" s="325" t="s">
        <v>2287</v>
      </c>
      <c r="N8" t="s">
        <v>2292</v>
      </c>
    </row>
    <row r="9" spans="2:14" x14ac:dyDescent="0.25">
      <c r="B9" s="328" t="s">
        <v>734</v>
      </c>
      <c r="C9" s="329">
        <v>25</v>
      </c>
      <c r="E9" s="327" t="s">
        <v>159</v>
      </c>
      <c r="F9" s="326">
        <v>5</v>
      </c>
      <c r="G9" s="326">
        <v>5</v>
      </c>
      <c r="J9" s="327" t="s">
        <v>159</v>
      </c>
      <c r="K9" s="329">
        <v>82</v>
      </c>
      <c r="M9" s="327" t="s">
        <v>159</v>
      </c>
      <c r="N9" s="334">
        <v>9076.8048780487807</v>
      </c>
    </row>
    <row r="10" spans="2:14" x14ac:dyDescent="0.25">
      <c r="B10" s="328" t="s">
        <v>735</v>
      </c>
      <c r="C10" s="329">
        <v>25</v>
      </c>
      <c r="E10" s="327" t="s">
        <v>160</v>
      </c>
      <c r="F10" s="326">
        <v>2</v>
      </c>
      <c r="G10" s="326">
        <v>2</v>
      </c>
      <c r="J10" s="327" t="s">
        <v>160</v>
      </c>
      <c r="K10" s="329">
        <v>27</v>
      </c>
      <c r="M10" s="327" t="s">
        <v>160</v>
      </c>
      <c r="N10" s="334">
        <v>10160.333333333334</v>
      </c>
    </row>
    <row r="11" spans="2:14" x14ac:dyDescent="0.25">
      <c r="B11" s="327" t="s">
        <v>160</v>
      </c>
      <c r="C11" s="329">
        <v>27</v>
      </c>
      <c r="E11" s="327" t="s">
        <v>161</v>
      </c>
      <c r="F11" s="326">
        <v>4</v>
      </c>
      <c r="G11" s="326">
        <v>4</v>
      </c>
      <c r="J11" s="327" t="s">
        <v>161</v>
      </c>
      <c r="K11" s="329">
        <v>21</v>
      </c>
      <c r="M11" s="327" t="s">
        <v>161</v>
      </c>
      <c r="N11" s="334">
        <v>10187.190476190477</v>
      </c>
    </row>
    <row r="12" spans="2:14" x14ac:dyDescent="0.25">
      <c r="B12" s="328" t="s">
        <v>737</v>
      </c>
      <c r="C12" s="329">
        <v>21</v>
      </c>
      <c r="E12" s="327" t="s">
        <v>753</v>
      </c>
      <c r="F12" s="326">
        <v>2</v>
      </c>
      <c r="G12" s="326">
        <v>2</v>
      </c>
      <c r="J12" s="327" t="s">
        <v>753</v>
      </c>
      <c r="K12" s="329">
        <v>33</v>
      </c>
      <c r="M12" s="327" t="s">
        <v>753</v>
      </c>
      <c r="N12" s="334">
        <v>9578.0303030303039</v>
      </c>
    </row>
    <row r="13" spans="2:14" x14ac:dyDescent="0.25">
      <c r="B13" s="328" t="s">
        <v>742</v>
      </c>
      <c r="C13" s="329">
        <v>6</v>
      </c>
      <c r="E13" s="327" t="s">
        <v>164</v>
      </c>
      <c r="F13" s="326">
        <v>4</v>
      </c>
      <c r="G13" s="326">
        <v>4</v>
      </c>
      <c r="J13" s="327" t="s">
        <v>164</v>
      </c>
      <c r="K13" s="329">
        <v>83</v>
      </c>
      <c r="M13" s="327" t="s">
        <v>164</v>
      </c>
      <c r="N13" s="334">
        <v>9576.9036144578313</v>
      </c>
    </row>
    <row r="14" spans="2:14" x14ac:dyDescent="0.25">
      <c r="B14" s="327" t="s">
        <v>161</v>
      </c>
      <c r="C14" s="329">
        <v>21</v>
      </c>
      <c r="E14" s="327" t="s">
        <v>752</v>
      </c>
      <c r="F14" s="326">
        <v>3</v>
      </c>
      <c r="G14" s="326">
        <v>3</v>
      </c>
      <c r="J14" s="327" t="s">
        <v>752</v>
      </c>
      <c r="K14" s="329">
        <v>70</v>
      </c>
      <c r="M14" s="327" t="s">
        <v>752</v>
      </c>
      <c r="N14" s="334">
        <v>9241.5142857142855</v>
      </c>
    </row>
    <row r="15" spans="2:14" x14ac:dyDescent="0.25">
      <c r="B15" s="328" t="s">
        <v>738</v>
      </c>
      <c r="C15" s="329">
        <v>11</v>
      </c>
      <c r="E15" s="327" t="s">
        <v>754</v>
      </c>
      <c r="F15" s="326">
        <v>5</v>
      </c>
      <c r="G15" s="326">
        <v>5</v>
      </c>
      <c r="J15" s="327" t="s">
        <v>754</v>
      </c>
      <c r="K15" s="329">
        <v>99</v>
      </c>
      <c r="M15" s="327" t="s">
        <v>754</v>
      </c>
      <c r="N15" s="334">
        <v>9440.6262626262633</v>
      </c>
    </row>
    <row r="16" spans="2:14" x14ac:dyDescent="0.25">
      <c r="B16" s="328" t="s">
        <v>739</v>
      </c>
      <c r="C16" s="329">
        <v>10</v>
      </c>
      <c r="E16" s="327" t="s">
        <v>162</v>
      </c>
      <c r="F16" s="326">
        <v>2</v>
      </c>
      <c r="G16" s="326">
        <v>2</v>
      </c>
      <c r="J16" s="327" t="s">
        <v>162</v>
      </c>
      <c r="K16" s="329">
        <v>37</v>
      </c>
      <c r="M16" s="327" t="s">
        <v>162</v>
      </c>
      <c r="N16" s="334">
        <v>10126.945945945947</v>
      </c>
    </row>
    <row r="17" spans="2:14" x14ac:dyDescent="0.25">
      <c r="B17" s="327" t="s">
        <v>753</v>
      </c>
      <c r="C17" s="329">
        <v>33</v>
      </c>
      <c r="E17" s="327" t="s">
        <v>2288</v>
      </c>
      <c r="F17" s="326">
        <v>27</v>
      </c>
      <c r="G17" s="326">
        <v>27</v>
      </c>
      <c r="J17" s="327" t="s">
        <v>163</v>
      </c>
      <c r="K17" s="329">
        <v>22</v>
      </c>
      <c r="M17" s="327" t="s">
        <v>163</v>
      </c>
      <c r="N17" s="334">
        <v>10841.90909090909</v>
      </c>
    </row>
    <row r="18" spans="2:14" x14ac:dyDescent="0.25">
      <c r="B18" s="328" t="s">
        <v>758</v>
      </c>
      <c r="C18" s="329">
        <v>14</v>
      </c>
      <c r="J18" s="327" t="s">
        <v>2288</v>
      </c>
      <c r="K18" s="329">
        <v>474</v>
      </c>
      <c r="M18" s="327" t="s">
        <v>2288</v>
      </c>
      <c r="N18" s="329">
        <v>9574.3945147679333</v>
      </c>
    </row>
    <row r="19" spans="2:14" x14ac:dyDescent="0.25">
      <c r="B19" s="328" t="s">
        <v>767</v>
      </c>
      <c r="C19" s="329">
        <v>10</v>
      </c>
    </row>
    <row r="20" spans="2:14" x14ac:dyDescent="0.25">
      <c r="B20" s="328" t="s">
        <v>768</v>
      </c>
      <c r="C20" s="329">
        <v>9</v>
      </c>
    </row>
    <row r="21" spans="2:14" x14ac:dyDescent="0.25">
      <c r="B21" s="327" t="s">
        <v>164</v>
      </c>
      <c r="C21" s="329">
        <v>83</v>
      </c>
      <c r="J21" s="325" t="s">
        <v>2307</v>
      </c>
      <c r="K21" t="s">
        <v>2293</v>
      </c>
    </row>
    <row r="22" spans="2:14" x14ac:dyDescent="0.25">
      <c r="B22" s="328" t="s">
        <v>759</v>
      </c>
      <c r="C22" s="329">
        <v>36</v>
      </c>
      <c r="J22" s="325" t="s">
        <v>22</v>
      </c>
      <c r="K22" t="s">
        <v>2293</v>
      </c>
    </row>
    <row r="23" spans="2:14" x14ac:dyDescent="0.25">
      <c r="B23" s="328" t="s">
        <v>745</v>
      </c>
      <c r="C23" s="329">
        <v>23</v>
      </c>
    </row>
    <row r="24" spans="2:14" x14ac:dyDescent="0.25">
      <c r="B24" s="328" t="s">
        <v>746</v>
      </c>
      <c r="C24" s="329">
        <v>24</v>
      </c>
      <c r="J24" s="325" t="s">
        <v>2287</v>
      </c>
      <c r="K24" t="s">
        <v>2308</v>
      </c>
    </row>
    <row r="25" spans="2:14" x14ac:dyDescent="0.25">
      <c r="B25" s="327" t="s">
        <v>752</v>
      </c>
      <c r="C25" s="329">
        <v>70</v>
      </c>
      <c r="J25" s="327" t="s">
        <v>159</v>
      </c>
      <c r="K25" s="329">
        <v>31.646341463414632</v>
      </c>
    </row>
    <row r="26" spans="2:14" x14ac:dyDescent="0.25">
      <c r="B26" s="328" t="s">
        <v>740</v>
      </c>
      <c r="C26" s="329">
        <v>47</v>
      </c>
      <c r="J26" s="327" t="s">
        <v>160</v>
      </c>
      <c r="K26" s="329">
        <v>33</v>
      </c>
    </row>
    <row r="27" spans="2:14" x14ac:dyDescent="0.25">
      <c r="B27" s="328" t="s">
        <v>741</v>
      </c>
      <c r="C27" s="329">
        <v>23</v>
      </c>
      <c r="J27" s="327" t="s">
        <v>161</v>
      </c>
      <c r="K27" s="329">
        <v>35.047619047619051</v>
      </c>
    </row>
    <row r="28" spans="2:14" x14ac:dyDescent="0.25">
      <c r="B28" s="327" t="s">
        <v>754</v>
      </c>
      <c r="C28" s="329">
        <v>99</v>
      </c>
      <c r="J28" s="327" t="s">
        <v>753</v>
      </c>
      <c r="K28" s="329">
        <v>33.18181818181818</v>
      </c>
    </row>
    <row r="29" spans="2:14" x14ac:dyDescent="0.25">
      <c r="B29" s="328" t="s">
        <v>756</v>
      </c>
      <c r="C29" s="329">
        <v>25</v>
      </c>
      <c r="J29" s="327" t="s">
        <v>164</v>
      </c>
      <c r="K29" s="329">
        <v>34.048192771084338</v>
      </c>
    </row>
    <row r="30" spans="2:14" x14ac:dyDescent="0.25">
      <c r="B30" s="328" t="s">
        <v>743</v>
      </c>
      <c r="C30" s="329">
        <v>51</v>
      </c>
      <c r="J30" s="327" t="s">
        <v>752</v>
      </c>
      <c r="K30" s="329">
        <v>33.528571428571432</v>
      </c>
    </row>
    <row r="31" spans="2:14" x14ac:dyDescent="0.25">
      <c r="B31" s="328" t="s">
        <v>744</v>
      </c>
      <c r="C31" s="329">
        <v>23</v>
      </c>
      <c r="J31" s="327" t="s">
        <v>754</v>
      </c>
      <c r="K31" s="329">
        <v>35.313131313131315</v>
      </c>
    </row>
    <row r="32" spans="2:14" x14ac:dyDescent="0.25">
      <c r="B32" s="327" t="s">
        <v>162</v>
      </c>
      <c r="C32" s="329">
        <v>37</v>
      </c>
      <c r="J32" s="327" t="s">
        <v>162</v>
      </c>
      <c r="K32" s="329">
        <v>34.972972972972975</v>
      </c>
    </row>
    <row r="33" spans="2:11" x14ac:dyDescent="0.25">
      <c r="B33" s="328" t="s">
        <v>747</v>
      </c>
      <c r="C33" s="329">
        <v>16</v>
      </c>
      <c r="J33" s="327" t="s">
        <v>163</v>
      </c>
      <c r="K33" s="329">
        <v>33.454545454545453</v>
      </c>
    </row>
    <row r="34" spans="2:11" x14ac:dyDescent="0.25">
      <c r="B34" s="328" t="s">
        <v>757</v>
      </c>
      <c r="C34" s="329">
        <v>9</v>
      </c>
      <c r="J34" s="327" t="s">
        <v>2288</v>
      </c>
      <c r="K34" s="329">
        <v>33.789029535864977</v>
      </c>
    </row>
    <row r="35" spans="2:11" x14ac:dyDescent="0.25">
      <c r="B35" s="328" t="s">
        <v>748</v>
      </c>
      <c r="C35" s="329">
        <v>12</v>
      </c>
    </row>
    <row r="36" spans="2:11" x14ac:dyDescent="0.25">
      <c r="B36" s="327" t="s">
        <v>163</v>
      </c>
      <c r="C36" s="329">
        <v>22</v>
      </c>
    </row>
    <row r="37" spans="2:11" x14ac:dyDescent="0.25">
      <c r="B37" s="328" t="s">
        <v>750</v>
      </c>
      <c r="C37" s="329">
        <v>8</v>
      </c>
    </row>
    <row r="38" spans="2:11" x14ac:dyDescent="0.25">
      <c r="B38" s="328" t="s">
        <v>751</v>
      </c>
      <c r="C38" s="329">
        <v>14</v>
      </c>
    </row>
    <row r="39" spans="2:11" x14ac:dyDescent="0.25">
      <c r="B39" s="327" t="s">
        <v>2288</v>
      </c>
      <c r="C39" s="326">
        <v>474</v>
      </c>
    </row>
    <row r="57" spans="2:6" s="330" customFormat="1" x14ac:dyDescent="0.25"/>
    <row r="59" spans="2:6" x14ac:dyDescent="0.25">
      <c r="B59" s="332" t="s">
        <v>2303</v>
      </c>
    </row>
    <row r="61" spans="2:6" x14ac:dyDescent="0.25">
      <c r="B61" s="325" t="s">
        <v>22</v>
      </c>
      <c r="C61" t="s">
        <v>2304</v>
      </c>
    </row>
    <row r="63" spans="2:6" x14ac:dyDescent="0.25">
      <c r="C63" s="325" t="s">
        <v>2289</v>
      </c>
    </row>
    <row r="64" spans="2:6" x14ac:dyDescent="0.25">
      <c r="C64" t="s">
        <v>2290</v>
      </c>
      <c r="E64" t="s">
        <v>2306</v>
      </c>
      <c r="F64" t="s">
        <v>2317</v>
      </c>
    </row>
    <row r="66" spans="2:6" x14ac:dyDescent="0.25">
      <c r="B66" s="325" t="s">
        <v>2287</v>
      </c>
      <c r="C66" t="s">
        <v>2305</v>
      </c>
      <c r="D66" t="s">
        <v>2318</v>
      </c>
    </row>
    <row r="67" spans="2:6" x14ac:dyDescent="0.25">
      <c r="B67" s="327" t="s">
        <v>159</v>
      </c>
      <c r="C67" s="326">
        <v>8</v>
      </c>
      <c r="D67" s="326">
        <v>8</v>
      </c>
      <c r="E67" s="326">
        <v>8</v>
      </c>
      <c r="F67" s="326">
        <v>8</v>
      </c>
    </row>
    <row r="68" spans="2:6" x14ac:dyDescent="0.25">
      <c r="B68" s="328" t="s">
        <v>736</v>
      </c>
      <c r="C68" s="326">
        <v>5</v>
      </c>
      <c r="D68" s="326">
        <v>5</v>
      </c>
      <c r="E68" s="326">
        <v>5</v>
      </c>
      <c r="F68" s="326">
        <v>5</v>
      </c>
    </row>
    <row r="69" spans="2:6" x14ac:dyDescent="0.25">
      <c r="B69" s="328" t="s">
        <v>734</v>
      </c>
      <c r="C69" s="326">
        <v>3</v>
      </c>
      <c r="D69" s="326">
        <v>3</v>
      </c>
      <c r="E69" s="326">
        <v>3</v>
      </c>
      <c r="F69" s="326">
        <v>3</v>
      </c>
    </row>
    <row r="70" spans="2:6" x14ac:dyDescent="0.25">
      <c r="B70" s="327" t="s">
        <v>161</v>
      </c>
      <c r="C70" s="326">
        <v>5</v>
      </c>
      <c r="D70" s="326">
        <v>5</v>
      </c>
      <c r="E70" s="326">
        <v>5</v>
      </c>
      <c r="F70" s="326">
        <v>5</v>
      </c>
    </row>
    <row r="71" spans="2:6" x14ac:dyDescent="0.25">
      <c r="B71" s="328" t="s">
        <v>738</v>
      </c>
      <c r="C71" s="326">
        <v>4</v>
      </c>
      <c r="D71" s="326">
        <v>4</v>
      </c>
      <c r="E71" s="326">
        <v>4</v>
      </c>
      <c r="F71" s="326">
        <v>4</v>
      </c>
    </row>
    <row r="72" spans="2:6" x14ac:dyDescent="0.25">
      <c r="B72" s="328" t="s">
        <v>739</v>
      </c>
      <c r="C72" s="326">
        <v>1</v>
      </c>
      <c r="D72" s="326">
        <v>1</v>
      </c>
      <c r="E72" s="326">
        <v>1</v>
      </c>
      <c r="F72" s="326">
        <v>1</v>
      </c>
    </row>
    <row r="73" spans="2:6" x14ac:dyDescent="0.25">
      <c r="B73" s="327" t="s">
        <v>753</v>
      </c>
      <c r="C73" s="326">
        <v>2</v>
      </c>
      <c r="D73" s="326">
        <v>2</v>
      </c>
      <c r="E73" s="326">
        <v>2</v>
      </c>
      <c r="F73" s="326">
        <v>2</v>
      </c>
    </row>
    <row r="74" spans="2:6" x14ac:dyDescent="0.25">
      <c r="B74" s="328" t="s">
        <v>768</v>
      </c>
      <c r="C74" s="326">
        <v>2</v>
      </c>
      <c r="D74" s="326">
        <v>2</v>
      </c>
      <c r="E74" s="326">
        <v>2</v>
      </c>
      <c r="F74" s="326">
        <v>2</v>
      </c>
    </row>
    <row r="75" spans="2:6" x14ac:dyDescent="0.25">
      <c r="B75" s="327" t="s">
        <v>752</v>
      </c>
      <c r="C75" s="326">
        <v>1</v>
      </c>
      <c r="D75" s="326">
        <v>1</v>
      </c>
      <c r="E75" s="326">
        <v>1</v>
      </c>
      <c r="F75" s="326">
        <v>1</v>
      </c>
    </row>
    <row r="76" spans="2:6" x14ac:dyDescent="0.25">
      <c r="B76" s="328" t="s">
        <v>740</v>
      </c>
      <c r="C76" s="326">
        <v>1</v>
      </c>
      <c r="D76" s="326">
        <v>1</v>
      </c>
      <c r="E76" s="326">
        <v>1</v>
      </c>
      <c r="F76" s="326">
        <v>1</v>
      </c>
    </row>
    <row r="77" spans="2:6" x14ac:dyDescent="0.25">
      <c r="B77" s="327" t="s">
        <v>754</v>
      </c>
      <c r="C77" s="326">
        <v>3</v>
      </c>
      <c r="D77" s="326">
        <v>3</v>
      </c>
      <c r="E77" s="326">
        <v>3</v>
      </c>
      <c r="F77" s="326">
        <v>3</v>
      </c>
    </row>
    <row r="78" spans="2:6" x14ac:dyDescent="0.25">
      <c r="B78" s="328" t="s">
        <v>756</v>
      </c>
      <c r="C78" s="326">
        <v>1</v>
      </c>
      <c r="D78" s="326">
        <v>1</v>
      </c>
      <c r="E78" s="326">
        <v>1</v>
      </c>
      <c r="F78" s="326">
        <v>1</v>
      </c>
    </row>
    <row r="79" spans="2:6" x14ac:dyDescent="0.25">
      <c r="B79" s="328" t="s">
        <v>743</v>
      </c>
      <c r="C79" s="326">
        <v>2</v>
      </c>
      <c r="D79" s="326">
        <v>2</v>
      </c>
      <c r="E79" s="326">
        <v>2</v>
      </c>
      <c r="F79" s="326">
        <v>2</v>
      </c>
    </row>
    <row r="80" spans="2:6" x14ac:dyDescent="0.25">
      <c r="B80" s="327" t="s">
        <v>163</v>
      </c>
      <c r="C80" s="326">
        <v>1</v>
      </c>
      <c r="D80" s="326">
        <v>1</v>
      </c>
      <c r="E80" s="326">
        <v>1</v>
      </c>
      <c r="F80" s="326">
        <v>1</v>
      </c>
    </row>
    <row r="81" spans="2:6" x14ac:dyDescent="0.25">
      <c r="B81" s="328" t="s">
        <v>751</v>
      </c>
      <c r="C81" s="326">
        <v>1</v>
      </c>
      <c r="D81" s="326">
        <v>1</v>
      </c>
      <c r="E81" s="326">
        <v>1</v>
      </c>
      <c r="F81" s="326">
        <v>1</v>
      </c>
    </row>
    <row r="82" spans="2:6" x14ac:dyDescent="0.25">
      <c r="B82" s="327" t="s">
        <v>2288</v>
      </c>
      <c r="C82" s="326">
        <v>20</v>
      </c>
      <c r="D82" s="326">
        <v>20</v>
      </c>
      <c r="E82" s="326">
        <v>20</v>
      </c>
      <c r="F82" s="326">
        <v>20</v>
      </c>
    </row>
  </sheetData>
  <pageMargins left="0.7" right="0.7" top="0.75" bottom="0.75" header="0.3" footer="0.3"/>
  <pageSetup orientation="portrait" r:id="rId7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CF27F-D5F4-4C40-8D71-2436EEEA4620}">
  <dimension ref="B1:X57"/>
  <sheetViews>
    <sheetView showGridLines="0" zoomScale="85" zoomScaleNormal="85" workbookViewId="0">
      <selection activeCell="N43" sqref="N43"/>
    </sheetView>
  </sheetViews>
  <sheetFormatPr baseColWidth="10" defaultRowHeight="16.5" x14ac:dyDescent="0.3"/>
  <cols>
    <col min="1" max="1" width="7.140625" style="331" customWidth="1"/>
    <col min="2" max="2" width="24.140625" style="331" bestFit="1" customWidth="1"/>
    <col min="3" max="5" width="15.85546875" style="331" customWidth="1"/>
    <col min="6" max="6" width="7.28515625" style="331" bestFit="1" customWidth="1"/>
    <col min="7" max="7" width="13.42578125" style="331" bestFit="1" customWidth="1"/>
    <col min="8" max="8" width="7.140625" style="331" customWidth="1"/>
    <col min="9" max="9" width="24.28515625" style="331" bestFit="1" customWidth="1"/>
    <col min="10" max="13" width="7.85546875" style="331" customWidth="1"/>
    <col min="14" max="14" width="8" style="331" customWidth="1"/>
    <col min="15" max="15" width="13.42578125" style="331" bestFit="1" customWidth="1"/>
    <col min="16" max="46" width="7.140625" style="331" customWidth="1"/>
    <col min="47" max="50" width="5.5703125" style="331" bestFit="1" customWidth="1"/>
    <col min="51" max="51" width="6.7109375" style="331" bestFit="1" customWidth="1"/>
    <col min="52" max="64" width="5.5703125" style="331" bestFit="1" customWidth="1"/>
    <col min="65" max="68" width="6.7109375" style="331" bestFit="1" customWidth="1"/>
    <col min="69" max="74" width="5.5703125" style="331" bestFit="1" customWidth="1"/>
    <col min="75" max="75" width="6.7109375" style="331" bestFit="1" customWidth="1"/>
    <col min="76" max="76" width="5.5703125" style="331" bestFit="1" customWidth="1"/>
    <col min="77" max="78" width="6.7109375" style="331" bestFit="1" customWidth="1"/>
    <col min="79" max="81" width="5.5703125" style="331" bestFit="1" customWidth="1"/>
    <col min="82" max="82" width="6.7109375" style="331" bestFit="1" customWidth="1"/>
    <col min="83" max="84" width="5.5703125" style="331" bestFit="1" customWidth="1"/>
    <col min="85" max="85" width="6.7109375" style="331" bestFit="1" customWidth="1"/>
    <col min="86" max="86" width="5.5703125" style="331" bestFit="1" customWidth="1"/>
    <col min="87" max="87" width="4.42578125" style="331" bestFit="1" customWidth="1"/>
    <col min="88" max="92" width="5.5703125" style="331" bestFit="1" customWidth="1"/>
    <col min="93" max="93" width="6.7109375" style="331" bestFit="1" customWidth="1"/>
    <col min="94" max="102" width="5.5703125" style="331" bestFit="1" customWidth="1"/>
    <col min="103" max="103" width="6.7109375" style="331" bestFit="1" customWidth="1"/>
    <col min="104" max="105" width="5.5703125" style="331" bestFit="1" customWidth="1"/>
    <col min="106" max="106" width="6.7109375" style="331" bestFit="1" customWidth="1"/>
    <col min="107" max="111" width="5.5703125" style="331" bestFit="1" customWidth="1"/>
    <col min="112" max="112" width="6.7109375" style="331" bestFit="1" customWidth="1"/>
    <col min="113" max="114" width="5.5703125" style="331" bestFit="1" customWidth="1"/>
    <col min="115" max="115" width="6.7109375" style="331" bestFit="1" customWidth="1"/>
    <col min="116" max="118" width="5.5703125" style="331" bestFit="1" customWidth="1"/>
    <col min="119" max="119" width="6.7109375" style="331" bestFit="1" customWidth="1"/>
    <col min="120" max="134" width="5.5703125" style="331" bestFit="1" customWidth="1"/>
    <col min="135" max="135" width="6.7109375" style="331" bestFit="1" customWidth="1"/>
    <col min="136" max="145" width="5.5703125" style="331" bestFit="1" customWidth="1"/>
    <col min="146" max="146" width="6.7109375" style="331" bestFit="1" customWidth="1"/>
    <col min="147" max="149" width="5.5703125" style="331" bestFit="1" customWidth="1"/>
    <col min="150" max="150" width="6.7109375" style="331" bestFit="1" customWidth="1"/>
    <col min="151" max="152" width="5.5703125" style="331" bestFit="1" customWidth="1"/>
    <col min="153" max="153" width="6.7109375" style="331" bestFit="1" customWidth="1"/>
    <col min="154" max="164" width="5.5703125" style="331" bestFit="1" customWidth="1"/>
    <col min="165" max="165" width="6.7109375" style="331" bestFit="1" customWidth="1"/>
    <col min="166" max="176" width="5.5703125" style="331" bestFit="1" customWidth="1"/>
    <col min="177" max="177" width="6.7109375" style="331" bestFit="1" customWidth="1"/>
    <col min="178" max="179" width="5.5703125" style="331" bestFit="1" customWidth="1"/>
    <col min="180" max="180" width="6.7109375" style="331" bestFit="1" customWidth="1"/>
    <col min="181" max="189" width="5.5703125" style="331" bestFit="1" customWidth="1"/>
    <col min="190" max="190" width="6.7109375" style="331" bestFit="1" customWidth="1"/>
    <col min="191" max="203" width="5.5703125" style="331" bestFit="1" customWidth="1"/>
    <col min="204" max="204" width="6.7109375" style="331" bestFit="1" customWidth="1"/>
    <col min="205" max="206" width="5.5703125" style="331" bestFit="1" customWidth="1"/>
    <col min="207" max="207" width="6.7109375" style="331" bestFit="1" customWidth="1"/>
    <col min="208" max="217" width="5.5703125" style="331" bestFit="1" customWidth="1"/>
    <col min="218" max="218" width="6.7109375" style="331" bestFit="1" customWidth="1"/>
    <col min="219" max="223" width="5.5703125" style="331" bestFit="1" customWidth="1"/>
    <col min="224" max="224" width="6.7109375" style="331" bestFit="1" customWidth="1"/>
    <col min="225" max="231" width="5.5703125" style="331" bestFit="1" customWidth="1"/>
    <col min="232" max="232" width="6.7109375" style="331" bestFit="1" customWidth="1"/>
    <col min="233" max="233" width="5.5703125" style="331" bestFit="1" customWidth="1"/>
    <col min="234" max="234" width="6.7109375" style="331" bestFit="1" customWidth="1"/>
    <col min="235" max="236" width="5.5703125" style="331" bestFit="1" customWidth="1"/>
    <col min="237" max="237" width="6.7109375" style="331" bestFit="1" customWidth="1"/>
    <col min="238" max="259" width="5.5703125" style="331" bestFit="1" customWidth="1"/>
    <col min="260" max="260" width="6.7109375" style="331" bestFit="1" customWidth="1"/>
    <col min="261" max="262" width="5.5703125" style="331" bestFit="1" customWidth="1"/>
    <col min="263" max="263" width="6.7109375" style="331" bestFit="1" customWidth="1"/>
    <col min="264" max="267" width="5.5703125" style="331" bestFit="1" customWidth="1"/>
    <col min="268" max="268" width="6.7109375" style="331" bestFit="1" customWidth="1"/>
    <col min="269" max="269" width="5.5703125" style="331" bestFit="1" customWidth="1"/>
    <col min="270" max="270" width="6.7109375" style="331" bestFit="1" customWidth="1"/>
    <col min="271" max="293" width="5.5703125" style="331" bestFit="1" customWidth="1"/>
    <col min="294" max="294" width="6.7109375" style="331" bestFit="1" customWidth="1"/>
    <col min="295" max="307" width="5.5703125" style="331" bestFit="1" customWidth="1"/>
    <col min="308" max="309" width="6.7109375" style="331" bestFit="1" customWidth="1"/>
    <col min="310" max="312" width="5.5703125" style="331" bestFit="1" customWidth="1"/>
    <col min="313" max="313" width="6.7109375" style="331" bestFit="1" customWidth="1"/>
    <col min="314" max="325" width="5.5703125" style="331" bestFit="1" customWidth="1"/>
    <col min="326" max="326" width="6.7109375" style="331" bestFit="1" customWidth="1"/>
    <col min="327" max="333" width="5.5703125" style="331" bestFit="1" customWidth="1"/>
    <col min="334" max="334" width="6.7109375" style="331" bestFit="1" customWidth="1"/>
    <col min="335" max="336" width="5.5703125" style="331" bestFit="1" customWidth="1"/>
    <col min="337" max="339" width="6.7109375" style="331" bestFit="1" customWidth="1"/>
    <col min="340" max="342" width="5.5703125" style="331" bestFit="1" customWidth="1"/>
    <col min="343" max="343" width="6.7109375" style="331" bestFit="1" customWidth="1"/>
    <col min="344" max="349" width="5.5703125" style="331" bestFit="1" customWidth="1"/>
    <col min="350" max="350" width="6.7109375" style="331" bestFit="1" customWidth="1"/>
    <col min="351" max="365" width="5.5703125" style="331" bestFit="1" customWidth="1"/>
    <col min="366" max="366" width="6.7109375" style="331" bestFit="1" customWidth="1"/>
    <col min="367" max="375" width="5.5703125" style="331" bestFit="1" customWidth="1"/>
    <col min="376" max="376" width="6.7109375" style="331" bestFit="1" customWidth="1"/>
    <col min="377" max="384" width="5.5703125" style="331" bestFit="1" customWidth="1"/>
    <col min="385" max="385" width="6.7109375" style="331" bestFit="1" customWidth="1"/>
    <col min="386" max="386" width="5.5703125" style="331" bestFit="1" customWidth="1"/>
    <col min="387" max="387" width="6.7109375" style="331" bestFit="1" customWidth="1"/>
    <col min="388" max="389" width="5.5703125" style="331" bestFit="1" customWidth="1"/>
    <col min="390" max="392" width="6.7109375" style="331" bestFit="1" customWidth="1"/>
    <col min="393" max="399" width="5.5703125" style="331" bestFit="1" customWidth="1"/>
    <col min="400" max="400" width="6.7109375" style="331" bestFit="1" customWidth="1"/>
    <col min="401" max="406" width="5.5703125" style="331" bestFit="1" customWidth="1"/>
    <col min="407" max="408" width="6.7109375" style="331" bestFit="1" customWidth="1"/>
    <col min="409" max="420" width="5.5703125" style="331" bestFit="1" customWidth="1"/>
    <col min="421" max="421" width="6.7109375" style="331" bestFit="1" customWidth="1"/>
    <col min="422" max="424" width="5.5703125" style="331" bestFit="1" customWidth="1"/>
    <col min="425" max="425" width="6.7109375" style="331" bestFit="1" customWidth="1"/>
    <col min="426" max="435" width="5.5703125" style="331" bestFit="1" customWidth="1"/>
    <col min="436" max="436" width="6.7109375" style="331" bestFit="1" customWidth="1"/>
    <col min="437" max="437" width="5.5703125" style="331" bestFit="1" customWidth="1"/>
    <col min="438" max="438" width="6.7109375" style="331" bestFit="1" customWidth="1"/>
    <col min="439" max="449" width="5.5703125" style="331" bestFit="1" customWidth="1"/>
    <col min="450" max="450" width="6.7109375" style="331" bestFit="1" customWidth="1"/>
    <col min="451" max="459" width="5.5703125" style="331" bestFit="1" customWidth="1"/>
    <col min="460" max="461" width="6.7109375" style="331" bestFit="1" customWidth="1"/>
    <col min="462" max="464" width="5.5703125" style="331" bestFit="1" customWidth="1"/>
    <col min="465" max="465" width="6.7109375" style="331" bestFit="1" customWidth="1"/>
    <col min="466" max="467" width="5.5703125" style="331" bestFit="1" customWidth="1"/>
    <col min="468" max="468" width="6.7109375" style="331" bestFit="1" customWidth="1"/>
    <col min="469" max="470" width="5.5703125" style="331" bestFit="1" customWidth="1"/>
    <col min="471" max="471" width="6.7109375" style="331" bestFit="1" customWidth="1"/>
    <col min="472" max="474" width="5.5703125" style="331" bestFit="1" customWidth="1"/>
    <col min="475" max="475" width="6.7109375" style="331" bestFit="1" customWidth="1"/>
    <col min="476" max="489" width="5.5703125" style="331" bestFit="1" customWidth="1"/>
    <col min="490" max="490" width="13.5703125" style="331" bestFit="1" customWidth="1"/>
    <col min="491" max="16384" width="11.42578125" style="331"/>
  </cols>
  <sheetData>
    <row r="1" spans="2:24" ht="7.5" customHeight="1" x14ac:dyDescent="0.3"/>
    <row r="2" spans="2:24" x14ac:dyDescent="0.3">
      <c r="O2" s="530" t="s">
        <v>2300</v>
      </c>
      <c r="P2" s="530"/>
      <c r="Q2" s="530"/>
      <c r="R2" s="530"/>
      <c r="S2" s="530"/>
      <c r="T2" s="530"/>
      <c r="U2" s="530"/>
      <c r="V2" s="530"/>
      <c r="W2" s="530"/>
      <c r="X2" s="530"/>
    </row>
    <row r="3" spans="2:24" x14ac:dyDescent="0.3">
      <c r="O3" s="530"/>
      <c r="P3" s="530"/>
      <c r="Q3" s="530"/>
      <c r="R3" s="530"/>
      <c r="S3" s="530"/>
      <c r="T3" s="530"/>
      <c r="U3" s="530"/>
      <c r="V3" s="530"/>
      <c r="W3" s="530"/>
      <c r="X3" s="530"/>
    </row>
    <row r="5" spans="2:24" ht="26.25" customHeight="1" x14ac:dyDescent="0.3">
      <c r="B5" s="337" t="s">
        <v>2310</v>
      </c>
      <c r="C5" s="337"/>
      <c r="D5" s="337"/>
      <c r="E5" s="337"/>
      <c r="F5" s="337"/>
      <c r="G5" s="337"/>
      <c r="H5" s="337"/>
      <c r="I5" s="337"/>
      <c r="J5" s="337"/>
      <c r="K5" s="337"/>
    </row>
    <row r="6" spans="2:24" ht="16.5" customHeight="1" x14ac:dyDescent="0.3">
      <c r="B6" s="337"/>
      <c r="C6" s="337"/>
      <c r="D6" s="337"/>
      <c r="E6" s="337"/>
      <c r="F6" s="337"/>
      <c r="G6" s="337"/>
      <c r="H6" s="337"/>
      <c r="I6" s="337"/>
      <c r="J6" s="337"/>
      <c r="K6" s="337"/>
    </row>
    <row r="7" spans="2:24" ht="16.5" customHeight="1" x14ac:dyDescent="0.3">
      <c r="B7" s="336" t="s">
        <v>2301</v>
      </c>
      <c r="C7" s="336"/>
      <c r="D7" s="336"/>
      <c r="E7" s="336"/>
      <c r="F7" s="336"/>
      <c r="G7" s="336"/>
      <c r="H7" s="336"/>
    </row>
    <row r="8" spans="2:24" ht="16.5" customHeight="1" x14ac:dyDescent="0.3">
      <c r="B8" s="336"/>
      <c r="C8" s="336"/>
      <c r="D8" s="336"/>
      <c r="E8" s="336"/>
      <c r="F8" s="336"/>
      <c r="G8" s="336"/>
      <c r="H8" s="336"/>
    </row>
    <row r="9" spans="2:24" x14ac:dyDescent="0.3">
      <c r="B9" s="338" t="s">
        <v>2302</v>
      </c>
    </row>
    <row r="10" spans="2:24" x14ac:dyDescent="0.3">
      <c r="H10" s="338"/>
    </row>
    <row r="12" spans="2:24" ht="25.5" x14ac:dyDescent="0.5">
      <c r="B12" s="333" t="s">
        <v>2309</v>
      </c>
      <c r="I12" s="531" t="s">
        <v>2316</v>
      </c>
      <c r="J12" s="531"/>
      <c r="K12" s="531"/>
      <c r="L12" s="531"/>
      <c r="M12" s="531"/>
      <c r="N12" s="531"/>
    </row>
    <row r="13" spans="2:24" ht="25.5" x14ac:dyDescent="0.5">
      <c r="B13" s="333"/>
    </row>
    <row r="14" spans="2:24" ht="25.5" hidden="1" x14ac:dyDescent="0.5">
      <c r="B14" s="333"/>
    </row>
    <row r="15" spans="2:24" hidden="1" x14ac:dyDescent="0.3"/>
    <row r="16" spans="2:24" hidden="1" x14ac:dyDescent="0.3"/>
    <row r="17" spans="2:14" hidden="1" x14ac:dyDescent="0.3">
      <c r="I17" s="331" t="s">
        <v>22</v>
      </c>
      <c r="J17" s="331" t="s">
        <v>2293</v>
      </c>
    </row>
    <row r="18" spans="2:14" hidden="1" x14ac:dyDescent="0.3">
      <c r="B18" s="331" t="s">
        <v>2307</v>
      </c>
      <c r="C18" s="331" t="s">
        <v>2293</v>
      </c>
      <c r="D18" s="335"/>
      <c r="I18" s="331" t="s">
        <v>2307</v>
      </c>
      <c r="J18" s="331" t="s">
        <v>2290</v>
      </c>
    </row>
    <row r="19" spans="2:14" hidden="1" x14ac:dyDescent="0.3">
      <c r="B19" s="331" t="s">
        <v>22</v>
      </c>
      <c r="C19" s="331" t="s">
        <v>2293</v>
      </c>
      <c r="D19" s="335"/>
    </row>
    <row r="20" spans="2:14" hidden="1" x14ac:dyDescent="0.3">
      <c r="I20" s="331" t="s">
        <v>2299</v>
      </c>
      <c r="J20" s="331" t="s">
        <v>2289</v>
      </c>
    </row>
    <row r="21" spans="2:14" x14ac:dyDescent="0.3">
      <c r="B21" s="339" t="s">
        <v>23</v>
      </c>
      <c r="C21" s="339" t="s">
        <v>2311</v>
      </c>
      <c r="D21" s="339" t="s">
        <v>2312</v>
      </c>
      <c r="E21" s="339" t="s">
        <v>2313</v>
      </c>
      <c r="I21" s="339" t="s">
        <v>23</v>
      </c>
      <c r="J21" s="339" t="s">
        <v>2297</v>
      </c>
      <c r="K21" s="339" t="s">
        <v>2295</v>
      </c>
      <c r="L21" s="339" t="s">
        <v>2296</v>
      </c>
      <c r="M21" s="339" t="s">
        <v>2298</v>
      </c>
      <c r="N21" s="345" t="s">
        <v>21</v>
      </c>
    </row>
    <row r="22" spans="2:14" x14ac:dyDescent="0.3">
      <c r="B22" s="340" t="s">
        <v>159</v>
      </c>
      <c r="C22" s="341">
        <v>82</v>
      </c>
      <c r="D22" s="342">
        <v>9076.8048780487807</v>
      </c>
      <c r="E22" s="343">
        <v>4.6585365853658534</v>
      </c>
      <c r="I22" s="340" t="s">
        <v>159</v>
      </c>
      <c r="J22" s="341">
        <v>1</v>
      </c>
      <c r="K22" s="341">
        <v>2</v>
      </c>
      <c r="L22" s="341">
        <v>2</v>
      </c>
      <c r="M22" s="341"/>
      <c r="N22" s="346">
        <v>5</v>
      </c>
    </row>
    <row r="23" spans="2:14" x14ac:dyDescent="0.3">
      <c r="B23" s="340" t="s">
        <v>160</v>
      </c>
      <c r="C23" s="341">
        <v>27</v>
      </c>
      <c r="D23" s="342">
        <v>10160.333333333334</v>
      </c>
      <c r="E23" s="343">
        <v>4.333333333333333</v>
      </c>
      <c r="I23" s="340" t="s">
        <v>160</v>
      </c>
      <c r="J23" s="341"/>
      <c r="K23" s="341">
        <v>1</v>
      </c>
      <c r="L23" s="341"/>
      <c r="M23" s="341">
        <v>1</v>
      </c>
      <c r="N23" s="346">
        <v>2</v>
      </c>
    </row>
    <row r="24" spans="2:14" x14ac:dyDescent="0.3">
      <c r="B24" s="340" t="s">
        <v>161</v>
      </c>
      <c r="C24" s="341">
        <v>21</v>
      </c>
      <c r="D24" s="342">
        <v>10187.190476190477</v>
      </c>
      <c r="E24" s="343">
        <v>5.7142857142857144</v>
      </c>
      <c r="I24" s="340" t="s">
        <v>161</v>
      </c>
      <c r="J24" s="341"/>
      <c r="K24" s="341"/>
      <c r="L24" s="341">
        <v>1</v>
      </c>
      <c r="M24" s="341">
        <v>3</v>
      </c>
      <c r="N24" s="346">
        <v>4</v>
      </c>
    </row>
    <row r="25" spans="2:14" x14ac:dyDescent="0.3">
      <c r="B25" s="340" t="s">
        <v>753</v>
      </c>
      <c r="C25" s="341">
        <v>33</v>
      </c>
      <c r="D25" s="342">
        <v>9578.0303030303039</v>
      </c>
      <c r="E25" s="343">
        <v>4.8181818181818183</v>
      </c>
      <c r="I25" s="340" t="s">
        <v>753</v>
      </c>
      <c r="J25" s="341">
        <v>1</v>
      </c>
      <c r="K25" s="341"/>
      <c r="L25" s="341"/>
      <c r="M25" s="341">
        <v>1</v>
      </c>
      <c r="N25" s="346">
        <v>2</v>
      </c>
    </row>
    <row r="26" spans="2:14" x14ac:dyDescent="0.3">
      <c r="B26" s="340" t="s">
        <v>164</v>
      </c>
      <c r="C26" s="341">
        <v>83</v>
      </c>
      <c r="D26" s="342">
        <v>9576.9036144578313</v>
      </c>
      <c r="E26" s="343">
        <v>4.6867469879518069</v>
      </c>
      <c r="I26" s="340" t="s">
        <v>164</v>
      </c>
      <c r="J26" s="341">
        <v>1</v>
      </c>
      <c r="K26" s="341"/>
      <c r="L26" s="341">
        <v>1</v>
      </c>
      <c r="M26" s="341">
        <v>2</v>
      </c>
      <c r="N26" s="346">
        <v>4</v>
      </c>
    </row>
    <row r="27" spans="2:14" x14ac:dyDescent="0.3">
      <c r="B27" s="340" t="s">
        <v>752</v>
      </c>
      <c r="C27" s="341">
        <v>70</v>
      </c>
      <c r="D27" s="342">
        <v>9241.5142857142855</v>
      </c>
      <c r="E27" s="343">
        <v>4.9142857142857146</v>
      </c>
      <c r="I27" s="340" t="s">
        <v>752</v>
      </c>
      <c r="J27" s="341">
        <v>1</v>
      </c>
      <c r="K27" s="341">
        <v>2</v>
      </c>
      <c r="L27" s="341"/>
      <c r="M27" s="341"/>
      <c r="N27" s="346">
        <v>3</v>
      </c>
    </row>
    <row r="28" spans="2:14" x14ac:dyDescent="0.3">
      <c r="B28" s="340" t="s">
        <v>754</v>
      </c>
      <c r="C28" s="341">
        <v>99</v>
      </c>
      <c r="D28" s="342">
        <v>9440.6262626262633</v>
      </c>
      <c r="E28" s="343">
        <v>4.9191919191919196</v>
      </c>
      <c r="I28" s="340" t="s">
        <v>754</v>
      </c>
      <c r="J28" s="341"/>
      <c r="K28" s="341">
        <v>3</v>
      </c>
      <c r="L28" s="341"/>
      <c r="M28" s="341">
        <v>2</v>
      </c>
      <c r="N28" s="346">
        <v>5</v>
      </c>
    </row>
    <row r="29" spans="2:14" x14ac:dyDescent="0.3">
      <c r="B29" s="340" t="s">
        <v>162</v>
      </c>
      <c r="C29" s="341">
        <v>37</v>
      </c>
      <c r="D29" s="342">
        <v>10126.945945945947</v>
      </c>
      <c r="E29" s="343">
        <v>5.3513513513513518</v>
      </c>
      <c r="I29" s="340" t="s">
        <v>162</v>
      </c>
      <c r="J29" s="341"/>
      <c r="K29" s="341">
        <v>1</v>
      </c>
      <c r="L29" s="341">
        <v>1</v>
      </c>
      <c r="M29" s="341"/>
      <c r="N29" s="346">
        <v>2</v>
      </c>
    </row>
    <row r="30" spans="2:14" x14ac:dyDescent="0.3">
      <c r="B30" s="340" t="s">
        <v>163</v>
      </c>
      <c r="C30" s="341">
        <v>22</v>
      </c>
      <c r="D30" s="342">
        <v>10841.90909090909</v>
      </c>
      <c r="E30" s="343">
        <v>4.5</v>
      </c>
      <c r="I30" s="340" t="s">
        <v>21</v>
      </c>
      <c r="J30" s="341">
        <v>4</v>
      </c>
      <c r="K30" s="341">
        <v>9</v>
      </c>
      <c r="L30" s="341">
        <v>5</v>
      </c>
      <c r="M30" s="341">
        <v>9</v>
      </c>
      <c r="N30" s="346">
        <v>27</v>
      </c>
    </row>
    <row r="31" spans="2:14" x14ac:dyDescent="0.3">
      <c r="B31" s="340" t="s">
        <v>2314</v>
      </c>
      <c r="C31" s="344">
        <v>474</v>
      </c>
      <c r="D31" s="342">
        <v>9574.3945147679333</v>
      </c>
      <c r="E31" s="343">
        <v>4.8417721518987342</v>
      </c>
    </row>
    <row r="32" spans="2:14" x14ac:dyDescent="0.3">
      <c r="B32" s="349"/>
      <c r="C32" s="350"/>
      <c r="D32" s="351"/>
      <c r="E32" s="352"/>
    </row>
    <row r="33" spans="2:15" x14ac:dyDescent="0.3">
      <c r="B33" s="349"/>
      <c r="C33" s="350"/>
      <c r="D33" s="351"/>
      <c r="E33" s="352"/>
    </row>
    <row r="34" spans="2:15" ht="17.25" x14ac:dyDescent="0.3">
      <c r="B34" s="349"/>
      <c r="C34" s="350"/>
      <c r="D34" s="351"/>
      <c r="E34" s="352"/>
      <c r="I34" s="531" t="s">
        <v>2315</v>
      </c>
      <c r="J34" s="531"/>
      <c r="K34" s="531"/>
      <c r="L34" s="531"/>
      <c r="M34" s="531"/>
      <c r="N34" s="531"/>
    </row>
    <row r="36" spans="2:15" hidden="1" x14ac:dyDescent="0.3">
      <c r="I36" s="331" t="s">
        <v>22</v>
      </c>
      <c r="J36" s="331" t="s">
        <v>2304</v>
      </c>
    </row>
    <row r="37" spans="2:15" hidden="1" x14ac:dyDescent="0.3">
      <c r="I37" s="331" t="s">
        <v>2307</v>
      </c>
      <c r="J37" s="331" t="s">
        <v>2290</v>
      </c>
    </row>
    <row r="38" spans="2:15" hidden="1" x14ac:dyDescent="0.3"/>
    <row r="39" spans="2:15" hidden="1" x14ac:dyDescent="0.3">
      <c r="I39" s="331" t="s">
        <v>2305</v>
      </c>
      <c r="J39" s="331" t="s">
        <v>2289</v>
      </c>
      <c r="O39" s="347"/>
    </row>
    <row r="40" spans="2:15" x14ac:dyDescent="0.3">
      <c r="I40" s="345" t="s">
        <v>23</v>
      </c>
      <c r="J40" s="339" t="s">
        <v>2297</v>
      </c>
      <c r="K40" s="339" t="s">
        <v>2295</v>
      </c>
      <c r="L40" s="339" t="s">
        <v>2296</v>
      </c>
      <c r="M40" s="339" t="s">
        <v>2298</v>
      </c>
      <c r="N40" s="345" t="s">
        <v>2288</v>
      </c>
      <c r="O40" s="347"/>
    </row>
    <row r="41" spans="2:15" x14ac:dyDescent="0.3">
      <c r="I41" s="348" t="s">
        <v>159</v>
      </c>
      <c r="J41" s="341">
        <v>1</v>
      </c>
      <c r="K41" s="341">
        <v>5</v>
      </c>
      <c r="L41" s="341">
        <v>2</v>
      </c>
      <c r="M41" s="341"/>
      <c r="N41" s="346">
        <v>8</v>
      </c>
      <c r="O41" s="347"/>
    </row>
    <row r="42" spans="2:15" x14ac:dyDescent="0.3">
      <c r="I42" s="348" t="s">
        <v>161</v>
      </c>
      <c r="J42" s="341"/>
      <c r="K42" s="341">
        <v>2</v>
      </c>
      <c r="L42" s="341">
        <v>3</v>
      </c>
      <c r="M42" s="341"/>
      <c r="N42" s="346">
        <v>5</v>
      </c>
      <c r="O42" s="347"/>
    </row>
    <row r="43" spans="2:15" x14ac:dyDescent="0.3">
      <c r="I43" s="348" t="s">
        <v>753</v>
      </c>
      <c r="J43" s="341"/>
      <c r="K43" s="341"/>
      <c r="L43" s="341">
        <v>1</v>
      </c>
      <c r="M43" s="341">
        <v>1</v>
      </c>
      <c r="N43" s="346">
        <v>2</v>
      </c>
      <c r="O43" s="347"/>
    </row>
    <row r="44" spans="2:15" x14ac:dyDescent="0.3">
      <c r="I44" s="348" t="s">
        <v>752</v>
      </c>
      <c r="J44" s="341"/>
      <c r="K44" s="341"/>
      <c r="L44" s="341"/>
      <c r="M44" s="341">
        <v>1</v>
      </c>
      <c r="N44" s="346">
        <v>1</v>
      </c>
      <c r="O44" s="347"/>
    </row>
    <row r="45" spans="2:15" x14ac:dyDescent="0.3">
      <c r="I45" s="348" t="s">
        <v>754</v>
      </c>
      <c r="J45" s="341">
        <v>1</v>
      </c>
      <c r="K45" s="341"/>
      <c r="L45" s="341">
        <v>2</v>
      </c>
      <c r="M45" s="341"/>
      <c r="N45" s="346">
        <v>3</v>
      </c>
      <c r="O45" s="347"/>
    </row>
    <row r="46" spans="2:15" x14ac:dyDescent="0.3">
      <c r="I46" s="348" t="s">
        <v>163</v>
      </c>
      <c r="J46" s="341"/>
      <c r="K46" s="341">
        <v>1</v>
      </c>
      <c r="L46" s="341"/>
      <c r="M46" s="341"/>
      <c r="N46" s="346">
        <v>1</v>
      </c>
      <c r="O46" s="347"/>
    </row>
    <row r="47" spans="2:15" x14ac:dyDescent="0.3">
      <c r="I47" s="348" t="s">
        <v>2288</v>
      </c>
      <c r="J47" s="341">
        <v>2</v>
      </c>
      <c r="K47" s="341">
        <v>8</v>
      </c>
      <c r="L47" s="341">
        <v>8</v>
      </c>
      <c r="M47" s="341">
        <v>2</v>
      </c>
      <c r="N47" s="346">
        <v>20</v>
      </c>
      <c r="O47" s="347"/>
    </row>
    <row r="48" spans="2:15" x14ac:dyDescent="0.3">
      <c r="I48" s="347"/>
      <c r="J48" s="347"/>
      <c r="K48" s="347"/>
      <c r="L48" s="347"/>
      <c r="M48" s="347"/>
      <c r="N48" s="347"/>
      <c r="O48" s="347"/>
    </row>
    <row r="49" spans="9:15" x14ac:dyDescent="0.3">
      <c r="I49" s="347"/>
      <c r="J49" s="347"/>
      <c r="K49" s="347"/>
      <c r="L49" s="347"/>
      <c r="M49" s="347"/>
      <c r="N49" s="347"/>
      <c r="O49" s="347"/>
    </row>
    <row r="50" spans="9:15" x14ac:dyDescent="0.3">
      <c r="I50" s="347"/>
      <c r="J50" s="347"/>
      <c r="K50" s="347"/>
      <c r="L50" s="347"/>
      <c r="M50" s="347"/>
      <c r="N50" s="347"/>
      <c r="O50" s="347"/>
    </row>
    <row r="51" spans="9:15" x14ac:dyDescent="0.3">
      <c r="I51" s="347"/>
      <c r="J51" s="347"/>
      <c r="K51" s="347"/>
      <c r="L51" s="347"/>
      <c r="M51" s="347"/>
      <c r="N51" s="347"/>
      <c r="O51" s="347"/>
    </row>
    <row r="52" spans="9:15" x14ac:dyDescent="0.3">
      <c r="I52" s="347"/>
      <c r="J52" s="347"/>
      <c r="K52" s="347"/>
      <c r="L52" s="347"/>
      <c r="M52" s="347"/>
      <c r="N52" s="347"/>
      <c r="O52" s="347"/>
    </row>
    <row r="53" spans="9:15" x14ac:dyDescent="0.3">
      <c r="I53" s="347"/>
      <c r="J53" s="347"/>
      <c r="K53" s="347"/>
      <c r="L53" s="347"/>
      <c r="M53" s="347"/>
      <c r="N53" s="347"/>
      <c r="O53" s="347"/>
    </row>
    <row r="54" spans="9:15" x14ac:dyDescent="0.3">
      <c r="I54" s="347"/>
      <c r="J54" s="347"/>
      <c r="K54" s="347"/>
      <c r="L54" s="347"/>
      <c r="M54" s="347"/>
      <c r="N54" s="347"/>
      <c r="O54" s="347"/>
    </row>
    <row r="55" spans="9:15" x14ac:dyDescent="0.3">
      <c r="I55" s="347"/>
      <c r="J55" s="347"/>
      <c r="K55" s="347"/>
      <c r="L55" s="347"/>
      <c r="M55" s="347"/>
      <c r="N55" s="347"/>
      <c r="O55" s="347"/>
    </row>
    <row r="56" spans="9:15" x14ac:dyDescent="0.3">
      <c r="I56" s="347"/>
      <c r="J56" s="347"/>
      <c r="K56" s="347"/>
      <c r="L56" s="347"/>
      <c r="M56" s="347"/>
      <c r="N56" s="347"/>
      <c r="O56" s="347"/>
    </row>
    <row r="57" spans="9:15" x14ac:dyDescent="0.3">
      <c r="I57" s="347"/>
      <c r="J57" s="347"/>
      <c r="K57" s="347"/>
      <c r="L57" s="347"/>
      <c r="M57" s="347"/>
      <c r="N57" s="347"/>
      <c r="O57" s="347"/>
    </row>
  </sheetData>
  <mergeCells count="3">
    <mergeCell ref="O2:X3"/>
    <mergeCell ref="I34:N34"/>
    <mergeCell ref="I12:N12"/>
  </mergeCells>
  <pageMargins left="0.7" right="0.7" top="0.75" bottom="0.75" header="0.3" footer="0.3"/>
  <pageSetup orientation="portrait" r:id="rId4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6AFDD-9ABA-4CB6-8B8F-0F8C25CC332C}">
  <sheetPr codeName="Hoja2"/>
  <dimension ref="A1:BD613"/>
  <sheetViews>
    <sheetView zoomScale="70" zoomScaleNormal="70" workbookViewId="0">
      <selection activeCell="D19" sqref="D19"/>
    </sheetView>
  </sheetViews>
  <sheetFormatPr baseColWidth="10" defaultColWidth="11.42578125" defaultRowHeight="15" x14ac:dyDescent="0.25"/>
  <cols>
    <col min="1" max="1" width="2.85546875" style="272" customWidth="1"/>
    <col min="2" max="2" width="6.28515625" style="245" customWidth="1"/>
    <col min="3" max="3" width="49" style="272" customWidth="1"/>
    <col min="4" max="6" width="13" style="263" customWidth="1"/>
    <col min="7" max="7" width="13" style="281" customWidth="1"/>
    <col min="8" max="8" width="5.42578125" style="282" customWidth="1"/>
    <col min="9" max="9" width="15" style="272" customWidth="1"/>
    <col min="10" max="10" width="12.42578125" style="272" customWidth="1"/>
    <col min="11" max="11" width="7.7109375" style="272" customWidth="1"/>
    <col min="12" max="12" width="9.28515625" style="200" customWidth="1"/>
    <col min="13" max="13" width="7.7109375" style="200" customWidth="1"/>
    <col min="14" max="14" width="37.7109375" style="272" customWidth="1"/>
    <col min="15" max="15" width="7.7109375" style="272" customWidth="1"/>
    <col min="16" max="16" width="14.5703125" style="272" customWidth="1"/>
    <col min="17" max="17" width="16.5703125" style="283" customWidth="1"/>
    <col min="18" max="18" width="21" style="272" customWidth="1"/>
    <col min="19" max="22" width="7.7109375" style="272" customWidth="1"/>
    <col min="23" max="23" width="7.7109375" style="284" customWidth="1"/>
    <col min="24" max="24" width="7.7109375" style="272" customWidth="1"/>
    <col min="25" max="25" width="10.85546875" style="272" customWidth="1"/>
    <col min="26" max="26" width="11.42578125" style="272" customWidth="1"/>
    <col min="27" max="27" width="7.7109375" style="272" customWidth="1"/>
    <col min="28" max="28" width="13.7109375" style="272" customWidth="1"/>
    <col min="29" max="29" width="12.42578125" style="272" customWidth="1"/>
    <col min="30" max="30" width="7.7109375" style="285" customWidth="1"/>
    <col min="31" max="31" width="14.85546875" style="272" customWidth="1"/>
    <col min="32" max="34" width="7.7109375" style="272" customWidth="1"/>
    <col min="35" max="35" width="7.7109375" style="282" customWidth="1"/>
    <col min="36" max="36" width="23.85546875" style="284" customWidth="1"/>
    <col min="37" max="37" width="7.85546875" style="245" customWidth="1"/>
    <col min="38" max="38" width="9.28515625" style="272" customWidth="1"/>
    <col min="39" max="40" width="11.28515625" style="272" customWidth="1"/>
    <col min="41" max="41" width="8" style="282" customWidth="1"/>
    <col min="42" max="42" width="4.85546875" style="272" customWidth="1"/>
    <col min="43" max="44" width="5.85546875" style="272" customWidth="1"/>
    <col min="45" max="45" width="10" style="272" customWidth="1"/>
    <col min="46" max="46" width="13.7109375" style="272" customWidth="1"/>
    <col min="47" max="51" width="5.85546875" style="272" customWidth="1"/>
    <col min="52" max="52" width="18.42578125" style="272" customWidth="1"/>
    <col min="53" max="16384" width="11.42578125" style="272"/>
  </cols>
  <sheetData>
    <row r="1" spans="2:52" x14ac:dyDescent="0.25">
      <c r="J1" s="297"/>
      <c r="K1" s="297"/>
      <c r="W1" s="284" t="s">
        <v>44</v>
      </c>
    </row>
    <row r="2" spans="2:52" ht="15" customHeight="1" x14ac:dyDescent="0.25">
      <c r="C2" s="200" t="s">
        <v>59</v>
      </c>
      <c r="D2" s="262"/>
      <c r="E2" s="538" t="s">
        <v>165</v>
      </c>
      <c r="F2" s="538"/>
      <c r="G2" s="539">
        <f>COUNT(BDD[NEM])</f>
        <v>490</v>
      </c>
      <c r="H2" s="539"/>
      <c r="J2" s="542" t="s">
        <v>2274</v>
      </c>
      <c r="K2" s="542"/>
      <c r="L2" s="272"/>
      <c r="M2" s="272"/>
      <c r="N2" s="262"/>
      <c r="P2" s="284"/>
      <c r="U2" s="284"/>
      <c r="W2" s="272"/>
      <c r="AB2" s="285"/>
      <c r="AD2" s="272"/>
      <c r="AM2" s="203"/>
    </row>
    <row r="3" spans="2:52" ht="19.5" customHeight="1" x14ac:dyDescent="0.25">
      <c r="C3" s="286">
        <f ca="1">TODAY()</f>
        <v>44760</v>
      </c>
      <c r="D3" s="262"/>
      <c r="E3" s="538"/>
      <c r="F3" s="538"/>
      <c r="G3" s="540"/>
      <c r="H3" s="540"/>
      <c r="J3" s="542"/>
      <c r="K3" s="542"/>
      <c r="L3" s="541" cm="1">
        <f t="array" ref="L3">MAX(BDD[NEM]+1)</f>
        <v>738</v>
      </c>
      <c r="M3" s="541"/>
      <c r="N3" s="287"/>
      <c r="Q3" s="288"/>
      <c r="T3" s="262"/>
      <c r="U3" s="284"/>
      <c r="W3" s="289"/>
      <c r="X3" s="289"/>
      <c r="AB3" s="285"/>
      <c r="AD3" s="272"/>
      <c r="AG3" s="272" t="s">
        <v>44</v>
      </c>
      <c r="AM3" s="203"/>
    </row>
    <row r="4" spans="2:52" s="250" customFormat="1" ht="19.5" customHeight="1" x14ac:dyDescent="0.25">
      <c r="B4" s="290"/>
      <c r="D4" s="291"/>
      <c r="E4" s="291"/>
      <c r="F4" s="291"/>
      <c r="AJ4" s="292"/>
    </row>
    <row r="5" spans="2:52" s="298" customFormat="1" ht="19.5" customHeight="1" x14ac:dyDescent="0.25">
      <c r="B5" s="299">
        <f>Extendido!F56</f>
        <v>738</v>
      </c>
      <c r="C5" s="300"/>
      <c r="D5" s="301">
        <f>Extendido!N71</f>
        <v>0</v>
      </c>
      <c r="E5" s="301"/>
      <c r="F5" s="301"/>
      <c r="G5" s="302">
        <f ca="1">Extendido!O59</f>
        <v>44760</v>
      </c>
      <c r="H5" s="300"/>
      <c r="I5" s="300"/>
      <c r="J5" s="300" t="str">
        <f>Extendido!O62</f>
        <v>Seleccionar…</v>
      </c>
      <c r="K5" s="302" t="str">
        <f>Extendido!X59</f>
        <v>Seleccionar…</v>
      </c>
      <c r="L5" s="302" t="str">
        <f>Extendido!U59</f>
        <v>LUN VIE</v>
      </c>
      <c r="M5" s="300">
        <f>Extendido!AA59</f>
        <v>0</v>
      </c>
      <c r="N5" s="300">
        <f>Extendido!O65</f>
        <v>0</v>
      </c>
      <c r="O5" s="300"/>
      <c r="P5" s="300"/>
      <c r="Q5" s="300"/>
      <c r="R5" s="300"/>
      <c r="S5" s="300"/>
      <c r="T5" s="300" t="str">
        <f>Extendido!D77</f>
        <v>Seleccionar…</v>
      </c>
      <c r="U5" s="300"/>
      <c r="V5" s="303">
        <f>Extendido!O74</f>
        <v>0.25</v>
      </c>
      <c r="W5" s="300"/>
      <c r="X5" s="300">
        <f>Extendido!Y74</f>
        <v>15</v>
      </c>
      <c r="Y5" s="300"/>
      <c r="Z5" s="300"/>
      <c r="AA5" s="300"/>
      <c r="AB5" s="302">
        <f>Extendido!F62</f>
        <v>0</v>
      </c>
      <c r="AC5" s="300">
        <f>Extendido!J74</f>
        <v>0</v>
      </c>
      <c r="AD5" s="300" t="str">
        <f>Extendido!K71</f>
        <v>Seleccionar…</v>
      </c>
      <c r="AE5" s="300">
        <f>Extendido!B62</f>
        <v>0</v>
      </c>
      <c r="AF5" s="300">
        <f>Extendido!B65</f>
        <v>0</v>
      </c>
      <c r="AG5" s="300" t="str">
        <f>Extendido!J62</f>
        <v>Seleccionar…</v>
      </c>
      <c r="AH5" s="300" t="str">
        <f>Extendido!B68</f>
        <v>Seleccionar…</v>
      </c>
      <c r="AI5" s="300" t="str">
        <f>Extendido!L65</f>
        <v>Seleccionar…</v>
      </c>
      <c r="AJ5" s="302"/>
      <c r="AK5" s="300">
        <f>Extendido!H68</f>
        <v>0</v>
      </c>
      <c r="AL5" s="300" t="str">
        <f>Extendido!E68</f>
        <v>Seleccionar…</v>
      </c>
      <c r="AM5" s="300">
        <f>Extendido!B71</f>
        <v>0</v>
      </c>
      <c r="AN5" s="300">
        <f>Extendido!B74</f>
        <v>0</v>
      </c>
      <c r="AO5" s="300">
        <f>Extendido!K68</f>
        <v>0</v>
      </c>
      <c r="AP5" s="300"/>
      <c r="AQ5" s="300">
        <f>Extendido!B77</f>
        <v>0</v>
      </c>
    </row>
    <row r="6" spans="2:52" s="250" customFormat="1" ht="12.75" customHeight="1" x14ac:dyDescent="0.25">
      <c r="B6" s="293"/>
      <c r="D6" s="291"/>
      <c r="E6" s="291"/>
      <c r="F6" s="291"/>
      <c r="G6" s="292"/>
      <c r="K6" s="292"/>
      <c r="L6" s="292"/>
      <c r="V6" s="294"/>
      <c r="AB6" s="292"/>
      <c r="AJ6" s="292"/>
    </row>
    <row r="7" spans="2:52" s="295" customFormat="1" ht="17.25" customHeight="1" x14ac:dyDescent="0.25">
      <c r="B7" s="295">
        <v>1</v>
      </c>
      <c r="C7" s="295">
        <v>2</v>
      </c>
      <c r="D7" s="295">
        <v>3</v>
      </c>
      <c r="E7" s="295">
        <v>4</v>
      </c>
      <c r="F7" s="295">
        <v>5</v>
      </c>
      <c r="G7" s="295">
        <v>6</v>
      </c>
      <c r="H7" s="295">
        <v>7</v>
      </c>
      <c r="I7" s="295">
        <v>8</v>
      </c>
      <c r="J7" s="295">
        <v>9</v>
      </c>
      <c r="K7" s="295">
        <v>10</v>
      </c>
      <c r="L7" s="295">
        <v>11</v>
      </c>
      <c r="M7" s="295">
        <v>12</v>
      </c>
      <c r="N7" s="295">
        <v>13</v>
      </c>
      <c r="O7" s="295">
        <v>14</v>
      </c>
      <c r="P7" s="295">
        <v>15</v>
      </c>
      <c r="Q7" s="295">
        <v>16</v>
      </c>
      <c r="R7" s="295">
        <v>17</v>
      </c>
      <c r="S7" s="295">
        <v>18</v>
      </c>
      <c r="T7" s="295">
        <v>19</v>
      </c>
      <c r="U7" s="295">
        <v>20</v>
      </c>
      <c r="V7" s="295">
        <v>21</v>
      </c>
      <c r="W7" s="295">
        <v>22</v>
      </c>
      <c r="X7" s="295">
        <v>23</v>
      </c>
      <c r="Y7" s="295">
        <v>24</v>
      </c>
      <c r="Z7" s="295">
        <v>25</v>
      </c>
      <c r="AA7" s="295">
        <v>26</v>
      </c>
      <c r="AB7" s="295">
        <v>27</v>
      </c>
      <c r="AC7" s="295">
        <v>28</v>
      </c>
      <c r="AD7" s="295">
        <v>29</v>
      </c>
      <c r="AE7" s="295">
        <v>30</v>
      </c>
      <c r="AF7" s="295">
        <v>31</v>
      </c>
      <c r="AG7" s="295">
        <v>32</v>
      </c>
      <c r="AH7" s="295">
        <v>33</v>
      </c>
      <c r="AI7" s="295">
        <v>34</v>
      </c>
      <c r="AJ7" s="296">
        <v>35</v>
      </c>
      <c r="AK7" s="295">
        <v>36</v>
      </c>
      <c r="AL7" s="295">
        <v>37</v>
      </c>
      <c r="AM7" s="295">
        <v>38</v>
      </c>
      <c r="AN7" s="295">
        <v>39</v>
      </c>
      <c r="AO7" s="295">
        <v>40</v>
      </c>
      <c r="AP7" s="295">
        <v>41</v>
      </c>
      <c r="AQ7" s="295">
        <v>42</v>
      </c>
      <c r="AR7" s="295">
        <v>43</v>
      </c>
      <c r="AS7" s="295">
        <v>50</v>
      </c>
      <c r="AT7" s="295">
        <v>51</v>
      </c>
      <c r="AU7" s="295">
        <v>52</v>
      </c>
      <c r="AV7" s="295">
        <v>53</v>
      </c>
      <c r="AW7" s="295">
        <v>54</v>
      </c>
      <c r="AX7" s="295">
        <v>55</v>
      </c>
      <c r="AY7" s="295">
        <v>56</v>
      </c>
      <c r="AZ7" s="295">
        <v>57</v>
      </c>
    </row>
    <row r="8" spans="2:52" s="40" customFormat="1" ht="15" customHeight="1" x14ac:dyDescent="0.25">
      <c r="B8" s="127" t="s">
        <v>2273</v>
      </c>
      <c r="C8" s="128" t="s">
        <v>380</v>
      </c>
      <c r="D8" s="129" t="s">
        <v>298</v>
      </c>
      <c r="E8" s="129" t="s">
        <v>330</v>
      </c>
      <c r="F8" s="129" t="s">
        <v>374</v>
      </c>
      <c r="G8" s="130" t="s">
        <v>54</v>
      </c>
      <c r="H8" s="131" t="s">
        <v>293</v>
      </c>
      <c r="I8" s="132" t="s">
        <v>2236</v>
      </c>
      <c r="J8" s="132" t="s">
        <v>2237</v>
      </c>
      <c r="K8" s="132" t="s">
        <v>22</v>
      </c>
      <c r="L8" s="132" t="s">
        <v>74</v>
      </c>
      <c r="M8" s="132" t="s">
        <v>275</v>
      </c>
      <c r="N8" s="132" t="s">
        <v>276</v>
      </c>
      <c r="O8" s="132" t="s">
        <v>287</v>
      </c>
      <c r="P8" s="132" t="s">
        <v>733</v>
      </c>
      <c r="Q8" s="47" t="s">
        <v>854</v>
      </c>
      <c r="R8" s="132" t="s">
        <v>300</v>
      </c>
      <c r="S8" s="132" t="s">
        <v>288</v>
      </c>
      <c r="T8" s="133" t="s">
        <v>769</v>
      </c>
      <c r="U8" s="134" t="s">
        <v>57</v>
      </c>
      <c r="V8" s="134" t="s">
        <v>56</v>
      </c>
      <c r="W8" s="134" t="s">
        <v>292</v>
      </c>
      <c r="X8" s="134" t="s">
        <v>55</v>
      </c>
      <c r="Y8" s="135" t="s">
        <v>24</v>
      </c>
      <c r="Z8" s="134" t="s">
        <v>0</v>
      </c>
      <c r="AA8" s="134" t="s">
        <v>299</v>
      </c>
      <c r="AB8" s="136" t="s">
        <v>273</v>
      </c>
      <c r="AC8" s="128" t="s">
        <v>286</v>
      </c>
      <c r="AD8" s="128" t="s">
        <v>839</v>
      </c>
      <c r="AE8" s="128" t="s">
        <v>771</v>
      </c>
      <c r="AF8" s="128" t="s">
        <v>285</v>
      </c>
      <c r="AG8" s="128" t="s">
        <v>291</v>
      </c>
      <c r="AH8" s="128" t="s">
        <v>384</v>
      </c>
      <c r="AI8" s="128" t="s">
        <v>289</v>
      </c>
      <c r="AJ8" s="136" t="s">
        <v>308</v>
      </c>
      <c r="AK8" s="127" t="s">
        <v>385</v>
      </c>
      <c r="AL8" s="128" t="s">
        <v>310</v>
      </c>
      <c r="AM8" s="128" t="s">
        <v>392</v>
      </c>
      <c r="AN8" s="128" t="s">
        <v>269</v>
      </c>
      <c r="AO8" s="128" t="s">
        <v>732</v>
      </c>
      <c r="AP8" s="137" t="s">
        <v>832</v>
      </c>
      <c r="AQ8" s="40" t="s">
        <v>843</v>
      </c>
      <c r="AR8" s="40" t="s">
        <v>842</v>
      </c>
      <c r="AS8" s="138" t="s">
        <v>1597</v>
      </c>
      <c r="AT8" s="138" t="s">
        <v>1698</v>
      </c>
      <c r="AU8" s="138" t="s">
        <v>1697</v>
      </c>
      <c r="AV8" s="138" t="s">
        <v>1696</v>
      </c>
      <c r="AW8" s="138" t="s">
        <v>1695</v>
      </c>
      <c r="AX8" s="138" t="s">
        <v>1694</v>
      </c>
      <c r="AY8" s="138" t="s">
        <v>1693</v>
      </c>
      <c r="AZ8" s="40" t="s">
        <v>846</v>
      </c>
    </row>
    <row r="9" spans="2:52" s="250" customFormat="1" ht="15" customHeight="1" x14ac:dyDescent="0.25">
      <c r="B9" s="242">
        <v>101</v>
      </c>
      <c r="C9" s="251" t="s">
        <v>1633</v>
      </c>
      <c r="D9" s="252">
        <v>45000</v>
      </c>
      <c r="E9" s="252">
        <f>(BDD[[#This Row],[SUE MENS]]/30)</f>
        <v>1500</v>
      </c>
      <c r="F9" s="252">
        <f>BDD[[#This Row],[SUE MENS]]/2</f>
        <v>22500</v>
      </c>
      <c r="G9" s="315">
        <v>35736</v>
      </c>
      <c r="H9" s="243">
        <f ca="1">INT(_xlfn.DAYS(TODAY(),BDD[[#This Row],[FECHA ING.]])/365)</f>
        <v>24</v>
      </c>
      <c r="I9" s="251" t="str">
        <f>VLOOKUP(J9,TABLAS!$B$3:$G$49,2,FALSE)</f>
        <v>DIRECCIÓN</v>
      </c>
      <c r="J9" s="198" t="s">
        <v>164</v>
      </c>
      <c r="K9" s="244" t="s">
        <v>762</v>
      </c>
      <c r="L9" s="251" t="s">
        <v>763</v>
      </c>
      <c r="M9" s="251">
        <v>1000</v>
      </c>
      <c r="N9" s="244" t="s">
        <v>2011</v>
      </c>
      <c r="O9" s="251" t="str">
        <f>IFERROR(VLOOKUP(BDD[[#This Row],[SUBDPTO]],TABLAS!$B$4:$D$36,3,0)," ")</f>
        <v xml:space="preserve"> </v>
      </c>
      <c r="P9" s="258"/>
      <c r="Q9" s="254">
        <v>48000</v>
      </c>
      <c r="R9" s="244"/>
      <c r="S9" s="251"/>
      <c r="T9" s="251" t="s">
        <v>811</v>
      </c>
      <c r="U9" s="243">
        <f ca="1">VLOOKUP(BDD[[#This Row],[ANTIG]],DIASXANT18[#All],2)</f>
        <v>20</v>
      </c>
      <c r="V9" s="256">
        <f t="shared" ref="V9:V40" si="0">100/200</f>
        <v>0.5</v>
      </c>
      <c r="W9" s="243">
        <f ca="1">BDD[[#This Row],[D.VAC.]]*BDD[[#This Row],[% P.V.]]</f>
        <v>10</v>
      </c>
      <c r="X9" s="243">
        <v>30</v>
      </c>
      <c r="Y9" s="257">
        <f ca="1">(365+BDD[[#This Row],[D.PAG.V.]]+BDD[[#This Row],[D.AG.]])/365</f>
        <v>1.1095890410958904</v>
      </c>
      <c r="Z9" s="243">
        <f ca="1">BDD[[#This Row],[SUE DIA]]*BDD[[#This Row],[FACTOR SDI]]</f>
        <v>1664.3835616438357</v>
      </c>
      <c r="AA9" s="243">
        <f>BDD[[#This Row],[SUE DIA]]/9</f>
        <v>166.66666666666666</v>
      </c>
      <c r="AB9" s="251">
        <v>33663</v>
      </c>
      <c r="AC9" s="251" t="s">
        <v>867</v>
      </c>
      <c r="AD9" s="251" t="s">
        <v>786</v>
      </c>
      <c r="AE9" s="252">
        <v>8901097153</v>
      </c>
      <c r="AF9" s="251" t="s">
        <v>1077</v>
      </c>
      <c r="AG9" s="251" t="s">
        <v>776</v>
      </c>
      <c r="AH9" s="251" t="s">
        <v>1555</v>
      </c>
      <c r="AI9" s="243" t="s">
        <v>152</v>
      </c>
      <c r="AJ9" s="258" cm="1">
        <f t="array" aca="1" ref="AJ9" ca="1">DATE(YEAR(FECH.CONS[FECHA DE CONSULTA:]),MONTH(BDD[[#This Row],[FECHA NAC]]),DAY(BDD[[#This Row],[FECHA NAC]]))</f>
        <v>44621</v>
      </c>
      <c r="AK9" s="243"/>
      <c r="AL9" s="261" t="s">
        <v>312</v>
      </c>
      <c r="AM9" s="251" t="s">
        <v>1535</v>
      </c>
      <c r="AN9" s="251" t="s">
        <v>1551</v>
      </c>
      <c r="AO9" s="245">
        <v>96</v>
      </c>
      <c r="AP9" s="251">
        <f ca="1">INT((TODAY()-BDD[[#This Row],[FECHA NAC]])/365)</f>
        <v>30</v>
      </c>
      <c r="AQ9" s="251">
        <v>0</v>
      </c>
      <c r="AR9" s="251">
        <f ca="1">IF(BDD[[#This Row],[ANTIG]]=0,0,1)</f>
        <v>1</v>
      </c>
      <c r="AS9" s="251"/>
      <c r="AT9" s="251"/>
      <c r="AU9" s="251"/>
      <c r="AV9" s="251"/>
      <c r="AW9" s="251"/>
      <c r="AX9" s="251"/>
      <c r="AY9" s="251"/>
      <c r="AZ9" s="251">
        <f t="shared" ref="AZ9:AZ72" ca="1" si="1">RANDBETWEEN(1,1000)</f>
        <v>72</v>
      </c>
    </row>
    <row r="10" spans="2:52" s="250" customFormat="1" ht="15" customHeight="1" x14ac:dyDescent="0.25">
      <c r="B10" s="243">
        <v>102</v>
      </c>
      <c r="C10" s="251" t="s">
        <v>71</v>
      </c>
      <c r="D10" s="252">
        <v>35000</v>
      </c>
      <c r="E10" s="252">
        <f>(BDD[[#This Row],[SUE MENS]]/30)</f>
        <v>1166.6666666666667</v>
      </c>
      <c r="F10" s="252">
        <f>BDD[[#This Row],[SUE MENS]]/2</f>
        <v>17500</v>
      </c>
      <c r="G10" s="315">
        <v>42194</v>
      </c>
      <c r="H10" s="243">
        <f ca="1">INT(_xlfn.DAYS(TODAY(),BDD[[#This Row],[FECHA ING.]])/365)</f>
        <v>7</v>
      </c>
      <c r="I10" s="251" t="str">
        <f>VLOOKUP(J10,TABLAS!$B$3:$G$49,2,FALSE)</f>
        <v>TECNOLOGÍA</v>
      </c>
      <c r="J10" s="251" t="s">
        <v>163</v>
      </c>
      <c r="K10" s="244" t="s">
        <v>762</v>
      </c>
      <c r="L10" s="251" t="s">
        <v>763</v>
      </c>
      <c r="M10" s="251">
        <v>1010</v>
      </c>
      <c r="N10" s="244" t="s">
        <v>1874</v>
      </c>
      <c r="O10" s="251" t="str">
        <f>IFERROR(VLOOKUP(BDD[[#This Row],[SUBDPTO]],TABLAS!$B$4:$D$36,3,0)," ")</f>
        <v xml:space="preserve"> </v>
      </c>
      <c r="P10" s="258">
        <f>BDD[[#This Row],[FECHA ING.]]+1000</f>
        <v>43194</v>
      </c>
      <c r="Q10" s="254">
        <v>25500</v>
      </c>
      <c r="R10" s="244" t="s">
        <v>751</v>
      </c>
      <c r="S10" s="244" t="s">
        <v>747</v>
      </c>
      <c r="T10" s="251" t="s">
        <v>301</v>
      </c>
      <c r="U10" s="243">
        <f ca="1">VLOOKUP(BDD[[#This Row],[ANTIG]],DIASXANT18[#All],2)</f>
        <v>16</v>
      </c>
      <c r="V10" s="256">
        <f t="shared" si="0"/>
        <v>0.5</v>
      </c>
      <c r="W10" s="243">
        <f ca="1">BDD[[#This Row],[D.VAC.]]*BDD[[#This Row],[% P.V.]]</f>
        <v>8</v>
      </c>
      <c r="X10" s="243">
        <v>30</v>
      </c>
      <c r="Y10" s="257">
        <f ca="1">(365+BDD[[#This Row],[D.PAG.V.]]+BDD[[#This Row],[D.AG.]])/365</f>
        <v>1.1041095890410959</v>
      </c>
      <c r="Z10" s="243">
        <f ca="1">BDD[[#This Row],[SUE DIA]]*BDD[[#This Row],[FACTOR SDI]]</f>
        <v>1288.1278538812787</v>
      </c>
      <c r="AA10" s="243">
        <f>BDD[[#This Row],[SUE DIA]]/9</f>
        <v>129.62962962962965</v>
      </c>
      <c r="AB10" s="251">
        <v>32874</v>
      </c>
      <c r="AC10" s="251" t="s">
        <v>868</v>
      </c>
      <c r="AD10" s="251" t="s">
        <v>787</v>
      </c>
      <c r="AE10" s="252">
        <v>8709375531</v>
      </c>
      <c r="AF10" s="251" t="s">
        <v>1078</v>
      </c>
      <c r="AG10" s="251" t="s">
        <v>776</v>
      </c>
      <c r="AH10" s="251" t="s">
        <v>1555</v>
      </c>
      <c r="AI10" s="243" t="s">
        <v>151</v>
      </c>
      <c r="AJ10" s="258" cm="1">
        <f t="array" aca="1" ref="AJ10" ca="1">DATE(YEAR(FECH.CONS[FECHA DE CONSULTA:]),MONTH(BDD[[#This Row],[FECHA NAC]]),DAY(BDD[[#This Row],[FECHA NAC]]))</f>
        <v>44562</v>
      </c>
      <c r="AK10" s="243"/>
      <c r="AL10" s="261" t="s">
        <v>316</v>
      </c>
      <c r="AM10" s="251" t="s">
        <v>1536</v>
      </c>
      <c r="AN10" s="251" t="s">
        <v>1551</v>
      </c>
      <c r="AO10" s="245">
        <v>95</v>
      </c>
      <c r="AP10" s="251">
        <f ca="1">INT((TODAY()-BDD[[#This Row],[FECHA NAC]])/365)</f>
        <v>32</v>
      </c>
      <c r="AQ10" s="251">
        <v>1</v>
      </c>
      <c r="AR10" s="251">
        <f ca="1">IF(BDD[[#This Row],[ANTIG]]=0,0,1)</f>
        <v>1</v>
      </c>
      <c r="AS10" s="251"/>
      <c r="AT10" s="251"/>
      <c r="AU10" s="251"/>
      <c r="AV10" s="251"/>
      <c r="AW10" s="251"/>
      <c r="AX10" s="251"/>
      <c r="AY10" s="251"/>
      <c r="AZ10" s="251">
        <f t="shared" ca="1" si="1"/>
        <v>123</v>
      </c>
    </row>
    <row r="11" spans="2:52" s="250" customFormat="1" ht="15" customHeight="1" x14ac:dyDescent="0.25">
      <c r="B11" s="243">
        <v>103</v>
      </c>
      <c r="C11" s="251" t="s">
        <v>79</v>
      </c>
      <c r="D11" s="252">
        <v>48900</v>
      </c>
      <c r="E11" s="252">
        <f>(BDD[[#This Row],[SUE MENS]]/30)</f>
        <v>1630</v>
      </c>
      <c r="F11" s="252">
        <f>BDD[[#This Row],[SUE MENS]]/2</f>
        <v>24450</v>
      </c>
      <c r="G11" s="315">
        <v>39115</v>
      </c>
      <c r="H11" s="243">
        <f ca="1">INT(_xlfn.DAYS(TODAY(),BDD[[#This Row],[FECHA ING.]])/365)</f>
        <v>15</v>
      </c>
      <c r="I11" s="251" t="str">
        <f>VLOOKUP(J11,TABLAS!$B$3:$G$49,2,FALSE)</f>
        <v>CONTABILIDAD</v>
      </c>
      <c r="J11" s="251" t="s">
        <v>160</v>
      </c>
      <c r="K11" s="244" t="s">
        <v>762</v>
      </c>
      <c r="L11" s="251" t="s">
        <v>763</v>
      </c>
      <c r="M11" s="251">
        <v>1007</v>
      </c>
      <c r="N11" s="244" t="s">
        <v>1969</v>
      </c>
      <c r="O11" s="251" t="str">
        <f>IFERROR(VLOOKUP(BDD[[#This Row],[SUBDPTO]],TABLAS!$B$4:$D$36,3,0)," ")</f>
        <v xml:space="preserve"> </v>
      </c>
      <c r="P11" s="258"/>
      <c r="Q11" s="254">
        <v>41600</v>
      </c>
      <c r="R11" s="244"/>
      <c r="S11" s="251"/>
      <c r="T11" s="251" t="s">
        <v>301</v>
      </c>
      <c r="U11" s="243">
        <f ca="1">VLOOKUP(BDD[[#This Row],[ANTIG]],DIASXANT18[#All],2)</f>
        <v>20</v>
      </c>
      <c r="V11" s="256">
        <f t="shared" si="0"/>
        <v>0.5</v>
      </c>
      <c r="W11" s="243">
        <f ca="1">BDD[[#This Row],[D.VAC.]]*BDD[[#This Row],[% P.V.]]</f>
        <v>10</v>
      </c>
      <c r="X11" s="243">
        <v>30</v>
      </c>
      <c r="Y11" s="257">
        <f ca="1">(365+BDD[[#This Row],[D.PAG.V.]]+BDD[[#This Row],[D.AG.]])/365</f>
        <v>1.1095890410958904</v>
      </c>
      <c r="Z11" s="243">
        <f ca="1">BDD[[#This Row],[SUE DIA]]*BDD[[#This Row],[FACTOR SDI]]</f>
        <v>1808.6301369863013</v>
      </c>
      <c r="AA11" s="243">
        <f>BDD[[#This Row],[SUE DIA]]/9</f>
        <v>181.11111111111111</v>
      </c>
      <c r="AB11" s="251">
        <v>29835</v>
      </c>
      <c r="AC11" s="251" t="s">
        <v>869</v>
      </c>
      <c r="AD11" s="251" t="s">
        <v>788</v>
      </c>
      <c r="AE11" s="252">
        <v>8758391207</v>
      </c>
      <c r="AF11" s="251" t="s">
        <v>1079</v>
      </c>
      <c r="AG11" s="251" t="s">
        <v>776</v>
      </c>
      <c r="AH11" s="251" t="s">
        <v>727</v>
      </c>
      <c r="AI11" s="243" t="s">
        <v>151</v>
      </c>
      <c r="AJ11" s="258" cm="1">
        <f t="array" aca="1" ref="AJ11" ca="1">DATE(YEAR(FECH.CONS[FECHA DE CONSULTA:]),MONTH(BDD[[#This Row],[FECHA NAC]]),DAY(BDD[[#This Row],[FECHA NAC]]))</f>
        <v>44810</v>
      </c>
      <c r="AK11" s="243"/>
      <c r="AL11" s="261" t="s">
        <v>311</v>
      </c>
      <c r="AM11" s="251" t="s">
        <v>1537</v>
      </c>
      <c r="AN11" s="251" t="s">
        <v>1534</v>
      </c>
      <c r="AO11" s="245">
        <v>59</v>
      </c>
      <c r="AP11" s="251">
        <f ca="1">INT((TODAY()-BDD[[#This Row],[FECHA NAC]])/365)</f>
        <v>40</v>
      </c>
      <c r="AQ11" s="251">
        <v>3</v>
      </c>
      <c r="AR11" s="251">
        <f ca="1">IF(BDD[[#This Row],[ANTIG]]=0,0,1)</f>
        <v>1</v>
      </c>
      <c r="AS11" s="251"/>
      <c r="AT11" s="251"/>
      <c r="AU11" s="251"/>
      <c r="AV11" s="251"/>
      <c r="AW11" s="251"/>
      <c r="AX11" s="251"/>
      <c r="AY11" s="251"/>
      <c r="AZ11" s="251">
        <f t="shared" ca="1" si="1"/>
        <v>254</v>
      </c>
    </row>
    <row r="12" spans="2:52" s="250" customFormat="1" ht="15" customHeight="1" x14ac:dyDescent="0.25">
      <c r="B12" s="243">
        <v>104</v>
      </c>
      <c r="C12" s="251" t="s">
        <v>66</v>
      </c>
      <c r="D12" s="252">
        <v>64200</v>
      </c>
      <c r="E12" s="252">
        <f>(BDD[[#This Row],[SUE MENS]]/30)</f>
        <v>2140</v>
      </c>
      <c r="F12" s="252">
        <f>BDD[[#This Row],[SUE MENS]]/2</f>
        <v>32100</v>
      </c>
      <c r="G12" s="315">
        <v>37748</v>
      </c>
      <c r="H12" s="243">
        <f ca="1">INT(_xlfn.DAYS(TODAY(),BDD[[#This Row],[FECHA ING.]])/365)</f>
        <v>19</v>
      </c>
      <c r="I12" s="251" t="str">
        <f>VLOOKUP(J12,TABLAS!$B$3:$G$49,2,FALSE)</f>
        <v>DIV INGENRIA</v>
      </c>
      <c r="J12" s="251" t="s">
        <v>754</v>
      </c>
      <c r="K12" s="244" t="s">
        <v>762</v>
      </c>
      <c r="L12" s="251" t="s">
        <v>763</v>
      </c>
      <c r="M12" s="251">
        <v>1004</v>
      </c>
      <c r="N12" s="253" t="s">
        <v>1880</v>
      </c>
      <c r="O12" s="251" t="str">
        <f>IFERROR(VLOOKUP(BDD[[#This Row],[SUBDPTO]],TABLAS!$B$4:$D$36,3,0)," ")</f>
        <v xml:space="preserve"> </v>
      </c>
      <c r="P12" s="258"/>
      <c r="Q12" s="254">
        <v>32000</v>
      </c>
      <c r="R12" s="244"/>
      <c r="S12" s="251"/>
      <c r="T12" s="251" t="s">
        <v>811</v>
      </c>
      <c r="U12" s="243">
        <f ca="1">VLOOKUP(BDD[[#This Row],[ANTIG]],DIASXANT18[#All],2)</f>
        <v>20</v>
      </c>
      <c r="V12" s="256">
        <f t="shared" si="0"/>
        <v>0.5</v>
      </c>
      <c r="W12" s="243">
        <f ca="1">BDD[[#This Row],[D.VAC.]]*BDD[[#This Row],[% P.V.]]</f>
        <v>10</v>
      </c>
      <c r="X12" s="243">
        <v>30</v>
      </c>
      <c r="Y12" s="257">
        <f ca="1">(365+BDD[[#This Row],[D.PAG.V.]]+BDD[[#This Row],[D.AG.]])/365</f>
        <v>1.1095890410958904</v>
      </c>
      <c r="Z12" s="243">
        <f ca="1">BDD[[#This Row],[SUE DIA]]*BDD[[#This Row],[FACTOR SDI]]</f>
        <v>2374.5205479452056</v>
      </c>
      <c r="AA12" s="243">
        <f>BDD[[#This Row],[SUE DIA]]/9</f>
        <v>237.77777777777777</v>
      </c>
      <c r="AB12" s="251">
        <v>32484</v>
      </c>
      <c r="AC12" s="251" t="s">
        <v>870</v>
      </c>
      <c r="AD12" s="251" t="s">
        <v>789</v>
      </c>
      <c r="AE12" s="252">
        <v>8983467974</v>
      </c>
      <c r="AF12" s="251" t="s">
        <v>1080</v>
      </c>
      <c r="AG12" s="251" t="s">
        <v>774</v>
      </c>
      <c r="AH12" s="251" t="s">
        <v>727</v>
      </c>
      <c r="AI12" s="243" t="s">
        <v>153</v>
      </c>
      <c r="AJ12" s="258" cm="1">
        <f t="array" aca="1" ref="AJ12" ca="1">DATE(YEAR(FECH.CONS[FECHA DE CONSULTA:]),MONTH(BDD[[#This Row],[FECHA NAC]]),DAY(BDD[[#This Row],[FECHA NAC]]))</f>
        <v>44902</v>
      </c>
      <c r="AK12" s="243"/>
      <c r="AL12" s="261" t="s">
        <v>311</v>
      </c>
      <c r="AM12" s="251" t="s">
        <v>1538</v>
      </c>
      <c r="AN12" s="251" t="s">
        <v>1549</v>
      </c>
      <c r="AO12" s="245">
        <v>74</v>
      </c>
      <c r="AP12" s="251">
        <f ca="1">INT((TODAY()-BDD[[#This Row],[FECHA NAC]])/365)</f>
        <v>33</v>
      </c>
      <c r="AQ12" s="251">
        <v>1</v>
      </c>
      <c r="AR12" s="251">
        <f ca="1">IF(BDD[[#This Row],[ANTIG]]=0,0,1)</f>
        <v>1</v>
      </c>
      <c r="AS12" s="251"/>
      <c r="AT12" s="251"/>
      <c r="AU12" s="251"/>
      <c r="AV12" s="251"/>
      <c r="AW12" s="251"/>
      <c r="AX12" s="251"/>
      <c r="AY12" s="251"/>
      <c r="AZ12" s="251">
        <f t="shared" ca="1" si="1"/>
        <v>433</v>
      </c>
    </row>
    <row r="13" spans="2:52" s="250" customFormat="1" ht="15" customHeight="1" x14ac:dyDescent="0.25">
      <c r="B13" s="243">
        <v>105</v>
      </c>
      <c r="C13" s="251" t="s">
        <v>65</v>
      </c>
      <c r="D13" s="252">
        <v>60000</v>
      </c>
      <c r="E13" s="252">
        <f>(BDD[[#This Row],[SUE MENS]]/30)</f>
        <v>2000</v>
      </c>
      <c r="F13" s="252">
        <f>BDD[[#This Row],[SUE MENS]]/2</f>
        <v>30000</v>
      </c>
      <c r="G13" s="315">
        <v>35736</v>
      </c>
      <c r="H13" s="243">
        <f ca="1">INT(_xlfn.DAYS(TODAY(),BDD[[#This Row],[FECHA ING.]])/365)</f>
        <v>24</v>
      </c>
      <c r="I13" s="251" t="str">
        <f>VLOOKUP(J13,TABLAS!$B$3:$G$49,2,FALSE)</f>
        <v>DIRECCIÓN</v>
      </c>
      <c r="J13" s="198" t="s">
        <v>164</v>
      </c>
      <c r="K13" s="244" t="s">
        <v>762</v>
      </c>
      <c r="L13" s="251" t="s">
        <v>763</v>
      </c>
      <c r="M13" s="251">
        <v>1001</v>
      </c>
      <c r="N13" s="244" t="s">
        <v>1826</v>
      </c>
      <c r="O13" s="251" t="str">
        <f>IFERROR(VLOOKUP(BDD[[#This Row],[SUBDPTO]],TABLAS!$B$4:$D$36,3,0)," ")</f>
        <v xml:space="preserve"> </v>
      </c>
      <c r="P13" s="258">
        <v>44475</v>
      </c>
      <c r="Q13" s="254">
        <v>21720</v>
      </c>
      <c r="R13" s="244"/>
      <c r="S13" s="244"/>
      <c r="T13" s="251" t="s">
        <v>811</v>
      </c>
      <c r="U13" s="243">
        <f ca="1">VLOOKUP(BDD[[#This Row],[ANTIG]],DIASXANT18[#All],2)</f>
        <v>20</v>
      </c>
      <c r="V13" s="256">
        <f t="shared" si="0"/>
        <v>0.5</v>
      </c>
      <c r="W13" s="243">
        <f ca="1">BDD[[#This Row],[D.VAC.]]*BDD[[#This Row],[% P.V.]]</f>
        <v>10</v>
      </c>
      <c r="X13" s="243">
        <v>30</v>
      </c>
      <c r="Y13" s="257">
        <f ca="1">(365+BDD[[#This Row],[D.PAG.V.]]+BDD[[#This Row],[D.AG.]])/365</f>
        <v>1.1095890410958904</v>
      </c>
      <c r="Z13" s="243">
        <f ca="1">BDD[[#This Row],[SUE DIA]]*BDD[[#This Row],[FACTOR SDI]]</f>
        <v>2219.178082191781</v>
      </c>
      <c r="AA13" s="243">
        <f>BDD[[#This Row],[SUE DIA]]/9</f>
        <v>222.22222222222223</v>
      </c>
      <c r="AB13" s="251">
        <v>32919</v>
      </c>
      <c r="AC13" s="251" t="s">
        <v>871</v>
      </c>
      <c r="AD13" s="251" t="s">
        <v>787</v>
      </c>
      <c r="AE13" s="252">
        <v>8181691863</v>
      </c>
      <c r="AF13" s="251" t="s">
        <v>1081</v>
      </c>
      <c r="AG13" s="251" t="s">
        <v>776</v>
      </c>
      <c r="AH13" s="251" t="s">
        <v>727</v>
      </c>
      <c r="AI13" s="243" t="s">
        <v>151</v>
      </c>
      <c r="AJ13" s="258" cm="1">
        <f t="array" aca="1" ref="AJ13" ca="1">DATE(YEAR(FECH.CONS[FECHA DE CONSULTA:]),MONTH(BDD[[#This Row],[FECHA NAC]]),DAY(BDD[[#This Row],[FECHA NAC]]))</f>
        <v>44607</v>
      </c>
      <c r="AK13" s="243"/>
      <c r="AL13" s="261" t="s">
        <v>311</v>
      </c>
      <c r="AM13" s="251" t="s">
        <v>1535</v>
      </c>
      <c r="AN13" s="251" t="s">
        <v>1552</v>
      </c>
      <c r="AO13" s="245">
        <v>34</v>
      </c>
      <c r="AP13" s="251">
        <f ca="1">INT((TODAY()-BDD[[#This Row],[FECHA NAC]])/365)</f>
        <v>32</v>
      </c>
      <c r="AQ13" s="251">
        <v>0</v>
      </c>
      <c r="AR13" s="251">
        <f ca="1">IF(BDD[[#This Row],[ANTIG]]=0,0,1)</f>
        <v>1</v>
      </c>
      <c r="AS13" s="251"/>
      <c r="AT13" s="251"/>
      <c r="AU13" s="251"/>
      <c r="AV13" s="251"/>
      <c r="AW13" s="251"/>
      <c r="AX13" s="251"/>
      <c r="AY13" s="251"/>
      <c r="AZ13" s="251">
        <f t="shared" ca="1" si="1"/>
        <v>292</v>
      </c>
    </row>
    <row r="14" spans="2:52" s="250" customFormat="1" ht="15" customHeight="1" x14ac:dyDescent="0.25">
      <c r="B14" s="243">
        <v>107</v>
      </c>
      <c r="C14" s="251" t="s">
        <v>70</v>
      </c>
      <c r="D14" s="252">
        <v>25800</v>
      </c>
      <c r="E14" s="252">
        <f>(BDD[[#This Row],[SUE MENS]]/30)</f>
        <v>860</v>
      </c>
      <c r="F14" s="252">
        <f>BDD[[#This Row],[SUE MENS]]/2</f>
        <v>12900</v>
      </c>
      <c r="G14" s="315">
        <v>42429</v>
      </c>
      <c r="H14" s="243">
        <f ca="1">INT(_xlfn.DAYS(TODAY(),BDD[[#This Row],[FECHA ING.]])/365)</f>
        <v>6</v>
      </c>
      <c r="I14" s="251" t="str">
        <f>VLOOKUP(J14,TABLAS!$B$3:$G$49,2,FALSE)</f>
        <v>FINANZAS</v>
      </c>
      <c r="J14" s="198" t="s">
        <v>757</v>
      </c>
      <c r="K14" s="244" t="s">
        <v>761</v>
      </c>
      <c r="L14" s="251" t="s">
        <v>763</v>
      </c>
      <c r="M14" s="251">
        <v>1028</v>
      </c>
      <c r="N14" s="244" t="s">
        <v>1928</v>
      </c>
      <c r="O14" s="251" t="str">
        <f>IFERROR(VLOOKUP(BDD[[#This Row],[SUBDPTO]],TABLAS!$B$4:$D$36,3,0)," ")</f>
        <v>MARIANO ALDEBARÁN</v>
      </c>
      <c r="P14" s="258">
        <f>BDD[[#This Row],[FECHA ING.]]+700</f>
        <v>43129</v>
      </c>
      <c r="Q14" s="254">
        <v>17976</v>
      </c>
      <c r="R14" s="251" t="s">
        <v>745</v>
      </c>
      <c r="S14" s="244" t="s">
        <v>748</v>
      </c>
      <c r="T14" s="251" t="s">
        <v>301</v>
      </c>
      <c r="U14" s="243">
        <f ca="1">VLOOKUP(BDD[[#This Row],[ANTIG]],DIASXANT18[#All],2)</f>
        <v>16</v>
      </c>
      <c r="V14" s="256">
        <f t="shared" si="0"/>
        <v>0.5</v>
      </c>
      <c r="W14" s="243">
        <f ca="1">BDD[[#This Row],[D.VAC.]]*BDD[[#This Row],[% P.V.]]</f>
        <v>8</v>
      </c>
      <c r="X14" s="243">
        <v>30</v>
      </c>
      <c r="Y14" s="257">
        <f ca="1">(365+BDD[[#This Row],[D.PAG.V.]]+BDD[[#This Row],[D.AG.]])/365</f>
        <v>1.1041095890410959</v>
      </c>
      <c r="Z14" s="243">
        <f ca="1">BDD[[#This Row],[SUE DIA]]*BDD[[#This Row],[FACTOR SDI]]</f>
        <v>949.53424657534254</v>
      </c>
      <c r="AA14" s="243">
        <f>BDD[[#This Row],[SUE DIA]]/9</f>
        <v>95.555555555555557</v>
      </c>
      <c r="AB14" s="251">
        <v>31388</v>
      </c>
      <c r="AC14" s="251" t="s">
        <v>872</v>
      </c>
      <c r="AD14" s="251" t="s">
        <v>790</v>
      </c>
      <c r="AE14" s="252">
        <v>8880215265</v>
      </c>
      <c r="AF14" s="251" t="s">
        <v>1082</v>
      </c>
      <c r="AG14" s="251" t="s">
        <v>777</v>
      </c>
      <c r="AH14" s="251" t="s">
        <v>727</v>
      </c>
      <c r="AI14" s="243" t="s">
        <v>152</v>
      </c>
      <c r="AJ14" s="258" cm="1">
        <f t="array" aca="1" ref="AJ14" ca="1">DATE(YEAR(FECH.CONS[FECHA DE CONSULTA:]),MONTH(BDD[[#This Row],[FECHA NAC]]),DAY(BDD[[#This Row],[FECHA NAC]]))</f>
        <v>44902</v>
      </c>
      <c r="AK14" s="243"/>
      <c r="AL14" s="261" t="s">
        <v>319</v>
      </c>
      <c r="AM14" s="251" t="s">
        <v>1533</v>
      </c>
      <c r="AN14" s="251" t="s">
        <v>162</v>
      </c>
      <c r="AO14" s="245">
        <v>97</v>
      </c>
      <c r="AP14" s="251">
        <f ca="1">INT((TODAY()-BDD[[#This Row],[FECHA NAC]])/365)</f>
        <v>36</v>
      </c>
      <c r="AQ14" s="251">
        <v>3</v>
      </c>
      <c r="AR14" s="251">
        <f ca="1">IF(BDD[[#This Row],[ANTIG]]=0,0,1)</f>
        <v>1</v>
      </c>
      <c r="AS14" s="251"/>
      <c r="AT14" s="251"/>
      <c r="AU14" s="251"/>
      <c r="AV14" s="251"/>
      <c r="AW14" s="251"/>
      <c r="AX14" s="251"/>
      <c r="AY14" s="251"/>
      <c r="AZ14" s="251">
        <f t="shared" ca="1" si="1"/>
        <v>726</v>
      </c>
    </row>
    <row r="15" spans="2:52" s="250" customFormat="1" ht="15" customHeight="1" x14ac:dyDescent="0.25">
      <c r="B15" s="243">
        <v>108</v>
      </c>
      <c r="C15" s="251" t="s">
        <v>67</v>
      </c>
      <c r="D15" s="252">
        <v>64200</v>
      </c>
      <c r="E15" s="252">
        <f>(BDD[[#This Row],[SUE MENS]]/30)</f>
        <v>2140</v>
      </c>
      <c r="F15" s="252">
        <f>BDD[[#This Row],[SUE MENS]]/2</f>
        <v>32100</v>
      </c>
      <c r="G15" s="315">
        <v>39419</v>
      </c>
      <c r="H15" s="243">
        <f ca="1">INT(_xlfn.DAYS(TODAY(),BDD[[#This Row],[FECHA ING.]])/365)</f>
        <v>14</v>
      </c>
      <c r="I15" s="251" t="str">
        <f>VLOOKUP(J15,TABLAS!$B$3:$G$49,2,FALSE)</f>
        <v>DIV ARQUIT</v>
      </c>
      <c r="J15" s="251" t="s">
        <v>752</v>
      </c>
      <c r="K15" s="244" t="s">
        <v>762</v>
      </c>
      <c r="L15" s="251" t="s">
        <v>763</v>
      </c>
      <c r="M15" s="251">
        <v>1005</v>
      </c>
      <c r="N15" s="244" t="s">
        <v>2114</v>
      </c>
      <c r="O15" s="251" t="str">
        <f>IFERROR(VLOOKUP(BDD[[#This Row],[SUBDPTO]],TABLAS!$B$4:$D$36,3,0)," ")</f>
        <v xml:space="preserve"> </v>
      </c>
      <c r="P15" s="258"/>
      <c r="Q15" s="254">
        <v>39120</v>
      </c>
      <c r="R15" s="244"/>
      <c r="S15" s="251"/>
      <c r="T15" s="251" t="s">
        <v>811</v>
      </c>
      <c r="U15" s="243">
        <f ca="1">VLOOKUP(BDD[[#This Row],[ANTIG]],DIASXANT18[#All],2)</f>
        <v>20</v>
      </c>
      <c r="V15" s="256">
        <f t="shared" si="0"/>
        <v>0.5</v>
      </c>
      <c r="W15" s="243">
        <f ca="1">BDD[[#This Row],[D.VAC.]]*BDD[[#This Row],[% P.V.]]</f>
        <v>10</v>
      </c>
      <c r="X15" s="243">
        <v>30</v>
      </c>
      <c r="Y15" s="257">
        <f ca="1">(365+BDD[[#This Row],[D.PAG.V.]]+BDD[[#This Row],[D.AG.]])/365</f>
        <v>1.1095890410958904</v>
      </c>
      <c r="Z15" s="243">
        <f ca="1">BDD[[#This Row],[SUE DIA]]*BDD[[#This Row],[FACTOR SDI]]</f>
        <v>2374.5205479452056</v>
      </c>
      <c r="AA15" s="243">
        <f>BDD[[#This Row],[SUE DIA]]/9</f>
        <v>237.77777777777777</v>
      </c>
      <c r="AB15" s="251">
        <v>35219</v>
      </c>
      <c r="AC15" s="251" t="s">
        <v>873</v>
      </c>
      <c r="AD15" s="251" t="s">
        <v>789</v>
      </c>
      <c r="AE15" s="252">
        <v>8491165814</v>
      </c>
      <c r="AF15" s="251" t="s">
        <v>1083</v>
      </c>
      <c r="AG15" s="251" t="s">
        <v>776</v>
      </c>
      <c r="AH15" s="251" t="s">
        <v>727</v>
      </c>
      <c r="AI15" s="243" t="s">
        <v>151</v>
      </c>
      <c r="AJ15" s="258" cm="1">
        <f t="array" aca="1" ref="AJ15" ca="1">DATE(YEAR(FECH.CONS[FECHA DE CONSULTA:]),MONTH(BDD[[#This Row],[FECHA NAC]]),DAY(BDD[[#This Row],[FECHA NAC]]))</f>
        <v>44715</v>
      </c>
      <c r="AK15" s="243"/>
      <c r="AL15" s="251" t="s">
        <v>312</v>
      </c>
      <c r="AM15" s="251" t="s">
        <v>1538</v>
      </c>
      <c r="AN15" s="251" t="s">
        <v>1534</v>
      </c>
      <c r="AO15" s="245">
        <v>52</v>
      </c>
      <c r="AP15" s="251">
        <f ca="1">INT((TODAY()-BDD[[#This Row],[FECHA NAC]])/365)</f>
        <v>26</v>
      </c>
      <c r="AQ15" s="251">
        <v>1</v>
      </c>
      <c r="AR15" s="251">
        <f ca="1">IF(BDD[[#This Row],[ANTIG]]=0,0,1)</f>
        <v>1</v>
      </c>
      <c r="AS15" s="251"/>
      <c r="AT15" s="251"/>
      <c r="AU15" s="251"/>
      <c r="AV15" s="251"/>
      <c r="AW15" s="251"/>
      <c r="AX15" s="251"/>
      <c r="AY15" s="251"/>
      <c r="AZ15" s="251">
        <f t="shared" ca="1" si="1"/>
        <v>433</v>
      </c>
    </row>
    <row r="16" spans="2:52" s="250" customFormat="1" ht="15" customHeight="1" x14ac:dyDescent="0.25">
      <c r="B16" s="243">
        <v>109</v>
      </c>
      <c r="C16" s="251" t="s">
        <v>68</v>
      </c>
      <c r="D16" s="252">
        <v>32100</v>
      </c>
      <c r="E16" s="252">
        <f>(BDD[[#This Row],[SUE MENS]]/30)</f>
        <v>1070</v>
      </c>
      <c r="F16" s="252">
        <f>BDD[[#This Row],[SUE MENS]]/2</f>
        <v>16050</v>
      </c>
      <c r="G16" s="315">
        <v>43439</v>
      </c>
      <c r="H16" s="243">
        <f ca="1">INT(_xlfn.DAYS(TODAY(),BDD[[#This Row],[FECHA ING.]])/365)</f>
        <v>3</v>
      </c>
      <c r="I16" s="251" t="str">
        <f>VLOOKUP(J16,TABLAS!$B$3:$G$49,2,FALSE)</f>
        <v>RCRSO LEGAL</v>
      </c>
      <c r="J16" s="244" t="s">
        <v>755</v>
      </c>
      <c r="K16" s="244" t="s">
        <v>764</v>
      </c>
      <c r="L16" s="251" t="s">
        <v>763</v>
      </c>
      <c r="M16" s="251">
        <v>1013</v>
      </c>
      <c r="N16" s="244" t="s">
        <v>2112</v>
      </c>
      <c r="O16" s="251" t="str">
        <f>IFERROR(VLOOKUP(BDD[[#This Row],[SUBDPTO]],TABLAS!$B$4:$D$36,3,0)," ")</f>
        <v xml:space="preserve"> </v>
      </c>
      <c r="P16" s="258"/>
      <c r="Q16" s="264"/>
      <c r="R16" s="244"/>
      <c r="S16" s="251"/>
      <c r="T16" s="251" t="s">
        <v>811</v>
      </c>
      <c r="U16" s="243">
        <f ca="1">VLOOKUP(BDD[[#This Row],[ANTIG]],DIASXANT18[#All],2)</f>
        <v>14</v>
      </c>
      <c r="V16" s="256">
        <f t="shared" si="0"/>
        <v>0.5</v>
      </c>
      <c r="W16" s="243">
        <f ca="1">BDD[[#This Row],[D.VAC.]]*BDD[[#This Row],[% P.V.]]</f>
        <v>7</v>
      </c>
      <c r="X16" s="243">
        <v>30</v>
      </c>
      <c r="Y16" s="257">
        <f ca="1">(365+BDD[[#This Row],[D.PAG.V.]]+BDD[[#This Row],[D.AG.]])/365</f>
        <v>1.1013698630136985</v>
      </c>
      <c r="Z16" s="243">
        <f ca="1">BDD[[#This Row],[SUE DIA]]*BDD[[#This Row],[FACTOR SDI]]</f>
        <v>1178.4657534246574</v>
      </c>
      <c r="AA16" s="243">
        <f>BDD[[#This Row],[SUE DIA]]/9</f>
        <v>118.88888888888889</v>
      </c>
      <c r="AB16" s="251">
        <v>31786</v>
      </c>
      <c r="AC16" s="251" t="s">
        <v>874</v>
      </c>
      <c r="AD16" s="251" t="s">
        <v>809</v>
      </c>
      <c r="AE16" s="252">
        <v>8646319843</v>
      </c>
      <c r="AF16" s="251" t="s">
        <v>1084</v>
      </c>
      <c r="AG16" s="251" t="s">
        <v>776</v>
      </c>
      <c r="AH16" s="251" t="s">
        <v>1555</v>
      </c>
      <c r="AI16" s="243" t="s">
        <v>151</v>
      </c>
      <c r="AJ16" s="258" cm="1">
        <f t="array" aca="1" ref="AJ16" ca="1">DATE(YEAR(FECH.CONS[FECHA DE CONSULTA:]),MONTH(BDD[[#This Row],[FECHA NAC]]),DAY(BDD[[#This Row],[FECHA NAC]]))</f>
        <v>44570</v>
      </c>
      <c r="AK16" s="243"/>
      <c r="AL16" s="251" t="s">
        <v>311</v>
      </c>
      <c r="AM16" s="251" t="s">
        <v>1539</v>
      </c>
      <c r="AN16" s="251" t="s">
        <v>1551</v>
      </c>
      <c r="AO16" s="245">
        <v>47</v>
      </c>
      <c r="AP16" s="251">
        <f ca="1">INT((TODAY()-BDD[[#This Row],[FECHA NAC]])/365)</f>
        <v>35</v>
      </c>
      <c r="AQ16" s="251">
        <v>0</v>
      </c>
      <c r="AR16" s="251">
        <f ca="1">IF(BDD[[#This Row],[ANTIG]]=0,0,1)</f>
        <v>1</v>
      </c>
      <c r="AS16" s="251"/>
      <c r="AT16" s="251"/>
      <c r="AU16" s="251"/>
      <c r="AV16" s="251"/>
      <c r="AW16" s="251"/>
      <c r="AX16" s="251"/>
      <c r="AY16" s="251"/>
      <c r="AZ16" s="251">
        <f t="shared" ca="1" si="1"/>
        <v>650</v>
      </c>
    </row>
    <row r="17" spans="2:52" s="250" customFormat="1" ht="15" customHeight="1" x14ac:dyDescent="0.25">
      <c r="B17" s="243">
        <v>110</v>
      </c>
      <c r="C17" s="251" t="s">
        <v>16</v>
      </c>
      <c r="D17" s="252">
        <v>22200</v>
      </c>
      <c r="E17" s="252">
        <f>(BDD[[#This Row],[SUE MENS]]/30)</f>
        <v>740</v>
      </c>
      <c r="F17" s="252">
        <f>BDD[[#This Row],[SUE MENS]]/2</f>
        <v>11100</v>
      </c>
      <c r="G17" s="315">
        <v>39814</v>
      </c>
      <c r="H17" s="243">
        <f ca="1">INT(_xlfn.DAYS(TODAY(),BDD[[#This Row],[FECHA ING.]])/365)</f>
        <v>13</v>
      </c>
      <c r="I17" s="251" t="str">
        <f>VLOOKUP(J17,TABLAS!$B$3:$G$49,2,FALSE)</f>
        <v>FINANZAS</v>
      </c>
      <c r="J17" s="198" t="s">
        <v>747</v>
      </c>
      <c r="K17" s="244" t="s">
        <v>761</v>
      </c>
      <c r="L17" s="251" t="s">
        <v>763</v>
      </c>
      <c r="M17" s="251">
        <v>1037</v>
      </c>
      <c r="N17" s="244" t="s">
        <v>1889</v>
      </c>
      <c r="O17" s="251" t="str">
        <f>IFERROR(VLOOKUP(BDD[[#This Row],[SUBDPTO]],TABLAS!$B$4:$D$36,3,0)," ")</f>
        <v>MARIANO ALDEBARÁN</v>
      </c>
      <c r="P17" s="258"/>
      <c r="Q17" s="254">
        <v>58320</v>
      </c>
      <c r="R17" s="244"/>
      <c r="S17" s="251"/>
      <c r="T17" s="251" t="s">
        <v>301</v>
      </c>
      <c r="U17" s="243">
        <f ca="1">VLOOKUP(BDD[[#This Row],[ANTIG]],DIASXANT18[#All],2)</f>
        <v>20</v>
      </c>
      <c r="V17" s="256">
        <f t="shared" si="0"/>
        <v>0.5</v>
      </c>
      <c r="W17" s="243">
        <f ca="1">BDD[[#This Row],[D.VAC.]]*BDD[[#This Row],[% P.V.]]</f>
        <v>10</v>
      </c>
      <c r="X17" s="243">
        <v>30</v>
      </c>
      <c r="Y17" s="257">
        <f ca="1">(365+BDD[[#This Row],[D.PAG.V.]]+BDD[[#This Row],[D.AG.]])/365</f>
        <v>1.1095890410958904</v>
      </c>
      <c r="Z17" s="243">
        <f ca="1">BDD[[#This Row],[SUE DIA]]*BDD[[#This Row],[FACTOR SDI]]</f>
        <v>821.09589041095887</v>
      </c>
      <c r="AA17" s="243">
        <f>BDD[[#This Row],[SUE DIA]]/9</f>
        <v>82.222222222222229</v>
      </c>
      <c r="AB17" s="251">
        <v>30292</v>
      </c>
      <c r="AC17" s="251" t="s">
        <v>875</v>
      </c>
      <c r="AD17" s="251" t="s">
        <v>791</v>
      </c>
      <c r="AE17" s="252">
        <v>8514033301</v>
      </c>
      <c r="AF17" s="251" t="s">
        <v>1085</v>
      </c>
      <c r="AG17" s="251" t="s">
        <v>773</v>
      </c>
      <c r="AH17" s="251" t="s">
        <v>1555</v>
      </c>
      <c r="AI17" s="243" t="s">
        <v>151</v>
      </c>
      <c r="AJ17" s="258" cm="1">
        <f t="array" aca="1" ref="AJ17" ca="1">DATE(YEAR(FECH.CONS[FECHA DE CONSULTA:]),MONTH(BDD[[#This Row],[FECHA NAC]]),DAY(BDD[[#This Row],[FECHA NAC]]))</f>
        <v>44902</v>
      </c>
      <c r="AK17" s="243"/>
      <c r="AL17" s="261" t="s">
        <v>320</v>
      </c>
      <c r="AM17" s="251" t="s">
        <v>1540</v>
      </c>
      <c r="AN17" s="251" t="s">
        <v>1551</v>
      </c>
      <c r="AO17" s="245">
        <v>34</v>
      </c>
      <c r="AP17" s="251">
        <f ca="1">INT((TODAY()-BDD[[#This Row],[FECHA NAC]])/365)</f>
        <v>39</v>
      </c>
      <c r="AQ17" s="251">
        <v>1</v>
      </c>
      <c r="AR17" s="251">
        <f ca="1">IF(BDD[[#This Row],[ANTIG]]=0,0,1)</f>
        <v>1</v>
      </c>
      <c r="AS17" s="251"/>
      <c r="AT17" s="251"/>
      <c r="AU17" s="251"/>
      <c r="AV17" s="251"/>
      <c r="AW17" s="251"/>
      <c r="AX17" s="251"/>
      <c r="AY17" s="251"/>
      <c r="AZ17" s="251">
        <f t="shared" ca="1" si="1"/>
        <v>518</v>
      </c>
    </row>
    <row r="18" spans="2:52" s="250" customFormat="1" ht="15" customHeight="1" x14ac:dyDescent="0.25">
      <c r="B18" s="243">
        <v>111</v>
      </c>
      <c r="C18" s="251" t="s">
        <v>50</v>
      </c>
      <c r="D18" s="263">
        <v>7445</v>
      </c>
      <c r="E18" s="252">
        <f>(BDD[[#This Row],[SUE MENS]]/30)</f>
        <v>248.16666666666666</v>
      </c>
      <c r="F18" s="252">
        <f>BDD[[#This Row],[SUE MENS]]/2</f>
        <v>3722.5</v>
      </c>
      <c r="G18" s="315">
        <v>43416</v>
      </c>
      <c r="H18" s="243">
        <f ca="1">INT(_xlfn.DAYS(TODAY(),BDD[[#This Row],[FECHA ING.]])/365)</f>
        <v>3</v>
      </c>
      <c r="I18" s="251" t="str">
        <f>VLOOKUP(J18,TABLAS!$B$3:$G$49,2,FALSE)</f>
        <v>AUDITORÍA</v>
      </c>
      <c r="J18" s="198" t="s">
        <v>734</v>
      </c>
      <c r="K18" s="251" t="s">
        <v>778</v>
      </c>
      <c r="L18" s="251" t="s">
        <v>763</v>
      </c>
      <c r="M18" s="251"/>
      <c r="N18" s="244" t="s">
        <v>1886</v>
      </c>
      <c r="O18" s="251" t="str">
        <f>IFERROR(VLOOKUP(BDD[[#This Row],[SUBDPTO]],TABLAS!$B$4:$D$36,3,0)," ")</f>
        <v>MARCO AURELIO URBINO</v>
      </c>
      <c r="P18" s="258"/>
      <c r="Q18" s="264"/>
      <c r="R18" s="244"/>
      <c r="S18" s="251"/>
      <c r="T18" s="251" t="s">
        <v>811</v>
      </c>
      <c r="U18" s="243">
        <f ca="1">VLOOKUP(BDD[[#This Row],[ANTIG]],DIASXANT18[#All],2)</f>
        <v>14</v>
      </c>
      <c r="V18" s="256">
        <f t="shared" si="0"/>
        <v>0.5</v>
      </c>
      <c r="W18" s="243">
        <f ca="1">BDD[[#This Row],[D.VAC.]]*BDD[[#This Row],[% P.V.]]</f>
        <v>7</v>
      </c>
      <c r="X18" s="243">
        <v>30</v>
      </c>
      <c r="Y18" s="257">
        <f ca="1">(365+BDD[[#This Row],[D.PAG.V.]]+BDD[[#This Row],[D.AG.]])/365</f>
        <v>1.1013698630136985</v>
      </c>
      <c r="Z18" s="243">
        <f ca="1">BDD[[#This Row],[SUE DIA]]*BDD[[#This Row],[FACTOR SDI]]</f>
        <v>273.32328767123283</v>
      </c>
      <c r="AA18" s="243">
        <f>BDD[[#This Row],[SUE DIA]]/9</f>
        <v>27.574074074074073</v>
      </c>
      <c r="AB18" s="251">
        <v>30373</v>
      </c>
      <c r="AC18" s="251" t="s">
        <v>876</v>
      </c>
      <c r="AD18" s="251" t="s">
        <v>786</v>
      </c>
      <c r="AE18" s="252">
        <v>8894313649</v>
      </c>
      <c r="AF18" s="251" t="s">
        <v>1086</v>
      </c>
      <c r="AG18" s="251" t="s">
        <v>773</v>
      </c>
      <c r="AH18" s="251" t="s">
        <v>730</v>
      </c>
      <c r="AI18" s="243" t="s">
        <v>152</v>
      </c>
      <c r="AJ18" s="258" cm="1">
        <f t="array" aca="1" ref="AJ18" ca="1">DATE(YEAR(FECH.CONS[FECHA DE CONSULTA:]),MONTH(BDD[[#This Row],[FECHA NAC]]),DAY(BDD[[#This Row],[FECHA NAC]]))</f>
        <v>44618</v>
      </c>
      <c r="AK18" s="243">
        <v>9</v>
      </c>
      <c r="AL18" s="261" t="s">
        <v>311</v>
      </c>
      <c r="AM18" s="251" t="s">
        <v>1541</v>
      </c>
      <c r="AN18" s="251" t="s">
        <v>1551</v>
      </c>
      <c r="AO18" s="245">
        <v>46</v>
      </c>
      <c r="AP18" s="251">
        <f ca="1">INT((TODAY()-BDD[[#This Row],[FECHA NAC]])/365)</f>
        <v>39</v>
      </c>
      <c r="AQ18" s="251">
        <v>3</v>
      </c>
      <c r="AR18" s="251">
        <f ca="1">IF(BDD[[#This Row],[ANTIG]]=0,0,1)</f>
        <v>1</v>
      </c>
      <c r="AS18" s="251"/>
      <c r="AT18" s="251"/>
      <c r="AU18" s="251"/>
      <c r="AV18" s="251"/>
      <c r="AW18" s="251"/>
      <c r="AX18" s="251"/>
      <c r="AY18" s="251"/>
      <c r="AZ18" s="251">
        <f t="shared" ca="1" si="1"/>
        <v>426</v>
      </c>
    </row>
    <row r="19" spans="2:52" s="250" customFormat="1" ht="15" customHeight="1" x14ac:dyDescent="0.25">
      <c r="B19" s="243">
        <v>112</v>
      </c>
      <c r="C19" s="251" t="s">
        <v>78</v>
      </c>
      <c r="D19" s="252">
        <v>53600</v>
      </c>
      <c r="E19" s="252">
        <f>(BDD[[#This Row],[SUE MENS]]/30)</f>
        <v>1786.6666666666667</v>
      </c>
      <c r="F19" s="252">
        <f>BDD[[#This Row],[SUE MENS]]/2</f>
        <v>26800</v>
      </c>
      <c r="G19" s="315">
        <v>38846</v>
      </c>
      <c r="H19" s="243">
        <f ca="1">INT(_xlfn.DAYS(TODAY(),BDD[[#This Row],[FECHA ING.]])/365)</f>
        <v>16</v>
      </c>
      <c r="I19" s="251" t="str">
        <f>VLOOKUP(J19,TABLAS!$B$3:$G$49,2,FALSE)</f>
        <v>AUDITORÍA</v>
      </c>
      <c r="J19" s="244" t="s">
        <v>159</v>
      </c>
      <c r="K19" s="244" t="s">
        <v>762</v>
      </c>
      <c r="L19" s="251" t="s">
        <v>763</v>
      </c>
      <c r="M19" s="251">
        <v>1006</v>
      </c>
      <c r="N19" s="253" t="s">
        <v>2080</v>
      </c>
      <c r="O19" s="251" t="str">
        <f>IFERROR(VLOOKUP(BDD[[#This Row],[SUBDPTO]],TABLAS!$B$4:$D$36,3,0)," ")</f>
        <v xml:space="preserve"> </v>
      </c>
      <c r="P19" s="258"/>
      <c r="Q19" s="254">
        <v>36000</v>
      </c>
      <c r="R19" s="244"/>
      <c r="S19" s="251"/>
      <c r="T19" s="251" t="s">
        <v>811</v>
      </c>
      <c r="U19" s="243">
        <f ca="1">VLOOKUP(BDD[[#This Row],[ANTIG]],DIASXANT18[#All],2)</f>
        <v>20</v>
      </c>
      <c r="V19" s="256">
        <f t="shared" si="0"/>
        <v>0.5</v>
      </c>
      <c r="W19" s="243">
        <f ca="1">BDD[[#This Row],[D.VAC.]]*BDD[[#This Row],[% P.V.]]</f>
        <v>10</v>
      </c>
      <c r="X19" s="243">
        <v>30</v>
      </c>
      <c r="Y19" s="257">
        <f ca="1">(365+BDD[[#This Row],[D.PAG.V.]]+BDD[[#This Row],[D.AG.]])/365</f>
        <v>1.1095890410958904</v>
      </c>
      <c r="Z19" s="243">
        <f ca="1">BDD[[#This Row],[SUE DIA]]*BDD[[#This Row],[FACTOR SDI]]</f>
        <v>1982.4657534246576</v>
      </c>
      <c r="AA19" s="243">
        <f>BDD[[#This Row],[SUE DIA]]/9</f>
        <v>198.51851851851853</v>
      </c>
      <c r="AB19" s="251">
        <v>29774</v>
      </c>
      <c r="AC19" s="251" t="s">
        <v>877</v>
      </c>
      <c r="AD19" s="251" t="s">
        <v>787</v>
      </c>
      <c r="AE19" s="252">
        <v>8463485891</v>
      </c>
      <c r="AF19" s="251" t="s">
        <v>1087</v>
      </c>
      <c r="AG19" s="251" t="s">
        <v>773</v>
      </c>
      <c r="AH19" s="251" t="s">
        <v>727</v>
      </c>
      <c r="AI19" s="243" t="s">
        <v>151</v>
      </c>
      <c r="AJ19" s="258" cm="1">
        <f t="array" aca="1" ref="AJ19" ca="1">DATE(YEAR(FECH.CONS[FECHA DE CONSULTA:]),MONTH(BDD[[#This Row],[FECHA NAC]]),DAY(BDD[[#This Row],[FECHA NAC]]))</f>
        <v>44749</v>
      </c>
      <c r="AK19" s="243"/>
      <c r="AL19" s="251" t="s">
        <v>312</v>
      </c>
      <c r="AM19" s="251" t="s">
        <v>1534</v>
      </c>
      <c r="AN19" s="251" t="s">
        <v>1549</v>
      </c>
      <c r="AO19" s="245">
        <v>44</v>
      </c>
      <c r="AP19" s="251">
        <f ca="1">INT((TODAY()-BDD[[#This Row],[FECHA NAC]])/365)</f>
        <v>41</v>
      </c>
      <c r="AQ19" s="251">
        <v>2</v>
      </c>
      <c r="AR19" s="251">
        <f ca="1">IF(BDD[[#This Row],[ANTIG]]=0,0,1)</f>
        <v>1</v>
      </c>
      <c r="AS19" s="251"/>
      <c r="AT19" s="251"/>
      <c r="AU19" s="251"/>
      <c r="AV19" s="251"/>
      <c r="AW19" s="251"/>
      <c r="AX19" s="251"/>
      <c r="AY19" s="251"/>
      <c r="AZ19" s="251">
        <f t="shared" ca="1" si="1"/>
        <v>232</v>
      </c>
    </row>
    <row r="20" spans="2:52" s="250" customFormat="1" x14ac:dyDescent="0.25">
      <c r="B20" s="243">
        <v>113</v>
      </c>
      <c r="C20" s="251" t="s">
        <v>76</v>
      </c>
      <c r="D20" s="263">
        <v>7445</v>
      </c>
      <c r="E20" s="252">
        <f>(BDD[[#This Row],[SUE MENS]]/30)</f>
        <v>248.16666666666666</v>
      </c>
      <c r="F20" s="252">
        <f>BDD[[#This Row],[SUE MENS]]/2</f>
        <v>3722.5</v>
      </c>
      <c r="G20" s="315">
        <v>43318</v>
      </c>
      <c r="H20" s="243">
        <f ca="1">INT(_xlfn.DAYS(TODAY(),BDD[[#This Row],[FECHA ING.]])/365)</f>
        <v>3</v>
      </c>
      <c r="I20" s="251" t="str">
        <f>VLOOKUP(J20,TABLAS!$B$3:$G$49,2,FALSE)</f>
        <v>CONTABILIDAD</v>
      </c>
      <c r="J20" s="198" t="s">
        <v>742</v>
      </c>
      <c r="K20" s="251" t="s">
        <v>778</v>
      </c>
      <c r="L20" s="251" t="s">
        <v>763</v>
      </c>
      <c r="M20" s="251"/>
      <c r="N20" s="244" t="s">
        <v>2061</v>
      </c>
      <c r="O20" s="251" t="str">
        <f>IFERROR(VLOOKUP(BDD[[#This Row],[SUBDPTO]],TABLAS!$B$4:$D$36,3,0)," ")</f>
        <v>IRIE DALÍ ANTARES CORTÉS</v>
      </c>
      <c r="P20" s="258">
        <v>43642</v>
      </c>
      <c r="Q20" s="254">
        <v>5088</v>
      </c>
      <c r="R20" s="255" t="s">
        <v>736</v>
      </c>
      <c r="S20" s="251"/>
      <c r="T20" s="251" t="s">
        <v>301</v>
      </c>
      <c r="U20" s="243">
        <f ca="1">VLOOKUP(BDD[[#This Row],[ANTIG]],DIASXANT18[#All],2)</f>
        <v>14</v>
      </c>
      <c r="V20" s="256">
        <f t="shared" si="0"/>
        <v>0.5</v>
      </c>
      <c r="W20" s="243">
        <f ca="1">BDD[[#This Row],[D.VAC.]]*BDD[[#This Row],[% P.V.]]</f>
        <v>7</v>
      </c>
      <c r="X20" s="243">
        <v>30</v>
      </c>
      <c r="Y20" s="257">
        <f ca="1">(365+BDD[[#This Row],[D.PAG.V.]]+BDD[[#This Row],[D.AG.]])/365</f>
        <v>1.1013698630136985</v>
      </c>
      <c r="Z20" s="243">
        <f ca="1">BDD[[#This Row],[SUE DIA]]*BDD[[#This Row],[FACTOR SDI]]</f>
        <v>273.32328767123283</v>
      </c>
      <c r="AA20" s="243">
        <f>BDD[[#This Row],[SUE DIA]]/9</f>
        <v>27.574074074074073</v>
      </c>
      <c r="AB20" s="251">
        <v>29429</v>
      </c>
      <c r="AC20" s="251" t="s">
        <v>878</v>
      </c>
      <c r="AD20" s="251" t="s">
        <v>792</v>
      </c>
      <c r="AE20" s="252">
        <v>8186931310</v>
      </c>
      <c r="AF20" s="251" t="s">
        <v>1088</v>
      </c>
      <c r="AG20" s="251" t="s">
        <v>773</v>
      </c>
      <c r="AH20" s="251" t="s">
        <v>730</v>
      </c>
      <c r="AI20" s="243" t="s">
        <v>151</v>
      </c>
      <c r="AJ20" s="258" cm="1">
        <f t="array" aca="1" ref="AJ20" ca="1">DATE(YEAR(FECH.CONS[FECHA DE CONSULTA:]),MONTH(BDD[[#This Row],[FECHA NAC]]),DAY(BDD[[#This Row],[FECHA NAC]]))</f>
        <v>44769</v>
      </c>
      <c r="AK20" s="243">
        <v>9</v>
      </c>
      <c r="AL20" s="251" t="s">
        <v>311</v>
      </c>
      <c r="AM20" s="251" t="s">
        <v>1538</v>
      </c>
      <c r="AN20" s="251" t="s">
        <v>1551</v>
      </c>
      <c r="AO20" s="245">
        <v>31</v>
      </c>
      <c r="AP20" s="251">
        <f ca="1">INT((TODAY()-BDD[[#This Row],[FECHA NAC]])/365)</f>
        <v>42</v>
      </c>
      <c r="AQ20" s="251">
        <v>2</v>
      </c>
      <c r="AR20" s="251">
        <f ca="1">IF(BDD[[#This Row],[ANTIG]]=0,0,1)</f>
        <v>1</v>
      </c>
      <c r="AS20" s="251"/>
      <c r="AT20" s="251"/>
      <c r="AU20" s="251"/>
      <c r="AV20" s="251"/>
      <c r="AW20" s="251"/>
      <c r="AX20" s="251"/>
      <c r="AY20" s="251"/>
      <c r="AZ20" s="251">
        <f t="shared" ca="1" si="1"/>
        <v>163</v>
      </c>
    </row>
    <row r="21" spans="2:52" s="250" customFormat="1" ht="15" customHeight="1" x14ac:dyDescent="0.25">
      <c r="B21" s="243">
        <v>114</v>
      </c>
      <c r="C21" s="251" t="s">
        <v>416</v>
      </c>
      <c r="D21" s="252">
        <v>7445</v>
      </c>
      <c r="E21" s="252">
        <f>(BDD[[#This Row],[SUE MENS]]/30)</f>
        <v>248.16666666666666</v>
      </c>
      <c r="F21" s="252">
        <f>BDD[[#This Row],[SUE MENS]]/2</f>
        <v>3722.5</v>
      </c>
      <c r="G21" s="315">
        <v>44000</v>
      </c>
      <c r="H21" s="243">
        <f ca="1">INT(_xlfn.DAYS(TODAY(),BDD[[#This Row],[FECHA ING.]])/365)</f>
        <v>2</v>
      </c>
      <c r="I21" s="251" t="str">
        <f>VLOOKUP(J21,TABLAS!$B$3:$G$49,2,FALSE)</f>
        <v>CPTAL HUMANO</v>
      </c>
      <c r="J21" s="198" t="s">
        <v>758</v>
      </c>
      <c r="K21" s="251" t="s">
        <v>761</v>
      </c>
      <c r="L21" s="251" t="s">
        <v>763</v>
      </c>
      <c r="M21" s="251"/>
      <c r="N21" s="244" t="s">
        <v>2147</v>
      </c>
      <c r="O21" s="251" t="str">
        <f>IFERROR(VLOOKUP(BDD[[#This Row],[SUBDPTO]],TABLAS!$B$4:$D$36,3,0)," ")</f>
        <v>EMMA DARIELA GARCÍA LORCA</v>
      </c>
      <c r="P21" s="258"/>
      <c r="Q21" s="264"/>
      <c r="R21" s="244"/>
      <c r="S21" s="251"/>
      <c r="T21" s="251" t="s">
        <v>811</v>
      </c>
      <c r="U21" s="243">
        <f ca="1">VLOOKUP(BDD[[#This Row],[ANTIG]],DIASXANT18[#All],2)</f>
        <v>10</v>
      </c>
      <c r="V21" s="256">
        <f t="shared" si="0"/>
        <v>0.5</v>
      </c>
      <c r="W21" s="243">
        <f ca="1">BDD[[#This Row],[D.VAC.]]*BDD[[#This Row],[% P.V.]]</f>
        <v>5</v>
      </c>
      <c r="X21" s="243">
        <v>30</v>
      </c>
      <c r="Y21" s="257">
        <f ca="1">(365+BDD[[#This Row],[D.PAG.V.]]+BDD[[#This Row],[D.AG.]])/365</f>
        <v>1.095890410958904</v>
      </c>
      <c r="Z21" s="243">
        <f ca="1">BDD[[#This Row],[SUE DIA]]*BDD[[#This Row],[FACTOR SDI]]</f>
        <v>271.96347031963467</v>
      </c>
      <c r="AA21" s="243">
        <f>BDD[[#This Row],[SUE DIA]]/9</f>
        <v>27.574074074074073</v>
      </c>
      <c r="AB21" s="251">
        <v>29905</v>
      </c>
      <c r="AC21" s="251" t="s">
        <v>879</v>
      </c>
      <c r="AD21" s="251" t="s">
        <v>787</v>
      </c>
      <c r="AE21" s="252">
        <v>8527725882</v>
      </c>
      <c r="AF21" s="251" t="s">
        <v>1089</v>
      </c>
      <c r="AG21" s="251" t="s">
        <v>773</v>
      </c>
      <c r="AH21" s="251" t="s">
        <v>730</v>
      </c>
      <c r="AI21" s="243" t="s">
        <v>151</v>
      </c>
      <c r="AJ21" s="258" cm="1">
        <f t="array" aca="1" ref="AJ21" ca="1">DATE(YEAR(FECH.CONS[FECHA DE CONSULTA:]),MONTH(BDD[[#This Row],[FECHA NAC]]),DAY(BDD[[#This Row],[FECHA NAC]]))</f>
        <v>44880</v>
      </c>
      <c r="AK21" s="243">
        <v>8</v>
      </c>
      <c r="AL21" s="251" t="s">
        <v>311</v>
      </c>
      <c r="AM21" s="251" t="s">
        <v>1542</v>
      </c>
      <c r="AN21" s="251" t="s">
        <v>1551</v>
      </c>
      <c r="AO21" s="245">
        <v>98</v>
      </c>
      <c r="AP21" s="251">
        <f ca="1">INT((TODAY()-BDD[[#This Row],[FECHA NAC]])/365)</f>
        <v>40</v>
      </c>
      <c r="AQ21" s="251">
        <v>2</v>
      </c>
      <c r="AR21" s="251">
        <f ca="1">IF(BDD[[#This Row],[ANTIG]]=0,0,1)</f>
        <v>1</v>
      </c>
      <c r="AS21" s="251"/>
      <c r="AT21" s="251"/>
      <c r="AU21" s="251"/>
      <c r="AV21" s="251"/>
      <c r="AW21" s="251"/>
      <c r="AX21" s="251"/>
      <c r="AY21" s="251"/>
      <c r="AZ21" s="251">
        <f t="shared" ca="1" si="1"/>
        <v>334</v>
      </c>
    </row>
    <row r="22" spans="2:52" s="200" customFormat="1" ht="15" customHeight="1" x14ac:dyDescent="0.25">
      <c r="B22" s="243">
        <v>115</v>
      </c>
      <c r="C22" s="251" t="s">
        <v>1657</v>
      </c>
      <c r="D22" s="252">
        <v>45000</v>
      </c>
      <c r="E22" s="252">
        <f>(BDD[[#This Row],[SUE MENS]]/30)</f>
        <v>1500</v>
      </c>
      <c r="F22" s="252">
        <f>BDD[[#This Row],[SUE MENS]]/2</f>
        <v>22500</v>
      </c>
      <c r="G22" s="315">
        <v>38549</v>
      </c>
      <c r="H22" s="243">
        <f ca="1">INT(_xlfn.DAYS(TODAY(),BDD[[#This Row],[FECHA ING.]])/365)</f>
        <v>17</v>
      </c>
      <c r="I22" s="251" t="str">
        <f>VLOOKUP(J22,TABLAS!$B$3:$G$49,2,FALSE)</f>
        <v>CPTAL HUMANO</v>
      </c>
      <c r="J22" s="251" t="s">
        <v>753</v>
      </c>
      <c r="K22" s="244" t="s">
        <v>762</v>
      </c>
      <c r="L22" s="251" t="s">
        <v>763</v>
      </c>
      <c r="M22" s="251">
        <v>1008</v>
      </c>
      <c r="N22" s="244" t="s">
        <v>1908</v>
      </c>
      <c r="O22" s="251" t="str">
        <f>IFERROR(VLOOKUP(BDD[[#This Row],[SUBDPTO]],TABLAS!$B$4:$D$36,3,0)," ")</f>
        <v xml:space="preserve"> </v>
      </c>
      <c r="P22" s="258"/>
      <c r="Q22" s="254">
        <v>58320</v>
      </c>
      <c r="R22" s="244"/>
      <c r="S22" s="251"/>
      <c r="T22" s="251" t="s">
        <v>301</v>
      </c>
      <c r="U22" s="243">
        <f ca="1">VLOOKUP(BDD[[#This Row],[ANTIG]],DIASXANT18[#All],2)</f>
        <v>20</v>
      </c>
      <c r="V22" s="256">
        <f t="shared" si="0"/>
        <v>0.5</v>
      </c>
      <c r="W22" s="243">
        <f ca="1">BDD[[#This Row],[D.VAC.]]*BDD[[#This Row],[% P.V.]]</f>
        <v>10</v>
      </c>
      <c r="X22" s="243">
        <v>30</v>
      </c>
      <c r="Y22" s="257">
        <f ca="1">(365+BDD[[#This Row],[D.PAG.V.]]+BDD[[#This Row],[D.AG.]])/365</f>
        <v>1.1095890410958904</v>
      </c>
      <c r="Z22" s="243">
        <f ca="1">BDD[[#This Row],[SUE DIA]]*BDD[[#This Row],[FACTOR SDI]]</f>
        <v>1664.3835616438357</v>
      </c>
      <c r="AA22" s="243">
        <f>BDD[[#This Row],[SUE DIA]]/9</f>
        <v>166.66666666666666</v>
      </c>
      <c r="AB22" s="251">
        <v>32763</v>
      </c>
      <c r="AC22" s="251" t="s">
        <v>880</v>
      </c>
      <c r="AD22" s="251" t="s">
        <v>789</v>
      </c>
      <c r="AE22" s="252">
        <v>8881743559</v>
      </c>
      <c r="AF22" s="251" t="s">
        <v>1090</v>
      </c>
      <c r="AG22" s="251" t="s">
        <v>776</v>
      </c>
      <c r="AH22" s="251" t="s">
        <v>727</v>
      </c>
      <c r="AI22" s="243" t="s">
        <v>152</v>
      </c>
      <c r="AJ22" s="258" cm="1">
        <f t="array" aca="1" ref="AJ22" ca="1">DATE(YEAR(FECH.CONS[FECHA DE CONSULTA:]),MONTH(BDD[[#This Row],[FECHA NAC]]),DAY(BDD[[#This Row],[FECHA NAC]]))</f>
        <v>44816</v>
      </c>
      <c r="AK22" s="243"/>
      <c r="AL22" s="261" t="s">
        <v>311</v>
      </c>
      <c r="AM22" s="251" t="s">
        <v>1534</v>
      </c>
      <c r="AN22" s="251" t="s">
        <v>1549</v>
      </c>
      <c r="AO22" s="245">
        <v>37</v>
      </c>
      <c r="AP22" s="251">
        <f ca="1">INT((TODAY()-BDD[[#This Row],[FECHA NAC]])/365)</f>
        <v>32</v>
      </c>
      <c r="AQ22" s="251">
        <v>2</v>
      </c>
      <c r="AR22" s="251">
        <f ca="1">IF(BDD[[#This Row],[ANTIG]]=0,0,1)</f>
        <v>1</v>
      </c>
      <c r="AS22" s="251"/>
      <c r="AT22" s="251"/>
      <c r="AU22" s="251"/>
      <c r="AV22" s="251"/>
      <c r="AW22" s="251"/>
      <c r="AX22" s="251"/>
      <c r="AY22" s="251"/>
      <c r="AZ22" s="251">
        <f t="shared" ca="1" si="1"/>
        <v>230</v>
      </c>
    </row>
    <row r="23" spans="2:52" s="200" customFormat="1" ht="15" customHeight="1" x14ac:dyDescent="0.25">
      <c r="B23" s="243">
        <v>116</v>
      </c>
      <c r="C23" s="251" t="s">
        <v>1660</v>
      </c>
      <c r="D23" s="252">
        <v>37500</v>
      </c>
      <c r="E23" s="252">
        <f>(BDD[[#This Row],[SUE MENS]]/30)</f>
        <v>1250</v>
      </c>
      <c r="F23" s="252">
        <f>BDD[[#This Row],[SUE MENS]]/2</f>
        <v>18750</v>
      </c>
      <c r="G23" s="315">
        <v>40456</v>
      </c>
      <c r="H23" s="243">
        <f ca="1">INT(_xlfn.DAYS(TODAY(),BDD[[#This Row],[FECHA ING.]])/365)</f>
        <v>11</v>
      </c>
      <c r="I23" s="251" t="str">
        <f>VLOOKUP(J23,TABLAS!$B$3:$G$49,2,FALSE)</f>
        <v>CONTRATOS</v>
      </c>
      <c r="J23" s="251" t="s">
        <v>161</v>
      </c>
      <c r="K23" s="244" t="s">
        <v>762</v>
      </c>
      <c r="L23" s="251" t="s">
        <v>763</v>
      </c>
      <c r="M23" s="251">
        <v>1009</v>
      </c>
      <c r="N23" s="253" t="s">
        <v>1963</v>
      </c>
      <c r="O23" s="251" t="str">
        <f>IFERROR(VLOOKUP(BDD[[#This Row],[SUBDPTO]],TABLAS!$B$4:$D$36,3,0)," ")</f>
        <v xml:space="preserve"> </v>
      </c>
      <c r="P23" s="258"/>
      <c r="Q23" s="254">
        <v>15920</v>
      </c>
      <c r="R23" s="244"/>
      <c r="S23" s="251"/>
      <c r="T23" s="251" t="s">
        <v>811</v>
      </c>
      <c r="U23" s="243">
        <f ca="1">VLOOKUP(BDD[[#This Row],[ANTIG]],DIASXANT18[#All],2)</f>
        <v>20</v>
      </c>
      <c r="V23" s="256">
        <f t="shared" si="0"/>
        <v>0.5</v>
      </c>
      <c r="W23" s="243">
        <f ca="1">BDD[[#This Row],[D.VAC.]]*BDD[[#This Row],[% P.V.]]</f>
        <v>10</v>
      </c>
      <c r="X23" s="243">
        <v>30</v>
      </c>
      <c r="Y23" s="257">
        <f ca="1">(365+BDD[[#This Row],[D.PAG.V.]]+BDD[[#This Row],[D.AG.]])/365</f>
        <v>1.1095890410958904</v>
      </c>
      <c r="Z23" s="243">
        <f ca="1">BDD[[#This Row],[SUE DIA]]*BDD[[#This Row],[FACTOR SDI]]</f>
        <v>1386.986301369863</v>
      </c>
      <c r="AA23" s="243">
        <f>BDD[[#This Row],[SUE DIA]]/9</f>
        <v>138.88888888888889</v>
      </c>
      <c r="AB23" s="251">
        <v>35266</v>
      </c>
      <c r="AC23" s="251" t="s">
        <v>881</v>
      </c>
      <c r="AD23" s="251" t="s">
        <v>790</v>
      </c>
      <c r="AE23" s="252">
        <v>3265974155</v>
      </c>
      <c r="AF23" s="251" t="s">
        <v>1091</v>
      </c>
      <c r="AG23" s="251" t="s">
        <v>776</v>
      </c>
      <c r="AH23" s="251" t="s">
        <v>1555</v>
      </c>
      <c r="AI23" s="243" t="s">
        <v>151</v>
      </c>
      <c r="AJ23" s="258" cm="1">
        <f t="array" aca="1" ref="AJ23" ca="1">DATE(YEAR(FECH.CONS[FECHA DE CONSULTA:]),MONTH(BDD[[#This Row],[FECHA NAC]]),DAY(BDD[[#This Row],[FECHA NAC]]))</f>
        <v>44762</v>
      </c>
      <c r="AK23" s="243"/>
      <c r="AL23" s="261" t="s">
        <v>315</v>
      </c>
      <c r="AM23" s="251" t="s">
        <v>1537</v>
      </c>
      <c r="AN23" s="251" t="s">
        <v>1551</v>
      </c>
      <c r="AO23" s="245">
        <v>30</v>
      </c>
      <c r="AP23" s="251">
        <f ca="1">INT((TODAY()-BDD[[#This Row],[FECHA NAC]])/365)</f>
        <v>26</v>
      </c>
      <c r="AQ23" s="251">
        <v>2</v>
      </c>
      <c r="AR23" s="251">
        <f ca="1">IF(BDD[[#This Row],[ANTIG]]=0,0,1)</f>
        <v>1</v>
      </c>
      <c r="AS23" s="251"/>
      <c r="AT23" s="251"/>
      <c r="AU23" s="251"/>
      <c r="AV23" s="251"/>
      <c r="AW23" s="251"/>
      <c r="AX23" s="251"/>
      <c r="AY23" s="251"/>
      <c r="AZ23" s="251">
        <f t="shared" ca="1" si="1"/>
        <v>735</v>
      </c>
    </row>
    <row r="24" spans="2:52" s="200" customFormat="1" ht="15" customHeight="1" x14ac:dyDescent="0.25">
      <c r="B24" s="243">
        <v>117</v>
      </c>
      <c r="C24" s="251" t="s">
        <v>47</v>
      </c>
      <c r="D24" s="252">
        <v>9541</v>
      </c>
      <c r="E24" s="252">
        <f>(BDD[[#This Row],[SUE MENS]]/30)</f>
        <v>318.03333333333336</v>
      </c>
      <c r="F24" s="252">
        <f>BDD[[#This Row],[SUE MENS]]/2</f>
        <v>4770.5</v>
      </c>
      <c r="G24" s="315">
        <v>41859</v>
      </c>
      <c r="H24" s="243">
        <f ca="1">INT(_xlfn.DAYS(TODAY(),BDD[[#This Row],[FECHA ING.]])/365)</f>
        <v>7</v>
      </c>
      <c r="I24" s="251" t="str">
        <f>VLOOKUP(J24,TABLAS!$B$3:$G$49,2,FALSE)</f>
        <v>DIV ARQUIT</v>
      </c>
      <c r="J24" s="198" t="s">
        <v>740</v>
      </c>
      <c r="K24" s="251" t="s">
        <v>778</v>
      </c>
      <c r="L24" s="251" t="s">
        <v>763</v>
      </c>
      <c r="M24" s="251"/>
      <c r="N24" s="253" t="s">
        <v>1785</v>
      </c>
      <c r="O24" s="251" t="str">
        <f>IFERROR(VLOOKUP(BDD[[#This Row],[SUBDPTO]],TABLAS!$B$4:$D$36,3,0)," ")</f>
        <v>MÉRIDA ISELA MEDINA SALINAS</v>
      </c>
      <c r="P24" s="258">
        <v>42954</v>
      </c>
      <c r="Q24" s="254">
        <v>5422.4000000000005</v>
      </c>
      <c r="R24" s="255" t="s">
        <v>756</v>
      </c>
      <c r="S24" s="255" t="s">
        <v>740</v>
      </c>
      <c r="T24" s="251" t="s">
        <v>811</v>
      </c>
      <c r="U24" s="243">
        <f ca="1">VLOOKUP(BDD[[#This Row],[ANTIG]],DIASXANT18[#All],2)</f>
        <v>16</v>
      </c>
      <c r="V24" s="256">
        <f t="shared" si="0"/>
        <v>0.5</v>
      </c>
      <c r="W24" s="243">
        <f ca="1">BDD[[#This Row],[D.VAC.]]*BDD[[#This Row],[% P.V.]]</f>
        <v>8</v>
      </c>
      <c r="X24" s="243">
        <v>30</v>
      </c>
      <c r="Y24" s="257">
        <f ca="1">(365+BDD[[#This Row],[D.PAG.V.]]+BDD[[#This Row],[D.AG.]])/365</f>
        <v>1.1041095890410959</v>
      </c>
      <c r="Z24" s="243">
        <f ca="1">BDD[[#This Row],[SUE DIA]]*BDD[[#This Row],[FACTOR SDI]]</f>
        <v>351.14365296803658</v>
      </c>
      <c r="AA24" s="243">
        <f>BDD[[#This Row],[SUE DIA]]/9</f>
        <v>35.337037037037042</v>
      </c>
      <c r="AB24" s="251">
        <v>31763</v>
      </c>
      <c r="AC24" s="251" t="s">
        <v>882</v>
      </c>
      <c r="AD24" s="251" t="s">
        <v>786</v>
      </c>
      <c r="AE24" s="252">
        <v>8554654579</v>
      </c>
      <c r="AF24" s="251" t="s">
        <v>1092</v>
      </c>
      <c r="AG24" s="251" t="s">
        <v>774</v>
      </c>
      <c r="AH24" s="251" t="s">
        <v>730</v>
      </c>
      <c r="AI24" s="243" t="s">
        <v>151</v>
      </c>
      <c r="AJ24" s="258" cm="1">
        <f t="array" aca="1" ref="AJ24" ca="1">DATE(YEAR(FECH.CONS[FECHA DE CONSULTA:]),MONTH(BDD[[#This Row],[FECHA NAC]]),DAY(BDD[[#This Row],[FECHA NAC]]))</f>
        <v>44912</v>
      </c>
      <c r="AK24" s="243">
        <v>7</v>
      </c>
      <c r="AL24" s="261" t="s">
        <v>311</v>
      </c>
      <c r="AM24" s="251" t="s">
        <v>1543</v>
      </c>
      <c r="AN24" s="251" t="s">
        <v>1551</v>
      </c>
      <c r="AO24" s="245">
        <v>95</v>
      </c>
      <c r="AP24" s="251">
        <f ca="1">INT((TODAY()-BDD[[#This Row],[FECHA NAC]])/365)</f>
        <v>35</v>
      </c>
      <c r="AQ24" s="251">
        <v>0</v>
      </c>
      <c r="AR24" s="251">
        <f ca="1">IF(BDD[[#This Row],[ANTIG]]=0,0,1)</f>
        <v>1</v>
      </c>
      <c r="AS24" s="251"/>
      <c r="AT24" s="251"/>
      <c r="AU24" s="251"/>
      <c r="AV24" s="251"/>
      <c r="AW24" s="251"/>
      <c r="AX24" s="251"/>
      <c r="AY24" s="251"/>
      <c r="AZ24" s="251">
        <f t="shared" ca="1" si="1"/>
        <v>416</v>
      </c>
    </row>
    <row r="25" spans="2:52" s="200" customFormat="1" ht="15" customHeight="1" x14ac:dyDescent="0.25">
      <c r="B25" s="243">
        <v>118</v>
      </c>
      <c r="C25" s="251" t="s">
        <v>1653</v>
      </c>
      <c r="D25" s="252">
        <v>64200</v>
      </c>
      <c r="E25" s="252">
        <f>(BDD[[#This Row],[SUE MENS]]/30)</f>
        <v>2140</v>
      </c>
      <c r="F25" s="252">
        <f>BDD[[#This Row],[SUE MENS]]/2</f>
        <v>32100</v>
      </c>
      <c r="G25" s="315">
        <v>40791</v>
      </c>
      <c r="H25" s="243">
        <f ca="1">INT(_xlfn.DAYS(TODAY(),BDD[[#This Row],[FECHA ING.]])/365)</f>
        <v>10</v>
      </c>
      <c r="I25" s="251" t="str">
        <f>VLOOKUP(J25,TABLAS!$B$3:$G$49,2,FALSE)</f>
        <v>FINANZAS</v>
      </c>
      <c r="J25" s="251" t="s">
        <v>162</v>
      </c>
      <c r="K25" s="244" t="s">
        <v>762</v>
      </c>
      <c r="L25" s="251" t="s">
        <v>763</v>
      </c>
      <c r="M25" s="251">
        <v>1003</v>
      </c>
      <c r="N25" s="253" t="s">
        <v>2098</v>
      </c>
      <c r="O25" s="251" t="str">
        <f>IFERROR(VLOOKUP(BDD[[#This Row],[SUBDPTO]],TABLAS!$B$4:$D$36,3,0)," ")</f>
        <v xml:space="preserve"> </v>
      </c>
      <c r="P25" s="258">
        <v>41521</v>
      </c>
      <c r="Q25" s="254">
        <v>7520</v>
      </c>
      <c r="R25" s="255" t="s">
        <v>738</v>
      </c>
      <c r="S25" s="255" t="s">
        <v>751</v>
      </c>
      <c r="T25" s="251" t="s">
        <v>301</v>
      </c>
      <c r="U25" s="243">
        <f ca="1">VLOOKUP(BDD[[#This Row],[ANTIG]],DIASXANT18[#All],2)</f>
        <v>20</v>
      </c>
      <c r="V25" s="256">
        <f t="shared" si="0"/>
        <v>0.5</v>
      </c>
      <c r="W25" s="243">
        <f ca="1">BDD[[#This Row],[D.VAC.]]*BDD[[#This Row],[% P.V.]]</f>
        <v>10</v>
      </c>
      <c r="X25" s="243">
        <v>30</v>
      </c>
      <c r="Y25" s="257">
        <f ca="1">(365+BDD[[#This Row],[D.PAG.V.]]+BDD[[#This Row],[D.AG.]])/365</f>
        <v>1.1095890410958904</v>
      </c>
      <c r="Z25" s="243">
        <f ca="1">BDD[[#This Row],[SUE DIA]]*BDD[[#This Row],[FACTOR SDI]]</f>
        <v>2374.5205479452056</v>
      </c>
      <c r="AA25" s="243">
        <f>BDD[[#This Row],[SUE DIA]]/9</f>
        <v>237.77777777777777</v>
      </c>
      <c r="AB25" s="251">
        <v>30792</v>
      </c>
      <c r="AC25" s="251" t="s">
        <v>883</v>
      </c>
      <c r="AD25" s="251" t="s">
        <v>787</v>
      </c>
      <c r="AE25" s="252">
        <v>8212474802</v>
      </c>
      <c r="AF25" s="251" t="s">
        <v>1093</v>
      </c>
      <c r="AG25" s="251" t="s">
        <v>774</v>
      </c>
      <c r="AH25" s="251" t="s">
        <v>1555</v>
      </c>
      <c r="AI25" s="243" t="s">
        <v>151</v>
      </c>
      <c r="AJ25" s="258" cm="1">
        <f t="array" aca="1" ref="AJ25" ca="1">DATE(YEAR(FECH.CONS[FECHA DE CONSULTA:]),MONTH(BDD[[#This Row],[FECHA NAC]]),DAY(BDD[[#This Row],[FECHA NAC]]))</f>
        <v>44671</v>
      </c>
      <c r="AK25" s="243"/>
      <c r="AL25" s="251" t="s">
        <v>316</v>
      </c>
      <c r="AM25" s="251" t="s">
        <v>159</v>
      </c>
      <c r="AN25" s="251" t="s">
        <v>1551</v>
      </c>
      <c r="AO25" s="245">
        <v>97</v>
      </c>
      <c r="AP25" s="251">
        <f ca="1">INT((TODAY()-BDD[[#This Row],[FECHA NAC]])/365)</f>
        <v>38</v>
      </c>
      <c r="AQ25" s="251">
        <v>2</v>
      </c>
      <c r="AR25" s="251">
        <f ca="1">IF(BDD[[#This Row],[ANTIG]]=0,0,1)</f>
        <v>1</v>
      </c>
      <c r="AS25" s="251"/>
      <c r="AT25" s="251"/>
      <c r="AU25" s="251"/>
      <c r="AV25" s="251"/>
      <c r="AW25" s="251"/>
      <c r="AX25" s="251"/>
      <c r="AY25" s="251"/>
      <c r="AZ25" s="251">
        <f t="shared" ca="1" si="1"/>
        <v>327</v>
      </c>
    </row>
    <row r="26" spans="2:52" s="200" customFormat="1" ht="15" customHeight="1" x14ac:dyDescent="0.25">
      <c r="B26" s="243">
        <v>119</v>
      </c>
      <c r="C26" s="251" t="s">
        <v>1566</v>
      </c>
      <c r="D26" s="252">
        <v>15850</v>
      </c>
      <c r="E26" s="252">
        <f>(BDD[[#This Row],[SUE MENS]]/30)</f>
        <v>528.33333333333337</v>
      </c>
      <c r="F26" s="252">
        <f>BDD[[#This Row],[SUE MENS]]/2</f>
        <v>7925</v>
      </c>
      <c r="G26" s="315">
        <v>40974</v>
      </c>
      <c r="H26" s="243">
        <f ca="1">INT(_xlfn.DAYS(TODAY(),BDD[[#This Row],[FECHA ING.]])/365)</f>
        <v>10</v>
      </c>
      <c r="I26" s="251" t="str">
        <f>VLOOKUP(J26,TABLAS!$B$3:$G$49,2,FALSE)</f>
        <v>AUDITORÍA</v>
      </c>
      <c r="J26" s="198" t="s">
        <v>734</v>
      </c>
      <c r="K26" s="251" t="s">
        <v>778</v>
      </c>
      <c r="L26" s="251" t="s">
        <v>763</v>
      </c>
      <c r="M26" s="251"/>
      <c r="N26" s="253" t="s">
        <v>1945</v>
      </c>
      <c r="O26" s="251" t="str">
        <f>IFERROR(VLOOKUP(BDD[[#This Row],[SUBDPTO]],TABLAS!$B$4:$D$36,3,0)," ")</f>
        <v>MARCO AURELIO URBINO</v>
      </c>
      <c r="P26" s="258">
        <v>41339</v>
      </c>
      <c r="Q26" s="254">
        <v>5422.4000000000005</v>
      </c>
      <c r="R26" s="255" t="s">
        <v>741</v>
      </c>
      <c r="S26" s="255" t="s">
        <v>742</v>
      </c>
      <c r="T26" s="251" t="s">
        <v>811</v>
      </c>
      <c r="U26" s="243">
        <f ca="1">VLOOKUP(BDD[[#This Row],[ANTIG]],DIASXANT18[#All],2)</f>
        <v>20</v>
      </c>
      <c r="V26" s="256">
        <f t="shared" si="0"/>
        <v>0.5</v>
      </c>
      <c r="W26" s="243">
        <f ca="1">BDD[[#This Row],[D.VAC.]]*BDD[[#This Row],[% P.V.]]</f>
        <v>10</v>
      </c>
      <c r="X26" s="243">
        <v>30</v>
      </c>
      <c r="Y26" s="257">
        <f ca="1">(365+BDD[[#This Row],[D.PAG.V.]]+BDD[[#This Row],[D.AG.]])/365</f>
        <v>1.1095890410958904</v>
      </c>
      <c r="Z26" s="243">
        <f ca="1">BDD[[#This Row],[SUE DIA]]*BDD[[#This Row],[FACTOR SDI]]</f>
        <v>586.23287671232879</v>
      </c>
      <c r="AA26" s="243">
        <f>BDD[[#This Row],[SUE DIA]]/9</f>
        <v>58.703703703703709</v>
      </c>
      <c r="AB26" s="251">
        <v>30512</v>
      </c>
      <c r="AC26" s="251" t="s">
        <v>884</v>
      </c>
      <c r="AD26" s="251" t="s">
        <v>788</v>
      </c>
      <c r="AE26" s="252">
        <v>8290207643</v>
      </c>
      <c r="AF26" s="251" t="s">
        <v>1094</v>
      </c>
      <c r="AG26" s="251" t="s">
        <v>773</v>
      </c>
      <c r="AH26" s="251" t="s">
        <v>1555</v>
      </c>
      <c r="AI26" s="243" t="s">
        <v>151</v>
      </c>
      <c r="AJ26" s="258" cm="1">
        <f t="array" aca="1" ref="AJ26" ca="1">DATE(YEAR(FECH.CONS[FECHA DE CONSULTA:]),MONTH(BDD[[#This Row],[FECHA NAC]]),DAY(BDD[[#This Row],[FECHA NAC]]))</f>
        <v>44757</v>
      </c>
      <c r="AK26" s="243"/>
      <c r="AL26" s="261" t="s">
        <v>311</v>
      </c>
      <c r="AM26" s="251" t="s">
        <v>1534</v>
      </c>
      <c r="AN26" s="251" t="s">
        <v>1551</v>
      </c>
      <c r="AO26" s="245">
        <v>89</v>
      </c>
      <c r="AP26" s="251">
        <f ca="1">INT((TODAY()-BDD[[#This Row],[FECHA NAC]])/365)</f>
        <v>39</v>
      </c>
      <c r="AQ26" s="251">
        <v>0</v>
      </c>
      <c r="AR26" s="251">
        <f ca="1">IF(BDD[[#This Row],[ANTIG]]=0,0,1)</f>
        <v>1</v>
      </c>
      <c r="AS26" s="251"/>
      <c r="AT26" s="251"/>
      <c r="AU26" s="251"/>
      <c r="AV26" s="251"/>
      <c r="AW26" s="251"/>
      <c r="AX26" s="251"/>
      <c r="AY26" s="251"/>
      <c r="AZ26" s="251">
        <f t="shared" ca="1" si="1"/>
        <v>383</v>
      </c>
    </row>
    <row r="27" spans="2:52" ht="15" customHeight="1" x14ac:dyDescent="0.25">
      <c r="B27" s="243">
        <v>120</v>
      </c>
      <c r="C27" s="251" t="s">
        <v>89</v>
      </c>
      <c r="D27" s="263">
        <v>7445</v>
      </c>
      <c r="E27" s="252">
        <f>(BDD[[#This Row],[SUE MENS]]/30)</f>
        <v>248.16666666666666</v>
      </c>
      <c r="F27" s="252">
        <f>BDD[[#This Row],[SUE MENS]]/2</f>
        <v>3722.5</v>
      </c>
      <c r="G27" s="315">
        <v>43803</v>
      </c>
      <c r="H27" s="243">
        <f ca="1">INT(_xlfn.DAYS(TODAY(),BDD[[#This Row],[FECHA ING.]])/365)</f>
        <v>2</v>
      </c>
      <c r="I27" s="251" t="str">
        <f>VLOOKUP(J27,TABLAS!$B$3:$G$49,2,FALSE)</f>
        <v>FINANZAS</v>
      </c>
      <c r="J27" s="198" t="s">
        <v>747</v>
      </c>
      <c r="K27" s="251" t="s">
        <v>778</v>
      </c>
      <c r="L27" s="251" t="s">
        <v>763</v>
      </c>
      <c r="M27" s="251"/>
      <c r="N27" s="244" t="s">
        <v>2014</v>
      </c>
      <c r="O27" s="251" t="str">
        <f>IFERROR(VLOOKUP(BDD[[#This Row],[SUBDPTO]],TABLAS!$B$4:$D$36,3,0)," ")</f>
        <v>MARIANO ALDEBARÁN</v>
      </c>
      <c r="P27" s="258"/>
      <c r="Q27" s="264"/>
      <c r="R27" s="244"/>
      <c r="S27" s="251"/>
      <c r="T27" s="251" t="s">
        <v>301</v>
      </c>
      <c r="U27" s="243">
        <f ca="1">VLOOKUP(BDD[[#This Row],[ANTIG]],DIASXANT18[#All],2)</f>
        <v>10</v>
      </c>
      <c r="V27" s="256">
        <f t="shared" si="0"/>
        <v>0.5</v>
      </c>
      <c r="W27" s="243">
        <f ca="1">BDD[[#This Row],[D.VAC.]]*BDD[[#This Row],[% P.V.]]</f>
        <v>5</v>
      </c>
      <c r="X27" s="243">
        <v>30</v>
      </c>
      <c r="Y27" s="257">
        <f ca="1">(365+BDD[[#This Row],[D.PAG.V.]]+BDD[[#This Row],[D.AG.]])/365</f>
        <v>1.095890410958904</v>
      </c>
      <c r="Z27" s="243">
        <f ca="1">BDD[[#This Row],[SUE DIA]]*BDD[[#This Row],[FACTOR SDI]]</f>
        <v>271.96347031963467</v>
      </c>
      <c r="AA27" s="243">
        <f>BDD[[#This Row],[SUE DIA]]/9</f>
        <v>27.574074074074073</v>
      </c>
      <c r="AB27" s="251">
        <v>32587</v>
      </c>
      <c r="AC27" s="251" t="s">
        <v>885</v>
      </c>
      <c r="AD27" s="251" t="s">
        <v>789</v>
      </c>
      <c r="AE27" s="252">
        <v>8496519662</v>
      </c>
      <c r="AF27" s="251" t="s">
        <v>1095</v>
      </c>
      <c r="AG27" s="251" t="s">
        <v>776</v>
      </c>
      <c r="AH27" s="251" t="s">
        <v>730</v>
      </c>
      <c r="AI27" s="243" t="s">
        <v>151</v>
      </c>
      <c r="AJ27" s="258" cm="1">
        <f t="array" aca="1" ref="AJ27" ca="1">DATE(YEAR(FECH.CONS[FECHA DE CONSULTA:]),MONTH(BDD[[#This Row],[FECHA NAC]]),DAY(BDD[[#This Row],[FECHA NAC]]))</f>
        <v>44640</v>
      </c>
      <c r="AK27" s="243">
        <v>9</v>
      </c>
      <c r="AL27" s="261" t="s">
        <v>311</v>
      </c>
      <c r="AM27" s="251" t="s">
        <v>1537</v>
      </c>
      <c r="AN27" s="251" t="s">
        <v>1551</v>
      </c>
      <c r="AO27" s="245">
        <v>33</v>
      </c>
      <c r="AP27" s="251">
        <f ca="1">INT((TODAY()-BDD[[#This Row],[FECHA NAC]])/365)</f>
        <v>33</v>
      </c>
      <c r="AQ27" s="251">
        <v>1</v>
      </c>
      <c r="AR27" s="251">
        <f ca="1">IF(BDD[[#This Row],[ANTIG]]=0,0,1)</f>
        <v>1</v>
      </c>
      <c r="AS27" s="251"/>
      <c r="AT27" s="251"/>
      <c r="AU27" s="251"/>
      <c r="AV27" s="251"/>
      <c r="AW27" s="251"/>
      <c r="AX27" s="251"/>
      <c r="AY27" s="251"/>
      <c r="AZ27" s="251">
        <f t="shared" ca="1" si="1"/>
        <v>488</v>
      </c>
    </row>
    <row r="28" spans="2:52" ht="15" customHeight="1" x14ac:dyDescent="0.25">
      <c r="B28" s="243">
        <v>121</v>
      </c>
      <c r="C28" s="251" t="s">
        <v>80</v>
      </c>
      <c r="D28" s="252">
        <v>7950</v>
      </c>
      <c r="E28" s="252">
        <f>(BDD[[#This Row],[SUE MENS]]/30)</f>
        <v>265</v>
      </c>
      <c r="F28" s="252">
        <f>BDD[[#This Row],[SUE MENS]]/2</f>
        <v>3975</v>
      </c>
      <c r="G28" s="315">
        <v>43107</v>
      </c>
      <c r="H28" s="243">
        <f ca="1">INT(_xlfn.DAYS(TODAY(),BDD[[#This Row],[FECHA ING.]])/365)</f>
        <v>4</v>
      </c>
      <c r="I28" s="251" t="str">
        <f>VLOOKUP(J28,TABLAS!$B$3:$G$49,2,FALSE)</f>
        <v>AUDITORÍA</v>
      </c>
      <c r="J28" s="198" t="s">
        <v>735</v>
      </c>
      <c r="K28" s="251" t="s">
        <v>778</v>
      </c>
      <c r="L28" s="251" t="s">
        <v>763</v>
      </c>
      <c r="M28" s="251"/>
      <c r="N28" s="253" t="s">
        <v>2066</v>
      </c>
      <c r="O28" s="251" t="str">
        <f>IFERROR(VLOOKUP(BDD[[#This Row],[SUBDPTO]],TABLAS!$B$4:$D$36,3,0)," ")</f>
        <v>MARCO AURELIO URBINO</v>
      </c>
      <c r="P28" s="258">
        <v>44110</v>
      </c>
      <c r="Q28" s="254">
        <v>5956</v>
      </c>
      <c r="R28" s="255" t="s">
        <v>743</v>
      </c>
      <c r="S28" s="251"/>
      <c r="T28" s="251" t="s">
        <v>811</v>
      </c>
      <c r="U28" s="243">
        <f ca="1">VLOOKUP(BDD[[#This Row],[ANTIG]],DIASXANT18[#All],2)</f>
        <v>14</v>
      </c>
      <c r="V28" s="256">
        <f t="shared" si="0"/>
        <v>0.5</v>
      </c>
      <c r="W28" s="243">
        <f ca="1">BDD[[#This Row],[D.VAC.]]*BDD[[#This Row],[% P.V.]]</f>
        <v>7</v>
      </c>
      <c r="X28" s="243">
        <v>30</v>
      </c>
      <c r="Y28" s="257">
        <f ca="1">(365+BDD[[#This Row],[D.PAG.V.]]+BDD[[#This Row],[D.AG.]])/365</f>
        <v>1.1013698630136985</v>
      </c>
      <c r="Z28" s="243">
        <f ca="1">BDD[[#This Row],[SUE DIA]]*BDD[[#This Row],[FACTOR SDI]]</f>
        <v>291.86301369863014</v>
      </c>
      <c r="AA28" s="243">
        <f>BDD[[#This Row],[SUE DIA]]/9</f>
        <v>29.444444444444443</v>
      </c>
      <c r="AB28" s="251">
        <v>31524</v>
      </c>
      <c r="AC28" s="251" t="s">
        <v>886</v>
      </c>
      <c r="AD28" s="251" t="s">
        <v>809</v>
      </c>
      <c r="AE28" s="252">
        <v>8942210106</v>
      </c>
      <c r="AF28" s="251" t="s">
        <v>1096</v>
      </c>
      <c r="AG28" s="251" t="s">
        <v>773</v>
      </c>
      <c r="AH28" s="251" t="s">
        <v>730</v>
      </c>
      <c r="AI28" s="243" t="s">
        <v>152</v>
      </c>
      <c r="AJ28" s="258" cm="1">
        <f t="array" aca="1" ref="AJ28" ca="1">DATE(YEAR(FECH.CONS[FECHA DE CONSULTA:]),MONTH(BDD[[#This Row],[FECHA NAC]]),DAY(BDD[[#This Row],[FECHA NAC]]))</f>
        <v>44673</v>
      </c>
      <c r="AK28" s="243">
        <v>9</v>
      </c>
      <c r="AL28" s="251" t="s">
        <v>311</v>
      </c>
      <c r="AM28" s="251" t="s">
        <v>1537</v>
      </c>
      <c r="AN28" s="251" t="s">
        <v>1551</v>
      </c>
      <c r="AO28" s="245">
        <v>62</v>
      </c>
      <c r="AP28" s="251">
        <f ca="1">INT((TODAY()-BDD[[#This Row],[FECHA NAC]])/365)</f>
        <v>36</v>
      </c>
      <c r="AQ28" s="251">
        <v>2</v>
      </c>
      <c r="AR28" s="251">
        <f ca="1">IF(BDD[[#This Row],[ANTIG]]=0,0,1)</f>
        <v>1</v>
      </c>
      <c r="AS28" s="251"/>
      <c r="AT28" s="251"/>
      <c r="AU28" s="251"/>
      <c r="AV28" s="251"/>
      <c r="AW28" s="251"/>
      <c r="AX28" s="251"/>
      <c r="AY28" s="251"/>
      <c r="AZ28" s="251">
        <f t="shared" ca="1" si="1"/>
        <v>15</v>
      </c>
    </row>
    <row r="29" spans="2:52" ht="15" customHeight="1" x14ac:dyDescent="0.25">
      <c r="B29" s="243">
        <v>122</v>
      </c>
      <c r="C29" s="251" t="s">
        <v>81</v>
      </c>
      <c r="D29" s="252">
        <v>9541</v>
      </c>
      <c r="E29" s="252">
        <f>(BDD[[#This Row],[SUE MENS]]/30)</f>
        <v>318.03333333333336</v>
      </c>
      <c r="F29" s="252">
        <f>BDD[[#This Row],[SUE MENS]]/2</f>
        <v>4770.5</v>
      </c>
      <c r="G29" s="315">
        <v>42205</v>
      </c>
      <c r="H29" s="243">
        <f ca="1">INT(_xlfn.DAYS(TODAY(),BDD[[#This Row],[FECHA ING.]])/365)</f>
        <v>7</v>
      </c>
      <c r="I29" s="251" t="str">
        <f>VLOOKUP(J29,TABLAS!$B$3:$G$49,2,FALSE)</f>
        <v>DIRECCIÓN</v>
      </c>
      <c r="J29" s="198" t="s">
        <v>759</v>
      </c>
      <c r="K29" s="251" t="s">
        <v>778</v>
      </c>
      <c r="L29" s="251" t="s">
        <v>763</v>
      </c>
      <c r="M29" s="251"/>
      <c r="N29" s="244" t="s">
        <v>1930</v>
      </c>
      <c r="O29" s="251" t="str">
        <f>IFERROR(VLOOKUP(BDD[[#This Row],[SUBDPTO]],TABLAS!$B$4:$D$36,3,0)," ")</f>
        <v>MARIANA RODRÍGUEZ GUTIERREZ</v>
      </c>
      <c r="P29" s="258">
        <f>BDD[[#This Row],[FECHA ING.]]+900</f>
        <v>43105</v>
      </c>
      <c r="Q29" s="254">
        <v>6678</v>
      </c>
      <c r="R29" s="244" t="s">
        <v>767</v>
      </c>
      <c r="S29" s="251"/>
      <c r="T29" s="251" t="s">
        <v>811</v>
      </c>
      <c r="U29" s="243">
        <f ca="1">VLOOKUP(BDD[[#This Row],[ANTIG]],DIASXANT18[#All],2)</f>
        <v>16</v>
      </c>
      <c r="V29" s="256">
        <f t="shared" si="0"/>
        <v>0.5</v>
      </c>
      <c r="W29" s="243">
        <f ca="1">BDD[[#This Row],[D.VAC.]]*BDD[[#This Row],[% P.V.]]</f>
        <v>8</v>
      </c>
      <c r="X29" s="243">
        <v>30</v>
      </c>
      <c r="Y29" s="257">
        <f ca="1">(365+BDD[[#This Row],[D.PAG.V.]]+BDD[[#This Row],[D.AG.]])/365</f>
        <v>1.1041095890410959</v>
      </c>
      <c r="Z29" s="243">
        <f ca="1">BDD[[#This Row],[SUE DIA]]*BDD[[#This Row],[FACTOR SDI]]</f>
        <v>351.14365296803658</v>
      </c>
      <c r="AA29" s="243">
        <f>BDD[[#This Row],[SUE DIA]]/9</f>
        <v>35.337037037037042</v>
      </c>
      <c r="AB29" s="251">
        <v>35704</v>
      </c>
      <c r="AC29" s="251" t="s">
        <v>887</v>
      </c>
      <c r="AD29" s="251" t="s">
        <v>810</v>
      </c>
      <c r="AE29" s="252">
        <v>8256533155</v>
      </c>
      <c r="AF29" s="251" t="s">
        <v>1097</v>
      </c>
      <c r="AG29" s="251" t="s">
        <v>776</v>
      </c>
      <c r="AH29" s="251" t="s">
        <v>726</v>
      </c>
      <c r="AI29" s="243" t="s">
        <v>151</v>
      </c>
      <c r="AJ29" s="258" cm="1">
        <f t="array" aca="1" ref="AJ29" ca="1">DATE(YEAR(FECH.CONS[FECHA DE CONSULTA:]),MONTH(BDD[[#This Row],[FECHA NAC]]),DAY(BDD[[#This Row],[FECHA NAC]]))</f>
        <v>44835</v>
      </c>
      <c r="AK29" s="243"/>
      <c r="AL29" s="261" t="s">
        <v>311</v>
      </c>
      <c r="AM29" s="251" t="s">
        <v>1537</v>
      </c>
      <c r="AN29" s="251" t="s">
        <v>1551</v>
      </c>
      <c r="AO29" s="245">
        <v>88</v>
      </c>
      <c r="AP29" s="251">
        <f ca="1">INT((TODAY()-BDD[[#This Row],[FECHA NAC]])/365)</f>
        <v>24</v>
      </c>
      <c r="AQ29" s="251">
        <v>2</v>
      </c>
      <c r="AR29" s="251">
        <f ca="1">IF(BDD[[#This Row],[ANTIG]]=0,0,1)</f>
        <v>1</v>
      </c>
      <c r="AS29" s="251"/>
      <c r="AT29" s="251"/>
      <c r="AU29" s="251"/>
      <c r="AV29" s="251"/>
      <c r="AW29" s="251"/>
      <c r="AX29" s="251"/>
      <c r="AY29" s="251"/>
      <c r="AZ29" s="251">
        <f t="shared" ca="1" si="1"/>
        <v>657</v>
      </c>
    </row>
    <row r="30" spans="2:52" ht="15" customHeight="1" x14ac:dyDescent="0.25">
      <c r="B30" s="243">
        <v>123</v>
      </c>
      <c r="C30" s="251" t="s">
        <v>83</v>
      </c>
      <c r="D30" s="252">
        <v>25800</v>
      </c>
      <c r="E30" s="252">
        <f>(BDD[[#This Row],[SUE MENS]]/30)</f>
        <v>860</v>
      </c>
      <c r="F30" s="252">
        <f>BDD[[#This Row],[SUE MENS]]/2</f>
        <v>12900</v>
      </c>
      <c r="G30" s="315">
        <v>42598</v>
      </c>
      <c r="H30" s="243">
        <f ca="1">INT(_xlfn.DAYS(TODAY(),BDD[[#This Row],[FECHA ING.]])/365)</f>
        <v>5</v>
      </c>
      <c r="I30" s="251" t="str">
        <f>VLOOKUP(J30,TABLAS!$B$3:$G$49,2,FALSE)</f>
        <v>AUDITORÍA</v>
      </c>
      <c r="J30" s="198" t="s">
        <v>736</v>
      </c>
      <c r="K30" s="244" t="s">
        <v>761</v>
      </c>
      <c r="L30" s="251" t="s">
        <v>763</v>
      </c>
      <c r="M30" s="251">
        <v>1031</v>
      </c>
      <c r="N30" s="244" t="s">
        <v>2060</v>
      </c>
      <c r="O30" s="251" t="str">
        <f>IFERROR(VLOOKUP(BDD[[#This Row],[SUBDPTO]],TABLAS!$B$4:$D$36,3,0)," ")</f>
        <v>MARCO AURELIO URBINO</v>
      </c>
      <c r="P30" s="258">
        <f>BDD[[#This Row],[FECHA ING.]]+1000</f>
        <v>43598</v>
      </c>
      <c r="Q30" s="254">
        <v>17311</v>
      </c>
      <c r="R30" s="251" t="s">
        <v>746</v>
      </c>
      <c r="S30" s="251"/>
      <c r="T30" s="251" t="s">
        <v>811</v>
      </c>
      <c r="U30" s="243">
        <f ca="1">VLOOKUP(BDD[[#This Row],[ANTIG]],DIASXANT18[#All],2)</f>
        <v>16</v>
      </c>
      <c r="V30" s="256">
        <f t="shared" si="0"/>
        <v>0.5</v>
      </c>
      <c r="W30" s="243">
        <f ca="1">BDD[[#This Row],[D.VAC.]]*BDD[[#This Row],[% P.V.]]</f>
        <v>8</v>
      </c>
      <c r="X30" s="243">
        <v>30</v>
      </c>
      <c r="Y30" s="257">
        <f ca="1">(365+BDD[[#This Row],[D.PAG.V.]]+BDD[[#This Row],[D.AG.]])/365</f>
        <v>1.1041095890410959</v>
      </c>
      <c r="Z30" s="243">
        <f ca="1">BDD[[#This Row],[SUE DIA]]*BDD[[#This Row],[FACTOR SDI]]</f>
        <v>949.53424657534254</v>
      </c>
      <c r="AA30" s="243">
        <f>BDD[[#This Row],[SUE DIA]]/9</f>
        <v>95.555555555555557</v>
      </c>
      <c r="AB30" s="251">
        <v>33218</v>
      </c>
      <c r="AC30" s="251" t="s">
        <v>888</v>
      </c>
      <c r="AD30" s="251" t="s">
        <v>790</v>
      </c>
      <c r="AE30" s="252">
        <v>8424161630</v>
      </c>
      <c r="AF30" s="251" t="s">
        <v>1098</v>
      </c>
      <c r="AG30" s="251" t="s">
        <v>776</v>
      </c>
      <c r="AH30" s="251" t="s">
        <v>1555</v>
      </c>
      <c r="AI30" s="243" t="s">
        <v>151</v>
      </c>
      <c r="AJ30" s="258" cm="1">
        <f t="array" aca="1" ref="AJ30" ca="1">DATE(YEAR(FECH.CONS[FECHA DE CONSULTA:]),MONTH(BDD[[#This Row],[FECHA NAC]]),DAY(BDD[[#This Row],[FECHA NAC]]))</f>
        <v>44906</v>
      </c>
      <c r="AK30" s="243">
        <v>8</v>
      </c>
      <c r="AL30" s="251" t="s">
        <v>311</v>
      </c>
      <c r="AM30" s="251" t="s">
        <v>1535</v>
      </c>
      <c r="AN30" s="251" t="s">
        <v>1551</v>
      </c>
      <c r="AO30" s="245">
        <v>34</v>
      </c>
      <c r="AP30" s="251">
        <f ca="1">INT((TODAY()-BDD[[#This Row],[FECHA NAC]])/365)</f>
        <v>31</v>
      </c>
      <c r="AQ30" s="251">
        <v>1</v>
      </c>
      <c r="AR30" s="251">
        <f ca="1">IF(BDD[[#This Row],[ANTIG]]=0,0,1)</f>
        <v>1</v>
      </c>
      <c r="AS30" s="251"/>
      <c r="AT30" s="251"/>
      <c r="AU30" s="251"/>
      <c r="AV30" s="251"/>
      <c r="AW30" s="251"/>
      <c r="AX30" s="251"/>
      <c r="AY30" s="251"/>
      <c r="AZ30" s="251">
        <f t="shared" ca="1" si="1"/>
        <v>685</v>
      </c>
    </row>
    <row r="31" spans="2:52" x14ac:dyDescent="0.25">
      <c r="B31" s="243">
        <v>124</v>
      </c>
      <c r="C31" s="251" t="s">
        <v>84</v>
      </c>
      <c r="D31" s="252">
        <v>9541</v>
      </c>
      <c r="E31" s="252">
        <f>(BDD[[#This Row],[SUE MENS]]/30)</f>
        <v>318.03333333333336</v>
      </c>
      <c r="F31" s="252">
        <f>BDD[[#This Row],[SUE MENS]]/2</f>
        <v>4770.5</v>
      </c>
      <c r="G31" s="315">
        <v>41954</v>
      </c>
      <c r="H31" s="243">
        <f ca="1">INT(_xlfn.DAYS(TODAY(),BDD[[#This Row],[FECHA ING.]])/365)</f>
        <v>7</v>
      </c>
      <c r="I31" s="251" t="str">
        <f>VLOOKUP(J31,TABLAS!$B$3:$G$49,2,FALSE)</f>
        <v>AUDITORÍA</v>
      </c>
      <c r="J31" s="198" t="s">
        <v>735</v>
      </c>
      <c r="K31" s="251" t="s">
        <v>778</v>
      </c>
      <c r="L31" s="251" t="s">
        <v>763</v>
      </c>
      <c r="M31" s="251"/>
      <c r="N31" s="244" t="s">
        <v>2220</v>
      </c>
      <c r="O31" s="251" t="str">
        <f>IFERROR(VLOOKUP(BDD[[#This Row],[SUBDPTO]],TABLAS!$B$4:$D$36,3,0)," ")</f>
        <v>MARCO AURELIO URBINO</v>
      </c>
      <c r="P31" s="258">
        <v>43049</v>
      </c>
      <c r="Q31" s="254">
        <v>3888</v>
      </c>
      <c r="R31" s="255" t="s">
        <v>757</v>
      </c>
      <c r="S31" s="251"/>
      <c r="T31" s="251" t="s">
        <v>811</v>
      </c>
      <c r="U31" s="243">
        <f ca="1">VLOOKUP(BDD[[#This Row],[ANTIG]],DIASXANT18[#All],2)</f>
        <v>16</v>
      </c>
      <c r="V31" s="256">
        <f t="shared" si="0"/>
        <v>0.5</v>
      </c>
      <c r="W31" s="243">
        <f ca="1">BDD[[#This Row],[D.VAC.]]*BDD[[#This Row],[% P.V.]]</f>
        <v>8</v>
      </c>
      <c r="X31" s="243">
        <v>30</v>
      </c>
      <c r="Y31" s="257">
        <f ca="1">(365+BDD[[#This Row],[D.PAG.V.]]+BDD[[#This Row],[D.AG.]])/365</f>
        <v>1.1041095890410959</v>
      </c>
      <c r="Z31" s="243">
        <f ca="1">BDD[[#This Row],[SUE DIA]]*BDD[[#This Row],[FACTOR SDI]]</f>
        <v>351.14365296803658</v>
      </c>
      <c r="AA31" s="243">
        <f>BDD[[#This Row],[SUE DIA]]/9</f>
        <v>35.337037037037042</v>
      </c>
      <c r="AB31" s="251">
        <v>33393</v>
      </c>
      <c r="AC31" s="251" t="s">
        <v>889</v>
      </c>
      <c r="AD31" s="251" t="s">
        <v>789</v>
      </c>
      <c r="AE31" s="252">
        <v>5528796465</v>
      </c>
      <c r="AF31" s="251" t="s">
        <v>1099</v>
      </c>
      <c r="AG31" s="251" t="s">
        <v>776</v>
      </c>
      <c r="AH31" s="251" t="s">
        <v>730</v>
      </c>
      <c r="AI31" s="243" t="s">
        <v>151</v>
      </c>
      <c r="AJ31" s="258" cm="1">
        <f t="array" aca="1" ref="AJ31" ca="1">DATE(YEAR(FECH.CONS[FECHA DE CONSULTA:]),MONTH(BDD[[#This Row],[FECHA NAC]]),DAY(BDD[[#This Row],[FECHA NAC]]))</f>
        <v>44716</v>
      </c>
      <c r="AK31" s="243">
        <v>9</v>
      </c>
      <c r="AL31" s="251" t="s">
        <v>321</v>
      </c>
      <c r="AM31" s="251" t="s">
        <v>1540</v>
      </c>
      <c r="AN31" s="251" t="s">
        <v>1551</v>
      </c>
      <c r="AO31" s="245">
        <v>43</v>
      </c>
      <c r="AP31" s="251">
        <f ca="1">INT((TODAY()-BDD[[#This Row],[FECHA NAC]])/365)</f>
        <v>31</v>
      </c>
      <c r="AQ31" s="251">
        <v>3</v>
      </c>
      <c r="AR31" s="251">
        <f ca="1">IF(BDD[[#This Row],[ANTIG]]=0,0,1)</f>
        <v>1</v>
      </c>
      <c r="AS31" s="251"/>
      <c r="AT31" s="251"/>
      <c r="AU31" s="251"/>
      <c r="AV31" s="251"/>
      <c r="AW31" s="251"/>
      <c r="AX31" s="251"/>
      <c r="AY31" s="251"/>
      <c r="AZ31" s="251">
        <f t="shared" ca="1" si="1"/>
        <v>503</v>
      </c>
    </row>
    <row r="32" spans="2:52" ht="15" customHeight="1" x14ac:dyDescent="0.25">
      <c r="B32" s="243">
        <v>125</v>
      </c>
      <c r="C32" s="251" t="s">
        <v>85</v>
      </c>
      <c r="D32" s="252">
        <v>22200</v>
      </c>
      <c r="E32" s="252">
        <f>(BDD[[#This Row],[SUE MENS]]/30)</f>
        <v>740</v>
      </c>
      <c r="F32" s="252">
        <f>BDD[[#This Row],[SUE MENS]]/2</f>
        <v>11100</v>
      </c>
      <c r="G32" s="315">
        <v>42075</v>
      </c>
      <c r="H32" s="243">
        <f ca="1">INT(_xlfn.DAYS(TODAY(),BDD[[#This Row],[FECHA ING.]])/365)</f>
        <v>7</v>
      </c>
      <c r="I32" s="251" t="str">
        <f>VLOOKUP(J32,TABLAS!$B$3:$G$49,2,FALSE)</f>
        <v>AUDITORÍA</v>
      </c>
      <c r="J32" s="198" t="s">
        <v>734</v>
      </c>
      <c r="K32" s="244" t="s">
        <v>761</v>
      </c>
      <c r="L32" s="251" t="s">
        <v>763</v>
      </c>
      <c r="M32" s="251">
        <v>1036</v>
      </c>
      <c r="N32" s="244" t="s">
        <v>1795</v>
      </c>
      <c r="O32" s="251" t="str">
        <f>IFERROR(VLOOKUP(BDD[[#This Row],[SUBDPTO]],TABLAS!$B$4:$D$36,3,0)," ")</f>
        <v>MARCO AURELIO URBINO</v>
      </c>
      <c r="P32" s="258">
        <f>BDD[[#This Row],[FECHA ING.]]+1000</f>
        <v>43075</v>
      </c>
      <c r="Q32" s="275">
        <v>16450</v>
      </c>
      <c r="R32" s="251" t="s">
        <v>853</v>
      </c>
      <c r="S32" s="251"/>
      <c r="T32" s="251" t="s">
        <v>811</v>
      </c>
      <c r="U32" s="243">
        <f ca="1">VLOOKUP(BDD[[#This Row],[ANTIG]],DIASXANT18[#All],2)</f>
        <v>16</v>
      </c>
      <c r="V32" s="256">
        <f t="shared" si="0"/>
        <v>0.5</v>
      </c>
      <c r="W32" s="243">
        <f ca="1">BDD[[#This Row],[D.VAC.]]*BDD[[#This Row],[% P.V.]]</f>
        <v>8</v>
      </c>
      <c r="X32" s="243">
        <v>30</v>
      </c>
      <c r="Y32" s="257">
        <f ca="1">(365+BDD[[#This Row],[D.PAG.V.]]+BDD[[#This Row],[D.AG.]])/365</f>
        <v>1.1041095890410959</v>
      </c>
      <c r="Z32" s="243">
        <f ca="1">BDD[[#This Row],[SUE DIA]]*BDD[[#This Row],[FACTOR SDI]]</f>
        <v>817.04109589041093</v>
      </c>
      <c r="AA32" s="243">
        <f>BDD[[#This Row],[SUE DIA]]/9</f>
        <v>82.222222222222229</v>
      </c>
      <c r="AB32" s="251">
        <v>31682</v>
      </c>
      <c r="AC32" s="251" t="s">
        <v>890</v>
      </c>
      <c r="AD32" s="251" t="s">
        <v>809</v>
      </c>
      <c r="AE32" s="252">
        <v>8863299375</v>
      </c>
      <c r="AF32" s="251" t="s">
        <v>1100</v>
      </c>
      <c r="AG32" s="251" t="s">
        <v>773</v>
      </c>
      <c r="AH32" s="251" t="s">
        <v>1555</v>
      </c>
      <c r="AI32" s="243" t="s">
        <v>152</v>
      </c>
      <c r="AJ32" s="258" cm="1">
        <f t="array" aca="1" ref="AJ32" ca="1">DATE(YEAR(FECH.CONS[FECHA DE CONSULTA:]),MONTH(BDD[[#This Row],[FECHA NAC]]),DAY(BDD[[#This Row],[FECHA NAC]]))</f>
        <v>44831</v>
      </c>
      <c r="AK32" s="243"/>
      <c r="AL32" s="261" t="s">
        <v>311</v>
      </c>
      <c r="AM32" s="251" t="s">
        <v>1537</v>
      </c>
      <c r="AN32" s="251" t="s">
        <v>1551</v>
      </c>
      <c r="AO32" s="245">
        <v>73</v>
      </c>
      <c r="AP32" s="251">
        <f ca="1">INT((TODAY()-BDD[[#This Row],[FECHA NAC]])/365)</f>
        <v>35</v>
      </c>
      <c r="AQ32" s="251">
        <v>3</v>
      </c>
      <c r="AR32" s="251">
        <f ca="1">IF(BDD[[#This Row],[ANTIG]]=0,0,1)</f>
        <v>1</v>
      </c>
      <c r="AS32" s="251"/>
      <c r="AT32" s="251"/>
      <c r="AU32" s="251"/>
      <c r="AV32" s="251"/>
      <c r="AW32" s="251"/>
      <c r="AX32" s="251"/>
      <c r="AY32" s="251"/>
      <c r="AZ32" s="251">
        <f t="shared" ca="1" si="1"/>
        <v>735</v>
      </c>
    </row>
    <row r="33" spans="1:52" ht="15" customHeight="1" x14ac:dyDescent="0.25">
      <c r="B33" s="243">
        <v>126</v>
      </c>
      <c r="C33" s="251" t="s">
        <v>90</v>
      </c>
      <c r="D33" s="252">
        <v>25800</v>
      </c>
      <c r="E33" s="252">
        <f>(BDD[[#This Row],[SUE MENS]]/30)</f>
        <v>860</v>
      </c>
      <c r="F33" s="252">
        <f>BDD[[#This Row],[SUE MENS]]/2</f>
        <v>12900</v>
      </c>
      <c r="G33" s="315">
        <v>42377</v>
      </c>
      <c r="H33" s="243">
        <f ca="1">INT(_xlfn.DAYS(TODAY(),BDD[[#This Row],[FECHA ING.]])/365)</f>
        <v>6</v>
      </c>
      <c r="I33" s="251" t="str">
        <f>VLOOKUP(J33,TABLAS!$B$3:$G$49,2,FALSE)</f>
        <v>AUDITORÍA</v>
      </c>
      <c r="J33" s="198" t="s">
        <v>735</v>
      </c>
      <c r="K33" s="244" t="s">
        <v>761</v>
      </c>
      <c r="L33" s="251" t="s">
        <v>763</v>
      </c>
      <c r="M33" s="251">
        <v>1027</v>
      </c>
      <c r="N33" s="244" t="s">
        <v>2146</v>
      </c>
      <c r="O33" s="251" t="str">
        <f>IFERROR(VLOOKUP(BDD[[#This Row],[SUBDPTO]],TABLAS!$B$4:$D$36,3,0)," ")</f>
        <v>MARCO AURELIO URBINO</v>
      </c>
      <c r="P33" s="258">
        <f>BDD[[#This Row],[FECHA ING.]]+700</f>
        <v>43077</v>
      </c>
      <c r="Q33" s="254">
        <v>18025</v>
      </c>
      <c r="R33" s="244" t="s">
        <v>750</v>
      </c>
      <c r="S33" s="244" t="s">
        <v>745</v>
      </c>
      <c r="T33" s="251" t="s">
        <v>811</v>
      </c>
      <c r="U33" s="243">
        <f ca="1">VLOOKUP(BDD[[#This Row],[ANTIG]],DIASXANT18[#All],2)</f>
        <v>16</v>
      </c>
      <c r="V33" s="256">
        <f t="shared" si="0"/>
        <v>0.5</v>
      </c>
      <c r="W33" s="243">
        <f ca="1">BDD[[#This Row],[D.VAC.]]*BDD[[#This Row],[% P.V.]]</f>
        <v>8</v>
      </c>
      <c r="X33" s="243">
        <v>30</v>
      </c>
      <c r="Y33" s="257">
        <f ca="1">(365+BDD[[#This Row],[D.PAG.V.]]+BDD[[#This Row],[D.AG.]])/365</f>
        <v>1.1041095890410959</v>
      </c>
      <c r="Z33" s="243">
        <f ca="1">BDD[[#This Row],[SUE DIA]]*BDD[[#This Row],[FACTOR SDI]]</f>
        <v>949.53424657534254</v>
      </c>
      <c r="AA33" s="243">
        <f>BDD[[#This Row],[SUE DIA]]/9</f>
        <v>95.555555555555557</v>
      </c>
      <c r="AB33" s="251">
        <v>37196</v>
      </c>
      <c r="AC33" s="251" t="s">
        <v>891</v>
      </c>
      <c r="AD33" s="251" t="s">
        <v>791</v>
      </c>
      <c r="AE33" s="252">
        <v>8204130929</v>
      </c>
      <c r="AF33" s="251" t="s">
        <v>1101</v>
      </c>
      <c r="AG33" s="251" t="s">
        <v>775</v>
      </c>
      <c r="AH33" s="251" t="s">
        <v>1555</v>
      </c>
      <c r="AI33" s="243" t="s">
        <v>151</v>
      </c>
      <c r="AJ33" s="258" cm="1">
        <f t="array" aca="1" ref="AJ33" ca="1">DATE(YEAR(FECH.CONS[FECHA DE CONSULTA:]),MONTH(BDD[[#This Row],[FECHA NAC]]),DAY(BDD[[#This Row],[FECHA NAC]]))</f>
        <v>44866</v>
      </c>
      <c r="AK33" s="243"/>
      <c r="AL33" s="251" t="s">
        <v>311</v>
      </c>
      <c r="AM33" s="251" t="s">
        <v>1535</v>
      </c>
      <c r="AN33" s="251" t="s">
        <v>1551</v>
      </c>
      <c r="AO33" s="245">
        <v>48</v>
      </c>
      <c r="AP33" s="251">
        <f ca="1">INT((TODAY()-BDD[[#This Row],[FECHA NAC]])/365)</f>
        <v>20</v>
      </c>
      <c r="AQ33" s="251">
        <v>3</v>
      </c>
      <c r="AR33" s="251">
        <f ca="1">IF(BDD[[#This Row],[ANTIG]]=0,0,1)</f>
        <v>1</v>
      </c>
      <c r="AS33" s="251"/>
      <c r="AT33" s="251"/>
      <c r="AU33" s="251"/>
      <c r="AV33" s="251"/>
      <c r="AW33" s="251"/>
      <c r="AX33" s="251"/>
      <c r="AY33" s="251"/>
      <c r="AZ33" s="251">
        <f t="shared" ca="1" si="1"/>
        <v>377</v>
      </c>
    </row>
    <row r="34" spans="1:52" ht="15" customHeight="1" x14ac:dyDescent="0.25">
      <c r="B34" s="243">
        <v>127</v>
      </c>
      <c r="C34" s="251" t="s">
        <v>91</v>
      </c>
      <c r="D34" s="263">
        <v>7445</v>
      </c>
      <c r="E34" s="252">
        <f>(BDD[[#This Row],[SUE MENS]]/30)</f>
        <v>248.16666666666666</v>
      </c>
      <c r="F34" s="252">
        <f>BDD[[#This Row],[SUE MENS]]/2</f>
        <v>3722.5</v>
      </c>
      <c r="G34" s="315">
        <v>43994</v>
      </c>
      <c r="H34" s="243">
        <f ca="1">INT(_xlfn.DAYS(TODAY(),BDD[[#This Row],[FECHA ING.]])/365)</f>
        <v>2</v>
      </c>
      <c r="I34" s="251" t="str">
        <f>VLOOKUP(J34,TABLAS!$B$3:$G$49,2,FALSE)</f>
        <v>CPTAL HUMANO</v>
      </c>
      <c r="J34" s="198" t="s">
        <v>758</v>
      </c>
      <c r="K34" s="251" t="s">
        <v>778</v>
      </c>
      <c r="L34" s="251" t="s">
        <v>763</v>
      </c>
      <c r="M34" s="251"/>
      <c r="N34" s="244" t="s">
        <v>1964</v>
      </c>
      <c r="O34" s="251" t="str">
        <f>IFERROR(VLOOKUP(BDD[[#This Row],[SUBDPTO]],TABLAS!$B$4:$D$36,3,0)," ")</f>
        <v>EMMA DARIELA GARCÍA LORCA</v>
      </c>
      <c r="P34" s="258"/>
      <c r="Q34" s="264"/>
      <c r="R34" s="244"/>
      <c r="S34" s="251"/>
      <c r="T34" s="251" t="s">
        <v>301</v>
      </c>
      <c r="U34" s="243">
        <f ca="1">VLOOKUP(BDD[[#This Row],[ANTIG]],DIASXANT18[#All],2)</f>
        <v>10</v>
      </c>
      <c r="V34" s="256">
        <f t="shared" si="0"/>
        <v>0.5</v>
      </c>
      <c r="W34" s="243">
        <f ca="1">BDD[[#This Row],[D.VAC.]]*BDD[[#This Row],[% P.V.]]</f>
        <v>5</v>
      </c>
      <c r="X34" s="243">
        <v>30</v>
      </c>
      <c r="Y34" s="257">
        <f ca="1">(365+BDD[[#This Row],[D.PAG.V.]]+BDD[[#This Row],[D.AG.]])/365</f>
        <v>1.095890410958904</v>
      </c>
      <c r="Z34" s="243">
        <f ca="1">BDD[[#This Row],[SUE DIA]]*BDD[[#This Row],[FACTOR SDI]]</f>
        <v>271.96347031963467</v>
      </c>
      <c r="AA34" s="243">
        <f>BDD[[#This Row],[SUE DIA]]/9</f>
        <v>27.574074074074073</v>
      </c>
      <c r="AB34" s="251">
        <v>30813</v>
      </c>
      <c r="AC34" s="251" t="s">
        <v>892</v>
      </c>
      <c r="AD34" s="251" t="s">
        <v>786</v>
      </c>
      <c r="AE34" s="252">
        <v>8231873555</v>
      </c>
      <c r="AF34" s="251" t="s">
        <v>1102</v>
      </c>
      <c r="AG34" s="251" t="s">
        <v>773</v>
      </c>
      <c r="AH34" s="251" t="s">
        <v>726</v>
      </c>
      <c r="AI34" s="243" t="s">
        <v>151</v>
      </c>
      <c r="AJ34" s="258" cm="1">
        <f t="array" aca="1" ref="AJ34" ca="1">DATE(YEAR(FECH.CONS[FECHA DE CONSULTA:]),MONTH(BDD[[#This Row],[FECHA NAC]]),DAY(BDD[[#This Row],[FECHA NAC]]))</f>
        <v>44692</v>
      </c>
      <c r="AK34" s="243"/>
      <c r="AL34" s="261" t="s">
        <v>311</v>
      </c>
      <c r="AM34" s="251" t="s">
        <v>1544</v>
      </c>
      <c r="AN34" s="251" t="s">
        <v>1551</v>
      </c>
      <c r="AO34" s="245">
        <v>87</v>
      </c>
      <c r="AP34" s="251">
        <f ca="1">INT((TODAY()-BDD[[#This Row],[FECHA NAC]])/365)</f>
        <v>38</v>
      </c>
      <c r="AQ34" s="251">
        <v>0</v>
      </c>
      <c r="AR34" s="251">
        <f ca="1">IF(BDD[[#This Row],[ANTIG]]=0,0,1)</f>
        <v>1</v>
      </c>
      <c r="AS34" s="251"/>
      <c r="AT34" s="251"/>
      <c r="AU34" s="251"/>
      <c r="AV34" s="251"/>
      <c r="AW34" s="251"/>
      <c r="AX34" s="251"/>
      <c r="AY34" s="251"/>
      <c r="AZ34" s="251">
        <f t="shared" ca="1" si="1"/>
        <v>339</v>
      </c>
    </row>
    <row r="35" spans="1:52" ht="15" customHeight="1" x14ac:dyDescent="0.25">
      <c r="B35" s="243">
        <v>128</v>
      </c>
      <c r="C35" s="251" t="s">
        <v>92</v>
      </c>
      <c r="D35" s="252">
        <v>7950</v>
      </c>
      <c r="E35" s="252">
        <f>(BDD[[#This Row],[SUE MENS]]/30)</f>
        <v>265</v>
      </c>
      <c r="F35" s="252">
        <f>BDD[[#This Row],[SUE MENS]]/2</f>
        <v>3975</v>
      </c>
      <c r="G35" s="315">
        <v>43212</v>
      </c>
      <c r="H35" s="243">
        <f ca="1">INT(_xlfn.DAYS(TODAY(),BDD[[#This Row],[FECHA ING.]])/365)</f>
        <v>4</v>
      </c>
      <c r="I35" s="251" t="str">
        <f>VLOOKUP(J35,TABLAS!$B$3:$G$49,2,FALSE)</f>
        <v>AUDITORÍA</v>
      </c>
      <c r="J35" s="198" t="s">
        <v>736</v>
      </c>
      <c r="K35" s="251" t="s">
        <v>778</v>
      </c>
      <c r="L35" s="251" t="s">
        <v>763</v>
      </c>
      <c r="M35" s="251"/>
      <c r="N35" s="244" t="s">
        <v>2160</v>
      </c>
      <c r="O35" s="251" t="str">
        <f>IFERROR(VLOOKUP(BDD[[#This Row],[SUBDPTO]],TABLAS!$B$4:$D$36,3,0)," ")</f>
        <v>MARCO AURELIO URBINO</v>
      </c>
      <c r="P35" s="258">
        <v>43773</v>
      </c>
      <c r="Q35" s="254">
        <v>5956</v>
      </c>
      <c r="R35" s="255" t="s">
        <v>757</v>
      </c>
      <c r="S35" s="251"/>
      <c r="T35" s="251" t="s">
        <v>811</v>
      </c>
      <c r="U35" s="243">
        <f ca="1">VLOOKUP(BDD[[#This Row],[ANTIG]],DIASXANT18[#All],2)</f>
        <v>14</v>
      </c>
      <c r="V35" s="256">
        <f t="shared" si="0"/>
        <v>0.5</v>
      </c>
      <c r="W35" s="243">
        <f ca="1">BDD[[#This Row],[D.VAC.]]*BDD[[#This Row],[% P.V.]]</f>
        <v>7</v>
      </c>
      <c r="X35" s="243">
        <v>30</v>
      </c>
      <c r="Y35" s="257">
        <f ca="1">(365+BDD[[#This Row],[D.PAG.V.]]+BDD[[#This Row],[D.AG.]])/365</f>
        <v>1.1013698630136985</v>
      </c>
      <c r="Z35" s="243">
        <f ca="1">BDD[[#This Row],[SUE DIA]]*BDD[[#This Row],[FACTOR SDI]]</f>
        <v>291.86301369863014</v>
      </c>
      <c r="AA35" s="243">
        <f>BDD[[#This Row],[SUE DIA]]/9</f>
        <v>29.444444444444443</v>
      </c>
      <c r="AB35" s="251">
        <v>33254</v>
      </c>
      <c r="AC35" s="251" t="s">
        <v>893</v>
      </c>
      <c r="AD35" s="251" t="s">
        <v>787</v>
      </c>
      <c r="AE35" s="252">
        <v>6549876548</v>
      </c>
      <c r="AF35" s="251" t="s">
        <v>1103</v>
      </c>
      <c r="AG35" s="251" t="s">
        <v>776</v>
      </c>
      <c r="AH35" s="251" t="s">
        <v>730</v>
      </c>
      <c r="AI35" s="243" t="s">
        <v>151</v>
      </c>
      <c r="AJ35" s="258" cm="1">
        <f t="array" aca="1" ref="AJ35" ca="1">DATE(YEAR(FECH.CONS[FECHA DE CONSULTA:]),MONTH(BDD[[#This Row],[FECHA NAC]]),DAY(BDD[[#This Row],[FECHA NAC]]))</f>
        <v>44577</v>
      </c>
      <c r="AK35" s="243">
        <v>4</v>
      </c>
      <c r="AL35" s="251" t="s">
        <v>322</v>
      </c>
      <c r="AM35" s="251" t="s">
        <v>1534</v>
      </c>
      <c r="AN35" s="251" t="s">
        <v>1551</v>
      </c>
      <c r="AO35" s="245">
        <v>70</v>
      </c>
      <c r="AP35" s="251">
        <f ca="1">INT((TODAY()-BDD[[#This Row],[FECHA NAC]])/365)</f>
        <v>31</v>
      </c>
      <c r="AQ35" s="251">
        <v>0</v>
      </c>
      <c r="AR35" s="251">
        <f ca="1">IF(BDD[[#This Row],[ANTIG]]=0,0,1)</f>
        <v>1</v>
      </c>
      <c r="AS35" s="251"/>
      <c r="AT35" s="251"/>
      <c r="AU35" s="251"/>
      <c r="AV35" s="251"/>
      <c r="AW35" s="251"/>
      <c r="AX35" s="251"/>
      <c r="AY35" s="251"/>
      <c r="AZ35" s="251">
        <f t="shared" ca="1" si="1"/>
        <v>813</v>
      </c>
    </row>
    <row r="36" spans="1:52" ht="15" customHeight="1" x14ac:dyDescent="0.25">
      <c r="B36" s="243">
        <v>130</v>
      </c>
      <c r="C36" s="251" t="s">
        <v>94</v>
      </c>
      <c r="D36" s="252">
        <v>10860</v>
      </c>
      <c r="E36" s="252">
        <f>(BDD[[#This Row],[SUE MENS]]/30)</f>
        <v>362</v>
      </c>
      <c r="F36" s="252">
        <f>BDD[[#This Row],[SUE MENS]]/2</f>
        <v>5430</v>
      </c>
      <c r="G36" s="315">
        <v>42024</v>
      </c>
      <c r="H36" s="243">
        <f ca="1">INT(_xlfn.DAYS(TODAY(),BDD[[#This Row],[FECHA ING.]])/365)</f>
        <v>7</v>
      </c>
      <c r="I36" s="251" t="str">
        <f>VLOOKUP(J36,TABLAS!$B$3:$G$49,2,FALSE)</f>
        <v>AUDITORÍA</v>
      </c>
      <c r="J36" s="198" t="s">
        <v>736</v>
      </c>
      <c r="K36" s="251" t="s">
        <v>778</v>
      </c>
      <c r="L36" s="251" t="s">
        <v>763</v>
      </c>
      <c r="M36" s="251"/>
      <c r="N36" s="244" t="s">
        <v>2204</v>
      </c>
      <c r="O36" s="251" t="str">
        <f>IFERROR(VLOOKUP(BDD[[#This Row],[SUBDPTO]],TABLAS!$B$4:$D$36,3,0)," ")</f>
        <v>MARCO AURELIO URBINO</v>
      </c>
      <c r="P36" s="258">
        <f>BDD[[#This Row],[FECHA ING.]]+1500</f>
        <v>43524</v>
      </c>
      <c r="Q36" s="254">
        <v>8800</v>
      </c>
      <c r="R36" s="251" t="s">
        <v>736</v>
      </c>
      <c r="S36" s="251"/>
      <c r="T36" s="251" t="s">
        <v>811</v>
      </c>
      <c r="U36" s="243">
        <f ca="1">VLOOKUP(BDD[[#This Row],[ANTIG]],DIASXANT18[#All],2)</f>
        <v>16</v>
      </c>
      <c r="V36" s="256">
        <f t="shared" si="0"/>
        <v>0.5</v>
      </c>
      <c r="W36" s="243">
        <f ca="1">BDD[[#This Row],[D.VAC.]]*BDD[[#This Row],[% P.V.]]</f>
        <v>8</v>
      </c>
      <c r="X36" s="243">
        <v>30</v>
      </c>
      <c r="Y36" s="257">
        <f ca="1">(365+BDD[[#This Row],[D.PAG.V.]]+BDD[[#This Row],[D.AG.]])/365</f>
        <v>1.1041095890410959</v>
      </c>
      <c r="Z36" s="243">
        <f ca="1">BDD[[#This Row],[SUE DIA]]*BDD[[#This Row],[FACTOR SDI]]</f>
        <v>399.68767123287671</v>
      </c>
      <c r="AA36" s="243">
        <f>BDD[[#This Row],[SUE DIA]]/9</f>
        <v>40.222222222222221</v>
      </c>
      <c r="AB36" s="251">
        <v>35242</v>
      </c>
      <c r="AC36" s="251" t="s">
        <v>894</v>
      </c>
      <c r="AD36" s="251" t="s">
        <v>787</v>
      </c>
      <c r="AE36" s="252">
        <v>8273191961</v>
      </c>
      <c r="AF36" s="251" t="s">
        <v>1104</v>
      </c>
      <c r="AG36" s="251" t="s">
        <v>777</v>
      </c>
      <c r="AH36" s="251" t="s">
        <v>730</v>
      </c>
      <c r="AI36" s="243" t="s">
        <v>151</v>
      </c>
      <c r="AJ36" s="258" cm="1">
        <f t="array" aca="1" ref="AJ36" ca="1">DATE(YEAR(FECH.CONS[FECHA DE CONSULTA:]),MONTH(BDD[[#This Row],[FECHA NAC]]),DAY(BDD[[#This Row],[FECHA NAC]]))</f>
        <v>44738</v>
      </c>
      <c r="AK36" s="243">
        <v>8</v>
      </c>
      <c r="AL36" s="251" t="s">
        <v>311</v>
      </c>
      <c r="AM36" s="251" t="s">
        <v>1537</v>
      </c>
      <c r="AN36" s="251" t="s">
        <v>1551</v>
      </c>
      <c r="AO36" s="245">
        <v>71</v>
      </c>
      <c r="AP36" s="251">
        <f ca="1">INT((TODAY()-BDD[[#This Row],[FECHA NAC]])/365)</f>
        <v>26</v>
      </c>
      <c r="AQ36" s="251">
        <v>2</v>
      </c>
      <c r="AR36" s="251">
        <f ca="1">IF(BDD[[#This Row],[ANTIG]]=0,0,1)</f>
        <v>1</v>
      </c>
      <c r="AS36" s="251"/>
      <c r="AT36" s="251"/>
      <c r="AU36" s="251"/>
      <c r="AV36" s="251"/>
      <c r="AW36" s="251"/>
      <c r="AX36" s="251"/>
      <c r="AY36" s="251"/>
      <c r="AZ36" s="251">
        <f t="shared" ca="1" si="1"/>
        <v>807</v>
      </c>
    </row>
    <row r="37" spans="1:52" ht="15" customHeight="1" x14ac:dyDescent="0.25">
      <c r="B37" s="243">
        <v>131</v>
      </c>
      <c r="C37" s="251" t="s">
        <v>98</v>
      </c>
      <c r="D37" s="252">
        <v>9450</v>
      </c>
      <c r="E37" s="252">
        <f>(BDD[[#This Row],[SUE MENS]]/30)</f>
        <v>315</v>
      </c>
      <c r="F37" s="252">
        <f>BDD[[#This Row],[SUE MENS]]/2</f>
        <v>4725</v>
      </c>
      <c r="G37" s="315">
        <v>42417</v>
      </c>
      <c r="H37" s="243">
        <f ca="1">INT(_xlfn.DAYS(TODAY(),BDD[[#This Row],[FECHA ING.]])/365)</f>
        <v>6</v>
      </c>
      <c r="I37" s="251" t="str">
        <f>VLOOKUP(J37,TABLAS!$B$3:$G$49,2,FALSE)</f>
        <v>DIV INGENRIA</v>
      </c>
      <c r="J37" s="198" t="s">
        <v>744</v>
      </c>
      <c r="K37" s="251" t="s">
        <v>778</v>
      </c>
      <c r="L37" s="251" t="s">
        <v>763</v>
      </c>
      <c r="M37" s="251"/>
      <c r="N37" s="244" t="s">
        <v>2215</v>
      </c>
      <c r="O37" s="251" t="str">
        <f>IFERROR(VLOOKUP(BDD[[#This Row],[SUBDPTO]],TABLAS!$B$4:$D$36,3,0)," ")</f>
        <v>DIEGO HERRERA GIRÓN</v>
      </c>
      <c r="P37" s="258">
        <f>BDD[[#This Row],[FECHA ING.]]+700</f>
        <v>43117</v>
      </c>
      <c r="Q37" s="254">
        <v>5211.5</v>
      </c>
      <c r="R37" s="251" t="s">
        <v>283</v>
      </c>
      <c r="S37" s="251"/>
      <c r="T37" s="251" t="s">
        <v>811</v>
      </c>
      <c r="U37" s="243">
        <f ca="1">VLOOKUP(BDD[[#This Row],[ANTIG]],DIASXANT18[#All],2)</f>
        <v>16</v>
      </c>
      <c r="V37" s="256">
        <f t="shared" si="0"/>
        <v>0.5</v>
      </c>
      <c r="W37" s="243">
        <f ca="1">BDD[[#This Row],[D.VAC.]]*BDD[[#This Row],[% P.V.]]</f>
        <v>8</v>
      </c>
      <c r="X37" s="243">
        <v>30</v>
      </c>
      <c r="Y37" s="257">
        <f ca="1">(365+BDD[[#This Row],[D.PAG.V.]]+BDD[[#This Row],[D.AG.]])/365</f>
        <v>1.1041095890410959</v>
      </c>
      <c r="Z37" s="243">
        <f ca="1">BDD[[#This Row],[SUE DIA]]*BDD[[#This Row],[FACTOR SDI]]</f>
        <v>347.79452054794518</v>
      </c>
      <c r="AA37" s="243">
        <f>BDD[[#This Row],[SUE DIA]]/9</f>
        <v>35</v>
      </c>
      <c r="AB37" s="251">
        <v>33115</v>
      </c>
      <c r="AC37" s="251" t="s">
        <v>895</v>
      </c>
      <c r="AD37" s="251" t="s">
        <v>789</v>
      </c>
      <c r="AE37" s="252">
        <v>8934301677</v>
      </c>
      <c r="AF37" s="251" t="s">
        <v>1105</v>
      </c>
      <c r="AG37" s="251" t="s">
        <v>776</v>
      </c>
      <c r="AH37" s="251" t="s">
        <v>730</v>
      </c>
      <c r="AI37" s="243" t="s">
        <v>152</v>
      </c>
      <c r="AJ37" s="258" cm="1">
        <f t="array" aca="1" ref="AJ37" ca="1">DATE(YEAR(FECH.CONS[FECHA DE CONSULTA:]),MONTH(BDD[[#This Row],[FECHA NAC]]),DAY(BDD[[#This Row],[FECHA NAC]]))</f>
        <v>44803</v>
      </c>
      <c r="AK37" s="243">
        <v>6</v>
      </c>
      <c r="AL37" s="251" t="s">
        <v>311</v>
      </c>
      <c r="AM37" s="251" t="s">
        <v>1538</v>
      </c>
      <c r="AN37" s="251" t="s">
        <v>1551</v>
      </c>
      <c r="AO37" s="245">
        <v>67</v>
      </c>
      <c r="AP37" s="251">
        <f ca="1">INT((TODAY()-BDD[[#This Row],[FECHA NAC]])/365)</f>
        <v>31</v>
      </c>
      <c r="AQ37" s="251">
        <v>3</v>
      </c>
      <c r="AR37" s="251">
        <f ca="1">IF(BDD[[#This Row],[ANTIG]]=0,0,1)</f>
        <v>1</v>
      </c>
      <c r="AS37" s="251"/>
      <c r="AT37" s="251"/>
      <c r="AU37" s="251"/>
      <c r="AV37" s="251"/>
      <c r="AW37" s="251"/>
      <c r="AX37" s="251"/>
      <c r="AY37" s="251"/>
      <c r="AZ37" s="251">
        <f t="shared" ca="1" si="1"/>
        <v>916</v>
      </c>
    </row>
    <row r="38" spans="1:52" s="273" customFormat="1" ht="15" customHeight="1" x14ac:dyDescent="0.25">
      <c r="A38" s="272"/>
      <c r="B38" s="243">
        <v>132</v>
      </c>
      <c r="C38" s="251" t="s">
        <v>97</v>
      </c>
      <c r="D38" s="252">
        <v>10860</v>
      </c>
      <c r="E38" s="252">
        <f>(BDD[[#This Row],[SUE MENS]]/30)</f>
        <v>362</v>
      </c>
      <c r="F38" s="252">
        <f>BDD[[#This Row],[SUE MENS]]/2</f>
        <v>5430</v>
      </c>
      <c r="G38" s="315">
        <v>39974</v>
      </c>
      <c r="H38" s="243">
        <f ca="1">INT(_xlfn.DAYS(TODAY(),BDD[[#This Row],[FECHA ING.]])/365)</f>
        <v>13</v>
      </c>
      <c r="I38" s="251" t="str">
        <f>VLOOKUP(J38,TABLAS!$B$3:$G$49,2,FALSE)</f>
        <v>DIV INGENRIA</v>
      </c>
      <c r="J38" s="198" t="s">
        <v>756</v>
      </c>
      <c r="K38" s="251" t="s">
        <v>778</v>
      </c>
      <c r="L38" s="251" t="s">
        <v>763</v>
      </c>
      <c r="M38" s="251"/>
      <c r="N38" s="244" t="s">
        <v>2009</v>
      </c>
      <c r="O38" s="251" t="str">
        <f>IFERROR(VLOOKUP(BDD[[#This Row],[SUBDPTO]],TABLAS!$B$4:$D$36,3,0)," ")</f>
        <v>DIEGO HERRERA GIRÓN</v>
      </c>
      <c r="P38" s="258">
        <v>42197</v>
      </c>
      <c r="Q38" s="254">
        <v>9500</v>
      </c>
      <c r="R38" s="244" t="s">
        <v>767</v>
      </c>
      <c r="S38" s="251"/>
      <c r="T38" s="251" t="s">
        <v>811</v>
      </c>
      <c r="U38" s="243">
        <f ca="1">VLOOKUP(BDD[[#This Row],[ANTIG]],DIASXANT18[#All],2)</f>
        <v>20</v>
      </c>
      <c r="V38" s="256">
        <f t="shared" si="0"/>
        <v>0.5</v>
      </c>
      <c r="W38" s="243">
        <f ca="1">BDD[[#This Row],[D.VAC.]]*BDD[[#This Row],[% P.V.]]</f>
        <v>10</v>
      </c>
      <c r="X38" s="243">
        <v>30</v>
      </c>
      <c r="Y38" s="257">
        <f ca="1">(365+BDD[[#This Row],[D.PAG.V.]]+BDD[[#This Row],[D.AG.]])/365</f>
        <v>1.1095890410958904</v>
      </c>
      <c r="Z38" s="243">
        <f ca="1">BDD[[#This Row],[SUE DIA]]*BDD[[#This Row],[FACTOR SDI]]</f>
        <v>401.67123287671234</v>
      </c>
      <c r="AA38" s="243">
        <f>BDD[[#This Row],[SUE DIA]]/9</f>
        <v>40.222222222222221</v>
      </c>
      <c r="AB38" s="251">
        <v>32503</v>
      </c>
      <c r="AC38" s="251" t="s">
        <v>896</v>
      </c>
      <c r="AD38" s="251" t="s">
        <v>790</v>
      </c>
      <c r="AE38" s="252">
        <v>8314408209</v>
      </c>
      <c r="AF38" s="251" t="s">
        <v>1106</v>
      </c>
      <c r="AG38" s="251" t="s">
        <v>776</v>
      </c>
      <c r="AH38" s="251" t="s">
        <v>1555</v>
      </c>
      <c r="AI38" s="243" t="s">
        <v>151</v>
      </c>
      <c r="AJ38" s="258" cm="1">
        <f t="array" aca="1" ref="AJ38" ca="1">DATE(YEAR(FECH.CONS[FECHA DE CONSULTA:]),MONTH(BDD[[#This Row],[FECHA NAC]]),DAY(BDD[[#This Row],[FECHA NAC]]))</f>
        <v>44921</v>
      </c>
      <c r="AK38" s="243"/>
      <c r="AL38" s="261" t="s">
        <v>326</v>
      </c>
      <c r="AM38" s="251" t="s">
        <v>1538</v>
      </c>
      <c r="AN38" s="251" t="s">
        <v>1551</v>
      </c>
      <c r="AO38" s="245">
        <v>37</v>
      </c>
      <c r="AP38" s="251">
        <f ca="1">INT((TODAY()-BDD[[#This Row],[FECHA NAC]])/365)</f>
        <v>33</v>
      </c>
      <c r="AQ38" s="251">
        <v>2</v>
      </c>
      <c r="AR38" s="251">
        <f ca="1">IF(BDD[[#This Row],[ANTIG]]=0,0,1)</f>
        <v>1</v>
      </c>
      <c r="AS38" s="251"/>
      <c r="AT38" s="251"/>
      <c r="AU38" s="251"/>
      <c r="AV38" s="251"/>
      <c r="AW38" s="251"/>
      <c r="AX38" s="251"/>
      <c r="AY38" s="251"/>
      <c r="AZ38" s="251">
        <f t="shared" ca="1" si="1"/>
        <v>113</v>
      </c>
    </row>
    <row r="39" spans="1:52" ht="15" customHeight="1" x14ac:dyDescent="0.25">
      <c r="A39" s="273"/>
      <c r="B39" s="243">
        <v>134</v>
      </c>
      <c r="C39" s="251" t="s">
        <v>101</v>
      </c>
      <c r="D39" s="252">
        <v>22200</v>
      </c>
      <c r="E39" s="252">
        <f>(BDD[[#This Row],[SUE MENS]]/30)</f>
        <v>740</v>
      </c>
      <c r="F39" s="252">
        <f>BDD[[#This Row],[SUE MENS]]/2</f>
        <v>11100</v>
      </c>
      <c r="G39" s="315">
        <v>42843</v>
      </c>
      <c r="H39" s="243">
        <f ca="1">INT(_xlfn.DAYS(TODAY(),BDD[[#This Row],[FECHA ING.]])/365)</f>
        <v>5</v>
      </c>
      <c r="I39" s="251" t="str">
        <f>VLOOKUP(J39,TABLAS!$B$3:$G$49,2,FALSE)</f>
        <v>FINANZAS</v>
      </c>
      <c r="J39" s="198" t="s">
        <v>747</v>
      </c>
      <c r="K39" s="244" t="s">
        <v>778</v>
      </c>
      <c r="L39" s="251" t="s">
        <v>763</v>
      </c>
      <c r="M39" s="251">
        <v>1034</v>
      </c>
      <c r="N39" s="253" t="s">
        <v>2025</v>
      </c>
      <c r="O39" s="251" t="str">
        <f>IFERROR(VLOOKUP(BDD[[#This Row],[SUBDPTO]],TABLAS!$B$4:$D$36,3,0)," ")</f>
        <v>MARIANO ALDEBARÁN</v>
      </c>
      <c r="P39" s="258">
        <v>43496</v>
      </c>
      <c r="Q39" s="254">
        <v>19032</v>
      </c>
      <c r="R39" s="255" t="s">
        <v>744</v>
      </c>
      <c r="S39" s="251"/>
      <c r="T39" s="251" t="s">
        <v>811</v>
      </c>
      <c r="U39" s="243">
        <f ca="1">VLOOKUP(BDD[[#This Row],[ANTIG]],DIASXANT18[#All],2)</f>
        <v>16</v>
      </c>
      <c r="V39" s="256">
        <f t="shared" si="0"/>
        <v>0.5</v>
      </c>
      <c r="W39" s="243">
        <f ca="1">BDD[[#This Row],[D.VAC.]]*BDD[[#This Row],[% P.V.]]</f>
        <v>8</v>
      </c>
      <c r="X39" s="243">
        <v>30</v>
      </c>
      <c r="Y39" s="257">
        <f ca="1">(365+BDD[[#This Row],[D.PAG.V.]]+BDD[[#This Row],[D.AG.]])/365</f>
        <v>1.1041095890410959</v>
      </c>
      <c r="Z39" s="243">
        <f ca="1">BDD[[#This Row],[SUE DIA]]*BDD[[#This Row],[FACTOR SDI]]</f>
        <v>817.04109589041093</v>
      </c>
      <c r="AA39" s="243">
        <f>BDD[[#This Row],[SUE DIA]]/9</f>
        <v>82.222222222222229</v>
      </c>
      <c r="AB39" s="251">
        <v>31013</v>
      </c>
      <c r="AC39" s="251" t="s">
        <v>897</v>
      </c>
      <c r="AD39" s="251" t="s">
        <v>787</v>
      </c>
      <c r="AE39" s="252">
        <v>8895275802</v>
      </c>
      <c r="AF39" s="251" t="s">
        <v>1107</v>
      </c>
      <c r="AG39" s="251" t="s">
        <v>774</v>
      </c>
      <c r="AH39" s="251" t="s">
        <v>1555</v>
      </c>
      <c r="AI39" s="243" t="s">
        <v>152</v>
      </c>
      <c r="AJ39" s="258" cm="1">
        <f t="array" aca="1" ref="AJ39" ca="1">DATE(YEAR(FECH.CONS[FECHA DE CONSULTA:]),MONTH(BDD[[#This Row],[FECHA NAC]]),DAY(BDD[[#This Row],[FECHA NAC]]))</f>
        <v>44892</v>
      </c>
      <c r="AK39" s="243"/>
      <c r="AL39" s="261" t="s">
        <v>312</v>
      </c>
      <c r="AM39" s="251" t="s">
        <v>1545</v>
      </c>
      <c r="AN39" s="251" t="s">
        <v>1551</v>
      </c>
      <c r="AO39" s="245">
        <v>92</v>
      </c>
      <c r="AP39" s="251">
        <f ca="1">INT((TODAY()-BDD[[#This Row],[FECHA NAC]])/365)</f>
        <v>37</v>
      </c>
      <c r="AQ39" s="251">
        <v>0</v>
      </c>
      <c r="AR39" s="251">
        <f ca="1">IF(BDD[[#This Row],[ANTIG]]=0,0,1)</f>
        <v>1</v>
      </c>
      <c r="AS39" s="251"/>
      <c r="AT39" s="251"/>
      <c r="AU39" s="251"/>
      <c r="AV39" s="251"/>
      <c r="AW39" s="251"/>
      <c r="AX39" s="251"/>
      <c r="AY39" s="251"/>
      <c r="AZ39" s="251">
        <f t="shared" ca="1" si="1"/>
        <v>382</v>
      </c>
    </row>
    <row r="40" spans="1:52" ht="15" customHeight="1" x14ac:dyDescent="0.25">
      <c r="B40" s="243">
        <v>135</v>
      </c>
      <c r="C40" s="251" t="s">
        <v>99</v>
      </c>
      <c r="D40" s="252">
        <v>9541</v>
      </c>
      <c r="E40" s="252">
        <f>(BDD[[#This Row],[SUE MENS]]/30)</f>
        <v>318.03333333333336</v>
      </c>
      <c r="F40" s="252">
        <f>BDD[[#This Row],[SUE MENS]]/2</f>
        <v>4770.5</v>
      </c>
      <c r="G40" s="315">
        <v>41396</v>
      </c>
      <c r="H40" s="243">
        <f ca="1">INT(_xlfn.DAYS(TODAY(),BDD[[#This Row],[FECHA ING.]])/365)</f>
        <v>9</v>
      </c>
      <c r="I40" s="251" t="str">
        <f>VLOOKUP(J40,TABLAS!$B$3:$G$49,2,FALSE)</f>
        <v>DIV INGENRIA</v>
      </c>
      <c r="J40" s="198" t="s">
        <v>743</v>
      </c>
      <c r="K40" s="251" t="s">
        <v>778</v>
      </c>
      <c r="L40" s="251" t="s">
        <v>763</v>
      </c>
      <c r="M40" s="251"/>
      <c r="N40" s="244" t="s">
        <v>2139</v>
      </c>
      <c r="O40" s="251" t="str">
        <f>IFERROR(VLOOKUP(BDD[[#This Row],[SUBDPTO]],TABLAS!$B$4:$D$36,3,0)," ")</f>
        <v>DIEGO HERRERA GIRÓN</v>
      </c>
      <c r="P40" s="258">
        <v>42856</v>
      </c>
      <c r="Q40" s="254">
        <v>6158.4000000000005</v>
      </c>
      <c r="R40" s="255" t="s">
        <v>758</v>
      </c>
      <c r="S40" s="255" t="s">
        <v>740</v>
      </c>
      <c r="T40" s="251" t="s">
        <v>811</v>
      </c>
      <c r="U40" s="243">
        <f ca="1">VLOOKUP(BDD[[#This Row],[ANTIG]],DIASXANT18[#All],2)</f>
        <v>16</v>
      </c>
      <c r="V40" s="256">
        <f t="shared" si="0"/>
        <v>0.5</v>
      </c>
      <c r="W40" s="243">
        <f ca="1">BDD[[#This Row],[D.VAC.]]*BDD[[#This Row],[% P.V.]]</f>
        <v>8</v>
      </c>
      <c r="X40" s="243">
        <v>30</v>
      </c>
      <c r="Y40" s="257">
        <f ca="1">(365+BDD[[#This Row],[D.PAG.V.]]+BDD[[#This Row],[D.AG.]])/365</f>
        <v>1.1041095890410959</v>
      </c>
      <c r="Z40" s="243">
        <f ca="1">BDD[[#This Row],[SUE DIA]]*BDD[[#This Row],[FACTOR SDI]]</f>
        <v>351.14365296803658</v>
      </c>
      <c r="AA40" s="243">
        <f>BDD[[#This Row],[SUE DIA]]/9</f>
        <v>35.337037037037042</v>
      </c>
      <c r="AB40" s="251">
        <v>31711</v>
      </c>
      <c r="AC40" s="251" t="s">
        <v>898</v>
      </c>
      <c r="AD40" s="251" t="s">
        <v>793</v>
      </c>
      <c r="AE40" s="252">
        <v>8554702858</v>
      </c>
      <c r="AF40" s="251" t="s">
        <v>1108</v>
      </c>
      <c r="AG40" s="251" t="s">
        <v>773</v>
      </c>
      <c r="AH40" s="251" t="s">
        <v>730</v>
      </c>
      <c r="AI40" s="243" t="s">
        <v>151</v>
      </c>
      <c r="AJ40" s="258" cm="1">
        <f t="array" aca="1" ref="AJ40" ca="1">DATE(YEAR(FECH.CONS[FECHA DE CONSULTA:]),MONTH(BDD[[#This Row],[FECHA NAC]]),DAY(BDD[[#This Row],[FECHA NAC]]))</f>
        <v>44860</v>
      </c>
      <c r="AK40" s="243">
        <v>9</v>
      </c>
      <c r="AL40" s="251" t="s">
        <v>311</v>
      </c>
      <c r="AM40" s="251" t="s">
        <v>1538</v>
      </c>
      <c r="AN40" s="251" t="s">
        <v>1551</v>
      </c>
      <c r="AO40" s="245">
        <v>48</v>
      </c>
      <c r="AP40" s="251">
        <f ca="1">INT((TODAY()-BDD[[#This Row],[FECHA NAC]])/365)</f>
        <v>35</v>
      </c>
      <c r="AQ40" s="251">
        <v>2</v>
      </c>
      <c r="AR40" s="251">
        <f ca="1">IF(BDD[[#This Row],[ANTIG]]=0,0,1)</f>
        <v>1</v>
      </c>
      <c r="AS40" s="251"/>
      <c r="AT40" s="251"/>
      <c r="AU40" s="251"/>
      <c r="AV40" s="251"/>
      <c r="AW40" s="251"/>
      <c r="AX40" s="251"/>
      <c r="AY40" s="251"/>
      <c r="AZ40" s="251">
        <f t="shared" ca="1" si="1"/>
        <v>227</v>
      </c>
    </row>
    <row r="41" spans="1:52" s="273" customFormat="1" ht="15" customHeight="1" x14ac:dyDescent="0.25">
      <c r="A41" s="272"/>
      <c r="B41" s="243">
        <v>137</v>
      </c>
      <c r="C41" s="251" t="s">
        <v>127</v>
      </c>
      <c r="D41" s="263">
        <v>7445</v>
      </c>
      <c r="E41" s="252">
        <f>(BDD[[#This Row],[SUE MENS]]/30)</f>
        <v>248.16666666666666</v>
      </c>
      <c r="F41" s="252">
        <f>BDD[[#This Row],[SUE MENS]]/2</f>
        <v>3722.5</v>
      </c>
      <c r="G41" s="315">
        <v>43998</v>
      </c>
      <c r="H41" s="243">
        <f ca="1">INT(_xlfn.DAYS(TODAY(),BDD[[#This Row],[FECHA ING.]])/365)</f>
        <v>2</v>
      </c>
      <c r="I41" s="251" t="str">
        <f>VLOOKUP(J41,TABLAS!$B$3:$G$49,2,FALSE)</f>
        <v>DIV INGENRIA</v>
      </c>
      <c r="J41" s="198" t="s">
        <v>743</v>
      </c>
      <c r="K41" s="251" t="s">
        <v>778</v>
      </c>
      <c r="L41" s="251" t="s">
        <v>763</v>
      </c>
      <c r="M41" s="251"/>
      <c r="N41" s="244" t="s">
        <v>2213</v>
      </c>
      <c r="O41" s="251" t="str">
        <f>IFERROR(VLOOKUP(BDD[[#This Row],[SUBDPTO]],TABLAS!$B$4:$D$36,3,0)," ")</f>
        <v>DIEGO HERRERA GIRÓN</v>
      </c>
      <c r="P41" s="258"/>
      <c r="Q41" s="264"/>
      <c r="R41" s="244"/>
      <c r="S41" s="251"/>
      <c r="T41" s="251" t="s">
        <v>811</v>
      </c>
      <c r="U41" s="243">
        <f ca="1">VLOOKUP(BDD[[#This Row],[ANTIG]],DIASXANT18[#All],2)</f>
        <v>10</v>
      </c>
      <c r="V41" s="256">
        <f t="shared" ref="V41:V72" si="2">100/200</f>
        <v>0.5</v>
      </c>
      <c r="W41" s="243">
        <f ca="1">BDD[[#This Row],[D.VAC.]]*BDD[[#This Row],[% P.V.]]</f>
        <v>5</v>
      </c>
      <c r="X41" s="243">
        <v>30</v>
      </c>
      <c r="Y41" s="257">
        <f ca="1">(365+BDD[[#This Row],[D.PAG.V.]]+BDD[[#This Row],[D.AG.]])/365</f>
        <v>1.095890410958904</v>
      </c>
      <c r="Z41" s="243">
        <f ca="1">BDD[[#This Row],[SUE DIA]]*BDD[[#This Row],[FACTOR SDI]]</f>
        <v>271.96347031963467</v>
      </c>
      <c r="AA41" s="243">
        <f>BDD[[#This Row],[SUE DIA]]/9</f>
        <v>27.574074074074073</v>
      </c>
      <c r="AB41" s="251">
        <v>31263</v>
      </c>
      <c r="AC41" s="251" t="s">
        <v>899</v>
      </c>
      <c r="AD41" s="251" t="s">
        <v>809</v>
      </c>
      <c r="AE41" s="252">
        <v>8438496876</v>
      </c>
      <c r="AF41" s="251" t="s">
        <v>1109</v>
      </c>
      <c r="AG41" s="251" t="s">
        <v>776</v>
      </c>
      <c r="AH41" s="251" t="s">
        <v>730</v>
      </c>
      <c r="AI41" s="243" t="s">
        <v>151</v>
      </c>
      <c r="AJ41" s="258" cm="1">
        <f t="array" aca="1" ref="AJ41" ca="1">DATE(YEAR(FECH.CONS[FECHA DE CONSULTA:]),MONTH(BDD[[#This Row],[FECHA NAC]]),DAY(BDD[[#This Row],[FECHA NAC]]))</f>
        <v>44777</v>
      </c>
      <c r="AK41" s="243">
        <v>11</v>
      </c>
      <c r="AL41" s="251" t="s">
        <v>311</v>
      </c>
      <c r="AM41" s="251" t="s">
        <v>1546</v>
      </c>
      <c r="AN41" s="251" t="s">
        <v>1551</v>
      </c>
      <c r="AO41" s="245">
        <v>72</v>
      </c>
      <c r="AP41" s="251">
        <f ca="1">INT((TODAY()-BDD[[#This Row],[FECHA NAC]])/365)</f>
        <v>36</v>
      </c>
      <c r="AQ41" s="251">
        <v>3</v>
      </c>
      <c r="AR41" s="251">
        <f ca="1">IF(BDD[[#This Row],[ANTIG]]=0,0,1)</f>
        <v>1</v>
      </c>
      <c r="AS41" s="251"/>
      <c r="AT41" s="251"/>
      <c r="AU41" s="251"/>
      <c r="AV41" s="251"/>
      <c r="AW41" s="251"/>
      <c r="AX41" s="251"/>
      <c r="AY41" s="251"/>
      <c r="AZ41" s="251">
        <f t="shared" ca="1" si="1"/>
        <v>2</v>
      </c>
    </row>
    <row r="42" spans="1:52" ht="15" customHeight="1" x14ac:dyDescent="0.25">
      <c r="A42" s="273"/>
      <c r="B42" s="243">
        <v>138</v>
      </c>
      <c r="C42" s="251" t="s">
        <v>126</v>
      </c>
      <c r="D42" s="252">
        <v>9541</v>
      </c>
      <c r="E42" s="252">
        <f>(BDD[[#This Row],[SUE MENS]]/30)</f>
        <v>318.03333333333336</v>
      </c>
      <c r="F42" s="252">
        <f>BDD[[#This Row],[SUE MENS]]/2</f>
        <v>4770.5</v>
      </c>
      <c r="G42" s="315">
        <v>42286</v>
      </c>
      <c r="H42" s="243">
        <f ca="1">INT(_xlfn.DAYS(TODAY(),BDD[[#This Row],[FECHA ING.]])/365)</f>
        <v>6</v>
      </c>
      <c r="I42" s="251" t="str">
        <f>VLOOKUP(J42,TABLAS!$B$3:$G$49,2,FALSE)</f>
        <v>AUDITORÍA</v>
      </c>
      <c r="J42" s="198" t="s">
        <v>736</v>
      </c>
      <c r="K42" s="251" t="s">
        <v>778</v>
      </c>
      <c r="L42" s="251" t="s">
        <v>763</v>
      </c>
      <c r="M42" s="251"/>
      <c r="N42" s="244" t="s">
        <v>2211</v>
      </c>
      <c r="O42" s="251" t="str">
        <f>IFERROR(VLOOKUP(BDD[[#This Row],[SUBDPTO]],TABLAS!$B$4:$D$36,3,0)," ")</f>
        <v>MARCO AURELIO URBINO</v>
      </c>
      <c r="P42" s="258">
        <v>43016</v>
      </c>
      <c r="Q42" s="254">
        <v>5088</v>
      </c>
      <c r="R42" s="255" t="s">
        <v>756</v>
      </c>
      <c r="S42" s="251"/>
      <c r="T42" s="251" t="s">
        <v>811</v>
      </c>
      <c r="U42" s="243">
        <f ca="1">VLOOKUP(BDD[[#This Row],[ANTIG]],DIASXANT18[#All],2)</f>
        <v>16</v>
      </c>
      <c r="V42" s="256">
        <f t="shared" si="2"/>
        <v>0.5</v>
      </c>
      <c r="W42" s="243">
        <f ca="1">BDD[[#This Row],[D.VAC.]]*BDD[[#This Row],[% P.V.]]</f>
        <v>8</v>
      </c>
      <c r="X42" s="243">
        <v>30</v>
      </c>
      <c r="Y42" s="257">
        <f ca="1">(365+BDD[[#This Row],[D.PAG.V.]]+BDD[[#This Row],[D.AG.]])/365</f>
        <v>1.1041095890410959</v>
      </c>
      <c r="Z42" s="243">
        <f ca="1">BDD[[#This Row],[SUE DIA]]*BDD[[#This Row],[FACTOR SDI]]</f>
        <v>351.14365296803658</v>
      </c>
      <c r="AA42" s="243">
        <f>BDD[[#This Row],[SUE DIA]]/9</f>
        <v>35.337037037037042</v>
      </c>
      <c r="AB42" s="251">
        <v>35701</v>
      </c>
      <c r="AC42" s="251" t="s">
        <v>900</v>
      </c>
      <c r="AD42" s="251" t="s">
        <v>810</v>
      </c>
      <c r="AE42" s="252">
        <v>8301760494</v>
      </c>
      <c r="AF42" s="251" t="s">
        <v>1110</v>
      </c>
      <c r="AG42" s="251" t="s">
        <v>776</v>
      </c>
      <c r="AH42" s="251" t="s">
        <v>730</v>
      </c>
      <c r="AI42" s="243" t="s">
        <v>151</v>
      </c>
      <c r="AJ42" s="258" cm="1">
        <f t="array" aca="1" ref="AJ42" ca="1">DATE(YEAR(FECH.CONS[FECHA DE CONSULTA:]),MONTH(BDD[[#This Row],[FECHA NAC]]),DAY(BDD[[#This Row],[FECHA NAC]]))</f>
        <v>44832</v>
      </c>
      <c r="AK42" s="243">
        <v>8</v>
      </c>
      <c r="AL42" s="251" t="s">
        <v>311</v>
      </c>
      <c r="AM42" s="251" t="s">
        <v>1534</v>
      </c>
      <c r="AN42" s="251" t="s">
        <v>1551</v>
      </c>
      <c r="AO42" s="245">
        <v>44</v>
      </c>
      <c r="AP42" s="251">
        <f ca="1">INT((TODAY()-BDD[[#This Row],[FECHA NAC]])/365)</f>
        <v>24</v>
      </c>
      <c r="AQ42" s="251">
        <v>3</v>
      </c>
      <c r="AR42" s="251">
        <f ca="1">IF(BDD[[#This Row],[ANTIG]]=0,0,1)</f>
        <v>1</v>
      </c>
      <c r="AS42" s="251"/>
      <c r="AT42" s="251"/>
      <c r="AU42" s="251"/>
      <c r="AV42" s="251"/>
      <c r="AW42" s="251"/>
      <c r="AX42" s="251"/>
      <c r="AY42" s="251"/>
      <c r="AZ42" s="251">
        <f t="shared" ca="1" si="1"/>
        <v>676</v>
      </c>
    </row>
    <row r="43" spans="1:52" ht="15" customHeight="1" x14ac:dyDescent="0.25">
      <c r="B43" s="243">
        <v>139</v>
      </c>
      <c r="C43" s="251" t="s">
        <v>125</v>
      </c>
      <c r="D43" s="252">
        <v>9450</v>
      </c>
      <c r="E43" s="252">
        <f>(BDD[[#This Row],[SUE MENS]]/30)</f>
        <v>315</v>
      </c>
      <c r="F43" s="252">
        <f>BDD[[#This Row],[SUE MENS]]/2</f>
        <v>4725</v>
      </c>
      <c r="G43" s="315">
        <v>42600</v>
      </c>
      <c r="H43" s="243">
        <f ca="1">INT(_xlfn.DAYS(TODAY(),BDD[[#This Row],[FECHA ING.]])/365)</f>
        <v>5</v>
      </c>
      <c r="I43" s="251" t="str">
        <f>VLOOKUP(J43,TABLAS!$B$3:$G$49,2,FALSE)</f>
        <v>DIV INGENRIA</v>
      </c>
      <c r="J43" s="198" t="s">
        <v>743</v>
      </c>
      <c r="K43" s="251" t="s">
        <v>778</v>
      </c>
      <c r="L43" s="251" t="s">
        <v>763</v>
      </c>
      <c r="M43" s="251"/>
      <c r="N43" s="253" t="s">
        <v>2197</v>
      </c>
      <c r="O43" s="251" t="str">
        <f>IFERROR(VLOOKUP(BDD[[#This Row],[SUBDPTO]],TABLAS!$B$4:$D$36,3,0)," ")</f>
        <v>DIEGO HERRERA GIRÓN</v>
      </c>
      <c r="P43" s="258">
        <f>BDD[[#This Row],[FECHA ING.]]+1000</f>
        <v>43600</v>
      </c>
      <c r="Q43" s="254">
        <v>5211.5</v>
      </c>
      <c r="R43" s="251" t="s">
        <v>735</v>
      </c>
      <c r="S43" s="251"/>
      <c r="T43" s="251" t="s">
        <v>811</v>
      </c>
      <c r="U43" s="243">
        <f ca="1">VLOOKUP(BDD[[#This Row],[ANTIG]],DIASXANT18[#All],2)</f>
        <v>16</v>
      </c>
      <c r="V43" s="256">
        <f t="shared" si="2"/>
        <v>0.5</v>
      </c>
      <c r="W43" s="243">
        <f ca="1">BDD[[#This Row],[D.VAC.]]*BDD[[#This Row],[% P.V.]]</f>
        <v>8</v>
      </c>
      <c r="X43" s="243">
        <v>30</v>
      </c>
      <c r="Y43" s="257">
        <f ca="1">(365+BDD[[#This Row],[D.PAG.V.]]+BDD[[#This Row],[D.AG.]])/365</f>
        <v>1.1041095890410959</v>
      </c>
      <c r="Z43" s="243">
        <f ca="1">BDD[[#This Row],[SUE DIA]]*BDD[[#This Row],[FACTOR SDI]]</f>
        <v>347.79452054794518</v>
      </c>
      <c r="AA43" s="243">
        <f>BDD[[#This Row],[SUE DIA]]/9</f>
        <v>35</v>
      </c>
      <c r="AB43" s="251">
        <v>32570</v>
      </c>
      <c r="AC43" s="251" t="s">
        <v>901</v>
      </c>
      <c r="AD43" s="251" t="s">
        <v>790</v>
      </c>
      <c r="AE43" s="252">
        <v>8578956423</v>
      </c>
      <c r="AF43" s="251" t="s">
        <v>1111</v>
      </c>
      <c r="AG43" s="251" t="s">
        <v>776</v>
      </c>
      <c r="AH43" s="251" t="s">
        <v>730</v>
      </c>
      <c r="AI43" s="243" t="s">
        <v>151</v>
      </c>
      <c r="AJ43" s="258" cm="1">
        <f t="array" aca="1" ref="AJ43" ca="1">DATE(YEAR(FECH.CONS[FECHA DE CONSULTA:]),MONTH(BDD[[#This Row],[FECHA NAC]]),DAY(BDD[[#This Row],[FECHA NAC]]))</f>
        <v>44623</v>
      </c>
      <c r="AK43" s="243">
        <v>8</v>
      </c>
      <c r="AL43" s="251" t="s">
        <v>311</v>
      </c>
      <c r="AM43" s="251" t="s">
        <v>1538</v>
      </c>
      <c r="AN43" s="251" t="s">
        <v>1551</v>
      </c>
      <c r="AO43" s="245">
        <v>83</v>
      </c>
      <c r="AP43" s="251">
        <f ca="1">INT((TODAY()-BDD[[#This Row],[FECHA NAC]])/365)</f>
        <v>33</v>
      </c>
      <c r="AQ43" s="251">
        <v>0</v>
      </c>
      <c r="AR43" s="251">
        <f ca="1">IF(BDD[[#This Row],[ANTIG]]=0,0,1)</f>
        <v>1</v>
      </c>
      <c r="AS43" s="251"/>
      <c r="AT43" s="251"/>
      <c r="AU43" s="251"/>
      <c r="AV43" s="251"/>
      <c r="AW43" s="251"/>
      <c r="AX43" s="251"/>
      <c r="AY43" s="251"/>
      <c r="AZ43" s="251">
        <f t="shared" ca="1" si="1"/>
        <v>405</v>
      </c>
    </row>
    <row r="44" spans="1:52" ht="15" customHeight="1" x14ac:dyDescent="0.25">
      <c r="B44" s="243">
        <v>140</v>
      </c>
      <c r="C44" s="251" t="s">
        <v>440</v>
      </c>
      <c r="D44" s="263">
        <v>7445</v>
      </c>
      <c r="E44" s="252">
        <f>(BDD[[#This Row],[SUE MENS]]/30)</f>
        <v>248.16666666666666</v>
      </c>
      <c r="F44" s="252">
        <f>BDD[[#This Row],[SUE MENS]]/2</f>
        <v>3722.5</v>
      </c>
      <c r="G44" s="315">
        <v>43282</v>
      </c>
      <c r="H44" s="243">
        <f ca="1">INT(_xlfn.DAYS(TODAY(),BDD[[#This Row],[FECHA ING.]])/365)</f>
        <v>4</v>
      </c>
      <c r="I44" s="251" t="str">
        <f>VLOOKUP(J44,TABLAS!$B$3:$G$49,2,FALSE)</f>
        <v>AUDITORÍA</v>
      </c>
      <c r="J44" s="198" t="s">
        <v>736</v>
      </c>
      <c r="K44" s="251" t="s">
        <v>778</v>
      </c>
      <c r="L44" s="251" t="s">
        <v>763</v>
      </c>
      <c r="M44" s="251"/>
      <c r="N44" s="244" t="s">
        <v>2113</v>
      </c>
      <c r="O44" s="251" t="str">
        <f>IFERROR(VLOOKUP(BDD[[#This Row],[SUBDPTO]],TABLAS!$B$4:$D$36,3,0)," ")</f>
        <v>MARCO AURELIO URBINO</v>
      </c>
      <c r="P44" s="258">
        <v>44042</v>
      </c>
      <c r="Q44" s="254">
        <v>4384</v>
      </c>
      <c r="R44" s="255" t="s">
        <v>736</v>
      </c>
      <c r="S44" s="251"/>
      <c r="T44" s="251" t="s">
        <v>811</v>
      </c>
      <c r="U44" s="243">
        <f ca="1">VLOOKUP(BDD[[#This Row],[ANTIG]],DIASXANT18[#All],2)</f>
        <v>14</v>
      </c>
      <c r="V44" s="256">
        <f t="shared" si="2"/>
        <v>0.5</v>
      </c>
      <c r="W44" s="243">
        <f ca="1">BDD[[#This Row],[D.VAC.]]*BDD[[#This Row],[% P.V.]]</f>
        <v>7</v>
      </c>
      <c r="X44" s="243">
        <v>30</v>
      </c>
      <c r="Y44" s="257">
        <f ca="1">(365+BDD[[#This Row],[D.PAG.V.]]+BDD[[#This Row],[D.AG.]])/365</f>
        <v>1.1013698630136985</v>
      </c>
      <c r="Z44" s="243">
        <f ca="1">BDD[[#This Row],[SUE DIA]]*BDD[[#This Row],[FACTOR SDI]]</f>
        <v>273.32328767123283</v>
      </c>
      <c r="AA44" s="243">
        <f>BDD[[#This Row],[SUE DIA]]/9</f>
        <v>27.574074074074073</v>
      </c>
      <c r="AB44" s="251">
        <v>29698</v>
      </c>
      <c r="AC44" s="251" t="s">
        <v>902</v>
      </c>
      <c r="AD44" s="251" t="s">
        <v>789</v>
      </c>
      <c r="AE44" s="252">
        <v>8237794913</v>
      </c>
      <c r="AF44" s="251" t="s">
        <v>1112</v>
      </c>
      <c r="AG44" s="251" t="s">
        <v>774</v>
      </c>
      <c r="AH44" s="251" t="s">
        <v>730</v>
      </c>
      <c r="AI44" s="243" t="s">
        <v>151</v>
      </c>
      <c r="AJ44" s="258" cm="1">
        <f t="array" aca="1" ref="AJ44" ca="1">DATE(YEAR(FECH.CONS[FECHA DE CONSULTA:]),MONTH(BDD[[#This Row],[FECHA NAC]]),DAY(BDD[[#This Row],[FECHA NAC]]))</f>
        <v>44673</v>
      </c>
      <c r="AK44" s="243">
        <v>9</v>
      </c>
      <c r="AL44" s="251" t="s">
        <v>311</v>
      </c>
      <c r="AM44" s="251" t="s">
        <v>1534</v>
      </c>
      <c r="AN44" s="251" t="s">
        <v>1551</v>
      </c>
      <c r="AO44" s="245">
        <v>56</v>
      </c>
      <c r="AP44" s="251">
        <f ca="1">INT((TODAY()-BDD[[#This Row],[FECHA NAC]])/365)</f>
        <v>41</v>
      </c>
      <c r="AQ44" s="251">
        <v>0</v>
      </c>
      <c r="AR44" s="251">
        <f ca="1">IF(BDD[[#This Row],[ANTIG]]=0,0,1)</f>
        <v>1</v>
      </c>
      <c r="AS44" s="251"/>
      <c r="AT44" s="251"/>
      <c r="AU44" s="251"/>
      <c r="AV44" s="251"/>
      <c r="AW44" s="251"/>
      <c r="AX44" s="251"/>
      <c r="AY44" s="251"/>
      <c r="AZ44" s="251">
        <f t="shared" ca="1" si="1"/>
        <v>176</v>
      </c>
    </row>
    <row r="45" spans="1:52" ht="15" customHeight="1" x14ac:dyDescent="0.25">
      <c r="B45" s="243">
        <v>141</v>
      </c>
      <c r="C45" s="251" t="s">
        <v>123</v>
      </c>
      <c r="D45" s="252">
        <v>9450</v>
      </c>
      <c r="E45" s="252">
        <f>(BDD[[#This Row],[SUE MENS]]/30)</f>
        <v>315</v>
      </c>
      <c r="F45" s="252">
        <f>BDD[[#This Row],[SUE MENS]]/2</f>
        <v>4725</v>
      </c>
      <c r="G45" s="315">
        <v>42620</v>
      </c>
      <c r="H45" s="243">
        <f ca="1">INT(_xlfn.DAYS(TODAY(),BDD[[#This Row],[FECHA ING.]])/365)</f>
        <v>5</v>
      </c>
      <c r="I45" s="251" t="str">
        <f>VLOOKUP(J45,TABLAS!$B$3:$G$49,2,FALSE)</f>
        <v>AUDITORÍA</v>
      </c>
      <c r="J45" s="198" t="s">
        <v>736</v>
      </c>
      <c r="K45" s="251" t="s">
        <v>778</v>
      </c>
      <c r="L45" s="251" t="s">
        <v>763</v>
      </c>
      <c r="M45" s="251"/>
      <c r="N45" s="244" t="s">
        <v>2180</v>
      </c>
      <c r="O45" s="251" t="str">
        <f>IFERROR(VLOOKUP(BDD[[#This Row],[SUBDPTO]],TABLAS!$B$4:$D$36,3,0)," ")</f>
        <v>MARCO AURELIO URBINO</v>
      </c>
      <c r="P45" s="258">
        <f>BDD[[#This Row],[FECHA ING.]]+1000</f>
        <v>43620</v>
      </c>
      <c r="Q45" s="264">
        <v>6177.5</v>
      </c>
      <c r="R45" s="251" t="s">
        <v>759</v>
      </c>
      <c r="S45" s="251"/>
      <c r="T45" s="251" t="s">
        <v>811</v>
      </c>
      <c r="U45" s="243">
        <f ca="1">VLOOKUP(BDD[[#This Row],[ANTIG]],DIASXANT18[#All],2)</f>
        <v>16</v>
      </c>
      <c r="V45" s="256">
        <f t="shared" si="2"/>
        <v>0.5</v>
      </c>
      <c r="W45" s="243">
        <f ca="1">BDD[[#This Row],[D.VAC.]]*BDD[[#This Row],[% P.V.]]</f>
        <v>8</v>
      </c>
      <c r="X45" s="243">
        <v>30</v>
      </c>
      <c r="Y45" s="257">
        <f ca="1">(365+BDD[[#This Row],[D.PAG.V.]]+BDD[[#This Row],[D.AG.]])/365</f>
        <v>1.1041095890410959</v>
      </c>
      <c r="Z45" s="243">
        <f ca="1">BDD[[#This Row],[SUE DIA]]*BDD[[#This Row],[FACTOR SDI]]</f>
        <v>347.79452054794518</v>
      </c>
      <c r="AA45" s="243">
        <f>BDD[[#This Row],[SUE DIA]]/9</f>
        <v>35</v>
      </c>
      <c r="AB45" s="251">
        <v>30849</v>
      </c>
      <c r="AC45" s="251" t="s">
        <v>903</v>
      </c>
      <c r="AD45" s="251" t="s">
        <v>809</v>
      </c>
      <c r="AE45" s="252">
        <v>8250783733</v>
      </c>
      <c r="AF45" s="251" t="s">
        <v>1113</v>
      </c>
      <c r="AG45" s="251" t="s">
        <v>776</v>
      </c>
      <c r="AH45" s="251" t="s">
        <v>726</v>
      </c>
      <c r="AI45" s="243" t="s">
        <v>151</v>
      </c>
      <c r="AJ45" s="258" cm="1">
        <f t="array" aca="1" ref="AJ45" ca="1">DATE(YEAR(FECH.CONS[FECHA DE CONSULTA:]),MONTH(BDD[[#This Row],[FECHA NAC]]),DAY(BDD[[#This Row],[FECHA NAC]]))</f>
        <v>44728</v>
      </c>
      <c r="AK45" s="243"/>
      <c r="AL45" s="251" t="s">
        <v>311</v>
      </c>
      <c r="AM45" s="251" t="s">
        <v>1534</v>
      </c>
      <c r="AN45" s="251" t="s">
        <v>1551</v>
      </c>
      <c r="AO45" s="245">
        <v>61</v>
      </c>
      <c r="AP45" s="251">
        <f ca="1">INT((TODAY()-BDD[[#This Row],[FECHA NAC]])/365)</f>
        <v>38</v>
      </c>
      <c r="AQ45" s="251">
        <v>0</v>
      </c>
      <c r="AR45" s="251">
        <f ca="1">IF(BDD[[#This Row],[ANTIG]]=0,0,1)</f>
        <v>1</v>
      </c>
      <c r="AS45" s="251"/>
      <c r="AT45" s="251"/>
      <c r="AU45" s="251"/>
      <c r="AV45" s="251"/>
      <c r="AW45" s="251"/>
      <c r="AX45" s="251"/>
      <c r="AY45" s="251"/>
      <c r="AZ45" s="251">
        <f t="shared" ca="1" si="1"/>
        <v>214</v>
      </c>
    </row>
    <row r="46" spans="1:52" ht="15" customHeight="1" x14ac:dyDescent="0.25">
      <c r="B46" s="243">
        <v>142</v>
      </c>
      <c r="C46" s="251" t="s">
        <v>423</v>
      </c>
      <c r="D46" s="252">
        <v>7950</v>
      </c>
      <c r="E46" s="252">
        <f>(BDD[[#This Row],[SUE MENS]]/30)</f>
        <v>265</v>
      </c>
      <c r="F46" s="252">
        <f>BDD[[#This Row],[SUE MENS]]/2</f>
        <v>3975</v>
      </c>
      <c r="G46" s="315">
        <v>42792</v>
      </c>
      <c r="H46" s="243">
        <f ca="1">INT(_xlfn.DAYS(TODAY(),BDD[[#This Row],[FECHA ING.]])/365)</f>
        <v>5</v>
      </c>
      <c r="I46" s="251" t="str">
        <f>VLOOKUP(J46,TABLAS!$B$3:$G$49,2,FALSE)</f>
        <v>CPTAL HUMANO</v>
      </c>
      <c r="J46" s="244" t="s">
        <v>767</v>
      </c>
      <c r="K46" s="251" t="s">
        <v>778</v>
      </c>
      <c r="L46" s="251" t="s">
        <v>763</v>
      </c>
      <c r="M46" s="251"/>
      <c r="N46" s="244" t="s">
        <v>2161</v>
      </c>
      <c r="O46" s="251" t="str">
        <f>IFERROR(VLOOKUP(BDD[[#This Row],[SUBDPTO]],TABLAS!$B$4:$D$36,3,0)," ")</f>
        <v>EMMA DARIELA GARCÍA LORCA</v>
      </c>
      <c r="P46" s="258">
        <v>43887</v>
      </c>
      <c r="Q46" s="254">
        <v>5956</v>
      </c>
      <c r="R46" s="255" t="s">
        <v>743</v>
      </c>
      <c r="S46" s="251"/>
      <c r="T46" s="251" t="s">
        <v>301</v>
      </c>
      <c r="U46" s="243">
        <f ca="1">VLOOKUP(BDD[[#This Row],[ANTIG]],DIASXANT18[#All],2)</f>
        <v>16</v>
      </c>
      <c r="V46" s="256">
        <f t="shared" si="2"/>
        <v>0.5</v>
      </c>
      <c r="W46" s="243">
        <f ca="1">BDD[[#This Row],[D.VAC.]]*BDD[[#This Row],[% P.V.]]</f>
        <v>8</v>
      </c>
      <c r="X46" s="243">
        <v>30</v>
      </c>
      <c r="Y46" s="257">
        <f ca="1">(365+BDD[[#This Row],[D.PAG.V.]]+BDD[[#This Row],[D.AG.]])/365</f>
        <v>1.1041095890410959</v>
      </c>
      <c r="Z46" s="243">
        <f ca="1">BDD[[#This Row],[SUE DIA]]*BDD[[#This Row],[FACTOR SDI]]</f>
        <v>292.58904109589042</v>
      </c>
      <c r="AA46" s="243">
        <f>BDD[[#This Row],[SUE DIA]]/9</f>
        <v>29.444444444444443</v>
      </c>
      <c r="AB46" s="251">
        <v>32765</v>
      </c>
      <c r="AC46" s="251" t="s">
        <v>904</v>
      </c>
      <c r="AD46" s="251" t="s">
        <v>791</v>
      </c>
      <c r="AE46" s="252">
        <v>8682330331</v>
      </c>
      <c r="AF46" s="251" t="s">
        <v>1114</v>
      </c>
      <c r="AG46" s="251" t="s">
        <v>776</v>
      </c>
      <c r="AH46" s="251" t="s">
        <v>726</v>
      </c>
      <c r="AI46" s="243" t="s">
        <v>151</v>
      </c>
      <c r="AJ46" s="258" cm="1">
        <f t="array" aca="1" ref="AJ46" ca="1">DATE(YEAR(FECH.CONS[FECHA DE CONSULTA:]),MONTH(BDD[[#This Row],[FECHA NAC]]),DAY(BDD[[#This Row],[FECHA NAC]]))</f>
        <v>44818</v>
      </c>
      <c r="AK46" s="243"/>
      <c r="AL46" s="251" t="s">
        <v>312</v>
      </c>
      <c r="AM46" s="251" t="s">
        <v>1534</v>
      </c>
      <c r="AN46" s="251" t="s">
        <v>1551</v>
      </c>
      <c r="AO46" s="245">
        <v>97</v>
      </c>
      <c r="AP46" s="251">
        <f ca="1">INT((TODAY()-BDD[[#This Row],[FECHA NAC]])/365)</f>
        <v>32</v>
      </c>
      <c r="AQ46" s="251">
        <v>1</v>
      </c>
      <c r="AR46" s="251">
        <f ca="1">IF(BDD[[#This Row],[ANTIG]]=0,0,1)</f>
        <v>1</v>
      </c>
      <c r="AS46" s="251"/>
      <c r="AT46" s="251"/>
      <c r="AU46" s="251"/>
      <c r="AV46" s="251"/>
      <c r="AW46" s="251"/>
      <c r="AX46" s="251"/>
      <c r="AY46" s="251"/>
      <c r="AZ46" s="251">
        <f t="shared" ca="1" si="1"/>
        <v>269</v>
      </c>
    </row>
    <row r="47" spans="1:52" ht="15" customHeight="1" x14ac:dyDescent="0.25">
      <c r="B47" s="243">
        <v>143</v>
      </c>
      <c r="C47" s="251" t="s">
        <v>422</v>
      </c>
      <c r="D47" s="252">
        <v>9450</v>
      </c>
      <c r="E47" s="252">
        <f>(BDD[[#This Row],[SUE MENS]]/30)</f>
        <v>315</v>
      </c>
      <c r="F47" s="252">
        <f>BDD[[#This Row],[SUE MENS]]/2</f>
        <v>4725</v>
      </c>
      <c r="G47" s="315">
        <v>42480</v>
      </c>
      <c r="H47" s="243">
        <f ca="1">INT(_xlfn.DAYS(TODAY(),BDD[[#This Row],[FECHA ING.]])/365)</f>
        <v>6</v>
      </c>
      <c r="I47" s="251" t="str">
        <f>VLOOKUP(J47,TABLAS!$B$3:$G$49,2,FALSE)</f>
        <v>CPTAL HUMANO</v>
      </c>
      <c r="J47" s="244" t="s">
        <v>767</v>
      </c>
      <c r="K47" s="251" t="s">
        <v>778</v>
      </c>
      <c r="L47" s="251" t="s">
        <v>763</v>
      </c>
      <c r="M47" s="251"/>
      <c r="N47" s="253" t="s">
        <v>2158</v>
      </c>
      <c r="O47" s="251" t="str">
        <f>IFERROR(VLOOKUP(BDD[[#This Row],[SUBDPTO]],TABLAS!$B$4:$D$36,3,0)," ")</f>
        <v>EMMA DARIELA GARCÍA LORCA</v>
      </c>
      <c r="P47" s="258">
        <f>BDD[[#This Row],[FECHA ING.]]+500</f>
        <v>42980</v>
      </c>
      <c r="Q47" s="275">
        <v>5211.5</v>
      </c>
      <c r="R47" s="251" t="s">
        <v>745</v>
      </c>
      <c r="S47" s="251"/>
      <c r="T47" s="251" t="s">
        <v>301</v>
      </c>
      <c r="U47" s="243">
        <f ca="1">VLOOKUP(BDD[[#This Row],[ANTIG]],DIASXANT18[#All],2)</f>
        <v>16</v>
      </c>
      <c r="V47" s="256">
        <f t="shared" si="2"/>
        <v>0.5</v>
      </c>
      <c r="W47" s="243">
        <f ca="1">BDD[[#This Row],[D.VAC.]]*BDD[[#This Row],[% P.V.]]</f>
        <v>8</v>
      </c>
      <c r="X47" s="243">
        <v>30</v>
      </c>
      <c r="Y47" s="257">
        <f ca="1">(365+BDD[[#This Row],[D.PAG.V.]]+BDD[[#This Row],[D.AG.]])/365</f>
        <v>1.1041095890410959</v>
      </c>
      <c r="Z47" s="243">
        <f ca="1">BDD[[#This Row],[SUE DIA]]*BDD[[#This Row],[FACTOR SDI]]</f>
        <v>347.79452054794518</v>
      </c>
      <c r="AA47" s="243">
        <f>BDD[[#This Row],[SUE DIA]]/9</f>
        <v>35</v>
      </c>
      <c r="AB47" s="251">
        <v>31359</v>
      </c>
      <c r="AC47" s="251" t="s">
        <v>905</v>
      </c>
      <c r="AD47" s="251" t="s">
        <v>786</v>
      </c>
      <c r="AE47" s="252">
        <v>8350112748</v>
      </c>
      <c r="AF47" s="251" t="s">
        <v>1115</v>
      </c>
      <c r="AG47" s="251" t="s">
        <v>776</v>
      </c>
      <c r="AH47" s="251" t="s">
        <v>730</v>
      </c>
      <c r="AI47" s="243" t="s">
        <v>151</v>
      </c>
      <c r="AJ47" s="258" cm="1">
        <f t="array" aca="1" ref="AJ47" ca="1">DATE(YEAR(FECH.CONS[FECHA DE CONSULTA:]),MONTH(BDD[[#This Row],[FECHA NAC]]),DAY(BDD[[#This Row],[FECHA NAC]]))</f>
        <v>44873</v>
      </c>
      <c r="AK47" s="243">
        <v>7</v>
      </c>
      <c r="AL47" s="251" t="s">
        <v>326</v>
      </c>
      <c r="AM47" s="251" t="s">
        <v>1541</v>
      </c>
      <c r="AN47" s="251" t="s">
        <v>1551</v>
      </c>
      <c r="AO47" s="245">
        <v>81</v>
      </c>
      <c r="AP47" s="251">
        <f ca="1">INT((TODAY()-BDD[[#This Row],[FECHA NAC]])/365)</f>
        <v>36</v>
      </c>
      <c r="AQ47" s="251">
        <v>1</v>
      </c>
      <c r="AR47" s="251">
        <f ca="1">IF(BDD[[#This Row],[ANTIG]]=0,0,1)</f>
        <v>1</v>
      </c>
      <c r="AS47" s="251"/>
      <c r="AT47" s="251"/>
      <c r="AU47" s="251"/>
      <c r="AV47" s="251"/>
      <c r="AW47" s="251"/>
      <c r="AX47" s="251"/>
      <c r="AY47" s="251"/>
      <c r="AZ47" s="251">
        <f t="shared" ca="1" si="1"/>
        <v>614</v>
      </c>
    </row>
    <row r="48" spans="1:52" s="273" customFormat="1" ht="15" customHeight="1" x14ac:dyDescent="0.25">
      <c r="A48" s="272"/>
      <c r="B48" s="243">
        <v>144</v>
      </c>
      <c r="C48" s="251" t="s">
        <v>417</v>
      </c>
      <c r="D48" s="252">
        <v>9541</v>
      </c>
      <c r="E48" s="252">
        <f>(BDD[[#This Row],[SUE MENS]]/30)</f>
        <v>318.03333333333336</v>
      </c>
      <c r="F48" s="252">
        <f>BDD[[#This Row],[SUE MENS]]/2</f>
        <v>4770.5</v>
      </c>
      <c r="G48" s="315">
        <v>42352</v>
      </c>
      <c r="H48" s="243">
        <f ca="1">INT(_xlfn.DAYS(TODAY(),BDD[[#This Row],[FECHA ING.]])/365)</f>
        <v>6</v>
      </c>
      <c r="I48" s="251" t="str">
        <f>VLOOKUP(J48,TABLAS!$B$3:$G$49,2,FALSE)</f>
        <v>CPTAL HUMANO</v>
      </c>
      <c r="J48" s="198" t="s">
        <v>758</v>
      </c>
      <c r="K48" s="251" t="s">
        <v>778</v>
      </c>
      <c r="L48" s="251" t="s">
        <v>763</v>
      </c>
      <c r="M48" s="251"/>
      <c r="N48" s="244" t="s">
        <v>2149</v>
      </c>
      <c r="O48" s="251" t="str">
        <f>IFERROR(VLOOKUP(BDD[[#This Row],[SUBDPTO]],TABLAS!$B$4:$D$36,3,0)," ")</f>
        <v>EMMA DARIELA GARCÍA LORCA</v>
      </c>
      <c r="P48" s="258">
        <f>BDD[[#This Row],[FECHA ING.]]+700</f>
        <v>43052</v>
      </c>
      <c r="Q48" s="254">
        <v>6678</v>
      </c>
      <c r="R48" s="244" t="s">
        <v>750</v>
      </c>
      <c r="S48" s="244" t="s">
        <v>759</v>
      </c>
      <c r="T48" s="251" t="s">
        <v>811</v>
      </c>
      <c r="U48" s="243">
        <f ca="1">VLOOKUP(BDD[[#This Row],[ANTIG]],DIASXANT18[#All],2)</f>
        <v>16</v>
      </c>
      <c r="V48" s="256">
        <f t="shared" si="2"/>
        <v>0.5</v>
      </c>
      <c r="W48" s="243">
        <f ca="1">BDD[[#This Row],[D.VAC.]]*BDD[[#This Row],[% P.V.]]</f>
        <v>8</v>
      </c>
      <c r="X48" s="243">
        <v>30</v>
      </c>
      <c r="Y48" s="257">
        <f ca="1">(365+BDD[[#This Row],[D.PAG.V.]]+BDD[[#This Row],[D.AG.]])/365</f>
        <v>1.1041095890410959</v>
      </c>
      <c r="Z48" s="243">
        <f ca="1">BDD[[#This Row],[SUE DIA]]*BDD[[#This Row],[FACTOR SDI]]</f>
        <v>351.14365296803658</v>
      </c>
      <c r="AA48" s="243">
        <f>BDD[[#This Row],[SUE DIA]]/9</f>
        <v>35.337037037037042</v>
      </c>
      <c r="AB48" s="251">
        <v>30610</v>
      </c>
      <c r="AC48" s="251" t="s">
        <v>906</v>
      </c>
      <c r="AD48" s="251" t="s">
        <v>787</v>
      </c>
      <c r="AE48" s="252">
        <v>8731193890</v>
      </c>
      <c r="AF48" s="251" t="s">
        <v>1116</v>
      </c>
      <c r="AG48" s="251" t="s">
        <v>776</v>
      </c>
      <c r="AH48" s="251" t="s">
        <v>1555</v>
      </c>
      <c r="AI48" s="243" t="s">
        <v>151</v>
      </c>
      <c r="AJ48" s="258" cm="1">
        <f t="array" aca="1" ref="AJ48" ca="1">DATE(YEAR(FECH.CONS[FECHA DE CONSULTA:]),MONTH(BDD[[#This Row],[FECHA NAC]]),DAY(BDD[[#This Row],[FECHA NAC]]))</f>
        <v>44855</v>
      </c>
      <c r="AK48" s="243"/>
      <c r="AL48" s="251" t="s">
        <v>311</v>
      </c>
      <c r="AM48" s="251" t="s">
        <v>1535</v>
      </c>
      <c r="AN48" s="251" t="s">
        <v>1551</v>
      </c>
      <c r="AO48" s="245">
        <v>56</v>
      </c>
      <c r="AP48" s="251">
        <f ca="1">INT((TODAY()-BDD[[#This Row],[FECHA NAC]])/365)</f>
        <v>38</v>
      </c>
      <c r="AQ48" s="251">
        <v>1</v>
      </c>
      <c r="AR48" s="251">
        <f ca="1">IF(BDD[[#This Row],[ANTIG]]=0,0,1)</f>
        <v>1</v>
      </c>
      <c r="AS48" s="251"/>
      <c r="AT48" s="251"/>
      <c r="AU48" s="251"/>
      <c r="AV48" s="251"/>
      <c r="AW48" s="251"/>
      <c r="AX48" s="251"/>
      <c r="AY48" s="251"/>
      <c r="AZ48" s="251">
        <f t="shared" ca="1" si="1"/>
        <v>378</v>
      </c>
    </row>
    <row r="49" spans="1:52" ht="15" customHeight="1" x14ac:dyDescent="0.25">
      <c r="A49" s="273"/>
      <c r="B49" s="243">
        <v>145</v>
      </c>
      <c r="C49" s="251" t="s">
        <v>414</v>
      </c>
      <c r="D49" s="252">
        <v>9450</v>
      </c>
      <c r="E49" s="252">
        <f>(BDD[[#This Row],[SUE MENS]]/30)</f>
        <v>315</v>
      </c>
      <c r="F49" s="252">
        <f>BDD[[#This Row],[SUE MENS]]/2</f>
        <v>4725</v>
      </c>
      <c r="G49" s="315">
        <v>43345</v>
      </c>
      <c r="H49" s="243">
        <f ca="1">INT(_xlfn.DAYS(TODAY(),BDD[[#This Row],[FECHA ING.]])/365)</f>
        <v>3</v>
      </c>
      <c r="I49" s="251" t="str">
        <f>VLOOKUP(J49,TABLAS!$B$3:$G$49,2,FALSE)</f>
        <v>AUDITORÍA</v>
      </c>
      <c r="J49" s="198" t="s">
        <v>734</v>
      </c>
      <c r="K49" s="251" t="s">
        <v>778</v>
      </c>
      <c r="L49" s="251" t="s">
        <v>763</v>
      </c>
      <c r="M49" s="251"/>
      <c r="N49" s="244" t="s">
        <v>2141</v>
      </c>
      <c r="O49" s="251" t="str">
        <f>IFERROR(VLOOKUP(BDD[[#This Row],[SUBDPTO]],TABLAS!$B$4:$D$36,3,0)," ")</f>
        <v>MARCO AURELIO URBINO</v>
      </c>
      <c r="P49" s="258">
        <v>43927</v>
      </c>
      <c r="Q49" s="254">
        <v>7060</v>
      </c>
      <c r="R49" s="255" t="s">
        <v>741</v>
      </c>
      <c r="S49" s="251"/>
      <c r="T49" s="251" t="s">
        <v>811</v>
      </c>
      <c r="U49" s="243">
        <f ca="1">VLOOKUP(BDD[[#This Row],[ANTIG]],DIASXANT18[#All],2)</f>
        <v>14</v>
      </c>
      <c r="V49" s="256">
        <f t="shared" si="2"/>
        <v>0.5</v>
      </c>
      <c r="W49" s="243">
        <f ca="1">BDD[[#This Row],[D.VAC.]]*BDD[[#This Row],[% P.V.]]</f>
        <v>7</v>
      </c>
      <c r="X49" s="243">
        <v>30</v>
      </c>
      <c r="Y49" s="257">
        <f ca="1">(365+BDD[[#This Row],[D.PAG.V.]]+BDD[[#This Row],[D.AG.]])/365</f>
        <v>1.1013698630136985</v>
      </c>
      <c r="Z49" s="243">
        <f ca="1">BDD[[#This Row],[SUE DIA]]*BDD[[#This Row],[FACTOR SDI]]</f>
        <v>346.93150684931504</v>
      </c>
      <c r="AA49" s="243">
        <f>BDD[[#This Row],[SUE DIA]]/9</f>
        <v>35</v>
      </c>
      <c r="AB49" s="251">
        <v>34025</v>
      </c>
      <c r="AC49" s="251" t="s">
        <v>870</v>
      </c>
      <c r="AD49" s="251" t="s">
        <v>792</v>
      </c>
      <c r="AE49" s="252">
        <v>8197719242</v>
      </c>
      <c r="AF49" s="251" t="s">
        <v>1117</v>
      </c>
      <c r="AG49" s="251" t="s">
        <v>774</v>
      </c>
      <c r="AH49" s="251" t="s">
        <v>730</v>
      </c>
      <c r="AI49" s="243" t="s">
        <v>151</v>
      </c>
      <c r="AJ49" s="258" cm="1">
        <f t="array" aca="1" ref="AJ49" ca="1">DATE(YEAR(FECH.CONS[FECHA DE CONSULTA:]),MONTH(BDD[[#This Row],[FECHA NAC]]),DAY(BDD[[#This Row],[FECHA NAC]]))</f>
        <v>44617</v>
      </c>
      <c r="AK49" s="243">
        <v>7</v>
      </c>
      <c r="AL49" s="251" t="s">
        <v>311</v>
      </c>
      <c r="AM49" s="251" t="s">
        <v>1544</v>
      </c>
      <c r="AN49" s="251" t="s">
        <v>1551</v>
      </c>
      <c r="AO49" s="245">
        <v>76</v>
      </c>
      <c r="AP49" s="251">
        <f ca="1">INT((TODAY()-BDD[[#This Row],[FECHA NAC]])/365)</f>
        <v>29</v>
      </c>
      <c r="AQ49" s="251">
        <v>2</v>
      </c>
      <c r="AR49" s="251">
        <f ca="1">IF(BDD[[#This Row],[ANTIG]]=0,0,1)</f>
        <v>1</v>
      </c>
      <c r="AS49" s="251"/>
      <c r="AT49" s="251"/>
      <c r="AU49" s="251"/>
      <c r="AV49" s="251"/>
      <c r="AW49" s="251"/>
      <c r="AX49" s="251"/>
      <c r="AY49" s="251"/>
      <c r="AZ49" s="251">
        <f t="shared" ca="1" si="1"/>
        <v>157</v>
      </c>
    </row>
    <row r="50" spans="1:52" ht="15" customHeight="1" x14ac:dyDescent="0.25">
      <c r="B50" s="243">
        <v>146</v>
      </c>
      <c r="C50" s="251" t="s">
        <v>1618</v>
      </c>
      <c r="D50" s="252">
        <v>7950</v>
      </c>
      <c r="E50" s="252">
        <f>(BDD[[#This Row],[SUE MENS]]/30)</f>
        <v>265</v>
      </c>
      <c r="F50" s="252">
        <f>BDD[[#This Row],[SUE MENS]]/2</f>
        <v>3975</v>
      </c>
      <c r="G50" s="315">
        <v>43063</v>
      </c>
      <c r="H50" s="243">
        <f ca="1">INT(_xlfn.DAYS(TODAY(),BDD[[#This Row],[FECHA ING.]])/365)</f>
        <v>4</v>
      </c>
      <c r="I50" s="251" t="str">
        <f>VLOOKUP(J50,TABLAS!$B$3:$G$49,2,FALSE)</f>
        <v>CONTRATOS</v>
      </c>
      <c r="J50" s="198" t="s">
        <v>738</v>
      </c>
      <c r="K50" s="251" t="s">
        <v>778</v>
      </c>
      <c r="L50" s="251" t="s">
        <v>763</v>
      </c>
      <c r="M50" s="251"/>
      <c r="N50" s="253" t="s">
        <v>2140</v>
      </c>
      <c r="O50" s="251" t="str">
        <f>IFERROR(VLOOKUP(BDD[[#This Row],[SUBDPTO]],TABLAS!$B$4:$D$36,3,0)," ")</f>
        <v>IDALIA GARCÍA ESCRIVÁ</v>
      </c>
      <c r="P50" s="258">
        <v>43740</v>
      </c>
      <c r="Q50" s="254">
        <v>5956</v>
      </c>
      <c r="R50" s="255" t="s">
        <v>745</v>
      </c>
      <c r="S50" s="251"/>
      <c r="T50" s="251" t="s">
        <v>301</v>
      </c>
      <c r="U50" s="243">
        <f ca="1">VLOOKUP(BDD[[#This Row],[ANTIG]],DIASXANT18[#All],2)</f>
        <v>14</v>
      </c>
      <c r="V50" s="256">
        <f t="shared" si="2"/>
        <v>0.5</v>
      </c>
      <c r="W50" s="243">
        <f ca="1">BDD[[#This Row],[D.VAC.]]*BDD[[#This Row],[% P.V.]]</f>
        <v>7</v>
      </c>
      <c r="X50" s="243">
        <v>30</v>
      </c>
      <c r="Y50" s="257">
        <f ca="1">(365+BDD[[#This Row],[D.PAG.V.]]+BDD[[#This Row],[D.AG.]])/365</f>
        <v>1.1013698630136985</v>
      </c>
      <c r="Z50" s="243">
        <f ca="1">BDD[[#This Row],[SUE DIA]]*BDD[[#This Row],[FACTOR SDI]]</f>
        <v>291.86301369863014</v>
      </c>
      <c r="AA50" s="243">
        <f>BDD[[#This Row],[SUE DIA]]/9</f>
        <v>29.444444444444443</v>
      </c>
      <c r="AB50" s="251">
        <v>36013</v>
      </c>
      <c r="AC50" s="251" t="s">
        <v>907</v>
      </c>
      <c r="AD50" s="251" t="s">
        <v>787</v>
      </c>
      <c r="AE50" s="252">
        <v>8823837780</v>
      </c>
      <c r="AF50" s="251" t="s">
        <v>1118</v>
      </c>
      <c r="AG50" s="251" t="s">
        <v>773</v>
      </c>
      <c r="AH50" s="251" t="s">
        <v>730</v>
      </c>
      <c r="AI50" s="243" t="s">
        <v>151</v>
      </c>
      <c r="AJ50" s="258" cm="1">
        <f t="array" aca="1" ref="AJ50" ca="1">DATE(YEAR(FECH.CONS[FECHA DE CONSULTA:]),MONTH(BDD[[#This Row],[FECHA NAC]]),DAY(BDD[[#This Row],[FECHA NAC]]))</f>
        <v>44779</v>
      </c>
      <c r="AK50" s="243">
        <v>7</v>
      </c>
      <c r="AL50" s="251" t="s">
        <v>311</v>
      </c>
      <c r="AM50" s="251" t="s">
        <v>1535</v>
      </c>
      <c r="AN50" s="251" t="s">
        <v>1551</v>
      </c>
      <c r="AO50" s="245">
        <v>40</v>
      </c>
      <c r="AP50" s="251">
        <f ca="1">INT((TODAY()-BDD[[#This Row],[FECHA NAC]])/365)</f>
        <v>23</v>
      </c>
      <c r="AQ50" s="251">
        <v>3</v>
      </c>
      <c r="AR50" s="251">
        <f ca="1">IF(BDD[[#This Row],[ANTIG]]=0,0,1)</f>
        <v>1</v>
      </c>
      <c r="AS50" s="251"/>
      <c r="AT50" s="251"/>
      <c r="AU50" s="251"/>
      <c r="AV50" s="251"/>
      <c r="AW50" s="251"/>
      <c r="AX50" s="251"/>
      <c r="AY50" s="251"/>
      <c r="AZ50" s="274">
        <f t="shared" ca="1" si="1"/>
        <v>236</v>
      </c>
    </row>
    <row r="51" spans="1:52" ht="15" customHeight="1" x14ac:dyDescent="0.25">
      <c r="B51" s="243">
        <v>147</v>
      </c>
      <c r="C51" s="251" t="s">
        <v>408</v>
      </c>
      <c r="D51" s="263">
        <v>7445</v>
      </c>
      <c r="E51" s="252">
        <f>(BDD[[#This Row],[SUE MENS]]/30)</f>
        <v>248.16666666666666</v>
      </c>
      <c r="F51" s="252">
        <f>BDD[[#This Row],[SUE MENS]]/2</f>
        <v>3722.5</v>
      </c>
      <c r="G51" s="315">
        <v>43319</v>
      </c>
      <c r="H51" s="243">
        <f ca="1">INT(_xlfn.DAYS(TODAY(),BDD[[#This Row],[FECHA ING.]])/365)</f>
        <v>3</v>
      </c>
      <c r="I51" s="251" t="str">
        <f>VLOOKUP(J51,TABLAS!$B$3:$G$49,2,FALSE)</f>
        <v>CPTAL HUMANO</v>
      </c>
      <c r="J51" s="198" t="s">
        <v>758</v>
      </c>
      <c r="K51" s="251" t="s">
        <v>778</v>
      </c>
      <c r="L51" s="251" t="s">
        <v>763</v>
      </c>
      <c r="M51" s="251"/>
      <c r="N51" s="244" t="s">
        <v>2115</v>
      </c>
      <c r="O51" s="251" t="str">
        <f>IFERROR(VLOOKUP(BDD[[#This Row],[SUBDPTO]],TABLAS!$B$4:$D$36,3,0)," ")</f>
        <v>EMMA DARIELA GARCÍA LORCA</v>
      </c>
      <c r="P51" s="258">
        <v>44075</v>
      </c>
      <c r="Q51" s="254">
        <v>4384</v>
      </c>
      <c r="R51" s="255" t="s">
        <v>756</v>
      </c>
      <c r="S51" s="251"/>
      <c r="T51" s="251" t="s">
        <v>301</v>
      </c>
      <c r="U51" s="243">
        <f ca="1">VLOOKUP(BDD[[#This Row],[ANTIG]],DIASXANT18[#All],2)</f>
        <v>14</v>
      </c>
      <c r="V51" s="256">
        <f t="shared" si="2"/>
        <v>0.5</v>
      </c>
      <c r="W51" s="243">
        <f ca="1">BDD[[#This Row],[D.VAC.]]*BDD[[#This Row],[% P.V.]]</f>
        <v>7</v>
      </c>
      <c r="X51" s="243">
        <v>30</v>
      </c>
      <c r="Y51" s="257">
        <f ca="1">(365+BDD[[#This Row],[D.PAG.V.]]+BDD[[#This Row],[D.AG.]])/365</f>
        <v>1.1013698630136985</v>
      </c>
      <c r="Z51" s="243">
        <f ca="1">BDD[[#This Row],[SUE DIA]]*BDD[[#This Row],[FACTOR SDI]]</f>
        <v>273.32328767123283</v>
      </c>
      <c r="AA51" s="243">
        <f>BDD[[#This Row],[SUE DIA]]/9</f>
        <v>27.574074074074073</v>
      </c>
      <c r="AB51" s="251">
        <v>31663</v>
      </c>
      <c r="AC51" s="251" t="s">
        <v>908</v>
      </c>
      <c r="AD51" s="251" t="s">
        <v>789</v>
      </c>
      <c r="AE51" s="252">
        <v>8802717569</v>
      </c>
      <c r="AF51" s="251" t="s">
        <v>1119</v>
      </c>
      <c r="AG51" s="251" t="s">
        <v>774</v>
      </c>
      <c r="AH51" s="251" t="s">
        <v>730</v>
      </c>
      <c r="AI51" s="243" t="s">
        <v>151</v>
      </c>
      <c r="AJ51" s="258" cm="1">
        <f t="array" aca="1" ref="AJ51" ca="1">DATE(YEAR(FECH.CONS[FECHA DE CONSULTA:]),MONTH(BDD[[#This Row],[FECHA NAC]]),DAY(BDD[[#This Row],[FECHA NAC]]))</f>
        <v>44812</v>
      </c>
      <c r="AK51" s="243">
        <v>7</v>
      </c>
      <c r="AL51" s="251" t="s">
        <v>311</v>
      </c>
      <c r="AM51" s="251" t="s">
        <v>1540</v>
      </c>
      <c r="AN51" s="251" t="s">
        <v>162</v>
      </c>
      <c r="AO51" s="245">
        <v>94</v>
      </c>
      <c r="AP51" s="251">
        <f ca="1">INT((TODAY()-BDD[[#This Row],[FECHA NAC]])/365)</f>
        <v>35</v>
      </c>
      <c r="AQ51" s="251">
        <v>0</v>
      </c>
      <c r="AR51" s="251">
        <f ca="1">IF(BDD[[#This Row],[ANTIG]]=0,0,1)</f>
        <v>1</v>
      </c>
      <c r="AS51" s="251"/>
      <c r="AT51" s="251"/>
      <c r="AU51" s="251"/>
      <c r="AV51" s="251"/>
      <c r="AW51" s="251"/>
      <c r="AX51" s="251"/>
      <c r="AY51" s="251"/>
      <c r="AZ51" s="274">
        <f t="shared" ca="1" si="1"/>
        <v>544</v>
      </c>
    </row>
    <row r="52" spans="1:52" ht="15" customHeight="1" x14ac:dyDescent="0.25">
      <c r="B52" s="243">
        <v>149</v>
      </c>
      <c r="C52" s="251" t="s">
        <v>1652</v>
      </c>
      <c r="D52" s="252">
        <v>34530</v>
      </c>
      <c r="E52" s="252">
        <f>(BDD[[#This Row],[SUE MENS]]/30)</f>
        <v>1151</v>
      </c>
      <c r="F52" s="252">
        <f>BDD[[#This Row],[SUE MENS]]/2</f>
        <v>17265</v>
      </c>
      <c r="G52" s="315">
        <v>40997</v>
      </c>
      <c r="H52" s="243">
        <f ca="1">INT(_xlfn.DAYS(TODAY(),BDD[[#This Row],[FECHA ING.]])/365)</f>
        <v>10</v>
      </c>
      <c r="I52" s="251" t="str">
        <f>VLOOKUP(J52,TABLAS!$B$3:$G$49,2,FALSE)</f>
        <v>DIRECCIÓN</v>
      </c>
      <c r="J52" s="251" t="s">
        <v>164</v>
      </c>
      <c r="K52" s="244" t="s">
        <v>762</v>
      </c>
      <c r="L52" s="251" t="s">
        <v>763</v>
      </c>
      <c r="M52" s="251">
        <v>1011</v>
      </c>
      <c r="N52" s="253" t="s">
        <v>2097</v>
      </c>
      <c r="O52" s="251" t="str">
        <f>IFERROR(VLOOKUP(BDD[[#This Row],[SUBDPTO]],TABLAS!$B$4:$D$36,3,0)," ")</f>
        <v xml:space="preserve"> </v>
      </c>
      <c r="P52" s="258">
        <v>43241</v>
      </c>
      <c r="Q52" s="254">
        <v>28990</v>
      </c>
      <c r="R52" s="251" t="s">
        <v>744</v>
      </c>
      <c r="S52" s="244" t="s">
        <v>768</v>
      </c>
      <c r="T52" s="251" t="s">
        <v>811</v>
      </c>
      <c r="U52" s="243">
        <f ca="1">VLOOKUP(BDD[[#This Row],[ANTIG]],DIASXANT18[#All],2)</f>
        <v>20</v>
      </c>
      <c r="V52" s="256">
        <f t="shared" si="2"/>
        <v>0.5</v>
      </c>
      <c r="W52" s="243">
        <f ca="1">BDD[[#This Row],[D.VAC.]]*BDD[[#This Row],[% P.V.]]</f>
        <v>10</v>
      </c>
      <c r="X52" s="243">
        <v>30</v>
      </c>
      <c r="Y52" s="257">
        <f ca="1">(365+BDD[[#This Row],[D.PAG.V.]]+BDD[[#This Row],[D.AG.]])/365</f>
        <v>1.1095890410958904</v>
      </c>
      <c r="Z52" s="243">
        <f ca="1">BDD[[#This Row],[SUE DIA]]*BDD[[#This Row],[FACTOR SDI]]</f>
        <v>1277.1369863013699</v>
      </c>
      <c r="AA52" s="243">
        <f>BDD[[#This Row],[SUE DIA]]/9</f>
        <v>127.88888888888889</v>
      </c>
      <c r="AB52" s="251">
        <v>32679</v>
      </c>
      <c r="AC52" s="251" t="s">
        <v>909</v>
      </c>
      <c r="AD52" s="251" t="s">
        <v>786</v>
      </c>
      <c r="AE52" s="252">
        <v>3365874562</v>
      </c>
      <c r="AF52" s="251" t="s">
        <v>1120</v>
      </c>
      <c r="AG52" s="251" t="s">
        <v>776</v>
      </c>
      <c r="AH52" s="251" t="s">
        <v>727</v>
      </c>
      <c r="AI52" s="243" t="s">
        <v>151</v>
      </c>
      <c r="AJ52" s="258" cm="1">
        <f t="array" aca="1" ref="AJ52" ca="1">DATE(YEAR(FECH.CONS[FECHA DE CONSULTA:]),MONTH(BDD[[#This Row],[FECHA NAC]]),DAY(BDD[[#This Row],[FECHA NAC]]))</f>
        <v>44732</v>
      </c>
      <c r="AK52" s="243"/>
      <c r="AL52" s="251" t="s">
        <v>312</v>
      </c>
      <c r="AM52" s="251" t="s">
        <v>1672</v>
      </c>
      <c r="AN52" s="251" t="s">
        <v>1534</v>
      </c>
      <c r="AO52" s="245">
        <v>75</v>
      </c>
      <c r="AP52" s="251">
        <f ca="1">INT((TODAY()-BDD[[#This Row],[FECHA NAC]])/365)</f>
        <v>33</v>
      </c>
      <c r="AQ52" s="251">
        <v>2</v>
      </c>
      <c r="AR52" s="251">
        <f ca="1">IF(BDD[[#This Row],[ANTIG]]=0,0,1)</f>
        <v>1</v>
      </c>
      <c r="AS52" s="251"/>
      <c r="AT52" s="251"/>
      <c r="AU52" s="251"/>
      <c r="AV52" s="251"/>
      <c r="AW52" s="251"/>
      <c r="AX52" s="251"/>
      <c r="AY52" s="251"/>
      <c r="AZ52" s="251">
        <f t="shared" ca="1" si="1"/>
        <v>797</v>
      </c>
    </row>
    <row r="53" spans="1:52" ht="15" customHeight="1" x14ac:dyDescent="0.25">
      <c r="B53" s="243">
        <v>150</v>
      </c>
      <c r="C53" s="251" t="s">
        <v>439</v>
      </c>
      <c r="D53" s="252">
        <v>7950</v>
      </c>
      <c r="E53" s="252">
        <f>(BDD[[#This Row],[SUE MENS]]/30)</f>
        <v>265</v>
      </c>
      <c r="F53" s="252">
        <f>BDD[[#This Row],[SUE MENS]]/2</f>
        <v>3975</v>
      </c>
      <c r="G53" s="315">
        <v>42776</v>
      </c>
      <c r="H53" s="243">
        <f ca="1">INT(_xlfn.DAYS(TODAY(),BDD[[#This Row],[FECHA ING.]])/365)</f>
        <v>5</v>
      </c>
      <c r="I53" s="251" t="str">
        <f>VLOOKUP(J53,TABLAS!$B$3:$G$49,2,FALSE)</f>
        <v>FINANZAS</v>
      </c>
      <c r="J53" s="198" t="s">
        <v>757</v>
      </c>
      <c r="K53" s="251" t="s">
        <v>778</v>
      </c>
      <c r="L53" s="251" t="s">
        <v>763</v>
      </c>
      <c r="M53" s="251"/>
      <c r="N53" s="244" t="s">
        <v>2028</v>
      </c>
      <c r="O53" s="251" t="str">
        <f>IFERROR(VLOOKUP(BDD[[#This Row],[SUBDPTO]],TABLAS!$B$4:$D$36,3,0)," ")</f>
        <v>MARIANO ALDEBARÁN</v>
      </c>
      <c r="P53" s="258">
        <v>43141</v>
      </c>
      <c r="Q53" s="254">
        <v>5956</v>
      </c>
      <c r="R53" s="255" t="s">
        <v>734</v>
      </c>
      <c r="S53" s="251"/>
      <c r="T53" s="251" t="s">
        <v>811</v>
      </c>
      <c r="U53" s="243">
        <f ca="1">VLOOKUP(BDD[[#This Row],[ANTIG]],DIASXANT18[#All],2)</f>
        <v>16</v>
      </c>
      <c r="V53" s="256">
        <f t="shared" si="2"/>
        <v>0.5</v>
      </c>
      <c r="W53" s="243">
        <f ca="1">BDD[[#This Row],[D.VAC.]]*BDD[[#This Row],[% P.V.]]</f>
        <v>8</v>
      </c>
      <c r="X53" s="243">
        <v>30</v>
      </c>
      <c r="Y53" s="257">
        <f ca="1">(365+BDD[[#This Row],[D.PAG.V.]]+BDD[[#This Row],[D.AG.]])/365</f>
        <v>1.1041095890410959</v>
      </c>
      <c r="Z53" s="243">
        <f ca="1">BDD[[#This Row],[SUE DIA]]*BDD[[#This Row],[FACTOR SDI]]</f>
        <v>292.58904109589042</v>
      </c>
      <c r="AA53" s="243">
        <f>BDD[[#This Row],[SUE DIA]]/9</f>
        <v>29.444444444444443</v>
      </c>
      <c r="AB53" s="251">
        <v>36076</v>
      </c>
      <c r="AC53" s="251" t="s">
        <v>910</v>
      </c>
      <c r="AD53" s="251" t="s">
        <v>787</v>
      </c>
      <c r="AE53" s="252">
        <v>8540205659</v>
      </c>
      <c r="AF53" s="251" t="s">
        <v>1121</v>
      </c>
      <c r="AG53" s="251" t="s">
        <v>776</v>
      </c>
      <c r="AH53" s="251" t="s">
        <v>730</v>
      </c>
      <c r="AI53" s="243" t="s">
        <v>151</v>
      </c>
      <c r="AJ53" s="258" cm="1">
        <f t="array" aca="1" ref="AJ53" ca="1">DATE(YEAR(FECH.CONS[FECHA DE CONSULTA:]),MONTH(BDD[[#This Row],[FECHA NAC]]),DAY(BDD[[#This Row],[FECHA NAC]]))</f>
        <v>44842</v>
      </c>
      <c r="AK53" s="243">
        <v>6</v>
      </c>
      <c r="AL53" s="261" t="s">
        <v>311</v>
      </c>
      <c r="AM53" s="251" t="s">
        <v>1534</v>
      </c>
      <c r="AN53" s="251" t="s">
        <v>1551</v>
      </c>
      <c r="AO53" s="245">
        <v>62</v>
      </c>
      <c r="AP53" s="251">
        <f ca="1">INT((TODAY()-BDD[[#This Row],[FECHA NAC]])/365)</f>
        <v>23</v>
      </c>
      <c r="AQ53" s="251">
        <v>2</v>
      </c>
      <c r="AR53" s="251">
        <f ca="1">IF(BDD[[#This Row],[ANTIG]]=0,0,1)</f>
        <v>1</v>
      </c>
      <c r="AS53" s="251"/>
      <c r="AT53" s="251"/>
      <c r="AU53" s="251"/>
      <c r="AV53" s="251"/>
      <c r="AW53" s="251"/>
      <c r="AX53" s="251"/>
      <c r="AY53" s="251"/>
      <c r="AZ53" s="251">
        <f t="shared" ca="1" si="1"/>
        <v>732</v>
      </c>
    </row>
    <row r="54" spans="1:52" ht="15" customHeight="1" x14ac:dyDescent="0.25">
      <c r="B54" s="243">
        <v>151</v>
      </c>
      <c r="C54" s="251" t="s">
        <v>121</v>
      </c>
      <c r="D54" s="252">
        <v>7950</v>
      </c>
      <c r="E54" s="252">
        <f>(BDD[[#This Row],[SUE MENS]]/30)</f>
        <v>265</v>
      </c>
      <c r="F54" s="252">
        <f>BDD[[#This Row],[SUE MENS]]/2</f>
        <v>3975</v>
      </c>
      <c r="G54" s="315">
        <v>42860</v>
      </c>
      <c r="H54" s="243">
        <f ca="1">INT(_xlfn.DAYS(TODAY(),BDD[[#This Row],[FECHA ING.]])/365)</f>
        <v>5</v>
      </c>
      <c r="I54" s="251" t="str">
        <f>VLOOKUP(J54,TABLAS!$B$3:$G$49,2,FALSE)</f>
        <v>CONTRATOS</v>
      </c>
      <c r="J54" s="198" t="s">
        <v>738</v>
      </c>
      <c r="K54" s="251" t="s">
        <v>778</v>
      </c>
      <c r="L54" s="251" t="s">
        <v>763</v>
      </c>
      <c r="M54" s="251"/>
      <c r="N54" s="244" t="s">
        <v>2064</v>
      </c>
      <c r="O54" s="251" t="str">
        <f>IFERROR(VLOOKUP(BDD[[#This Row],[SUBDPTO]],TABLAS!$B$4:$D$36,3,0)," ")</f>
        <v>IDALIA GARCÍA ESCRIVÁ</v>
      </c>
      <c r="P54" s="258">
        <v>43269</v>
      </c>
      <c r="Q54" s="254">
        <v>5956</v>
      </c>
      <c r="R54" s="255" t="s">
        <v>739</v>
      </c>
      <c r="S54" s="251"/>
      <c r="T54" s="251" t="s">
        <v>811</v>
      </c>
      <c r="U54" s="243">
        <f ca="1">VLOOKUP(BDD[[#This Row],[ANTIG]],DIASXANT18[#All],2)</f>
        <v>16</v>
      </c>
      <c r="V54" s="256">
        <f t="shared" si="2"/>
        <v>0.5</v>
      </c>
      <c r="W54" s="243">
        <f ca="1">BDD[[#This Row],[D.VAC.]]*BDD[[#This Row],[% P.V.]]</f>
        <v>8</v>
      </c>
      <c r="X54" s="243">
        <v>30</v>
      </c>
      <c r="Y54" s="257">
        <f ca="1">(365+BDD[[#This Row],[D.PAG.V.]]+BDD[[#This Row],[D.AG.]])/365</f>
        <v>1.1041095890410959</v>
      </c>
      <c r="Z54" s="243">
        <f ca="1">BDD[[#This Row],[SUE DIA]]*BDD[[#This Row],[FACTOR SDI]]</f>
        <v>292.58904109589042</v>
      </c>
      <c r="AA54" s="243">
        <f>BDD[[#This Row],[SUE DIA]]/9</f>
        <v>29.444444444444443</v>
      </c>
      <c r="AB54" s="251">
        <v>34788</v>
      </c>
      <c r="AC54" s="251" t="s">
        <v>911</v>
      </c>
      <c r="AD54" s="251" t="s">
        <v>788</v>
      </c>
      <c r="AE54" s="252">
        <v>8373032218</v>
      </c>
      <c r="AF54" s="251" t="s">
        <v>1122</v>
      </c>
      <c r="AG54" s="251" t="s">
        <v>776</v>
      </c>
      <c r="AH54" s="251" t="s">
        <v>730</v>
      </c>
      <c r="AI54" s="243" t="s">
        <v>151</v>
      </c>
      <c r="AJ54" s="258" cm="1">
        <f t="array" aca="1" ref="AJ54" ca="1">DATE(YEAR(FECH.CONS[FECHA DE CONSULTA:]),MONTH(BDD[[#This Row],[FECHA NAC]]),DAY(BDD[[#This Row],[FECHA NAC]]))</f>
        <v>44650</v>
      </c>
      <c r="AK54" s="243">
        <v>8</v>
      </c>
      <c r="AL54" s="251" t="s">
        <v>326</v>
      </c>
      <c r="AM54" s="251" t="s">
        <v>1537</v>
      </c>
      <c r="AN54" s="251" t="s">
        <v>1551</v>
      </c>
      <c r="AO54" s="245">
        <v>71</v>
      </c>
      <c r="AP54" s="251">
        <f ca="1">INT((TODAY()-BDD[[#This Row],[FECHA NAC]])/365)</f>
        <v>27</v>
      </c>
      <c r="AQ54" s="251">
        <v>1</v>
      </c>
      <c r="AR54" s="251">
        <f ca="1">IF(BDD[[#This Row],[ANTIG]]=0,0,1)</f>
        <v>1</v>
      </c>
      <c r="AS54" s="251"/>
      <c r="AT54" s="251"/>
      <c r="AU54" s="251"/>
      <c r="AV54" s="251"/>
      <c r="AW54" s="251"/>
      <c r="AX54" s="251"/>
      <c r="AY54" s="251"/>
      <c r="AZ54" s="251">
        <f t="shared" ca="1" si="1"/>
        <v>723</v>
      </c>
    </row>
    <row r="55" spans="1:52" ht="15" customHeight="1" x14ac:dyDescent="0.25">
      <c r="B55" s="243">
        <v>152</v>
      </c>
      <c r="C55" s="251" t="s">
        <v>120</v>
      </c>
      <c r="D55" s="252">
        <v>7950</v>
      </c>
      <c r="E55" s="252">
        <f>(BDD[[#This Row],[SUE MENS]]/30)</f>
        <v>265</v>
      </c>
      <c r="F55" s="252">
        <f>BDD[[#This Row],[SUE MENS]]/2</f>
        <v>3975</v>
      </c>
      <c r="G55" s="315">
        <v>43095</v>
      </c>
      <c r="H55" s="243">
        <f ca="1">INT(_xlfn.DAYS(TODAY(),BDD[[#This Row],[FECHA ING.]])/365)</f>
        <v>4</v>
      </c>
      <c r="I55" s="251" t="str">
        <f>VLOOKUP(J55,TABLAS!$B$3:$G$49,2,FALSE)</f>
        <v>CPTAL HUMANO</v>
      </c>
      <c r="J55" s="244" t="s">
        <v>767</v>
      </c>
      <c r="K55" s="251" t="s">
        <v>778</v>
      </c>
      <c r="L55" s="251" t="s">
        <v>763</v>
      </c>
      <c r="M55" s="251"/>
      <c r="N55" s="253" t="s">
        <v>2047</v>
      </c>
      <c r="O55" s="251" t="str">
        <f>IFERROR(VLOOKUP(BDD[[#This Row],[SUBDPTO]],TABLAS!$B$4:$D$36,3,0)," ")</f>
        <v>EMMA DARIELA GARCÍA LORCA</v>
      </c>
      <c r="P55" s="258">
        <v>43994</v>
      </c>
      <c r="Q55" s="254">
        <v>5956</v>
      </c>
      <c r="R55" s="255" t="s">
        <v>734</v>
      </c>
      <c r="S55" s="251"/>
      <c r="T55" s="251" t="s">
        <v>811</v>
      </c>
      <c r="U55" s="243">
        <f ca="1">VLOOKUP(BDD[[#This Row],[ANTIG]],DIASXANT18[#All],2)</f>
        <v>14</v>
      </c>
      <c r="V55" s="256">
        <f t="shared" si="2"/>
        <v>0.5</v>
      </c>
      <c r="W55" s="243">
        <f ca="1">BDD[[#This Row],[D.VAC.]]*BDD[[#This Row],[% P.V.]]</f>
        <v>7</v>
      </c>
      <c r="X55" s="243">
        <v>30</v>
      </c>
      <c r="Y55" s="257">
        <f ca="1">(365+BDD[[#This Row],[D.PAG.V.]]+BDD[[#This Row],[D.AG.]])/365</f>
        <v>1.1013698630136985</v>
      </c>
      <c r="Z55" s="243">
        <f ca="1">BDD[[#This Row],[SUE DIA]]*BDD[[#This Row],[FACTOR SDI]]</f>
        <v>291.86301369863014</v>
      </c>
      <c r="AA55" s="243">
        <f>BDD[[#This Row],[SUE DIA]]/9</f>
        <v>29.444444444444443</v>
      </c>
      <c r="AB55" s="251">
        <v>32341</v>
      </c>
      <c r="AC55" s="251" t="s">
        <v>911</v>
      </c>
      <c r="AD55" s="251" t="s">
        <v>789</v>
      </c>
      <c r="AE55" s="252">
        <v>9876543210</v>
      </c>
      <c r="AF55" s="251" t="s">
        <v>1123</v>
      </c>
      <c r="AG55" s="251" t="s">
        <v>773</v>
      </c>
      <c r="AH55" s="251" t="s">
        <v>730</v>
      </c>
      <c r="AI55" s="243" t="s">
        <v>153</v>
      </c>
      <c r="AJ55" s="258" cm="1">
        <f t="array" aca="1" ref="AJ55" ca="1">DATE(YEAR(FECH.CONS[FECHA DE CONSULTA:]),MONTH(BDD[[#This Row],[FECHA NAC]]),DAY(BDD[[#This Row],[FECHA NAC]]))</f>
        <v>44759</v>
      </c>
      <c r="AK55" s="243">
        <v>8</v>
      </c>
      <c r="AL55" s="261" t="s">
        <v>311</v>
      </c>
      <c r="AM55" s="251" t="s">
        <v>1535</v>
      </c>
      <c r="AN55" s="251" t="s">
        <v>1551</v>
      </c>
      <c r="AO55" s="245">
        <v>95</v>
      </c>
      <c r="AP55" s="251">
        <f ca="1">INT((TODAY()-BDD[[#This Row],[FECHA NAC]])/365)</f>
        <v>34</v>
      </c>
      <c r="AQ55" s="251">
        <v>0</v>
      </c>
      <c r="AR55" s="251">
        <f ca="1">IF(BDD[[#This Row],[ANTIG]]=0,0,1)</f>
        <v>1</v>
      </c>
      <c r="AS55" s="251"/>
      <c r="AT55" s="251"/>
      <c r="AU55" s="251"/>
      <c r="AV55" s="251"/>
      <c r="AW55" s="251"/>
      <c r="AX55" s="251"/>
      <c r="AY55" s="251"/>
      <c r="AZ55" s="251">
        <f t="shared" ca="1" si="1"/>
        <v>161</v>
      </c>
    </row>
    <row r="56" spans="1:52" ht="15" customHeight="1" x14ac:dyDescent="0.25">
      <c r="B56" s="243">
        <v>153</v>
      </c>
      <c r="C56" s="251" t="s">
        <v>119</v>
      </c>
      <c r="D56" s="252">
        <v>9541</v>
      </c>
      <c r="E56" s="252">
        <f>(BDD[[#This Row],[SUE MENS]]/30)</f>
        <v>318.03333333333336</v>
      </c>
      <c r="F56" s="252">
        <f>BDD[[#This Row],[SUE MENS]]/2</f>
        <v>4770.5</v>
      </c>
      <c r="G56" s="315">
        <v>42213</v>
      </c>
      <c r="H56" s="243">
        <f ca="1">INT(_xlfn.DAYS(TODAY(),BDD[[#This Row],[FECHA ING.]])/365)</f>
        <v>6</v>
      </c>
      <c r="I56" s="251" t="str">
        <f>VLOOKUP(J56,TABLAS!$B$3:$G$49,2,FALSE)</f>
        <v>DIRECCIÓN</v>
      </c>
      <c r="J56" s="198" t="s">
        <v>745</v>
      </c>
      <c r="K56" s="251" t="s">
        <v>778</v>
      </c>
      <c r="L56" s="251" t="s">
        <v>763</v>
      </c>
      <c r="M56" s="251"/>
      <c r="N56" s="244" t="s">
        <v>2042</v>
      </c>
      <c r="O56" s="251" t="str">
        <f>IFERROR(VLOOKUP(BDD[[#This Row],[SUBDPTO]],TABLAS!$B$4:$D$36,3,0)," ")</f>
        <v>MARIANA RODRÍGUEZ GUTIERREZ</v>
      </c>
      <c r="P56" s="258">
        <v>42943</v>
      </c>
      <c r="Q56" s="254">
        <v>8160</v>
      </c>
      <c r="R56" s="255" t="s">
        <v>737</v>
      </c>
      <c r="S56" s="251"/>
      <c r="T56" s="251" t="s">
        <v>301</v>
      </c>
      <c r="U56" s="243">
        <f ca="1">VLOOKUP(BDD[[#This Row],[ANTIG]],DIASXANT18[#All],2)</f>
        <v>16</v>
      </c>
      <c r="V56" s="256">
        <f t="shared" si="2"/>
        <v>0.5</v>
      </c>
      <c r="W56" s="243">
        <f ca="1">BDD[[#This Row],[D.VAC.]]*BDD[[#This Row],[% P.V.]]</f>
        <v>8</v>
      </c>
      <c r="X56" s="243">
        <v>30</v>
      </c>
      <c r="Y56" s="257">
        <f ca="1">(365+BDD[[#This Row],[D.PAG.V.]]+BDD[[#This Row],[D.AG.]])/365</f>
        <v>1.1041095890410959</v>
      </c>
      <c r="Z56" s="243">
        <f ca="1">BDD[[#This Row],[SUE DIA]]*BDD[[#This Row],[FACTOR SDI]]</f>
        <v>351.14365296803658</v>
      </c>
      <c r="AA56" s="243">
        <f>BDD[[#This Row],[SUE DIA]]/9</f>
        <v>35.337037037037042</v>
      </c>
      <c r="AB56" s="251">
        <v>35578</v>
      </c>
      <c r="AC56" s="251" t="s">
        <v>912</v>
      </c>
      <c r="AD56" s="251" t="s">
        <v>809</v>
      </c>
      <c r="AE56" s="252">
        <v>8274983725</v>
      </c>
      <c r="AF56" s="251" t="s">
        <v>1124</v>
      </c>
      <c r="AG56" s="251" t="s">
        <v>774</v>
      </c>
      <c r="AH56" s="251" t="s">
        <v>730</v>
      </c>
      <c r="AI56" s="243" t="s">
        <v>151</v>
      </c>
      <c r="AJ56" s="258" cm="1">
        <f t="array" aca="1" ref="AJ56" ca="1">DATE(YEAR(FECH.CONS[FECHA DE CONSULTA:]),MONTH(BDD[[#This Row],[FECHA NAC]]),DAY(BDD[[#This Row],[FECHA NAC]]))</f>
        <v>44709</v>
      </c>
      <c r="AK56" s="243">
        <v>7</v>
      </c>
      <c r="AL56" s="261" t="s">
        <v>311</v>
      </c>
      <c r="AM56" s="251" t="s">
        <v>1541</v>
      </c>
      <c r="AN56" s="251" t="s">
        <v>1551</v>
      </c>
      <c r="AO56" s="245">
        <v>30</v>
      </c>
      <c r="AP56" s="251">
        <f ca="1">INT((TODAY()-BDD[[#This Row],[FECHA NAC]])/365)</f>
        <v>25</v>
      </c>
      <c r="AQ56" s="251">
        <v>0</v>
      </c>
      <c r="AR56" s="251">
        <f ca="1">IF(BDD[[#This Row],[ANTIG]]=0,0,1)</f>
        <v>1</v>
      </c>
      <c r="AS56" s="251"/>
      <c r="AT56" s="251"/>
      <c r="AU56" s="251"/>
      <c r="AV56" s="251"/>
      <c r="AW56" s="251"/>
      <c r="AX56" s="251"/>
      <c r="AY56" s="251"/>
      <c r="AZ56" s="251">
        <f t="shared" ca="1" si="1"/>
        <v>164</v>
      </c>
    </row>
    <row r="57" spans="1:52" ht="15" customHeight="1" x14ac:dyDescent="0.25">
      <c r="B57" s="243">
        <v>154</v>
      </c>
      <c r="C57" s="251" t="s">
        <v>118</v>
      </c>
      <c r="D57" s="263">
        <v>7445</v>
      </c>
      <c r="E57" s="252">
        <f>(BDD[[#This Row],[SUE MENS]]/30)</f>
        <v>248.16666666666666</v>
      </c>
      <c r="F57" s="252">
        <f>BDD[[#This Row],[SUE MENS]]/2</f>
        <v>3722.5</v>
      </c>
      <c r="G57" s="315">
        <v>43967</v>
      </c>
      <c r="H57" s="243">
        <f ca="1">INT(_xlfn.DAYS(TODAY(),BDD[[#This Row],[FECHA ING.]])/365)</f>
        <v>2</v>
      </c>
      <c r="I57" s="251" t="str">
        <f>VLOOKUP(J57,TABLAS!$B$3:$G$49,2,FALSE)</f>
        <v>DIV INGENRIA</v>
      </c>
      <c r="J57" s="198" t="s">
        <v>756</v>
      </c>
      <c r="K57" s="251" t="s">
        <v>778</v>
      </c>
      <c r="L57" s="251" t="s">
        <v>763</v>
      </c>
      <c r="M57" s="251"/>
      <c r="N57" s="244" t="s">
        <v>2033</v>
      </c>
      <c r="O57" s="251" t="str">
        <f>IFERROR(VLOOKUP(BDD[[#This Row],[SUBDPTO]],TABLAS!$B$4:$D$36,3,0)," ")</f>
        <v>DIEGO HERRERA GIRÓN</v>
      </c>
      <c r="P57" s="258"/>
      <c r="Q57" s="264"/>
      <c r="R57" s="244"/>
      <c r="S57" s="251"/>
      <c r="T57" s="251" t="s">
        <v>811</v>
      </c>
      <c r="U57" s="243">
        <f ca="1">VLOOKUP(BDD[[#This Row],[ANTIG]],DIASXANT18[#All],2)</f>
        <v>10</v>
      </c>
      <c r="V57" s="256">
        <f t="shared" si="2"/>
        <v>0.5</v>
      </c>
      <c r="W57" s="243">
        <f ca="1">BDD[[#This Row],[D.VAC.]]*BDD[[#This Row],[% P.V.]]</f>
        <v>5</v>
      </c>
      <c r="X57" s="243">
        <v>30</v>
      </c>
      <c r="Y57" s="257">
        <f ca="1">(365+BDD[[#This Row],[D.PAG.V.]]+BDD[[#This Row],[D.AG.]])/365</f>
        <v>1.095890410958904</v>
      </c>
      <c r="Z57" s="243">
        <f ca="1">BDD[[#This Row],[SUE DIA]]*BDD[[#This Row],[FACTOR SDI]]</f>
        <v>271.96347031963467</v>
      </c>
      <c r="AA57" s="243">
        <f>BDD[[#This Row],[SUE DIA]]/9</f>
        <v>27.574074074074073</v>
      </c>
      <c r="AB57" s="251">
        <v>32016</v>
      </c>
      <c r="AC57" s="251" t="s">
        <v>906</v>
      </c>
      <c r="AD57" s="251" t="s">
        <v>810</v>
      </c>
      <c r="AE57" s="252">
        <v>8428308984</v>
      </c>
      <c r="AF57" s="251" t="s">
        <v>1125</v>
      </c>
      <c r="AG57" s="251" t="s">
        <v>776</v>
      </c>
      <c r="AH57" s="251" t="s">
        <v>730</v>
      </c>
      <c r="AI57" s="243" t="s">
        <v>151</v>
      </c>
      <c r="AJ57" s="258" cm="1">
        <f t="array" aca="1" ref="AJ57" ca="1">DATE(YEAR(FECH.CONS[FECHA DE CONSULTA:]),MONTH(BDD[[#This Row],[FECHA NAC]]),DAY(BDD[[#This Row],[FECHA NAC]]))</f>
        <v>44800</v>
      </c>
      <c r="AK57" s="243">
        <v>6</v>
      </c>
      <c r="AL57" s="261" t="s">
        <v>324</v>
      </c>
      <c r="AM57" s="251" t="s">
        <v>1538</v>
      </c>
      <c r="AN57" s="251" t="s">
        <v>1551</v>
      </c>
      <c r="AO57" s="245">
        <v>93</v>
      </c>
      <c r="AP57" s="251">
        <f ca="1">INT((TODAY()-BDD[[#This Row],[FECHA NAC]])/365)</f>
        <v>34</v>
      </c>
      <c r="AQ57" s="251">
        <v>0</v>
      </c>
      <c r="AR57" s="251">
        <f ca="1">IF(BDD[[#This Row],[ANTIG]]=0,0,1)</f>
        <v>1</v>
      </c>
      <c r="AS57" s="251"/>
      <c r="AT57" s="251"/>
      <c r="AU57" s="251"/>
      <c r="AV57" s="251"/>
      <c r="AW57" s="251"/>
      <c r="AX57" s="251"/>
      <c r="AY57" s="251"/>
      <c r="AZ57" s="251">
        <f t="shared" ca="1" si="1"/>
        <v>131</v>
      </c>
    </row>
    <row r="58" spans="1:52" ht="15" customHeight="1" x14ac:dyDescent="0.25">
      <c r="B58" s="243">
        <v>155</v>
      </c>
      <c r="C58" s="251" t="s">
        <v>117</v>
      </c>
      <c r="D58" s="252">
        <v>7950</v>
      </c>
      <c r="E58" s="252">
        <f>(BDD[[#This Row],[SUE MENS]]/30)</f>
        <v>265</v>
      </c>
      <c r="F58" s="252">
        <f>BDD[[#This Row],[SUE MENS]]/2</f>
        <v>3975</v>
      </c>
      <c r="G58" s="315">
        <v>42684</v>
      </c>
      <c r="H58" s="243">
        <f ca="1">INT(_xlfn.DAYS(TODAY(),BDD[[#This Row],[FECHA ING.]])/365)</f>
        <v>5</v>
      </c>
      <c r="I58" s="251" t="str">
        <f>VLOOKUP(J58,TABLAS!$B$3:$G$49,2,FALSE)</f>
        <v>CPTAL HUMANO</v>
      </c>
      <c r="J58" s="198" t="s">
        <v>768</v>
      </c>
      <c r="K58" s="251" t="s">
        <v>778</v>
      </c>
      <c r="L58" s="251" t="s">
        <v>763</v>
      </c>
      <c r="M58" s="251"/>
      <c r="N58" s="244" t="s">
        <v>2016</v>
      </c>
      <c r="O58" s="251" t="str">
        <f>IFERROR(VLOOKUP(BDD[[#This Row],[SUBDPTO]],TABLAS!$B$4:$D$36,3,0)," ")</f>
        <v>EMMA DARIELA GARCÍA LORCA</v>
      </c>
      <c r="P58" s="258">
        <f>BDD[[#This Row],[FECHA ING.]]+1000</f>
        <v>43684</v>
      </c>
      <c r="Q58" s="254">
        <v>5211.5</v>
      </c>
      <c r="R58" s="251" t="s">
        <v>283</v>
      </c>
      <c r="S58" s="251"/>
      <c r="T58" s="251" t="s">
        <v>301</v>
      </c>
      <c r="U58" s="243">
        <f ca="1">VLOOKUP(BDD[[#This Row],[ANTIG]],DIASXANT18[#All],2)</f>
        <v>16</v>
      </c>
      <c r="V58" s="256">
        <f t="shared" si="2"/>
        <v>0.5</v>
      </c>
      <c r="W58" s="243">
        <f ca="1">BDD[[#This Row],[D.VAC.]]*BDD[[#This Row],[% P.V.]]</f>
        <v>8</v>
      </c>
      <c r="X58" s="243">
        <v>30</v>
      </c>
      <c r="Y58" s="257">
        <f ca="1">(365+BDD[[#This Row],[D.PAG.V.]]+BDD[[#This Row],[D.AG.]])/365</f>
        <v>1.1041095890410959</v>
      </c>
      <c r="Z58" s="243">
        <f ca="1">BDD[[#This Row],[SUE DIA]]*BDD[[#This Row],[FACTOR SDI]]</f>
        <v>292.58904109589042</v>
      </c>
      <c r="AA58" s="243">
        <f>BDD[[#This Row],[SUE DIA]]/9</f>
        <v>29.444444444444443</v>
      </c>
      <c r="AB58" s="251">
        <v>31773</v>
      </c>
      <c r="AC58" s="251" t="s">
        <v>913</v>
      </c>
      <c r="AD58" s="251" t="s">
        <v>790</v>
      </c>
      <c r="AE58" s="252">
        <v>8987422816</v>
      </c>
      <c r="AF58" s="251" t="s">
        <v>1126</v>
      </c>
      <c r="AG58" s="251" t="s">
        <v>776</v>
      </c>
      <c r="AH58" s="251" t="s">
        <v>730</v>
      </c>
      <c r="AI58" s="243" t="s">
        <v>153</v>
      </c>
      <c r="AJ58" s="258" cm="1">
        <f t="array" aca="1" ref="AJ58" ca="1">DATE(YEAR(FECH.CONS[FECHA DE CONSULTA:]),MONTH(BDD[[#This Row],[FECHA NAC]]),DAY(BDD[[#This Row],[FECHA NAC]]))</f>
        <v>44922</v>
      </c>
      <c r="AK58" s="243">
        <v>6</v>
      </c>
      <c r="AL58" s="261" t="s">
        <v>311</v>
      </c>
      <c r="AM58" s="251" t="s">
        <v>1545</v>
      </c>
      <c r="AN58" s="251" t="s">
        <v>1551</v>
      </c>
      <c r="AO58" s="245">
        <v>39</v>
      </c>
      <c r="AP58" s="251">
        <f ca="1">INT((TODAY()-BDD[[#This Row],[FECHA NAC]])/365)</f>
        <v>35</v>
      </c>
      <c r="AQ58" s="251">
        <v>0</v>
      </c>
      <c r="AR58" s="251">
        <f ca="1">IF(BDD[[#This Row],[ANTIG]]=0,0,1)</f>
        <v>1</v>
      </c>
      <c r="AS58" s="251"/>
      <c r="AT58" s="251"/>
      <c r="AU58" s="251"/>
      <c r="AV58" s="251"/>
      <c r="AW58" s="251"/>
      <c r="AX58" s="251"/>
      <c r="AY58" s="251"/>
      <c r="AZ58" s="251">
        <f t="shared" ca="1" si="1"/>
        <v>983</v>
      </c>
    </row>
    <row r="59" spans="1:52" ht="15" customHeight="1" x14ac:dyDescent="0.25">
      <c r="B59" s="243">
        <v>156</v>
      </c>
      <c r="C59" s="251" t="s">
        <v>1636</v>
      </c>
      <c r="D59" s="252">
        <v>9450</v>
      </c>
      <c r="E59" s="252">
        <f>(BDD[[#This Row],[SUE MENS]]/30)</f>
        <v>315</v>
      </c>
      <c r="F59" s="252">
        <f>BDD[[#This Row],[SUE MENS]]/2</f>
        <v>4725</v>
      </c>
      <c r="G59" s="315">
        <v>42369</v>
      </c>
      <c r="H59" s="243">
        <f ca="1">INT(_xlfn.DAYS(TODAY(),BDD[[#This Row],[FECHA ING.]])/365)</f>
        <v>6</v>
      </c>
      <c r="I59" s="251" t="str">
        <f>VLOOKUP(J59,TABLAS!$B$3:$G$49,2,FALSE)</f>
        <v>DIRECCIÓN</v>
      </c>
      <c r="J59" s="198" t="s">
        <v>746</v>
      </c>
      <c r="K59" s="251" t="s">
        <v>778</v>
      </c>
      <c r="L59" s="251" t="s">
        <v>763</v>
      </c>
      <c r="M59" s="251"/>
      <c r="N59" s="244" t="s">
        <v>2015</v>
      </c>
      <c r="O59" s="251" t="str">
        <f>IFERROR(VLOOKUP(BDD[[#This Row],[SUBDPTO]],TABLAS!$B$4:$D$36,3,0)," ")</f>
        <v>MARIANA RODRÍGUEZ GUTIERREZ</v>
      </c>
      <c r="P59" s="258">
        <v>42734</v>
      </c>
      <c r="Q59" s="254">
        <v>6160</v>
      </c>
      <c r="R59" s="255" t="s">
        <v>741</v>
      </c>
      <c r="S59" s="251"/>
      <c r="T59" s="251" t="s">
        <v>811</v>
      </c>
      <c r="U59" s="243">
        <f ca="1">VLOOKUP(BDD[[#This Row],[ANTIG]],DIASXANT18[#All],2)</f>
        <v>16</v>
      </c>
      <c r="V59" s="256">
        <f t="shared" si="2"/>
        <v>0.5</v>
      </c>
      <c r="W59" s="243">
        <f ca="1">BDD[[#This Row],[D.VAC.]]*BDD[[#This Row],[% P.V.]]</f>
        <v>8</v>
      </c>
      <c r="X59" s="243">
        <v>30</v>
      </c>
      <c r="Y59" s="257">
        <f ca="1">(365+BDD[[#This Row],[D.PAG.V.]]+BDD[[#This Row],[D.AG.]])/365</f>
        <v>1.1041095890410959</v>
      </c>
      <c r="Z59" s="243">
        <f ca="1">BDD[[#This Row],[SUE DIA]]*BDD[[#This Row],[FACTOR SDI]]</f>
        <v>347.79452054794518</v>
      </c>
      <c r="AA59" s="243">
        <f>BDD[[#This Row],[SUE DIA]]/9</f>
        <v>35</v>
      </c>
      <c r="AB59" s="251">
        <v>35029</v>
      </c>
      <c r="AC59" s="251" t="s">
        <v>914</v>
      </c>
      <c r="AD59" s="251" t="s">
        <v>789</v>
      </c>
      <c r="AE59" s="252">
        <v>8284424025</v>
      </c>
      <c r="AF59" s="251" t="s">
        <v>1126</v>
      </c>
      <c r="AG59" s="251" t="s">
        <v>776</v>
      </c>
      <c r="AH59" s="251" t="s">
        <v>730</v>
      </c>
      <c r="AI59" s="243" t="s">
        <v>151</v>
      </c>
      <c r="AJ59" s="258" cm="1">
        <f t="array" aca="1" ref="AJ59" ca="1">DATE(YEAR(FECH.CONS[FECHA DE CONSULTA:]),MONTH(BDD[[#This Row],[FECHA NAC]]),DAY(BDD[[#This Row],[FECHA NAC]]))</f>
        <v>44891</v>
      </c>
      <c r="AK59" s="243">
        <v>7</v>
      </c>
      <c r="AL59" s="261" t="s">
        <v>312</v>
      </c>
      <c r="AM59" s="251" t="s">
        <v>1537</v>
      </c>
      <c r="AN59" s="251" t="s">
        <v>1551</v>
      </c>
      <c r="AO59" s="245">
        <v>57</v>
      </c>
      <c r="AP59" s="251">
        <f ca="1">INT((TODAY()-BDD[[#This Row],[FECHA NAC]])/365)</f>
        <v>26</v>
      </c>
      <c r="AQ59" s="251">
        <v>1</v>
      </c>
      <c r="AR59" s="251">
        <f ca="1">IF(BDD[[#This Row],[ANTIG]]=0,0,1)</f>
        <v>1</v>
      </c>
      <c r="AS59" s="251"/>
      <c r="AT59" s="251"/>
      <c r="AU59" s="251"/>
      <c r="AV59" s="251"/>
      <c r="AW59" s="251"/>
      <c r="AX59" s="251"/>
      <c r="AY59" s="251"/>
      <c r="AZ59" s="251">
        <f t="shared" ca="1" si="1"/>
        <v>117</v>
      </c>
    </row>
    <row r="60" spans="1:52" ht="15" customHeight="1" x14ac:dyDescent="0.25">
      <c r="B60" s="243">
        <v>158</v>
      </c>
      <c r="C60" s="251" t="s">
        <v>861</v>
      </c>
      <c r="D60" s="252">
        <v>10860</v>
      </c>
      <c r="E60" s="252">
        <f>(BDD[[#This Row],[SUE MENS]]/30)</f>
        <v>362</v>
      </c>
      <c r="F60" s="252">
        <f>BDD[[#This Row],[SUE MENS]]/2</f>
        <v>5430</v>
      </c>
      <c r="G60" s="315">
        <v>38875</v>
      </c>
      <c r="H60" s="243">
        <f ca="1">INT(_xlfn.DAYS(TODAY(),BDD[[#This Row],[FECHA ING.]])/365)</f>
        <v>16</v>
      </c>
      <c r="I60" s="251" t="str">
        <f>VLOOKUP(J60,TABLAS!$B$3:$G$49,2,FALSE)</f>
        <v>DIRECCIÓN</v>
      </c>
      <c r="J60" s="198" t="s">
        <v>746</v>
      </c>
      <c r="K60" s="251" t="s">
        <v>778</v>
      </c>
      <c r="L60" s="251" t="s">
        <v>763</v>
      </c>
      <c r="M60" s="251"/>
      <c r="N60" s="244" t="s">
        <v>2077</v>
      </c>
      <c r="O60" s="251" t="str">
        <f>IFERROR(VLOOKUP(BDD[[#This Row],[SUBDPTO]],TABLAS!$B$4:$D$36,3,0)," ")</f>
        <v>MARIANA RODRÍGUEZ GUTIERREZ</v>
      </c>
      <c r="P60" s="258">
        <v>43812</v>
      </c>
      <c r="Q60" s="264">
        <f>D49*0.8</f>
        <v>7560</v>
      </c>
      <c r="R60" s="255" t="s">
        <v>743</v>
      </c>
      <c r="S60" s="251"/>
      <c r="T60" s="251" t="s">
        <v>301</v>
      </c>
      <c r="U60" s="243">
        <f ca="1">VLOOKUP(BDD[[#This Row],[ANTIG]],DIASXANT18[#All],2)</f>
        <v>20</v>
      </c>
      <c r="V60" s="256">
        <f t="shared" si="2"/>
        <v>0.5</v>
      </c>
      <c r="W60" s="243">
        <f ca="1">BDD[[#This Row],[D.VAC.]]*BDD[[#This Row],[% P.V.]]</f>
        <v>10</v>
      </c>
      <c r="X60" s="243">
        <v>30</v>
      </c>
      <c r="Y60" s="257">
        <f ca="1">(365+BDD[[#This Row],[D.PAG.V.]]+BDD[[#This Row],[D.AG.]])/365</f>
        <v>1.1095890410958904</v>
      </c>
      <c r="Z60" s="243">
        <f ca="1">BDD[[#This Row],[SUE DIA]]*BDD[[#This Row],[FACTOR SDI]]</f>
        <v>401.67123287671234</v>
      </c>
      <c r="AA60" s="243">
        <f>BDD[[#This Row],[SUE DIA]]/9</f>
        <v>40.222222222222221</v>
      </c>
      <c r="AB60" s="251">
        <v>31334</v>
      </c>
      <c r="AC60" s="251" t="s">
        <v>908</v>
      </c>
      <c r="AD60" s="251" t="s">
        <v>791</v>
      </c>
      <c r="AE60" s="252">
        <v>8485693191</v>
      </c>
      <c r="AF60" s="251" t="s">
        <v>1127</v>
      </c>
      <c r="AG60" s="251" t="s">
        <v>773</v>
      </c>
      <c r="AH60" s="251" t="s">
        <v>730</v>
      </c>
      <c r="AI60" s="243" t="s">
        <v>151</v>
      </c>
      <c r="AJ60" s="258" cm="1">
        <f t="array" aca="1" ref="AJ60" ca="1">DATE(YEAR(FECH.CONS[FECHA DE CONSULTA:]),MONTH(BDD[[#This Row],[FECHA NAC]]),DAY(BDD[[#This Row],[FECHA NAC]]))</f>
        <v>44848</v>
      </c>
      <c r="AK60" s="243">
        <v>10</v>
      </c>
      <c r="AL60" s="261" t="s">
        <v>311</v>
      </c>
      <c r="AM60" s="251" t="s">
        <v>1535</v>
      </c>
      <c r="AN60" s="251" t="s">
        <v>1551</v>
      </c>
      <c r="AO60" s="245">
        <v>50</v>
      </c>
      <c r="AP60" s="251">
        <f ca="1">INT((TODAY()-BDD[[#This Row],[FECHA NAC]])/365)</f>
        <v>36</v>
      </c>
      <c r="AQ60" s="251">
        <v>3</v>
      </c>
      <c r="AR60" s="251">
        <f ca="1">IF(BDD[[#This Row],[ANTIG]]=0,0,1)</f>
        <v>1</v>
      </c>
      <c r="AS60" s="251"/>
      <c r="AT60" s="251"/>
      <c r="AU60" s="251"/>
      <c r="AV60" s="251"/>
      <c r="AW60" s="251"/>
      <c r="AX60" s="251"/>
      <c r="AY60" s="251"/>
      <c r="AZ60" s="251">
        <f t="shared" ca="1" si="1"/>
        <v>701</v>
      </c>
    </row>
    <row r="61" spans="1:52" ht="15" customHeight="1" x14ac:dyDescent="0.25">
      <c r="B61" s="243">
        <v>159</v>
      </c>
      <c r="C61" s="251" t="s">
        <v>1630</v>
      </c>
      <c r="D61" s="263">
        <v>7445</v>
      </c>
      <c r="E61" s="252">
        <f>(BDD[[#This Row],[SUE MENS]]/30)</f>
        <v>248.16666666666666</v>
      </c>
      <c r="F61" s="252">
        <f>BDD[[#This Row],[SUE MENS]]/2</f>
        <v>3722.5</v>
      </c>
      <c r="G61" s="315">
        <v>43957</v>
      </c>
      <c r="H61" s="243">
        <f ca="1">INT(_xlfn.DAYS(TODAY(),BDD[[#This Row],[FECHA ING.]])/365)</f>
        <v>2</v>
      </c>
      <c r="I61" s="251" t="str">
        <f>VLOOKUP(J61,TABLAS!$B$3:$G$49,2,FALSE)</f>
        <v>FINANZAS</v>
      </c>
      <c r="J61" s="198" t="s">
        <v>748</v>
      </c>
      <c r="K61" s="251" t="s">
        <v>778</v>
      </c>
      <c r="L61" s="251" t="s">
        <v>763</v>
      </c>
      <c r="M61" s="251"/>
      <c r="N61" s="277" t="s">
        <v>2007</v>
      </c>
      <c r="O61" s="251" t="str">
        <f>IFERROR(VLOOKUP(BDD[[#This Row],[SUBDPTO]],TABLAS!$B$4:$D$36,3,0)," ")</f>
        <v>MARIANO ALDEBARÁN</v>
      </c>
      <c r="P61" s="258"/>
      <c r="Q61" s="264"/>
      <c r="R61" s="244"/>
      <c r="S61" s="251"/>
      <c r="T61" s="251" t="s">
        <v>301</v>
      </c>
      <c r="U61" s="243">
        <f ca="1">VLOOKUP(BDD[[#This Row],[ANTIG]],DIASXANT18[#All],2)</f>
        <v>10</v>
      </c>
      <c r="V61" s="256">
        <f t="shared" si="2"/>
        <v>0.5</v>
      </c>
      <c r="W61" s="243">
        <f ca="1">BDD[[#This Row],[D.VAC.]]*BDD[[#This Row],[% P.V.]]</f>
        <v>5</v>
      </c>
      <c r="X61" s="243">
        <v>30</v>
      </c>
      <c r="Y61" s="257">
        <f ca="1">(365+BDD[[#This Row],[D.PAG.V.]]+BDD[[#This Row],[D.AG.]])/365</f>
        <v>1.095890410958904</v>
      </c>
      <c r="Z61" s="243">
        <f ca="1">BDD[[#This Row],[SUE DIA]]*BDD[[#This Row],[FACTOR SDI]]</f>
        <v>271.96347031963467</v>
      </c>
      <c r="AA61" s="243">
        <f>BDD[[#This Row],[SUE DIA]]/9</f>
        <v>27.574074074074073</v>
      </c>
      <c r="AB61" s="251">
        <v>29637</v>
      </c>
      <c r="AC61" s="251" t="s">
        <v>915</v>
      </c>
      <c r="AD61" s="251" t="s">
        <v>786</v>
      </c>
      <c r="AE61" s="252">
        <v>8236470880</v>
      </c>
      <c r="AF61" s="251" t="s">
        <v>1128</v>
      </c>
      <c r="AG61" s="251" t="s">
        <v>777</v>
      </c>
      <c r="AH61" s="251" t="s">
        <v>1555</v>
      </c>
      <c r="AI61" s="243" t="s">
        <v>151</v>
      </c>
      <c r="AJ61" s="258" cm="1">
        <f t="array" aca="1" ref="AJ61" ca="1">DATE(YEAR(FECH.CONS[FECHA DE CONSULTA:]),MONTH(BDD[[#This Row],[FECHA NAC]]),DAY(BDD[[#This Row],[FECHA NAC]]))</f>
        <v>44612</v>
      </c>
      <c r="AK61" s="243"/>
      <c r="AL61" s="261" t="s">
        <v>311</v>
      </c>
      <c r="AM61" s="251" t="s">
        <v>1535</v>
      </c>
      <c r="AN61" s="251" t="s">
        <v>1551</v>
      </c>
      <c r="AO61" s="245">
        <v>83</v>
      </c>
      <c r="AP61" s="251">
        <f ca="1">INT((TODAY()-BDD[[#This Row],[FECHA NAC]])/365)</f>
        <v>41</v>
      </c>
      <c r="AQ61" s="251">
        <v>2</v>
      </c>
      <c r="AR61" s="251">
        <f ca="1">IF(BDD[[#This Row],[ANTIG]]=0,0,1)</f>
        <v>1</v>
      </c>
      <c r="AS61" s="251"/>
      <c r="AT61" s="251"/>
      <c r="AU61" s="251"/>
      <c r="AV61" s="251"/>
      <c r="AW61" s="251"/>
      <c r="AX61" s="251"/>
      <c r="AY61" s="251"/>
      <c r="AZ61" s="251">
        <f t="shared" ca="1" si="1"/>
        <v>754</v>
      </c>
    </row>
    <row r="62" spans="1:52" ht="15" customHeight="1" x14ac:dyDescent="0.25">
      <c r="B62" s="243">
        <v>161</v>
      </c>
      <c r="C62" s="251" t="s">
        <v>114</v>
      </c>
      <c r="D62" s="263">
        <v>7445</v>
      </c>
      <c r="E62" s="252">
        <f>(BDD[[#This Row],[SUE MENS]]/30)</f>
        <v>248.16666666666666</v>
      </c>
      <c r="F62" s="252">
        <f>BDD[[#This Row],[SUE MENS]]/2</f>
        <v>3722.5</v>
      </c>
      <c r="G62" s="315">
        <v>43291</v>
      </c>
      <c r="H62" s="243">
        <f ca="1">INT(_xlfn.DAYS(TODAY(),BDD[[#This Row],[FECHA ING.]])/365)</f>
        <v>4</v>
      </c>
      <c r="I62" s="251" t="str">
        <f>VLOOKUP(J62,TABLAS!$B$3:$G$49,2,FALSE)</f>
        <v>DIV ARQUIT</v>
      </c>
      <c r="J62" s="198" t="s">
        <v>741</v>
      </c>
      <c r="K62" s="251" t="s">
        <v>778</v>
      </c>
      <c r="L62" s="251" t="s">
        <v>763</v>
      </c>
      <c r="M62" s="251"/>
      <c r="N62" s="244" t="s">
        <v>1987</v>
      </c>
      <c r="O62" s="251" t="str">
        <f>IFERROR(VLOOKUP(BDD[[#This Row],[SUBDPTO]],TABLAS!$B$4:$D$36,3,0)," ")</f>
        <v>MÉRIDA ISELA MEDINA SALINAS</v>
      </c>
      <c r="P62" s="258">
        <v>43384</v>
      </c>
      <c r="Q62" s="254">
        <v>5760</v>
      </c>
      <c r="R62" s="255" t="s">
        <v>759</v>
      </c>
      <c r="S62" s="251"/>
      <c r="T62" s="251" t="s">
        <v>811</v>
      </c>
      <c r="U62" s="243">
        <f ca="1">VLOOKUP(BDD[[#This Row],[ANTIG]],DIASXANT18[#All],2)</f>
        <v>14</v>
      </c>
      <c r="V62" s="256">
        <f t="shared" si="2"/>
        <v>0.5</v>
      </c>
      <c r="W62" s="243">
        <f ca="1">BDD[[#This Row],[D.VAC.]]*BDD[[#This Row],[% P.V.]]</f>
        <v>7</v>
      </c>
      <c r="X62" s="243">
        <v>30</v>
      </c>
      <c r="Y62" s="257">
        <f ca="1">(365+BDD[[#This Row],[D.PAG.V.]]+BDD[[#This Row],[D.AG.]])/365</f>
        <v>1.1013698630136985</v>
      </c>
      <c r="Z62" s="243">
        <f ca="1">BDD[[#This Row],[SUE DIA]]*BDD[[#This Row],[FACTOR SDI]]</f>
        <v>273.32328767123283</v>
      </c>
      <c r="AA62" s="243">
        <f>BDD[[#This Row],[SUE DIA]]/9</f>
        <v>27.574074074074073</v>
      </c>
      <c r="AB62" s="251">
        <v>33988</v>
      </c>
      <c r="AC62" s="251" t="s">
        <v>872</v>
      </c>
      <c r="AD62" s="251" t="s">
        <v>792</v>
      </c>
      <c r="AE62" s="252">
        <v>8278319855</v>
      </c>
      <c r="AF62" s="251" t="s">
        <v>1129</v>
      </c>
      <c r="AG62" s="251" t="s">
        <v>776</v>
      </c>
      <c r="AH62" s="251" t="s">
        <v>730</v>
      </c>
      <c r="AI62" s="243" t="s">
        <v>151</v>
      </c>
      <c r="AJ62" s="258" cm="1">
        <f t="array" aca="1" ref="AJ62" ca="1">DATE(YEAR(FECH.CONS[FECHA DE CONSULTA:]),MONTH(BDD[[#This Row],[FECHA NAC]]),DAY(BDD[[#This Row],[FECHA NAC]]))</f>
        <v>44580</v>
      </c>
      <c r="AK62" s="243">
        <v>8</v>
      </c>
      <c r="AL62" s="261" t="s">
        <v>311</v>
      </c>
      <c r="AM62" s="251" t="s">
        <v>1543</v>
      </c>
      <c r="AN62" s="251" t="s">
        <v>1551</v>
      </c>
      <c r="AO62" s="245">
        <v>37</v>
      </c>
      <c r="AP62" s="251">
        <f ca="1">INT((TODAY()-BDD[[#This Row],[FECHA NAC]])/365)</f>
        <v>29</v>
      </c>
      <c r="AQ62" s="251">
        <v>1</v>
      </c>
      <c r="AR62" s="251">
        <f ca="1">IF(BDD[[#This Row],[ANTIG]]=0,0,1)</f>
        <v>1</v>
      </c>
      <c r="AS62" s="251"/>
      <c r="AT62" s="251"/>
      <c r="AU62" s="251"/>
      <c r="AV62" s="251"/>
      <c r="AW62" s="251"/>
      <c r="AX62" s="251"/>
      <c r="AY62" s="251"/>
      <c r="AZ62" s="251">
        <f t="shared" ca="1" si="1"/>
        <v>269</v>
      </c>
    </row>
    <row r="63" spans="1:52" ht="15" customHeight="1" x14ac:dyDescent="0.25">
      <c r="B63" s="243">
        <v>162</v>
      </c>
      <c r="C63" s="251" t="s">
        <v>113</v>
      </c>
      <c r="D63" s="263">
        <v>7445</v>
      </c>
      <c r="E63" s="252">
        <f>(BDD[[#This Row],[SUE MENS]]/30)</f>
        <v>248.16666666666666</v>
      </c>
      <c r="F63" s="252">
        <f>BDD[[#This Row],[SUE MENS]]/2</f>
        <v>3722.5</v>
      </c>
      <c r="G63" s="315">
        <v>42740</v>
      </c>
      <c r="H63" s="243">
        <f ca="1">INT(_xlfn.DAYS(TODAY(),BDD[[#This Row],[FECHA ING.]])/365)</f>
        <v>5</v>
      </c>
      <c r="I63" s="251" t="str">
        <f>VLOOKUP(J63,TABLAS!$B$3:$G$49,2,FALSE)</f>
        <v>AUDITORÍA</v>
      </c>
      <c r="J63" s="198" t="s">
        <v>735</v>
      </c>
      <c r="K63" s="251" t="s">
        <v>778</v>
      </c>
      <c r="L63" s="251" t="s">
        <v>763</v>
      </c>
      <c r="M63" s="251"/>
      <c r="N63" s="244" t="s">
        <v>1955</v>
      </c>
      <c r="O63" s="251" t="str">
        <f>IFERROR(VLOOKUP(BDD[[#This Row],[SUBDPTO]],TABLAS!$B$4:$D$36,3,0)," ")</f>
        <v>MARCO AURELIO URBINO</v>
      </c>
      <c r="P63" s="258">
        <v>43955</v>
      </c>
      <c r="Q63" s="254">
        <v>5088</v>
      </c>
      <c r="R63" s="255" t="s">
        <v>743</v>
      </c>
      <c r="S63" s="251"/>
      <c r="T63" s="251" t="s">
        <v>811</v>
      </c>
      <c r="U63" s="243">
        <f ca="1">VLOOKUP(BDD[[#This Row],[ANTIG]],DIASXANT18[#All],2)</f>
        <v>16</v>
      </c>
      <c r="V63" s="256">
        <f t="shared" si="2"/>
        <v>0.5</v>
      </c>
      <c r="W63" s="243">
        <f ca="1">BDD[[#This Row],[D.VAC.]]*BDD[[#This Row],[% P.V.]]</f>
        <v>8</v>
      </c>
      <c r="X63" s="243">
        <v>30</v>
      </c>
      <c r="Y63" s="257">
        <f ca="1">(365+BDD[[#This Row],[D.PAG.V.]]+BDD[[#This Row],[D.AG.]])/365</f>
        <v>1.1041095890410959</v>
      </c>
      <c r="Z63" s="243">
        <f ca="1">BDD[[#This Row],[SUE DIA]]*BDD[[#This Row],[FACTOR SDI]]</f>
        <v>274.00319634703197</v>
      </c>
      <c r="AA63" s="243">
        <f>BDD[[#This Row],[SUE DIA]]/9</f>
        <v>27.574074074074073</v>
      </c>
      <c r="AB63" s="251">
        <v>30400</v>
      </c>
      <c r="AC63" s="251" t="s">
        <v>885</v>
      </c>
      <c r="AD63" s="251" t="s">
        <v>787</v>
      </c>
      <c r="AE63" s="252">
        <v>3321548799</v>
      </c>
      <c r="AF63" s="251" t="s">
        <v>1130</v>
      </c>
      <c r="AG63" s="251" t="s">
        <v>776</v>
      </c>
      <c r="AH63" s="251" t="s">
        <v>730</v>
      </c>
      <c r="AI63" s="243" t="s">
        <v>151</v>
      </c>
      <c r="AJ63" s="258" cm="1">
        <f t="array" aca="1" ref="AJ63" ca="1">DATE(YEAR(FECH.CONS[FECHA DE CONSULTA:]),MONTH(BDD[[#This Row],[FECHA NAC]]),DAY(BDD[[#This Row],[FECHA NAC]]))</f>
        <v>44645</v>
      </c>
      <c r="AK63" s="243">
        <v>7</v>
      </c>
      <c r="AL63" s="261" t="s">
        <v>311</v>
      </c>
      <c r="AM63" s="251" t="s">
        <v>1533</v>
      </c>
      <c r="AN63" s="251" t="s">
        <v>1551</v>
      </c>
      <c r="AO63" s="245">
        <v>61</v>
      </c>
      <c r="AP63" s="251">
        <f ca="1">INT((TODAY()-BDD[[#This Row],[FECHA NAC]])/365)</f>
        <v>39</v>
      </c>
      <c r="AQ63" s="251">
        <v>3</v>
      </c>
      <c r="AR63" s="251">
        <f ca="1">IF(BDD[[#This Row],[ANTIG]]=0,0,1)</f>
        <v>1</v>
      </c>
      <c r="AS63" s="251"/>
      <c r="AT63" s="251"/>
      <c r="AU63" s="251"/>
      <c r="AV63" s="251"/>
      <c r="AW63" s="251"/>
      <c r="AX63" s="251"/>
      <c r="AY63" s="251"/>
      <c r="AZ63" s="251">
        <f t="shared" ca="1" si="1"/>
        <v>707</v>
      </c>
    </row>
    <row r="64" spans="1:52" ht="15" customHeight="1" x14ac:dyDescent="0.25">
      <c r="B64" s="243">
        <v>163</v>
      </c>
      <c r="C64" s="251" t="s">
        <v>112</v>
      </c>
      <c r="D64" s="252">
        <v>9541</v>
      </c>
      <c r="E64" s="252">
        <f>(BDD[[#This Row],[SUE MENS]]/30)</f>
        <v>318.03333333333336</v>
      </c>
      <c r="F64" s="252">
        <f>BDD[[#This Row],[SUE MENS]]/2</f>
        <v>4770.5</v>
      </c>
      <c r="G64" s="315">
        <v>42030</v>
      </c>
      <c r="H64" s="243">
        <f ca="1">INT(_xlfn.DAYS(TODAY(),BDD[[#This Row],[FECHA ING.]])/365)</f>
        <v>7</v>
      </c>
      <c r="I64" s="251" t="str">
        <f>VLOOKUP(J64,TABLAS!$B$3:$G$49,2,FALSE)</f>
        <v>CPTAL HUMANO</v>
      </c>
      <c r="J64" s="198" t="s">
        <v>768</v>
      </c>
      <c r="K64" s="251" t="s">
        <v>778</v>
      </c>
      <c r="L64" s="251" t="s">
        <v>763</v>
      </c>
      <c r="M64" s="251"/>
      <c r="N64" s="244" t="s">
        <v>1942</v>
      </c>
      <c r="O64" s="251" t="str">
        <f>IFERROR(VLOOKUP(BDD[[#This Row],[SUBDPTO]],TABLAS!$B$4:$D$36,3,0)," ")</f>
        <v>EMMA DARIELA GARCÍA LORCA</v>
      </c>
      <c r="P64" s="258">
        <v>42395</v>
      </c>
      <c r="Q64" s="254">
        <v>6580</v>
      </c>
      <c r="R64" s="255" t="s">
        <v>744</v>
      </c>
      <c r="S64" s="251"/>
      <c r="T64" s="251" t="s">
        <v>811</v>
      </c>
      <c r="U64" s="243">
        <f ca="1">VLOOKUP(BDD[[#This Row],[ANTIG]],DIASXANT18[#All],2)</f>
        <v>16</v>
      </c>
      <c r="V64" s="256">
        <f t="shared" si="2"/>
        <v>0.5</v>
      </c>
      <c r="W64" s="243">
        <f ca="1">BDD[[#This Row],[D.VAC.]]*BDD[[#This Row],[% P.V.]]</f>
        <v>8</v>
      </c>
      <c r="X64" s="243">
        <v>30</v>
      </c>
      <c r="Y64" s="257">
        <f ca="1">(365+BDD[[#This Row],[D.PAG.V.]]+BDD[[#This Row],[D.AG.]])/365</f>
        <v>1.1041095890410959</v>
      </c>
      <c r="Z64" s="243">
        <f ca="1">BDD[[#This Row],[SUE DIA]]*BDD[[#This Row],[FACTOR SDI]]</f>
        <v>351.14365296803658</v>
      </c>
      <c r="AA64" s="243">
        <f>BDD[[#This Row],[SUE DIA]]/9</f>
        <v>35.337037037037042</v>
      </c>
      <c r="AB64" s="251">
        <v>31517</v>
      </c>
      <c r="AC64" s="251" t="s">
        <v>916</v>
      </c>
      <c r="AD64" s="251" t="s">
        <v>789</v>
      </c>
      <c r="AE64" s="252">
        <v>8344154745</v>
      </c>
      <c r="AF64" s="251" t="s">
        <v>1131</v>
      </c>
      <c r="AG64" s="251" t="s">
        <v>776</v>
      </c>
      <c r="AH64" s="251" t="s">
        <v>730</v>
      </c>
      <c r="AI64" s="243" t="s">
        <v>151</v>
      </c>
      <c r="AJ64" s="258" cm="1">
        <f t="array" aca="1" ref="AJ64" ca="1">DATE(YEAR(FECH.CONS[FECHA DE CONSULTA:]),MONTH(BDD[[#This Row],[FECHA NAC]]),DAY(BDD[[#This Row],[FECHA NAC]]))</f>
        <v>44666</v>
      </c>
      <c r="AK64" s="243">
        <v>9</v>
      </c>
      <c r="AL64" s="261" t="s">
        <v>312</v>
      </c>
      <c r="AM64" s="251" t="s">
        <v>1544</v>
      </c>
      <c r="AN64" s="251" t="s">
        <v>1551</v>
      </c>
      <c r="AO64" s="245">
        <v>94</v>
      </c>
      <c r="AP64" s="251">
        <f ca="1">INT((TODAY()-BDD[[#This Row],[FECHA NAC]])/365)</f>
        <v>36</v>
      </c>
      <c r="AQ64" s="251">
        <v>1</v>
      </c>
      <c r="AR64" s="251">
        <f ca="1">IF(BDD[[#This Row],[ANTIG]]=0,0,1)</f>
        <v>1</v>
      </c>
      <c r="AS64" s="251"/>
      <c r="AT64" s="251"/>
      <c r="AU64" s="251"/>
      <c r="AV64" s="251"/>
      <c r="AW64" s="251"/>
      <c r="AX64" s="251"/>
      <c r="AY64" s="251"/>
      <c r="AZ64" s="251">
        <f t="shared" ca="1" si="1"/>
        <v>373</v>
      </c>
    </row>
    <row r="65" spans="2:52" ht="15" customHeight="1" x14ac:dyDescent="0.25">
      <c r="B65" s="243">
        <v>165</v>
      </c>
      <c r="C65" s="251" t="s">
        <v>110</v>
      </c>
      <c r="D65" s="263">
        <v>7445</v>
      </c>
      <c r="E65" s="252">
        <f>(BDD[[#This Row],[SUE MENS]]/30)</f>
        <v>248.16666666666666</v>
      </c>
      <c r="F65" s="252">
        <f>BDD[[#This Row],[SUE MENS]]/2</f>
        <v>3722.5</v>
      </c>
      <c r="G65" s="315">
        <v>43904</v>
      </c>
      <c r="H65" s="243">
        <f ca="1">INT(_xlfn.DAYS(TODAY(),BDD[[#This Row],[FECHA ING.]])/365)</f>
        <v>2</v>
      </c>
      <c r="I65" s="251" t="str">
        <f>VLOOKUP(J65,TABLAS!$B$3:$G$49,2,FALSE)</f>
        <v>CPTAL HUMANO</v>
      </c>
      <c r="J65" s="244" t="s">
        <v>767</v>
      </c>
      <c r="K65" s="251" t="s">
        <v>778</v>
      </c>
      <c r="L65" s="251" t="s">
        <v>763</v>
      </c>
      <c r="M65" s="251"/>
      <c r="N65" s="244" t="s">
        <v>1894</v>
      </c>
      <c r="O65" s="251" t="str">
        <f>IFERROR(VLOOKUP(BDD[[#This Row],[SUBDPTO]],TABLAS!$B$4:$D$36,3,0)," ")</f>
        <v>EMMA DARIELA GARCÍA LORCA</v>
      </c>
      <c r="P65" s="258"/>
      <c r="Q65" s="264"/>
      <c r="R65" s="244"/>
      <c r="S65" s="251"/>
      <c r="T65" s="251" t="s">
        <v>811</v>
      </c>
      <c r="U65" s="243">
        <f ca="1">VLOOKUP(BDD[[#This Row],[ANTIG]],DIASXANT18[#All],2)</f>
        <v>10</v>
      </c>
      <c r="V65" s="256">
        <f t="shared" si="2"/>
        <v>0.5</v>
      </c>
      <c r="W65" s="243">
        <f ca="1">BDD[[#This Row],[D.VAC.]]*BDD[[#This Row],[% P.V.]]</f>
        <v>5</v>
      </c>
      <c r="X65" s="243">
        <v>30</v>
      </c>
      <c r="Y65" s="257">
        <f ca="1">(365+BDD[[#This Row],[D.PAG.V.]]+BDD[[#This Row],[D.AG.]])/365</f>
        <v>1.095890410958904</v>
      </c>
      <c r="Z65" s="243">
        <f ca="1">BDD[[#This Row],[SUE DIA]]*BDD[[#This Row],[FACTOR SDI]]</f>
        <v>271.96347031963467</v>
      </c>
      <c r="AA65" s="243">
        <f>BDD[[#This Row],[SUE DIA]]/9</f>
        <v>27.574074074074073</v>
      </c>
      <c r="AB65" s="251">
        <v>30787</v>
      </c>
      <c r="AC65" s="251" t="s">
        <v>917</v>
      </c>
      <c r="AD65" s="251" t="s">
        <v>786</v>
      </c>
      <c r="AE65" s="252">
        <v>8989438311</v>
      </c>
      <c r="AF65" s="251" t="s">
        <v>1132</v>
      </c>
      <c r="AG65" s="251" t="s">
        <v>773</v>
      </c>
      <c r="AH65" s="251" t="s">
        <v>730</v>
      </c>
      <c r="AI65" s="243" t="s">
        <v>153</v>
      </c>
      <c r="AJ65" s="258" cm="1">
        <f t="array" aca="1" ref="AJ65" ca="1">DATE(YEAR(FECH.CONS[FECHA DE CONSULTA:]),MONTH(BDD[[#This Row],[FECHA NAC]]),DAY(BDD[[#This Row],[FECHA NAC]]))</f>
        <v>44666</v>
      </c>
      <c r="AK65" s="243">
        <v>6</v>
      </c>
      <c r="AL65" s="261" t="s">
        <v>311</v>
      </c>
      <c r="AM65" s="251" t="s">
        <v>1544</v>
      </c>
      <c r="AN65" s="251" t="s">
        <v>1551</v>
      </c>
      <c r="AO65" s="245">
        <v>87</v>
      </c>
      <c r="AP65" s="251">
        <f ca="1">INT((TODAY()-BDD[[#This Row],[FECHA NAC]])/365)</f>
        <v>38</v>
      </c>
      <c r="AQ65" s="251">
        <v>3</v>
      </c>
      <c r="AR65" s="251">
        <f ca="1">IF(BDD[[#This Row],[ANTIG]]=0,0,1)</f>
        <v>1</v>
      </c>
      <c r="AS65" s="251"/>
      <c r="AT65" s="251"/>
      <c r="AU65" s="251"/>
      <c r="AV65" s="251"/>
      <c r="AW65" s="251"/>
      <c r="AX65" s="251"/>
      <c r="AY65" s="251"/>
      <c r="AZ65" s="251">
        <f t="shared" ca="1" si="1"/>
        <v>994</v>
      </c>
    </row>
    <row r="66" spans="2:52" ht="15" customHeight="1" x14ac:dyDescent="0.25">
      <c r="B66" s="243">
        <v>166</v>
      </c>
      <c r="C66" s="251" t="s">
        <v>109</v>
      </c>
      <c r="D66" s="252">
        <v>7445</v>
      </c>
      <c r="E66" s="252">
        <f>(BDD[[#This Row],[SUE MENS]]/30)</f>
        <v>248.16666666666666</v>
      </c>
      <c r="F66" s="252">
        <f>BDD[[#This Row],[SUE MENS]]/2</f>
        <v>3722.5</v>
      </c>
      <c r="G66" s="315">
        <v>43556</v>
      </c>
      <c r="H66" s="243">
        <f ca="1">INT(_xlfn.DAYS(TODAY(),BDD[[#This Row],[FECHA ING.]])/365)</f>
        <v>3</v>
      </c>
      <c r="I66" s="251" t="str">
        <f>VLOOKUP(J66,TABLAS!$B$3:$G$49,2,FALSE)</f>
        <v>DIRECCIÓN</v>
      </c>
      <c r="J66" s="198" t="s">
        <v>759</v>
      </c>
      <c r="K66" s="251" t="s">
        <v>778</v>
      </c>
      <c r="L66" s="251" t="s">
        <v>763</v>
      </c>
      <c r="M66" s="251"/>
      <c r="N66" s="244" t="s">
        <v>1863</v>
      </c>
      <c r="O66" s="251" t="str">
        <f>IFERROR(VLOOKUP(BDD[[#This Row],[SUBDPTO]],TABLAS!$B$4:$D$36,3,0)," ")</f>
        <v>MARIANA RODRÍGUEZ GUTIERREZ</v>
      </c>
      <c r="P66" s="258"/>
      <c r="Q66" s="264"/>
      <c r="R66" s="244"/>
      <c r="S66" s="251"/>
      <c r="T66" s="251" t="s">
        <v>811</v>
      </c>
      <c r="U66" s="243">
        <f ca="1">VLOOKUP(BDD[[#This Row],[ANTIG]],DIASXANT18[#All],2)</f>
        <v>14</v>
      </c>
      <c r="V66" s="256">
        <f t="shared" si="2"/>
        <v>0.5</v>
      </c>
      <c r="W66" s="243">
        <f ca="1">BDD[[#This Row],[D.VAC.]]*BDD[[#This Row],[% P.V.]]</f>
        <v>7</v>
      </c>
      <c r="X66" s="243">
        <v>30</v>
      </c>
      <c r="Y66" s="257">
        <f ca="1">(365+BDD[[#This Row],[D.PAG.V.]]+BDD[[#This Row],[D.AG.]])/365</f>
        <v>1.1013698630136985</v>
      </c>
      <c r="Z66" s="243">
        <f ca="1">BDD[[#This Row],[SUE DIA]]*BDD[[#This Row],[FACTOR SDI]]</f>
        <v>273.32328767123283</v>
      </c>
      <c r="AA66" s="243">
        <f>BDD[[#This Row],[SUE DIA]]/9</f>
        <v>27.574074074074073</v>
      </c>
      <c r="AB66" s="251">
        <v>33316</v>
      </c>
      <c r="AC66" s="251" t="s">
        <v>918</v>
      </c>
      <c r="AD66" s="251" t="s">
        <v>787</v>
      </c>
      <c r="AE66" s="252">
        <v>8254382138</v>
      </c>
      <c r="AF66" s="251" t="s">
        <v>1133</v>
      </c>
      <c r="AG66" s="251" t="s">
        <v>776</v>
      </c>
      <c r="AH66" s="251" t="s">
        <v>730</v>
      </c>
      <c r="AI66" s="243" t="s">
        <v>151</v>
      </c>
      <c r="AJ66" s="258" cm="1">
        <f t="array" aca="1" ref="AJ66" ca="1">DATE(YEAR(FECH.CONS[FECHA DE CONSULTA:]),MONTH(BDD[[#This Row],[FECHA NAC]]),DAY(BDD[[#This Row],[FECHA NAC]]))</f>
        <v>44639</v>
      </c>
      <c r="AK66" s="243">
        <v>6</v>
      </c>
      <c r="AL66" s="261" t="s">
        <v>311</v>
      </c>
      <c r="AM66" s="251" t="s">
        <v>1534</v>
      </c>
      <c r="AN66" s="251" t="s">
        <v>1551</v>
      </c>
      <c r="AO66" s="245">
        <v>80</v>
      </c>
      <c r="AP66" s="251">
        <f ca="1">INT((TODAY()-BDD[[#This Row],[FECHA NAC]])/365)</f>
        <v>31</v>
      </c>
      <c r="AQ66" s="251">
        <v>0</v>
      </c>
      <c r="AR66" s="251">
        <f ca="1">IF(BDD[[#This Row],[ANTIG]]=0,0,1)</f>
        <v>1</v>
      </c>
      <c r="AS66" s="251"/>
      <c r="AT66" s="251"/>
      <c r="AU66" s="251"/>
      <c r="AV66" s="251"/>
      <c r="AW66" s="251"/>
      <c r="AX66" s="251"/>
      <c r="AY66" s="251"/>
      <c r="AZ66" s="251">
        <f t="shared" ca="1" si="1"/>
        <v>147</v>
      </c>
    </row>
    <row r="67" spans="2:52" ht="15" customHeight="1" x14ac:dyDescent="0.25">
      <c r="B67" s="243">
        <v>167</v>
      </c>
      <c r="C67" s="251" t="s">
        <v>397</v>
      </c>
      <c r="D67" s="252">
        <v>9450</v>
      </c>
      <c r="E67" s="252">
        <f>(BDD[[#This Row],[SUE MENS]]/30)</f>
        <v>315</v>
      </c>
      <c r="F67" s="252">
        <f>BDD[[#This Row],[SUE MENS]]/2</f>
        <v>4725</v>
      </c>
      <c r="G67" s="315">
        <v>42461</v>
      </c>
      <c r="H67" s="243">
        <f ca="1">INT(_xlfn.DAYS(TODAY(),BDD[[#This Row],[FECHA ING.]])/365)</f>
        <v>6</v>
      </c>
      <c r="I67" s="251" t="str">
        <f>VLOOKUP(J67,TABLAS!$B$3:$G$49,2,FALSE)</f>
        <v>DIV INGENRIA</v>
      </c>
      <c r="J67" s="198" t="s">
        <v>756</v>
      </c>
      <c r="K67" s="251" t="s">
        <v>778</v>
      </c>
      <c r="L67" s="251" t="s">
        <v>763</v>
      </c>
      <c r="M67" s="251"/>
      <c r="N67" s="253" t="s">
        <v>1862</v>
      </c>
      <c r="O67" s="251" t="str">
        <f>IFERROR(VLOOKUP(BDD[[#This Row],[SUBDPTO]],TABLAS!$B$4:$D$36,3,0)," ")</f>
        <v>DIEGO HERRERA GIRÓN</v>
      </c>
      <c r="P67" s="258">
        <f>BDD[[#This Row],[FECHA ING.]]+500</f>
        <v>42961</v>
      </c>
      <c r="Q67" s="254">
        <v>5040</v>
      </c>
      <c r="R67" s="251" t="s">
        <v>748</v>
      </c>
      <c r="S67" s="251"/>
      <c r="T67" s="251" t="s">
        <v>811</v>
      </c>
      <c r="U67" s="243">
        <f ca="1">VLOOKUP(BDD[[#This Row],[ANTIG]],DIASXANT18[#All],2)</f>
        <v>16</v>
      </c>
      <c r="V67" s="256">
        <f t="shared" si="2"/>
        <v>0.5</v>
      </c>
      <c r="W67" s="243">
        <f ca="1">BDD[[#This Row],[D.VAC.]]*BDD[[#This Row],[% P.V.]]</f>
        <v>8</v>
      </c>
      <c r="X67" s="243">
        <v>30</v>
      </c>
      <c r="Y67" s="257">
        <f ca="1">(365+BDD[[#This Row],[D.PAG.V.]]+BDD[[#This Row],[D.AG.]])/365</f>
        <v>1.1041095890410959</v>
      </c>
      <c r="Z67" s="243">
        <f ca="1">BDD[[#This Row],[SUE DIA]]*BDD[[#This Row],[FACTOR SDI]]</f>
        <v>347.79452054794518</v>
      </c>
      <c r="AA67" s="243">
        <f>BDD[[#This Row],[SUE DIA]]/9</f>
        <v>35</v>
      </c>
      <c r="AB67" s="251">
        <v>30624</v>
      </c>
      <c r="AC67" s="251" t="s">
        <v>919</v>
      </c>
      <c r="AD67" s="251" t="s">
        <v>793</v>
      </c>
      <c r="AE67" s="252">
        <v>8849231386</v>
      </c>
      <c r="AF67" s="251" t="s">
        <v>1134</v>
      </c>
      <c r="AG67" s="251" t="s">
        <v>776</v>
      </c>
      <c r="AH67" s="251" t="s">
        <v>730</v>
      </c>
      <c r="AI67" s="243" t="s">
        <v>152</v>
      </c>
      <c r="AJ67" s="258" cm="1">
        <f t="array" aca="1" ref="AJ67" ca="1">DATE(YEAR(FECH.CONS[FECHA DE CONSULTA:]),MONTH(BDD[[#This Row],[FECHA NAC]]),DAY(BDD[[#This Row],[FECHA NAC]]))</f>
        <v>44869</v>
      </c>
      <c r="AK67" s="243">
        <v>7</v>
      </c>
      <c r="AL67" s="261" t="s">
        <v>311</v>
      </c>
      <c r="AM67" s="251" t="s">
        <v>1546</v>
      </c>
      <c r="AN67" s="251" t="s">
        <v>1551</v>
      </c>
      <c r="AO67" s="245">
        <v>97</v>
      </c>
      <c r="AP67" s="251">
        <f ca="1">INT((TODAY()-BDD[[#This Row],[FECHA NAC]])/365)</f>
        <v>38</v>
      </c>
      <c r="AQ67" s="251">
        <v>2</v>
      </c>
      <c r="AR67" s="251">
        <f ca="1">IF(BDD[[#This Row],[ANTIG]]=0,0,1)</f>
        <v>1</v>
      </c>
      <c r="AS67" s="251"/>
      <c r="AT67" s="251"/>
      <c r="AU67" s="251"/>
      <c r="AV67" s="251"/>
      <c r="AW67" s="251"/>
      <c r="AX67" s="251"/>
      <c r="AY67" s="251"/>
      <c r="AZ67" s="251">
        <f t="shared" ca="1" si="1"/>
        <v>143</v>
      </c>
    </row>
    <row r="68" spans="2:52" ht="15" customHeight="1" x14ac:dyDescent="0.25">
      <c r="B68" s="243">
        <v>168</v>
      </c>
      <c r="C68" s="251" t="s">
        <v>107</v>
      </c>
      <c r="D68" s="252">
        <v>9450</v>
      </c>
      <c r="E68" s="252">
        <f>(BDD[[#This Row],[SUE MENS]]/30)</f>
        <v>315</v>
      </c>
      <c r="F68" s="252">
        <f>BDD[[#This Row],[SUE MENS]]/2</f>
        <v>4725</v>
      </c>
      <c r="G68" s="315">
        <v>42576</v>
      </c>
      <c r="H68" s="243">
        <f ca="1">INT(_xlfn.DAYS(TODAY(),BDD[[#This Row],[FECHA ING.]])/365)</f>
        <v>5</v>
      </c>
      <c r="I68" s="251" t="str">
        <f>VLOOKUP(J68,TABLAS!$B$3:$G$49,2,FALSE)</f>
        <v>DIRECCIÓN</v>
      </c>
      <c r="J68" s="198" t="s">
        <v>759</v>
      </c>
      <c r="K68" s="251" t="s">
        <v>778</v>
      </c>
      <c r="L68" s="251" t="s">
        <v>763</v>
      </c>
      <c r="M68" s="251"/>
      <c r="N68" s="244" t="s">
        <v>1847</v>
      </c>
      <c r="O68" s="251" t="str">
        <f>IFERROR(VLOOKUP(BDD[[#This Row],[SUBDPTO]],TABLAS!$B$4:$D$36,3,0)," ")</f>
        <v>MARIANA RODRÍGUEZ GUTIERREZ</v>
      </c>
      <c r="P68" s="258">
        <v>42941</v>
      </c>
      <c r="Q68" s="254">
        <v>5088</v>
      </c>
      <c r="R68" s="255" t="s">
        <v>747</v>
      </c>
      <c r="S68" s="251"/>
      <c r="T68" s="251" t="s">
        <v>811</v>
      </c>
      <c r="U68" s="243">
        <f ca="1">VLOOKUP(BDD[[#This Row],[ANTIG]],DIASXANT18[#All],2)</f>
        <v>16</v>
      </c>
      <c r="V68" s="256">
        <f t="shared" si="2"/>
        <v>0.5</v>
      </c>
      <c r="W68" s="243">
        <f ca="1">BDD[[#This Row],[D.VAC.]]*BDD[[#This Row],[% P.V.]]</f>
        <v>8</v>
      </c>
      <c r="X68" s="243">
        <v>30</v>
      </c>
      <c r="Y68" s="257">
        <f ca="1">(365+BDD[[#This Row],[D.PAG.V.]]+BDD[[#This Row],[D.AG.]])/365</f>
        <v>1.1041095890410959</v>
      </c>
      <c r="Z68" s="243">
        <f ca="1">BDD[[#This Row],[SUE DIA]]*BDD[[#This Row],[FACTOR SDI]]</f>
        <v>347.79452054794518</v>
      </c>
      <c r="AA68" s="243">
        <f>BDD[[#This Row],[SUE DIA]]/9</f>
        <v>35</v>
      </c>
      <c r="AB68" s="251">
        <v>32128</v>
      </c>
      <c r="AC68" s="251" t="s">
        <v>869</v>
      </c>
      <c r="AD68" s="251" t="s">
        <v>789</v>
      </c>
      <c r="AE68" s="252">
        <v>8816725703</v>
      </c>
      <c r="AF68" s="251" t="s">
        <v>1135</v>
      </c>
      <c r="AG68" s="251" t="s">
        <v>774</v>
      </c>
      <c r="AH68" s="251" t="s">
        <v>730</v>
      </c>
      <c r="AI68" s="243" t="s">
        <v>151</v>
      </c>
      <c r="AJ68" s="258" cm="1">
        <f t="array" aca="1" ref="AJ68" ca="1">DATE(YEAR(FECH.CONS[FECHA DE CONSULTA:]),MONTH(BDD[[#This Row],[FECHA NAC]]),DAY(BDD[[#This Row],[FECHA NAC]]))</f>
        <v>44912</v>
      </c>
      <c r="AK68" s="243">
        <v>10</v>
      </c>
      <c r="AL68" s="261" t="s">
        <v>311</v>
      </c>
      <c r="AM68" s="251" t="s">
        <v>1544</v>
      </c>
      <c r="AN68" s="251" t="s">
        <v>1551</v>
      </c>
      <c r="AO68" s="245">
        <v>30</v>
      </c>
      <c r="AP68" s="251">
        <f ca="1">INT((TODAY()-BDD[[#This Row],[FECHA NAC]])/365)</f>
        <v>34</v>
      </c>
      <c r="AQ68" s="251">
        <v>2</v>
      </c>
      <c r="AR68" s="251">
        <f ca="1">IF(BDD[[#This Row],[ANTIG]]=0,0,1)</f>
        <v>1</v>
      </c>
      <c r="AS68" s="251"/>
      <c r="AT68" s="251"/>
      <c r="AU68" s="251"/>
      <c r="AV68" s="251"/>
      <c r="AW68" s="251"/>
      <c r="AX68" s="251"/>
      <c r="AY68" s="251"/>
      <c r="AZ68" s="251">
        <f t="shared" ca="1" si="1"/>
        <v>55</v>
      </c>
    </row>
    <row r="69" spans="2:52" ht="15" customHeight="1" x14ac:dyDescent="0.25">
      <c r="B69" s="243">
        <v>169</v>
      </c>
      <c r="C69" s="251" t="s">
        <v>106</v>
      </c>
      <c r="D69" s="252">
        <v>7445</v>
      </c>
      <c r="E69" s="252">
        <f>(BDD[[#This Row],[SUE MENS]]/30)</f>
        <v>248.16666666666666</v>
      </c>
      <c r="F69" s="252">
        <f>BDD[[#This Row],[SUE MENS]]/2</f>
        <v>3722.5</v>
      </c>
      <c r="G69" s="315">
        <v>43626</v>
      </c>
      <c r="H69" s="243">
        <f ca="1">INT(_xlfn.DAYS(TODAY(),BDD[[#This Row],[FECHA ING.]])/365)</f>
        <v>3</v>
      </c>
      <c r="I69" s="251" t="str">
        <f>VLOOKUP(J69,TABLAS!$B$3:$G$49,2,FALSE)</f>
        <v>DIRECCIÓN</v>
      </c>
      <c r="J69" s="198" t="s">
        <v>745</v>
      </c>
      <c r="K69" s="251" t="s">
        <v>778</v>
      </c>
      <c r="L69" s="251" t="s">
        <v>763</v>
      </c>
      <c r="M69" s="251"/>
      <c r="N69" s="253" t="s">
        <v>1834</v>
      </c>
      <c r="O69" s="251" t="str">
        <f>IFERROR(VLOOKUP(BDD[[#This Row],[SUBDPTO]],TABLAS!$B$4:$D$36,3,0)," ")</f>
        <v>MARIANA RODRÍGUEZ GUTIERREZ</v>
      </c>
      <c r="P69" s="258">
        <v>44134</v>
      </c>
      <c r="Q69" s="264" t="e">
        <f>#REF!*0.8</f>
        <v>#REF!</v>
      </c>
      <c r="R69" s="255" t="s">
        <v>745</v>
      </c>
      <c r="S69" s="251"/>
      <c r="T69" s="251" t="s">
        <v>301</v>
      </c>
      <c r="U69" s="243">
        <f ca="1">VLOOKUP(BDD[[#This Row],[ANTIG]],DIASXANT18[#All],2)</f>
        <v>14</v>
      </c>
      <c r="V69" s="256">
        <f t="shared" si="2"/>
        <v>0.5</v>
      </c>
      <c r="W69" s="243">
        <f ca="1">BDD[[#This Row],[D.VAC.]]*BDD[[#This Row],[% P.V.]]</f>
        <v>7</v>
      </c>
      <c r="X69" s="243">
        <v>30</v>
      </c>
      <c r="Y69" s="257">
        <f ca="1">(365+BDD[[#This Row],[D.PAG.V.]]+BDD[[#This Row],[D.AG.]])/365</f>
        <v>1.1013698630136985</v>
      </c>
      <c r="Z69" s="243">
        <f ca="1">BDD[[#This Row],[SUE DIA]]*BDD[[#This Row],[FACTOR SDI]]</f>
        <v>273.32328767123283</v>
      </c>
      <c r="AA69" s="243">
        <f>BDD[[#This Row],[SUE DIA]]/9</f>
        <v>27.574074074074073</v>
      </c>
      <c r="AB69" s="251">
        <v>29334</v>
      </c>
      <c r="AC69" s="251" t="s">
        <v>920</v>
      </c>
      <c r="AD69" s="251" t="s">
        <v>809</v>
      </c>
      <c r="AE69" s="252">
        <v>8841689602</v>
      </c>
      <c r="AF69" s="251" t="s">
        <v>1136</v>
      </c>
      <c r="AG69" s="251" t="s">
        <v>776</v>
      </c>
      <c r="AH69" s="251" t="s">
        <v>730</v>
      </c>
      <c r="AI69" s="243" t="s">
        <v>152</v>
      </c>
      <c r="AJ69" s="258" cm="1">
        <f t="array" aca="1" ref="AJ69" ca="1">DATE(YEAR(FECH.CONS[FECHA DE CONSULTA:]),MONTH(BDD[[#This Row],[FECHA NAC]]),DAY(BDD[[#This Row],[FECHA NAC]]))</f>
        <v>44674</v>
      </c>
      <c r="AK69" s="243">
        <v>6</v>
      </c>
      <c r="AL69" s="261" t="s">
        <v>311</v>
      </c>
      <c r="AM69" s="251" t="s">
        <v>1534</v>
      </c>
      <c r="AN69" s="251" t="s">
        <v>1551</v>
      </c>
      <c r="AO69" s="245">
        <v>60</v>
      </c>
      <c r="AP69" s="251">
        <f ca="1">INT((TODAY()-BDD[[#This Row],[FECHA NAC]])/365)</f>
        <v>42</v>
      </c>
      <c r="AQ69" s="251">
        <v>3</v>
      </c>
      <c r="AR69" s="251">
        <f ca="1">IF(BDD[[#This Row],[ANTIG]]=0,0,1)</f>
        <v>1</v>
      </c>
      <c r="AS69" s="251"/>
      <c r="AT69" s="251"/>
      <c r="AU69" s="251"/>
      <c r="AV69" s="251"/>
      <c r="AW69" s="251"/>
      <c r="AX69" s="251"/>
      <c r="AY69" s="251"/>
      <c r="AZ69" s="251">
        <f t="shared" ca="1" si="1"/>
        <v>335</v>
      </c>
    </row>
    <row r="70" spans="2:52" ht="15" customHeight="1" x14ac:dyDescent="0.25">
      <c r="B70" s="243">
        <v>170</v>
      </c>
      <c r="C70" s="251" t="s">
        <v>821</v>
      </c>
      <c r="D70" s="263">
        <v>7445</v>
      </c>
      <c r="E70" s="252">
        <f>(BDD[[#This Row],[SUE MENS]]/30)</f>
        <v>248.16666666666666</v>
      </c>
      <c r="F70" s="252">
        <f>BDD[[#This Row],[SUE MENS]]/2</f>
        <v>3722.5</v>
      </c>
      <c r="G70" s="315">
        <v>43357</v>
      </c>
      <c r="H70" s="243">
        <f ca="1">INT(_xlfn.DAYS(TODAY(),BDD[[#This Row],[FECHA ING.]])/365)</f>
        <v>3</v>
      </c>
      <c r="I70" s="251" t="str">
        <f>VLOOKUP(J70,TABLAS!$B$3:$G$49,2,FALSE)</f>
        <v>DIRECCIÓN</v>
      </c>
      <c r="J70" s="198" t="s">
        <v>746</v>
      </c>
      <c r="K70" s="251" t="s">
        <v>778</v>
      </c>
      <c r="L70" s="251" t="s">
        <v>763</v>
      </c>
      <c r="M70" s="251"/>
      <c r="N70" s="244" t="s">
        <v>1824</v>
      </c>
      <c r="O70" s="251" t="str">
        <f>IFERROR(VLOOKUP(BDD[[#This Row],[SUBDPTO]],TABLAS!$B$4:$D$36,3,0)," ")</f>
        <v>MARIANA RODRÍGUEZ GUTIERREZ</v>
      </c>
      <c r="P70" s="258">
        <v>44030</v>
      </c>
      <c r="Q70" s="254">
        <v>5422.4000000000005</v>
      </c>
      <c r="R70" s="255" t="s">
        <v>740</v>
      </c>
      <c r="S70" s="251"/>
      <c r="T70" s="251" t="s">
        <v>811</v>
      </c>
      <c r="U70" s="243">
        <f ca="1">VLOOKUP(BDD[[#This Row],[ANTIG]],DIASXANT18[#All],2)</f>
        <v>14</v>
      </c>
      <c r="V70" s="256">
        <f t="shared" si="2"/>
        <v>0.5</v>
      </c>
      <c r="W70" s="243">
        <f ca="1">BDD[[#This Row],[D.VAC.]]*BDD[[#This Row],[% P.V.]]</f>
        <v>7</v>
      </c>
      <c r="X70" s="243">
        <v>30</v>
      </c>
      <c r="Y70" s="257">
        <f ca="1">(365+BDD[[#This Row],[D.PAG.V.]]+BDD[[#This Row],[D.AG.]])/365</f>
        <v>1.1013698630136985</v>
      </c>
      <c r="Z70" s="243">
        <f ca="1">BDD[[#This Row],[SUE DIA]]*BDD[[#This Row],[FACTOR SDI]]</f>
        <v>273.32328767123283</v>
      </c>
      <c r="AA70" s="243">
        <f>BDD[[#This Row],[SUE DIA]]/9</f>
        <v>27.574074074074073</v>
      </c>
      <c r="AB70" s="251">
        <v>33204</v>
      </c>
      <c r="AC70" s="251" t="s">
        <v>921</v>
      </c>
      <c r="AD70" s="251" t="s">
        <v>810</v>
      </c>
      <c r="AE70" s="252">
        <v>8399694790</v>
      </c>
      <c r="AF70" s="251" t="s">
        <v>1137</v>
      </c>
      <c r="AG70" s="251" t="s">
        <v>776</v>
      </c>
      <c r="AH70" s="251" t="s">
        <v>730</v>
      </c>
      <c r="AI70" s="243" t="s">
        <v>151</v>
      </c>
      <c r="AJ70" s="258" cm="1">
        <f t="array" aca="1" ref="AJ70" ca="1">DATE(YEAR(FECH.CONS[FECHA DE CONSULTA:]),MONTH(BDD[[#This Row],[FECHA NAC]]),DAY(BDD[[#This Row],[FECHA NAC]]))</f>
        <v>44892</v>
      </c>
      <c r="AK70" s="243">
        <v>6</v>
      </c>
      <c r="AL70" s="261" t="s">
        <v>317</v>
      </c>
      <c r="AM70" s="251" t="s">
        <v>1545</v>
      </c>
      <c r="AN70" s="251" t="s">
        <v>1551</v>
      </c>
      <c r="AO70" s="245">
        <v>95</v>
      </c>
      <c r="AP70" s="251">
        <f ca="1">INT((TODAY()-BDD[[#This Row],[FECHA NAC]])/365)</f>
        <v>31</v>
      </c>
      <c r="AQ70" s="251">
        <v>1</v>
      </c>
      <c r="AR70" s="251">
        <f ca="1">IF(BDD[[#This Row],[ANTIG]]=0,0,1)</f>
        <v>1</v>
      </c>
      <c r="AS70" s="251"/>
      <c r="AT70" s="251"/>
      <c r="AU70" s="251"/>
      <c r="AV70" s="251"/>
      <c r="AW70" s="251"/>
      <c r="AX70" s="251"/>
      <c r="AY70" s="251"/>
      <c r="AZ70" s="251">
        <f t="shared" ca="1" si="1"/>
        <v>562</v>
      </c>
    </row>
    <row r="71" spans="2:52" ht="15" customHeight="1" x14ac:dyDescent="0.25">
      <c r="B71" s="243">
        <v>171</v>
      </c>
      <c r="C71" s="251" t="s">
        <v>105</v>
      </c>
      <c r="D71" s="252">
        <v>9541</v>
      </c>
      <c r="E71" s="252">
        <f>(BDD[[#This Row],[SUE MENS]]/30)</f>
        <v>318.03333333333336</v>
      </c>
      <c r="F71" s="252">
        <f>BDD[[#This Row],[SUE MENS]]/2</f>
        <v>4770.5</v>
      </c>
      <c r="G71" s="315">
        <v>42328</v>
      </c>
      <c r="H71" s="243">
        <f ca="1">INT(_xlfn.DAYS(TODAY(),BDD[[#This Row],[FECHA ING.]])/365)</f>
        <v>6</v>
      </c>
      <c r="I71" s="251" t="str">
        <f>VLOOKUP(J71,TABLAS!$B$3:$G$49,2,FALSE)</f>
        <v>DIV INGENRIA</v>
      </c>
      <c r="J71" s="198" t="s">
        <v>756</v>
      </c>
      <c r="K71" s="251" t="s">
        <v>778</v>
      </c>
      <c r="L71" s="251" t="s">
        <v>763</v>
      </c>
      <c r="M71" s="274"/>
      <c r="N71" s="244" t="s">
        <v>1788</v>
      </c>
      <c r="O71" s="251" t="str">
        <f>IFERROR(VLOOKUP(BDD[[#This Row],[SUBDPTO]],TABLAS!$B$4:$D$36,3,0)," ")</f>
        <v>DIEGO HERRERA GIRÓN</v>
      </c>
      <c r="P71" s="258">
        <f>BDD[[#This Row],[FECHA ING.]]+900</f>
        <v>43228</v>
      </c>
      <c r="Q71" s="254">
        <v>6678</v>
      </c>
      <c r="R71" s="251" t="s">
        <v>853</v>
      </c>
      <c r="S71" s="251"/>
      <c r="T71" s="251" t="s">
        <v>811</v>
      </c>
      <c r="U71" s="243">
        <f ca="1">VLOOKUP(BDD[[#This Row],[ANTIG]],DIASXANT18[#All],2)</f>
        <v>16</v>
      </c>
      <c r="V71" s="256">
        <f t="shared" si="2"/>
        <v>0.5</v>
      </c>
      <c r="W71" s="243">
        <f ca="1">BDD[[#This Row],[D.VAC.]]*BDD[[#This Row],[% P.V.]]</f>
        <v>8</v>
      </c>
      <c r="X71" s="243">
        <v>30</v>
      </c>
      <c r="Y71" s="257">
        <f ca="1">(365+BDD[[#This Row],[D.PAG.V.]]+BDD[[#This Row],[D.AG.]])/365</f>
        <v>1.1041095890410959</v>
      </c>
      <c r="Z71" s="243">
        <f ca="1">BDD[[#This Row],[SUE DIA]]*BDD[[#This Row],[FACTOR SDI]]</f>
        <v>351.14365296803658</v>
      </c>
      <c r="AA71" s="243">
        <f>BDD[[#This Row],[SUE DIA]]/9</f>
        <v>35.337037037037042</v>
      </c>
      <c r="AB71" s="251">
        <v>33054</v>
      </c>
      <c r="AC71" s="251" t="s">
        <v>900</v>
      </c>
      <c r="AD71" s="251" t="s">
        <v>790</v>
      </c>
      <c r="AE71" s="252">
        <v>8865534632</v>
      </c>
      <c r="AF71" s="251" t="s">
        <v>1138</v>
      </c>
      <c r="AG71" s="251" t="s">
        <v>773</v>
      </c>
      <c r="AH71" s="251" t="s">
        <v>730</v>
      </c>
      <c r="AI71" s="243" t="s">
        <v>152</v>
      </c>
      <c r="AJ71" s="258" cm="1">
        <f t="array" aca="1" ref="AJ71" ca="1">DATE(YEAR(FECH.CONS[FECHA DE CONSULTA:]),MONTH(BDD[[#This Row],[FECHA NAC]]),DAY(BDD[[#This Row],[FECHA NAC]]))</f>
        <v>44742</v>
      </c>
      <c r="AK71" s="243">
        <v>7</v>
      </c>
      <c r="AL71" s="261" t="s">
        <v>311</v>
      </c>
      <c r="AM71" s="251" t="s">
        <v>1546</v>
      </c>
      <c r="AN71" s="251" t="s">
        <v>1551</v>
      </c>
      <c r="AO71" s="245">
        <v>63</v>
      </c>
      <c r="AP71" s="251">
        <f ca="1">INT((TODAY()-BDD[[#This Row],[FECHA NAC]])/365)</f>
        <v>32</v>
      </c>
      <c r="AQ71" s="251">
        <v>0</v>
      </c>
      <c r="AR71" s="251">
        <f ca="1">IF(BDD[[#This Row],[ANTIG]]=0,0,1)</f>
        <v>1</v>
      </c>
      <c r="AS71" s="251"/>
      <c r="AT71" s="251"/>
      <c r="AU71" s="251"/>
      <c r="AV71" s="251"/>
      <c r="AW71" s="251"/>
      <c r="AX71" s="251"/>
      <c r="AY71" s="251"/>
      <c r="AZ71" s="251">
        <f t="shared" ca="1" si="1"/>
        <v>389</v>
      </c>
    </row>
    <row r="72" spans="2:52" ht="15" customHeight="1" x14ac:dyDescent="0.25">
      <c r="B72" s="243">
        <v>172</v>
      </c>
      <c r="C72" s="251" t="s">
        <v>104</v>
      </c>
      <c r="D72" s="263">
        <v>7445</v>
      </c>
      <c r="E72" s="252">
        <f>(BDD[[#This Row],[SUE MENS]]/30)</f>
        <v>248.16666666666666</v>
      </c>
      <c r="F72" s="252">
        <f>BDD[[#This Row],[SUE MENS]]/2</f>
        <v>3722.5</v>
      </c>
      <c r="G72" s="315">
        <v>43268</v>
      </c>
      <c r="H72" s="243">
        <f ca="1">INT(_xlfn.DAYS(TODAY(),BDD[[#This Row],[FECHA ING.]])/365)</f>
        <v>4</v>
      </c>
      <c r="I72" s="251" t="str">
        <f>VLOOKUP(J72,TABLAS!$B$3:$G$49,2,FALSE)</f>
        <v>CPTAL HUMANO</v>
      </c>
      <c r="J72" s="198" t="s">
        <v>768</v>
      </c>
      <c r="K72" s="251" t="s">
        <v>778</v>
      </c>
      <c r="L72" s="251" t="s">
        <v>763</v>
      </c>
      <c r="M72" s="251"/>
      <c r="N72" s="244" t="s">
        <v>1787</v>
      </c>
      <c r="O72" s="251" t="str">
        <f>IFERROR(VLOOKUP(BDD[[#This Row],[SUBDPTO]],TABLAS!$B$4:$D$36,3,0)," ")</f>
        <v>EMMA DARIELA GARCÍA LORCA</v>
      </c>
      <c r="P72" s="258">
        <v>43922</v>
      </c>
      <c r="Q72" s="254">
        <v>3888</v>
      </c>
      <c r="R72" s="261" t="s">
        <v>767</v>
      </c>
      <c r="S72" s="251"/>
      <c r="T72" s="251" t="s">
        <v>301</v>
      </c>
      <c r="U72" s="243">
        <f ca="1">VLOOKUP(BDD[[#This Row],[ANTIG]],DIASXANT18[#All],2)</f>
        <v>14</v>
      </c>
      <c r="V72" s="256">
        <f t="shared" si="2"/>
        <v>0.5</v>
      </c>
      <c r="W72" s="243">
        <f ca="1">BDD[[#This Row],[D.VAC.]]*BDD[[#This Row],[% P.V.]]</f>
        <v>7</v>
      </c>
      <c r="X72" s="243">
        <v>30</v>
      </c>
      <c r="Y72" s="257">
        <f ca="1">(365+BDD[[#This Row],[D.PAG.V.]]+BDD[[#This Row],[D.AG.]])/365</f>
        <v>1.1013698630136985</v>
      </c>
      <c r="Z72" s="243">
        <f ca="1">BDD[[#This Row],[SUE DIA]]*BDD[[#This Row],[FACTOR SDI]]</f>
        <v>273.32328767123283</v>
      </c>
      <c r="AA72" s="243">
        <f>BDD[[#This Row],[SUE DIA]]/9</f>
        <v>27.574074074074073</v>
      </c>
      <c r="AB72" s="251">
        <v>33112</v>
      </c>
      <c r="AC72" s="251" t="s">
        <v>922</v>
      </c>
      <c r="AD72" s="251" t="s">
        <v>789</v>
      </c>
      <c r="AE72" s="252">
        <v>8187255838</v>
      </c>
      <c r="AF72" s="251" t="s">
        <v>1139</v>
      </c>
      <c r="AG72" s="251" t="s">
        <v>774</v>
      </c>
      <c r="AH72" s="251" t="s">
        <v>730</v>
      </c>
      <c r="AI72" s="243" t="s">
        <v>151</v>
      </c>
      <c r="AJ72" s="258" cm="1">
        <f t="array" aca="1" ref="AJ72" ca="1">DATE(YEAR(FECH.CONS[FECHA DE CONSULTA:]),MONTH(BDD[[#This Row],[FECHA NAC]]),DAY(BDD[[#This Row],[FECHA NAC]]))</f>
        <v>44800</v>
      </c>
      <c r="AK72" s="243">
        <v>7</v>
      </c>
      <c r="AL72" s="261" t="s">
        <v>311</v>
      </c>
      <c r="AM72" s="251" t="s">
        <v>1535</v>
      </c>
      <c r="AN72" s="251" t="s">
        <v>1551</v>
      </c>
      <c r="AO72" s="245">
        <v>38</v>
      </c>
      <c r="AP72" s="251">
        <f ca="1">INT((TODAY()-BDD[[#This Row],[FECHA NAC]])/365)</f>
        <v>31</v>
      </c>
      <c r="AQ72" s="251">
        <v>2</v>
      </c>
      <c r="AR72" s="251">
        <f ca="1">IF(BDD[[#This Row],[ANTIG]]=0,0,1)</f>
        <v>1</v>
      </c>
      <c r="AS72" s="251"/>
      <c r="AT72" s="251"/>
      <c r="AU72" s="251"/>
      <c r="AV72" s="251"/>
      <c r="AW72" s="251"/>
      <c r="AX72" s="251"/>
      <c r="AY72" s="251"/>
      <c r="AZ72" s="251">
        <f t="shared" ca="1" si="1"/>
        <v>618</v>
      </c>
    </row>
    <row r="73" spans="2:52" ht="15" customHeight="1" x14ac:dyDescent="0.25">
      <c r="B73" s="243">
        <v>174</v>
      </c>
      <c r="C73" s="251" t="s">
        <v>309</v>
      </c>
      <c r="D73" s="252">
        <v>7950</v>
      </c>
      <c r="E73" s="252">
        <f>(BDD[[#This Row],[SUE MENS]]/30)</f>
        <v>265</v>
      </c>
      <c r="F73" s="252">
        <f>BDD[[#This Row],[SUE MENS]]/2</f>
        <v>3975</v>
      </c>
      <c r="G73" s="315">
        <v>44562</v>
      </c>
      <c r="H73" s="243">
        <f ca="1">INT(_xlfn.DAYS(TODAY(),BDD[[#This Row],[FECHA ING.]])/365)</f>
        <v>0</v>
      </c>
      <c r="I73" s="251" t="str">
        <f>VLOOKUP(J73,TABLAS!$B$3:$G$49,2,FALSE)</f>
        <v>CPTAL HUMANO</v>
      </c>
      <c r="J73" s="244" t="s">
        <v>767</v>
      </c>
      <c r="K73" s="251" t="s">
        <v>778</v>
      </c>
      <c r="L73" s="251" t="s">
        <v>763</v>
      </c>
      <c r="M73" s="251"/>
      <c r="N73" s="253" t="s">
        <v>1749</v>
      </c>
      <c r="O73" s="251" t="str">
        <f>IFERROR(VLOOKUP(BDD[[#This Row],[SUBDPTO]],TABLAS!$B$4:$D$36,3,0)," ")</f>
        <v>EMMA DARIELA GARCÍA LORCA</v>
      </c>
      <c r="P73" s="258">
        <v>43587</v>
      </c>
      <c r="Q73" s="254">
        <v>5956</v>
      </c>
      <c r="R73" s="255" t="s">
        <v>744</v>
      </c>
      <c r="S73" s="251"/>
      <c r="T73" s="251" t="s">
        <v>301</v>
      </c>
      <c r="U73" s="243">
        <f ca="1">VLOOKUP(BDD[[#This Row],[ANTIG]],DIASXANT18[#All],2)</f>
        <v>6</v>
      </c>
      <c r="V73" s="256">
        <f t="shared" ref="V73:V95" si="3">100/200</f>
        <v>0.5</v>
      </c>
      <c r="W73" s="243">
        <f ca="1">BDD[[#This Row],[D.VAC.]]*BDD[[#This Row],[% P.V.]]</f>
        <v>3</v>
      </c>
      <c r="X73" s="243">
        <v>30</v>
      </c>
      <c r="Y73" s="257">
        <f ca="1">(365+BDD[[#This Row],[D.PAG.V.]]+BDD[[#This Row],[D.AG.]])/365</f>
        <v>1.0904109589041096</v>
      </c>
      <c r="Z73" s="243">
        <f ca="1">BDD[[#This Row],[SUE DIA]]*BDD[[#This Row],[FACTOR SDI]]</f>
        <v>288.95890410958901</v>
      </c>
      <c r="AA73" s="243">
        <f>BDD[[#This Row],[SUE DIA]]/9</f>
        <v>29.444444444444443</v>
      </c>
      <c r="AB73" s="251">
        <v>32228</v>
      </c>
      <c r="AC73" s="251" t="s">
        <v>923</v>
      </c>
      <c r="AD73" s="251" t="s">
        <v>791</v>
      </c>
      <c r="AE73" s="252">
        <v>8502159987</v>
      </c>
      <c r="AF73" s="251" t="s">
        <v>1140</v>
      </c>
      <c r="AG73" s="251" t="s">
        <v>776</v>
      </c>
      <c r="AH73" s="251" t="s">
        <v>730</v>
      </c>
      <c r="AI73" s="243" t="s">
        <v>151</v>
      </c>
      <c r="AJ73" s="258" cm="1">
        <f t="array" aca="1" ref="AJ73" ca="1">DATE(YEAR(FECH.CONS[FECHA DE CONSULTA:]),MONTH(BDD[[#This Row],[FECHA NAC]]),DAY(BDD[[#This Row],[FECHA NAC]]))</f>
        <v>44646</v>
      </c>
      <c r="AK73" s="243">
        <v>7</v>
      </c>
      <c r="AL73" s="251" t="s">
        <v>311</v>
      </c>
      <c r="AM73" s="251" t="s">
        <v>1534</v>
      </c>
      <c r="AN73" s="251" t="s">
        <v>1551</v>
      </c>
      <c r="AO73" s="243">
        <v>74</v>
      </c>
      <c r="AP73" s="251">
        <f ca="1">INT((TODAY()-BDD[[#This Row],[FECHA NAC]])/365)</f>
        <v>34</v>
      </c>
      <c r="AQ73" s="251">
        <v>0</v>
      </c>
      <c r="AR73" s="251">
        <f ca="1">IF(BDD[[#This Row],[ANTIG]]=0,0,1)</f>
        <v>0</v>
      </c>
      <c r="AS73" s="251"/>
      <c r="AT73" s="251"/>
      <c r="AU73" s="251"/>
      <c r="AV73" s="251"/>
      <c r="AW73" s="251"/>
      <c r="AX73" s="251"/>
      <c r="AY73" s="251"/>
      <c r="AZ73" s="251">
        <f t="shared" ref="AZ73:AZ136" ca="1" si="4">RANDBETWEEN(1,1000)</f>
        <v>690</v>
      </c>
    </row>
    <row r="74" spans="2:52" ht="15" customHeight="1" x14ac:dyDescent="0.25">
      <c r="B74" s="243">
        <v>175</v>
      </c>
      <c r="C74" s="251" t="s">
        <v>100</v>
      </c>
      <c r="D74" s="252">
        <v>27150</v>
      </c>
      <c r="E74" s="252">
        <f>(BDD[[#This Row],[SUE MENS]]/30)</f>
        <v>905</v>
      </c>
      <c r="F74" s="252">
        <f>BDD[[#This Row],[SUE MENS]]/2</f>
        <v>13575</v>
      </c>
      <c r="G74" s="315">
        <v>41408</v>
      </c>
      <c r="H74" s="243">
        <f ca="1">INT(_xlfn.DAYS(TODAY(),BDD[[#This Row],[FECHA ING.]])/365)</f>
        <v>9</v>
      </c>
      <c r="I74" s="251" t="str">
        <f>VLOOKUP(J74,TABLAS!$B$3:$G$49,2,FALSE)</f>
        <v>CPTAL HUMANO</v>
      </c>
      <c r="J74" s="244" t="s">
        <v>767</v>
      </c>
      <c r="K74" s="244" t="s">
        <v>761</v>
      </c>
      <c r="L74" s="251" t="s">
        <v>763</v>
      </c>
      <c r="M74" s="251">
        <v>1014</v>
      </c>
      <c r="N74" s="244" t="s">
        <v>2122</v>
      </c>
      <c r="O74" s="251" t="str">
        <f>IFERROR(VLOOKUP(BDD[[#This Row],[SUBDPTO]],TABLAS!$B$4:$D$36,3,0)," ")</f>
        <v>EMMA DARIELA GARCÍA LORCA</v>
      </c>
      <c r="P74" s="258">
        <v>42241</v>
      </c>
      <c r="Q74" s="254">
        <v>20923</v>
      </c>
      <c r="R74" s="251" t="s">
        <v>748</v>
      </c>
      <c r="S74" s="244" t="s">
        <v>742</v>
      </c>
      <c r="T74" s="251" t="s">
        <v>301</v>
      </c>
      <c r="U74" s="243">
        <f ca="1">VLOOKUP(BDD[[#This Row],[ANTIG]],DIASXANT18[#All],2)</f>
        <v>16</v>
      </c>
      <c r="V74" s="256">
        <f t="shared" si="3"/>
        <v>0.5</v>
      </c>
      <c r="W74" s="243">
        <f ca="1">BDD[[#This Row],[D.VAC.]]*BDD[[#This Row],[% P.V.]]</f>
        <v>8</v>
      </c>
      <c r="X74" s="243">
        <v>30</v>
      </c>
      <c r="Y74" s="257">
        <f ca="1">(365+BDD[[#This Row],[D.PAG.V.]]+BDD[[#This Row],[D.AG.]])/365</f>
        <v>1.1041095890410959</v>
      </c>
      <c r="Z74" s="243">
        <f ca="1">BDD[[#This Row],[SUE DIA]]*BDD[[#This Row],[FACTOR SDI]]</f>
        <v>999.21917808219177</v>
      </c>
      <c r="AA74" s="243">
        <f>BDD[[#This Row],[SUE DIA]]/9</f>
        <v>100.55555555555556</v>
      </c>
      <c r="AB74" s="251">
        <v>34658</v>
      </c>
      <c r="AC74" s="251" t="s">
        <v>924</v>
      </c>
      <c r="AD74" s="251" t="s">
        <v>786</v>
      </c>
      <c r="AE74" s="252">
        <v>8256657413</v>
      </c>
      <c r="AF74" s="251" t="s">
        <v>1141</v>
      </c>
      <c r="AG74" s="251" t="s">
        <v>776</v>
      </c>
      <c r="AH74" s="251" t="s">
        <v>1555</v>
      </c>
      <c r="AI74" s="243" t="s">
        <v>151</v>
      </c>
      <c r="AJ74" s="258" cm="1">
        <f t="array" aca="1" ref="AJ74" ca="1">DATE(YEAR(FECH.CONS[FECHA DE CONSULTA:]),MONTH(BDD[[#This Row],[FECHA NAC]]),DAY(BDD[[#This Row],[FECHA NAC]]))</f>
        <v>44885</v>
      </c>
      <c r="AK74" s="243"/>
      <c r="AL74" s="251" t="s">
        <v>316</v>
      </c>
      <c r="AM74" s="251" t="s">
        <v>1533</v>
      </c>
      <c r="AN74" s="251" t="s">
        <v>1551</v>
      </c>
      <c r="AO74" s="245">
        <v>38</v>
      </c>
      <c r="AP74" s="251">
        <f ca="1">INT((TODAY()-BDD[[#This Row],[FECHA NAC]])/365)</f>
        <v>27</v>
      </c>
      <c r="AQ74" s="251">
        <v>0</v>
      </c>
      <c r="AR74" s="251">
        <f ca="1">IF(BDD[[#This Row],[ANTIG]]=0,0,1)</f>
        <v>1</v>
      </c>
      <c r="AS74" s="251"/>
      <c r="AT74" s="251"/>
      <c r="AU74" s="251"/>
      <c r="AV74" s="251"/>
      <c r="AW74" s="251"/>
      <c r="AX74" s="251"/>
      <c r="AY74" s="251"/>
      <c r="AZ74" s="251">
        <f t="shared" ca="1" si="4"/>
        <v>729</v>
      </c>
    </row>
    <row r="75" spans="2:52" ht="15" customHeight="1" x14ac:dyDescent="0.25">
      <c r="B75" s="243">
        <v>177</v>
      </c>
      <c r="C75" s="251" t="s">
        <v>132</v>
      </c>
      <c r="D75" s="252">
        <v>27150</v>
      </c>
      <c r="E75" s="252">
        <f>(BDD[[#This Row],[SUE MENS]]/30)</f>
        <v>905</v>
      </c>
      <c r="F75" s="252">
        <f>BDD[[#This Row],[SUE MENS]]/2</f>
        <v>13575</v>
      </c>
      <c r="G75" s="315">
        <v>44038</v>
      </c>
      <c r="H75" s="243">
        <f ca="1">INT(_xlfn.DAYS(TODAY(),BDD[[#This Row],[FECHA ING.]])/365)</f>
        <v>1</v>
      </c>
      <c r="I75" s="251" t="str">
        <f>VLOOKUP(J75,TABLAS!$B$3:$G$49,2,FALSE)</f>
        <v>CPTAL HUMANO</v>
      </c>
      <c r="J75" s="198" t="s">
        <v>768</v>
      </c>
      <c r="K75" s="244" t="s">
        <v>761</v>
      </c>
      <c r="L75" s="251" t="s">
        <v>763</v>
      </c>
      <c r="M75" s="251">
        <v>1021</v>
      </c>
      <c r="N75" s="244" t="s">
        <v>1791</v>
      </c>
      <c r="O75" s="251" t="str">
        <f>IFERROR(VLOOKUP(BDD[[#This Row],[SUBDPTO]],TABLAS!$B$4:$D$36,3,0)," ")</f>
        <v>EMMA DARIELA GARCÍA LORCA</v>
      </c>
      <c r="P75" s="258"/>
      <c r="Q75" s="264"/>
      <c r="R75" s="244"/>
      <c r="S75" s="251"/>
      <c r="T75" s="251" t="s">
        <v>811</v>
      </c>
      <c r="U75" s="243">
        <f ca="1">VLOOKUP(BDD[[#This Row],[ANTIG]],DIASXANT18[#All],2)</f>
        <v>10</v>
      </c>
      <c r="V75" s="256">
        <f t="shared" si="3"/>
        <v>0.5</v>
      </c>
      <c r="W75" s="243">
        <f ca="1">BDD[[#This Row],[D.VAC.]]*BDD[[#This Row],[% P.V.]]</f>
        <v>5</v>
      </c>
      <c r="X75" s="243">
        <v>30</v>
      </c>
      <c r="Y75" s="257">
        <f ca="1">(365+BDD[[#This Row],[D.PAG.V.]]+BDD[[#This Row],[D.AG.]])/365</f>
        <v>1.095890410958904</v>
      </c>
      <c r="Z75" s="243">
        <f ca="1">BDD[[#This Row],[SUE DIA]]*BDD[[#This Row],[FACTOR SDI]]</f>
        <v>991.78082191780811</v>
      </c>
      <c r="AA75" s="243">
        <f>BDD[[#This Row],[SUE DIA]]/9</f>
        <v>100.55555555555556</v>
      </c>
      <c r="AB75" s="251">
        <v>33734</v>
      </c>
      <c r="AC75" s="251" t="s">
        <v>924</v>
      </c>
      <c r="AD75" s="251" t="s">
        <v>792</v>
      </c>
      <c r="AE75" s="252">
        <v>8765241644</v>
      </c>
      <c r="AF75" s="251" t="s">
        <v>1142</v>
      </c>
      <c r="AG75" s="251" t="s">
        <v>776</v>
      </c>
      <c r="AH75" s="251" t="s">
        <v>1555</v>
      </c>
      <c r="AI75" s="243" t="s">
        <v>151</v>
      </c>
      <c r="AJ75" s="258" cm="1">
        <f t="array" aca="1" ref="AJ75" ca="1">DATE(YEAR(FECH.CONS[FECHA DE CONSULTA:]),MONTH(BDD[[#This Row],[FECHA NAC]]),DAY(BDD[[#This Row],[FECHA NAC]]))</f>
        <v>44691</v>
      </c>
      <c r="AK75" s="243"/>
      <c r="AL75" s="261" t="s">
        <v>311</v>
      </c>
      <c r="AM75" s="251" t="s">
        <v>1534</v>
      </c>
      <c r="AN75" s="251" t="s">
        <v>1551</v>
      </c>
      <c r="AO75" s="245">
        <v>46</v>
      </c>
      <c r="AP75" s="251">
        <f ca="1">INT((TODAY()-BDD[[#This Row],[FECHA NAC]])/365)</f>
        <v>30</v>
      </c>
      <c r="AQ75" s="251">
        <v>1</v>
      </c>
      <c r="AR75" s="251">
        <f ca="1">IF(BDD[[#This Row],[ANTIG]]=0,0,1)</f>
        <v>1</v>
      </c>
      <c r="AS75" s="251"/>
      <c r="AT75" s="251"/>
      <c r="AU75" s="251"/>
      <c r="AV75" s="251"/>
      <c r="AW75" s="251"/>
      <c r="AX75" s="251"/>
      <c r="AY75" s="251"/>
      <c r="AZ75" s="251">
        <f t="shared" ca="1" si="4"/>
        <v>40</v>
      </c>
    </row>
    <row r="76" spans="2:52" ht="15" customHeight="1" x14ac:dyDescent="0.25">
      <c r="B76" s="243">
        <v>178</v>
      </c>
      <c r="C76" s="251" t="s">
        <v>133</v>
      </c>
      <c r="D76" s="252">
        <v>22200</v>
      </c>
      <c r="E76" s="252">
        <f>(BDD[[#This Row],[SUE MENS]]/30)</f>
        <v>740</v>
      </c>
      <c r="F76" s="252">
        <f>BDD[[#This Row],[SUE MENS]]/2</f>
        <v>11100</v>
      </c>
      <c r="G76" s="315">
        <v>44037</v>
      </c>
      <c r="H76" s="243">
        <f ca="1">INT(_xlfn.DAYS(TODAY(),BDD[[#This Row],[FECHA ING.]])/365)</f>
        <v>1</v>
      </c>
      <c r="I76" s="251" t="str">
        <f>VLOOKUP(J76,TABLAS!$B$3:$G$49,2,FALSE)</f>
        <v>CONTABILIDAD</v>
      </c>
      <c r="J76" s="198" t="s">
        <v>737</v>
      </c>
      <c r="K76" s="244" t="s">
        <v>761</v>
      </c>
      <c r="L76" s="251" t="s">
        <v>763</v>
      </c>
      <c r="M76" s="251">
        <v>1032</v>
      </c>
      <c r="N76" s="244" t="s">
        <v>2129</v>
      </c>
      <c r="O76" s="251" t="str">
        <f>IFERROR(VLOOKUP(BDD[[#This Row],[SUBDPTO]],TABLAS!$B$4:$D$36,3,0)," ")</f>
        <v>IRIE DALÍ ANTARES CORTÉS</v>
      </c>
      <c r="P76" s="258"/>
      <c r="Q76" s="264"/>
      <c r="R76" s="244"/>
      <c r="S76" s="251"/>
      <c r="T76" s="251" t="s">
        <v>811</v>
      </c>
      <c r="U76" s="243">
        <f ca="1">VLOOKUP(BDD[[#This Row],[ANTIG]],DIASXANT18[#All],2)</f>
        <v>10</v>
      </c>
      <c r="V76" s="256">
        <f t="shared" si="3"/>
        <v>0.5</v>
      </c>
      <c r="W76" s="243">
        <f ca="1">BDD[[#This Row],[D.VAC.]]*BDD[[#This Row],[% P.V.]]</f>
        <v>5</v>
      </c>
      <c r="X76" s="243">
        <v>30</v>
      </c>
      <c r="Y76" s="257">
        <f ca="1">(365+BDD[[#This Row],[D.PAG.V.]]+BDD[[#This Row],[D.AG.]])/365</f>
        <v>1.095890410958904</v>
      </c>
      <c r="Z76" s="243">
        <f ca="1">BDD[[#This Row],[SUE DIA]]*BDD[[#This Row],[FACTOR SDI]]</f>
        <v>810.95890410958896</v>
      </c>
      <c r="AA76" s="243">
        <f>BDD[[#This Row],[SUE DIA]]/9</f>
        <v>82.222222222222229</v>
      </c>
      <c r="AB76" s="251">
        <v>33617</v>
      </c>
      <c r="AC76" s="251" t="s">
        <v>925</v>
      </c>
      <c r="AD76" s="251" t="s">
        <v>787</v>
      </c>
      <c r="AE76" s="252">
        <v>8863250932</v>
      </c>
      <c r="AF76" s="251" t="s">
        <v>1143</v>
      </c>
      <c r="AG76" s="251" t="s">
        <v>776</v>
      </c>
      <c r="AH76" s="251" t="s">
        <v>1555</v>
      </c>
      <c r="AI76" s="243" t="s">
        <v>152</v>
      </c>
      <c r="AJ76" s="258" cm="1">
        <f t="array" aca="1" ref="AJ76" ca="1">DATE(YEAR(FECH.CONS[FECHA DE CONSULTA:]),MONTH(BDD[[#This Row],[FECHA NAC]]),DAY(BDD[[#This Row],[FECHA NAC]]))</f>
        <v>44575</v>
      </c>
      <c r="AK76" s="243"/>
      <c r="AL76" s="251" t="s">
        <v>311</v>
      </c>
      <c r="AM76" s="251" t="s">
        <v>1544</v>
      </c>
      <c r="AN76" s="251" t="s">
        <v>1551</v>
      </c>
      <c r="AO76" s="245">
        <v>95</v>
      </c>
      <c r="AP76" s="251">
        <f ca="1">INT((TODAY()-BDD[[#This Row],[FECHA NAC]])/365)</f>
        <v>30</v>
      </c>
      <c r="AQ76" s="251">
        <v>1</v>
      </c>
      <c r="AR76" s="251">
        <f ca="1">IF(BDD[[#This Row],[ANTIG]]=0,0,1)</f>
        <v>1</v>
      </c>
      <c r="AS76" s="251"/>
      <c r="AT76" s="251"/>
      <c r="AU76" s="251"/>
      <c r="AV76" s="251"/>
      <c r="AW76" s="251"/>
      <c r="AX76" s="251"/>
      <c r="AY76" s="251"/>
      <c r="AZ76" s="251">
        <f t="shared" ca="1" si="4"/>
        <v>905</v>
      </c>
    </row>
    <row r="77" spans="2:52" ht="15" customHeight="1" x14ac:dyDescent="0.25">
      <c r="B77" s="243">
        <v>179</v>
      </c>
      <c r="C77" s="251" t="s">
        <v>130</v>
      </c>
      <c r="D77" s="252">
        <v>27150</v>
      </c>
      <c r="E77" s="252">
        <f>(BDD[[#This Row],[SUE MENS]]/30)</f>
        <v>905</v>
      </c>
      <c r="F77" s="252">
        <f>BDD[[#This Row],[SUE MENS]]/2</f>
        <v>13575</v>
      </c>
      <c r="G77" s="315">
        <v>40383</v>
      </c>
      <c r="H77" s="243">
        <f ca="1">INT(_xlfn.DAYS(TODAY(),BDD[[#This Row],[FECHA ING.]])/365)</f>
        <v>11</v>
      </c>
      <c r="I77" s="251" t="str">
        <f>VLOOKUP(J77,TABLAS!$B$3:$G$49,2,FALSE)</f>
        <v>TECNOLOGÍA</v>
      </c>
      <c r="J77" s="198" t="s">
        <v>750</v>
      </c>
      <c r="K77" s="244" t="s">
        <v>761</v>
      </c>
      <c r="L77" s="251" t="s">
        <v>763</v>
      </c>
      <c r="M77" s="251">
        <v>1012</v>
      </c>
      <c r="N77" s="253" t="s">
        <v>1796</v>
      </c>
      <c r="O77" s="251" t="str">
        <f>IFERROR(VLOOKUP(BDD[[#This Row],[SUBDPTO]],TABLAS!$B$4:$D$36,3,0)," ")</f>
        <v>DENEB SANTIAGO ALTAIR VEGA</v>
      </c>
      <c r="P77" s="258">
        <v>42208</v>
      </c>
      <c r="Q77" s="254">
        <v>5956</v>
      </c>
      <c r="R77" s="255" t="s">
        <v>757</v>
      </c>
      <c r="S77" s="255" t="s">
        <v>745</v>
      </c>
      <c r="T77" s="251" t="s">
        <v>811</v>
      </c>
      <c r="U77" s="243">
        <f ca="1">VLOOKUP(BDD[[#This Row],[ANTIG]],DIASXANT18[#All],2)</f>
        <v>20</v>
      </c>
      <c r="V77" s="256">
        <f t="shared" si="3"/>
        <v>0.5</v>
      </c>
      <c r="W77" s="243">
        <f ca="1">BDD[[#This Row],[D.VAC.]]*BDD[[#This Row],[% P.V.]]</f>
        <v>10</v>
      </c>
      <c r="X77" s="243">
        <v>30</v>
      </c>
      <c r="Y77" s="257">
        <f ca="1">(365+BDD[[#This Row],[D.PAG.V.]]+BDD[[#This Row],[D.AG.]])/365</f>
        <v>1.1095890410958904</v>
      </c>
      <c r="Z77" s="243">
        <f ca="1">BDD[[#This Row],[SUE DIA]]*BDD[[#This Row],[FACTOR SDI]]</f>
        <v>1004.1780821917808</v>
      </c>
      <c r="AA77" s="243">
        <f>BDD[[#This Row],[SUE DIA]]/9</f>
        <v>100.55555555555556</v>
      </c>
      <c r="AB77" s="251">
        <v>35024</v>
      </c>
      <c r="AC77" s="251" t="s">
        <v>926</v>
      </c>
      <c r="AD77" s="251" t="s">
        <v>789</v>
      </c>
      <c r="AE77" s="252">
        <v>8242951422</v>
      </c>
      <c r="AF77" s="251" t="s">
        <v>1144</v>
      </c>
      <c r="AG77" s="251" t="s">
        <v>777</v>
      </c>
      <c r="AH77" s="251" t="s">
        <v>1555</v>
      </c>
      <c r="AI77" s="243" t="s">
        <v>151</v>
      </c>
      <c r="AJ77" s="258" cm="1">
        <f t="array" aca="1" ref="AJ77" ca="1">DATE(YEAR(FECH.CONS[FECHA DE CONSULTA:]),MONTH(BDD[[#This Row],[FECHA NAC]]),DAY(BDD[[#This Row],[FECHA NAC]]))</f>
        <v>44886</v>
      </c>
      <c r="AK77" s="243"/>
      <c r="AL77" s="261" t="s">
        <v>317</v>
      </c>
      <c r="AM77" s="251" t="s">
        <v>1547</v>
      </c>
      <c r="AN77" s="251" t="s">
        <v>1551</v>
      </c>
      <c r="AO77" s="245">
        <v>48</v>
      </c>
      <c r="AP77" s="251">
        <f ca="1">INT((TODAY()-BDD[[#This Row],[FECHA NAC]])/365)</f>
        <v>26</v>
      </c>
      <c r="AQ77" s="251">
        <v>2</v>
      </c>
      <c r="AR77" s="251">
        <f ca="1">IF(BDD[[#This Row],[ANTIG]]=0,0,1)</f>
        <v>1</v>
      </c>
      <c r="AS77" s="251"/>
      <c r="AT77" s="251"/>
      <c r="AU77" s="251"/>
      <c r="AV77" s="251"/>
      <c r="AW77" s="251"/>
      <c r="AX77" s="251"/>
      <c r="AY77" s="251"/>
      <c r="AZ77" s="251">
        <f t="shared" ca="1" si="4"/>
        <v>556</v>
      </c>
    </row>
    <row r="78" spans="2:52" ht="15" customHeight="1" x14ac:dyDescent="0.25">
      <c r="B78" s="243">
        <v>180</v>
      </c>
      <c r="C78" s="251" t="s">
        <v>412</v>
      </c>
      <c r="D78" s="263">
        <v>7445</v>
      </c>
      <c r="E78" s="252">
        <f>(BDD[[#This Row],[SUE MENS]]/30)</f>
        <v>248.16666666666666</v>
      </c>
      <c r="F78" s="252">
        <f>BDD[[#This Row],[SUE MENS]]/2</f>
        <v>3722.5</v>
      </c>
      <c r="G78" s="315">
        <v>43874</v>
      </c>
      <c r="H78" s="243">
        <f ca="1">INT(_xlfn.DAYS(TODAY(),BDD[[#This Row],[FECHA ING.]])/365)</f>
        <v>2</v>
      </c>
      <c r="I78" s="251" t="str">
        <f>VLOOKUP(J78,TABLAS!$B$3:$G$49,2,FALSE)</f>
        <v>AUDITORÍA</v>
      </c>
      <c r="J78" s="198" t="s">
        <v>734</v>
      </c>
      <c r="K78" s="251" t="s">
        <v>778</v>
      </c>
      <c r="L78" s="251" t="s">
        <v>763</v>
      </c>
      <c r="M78" s="251"/>
      <c r="N78" s="244" t="s">
        <v>2130</v>
      </c>
      <c r="O78" s="251" t="str">
        <f>IFERROR(VLOOKUP(BDD[[#This Row],[SUBDPTO]],TABLAS!$B$4:$D$36,3,0)," ")</f>
        <v>MARCO AURELIO URBINO</v>
      </c>
      <c r="P78" s="258"/>
      <c r="Q78" s="264"/>
      <c r="R78" s="244"/>
      <c r="S78" s="251"/>
      <c r="T78" s="251" t="s">
        <v>811</v>
      </c>
      <c r="U78" s="243">
        <f ca="1">VLOOKUP(BDD[[#This Row],[ANTIG]],DIASXANT18[#All],2)</f>
        <v>10</v>
      </c>
      <c r="V78" s="256">
        <f t="shared" si="3"/>
        <v>0.5</v>
      </c>
      <c r="W78" s="243">
        <f ca="1">BDD[[#This Row],[D.VAC.]]*BDD[[#This Row],[% P.V.]]</f>
        <v>5</v>
      </c>
      <c r="X78" s="243">
        <v>30</v>
      </c>
      <c r="Y78" s="257">
        <f ca="1">(365+BDD[[#This Row],[D.PAG.V.]]+BDD[[#This Row],[D.AG.]])/365</f>
        <v>1.095890410958904</v>
      </c>
      <c r="Z78" s="243">
        <f ca="1">BDD[[#This Row],[SUE DIA]]*BDD[[#This Row],[FACTOR SDI]]</f>
        <v>271.96347031963467</v>
      </c>
      <c r="AA78" s="243">
        <f>BDD[[#This Row],[SUE DIA]]/9</f>
        <v>27.574074074074073</v>
      </c>
      <c r="AB78" s="251">
        <v>30747</v>
      </c>
      <c r="AC78" s="251" t="s">
        <v>927</v>
      </c>
      <c r="AD78" s="251" t="s">
        <v>790</v>
      </c>
      <c r="AE78" s="252">
        <v>8751679905</v>
      </c>
      <c r="AF78" s="251" t="s">
        <v>1143</v>
      </c>
      <c r="AG78" s="251" t="s">
        <v>773</v>
      </c>
      <c r="AH78" s="251" t="s">
        <v>730</v>
      </c>
      <c r="AI78" s="243" t="s">
        <v>151</v>
      </c>
      <c r="AJ78" s="258" cm="1">
        <f t="array" aca="1" ref="AJ78" ca="1">DATE(YEAR(FECH.CONS[FECHA DE CONSULTA:]),MONTH(BDD[[#This Row],[FECHA NAC]]),DAY(BDD[[#This Row],[FECHA NAC]]))</f>
        <v>44626</v>
      </c>
      <c r="AK78" s="243">
        <v>8</v>
      </c>
      <c r="AL78" s="251" t="s">
        <v>311</v>
      </c>
      <c r="AM78" s="251" t="s">
        <v>1541</v>
      </c>
      <c r="AN78" s="251" t="s">
        <v>1551</v>
      </c>
      <c r="AO78" s="245">
        <v>32</v>
      </c>
      <c r="AP78" s="251">
        <f ca="1">INT((TODAY()-BDD[[#This Row],[FECHA NAC]])/365)</f>
        <v>38</v>
      </c>
      <c r="AQ78" s="251">
        <v>3</v>
      </c>
      <c r="AR78" s="251">
        <f ca="1">IF(BDD[[#This Row],[ANTIG]]=0,0,1)</f>
        <v>1</v>
      </c>
      <c r="AS78" s="251"/>
      <c r="AT78" s="251"/>
      <c r="AU78" s="251"/>
      <c r="AV78" s="251"/>
      <c r="AW78" s="251"/>
      <c r="AX78" s="251"/>
      <c r="AY78" s="251"/>
      <c r="AZ78" s="251">
        <f t="shared" ca="1" si="4"/>
        <v>422</v>
      </c>
    </row>
    <row r="79" spans="2:52" ht="15" customHeight="1" x14ac:dyDescent="0.25">
      <c r="B79" s="243">
        <v>182</v>
      </c>
      <c r="C79" s="251" t="s">
        <v>134</v>
      </c>
      <c r="D79" s="263">
        <v>7445</v>
      </c>
      <c r="E79" s="252">
        <f>(BDD[[#This Row],[SUE MENS]]/30)</f>
        <v>248.16666666666666</v>
      </c>
      <c r="F79" s="252">
        <f>BDD[[#This Row],[SUE MENS]]/2</f>
        <v>3722.5</v>
      </c>
      <c r="G79" s="315">
        <v>43356</v>
      </c>
      <c r="H79" s="243">
        <f ca="1">INT(_xlfn.DAYS(TODAY(),BDD[[#This Row],[FECHA ING.]])/365)</f>
        <v>3</v>
      </c>
      <c r="I79" s="251" t="str">
        <f>VLOOKUP(J79,TABLAS!$B$3:$G$49,2,FALSE)</f>
        <v>DIV ARQUIT</v>
      </c>
      <c r="J79" s="198" t="s">
        <v>741</v>
      </c>
      <c r="K79" s="251" t="s">
        <v>778</v>
      </c>
      <c r="L79" s="251" t="s">
        <v>763</v>
      </c>
      <c r="M79" s="251"/>
      <c r="N79" s="253" t="s">
        <v>2062</v>
      </c>
      <c r="O79" s="251" t="str">
        <f>IFERROR(VLOOKUP(BDD[[#This Row],[SUBDPTO]],TABLAS!$B$4:$D$36,3,0)," ")</f>
        <v>MÉRIDA ISELA MEDINA SALINAS</v>
      </c>
      <c r="P79" s="258">
        <v>43574</v>
      </c>
      <c r="Q79" s="254">
        <v>4384</v>
      </c>
      <c r="R79" s="255" t="s">
        <v>741</v>
      </c>
      <c r="S79" s="251"/>
      <c r="T79" s="251" t="s">
        <v>811</v>
      </c>
      <c r="U79" s="243">
        <f ca="1">VLOOKUP(BDD[[#This Row],[ANTIG]],DIASXANT18[#All],2)</f>
        <v>14</v>
      </c>
      <c r="V79" s="256">
        <f t="shared" si="3"/>
        <v>0.5</v>
      </c>
      <c r="W79" s="243">
        <f ca="1">BDD[[#This Row],[D.VAC.]]*BDD[[#This Row],[% P.V.]]</f>
        <v>7</v>
      </c>
      <c r="X79" s="243">
        <v>30</v>
      </c>
      <c r="Y79" s="257">
        <f ca="1">(365+BDD[[#This Row],[D.PAG.V.]]+BDD[[#This Row],[D.AG.]])/365</f>
        <v>1.1013698630136985</v>
      </c>
      <c r="Z79" s="243">
        <f ca="1">BDD[[#This Row],[SUE DIA]]*BDD[[#This Row],[FACTOR SDI]]</f>
        <v>273.32328767123283</v>
      </c>
      <c r="AA79" s="243">
        <f>BDD[[#This Row],[SUE DIA]]/9</f>
        <v>27.574074074074073</v>
      </c>
      <c r="AB79" s="251">
        <v>32246</v>
      </c>
      <c r="AC79" s="251" t="s">
        <v>928</v>
      </c>
      <c r="AD79" s="251" t="s">
        <v>787</v>
      </c>
      <c r="AE79" s="252">
        <v>8739291268</v>
      </c>
      <c r="AF79" s="251" t="s">
        <v>1145</v>
      </c>
      <c r="AG79" s="251" t="s">
        <v>773</v>
      </c>
      <c r="AH79" s="251" t="s">
        <v>725</v>
      </c>
      <c r="AI79" s="243" t="s">
        <v>151</v>
      </c>
      <c r="AJ79" s="258" cm="1">
        <f t="array" aca="1" ref="AJ79" ca="1">DATE(YEAR(FECH.CONS[FECHA DE CONSULTA:]),MONTH(BDD[[#This Row],[FECHA NAC]]),DAY(BDD[[#This Row],[FECHA NAC]]))</f>
        <v>44664</v>
      </c>
      <c r="AK79" s="243"/>
      <c r="AL79" s="251" t="s">
        <v>328</v>
      </c>
      <c r="AM79" s="251" t="s">
        <v>1543</v>
      </c>
      <c r="AN79" s="251" t="s">
        <v>1551</v>
      </c>
      <c r="AO79" s="245">
        <v>84</v>
      </c>
      <c r="AP79" s="251">
        <f ca="1">INT((TODAY()-BDD[[#This Row],[FECHA NAC]])/365)</f>
        <v>34</v>
      </c>
      <c r="AQ79" s="251">
        <v>2</v>
      </c>
      <c r="AR79" s="251">
        <f ca="1">IF(BDD[[#This Row],[ANTIG]]=0,0,1)</f>
        <v>1</v>
      </c>
      <c r="AS79" s="251"/>
      <c r="AT79" s="251"/>
      <c r="AU79" s="251"/>
      <c r="AV79" s="251"/>
      <c r="AW79" s="251"/>
      <c r="AX79" s="251"/>
      <c r="AY79" s="251"/>
      <c r="AZ79" s="251">
        <f t="shared" ca="1" si="4"/>
        <v>762</v>
      </c>
    </row>
    <row r="80" spans="2:52" ht="15" customHeight="1" x14ac:dyDescent="0.25">
      <c r="B80" s="243">
        <v>183</v>
      </c>
      <c r="C80" s="251" t="s">
        <v>135</v>
      </c>
      <c r="D80" s="252">
        <v>7950</v>
      </c>
      <c r="E80" s="252">
        <f>(BDD[[#This Row],[SUE MENS]]/30)</f>
        <v>265</v>
      </c>
      <c r="F80" s="252">
        <f>BDD[[#This Row],[SUE MENS]]/2</f>
        <v>3975</v>
      </c>
      <c r="G80" s="315">
        <v>43015</v>
      </c>
      <c r="H80" s="243">
        <f ca="1">INT(_xlfn.DAYS(TODAY(),BDD[[#This Row],[FECHA ING.]])/365)</f>
        <v>4</v>
      </c>
      <c r="I80" s="251" t="str">
        <f>VLOOKUP(J80,TABLAS!$B$3:$G$49,2,FALSE)</f>
        <v>AUDITORÍA</v>
      </c>
      <c r="J80" s="198" t="s">
        <v>735</v>
      </c>
      <c r="K80" s="251" t="s">
        <v>778</v>
      </c>
      <c r="L80" s="251" t="s">
        <v>763</v>
      </c>
      <c r="M80" s="251"/>
      <c r="N80" s="244" t="s">
        <v>1986</v>
      </c>
      <c r="O80" s="251" t="str">
        <f>IFERROR(VLOOKUP(BDD[[#This Row],[SUBDPTO]],TABLAS!$B$4:$D$36,3,0)," ")</f>
        <v>MARCO AURELIO URBINO</v>
      </c>
      <c r="P80" s="258">
        <v>43278</v>
      </c>
      <c r="Q80" s="254">
        <v>5956</v>
      </c>
      <c r="R80" s="255" t="s">
        <v>751</v>
      </c>
      <c r="S80" s="251"/>
      <c r="T80" s="251" t="s">
        <v>811</v>
      </c>
      <c r="U80" s="243">
        <f ca="1">VLOOKUP(BDD[[#This Row],[ANTIG]],DIASXANT18[#All],2)</f>
        <v>14</v>
      </c>
      <c r="V80" s="256">
        <f t="shared" si="3"/>
        <v>0.5</v>
      </c>
      <c r="W80" s="243">
        <f ca="1">BDD[[#This Row],[D.VAC.]]*BDD[[#This Row],[% P.V.]]</f>
        <v>7</v>
      </c>
      <c r="X80" s="243">
        <v>30</v>
      </c>
      <c r="Y80" s="257">
        <f ca="1">(365+BDD[[#This Row],[D.PAG.V.]]+BDD[[#This Row],[D.AG.]])/365</f>
        <v>1.1013698630136985</v>
      </c>
      <c r="Z80" s="243">
        <f ca="1">BDD[[#This Row],[SUE DIA]]*BDD[[#This Row],[FACTOR SDI]]</f>
        <v>291.86301369863014</v>
      </c>
      <c r="AA80" s="243">
        <f>BDD[[#This Row],[SUE DIA]]/9</f>
        <v>29.444444444444443</v>
      </c>
      <c r="AB80" s="251">
        <v>29862</v>
      </c>
      <c r="AC80" s="251" t="s">
        <v>929</v>
      </c>
      <c r="AD80" s="251" t="s">
        <v>793</v>
      </c>
      <c r="AE80" s="252">
        <v>8689692884</v>
      </c>
      <c r="AF80" s="251" t="s">
        <v>1146</v>
      </c>
      <c r="AG80" s="251" t="s">
        <v>776</v>
      </c>
      <c r="AH80" s="251" t="s">
        <v>730</v>
      </c>
      <c r="AI80" s="243" t="s">
        <v>151</v>
      </c>
      <c r="AJ80" s="258" cm="1">
        <f t="array" aca="1" ref="AJ80" ca="1">DATE(YEAR(FECH.CONS[FECHA DE CONSULTA:]),MONTH(BDD[[#This Row],[FECHA NAC]]),DAY(BDD[[#This Row],[FECHA NAC]]))</f>
        <v>44837</v>
      </c>
      <c r="AK80" s="243">
        <v>7</v>
      </c>
      <c r="AL80" s="261" t="s">
        <v>312</v>
      </c>
      <c r="AM80" s="251" t="s">
        <v>1540</v>
      </c>
      <c r="AN80" s="251" t="s">
        <v>1551</v>
      </c>
      <c r="AO80" s="245">
        <v>86</v>
      </c>
      <c r="AP80" s="251">
        <f ca="1">INT((TODAY()-BDD[[#This Row],[FECHA NAC]])/365)</f>
        <v>40</v>
      </c>
      <c r="AQ80" s="251">
        <v>3</v>
      </c>
      <c r="AR80" s="251">
        <f ca="1">IF(BDD[[#This Row],[ANTIG]]=0,0,1)</f>
        <v>1</v>
      </c>
      <c r="AS80" s="251"/>
      <c r="AT80" s="251"/>
      <c r="AU80" s="251"/>
      <c r="AV80" s="251"/>
      <c r="AW80" s="251"/>
      <c r="AX80" s="251"/>
      <c r="AY80" s="251"/>
      <c r="AZ80" s="251">
        <f t="shared" ca="1" si="4"/>
        <v>688</v>
      </c>
    </row>
    <row r="81" spans="2:52" ht="15" customHeight="1" x14ac:dyDescent="0.25">
      <c r="B81" s="243">
        <v>184</v>
      </c>
      <c r="C81" s="251" t="s">
        <v>415</v>
      </c>
      <c r="D81" s="252">
        <v>9541</v>
      </c>
      <c r="E81" s="252">
        <f>(BDD[[#This Row],[SUE MENS]]/30)</f>
        <v>318.03333333333336</v>
      </c>
      <c r="F81" s="252">
        <f>BDD[[#This Row],[SUE MENS]]/2</f>
        <v>4770.5</v>
      </c>
      <c r="G81" s="315">
        <v>41701</v>
      </c>
      <c r="H81" s="243">
        <f ca="1">INT(_xlfn.DAYS(TODAY(),BDD[[#This Row],[FECHA ING.]])/365)</f>
        <v>8</v>
      </c>
      <c r="I81" s="251" t="str">
        <f>VLOOKUP(J81,TABLAS!$B$3:$G$49,2,FALSE)</f>
        <v>CPTAL HUMANO</v>
      </c>
      <c r="J81" s="198" t="s">
        <v>758</v>
      </c>
      <c r="K81" s="251" t="s">
        <v>778</v>
      </c>
      <c r="L81" s="251" t="s">
        <v>763</v>
      </c>
      <c r="M81" s="251"/>
      <c r="N81" s="244" t="s">
        <v>2143</v>
      </c>
      <c r="O81" s="251" t="str">
        <f>IFERROR(VLOOKUP(BDD[[#This Row],[SUBDPTO]],TABLAS!$B$4:$D$36,3,0)," ")</f>
        <v>EMMA DARIELA GARCÍA LORCA</v>
      </c>
      <c r="P81" s="258">
        <f>BDD[[#This Row],[FECHA ING.]]+1000</f>
        <v>42701</v>
      </c>
      <c r="Q81" s="254">
        <v>10340</v>
      </c>
      <c r="R81" s="251" t="s">
        <v>742</v>
      </c>
      <c r="S81" s="251"/>
      <c r="T81" s="251" t="s">
        <v>811</v>
      </c>
      <c r="U81" s="243">
        <f ca="1">VLOOKUP(BDD[[#This Row],[ANTIG]],DIASXANT18[#All],2)</f>
        <v>16</v>
      </c>
      <c r="V81" s="256">
        <f t="shared" si="3"/>
        <v>0.5</v>
      </c>
      <c r="W81" s="243">
        <f ca="1">BDD[[#This Row],[D.VAC.]]*BDD[[#This Row],[% P.V.]]</f>
        <v>8</v>
      </c>
      <c r="X81" s="243">
        <v>30</v>
      </c>
      <c r="Y81" s="257">
        <f ca="1">(365+BDD[[#This Row],[D.PAG.V.]]+BDD[[#This Row],[D.AG.]])/365</f>
        <v>1.1041095890410959</v>
      </c>
      <c r="Z81" s="243">
        <f ca="1">BDD[[#This Row],[SUE DIA]]*BDD[[#This Row],[FACTOR SDI]]</f>
        <v>351.14365296803658</v>
      </c>
      <c r="AA81" s="243">
        <f>BDD[[#This Row],[SUE DIA]]/9</f>
        <v>35.337037037037042</v>
      </c>
      <c r="AB81" s="251">
        <v>34346</v>
      </c>
      <c r="AC81" s="251" t="s">
        <v>286</v>
      </c>
      <c r="AD81" s="251" t="s">
        <v>789</v>
      </c>
      <c r="AE81" s="252">
        <v>8634049500</v>
      </c>
      <c r="AF81" s="251" t="s">
        <v>1147</v>
      </c>
      <c r="AG81" s="251" t="s">
        <v>776</v>
      </c>
      <c r="AH81" s="251" t="s">
        <v>1555</v>
      </c>
      <c r="AI81" s="243" t="s">
        <v>151</v>
      </c>
      <c r="AJ81" s="258" cm="1">
        <f t="array" aca="1" ref="AJ81" ca="1">DATE(YEAR(FECH.CONS[FECHA DE CONSULTA:]),MONTH(BDD[[#This Row],[FECHA NAC]]),DAY(BDD[[#This Row],[FECHA NAC]]))</f>
        <v>44573</v>
      </c>
      <c r="AK81" s="243"/>
      <c r="AL81" s="251" t="s">
        <v>311</v>
      </c>
      <c r="AM81" s="251" t="s">
        <v>1534</v>
      </c>
      <c r="AN81" s="251" t="s">
        <v>1551</v>
      </c>
      <c r="AO81" s="245">
        <v>36</v>
      </c>
      <c r="AP81" s="251">
        <f ca="1">INT((TODAY()-BDD[[#This Row],[FECHA NAC]])/365)</f>
        <v>28</v>
      </c>
      <c r="AQ81" s="251">
        <v>3</v>
      </c>
      <c r="AR81" s="251">
        <f ca="1">IF(BDD[[#This Row],[ANTIG]]=0,0,1)</f>
        <v>1</v>
      </c>
      <c r="AS81" s="251"/>
      <c r="AT81" s="251"/>
      <c r="AU81" s="251"/>
      <c r="AV81" s="251"/>
      <c r="AW81" s="251"/>
      <c r="AX81" s="251"/>
      <c r="AY81" s="251"/>
      <c r="AZ81" s="251">
        <f t="shared" ca="1" si="4"/>
        <v>785</v>
      </c>
    </row>
    <row r="82" spans="2:52" ht="15" customHeight="1" x14ac:dyDescent="0.25">
      <c r="B82" s="243">
        <v>185</v>
      </c>
      <c r="C82" s="251" t="s">
        <v>136</v>
      </c>
      <c r="D82" s="252">
        <v>7950</v>
      </c>
      <c r="E82" s="252">
        <f>(BDD[[#This Row],[SUE MENS]]/30)</f>
        <v>265</v>
      </c>
      <c r="F82" s="252">
        <f>BDD[[#This Row],[SUE MENS]]/2</f>
        <v>3975</v>
      </c>
      <c r="G82" s="315">
        <v>43262</v>
      </c>
      <c r="H82" s="243">
        <f ca="1">INT(_xlfn.DAYS(TODAY(),BDD[[#This Row],[FECHA ING.]])/365)</f>
        <v>4</v>
      </c>
      <c r="I82" s="251" t="str">
        <f>VLOOKUP(J82,TABLAS!$B$3:$G$49,2,FALSE)</f>
        <v>FINANZAS</v>
      </c>
      <c r="J82" s="198" t="s">
        <v>747</v>
      </c>
      <c r="K82" s="251" t="s">
        <v>778</v>
      </c>
      <c r="L82" s="251" t="s">
        <v>763</v>
      </c>
      <c r="M82" s="251"/>
      <c r="N82" s="244" t="s">
        <v>2032</v>
      </c>
      <c r="O82" s="251" t="str">
        <f>IFERROR(VLOOKUP(BDD[[#This Row],[SUBDPTO]],TABLAS!$B$4:$D$36,3,0)," ")</f>
        <v>MARIANO ALDEBARÁN</v>
      </c>
      <c r="P82" s="258">
        <v>43749</v>
      </c>
      <c r="Q82" s="254">
        <v>5956</v>
      </c>
      <c r="R82" s="255" t="s">
        <v>747</v>
      </c>
      <c r="S82" s="251"/>
      <c r="T82" s="251" t="s">
        <v>811</v>
      </c>
      <c r="U82" s="243">
        <f ca="1">VLOOKUP(BDD[[#This Row],[ANTIG]],DIASXANT18[#All],2)</f>
        <v>14</v>
      </c>
      <c r="V82" s="256">
        <f t="shared" si="3"/>
        <v>0.5</v>
      </c>
      <c r="W82" s="243">
        <f ca="1">BDD[[#This Row],[D.VAC.]]*BDD[[#This Row],[% P.V.]]</f>
        <v>7</v>
      </c>
      <c r="X82" s="243">
        <v>30</v>
      </c>
      <c r="Y82" s="257">
        <f ca="1">(365+BDD[[#This Row],[D.PAG.V.]]+BDD[[#This Row],[D.AG.]])/365</f>
        <v>1.1013698630136985</v>
      </c>
      <c r="Z82" s="243">
        <f ca="1">BDD[[#This Row],[SUE DIA]]*BDD[[#This Row],[FACTOR SDI]]</f>
        <v>291.86301369863014</v>
      </c>
      <c r="AA82" s="243">
        <f>BDD[[#This Row],[SUE DIA]]/9</f>
        <v>29.444444444444443</v>
      </c>
      <c r="AB82" s="251">
        <v>30723</v>
      </c>
      <c r="AC82" s="251" t="s">
        <v>930</v>
      </c>
      <c r="AD82" s="251" t="s">
        <v>809</v>
      </c>
      <c r="AE82" s="252">
        <v>8671889685</v>
      </c>
      <c r="AF82" s="251" t="s">
        <v>1148</v>
      </c>
      <c r="AG82" s="251" t="s">
        <v>776</v>
      </c>
      <c r="AH82" s="251" t="s">
        <v>730</v>
      </c>
      <c r="AI82" s="243" t="s">
        <v>151</v>
      </c>
      <c r="AJ82" s="258" cm="1">
        <f t="array" aca="1" ref="AJ82" ca="1">DATE(YEAR(FECH.CONS[FECHA DE CONSULTA:]),MONTH(BDD[[#This Row],[FECHA NAC]]),DAY(BDD[[#This Row],[FECHA NAC]]))</f>
        <v>44603</v>
      </c>
      <c r="AK82" s="243">
        <v>6</v>
      </c>
      <c r="AL82" s="261" t="s">
        <v>311</v>
      </c>
      <c r="AM82" s="251" t="s">
        <v>1548</v>
      </c>
      <c r="AN82" s="251" t="s">
        <v>1551</v>
      </c>
      <c r="AO82" s="245">
        <v>43</v>
      </c>
      <c r="AP82" s="251">
        <f ca="1">INT((TODAY()-BDD[[#This Row],[FECHA NAC]])/365)</f>
        <v>38</v>
      </c>
      <c r="AQ82" s="251">
        <v>0</v>
      </c>
      <c r="AR82" s="251">
        <f ca="1">IF(BDD[[#This Row],[ANTIG]]=0,0,1)</f>
        <v>1</v>
      </c>
      <c r="AS82" s="251"/>
      <c r="AT82" s="251"/>
      <c r="AU82" s="251"/>
      <c r="AV82" s="251"/>
      <c r="AW82" s="251"/>
      <c r="AX82" s="251"/>
      <c r="AY82" s="251"/>
      <c r="AZ82" s="251">
        <f t="shared" ca="1" si="4"/>
        <v>50</v>
      </c>
    </row>
    <row r="83" spans="2:52" ht="15" customHeight="1" x14ac:dyDescent="0.25">
      <c r="B83" s="243">
        <v>186</v>
      </c>
      <c r="C83" s="251" t="s">
        <v>1747</v>
      </c>
      <c r="D83" s="263">
        <v>7445</v>
      </c>
      <c r="E83" s="252">
        <f>(BDD[[#This Row],[SUE MENS]]/30)</f>
        <v>248.16666666666666</v>
      </c>
      <c r="F83" s="252">
        <f>BDD[[#This Row],[SUE MENS]]/2</f>
        <v>3722.5</v>
      </c>
      <c r="G83" s="315">
        <v>43577</v>
      </c>
      <c r="H83" s="243">
        <f ca="1">INT(_xlfn.DAYS(TODAY(),BDD[[#This Row],[FECHA ING.]])/365)</f>
        <v>3</v>
      </c>
      <c r="I83" s="251" t="str">
        <f>VLOOKUP(J83,TABLAS!$B$3:$G$49,2,FALSE)</f>
        <v>DIV ARQUIT</v>
      </c>
      <c r="J83" s="198" t="s">
        <v>740</v>
      </c>
      <c r="K83" s="251" t="s">
        <v>778</v>
      </c>
      <c r="L83" s="251" t="s">
        <v>763</v>
      </c>
      <c r="M83" s="251"/>
      <c r="N83" s="244" t="s">
        <v>1840</v>
      </c>
      <c r="O83" s="251" t="str">
        <f>IFERROR(VLOOKUP(BDD[[#This Row],[SUBDPTO]],TABLAS!$B$4:$D$36,3,0)," ")</f>
        <v>MÉRIDA ISELA MEDINA SALINAS</v>
      </c>
      <c r="P83" s="258"/>
      <c r="Q83" s="264"/>
      <c r="R83" s="244"/>
      <c r="S83" s="251"/>
      <c r="T83" s="251" t="s">
        <v>811</v>
      </c>
      <c r="U83" s="243">
        <f ca="1">VLOOKUP(BDD[[#This Row],[ANTIG]],DIASXANT18[#All],2)</f>
        <v>14</v>
      </c>
      <c r="V83" s="256">
        <f t="shared" si="3"/>
        <v>0.5</v>
      </c>
      <c r="W83" s="243">
        <f ca="1">BDD[[#This Row],[D.VAC.]]*BDD[[#This Row],[% P.V.]]</f>
        <v>7</v>
      </c>
      <c r="X83" s="243">
        <v>30</v>
      </c>
      <c r="Y83" s="257">
        <f ca="1">(365+BDD[[#This Row],[D.PAG.V.]]+BDD[[#This Row],[D.AG.]])/365</f>
        <v>1.1013698630136985</v>
      </c>
      <c r="Z83" s="243">
        <f ca="1">BDD[[#This Row],[SUE DIA]]*BDD[[#This Row],[FACTOR SDI]]</f>
        <v>273.32328767123283</v>
      </c>
      <c r="AA83" s="243">
        <f>BDD[[#This Row],[SUE DIA]]/9</f>
        <v>27.574074074074073</v>
      </c>
      <c r="AB83" s="251">
        <v>35841</v>
      </c>
      <c r="AC83" s="251" t="s">
        <v>931</v>
      </c>
      <c r="AD83" s="251" t="s">
        <v>809</v>
      </c>
      <c r="AE83" s="252">
        <v>8972175819</v>
      </c>
      <c r="AF83" s="251" t="s">
        <v>1149</v>
      </c>
      <c r="AG83" s="251" t="s">
        <v>776</v>
      </c>
      <c r="AH83" s="251" t="s">
        <v>730</v>
      </c>
      <c r="AI83" s="243" t="s">
        <v>152</v>
      </c>
      <c r="AJ83" s="258" cm="1">
        <f t="array" aca="1" ref="AJ83" ca="1">DATE(YEAR(FECH.CONS[FECHA DE CONSULTA:]),MONTH(BDD[[#This Row],[FECHA NAC]]),DAY(BDD[[#This Row],[FECHA NAC]]))</f>
        <v>44607</v>
      </c>
      <c r="AK83" s="243">
        <v>8</v>
      </c>
      <c r="AL83" s="261" t="s">
        <v>317</v>
      </c>
      <c r="AM83" s="251" t="s">
        <v>1543</v>
      </c>
      <c r="AN83" s="251" t="s">
        <v>1551</v>
      </c>
      <c r="AO83" s="245">
        <v>43</v>
      </c>
      <c r="AP83" s="251">
        <f ca="1">INT((TODAY()-BDD[[#This Row],[FECHA NAC]])/365)</f>
        <v>24</v>
      </c>
      <c r="AQ83" s="251">
        <v>1</v>
      </c>
      <c r="AR83" s="251">
        <f ca="1">IF(BDD[[#This Row],[ANTIG]]=0,0,1)</f>
        <v>1</v>
      </c>
      <c r="AS83" s="251"/>
      <c r="AT83" s="251"/>
      <c r="AU83" s="251"/>
      <c r="AV83" s="251"/>
      <c r="AW83" s="251"/>
      <c r="AX83" s="251"/>
      <c r="AY83" s="251"/>
      <c r="AZ83" s="251">
        <f t="shared" ca="1" si="4"/>
        <v>494</v>
      </c>
    </row>
    <row r="84" spans="2:52" ht="15" customHeight="1" x14ac:dyDescent="0.25">
      <c r="B84" s="243">
        <v>188</v>
      </c>
      <c r="C84" s="251" t="s">
        <v>1663</v>
      </c>
      <c r="D84" s="252">
        <v>27150</v>
      </c>
      <c r="E84" s="252">
        <f>(BDD[[#This Row],[SUE MENS]]/30)</f>
        <v>905</v>
      </c>
      <c r="F84" s="252">
        <f>BDD[[#This Row],[SUE MENS]]/2</f>
        <v>13575</v>
      </c>
      <c r="G84" s="315">
        <v>43022</v>
      </c>
      <c r="H84" s="243">
        <f ca="1">INT(_xlfn.DAYS(TODAY(),BDD[[#This Row],[FECHA ING.]])/365)</f>
        <v>4</v>
      </c>
      <c r="I84" s="251" t="str">
        <f>VLOOKUP(J84,TABLAS!$B$3:$G$49,2,FALSE)</f>
        <v>CONTABILIDAD</v>
      </c>
      <c r="J84" s="198" t="s">
        <v>742</v>
      </c>
      <c r="K84" s="244" t="s">
        <v>778</v>
      </c>
      <c r="L84" s="251" t="s">
        <v>763</v>
      </c>
      <c r="M84" s="251">
        <v>1015</v>
      </c>
      <c r="N84" s="244" t="s">
        <v>2048</v>
      </c>
      <c r="O84" s="251" t="str">
        <f>IFERROR(VLOOKUP(BDD[[#This Row],[SUBDPTO]],TABLAS!$B$4:$D$36,3,0)," ")</f>
        <v>IRIE DALÍ ANTARES CORTÉS</v>
      </c>
      <c r="P84" s="258">
        <v>43798</v>
      </c>
      <c r="Q84" s="254">
        <v>23632</v>
      </c>
      <c r="R84" s="255" t="s">
        <v>746</v>
      </c>
      <c r="S84" s="251"/>
      <c r="T84" s="251" t="s">
        <v>811</v>
      </c>
      <c r="U84" s="243">
        <f ca="1">VLOOKUP(BDD[[#This Row],[ANTIG]],DIASXANT18[#All],2)</f>
        <v>14</v>
      </c>
      <c r="V84" s="256">
        <f t="shared" si="3"/>
        <v>0.5</v>
      </c>
      <c r="W84" s="243">
        <f ca="1">BDD[[#This Row],[D.VAC.]]*BDD[[#This Row],[% P.V.]]</f>
        <v>7</v>
      </c>
      <c r="X84" s="243">
        <v>30</v>
      </c>
      <c r="Y84" s="257">
        <f ca="1">(365+BDD[[#This Row],[D.PAG.V.]]+BDD[[#This Row],[D.AG.]])/365</f>
        <v>1.1013698630136985</v>
      </c>
      <c r="Z84" s="243">
        <f ca="1">BDD[[#This Row],[SUE DIA]]*BDD[[#This Row],[FACTOR SDI]]</f>
        <v>996.73972602739718</v>
      </c>
      <c r="AA84" s="243">
        <f>BDD[[#This Row],[SUE DIA]]/9</f>
        <v>100.55555555555556</v>
      </c>
      <c r="AB84" s="251">
        <v>34558</v>
      </c>
      <c r="AC84" s="251" t="s">
        <v>932</v>
      </c>
      <c r="AD84" s="251" t="s">
        <v>789</v>
      </c>
      <c r="AE84" s="252">
        <v>8914607360</v>
      </c>
      <c r="AF84" s="251" t="s">
        <v>1150</v>
      </c>
      <c r="AG84" s="251" t="s">
        <v>776</v>
      </c>
      <c r="AH84" s="251" t="s">
        <v>1555</v>
      </c>
      <c r="AI84" s="243" t="s">
        <v>152</v>
      </c>
      <c r="AJ84" s="258" cm="1">
        <f t="array" aca="1" ref="AJ84" ca="1">DATE(YEAR(FECH.CONS[FECHA DE CONSULTA:]),MONTH(BDD[[#This Row],[FECHA NAC]]),DAY(BDD[[#This Row],[FECHA NAC]]))</f>
        <v>44785</v>
      </c>
      <c r="AK84" s="243"/>
      <c r="AL84" s="261" t="s">
        <v>313</v>
      </c>
      <c r="AM84" s="251" t="s">
        <v>1538</v>
      </c>
      <c r="AN84" s="251" t="s">
        <v>1551</v>
      </c>
      <c r="AO84" s="245">
        <v>79</v>
      </c>
      <c r="AP84" s="251">
        <f ca="1">INT((TODAY()-BDD[[#This Row],[FECHA NAC]])/365)</f>
        <v>27</v>
      </c>
      <c r="AQ84" s="251">
        <v>2</v>
      </c>
      <c r="AR84" s="251">
        <f ca="1">IF(BDD[[#This Row],[ANTIG]]=0,0,1)</f>
        <v>1</v>
      </c>
      <c r="AS84" s="251"/>
      <c r="AT84" s="251"/>
      <c r="AU84" s="251"/>
      <c r="AV84" s="251"/>
      <c r="AW84" s="251"/>
      <c r="AX84" s="251"/>
      <c r="AY84" s="251"/>
      <c r="AZ84" s="251">
        <f t="shared" ca="1" si="4"/>
        <v>955</v>
      </c>
    </row>
    <row r="85" spans="2:52" ht="15" customHeight="1" x14ac:dyDescent="0.25">
      <c r="B85" s="243">
        <v>189</v>
      </c>
      <c r="C85" s="251" t="s">
        <v>138</v>
      </c>
      <c r="D85" s="252">
        <v>9450</v>
      </c>
      <c r="E85" s="252">
        <f>(BDD[[#This Row],[SUE MENS]]/30)</f>
        <v>315</v>
      </c>
      <c r="F85" s="252">
        <f>BDD[[#This Row],[SUE MENS]]/2</f>
        <v>4725</v>
      </c>
      <c r="G85" s="315">
        <v>42598</v>
      </c>
      <c r="H85" s="243">
        <f ca="1">INT(_xlfn.DAYS(TODAY(),BDD[[#This Row],[FECHA ING.]])/365)</f>
        <v>5</v>
      </c>
      <c r="I85" s="251" t="str">
        <f>VLOOKUP(J85,TABLAS!$B$3:$G$49,2,FALSE)</f>
        <v>DIV ARQUIT</v>
      </c>
      <c r="J85" s="198" t="s">
        <v>741</v>
      </c>
      <c r="K85" s="251" t="s">
        <v>778</v>
      </c>
      <c r="L85" s="251" t="s">
        <v>763</v>
      </c>
      <c r="M85" s="251"/>
      <c r="N85" s="244" t="s">
        <v>1806</v>
      </c>
      <c r="O85" s="251" t="str">
        <f>IFERROR(VLOOKUP(BDD[[#This Row],[SUBDPTO]],TABLAS!$B$4:$D$36,3,0)," ")</f>
        <v>MÉRIDA ISELA MEDINA SALINAS</v>
      </c>
      <c r="P85" s="258">
        <f>BDD[[#This Row],[FECHA ING.]]+1000</f>
        <v>43598</v>
      </c>
      <c r="Q85" s="275">
        <v>5211.5</v>
      </c>
      <c r="R85" s="251" t="s">
        <v>738</v>
      </c>
      <c r="S85" s="251"/>
      <c r="T85" s="251" t="s">
        <v>811</v>
      </c>
      <c r="U85" s="243">
        <f ca="1">VLOOKUP(BDD[[#This Row],[ANTIG]],DIASXANT18[#All],2)</f>
        <v>16</v>
      </c>
      <c r="V85" s="256">
        <f t="shared" si="3"/>
        <v>0.5</v>
      </c>
      <c r="W85" s="243">
        <f ca="1">BDD[[#This Row],[D.VAC.]]*BDD[[#This Row],[% P.V.]]</f>
        <v>8</v>
      </c>
      <c r="X85" s="243">
        <v>30</v>
      </c>
      <c r="Y85" s="257">
        <f ca="1">(365+BDD[[#This Row],[D.PAG.V.]]+BDD[[#This Row],[D.AG.]])/365</f>
        <v>1.1041095890410959</v>
      </c>
      <c r="Z85" s="243">
        <f ca="1">BDD[[#This Row],[SUE DIA]]*BDD[[#This Row],[FACTOR SDI]]</f>
        <v>347.79452054794518</v>
      </c>
      <c r="AA85" s="243">
        <f>BDD[[#This Row],[SUE DIA]]/9</f>
        <v>35</v>
      </c>
      <c r="AB85" s="251">
        <v>30407</v>
      </c>
      <c r="AC85" s="251" t="s">
        <v>933</v>
      </c>
      <c r="AD85" s="251" t="s">
        <v>809</v>
      </c>
      <c r="AE85" s="252">
        <v>8423147466</v>
      </c>
      <c r="AF85" s="251" t="s">
        <v>1151</v>
      </c>
      <c r="AG85" s="251" t="s">
        <v>773</v>
      </c>
      <c r="AH85" s="251" t="s">
        <v>730</v>
      </c>
      <c r="AI85" s="243" t="s">
        <v>151</v>
      </c>
      <c r="AJ85" s="258" cm="1">
        <f t="array" aca="1" ref="AJ85" ca="1">DATE(YEAR(FECH.CONS[FECHA DE CONSULTA:]),MONTH(BDD[[#This Row],[FECHA NAC]]),DAY(BDD[[#This Row],[FECHA NAC]]))</f>
        <v>44652</v>
      </c>
      <c r="AK85" s="243">
        <v>6</v>
      </c>
      <c r="AL85" s="261" t="s">
        <v>311</v>
      </c>
      <c r="AM85" s="251" t="s">
        <v>1543</v>
      </c>
      <c r="AN85" s="251" t="s">
        <v>1551</v>
      </c>
      <c r="AO85" s="245">
        <v>48</v>
      </c>
      <c r="AP85" s="251">
        <f ca="1">INT((TODAY()-BDD[[#This Row],[FECHA NAC]])/365)</f>
        <v>39</v>
      </c>
      <c r="AQ85" s="251">
        <v>0</v>
      </c>
      <c r="AR85" s="251">
        <f ca="1">IF(BDD[[#This Row],[ANTIG]]=0,0,1)</f>
        <v>1</v>
      </c>
      <c r="AS85" s="251"/>
      <c r="AT85" s="251"/>
      <c r="AU85" s="251"/>
      <c r="AV85" s="251"/>
      <c r="AW85" s="251"/>
      <c r="AX85" s="251"/>
      <c r="AY85" s="251"/>
      <c r="AZ85" s="251">
        <f t="shared" ca="1" si="4"/>
        <v>19</v>
      </c>
    </row>
    <row r="86" spans="2:52" ht="15" customHeight="1" x14ac:dyDescent="0.25">
      <c r="B86" s="243">
        <v>190</v>
      </c>
      <c r="C86" s="251" t="s">
        <v>139</v>
      </c>
      <c r="D86" s="252">
        <v>10860</v>
      </c>
      <c r="E86" s="252">
        <f>(BDD[[#This Row],[SUE MENS]]/30)</f>
        <v>362</v>
      </c>
      <c r="F86" s="252">
        <f>BDD[[#This Row],[SUE MENS]]/2</f>
        <v>5430</v>
      </c>
      <c r="G86" s="315">
        <v>42072</v>
      </c>
      <c r="H86" s="243">
        <f ca="1">INT(_xlfn.DAYS(TODAY(),BDD[[#This Row],[FECHA ING.]])/365)</f>
        <v>7</v>
      </c>
      <c r="I86" s="251" t="str">
        <f>VLOOKUP(J86,TABLAS!$B$3:$G$49,2,FALSE)</f>
        <v>DIRECCIÓN</v>
      </c>
      <c r="J86" s="198" t="s">
        <v>746</v>
      </c>
      <c r="K86" s="251" t="s">
        <v>778</v>
      </c>
      <c r="L86" s="251" t="s">
        <v>763</v>
      </c>
      <c r="M86" s="251"/>
      <c r="N86" s="244" t="s">
        <v>1881</v>
      </c>
      <c r="O86" s="251" t="str">
        <f>IFERROR(VLOOKUP(BDD[[#This Row],[SUBDPTO]],TABLAS!$B$4:$D$36,3,0)," ")</f>
        <v>MARIANA RODRÍGUEZ GUTIERREZ</v>
      </c>
      <c r="P86" s="258">
        <f>BDD[[#This Row],[FECHA ING.]]+1000</f>
        <v>43072</v>
      </c>
      <c r="Q86" s="254">
        <v>8641.5</v>
      </c>
      <c r="R86" s="244" t="s">
        <v>739</v>
      </c>
      <c r="S86" s="244" t="s">
        <v>845</v>
      </c>
      <c r="T86" s="251" t="s">
        <v>301</v>
      </c>
      <c r="U86" s="243">
        <f ca="1">VLOOKUP(BDD[[#This Row],[ANTIG]],DIASXANT18[#All],2)</f>
        <v>16</v>
      </c>
      <c r="V86" s="256">
        <f t="shared" si="3"/>
        <v>0.5</v>
      </c>
      <c r="W86" s="243">
        <f ca="1">BDD[[#This Row],[D.VAC.]]*BDD[[#This Row],[% P.V.]]</f>
        <v>8</v>
      </c>
      <c r="X86" s="243">
        <v>30</v>
      </c>
      <c r="Y86" s="257">
        <f ca="1">(365+BDD[[#This Row],[D.PAG.V.]]+BDD[[#This Row],[D.AG.]])/365</f>
        <v>1.1041095890410959</v>
      </c>
      <c r="Z86" s="243">
        <f ca="1">BDD[[#This Row],[SUE DIA]]*BDD[[#This Row],[FACTOR SDI]]</f>
        <v>399.68767123287671</v>
      </c>
      <c r="AA86" s="243">
        <f>BDD[[#This Row],[SUE DIA]]/9</f>
        <v>40.222222222222221</v>
      </c>
      <c r="AB86" s="251">
        <v>29305</v>
      </c>
      <c r="AC86" s="251" t="s">
        <v>934</v>
      </c>
      <c r="AD86" s="251" t="s">
        <v>791</v>
      </c>
      <c r="AE86" s="252">
        <v>8358722840</v>
      </c>
      <c r="AF86" s="251" t="s">
        <v>1152</v>
      </c>
      <c r="AG86" s="251" t="s">
        <v>777</v>
      </c>
      <c r="AH86" s="251" t="s">
        <v>730</v>
      </c>
      <c r="AI86" s="243" t="s">
        <v>151</v>
      </c>
      <c r="AJ86" s="258" cm="1">
        <f t="array" aca="1" ref="AJ86" ca="1">DATE(YEAR(FECH.CONS[FECHA DE CONSULTA:]),MONTH(BDD[[#This Row],[FECHA NAC]]),DAY(BDD[[#This Row],[FECHA NAC]]))</f>
        <v>44645</v>
      </c>
      <c r="AK86" s="243">
        <v>6</v>
      </c>
      <c r="AL86" s="261" t="s">
        <v>311</v>
      </c>
      <c r="AM86" s="251" t="s">
        <v>1533</v>
      </c>
      <c r="AN86" s="251" t="s">
        <v>1551</v>
      </c>
      <c r="AO86" s="245">
        <v>59</v>
      </c>
      <c r="AP86" s="251">
        <f ca="1">INT((TODAY()-BDD[[#This Row],[FECHA NAC]])/365)</f>
        <v>42</v>
      </c>
      <c r="AQ86" s="251">
        <v>0</v>
      </c>
      <c r="AR86" s="251">
        <f ca="1">IF(BDD[[#This Row],[ANTIG]]=0,0,1)</f>
        <v>1</v>
      </c>
      <c r="AS86" s="251"/>
      <c r="AT86" s="251"/>
      <c r="AU86" s="251"/>
      <c r="AV86" s="251"/>
      <c r="AW86" s="251"/>
      <c r="AX86" s="251"/>
      <c r="AY86" s="251"/>
      <c r="AZ86" s="251">
        <f t="shared" ca="1" si="4"/>
        <v>882</v>
      </c>
    </row>
    <row r="87" spans="2:52" ht="15" customHeight="1" x14ac:dyDescent="0.25">
      <c r="B87" s="243">
        <v>191</v>
      </c>
      <c r="C87" s="251" t="s">
        <v>436</v>
      </c>
      <c r="D87" s="252">
        <v>22200</v>
      </c>
      <c r="E87" s="252">
        <f>(BDD[[#This Row],[SUE MENS]]/30)</f>
        <v>740</v>
      </c>
      <c r="F87" s="252">
        <f>BDD[[#This Row],[SUE MENS]]/2</f>
        <v>11100</v>
      </c>
      <c r="G87" s="315">
        <v>39573</v>
      </c>
      <c r="H87" s="243">
        <f ca="1">INT(_xlfn.DAYS(TODAY(),BDD[[#This Row],[FECHA ING.]])/365)</f>
        <v>14</v>
      </c>
      <c r="I87" s="251" t="str">
        <f>VLOOKUP(J87,TABLAS!$B$3:$G$49,2,FALSE)</f>
        <v>CONTRATOS</v>
      </c>
      <c r="J87" s="198" t="s">
        <v>738</v>
      </c>
      <c r="K87" s="244" t="s">
        <v>761</v>
      </c>
      <c r="L87" s="251" t="s">
        <v>763</v>
      </c>
      <c r="M87" s="251">
        <v>1035</v>
      </c>
      <c r="N87" s="244" t="s">
        <v>2218</v>
      </c>
      <c r="O87" s="251" t="str">
        <f>IFERROR(VLOOKUP(BDD[[#This Row],[SUBDPTO]],TABLAS!$B$4:$D$36,3,0)," ")</f>
        <v>IDALIA GARCÍA ESCRIVÁ</v>
      </c>
      <c r="P87" s="258">
        <v>42013</v>
      </c>
      <c r="Q87" s="254">
        <v>18800</v>
      </c>
      <c r="R87" s="251" t="s">
        <v>768</v>
      </c>
      <c r="S87" s="244" t="s">
        <v>748</v>
      </c>
      <c r="T87" s="251" t="s">
        <v>301</v>
      </c>
      <c r="U87" s="243">
        <f ca="1">VLOOKUP(BDD[[#This Row],[ANTIG]],DIASXANT18[#All],2)</f>
        <v>20</v>
      </c>
      <c r="V87" s="256">
        <f t="shared" si="3"/>
        <v>0.5</v>
      </c>
      <c r="W87" s="243">
        <f ca="1">BDD[[#This Row],[D.VAC.]]*BDD[[#This Row],[% P.V.]]</f>
        <v>10</v>
      </c>
      <c r="X87" s="243">
        <v>30</v>
      </c>
      <c r="Y87" s="257">
        <f ca="1">(365+BDD[[#This Row],[D.PAG.V.]]+BDD[[#This Row],[D.AG.]])/365</f>
        <v>1.1095890410958904</v>
      </c>
      <c r="Z87" s="243">
        <f ca="1">BDD[[#This Row],[SUE DIA]]*BDD[[#This Row],[FACTOR SDI]]</f>
        <v>821.09589041095887</v>
      </c>
      <c r="AA87" s="243">
        <f>BDD[[#This Row],[SUE DIA]]/9</f>
        <v>82.222222222222229</v>
      </c>
      <c r="AB87" s="251">
        <v>34439</v>
      </c>
      <c r="AC87" s="251" t="s">
        <v>935</v>
      </c>
      <c r="AD87" s="251" t="s">
        <v>786</v>
      </c>
      <c r="AE87" s="252">
        <v>8712435775</v>
      </c>
      <c r="AF87" s="251" t="s">
        <v>1153</v>
      </c>
      <c r="AG87" s="251" t="s">
        <v>776</v>
      </c>
      <c r="AH87" s="251" t="s">
        <v>1555</v>
      </c>
      <c r="AI87" s="243" t="s">
        <v>151</v>
      </c>
      <c r="AJ87" s="258" cm="1">
        <f t="array" aca="1" ref="AJ87" ca="1">DATE(YEAR(FECH.CONS[FECHA DE CONSULTA:]),MONTH(BDD[[#This Row],[FECHA NAC]]),DAY(BDD[[#This Row],[FECHA NAC]]))</f>
        <v>44666</v>
      </c>
      <c r="AK87" s="243"/>
      <c r="AL87" s="251" t="s">
        <v>311</v>
      </c>
      <c r="AM87" s="251" t="s">
        <v>1537</v>
      </c>
      <c r="AN87" s="251" t="s">
        <v>1551</v>
      </c>
      <c r="AO87" s="245">
        <v>34</v>
      </c>
      <c r="AP87" s="251">
        <f ca="1">INT((TODAY()-BDD[[#This Row],[FECHA NAC]])/365)</f>
        <v>28</v>
      </c>
      <c r="AQ87" s="251">
        <v>1</v>
      </c>
      <c r="AR87" s="251">
        <f ca="1">IF(BDD[[#This Row],[ANTIG]]=0,0,1)</f>
        <v>1</v>
      </c>
      <c r="AS87" s="251"/>
      <c r="AT87" s="251"/>
      <c r="AU87" s="251"/>
      <c r="AV87" s="251"/>
      <c r="AW87" s="251"/>
      <c r="AX87" s="251"/>
      <c r="AY87" s="251"/>
      <c r="AZ87" s="251">
        <f t="shared" ca="1" si="4"/>
        <v>51</v>
      </c>
    </row>
    <row r="88" spans="2:52" ht="15" customHeight="1" x14ac:dyDescent="0.25">
      <c r="B88" s="243">
        <v>192</v>
      </c>
      <c r="C88" s="251" t="s">
        <v>140</v>
      </c>
      <c r="D88" s="252">
        <v>7445</v>
      </c>
      <c r="E88" s="252">
        <f>(BDD[[#This Row],[SUE MENS]]/30)</f>
        <v>248.16666666666666</v>
      </c>
      <c r="F88" s="252">
        <f>BDD[[#This Row],[SUE MENS]]/2</f>
        <v>3722.5</v>
      </c>
      <c r="G88" s="315">
        <v>43514</v>
      </c>
      <c r="H88" s="243">
        <f ca="1">INT(_xlfn.DAYS(TODAY(),BDD[[#This Row],[FECHA ING.]])/365)</f>
        <v>3</v>
      </c>
      <c r="I88" s="251" t="str">
        <f>VLOOKUP(J88,TABLAS!$B$3:$G$49,2,FALSE)</f>
        <v>AUDITORÍA</v>
      </c>
      <c r="J88" s="198" t="s">
        <v>736</v>
      </c>
      <c r="K88" s="251" t="s">
        <v>778</v>
      </c>
      <c r="L88" s="251" t="s">
        <v>763</v>
      </c>
      <c r="M88" s="251"/>
      <c r="N88" s="244" t="s">
        <v>2049</v>
      </c>
      <c r="O88" s="251" t="str">
        <f>IFERROR(VLOOKUP(BDD[[#This Row],[SUBDPTO]],TABLAS!$B$4:$D$36,3,0)," ")</f>
        <v>MARCO AURELIO URBINO</v>
      </c>
      <c r="P88" s="258"/>
      <c r="Q88" s="264"/>
      <c r="R88" s="244"/>
      <c r="S88" s="251"/>
      <c r="T88" s="251" t="s">
        <v>811</v>
      </c>
      <c r="U88" s="243">
        <f ca="1">VLOOKUP(BDD[[#This Row],[ANTIG]],DIASXANT18[#All],2)</f>
        <v>14</v>
      </c>
      <c r="V88" s="256">
        <f t="shared" si="3"/>
        <v>0.5</v>
      </c>
      <c r="W88" s="243">
        <f ca="1">BDD[[#This Row],[D.VAC.]]*BDD[[#This Row],[% P.V.]]</f>
        <v>7</v>
      </c>
      <c r="X88" s="243">
        <v>30</v>
      </c>
      <c r="Y88" s="257">
        <f ca="1">(365+BDD[[#This Row],[D.PAG.V.]]+BDD[[#This Row],[D.AG.]])/365</f>
        <v>1.1013698630136985</v>
      </c>
      <c r="Z88" s="243">
        <f ca="1">BDD[[#This Row],[SUE DIA]]*BDD[[#This Row],[FACTOR SDI]]</f>
        <v>273.32328767123283</v>
      </c>
      <c r="AA88" s="243">
        <f>BDD[[#This Row],[SUE DIA]]/9</f>
        <v>27.574074074074073</v>
      </c>
      <c r="AB88" s="251">
        <v>32627</v>
      </c>
      <c r="AC88" s="251" t="s">
        <v>936</v>
      </c>
      <c r="AD88" s="251" t="s">
        <v>787</v>
      </c>
      <c r="AE88" s="252">
        <v>8737560531</v>
      </c>
      <c r="AF88" s="251" t="s">
        <v>1154</v>
      </c>
      <c r="AG88" s="251" t="s">
        <v>776</v>
      </c>
      <c r="AH88" s="251" t="s">
        <v>730</v>
      </c>
      <c r="AI88" s="243" t="s">
        <v>151</v>
      </c>
      <c r="AJ88" s="258" cm="1">
        <f t="array" aca="1" ref="AJ88" ca="1">DATE(YEAR(FECH.CONS[FECHA DE CONSULTA:]),MONTH(BDD[[#This Row],[FECHA NAC]]),DAY(BDD[[#This Row],[FECHA NAC]]))</f>
        <v>44680</v>
      </c>
      <c r="AK88" s="243">
        <v>8</v>
      </c>
      <c r="AL88" s="251" t="s">
        <v>311</v>
      </c>
      <c r="AM88" s="251" t="s">
        <v>1544</v>
      </c>
      <c r="AN88" s="251" t="s">
        <v>1551</v>
      </c>
      <c r="AO88" s="245">
        <v>85</v>
      </c>
      <c r="AP88" s="251">
        <f ca="1">INT((TODAY()-BDD[[#This Row],[FECHA NAC]])/365)</f>
        <v>33</v>
      </c>
      <c r="AQ88" s="251">
        <v>3</v>
      </c>
      <c r="AR88" s="251">
        <f ca="1">IF(BDD[[#This Row],[ANTIG]]=0,0,1)</f>
        <v>1</v>
      </c>
      <c r="AS88" s="251"/>
      <c r="AT88" s="251"/>
      <c r="AU88" s="251"/>
      <c r="AV88" s="251"/>
      <c r="AW88" s="251"/>
      <c r="AX88" s="251"/>
      <c r="AY88" s="251"/>
      <c r="AZ88" s="251">
        <f t="shared" ca="1" si="4"/>
        <v>916</v>
      </c>
    </row>
    <row r="89" spans="2:52" ht="15" customHeight="1" x14ac:dyDescent="0.25">
      <c r="B89" s="243">
        <v>193</v>
      </c>
      <c r="C89" s="251" t="s">
        <v>1622</v>
      </c>
      <c r="D89" s="263">
        <v>7445</v>
      </c>
      <c r="E89" s="252">
        <f>(BDD[[#This Row],[SUE MENS]]/30)</f>
        <v>248.16666666666666</v>
      </c>
      <c r="F89" s="252">
        <f>BDD[[#This Row],[SUE MENS]]/2</f>
        <v>3722.5</v>
      </c>
      <c r="G89" s="315">
        <v>42767</v>
      </c>
      <c r="H89" s="243">
        <f ca="1">INT(_xlfn.DAYS(TODAY(),BDD[[#This Row],[FECHA ING.]])/365)</f>
        <v>5</v>
      </c>
      <c r="I89" s="251" t="str">
        <f>VLOOKUP(J89,TABLAS!$B$3:$G$49,2,FALSE)</f>
        <v>AUDITORÍA</v>
      </c>
      <c r="J89" s="198" t="s">
        <v>734</v>
      </c>
      <c r="K89" s="251" t="s">
        <v>778</v>
      </c>
      <c r="L89" s="251" t="s">
        <v>763</v>
      </c>
      <c r="M89" s="251"/>
      <c r="N89" s="244" t="s">
        <v>1997</v>
      </c>
      <c r="O89" s="251" t="str">
        <f>IFERROR(VLOOKUP(BDD[[#This Row],[SUBDPTO]],TABLAS!$B$4:$D$36,3,0)," ")</f>
        <v>MARCO AURELIO URBINO</v>
      </c>
      <c r="P89" s="258">
        <v>43368</v>
      </c>
      <c r="Q89" s="254">
        <v>5088</v>
      </c>
      <c r="R89" s="255" t="s">
        <v>741</v>
      </c>
      <c r="S89" s="251"/>
      <c r="T89" s="251" t="s">
        <v>811</v>
      </c>
      <c r="U89" s="243">
        <f ca="1">VLOOKUP(BDD[[#This Row],[ANTIG]],DIASXANT18[#All],2)</f>
        <v>16</v>
      </c>
      <c r="V89" s="256">
        <f t="shared" si="3"/>
        <v>0.5</v>
      </c>
      <c r="W89" s="243">
        <f ca="1">BDD[[#This Row],[D.VAC.]]*BDD[[#This Row],[% P.V.]]</f>
        <v>8</v>
      </c>
      <c r="X89" s="243">
        <v>30</v>
      </c>
      <c r="Y89" s="257">
        <f ca="1">(365+BDD[[#This Row],[D.PAG.V.]]+BDD[[#This Row],[D.AG.]])/365</f>
        <v>1.1041095890410959</v>
      </c>
      <c r="Z89" s="243">
        <f ca="1">BDD[[#This Row],[SUE DIA]]*BDD[[#This Row],[FACTOR SDI]]</f>
        <v>274.00319634703197</v>
      </c>
      <c r="AA89" s="243">
        <f>BDD[[#This Row],[SUE DIA]]/9</f>
        <v>27.574074074074073</v>
      </c>
      <c r="AB89" s="251">
        <v>35904</v>
      </c>
      <c r="AC89" s="251" t="s">
        <v>937</v>
      </c>
      <c r="AD89" s="251" t="s">
        <v>792</v>
      </c>
      <c r="AE89" s="252">
        <v>8611403472</v>
      </c>
      <c r="AF89" s="251" t="s">
        <v>1155</v>
      </c>
      <c r="AG89" s="251" t="s">
        <v>776</v>
      </c>
      <c r="AH89" s="251" t="s">
        <v>730</v>
      </c>
      <c r="AI89" s="243" t="s">
        <v>151</v>
      </c>
      <c r="AJ89" s="258" cm="1">
        <f t="array" aca="1" ref="AJ89" ca="1">DATE(YEAR(FECH.CONS[FECHA DE CONSULTA:]),MONTH(BDD[[#This Row],[FECHA NAC]]),DAY(BDD[[#This Row],[FECHA NAC]]))</f>
        <v>44670</v>
      </c>
      <c r="AK89" s="243">
        <v>8</v>
      </c>
      <c r="AL89" s="261" t="s">
        <v>311</v>
      </c>
      <c r="AM89" s="251" t="s">
        <v>1548</v>
      </c>
      <c r="AN89" s="251" t="s">
        <v>1551</v>
      </c>
      <c r="AO89" s="245">
        <v>74</v>
      </c>
      <c r="AP89" s="251">
        <f ca="1">INT((TODAY()-BDD[[#This Row],[FECHA NAC]])/365)</f>
        <v>24</v>
      </c>
      <c r="AQ89" s="251">
        <v>1</v>
      </c>
      <c r="AR89" s="251">
        <f ca="1">IF(BDD[[#This Row],[ANTIG]]=0,0,1)</f>
        <v>1</v>
      </c>
      <c r="AS89" s="251"/>
      <c r="AT89" s="251"/>
      <c r="AU89" s="251"/>
      <c r="AV89" s="251"/>
      <c r="AW89" s="251"/>
      <c r="AX89" s="251"/>
      <c r="AY89" s="251"/>
      <c r="AZ89" s="251">
        <f t="shared" ca="1" si="4"/>
        <v>657</v>
      </c>
    </row>
    <row r="90" spans="2:52" ht="15" customHeight="1" x14ac:dyDescent="0.25">
      <c r="B90" s="243">
        <v>194</v>
      </c>
      <c r="C90" s="251" t="s">
        <v>141</v>
      </c>
      <c r="D90" s="252">
        <v>7445</v>
      </c>
      <c r="E90" s="252">
        <f>(BDD[[#This Row],[SUE MENS]]/30)</f>
        <v>248.16666666666666</v>
      </c>
      <c r="F90" s="252">
        <f>BDD[[#This Row],[SUE MENS]]/2</f>
        <v>3722.5</v>
      </c>
      <c r="G90" s="315">
        <v>43515</v>
      </c>
      <c r="H90" s="243">
        <f ca="1">INT(_xlfn.DAYS(TODAY(),BDD[[#This Row],[FECHA ING.]])/365)</f>
        <v>3</v>
      </c>
      <c r="I90" s="251" t="str">
        <f>VLOOKUP(J90,TABLAS!$B$3:$G$49,2,FALSE)</f>
        <v>AUDITORÍA</v>
      </c>
      <c r="J90" s="198" t="s">
        <v>735</v>
      </c>
      <c r="K90" s="251" t="s">
        <v>778</v>
      </c>
      <c r="L90" s="251" t="s">
        <v>763</v>
      </c>
      <c r="M90" s="251"/>
      <c r="N90" s="244" t="s">
        <v>2069</v>
      </c>
      <c r="O90" s="251" t="str">
        <f>IFERROR(VLOOKUP(BDD[[#This Row],[SUBDPTO]],TABLAS!$B$4:$D$36,3,0)," ")</f>
        <v>MARCO AURELIO URBINO</v>
      </c>
      <c r="P90" s="258"/>
      <c r="Q90" s="264"/>
      <c r="R90" s="244"/>
      <c r="S90" s="251"/>
      <c r="T90" s="251" t="s">
        <v>811</v>
      </c>
      <c r="U90" s="243">
        <f ca="1">VLOOKUP(BDD[[#This Row],[ANTIG]],DIASXANT18[#All],2)</f>
        <v>14</v>
      </c>
      <c r="V90" s="256">
        <f t="shared" si="3"/>
        <v>0.5</v>
      </c>
      <c r="W90" s="243">
        <f ca="1">BDD[[#This Row],[D.VAC.]]*BDD[[#This Row],[% P.V.]]</f>
        <v>7</v>
      </c>
      <c r="X90" s="243">
        <v>30</v>
      </c>
      <c r="Y90" s="257">
        <f ca="1">(365+BDD[[#This Row],[D.PAG.V.]]+BDD[[#This Row],[D.AG.]])/365</f>
        <v>1.1013698630136985</v>
      </c>
      <c r="Z90" s="243">
        <f ca="1">BDD[[#This Row],[SUE DIA]]*BDD[[#This Row],[FACTOR SDI]]</f>
        <v>273.32328767123283</v>
      </c>
      <c r="AA90" s="243">
        <f>BDD[[#This Row],[SUE DIA]]/9</f>
        <v>27.574074074074073</v>
      </c>
      <c r="AB90" s="251">
        <v>35101</v>
      </c>
      <c r="AC90" s="251" t="s">
        <v>938</v>
      </c>
      <c r="AD90" s="251" t="s">
        <v>787</v>
      </c>
      <c r="AE90" s="252">
        <v>8492789827</v>
      </c>
      <c r="AF90" s="251" t="s">
        <v>1156</v>
      </c>
      <c r="AG90" s="251" t="s">
        <v>773</v>
      </c>
      <c r="AH90" s="251" t="s">
        <v>730</v>
      </c>
      <c r="AI90" s="243" t="s">
        <v>151</v>
      </c>
      <c r="AJ90" s="258" cm="1">
        <f t="array" aca="1" ref="AJ90" ca="1">DATE(YEAR(FECH.CONS[FECHA DE CONSULTA:]),MONTH(BDD[[#This Row],[FECHA NAC]]),DAY(BDD[[#This Row],[FECHA NAC]]))</f>
        <v>44598</v>
      </c>
      <c r="AK90" s="243">
        <v>9</v>
      </c>
      <c r="AL90" s="251" t="s">
        <v>311</v>
      </c>
      <c r="AM90" s="251" t="s">
        <v>1548</v>
      </c>
      <c r="AN90" s="251" t="s">
        <v>1551</v>
      </c>
      <c r="AO90" s="245">
        <v>94</v>
      </c>
      <c r="AP90" s="251">
        <f ca="1">INT((TODAY()-BDD[[#This Row],[FECHA NAC]])/365)</f>
        <v>26</v>
      </c>
      <c r="AQ90" s="251">
        <v>2</v>
      </c>
      <c r="AR90" s="251">
        <f ca="1">IF(BDD[[#This Row],[ANTIG]]=0,0,1)</f>
        <v>1</v>
      </c>
      <c r="AS90" s="251"/>
      <c r="AT90" s="251"/>
      <c r="AU90" s="251"/>
      <c r="AV90" s="251"/>
      <c r="AW90" s="251"/>
      <c r="AX90" s="251"/>
      <c r="AY90" s="251"/>
      <c r="AZ90" s="251">
        <f t="shared" ca="1" si="4"/>
        <v>260</v>
      </c>
    </row>
    <row r="91" spans="2:52" ht="15" customHeight="1" x14ac:dyDescent="0.25">
      <c r="B91" s="243">
        <v>195</v>
      </c>
      <c r="C91" s="251" t="s">
        <v>437</v>
      </c>
      <c r="D91" s="252">
        <v>27150</v>
      </c>
      <c r="E91" s="252">
        <f>(BDD[[#This Row],[SUE MENS]]/30)</f>
        <v>905</v>
      </c>
      <c r="F91" s="252">
        <f>BDD[[#This Row],[SUE MENS]]/2</f>
        <v>13575</v>
      </c>
      <c r="G91" s="315">
        <v>39355</v>
      </c>
      <c r="H91" s="243">
        <f ca="1">INT(_xlfn.DAYS(TODAY(),BDD[[#This Row],[FECHA ING.]])/365)</f>
        <v>14</v>
      </c>
      <c r="I91" s="251" t="str">
        <f>VLOOKUP(J91,TABLAS!$B$3:$G$49,2,FALSE)</f>
        <v>CONTRATOS</v>
      </c>
      <c r="J91" s="198" t="s">
        <v>739</v>
      </c>
      <c r="K91" s="244" t="s">
        <v>761</v>
      </c>
      <c r="L91" s="251" t="s">
        <v>763</v>
      </c>
      <c r="M91" s="251">
        <v>1023</v>
      </c>
      <c r="N91" s="244" t="s">
        <v>2233</v>
      </c>
      <c r="O91" s="251" t="str">
        <f>IFERROR(VLOOKUP(BDD[[#This Row],[SUBDPTO]],TABLAS!$B$4:$D$36,3,0)," ")</f>
        <v>IDALIA GARCÍA ESCRIVÁ</v>
      </c>
      <c r="P91" s="258">
        <v>42616</v>
      </c>
      <c r="Q91" s="264">
        <v>19900</v>
      </c>
      <c r="R91" s="251" t="s">
        <v>736</v>
      </c>
      <c r="S91" s="244" t="s">
        <v>738</v>
      </c>
      <c r="T91" s="251" t="s">
        <v>811</v>
      </c>
      <c r="U91" s="243">
        <f ca="1">VLOOKUP(BDD[[#This Row],[ANTIG]],DIASXANT18[#All],2)</f>
        <v>20</v>
      </c>
      <c r="V91" s="256">
        <f t="shared" si="3"/>
        <v>0.5</v>
      </c>
      <c r="W91" s="243">
        <f ca="1">BDD[[#This Row],[D.VAC.]]*BDD[[#This Row],[% P.V.]]</f>
        <v>10</v>
      </c>
      <c r="X91" s="243">
        <v>30</v>
      </c>
      <c r="Y91" s="257">
        <f ca="1">(365+BDD[[#This Row],[D.PAG.V.]]+BDD[[#This Row],[D.AG.]])/365</f>
        <v>1.1095890410958904</v>
      </c>
      <c r="Z91" s="243">
        <f ca="1">BDD[[#This Row],[SUE DIA]]*BDD[[#This Row],[FACTOR SDI]]</f>
        <v>1004.1780821917808</v>
      </c>
      <c r="AA91" s="243">
        <f>BDD[[#This Row],[SUE DIA]]/9</f>
        <v>100.55555555555556</v>
      </c>
      <c r="AB91" s="251">
        <v>29394</v>
      </c>
      <c r="AC91" s="251" t="s">
        <v>926</v>
      </c>
      <c r="AD91" s="251" t="s">
        <v>789</v>
      </c>
      <c r="AE91" s="252">
        <v>8570473426</v>
      </c>
      <c r="AF91" s="251" t="s">
        <v>1157</v>
      </c>
      <c r="AG91" s="251" t="s">
        <v>776</v>
      </c>
      <c r="AH91" s="251" t="s">
        <v>727</v>
      </c>
      <c r="AI91" s="243" t="s">
        <v>151</v>
      </c>
      <c r="AJ91" s="258" cm="1">
        <f t="array" aca="1" ref="AJ91" ca="1">DATE(YEAR(FECH.CONS[FECHA DE CONSULTA:]),MONTH(BDD[[#This Row],[FECHA NAC]]),DAY(BDD[[#This Row],[FECHA NAC]]))</f>
        <v>44734</v>
      </c>
      <c r="AK91" s="243"/>
      <c r="AL91" s="251" t="s">
        <v>313</v>
      </c>
      <c r="AM91" s="251" t="s">
        <v>1541</v>
      </c>
      <c r="AN91" s="251" t="s">
        <v>1553</v>
      </c>
      <c r="AO91" s="245">
        <v>96</v>
      </c>
      <c r="AP91" s="251">
        <f ca="1">INT((TODAY()-BDD[[#This Row],[FECHA NAC]])/365)</f>
        <v>42</v>
      </c>
      <c r="AQ91" s="251">
        <v>0</v>
      </c>
      <c r="AR91" s="251">
        <f ca="1">IF(BDD[[#This Row],[ANTIG]]=0,0,1)</f>
        <v>1</v>
      </c>
      <c r="AS91" s="251"/>
      <c r="AT91" s="251"/>
      <c r="AU91" s="251"/>
      <c r="AV91" s="251"/>
      <c r="AW91" s="251"/>
      <c r="AX91" s="251"/>
      <c r="AY91" s="251"/>
      <c r="AZ91" s="251">
        <f t="shared" ca="1" si="4"/>
        <v>405</v>
      </c>
    </row>
    <row r="92" spans="2:52" ht="15" customHeight="1" x14ac:dyDescent="0.25">
      <c r="B92" s="243">
        <v>196</v>
      </c>
      <c r="C92" s="251" t="s">
        <v>142</v>
      </c>
      <c r="D92" s="252">
        <v>9541</v>
      </c>
      <c r="E92" s="252">
        <f>(BDD[[#This Row],[SUE MENS]]/30)</f>
        <v>318.03333333333336</v>
      </c>
      <c r="F92" s="252">
        <f>BDD[[#This Row],[SUE MENS]]/2</f>
        <v>4770.5</v>
      </c>
      <c r="G92" s="315">
        <v>41659</v>
      </c>
      <c r="H92" s="243">
        <f ca="1">INT(_xlfn.DAYS(TODAY(),BDD[[#This Row],[FECHA ING.]])/365)</f>
        <v>8</v>
      </c>
      <c r="I92" s="251" t="str">
        <f>VLOOKUP(J92,TABLAS!$B$3:$G$49,2,FALSE)</f>
        <v>CONTRATOS</v>
      </c>
      <c r="J92" s="198" t="s">
        <v>739</v>
      </c>
      <c r="K92" s="251" t="s">
        <v>778</v>
      </c>
      <c r="L92" s="251" t="s">
        <v>763</v>
      </c>
      <c r="M92" s="251"/>
      <c r="N92" s="244" t="s">
        <v>1901</v>
      </c>
      <c r="O92" s="251" t="str">
        <f>IFERROR(VLOOKUP(BDD[[#This Row],[SUBDPTO]],TABLAS!$B$4:$D$36,3,0)," ")</f>
        <v>IDALIA GARCÍA ESCRIVÁ</v>
      </c>
      <c r="P92" s="258">
        <v>42754</v>
      </c>
      <c r="Q92" s="254">
        <v>5956</v>
      </c>
      <c r="R92" s="255" t="s">
        <v>743</v>
      </c>
      <c r="S92" s="255" t="s">
        <v>746</v>
      </c>
      <c r="T92" s="251" t="s">
        <v>301</v>
      </c>
      <c r="U92" s="243">
        <f ca="1">VLOOKUP(BDD[[#This Row],[ANTIG]],DIASXANT18[#All],2)</f>
        <v>16</v>
      </c>
      <c r="V92" s="256">
        <f t="shared" si="3"/>
        <v>0.5</v>
      </c>
      <c r="W92" s="243">
        <f ca="1">BDD[[#This Row],[D.VAC.]]*BDD[[#This Row],[% P.V.]]</f>
        <v>8</v>
      </c>
      <c r="X92" s="243">
        <v>30</v>
      </c>
      <c r="Y92" s="257">
        <f ca="1">(365+BDD[[#This Row],[D.PAG.V.]]+BDD[[#This Row],[D.AG.]])/365</f>
        <v>1.1041095890410959</v>
      </c>
      <c r="Z92" s="243">
        <f ca="1">BDD[[#This Row],[SUE DIA]]*BDD[[#This Row],[FACTOR SDI]]</f>
        <v>351.14365296803658</v>
      </c>
      <c r="AA92" s="243">
        <f>BDD[[#This Row],[SUE DIA]]/9</f>
        <v>35.337037037037042</v>
      </c>
      <c r="AB92" s="251">
        <v>34146</v>
      </c>
      <c r="AC92" s="251" t="s">
        <v>939</v>
      </c>
      <c r="AD92" s="251" t="s">
        <v>790</v>
      </c>
      <c r="AE92" s="252">
        <v>8595764479</v>
      </c>
      <c r="AF92" s="251" t="s">
        <v>1158</v>
      </c>
      <c r="AG92" s="251" t="s">
        <v>776</v>
      </c>
      <c r="AH92" s="251" t="s">
        <v>730</v>
      </c>
      <c r="AI92" s="243" t="s">
        <v>151</v>
      </c>
      <c r="AJ92" s="258" cm="1">
        <f t="array" aca="1" ref="AJ92" ca="1">DATE(YEAR(FECH.CONS[FECHA DE CONSULTA:]),MONTH(BDD[[#This Row],[FECHA NAC]]),DAY(BDD[[#This Row],[FECHA NAC]]))</f>
        <v>44738</v>
      </c>
      <c r="AK92" s="243">
        <v>8</v>
      </c>
      <c r="AL92" s="261" t="s">
        <v>311</v>
      </c>
      <c r="AM92" s="251" t="s">
        <v>1538</v>
      </c>
      <c r="AN92" s="251" t="s">
        <v>1551</v>
      </c>
      <c r="AO92" s="245">
        <v>41</v>
      </c>
      <c r="AP92" s="251">
        <f ca="1">INT((TODAY()-BDD[[#This Row],[FECHA NAC]])/365)</f>
        <v>29</v>
      </c>
      <c r="AQ92" s="251">
        <v>3</v>
      </c>
      <c r="AR92" s="251">
        <f ca="1">IF(BDD[[#This Row],[ANTIG]]=0,0,1)</f>
        <v>1</v>
      </c>
      <c r="AS92" s="251"/>
      <c r="AT92" s="251"/>
      <c r="AU92" s="251"/>
      <c r="AV92" s="251"/>
      <c r="AW92" s="251"/>
      <c r="AX92" s="251"/>
      <c r="AY92" s="251"/>
      <c r="AZ92" s="251">
        <f t="shared" ca="1" si="4"/>
        <v>549</v>
      </c>
    </row>
    <row r="93" spans="2:52" ht="15" customHeight="1" x14ac:dyDescent="0.25">
      <c r="B93" s="243">
        <v>197</v>
      </c>
      <c r="C93" s="251" t="s">
        <v>419</v>
      </c>
      <c r="D93" s="252">
        <v>7950</v>
      </c>
      <c r="E93" s="252">
        <f>(BDD[[#This Row],[SUE MENS]]/30)</f>
        <v>265</v>
      </c>
      <c r="F93" s="252">
        <f>BDD[[#This Row],[SUE MENS]]/2</f>
        <v>3975</v>
      </c>
      <c r="G93" s="315">
        <v>43229</v>
      </c>
      <c r="H93" s="243">
        <f ca="1">INT(_xlfn.DAYS(TODAY(),BDD[[#This Row],[FECHA ING.]])/365)</f>
        <v>4</v>
      </c>
      <c r="I93" s="251" t="str">
        <f>VLOOKUP(J93,TABLAS!$B$3:$G$49,2,FALSE)</f>
        <v>DIRECCIÓN</v>
      </c>
      <c r="J93" s="198" t="s">
        <v>759</v>
      </c>
      <c r="K93" s="251" t="s">
        <v>778</v>
      </c>
      <c r="L93" s="251" t="s">
        <v>763</v>
      </c>
      <c r="M93" s="251"/>
      <c r="N93" s="244" t="s">
        <v>2153</v>
      </c>
      <c r="O93" s="251" t="str">
        <f>IFERROR(VLOOKUP(BDD[[#This Row],[SUBDPTO]],TABLAS!$B$4:$D$36,3,0)," ")</f>
        <v>MARIANA RODRÍGUEZ GUTIERREZ</v>
      </c>
      <c r="P93" s="258">
        <v>43684</v>
      </c>
      <c r="Q93" s="254">
        <v>5956</v>
      </c>
      <c r="R93" s="255" t="s">
        <v>758</v>
      </c>
      <c r="S93" s="251"/>
      <c r="T93" s="251" t="s">
        <v>301</v>
      </c>
      <c r="U93" s="243">
        <f ca="1">VLOOKUP(BDD[[#This Row],[ANTIG]],DIASXANT18[#All],2)</f>
        <v>14</v>
      </c>
      <c r="V93" s="256">
        <f t="shared" si="3"/>
        <v>0.5</v>
      </c>
      <c r="W93" s="243">
        <f ca="1">BDD[[#This Row],[D.VAC.]]*BDD[[#This Row],[% P.V.]]</f>
        <v>7</v>
      </c>
      <c r="X93" s="243">
        <v>30</v>
      </c>
      <c r="Y93" s="257">
        <f ca="1">(365+BDD[[#This Row],[D.PAG.V.]]+BDD[[#This Row],[D.AG.]])/365</f>
        <v>1.1013698630136985</v>
      </c>
      <c r="Z93" s="243">
        <f ca="1">BDD[[#This Row],[SUE DIA]]*BDD[[#This Row],[FACTOR SDI]]</f>
        <v>291.86301369863014</v>
      </c>
      <c r="AA93" s="243">
        <f>BDD[[#This Row],[SUE DIA]]/9</f>
        <v>29.444444444444443</v>
      </c>
      <c r="AB93" s="251">
        <v>32716</v>
      </c>
      <c r="AC93" s="251" t="s">
        <v>940</v>
      </c>
      <c r="AD93" s="251" t="s">
        <v>786</v>
      </c>
      <c r="AE93" s="252">
        <v>4879868644</v>
      </c>
      <c r="AF93" s="251" t="s">
        <v>1159</v>
      </c>
      <c r="AG93" s="251" t="s">
        <v>773</v>
      </c>
      <c r="AH93" s="251" t="s">
        <v>1555</v>
      </c>
      <c r="AI93" s="243" t="s">
        <v>151</v>
      </c>
      <c r="AJ93" s="258" cm="1">
        <f t="array" aca="1" ref="AJ93" ca="1">DATE(YEAR(FECH.CONS[FECHA DE CONSULTA:]),MONTH(BDD[[#This Row],[FECHA NAC]]),DAY(BDD[[#This Row],[FECHA NAC]]))</f>
        <v>44769</v>
      </c>
      <c r="AK93" s="243"/>
      <c r="AL93" s="251" t="s">
        <v>311</v>
      </c>
      <c r="AM93" s="251" t="s">
        <v>1534</v>
      </c>
      <c r="AN93" s="251" t="s">
        <v>1551</v>
      </c>
      <c r="AO93" s="245">
        <v>96</v>
      </c>
      <c r="AP93" s="251">
        <f ca="1">INT((TODAY()-BDD[[#This Row],[FECHA NAC]])/365)</f>
        <v>32</v>
      </c>
      <c r="AQ93" s="251">
        <v>0</v>
      </c>
      <c r="AR93" s="251">
        <f ca="1">IF(BDD[[#This Row],[ANTIG]]=0,0,1)</f>
        <v>1</v>
      </c>
      <c r="AS93" s="251"/>
      <c r="AT93" s="251"/>
      <c r="AU93" s="251"/>
      <c r="AV93" s="251"/>
      <c r="AW93" s="251"/>
      <c r="AX93" s="251"/>
      <c r="AY93" s="251"/>
      <c r="AZ93" s="251">
        <f t="shared" ca="1" si="4"/>
        <v>49</v>
      </c>
    </row>
    <row r="94" spans="2:52" ht="15" customHeight="1" x14ac:dyDescent="0.25">
      <c r="B94" s="243">
        <v>198</v>
      </c>
      <c r="C94" s="251" t="s">
        <v>407</v>
      </c>
      <c r="D94" s="252">
        <v>22200</v>
      </c>
      <c r="E94" s="252">
        <f>(BDD[[#This Row],[SUE MENS]]/30)</f>
        <v>740</v>
      </c>
      <c r="F94" s="252">
        <f>BDD[[#This Row],[SUE MENS]]/2</f>
        <v>11100</v>
      </c>
      <c r="G94" s="315">
        <v>42375</v>
      </c>
      <c r="H94" s="243">
        <f ca="1">INT(_xlfn.DAYS(TODAY(),BDD[[#This Row],[FECHA ING.]])/365)</f>
        <v>6</v>
      </c>
      <c r="I94" s="251" t="str">
        <f>VLOOKUP(J94,TABLAS!$B$3:$G$49,2,FALSE)</f>
        <v>DIV ARQUIT</v>
      </c>
      <c r="J94" s="198" t="s">
        <v>740</v>
      </c>
      <c r="K94" s="244" t="s">
        <v>761</v>
      </c>
      <c r="L94" s="251" t="s">
        <v>763</v>
      </c>
      <c r="M94" s="251">
        <v>1033</v>
      </c>
      <c r="N94" s="244" t="s">
        <v>2104</v>
      </c>
      <c r="O94" s="251" t="str">
        <f>IFERROR(VLOOKUP(BDD[[#This Row],[SUBDPTO]],TABLAS!$B$4:$D$36,3,0)," ")</f>
        <v>MÉRIDA ISELA MEDINA SALINAS</v>
      </c>
      <c r="P94" s="258">
        <f>BDD[[#This Row],[FECHA ING.]]+700</f>
        <v>43075</v>
      </c>
      <c r="Q94" s="254">
        <v>16660</v>
      </c>
      <c r="R94" s="251" t="s">
        <v>743</v>
      </c>
      <c r="S94" s="251"/>
      <c r="T94" s="251" t="s">
        <v>811</v>
      </c>
      <c r="U94" s="243">
        <f ca="1">VLOOKUP(BDD[[#This Row],[ANTIG]],DIASXANT18[#All],2)</f>
        <v>16</v>
      </c>
      <c r="V94" s="256">
        <f t="shared" si="3"/>
        <v>0.5</v>
      </c>
      <c r="W94" s="243">
        <f ca="1">BDD[[#This Row],[D.VAC.]]*BDD[[#This Row],[% P.V.]]</f>
        <v>8</v>
      </c>
      <c r="X94" s="243">
        <v>30</v>
      </c>
      <c r="Y94" s="257">
        <f ca="1">(365+BDD[[#This Row],[D.PAG.V.]]+BDD[[#This Row],[D.AG.]])/365</f>
        <v>1.1041095890410959</v>
      </c>
      <c r="Z94" s="243">
        <f ca="1">BDD[[#This Row],[SUE DIA]]*BDD[[#This Row],[FACTOR SDI]]</f>
        <v>817.04109589041093</v>
      </c>
      <c r="AA94" s="243">
        <f>BDD[[#This Row],[SUE DIA]]/9</f>
        <v>82.222222222222229</v>
      </c>
      <c r="AB94" s="251">
        <v>35621</v>
      </c>
      <c r="AC94" s="251" t="s">
        <v>941</v>
      </c>
      <c r="AD94" s="251" t="s">
        <v>787</v>
      </c>
      <c r="AE94" s="252">
        <v>8684337463</v>
      </c>
      <c r="AF94" s="251" t="s">
        <v>1160</v>
      </c>
      <c r="AG94" s="251" t="s">
        <v>776</v>
      </c>
      <c r="AH94" s="251" t="s">
        <v>727</v>
      </c>
      <c r="AI94" s="243" t="s">
        <v>151</v>
      </c>
      <c r="AJ94" s="258" cm="1">
        <f t="array" aca="1" ref="AJ94" ca="1">DATE(YEAR(FECH.CONS[FECHA DE CONSULTA:]),MONTH(BDD[[#This Row],[FECHA NAC]]),DAY(BDD[[#This Row],[FECHA NAC]]))</f>
        <v>44752</v>
      </c>
      <c r="AK94" s="243"/>
      <c r="AL94" s="251" t="s">
        <v>313</v>
      </c>
      <c r="AM94" s="251" t="s">
        <v>1543</v>
      </c>
      <c r="AN94" s="251" t="s">
        <v>1549</v>
      </c>
      <c r="AO94" s="245">
        <v>83</v>
      </c>
      <c r="AP94" s="251">
        <f ca="1">INT((TODAY()-BDD[[#This Row],[FECHA NAC]])/365)</f>
        <v>25</v>
      </c>
      <c r="AQ94" s="251">
        <v>3</v>
      </c>
      <c r="AR94" s="251">
        <f ca="1">IF(BDD[[#This Row],[ANTIG]]=0,0,1)</f>
        <v>1</v>
      </c>
      <c r="AS94" s="251"/>
      <c r="AT94" s="251"/>
      <c r="AU94" s="251"/>
      <c r="AV94" s="251"/>
      <c r="AW94" s="251"/>
      <c r="AX94" s="251"/>
      <c r="AY94" s="251"/>
      <c r="AZ94" s="251">
        <f t="shared" ca="1" si="4"/>
        <v>779</v>
      </c>
    </row>
    <row r="95" spans="2:52" ht="15" customHeight="1" x14ac:dyDescent="0.25">
      <c r="B95" s="243">
        <v>199</v>
      </c>
      <c r="C95" s="251" t="s">
        <v>1661</v>
      </c>
      <c r="D95" s="252">
        <v>9450</v>
      </c>
      <c r="E95" s="252">
        <f>(BDD[[#This Row],[SUE MENS]]/30)</f>
        <v>315</v>
      </c>
      <c r="F95" s="252">
        <f>BDD[[#This Row],[SUE MENS]]/2</f>
        <v>4725</v>
      </c>
      <c r="G95" s="315">
        <v>42559</v>
      </c>
      <c r="H95" s="243">
        <f ca="1">INT(_xlfn.DAYS(TODAY(),BDD[[#This Row],[FECHA ING.]])/365)</f>
        <v>6</v>
      </c>
      <c r="I95" s="251" t="str">
        <f>VLOOKUP(J95,TABLAS!$B$3:$G$49,2,FALSE)</f>
        <v>AUDITORÍA</v>
      </c>
      <c r="J95" s="198" t="s">
        <v>734</v>
      </c>
      <c r="K95" s="251" t="s">
        <v>778</v>
      </c>
      <c r="L95" s="251" t="s">
        <v>763</v>
      </c>
      <c r="M95" s="251"/>
      <c r="N95" s="244" t="s">
        <v>2039</v>
      </c>
      <c r="O95" s="251" t="str">
        <f>IFERROR(VLOOKUP(BDD[[#This Row],[SUBDPTO]],TABLAS!$B$4:$D$36,3,0)," ")</f>
        <v>MARCO AURELIO URBINO</v>
      </c>
      <c r="P95" s="258">
        <f>BDD[[#This Row],[FECHA ING.]]+1000</f>
        <v>43559</v>
      </c>
      <c r="Q95" s="254">
        <v>5211.5</v>
      </c>
      <c r="R95" s="251" t="s">
        <v>744</v>
      </c>
      <c r="S95" s="251"/>
      <c r="T95" s="251" t="s">
        <v>811</v>
      </c>
      <c r="U95" s="243">
        <f ca="1">VLOOKUP(BDD[[#This Row],[ANTIG]],DIASXANT18[#All],2)</f>
        <v>16</v>
      </c>
      <c r="V95" s="256">
        <f t="shared" si="3"/>
        <v>0.5</v>
      </c>
      <c r="W95" s="243">
        <f ca="1">BDD[[#This Row],[D.VAC.]]*BDD[[#This Row],[% P.V.]]</f>
        <v>8</v>
      </c>
      <c r="X95" s="243">
        <v>30</v>
      </c>
      <c r="Y95" s="257">
        <f ca="1">(365+BDD[[#This Row],[D.PAG.V.]]+BDD[[#This Row],[D.AG.]])/365</f>
        <v>1.1041095890410959</v>
      </c>
      <c r="Z95" s="243">
        <f ca="1">BDD[[#This Row],[SUE DIA]]*BDD[[#This Row],[FACTOR SDI]]</f>
        <v>347.79452054794518</v>
      </c>
      <c r="AA95" s="243">
        <f>BDD[[#This Row],[SUE DIA]]/9</f>
        <v>35</v>
      </c>
      <c r="AB95" s="251">
        <v>31453</v>
      </c>
      <c r="AC95" s="251" t="s">
        <v>942</v>
      </c>
      <c r="AD95" s="251" t="s">
        <v>793</v>
      </c>
      <c r="AE95" s="252">
        <v>8374029091</v>
      </c>
      <c r="AF95" s="251" t="s">
        <v>1161</v>
      </c>
      <c r="AG95" s="251" t="s">
        <v>774</v>
      </c>
      <c r="AH95" s="251" t="s">
        <v>730</v>
      </c>
      <c r="AI95" s="243" t="s">
        <v>151</v>
      </c>
      <c r="AJ95" s="258" cm="1">
        <f t="array" aca="1" ref="AJ95" ca="1">DATE(YEAR(FECH.CONS[FECHA DE CONSULTA:]),MONTH(BDD[[#This Row],[FECHA NAC]]),DAY(BDD[[#This Row],[FECHA NAC]]))</f>
        <v>44602</v>
      </c>
      <c r="AK95" s="243">
        <v>7</v>
      </c>
      <c r="AL95" s="261" t="s">
        <v>311</v>
      </c>
      <c r="AM95" s="251" t="s">
        <v>1537</v>
      </c>
      <c r="AN95" s="251" t="s">
        <v>1551</v>
      </c>
      <c r="AO95" s="245">
        <v>31</v>
      </c>
      <c r="AP95" s="251">
        <f ca="1">INT((TODAY()-BDD[[#This Row],[FECHA NAC]])/365)</f>
        <v>36</v>
      </c>
      <c r="AQ95" s="251">
        <v>2</v>
      </c>
      <c r="AR95" s="251">
        <f ca="1">IF(BDD[[#This Row],[ANTIG]]=0,0,1)</f>
        <v>1</v>
      </c>
      <c r="AS95" s="251"/>
      <c r="AT95" s="251"/>
      <c r="AU95" s="251"/>
      <c r="AV95" s="251"/>
      <c r="AW95" s="251"/>
      <c r="AX95" s="251"/>
      <c r="AY95" s="251"/>
      <c r="AZ95" s="251">
        <f t="shared" ca="1" si="4"/>
        <v>229</v>
      </c>
    </row>
    <row r="96" spans="2:52" ht="15" customHeight="1" x14ac:dyDescent="0.25">
      <c r="B96" s="139">
        <v>200</v>
      </c>
      <c r="C96" s="139" t="s">
        <v>1742</v>
      </c>
      <c r="D96" s="139">
        <v>0</v>
      </c>
      <c r="E96" s="139">
        <f>(BDD[[#This Row],[SUE MENS]]/30)</f>
        <v>0</v>
      </c>
      <c r="F96" s="139">
        <f>BDD[[#This Row],[SUE MENS]]/2</f>
        <v>0</v>
      </c>
      <c r="G96" s="320">
        <v>40181</v>
      </c>
      <c r="H96" s="139">
        <f ca="1">INT(_xlfn.DAYS(TODAY(),BDD[[#This Row],[FECHA ING.]])/365)</f>
        <v>12</v>
      </c>
      <c r="I96" s="251" t="str">
        <f>VLOOKUP(J96,TABLAS!$B$3:$G$49,2,FALSE)</f>
        <v>FINANZAS</v>
      </c>
      <c r="J96" s="139" t="s">
        <v>757</v>
      </c>
      <c r="K96" s="139" t="s">
        <v>778</v>
      </c>
      <c r="L96" s="139" t="s">
        <v>763</v>
      </c>
      <c r="M96" s="139">
        <v>0</v>
      </c>
      <c r="N96" s="139" t="s">
        <v>1744</v>
      </c>
      <c r="O96" s="139" t="str">
        <f>IFERROR(VLOOKUP(BDD[[#This Row],[SUBDPTO]],TABLAS!$B$4:$D$36,3,0)," ")</f>
        <v>MARIANO ALDEBARÁN</v>
      </c>
      <c r="P96" s="268"/>
      <c r="Q96" s="139"/>
      <c r="R96" s="139"/>
      <c r="S96" s="139"/>
      <c r="T96" s="139" t="s">
        <v>811</v>
      </c>
      <c r="U96" s="139">
        <f ca="1">VLOOKUP(BDD[[#This Row],[ANTIG]],DIASXANT18[#All],2)</f>
        <v>20</v>
      </c>
      <c r="V96" s="139">
        <v>0.25</v>
      </c>
      <c r="W96" s="139">
        <f ca="1">BDD[[#This Row],[D.VAC.]]*BDD[[#This Row],[% P.V.]]</f>
        <v>5</v>
      </c>
      <c r="X96" s="139">
        <v>15</v>
      </c>
      <c r="Y96" s="139">
        <f ca="1">(365+BDD[[#This Row],[D.PAG.V.]]+BDD[[#This Row],[D.AG.]])/365</f>
        <v>1.0547945205479452</v>
      </c>
      <c r="Z96" s="139">
        <f ca="1">BDD[[#This Row],[SUE DIA]]*BDD[[#This Row],[FACTOR SDI]]</f>
        <v>0</v>
      </c>
      <c r="AA96" s="139">
        <f>BDD[[#This Row],[SUE DIA]]/9</f>
        <v>0</v>
      </c>
      <c r="AB96" s="139">
        <v>34654</v>
      </c>
      <c r="AC96" s="139" t="s">
        <v>1746</v>
      </c>
      <c r="AD96" s="139" t="s">
        <v>786</v>
      </c>
      <c r="AE96" s="139">
        <v>8112318654</v>
      </c>
      <c r="AF96" s="139" t="s">
        <v>1743</v>
      </c>
      <c r="AG96" s="139" t="s">
        <v>776</v>
      </c>
      <c r="AH96" s="139" t="s">
        <v>1555</v>
      </c>
      <c r="AI96" s="139" t="s">
        <v>152</v>
      </c>
      <c r="AJ96" s="268">
        <f t="array" aca="1" ref="AJ96" ca="1">DATE(YEAR(FECH.CONS[FECHA DE CONSULTA:]),MONTH(BDD[[#This Row],[FECHA NAC]]),DAY(BDD[[#This Row],[FECHA NAC]]))</f>
        <v>44881</v>
      </c>
      <c r="AK96" s="139" t="s">
        <v>44</v>
      </c>
      <c r="AL96" s="139" t="s">
        <v>313</v>
      </c>
      <c r="AM96" s="139" t="s">
        <v>1745</v>
      </c>
      <c r="AN96" s="139">
        <v>0</v>
      </c>
      <c r="AO96" s="139">
        <v>45</v>
      </c>
      <c r="AP96" s="139">
        <f ca="1">INT((TODAY()-BDD[[#This Row],[FECHA NAC]])/365)</f>
        <v>27</v>
      </c>
      <c r="AQ96" s="139">
        <v>1</v>
      </c>
      <c r="AR96" s="139">
        <f ca="1">IF(BDD[[#This Row],[ANTIG]]=0,0,1)</f>
        <v>1</v>
      </c>
      <c r="AS96" s="139"/>
      <c r="AT96" s="139"/>
      <c r="AU96" s="139"/>
      <c r="AV96" s="139"/>
      <c r="AW96" s="139"/>
      <c r="AX96" s="139"/>
      <c r="AY96" s="139"/>
      <c r="AZ96" s="139">
        <f t="shared" ca="1" si="4"/>
        <v>213</v>
      </c>
    </row>
    <row r="97" spans="2:52" ht="15" customHeight="1" x14ac:dyDescent="0.25">
      <c r="B97" s="243">
        <v>202</v>
      </c>
      <c r="C97" s="262" t="s">
        <v>358</v>
      </c>
      <c r="D97" s="252">
        <v>9450</v>
      </c>
      <c r="E97" s="252">
        <f>(BDD[[#This Row],[SUE MENS]]/30)</f>
        <v>315</v>
      </c>
      <c r="F97" s="252">
        <f>BDD[[#This Row],[SUE MENS]]/2</f>
        <v>4725</v>
      </c>
      <c r="G97" s="320">
        <v>40212</v>
      </c>
      <c r="H97" s="243">
        <f ca="1">INT(_xlfn.DAYS(TODAY(),BDD[[#This Row],[FECHA ING.]])/365)</f>
        <v>12</v>
      </c>
      <c r="I97" s="251" t="str">
        <f>VLOOKUP(J97,TABLAS!$B$3:$G$49,2,FALSE)</f>
        <v>DIRECCIÓN</v>
      </c>
      <c r="J97" s="198" t="s">
        <v>759</v>
      </c>
      <c r="K97" s="251" t="s">
        <v>778</v>
      </c>
      <c r="L97" s="251" t="s">
        <v>763</v>
      </c>
      <c r="M97" s="251"/>
      <c r="N97" s="244" t="s">
        <v>2189</v>
      </c>
      <c r="O97" s="251" t="str">
        <f>IFERROR(VLOOKUP(BDD[[#This Row],[SUBDPTO]],TABLAS!$B$4:$D$36,3,0)," ")</f>
        <v>MARIANA RODRÍGUEZ GUTIERREZ</v>
      </c>
      <c r="P97" s="258"/>
      <c r="Q97" s="264"/>
      <c r="R97" s="244"/>
      <c r="S97" s="251"/>
      <c r="T97" s="251" t="s">
        <v>811</v>
      </c>
      <c r="U97" s="243">
        <f ca="1">VLOOKUP(BDD[[#This Row],[ANTIG]],DIASXANT18[#All],2)</f>
        <v>20</v>
      </c>
      <c r="V97" s="256">
        <f t="shared" ref="V97:V108" si="5">100/200</f>
        <v>0.5</v>
      </c>
      <c r="W97" s="243">
        <f ca="1">BDD[[#This Row],[D.VAC.]]*BDD[[#This Row],[% P.V.]]</f>
        <v>10</v>
      </c>
      <c r="X97" s="243">
        <v>30</v>
      </c>
      <c r="Y97" s="257">
        <f ca="1">(365+BDD[[#This Row],[D.PAG.V.]]+BDD[[#This Row],[D.AG.]])/365</f>
        <v>1.1095890410958904</v>
      </c>
      <c r="Z97" s="243">
        <f ca="1">BDD[[#This Row],[SUE DIA]]*BDD[[#This Row],[FACTOR SDI]]</f>
        <v>349.52054794520546</v>
      </c>
      <c r="AA97" s="243">
        <f>BDD[[#This Row],[SUE DIA]]/9</f>
        <v>35</v>
      </c>
      <c r="AB97" s="262">
        <v>35435</v>
      </c>
      <c r="AC97" s="251" t="s">
        <v>1007</v>
      </c>
      <c r="AD97" s="251" t="s">
        <v>787</v>
      </c>
      <c r="AE97" s="252">
        <v>8324786881</v>
      </c>
      <c r="AF97" s="251" t="s">
        <v>1334</v>
      </c>
      <c r="AG97" s="251" t="s">
        <v>773</v>
      </c>
      <c r="AH97" s="251" t="s">
        <v>730</v>
      </c>
      <c r="AI97" s="243" t="s">
        <v>151</v>
      </c>
      <c r="AJ97" s="258" cm="1">
        <f t="array" aca="1" ref="AJ97" ca="1">DATE(YEAR(FECH.CONS[FECHA DE CONSULTA:]),MONTH(BDD[[#This Row],[FECHA NAC]]),DAY(BDD[[#This Row],[FECHA NAC]]))</f>
        <v>44566</v>
      </c>
      <c r="AK97" s="243">
        <v>9</v>
      </c>
      <c r="AL97" s="251" t="s">
        <v>312</v>
      </c>
      <c r="AM97" s="251" t="s">
        <v>1535</v>
      </c>
      <c r="AN97" s="251" t="s">
        <v>1551</v>
      </c>
      <c r="AO97" s="245">
        <v>91</v>
      </c>
      <c r="AP97" s="251">
        <f ca="1">INT((TODAY()-BDD[[#This Row],[FECHA NAC]])/365)</f>
        <v>25</v>
      </c>
      <c r="AQ97" s="251">
        <v>3</v>
      </c>
      <c r="AR97" s="251">
        <f ca="1">IF(BDD[[#This Row],[ANTIG]]=0,0,1)</f>
        <v>1</v>
      </c>
      <c r="AS97" s="251"/>
      <c r="AT97" s="251"/>
      <c r="AU97" s="251"/>
      <c r="AV97" s="251"/>
      <c r="AW97" s="251"/>
      <c r="AX97" s="251"/>
      <c r="AY97" s="251"/>
      <c r="AZ97" s="251">
        <f t="shared" ca="1" si="4"/>
        <v>135</v>
      </c>
    </row>
    <row r="98" spans="2:52" ht="15" customHeight="1" x14ac:dyDescent="0.25">
      <c r="B98" s="243">
        <v>203</v>
      </c>
      <c r="C98" s="251" t="s">
        <v>210</v>
      </c>
      <c r="D98" s="252">
        <v>9541</v>
      </c>
      <c r="E98" s="252">
        <f>(BDD[[#This Row],[SUE MENS]]/30)</f>
        <v>318.03333333333336</v>
      </c>
      <c r="F98" s="252">
        <f>BDD[[#This Row],[SUE MENS]]/2</f>
        <v>4770.5</v>
      </c>
      <c r="G98" s="320">
        <v>40223</v>
      </c>
      <c r="H98" s="243">
        <f ca="1">INT(_xlfn.DAYS(TODAY(),BDD[[#This Row],[FECHA ING.]])/365)</f>
        <v>12</v>
      </c>
      <c r="I98" s="251" t="str">
        <f>VLOOKUP(J98,TABLAS!$B$3:$G$49,2,FALSE)</f>
        <v>AUDITORÍA</v>
      </c>
      <c r="J98" s="198" t="s">
        <v>735</v>
      </c>
      <c r="K98" s="251" t="s">
        <v>778</v>
      </c>
      <c r="L98" s="251" t="s">
        <v>763</v>
      </c>
      <c r="M98" s="251"/>
      <c r="N98" s="244" t="s">
        <v>2045</v>
      </c>
      <c r="O98" s="251" t="str">
        <f>IFERROR(VLOOKUP(BDD[[#This Row],[SUBDPTO]],TABLAS!$B$4:$D$36,3,0)," ")</f>
        <v>MARCO AURELIO URBINO</v>
      </c>
      <c r="P98" s="258">
        <f>BDD[[#This Row],[FECHA ING.]]+900</f>
        <v>41123</v>
      </c>
      <c r="Q98" s="254">
        <v>5390</v>
      </c>
      <c r="R98" s="251" t="s">
        <v>759</v>
      </c>
      <c r="S98" s="251"/>
      <c r="T98" s="251" t="s">
        <v>811</v>
      </c>
      <c r="U98" s="243">
        <f ca="1">VLOOKUP(BDD[[#This Row],[ANTIG]],DIASXANT18[#All],2)</f>
        <v>20</v>
      </c>
      <c r="V98" s="256">
        <f t="shared" si="5"/>
        <v>0.5</v>
      </c>
      <c r="W98" s="243">
        <f ca="1">BDD[[#This Row],[D.VAC.]]*BDD[[#This Row],[% P.V.]]</f>
        <v>10</v>
      </c>
      <c r="X98" s="243">
        <v>30</v>
      </c>
      <c r="Y98" s="257">
        <f ca="1">(365+BDD[[#This Row],[D.PAG.V.]]+BDD[[#This Row],[D.AG.]])/365</f>
        <v>1.1095890410958904</v>
      </c>
      <c r="Z98" s="243">
        <f ca="1">BDD[[#This Row],[SUE DIA]]*BDD[[#This Row],[FACTOR SDI]]</f>
        <v>352.88630136986302</v>
      </c>
      <c r="AA98" s="243">
        <f>BDD[[#This Row],[SUE DIA]]/9</f>
        <v>35.337037037037042</v>
      </c>
      <c r="AB98" s="251">
        <v>32818</v>
      </c>
      <c r="AC98" s="251" t="s">
        <v>942</v>
      </c>
      <c r="AD98" s="251" t="s">
        <v>792</v>
      </c>
      <c r="AE98" s="252">
        <v>8509399460</v>
      </c>
      <c r="AF98" s="251" t="s">
        <v>1226</v>
      </c>
      <c r="AG98" s="251" t="s">
        <v>776</v>
      </c>
      <c r="AH98" s="251" t="s">
        <v>730</v>
      </c>
      <c r="AI98" s="243" t="s">
        <v>151</v>
      </c>
      <c r="AJ98" s="258" cm="1">
        <f t="array" aca="1" ref="AJ98" ca="1">DATE(YEAR(FECH.CONS[FECHA DE CONSULTA:]),MONTH(BDD[[#This Row],[FECHA NAC]]),DAY(BDD[[#This Row],[FECHA NAC]]))</f>
        <v>44871</v>
      </c>
      <c r="AK98" s="243">
        <v>8</v>
      </c>
      <c r="AL98" s="261" t="s">
        <v>311</v>
      </c>
      <c r="AM98" s="251" t="s">
        <v>1534</v>
      </c>
      <c r="AN98" s="251" t="s">
        <v>1551</v>
      </c>
      <c r="AO98" s="245">
        <v>96</v>
      </c>
      <c r="AP98" s="251">
        <f ca="1">INT((TODAY()-BDD[[#This Row],[FECHA NAC]])/365)</f>
        <v>32</v>
      </c>
      <c r="AQ98" s="251">
        <v>1</v>
      </c>
      <c r="AR98" s="251">
        <f ca="1">IF(BDD[[#This Row],[ANTIG]]=0,0,1)</f>
        <v>1</v>
      </c>
      <c r="AS98" s="251"/>
      <c r="AT98" s="251"/>
      <c r="AU98" s="251"/>
      <c r="AV98" s="251"/>
      <c r="AW98" s="251"/>
      <c r="AX98" s="251"/>
      <c r="AY98" s="251"/>
      <c r="AZ98" s="251">
        <f t="shared" ca="1" si="4"/>
        <v>705</v>
      </c>
    </row>
    <row r="99" spans="2:52" ht="15" customHeight="1" x14ac:dyDescent="0.25">
      <c r="B99" s="243">
        <v>205</v>
      </c>
      <c r="C99" s="259" t="s">
        <v>582</v>
      </c>
      <c r="D99" s="252">
        <v>9450</v>
      </c>
      <c r="E99" s="252">
        <f>(BDD[[#This Row],[SUE MENS]]/30)</f>
        <v>315</v>
      </c>
      <c r="F99" s="252">
        <f>BDD[[#This Row],[SUE MENS]]/2</f>
        <v>4725</v>
      </c>
      <c r="G99" s="320">
        <v>40243</v>
      </c>
      <c r="H99" s="243">
        <f ca="1">INT(_xlfn.DAYS(TODAY(),BDD[[#This Row],[FECHA ING.]])/365)</f>
        <v>12</v>
      </c>
      <c r="I99" s="251" t="str">
        <f>VLOOKUP(J99,TABLAS!$B$3:$G$49,2,FALSE)</f>
        <v>DIV INGENRIA</v>
      </c>
      <c r="J99" s="198" t="s">
        <v>743</v>
      </c>
      <c r="K99" s="251" t="s">
        <v>778</v>
      </c>
      <c r="L99" s="251" t="s">
        <v>763</v>
      </c>
      <c r="M99" s="251"/>
      <c r="N99" s="253" t="s">
        <v>2152</v>
      </c>
      <c r="O99" s="251" t="str">
        <f>IFERROR(VLOOKUP(BDD[[#This Row],[SUBDPTO]],TABLAS!$B$4:$D$36,3,0)," ")</f>
        <v>DIEGO HERRERA GIRÓN</v>
      </c>
      <c r="P99" s="258">
        <v>43696</v>
      </c>
      <c r="Q99" s="254">
        <v>6580</v>
      </c>
      <c r="R99" s="255" t="s">
        <v>744</v>
      </c>
      <c r="S99" s="251"/>
      <c r="T99" s="251" t="s">
        <v>811</v>
      </c>
      <c r="U99" s="243">
        <f ca="1">VLOOKUP(BDD[[#This Row],[ANTIG]],DIASXANT18[#All],2)</f>
        <v>20</v>
      </c>
      <c r="V99" s="256">
        <f t="shared" si="5"/>
        <v>0.5</v>
      </c>
      <c r="W99" s="243">
        <f ca="1">BDD[[#This Row],[D.VAC.]]*BDD[[#This Row],[% P.V.]]</f>
        <v>10</v>
      </c>
      <c r="X99" s="243">
        <v>30</v>
      </c>
      <c r="Y99" s="257">
        <f ca="1">(365+BDD[[#This Row],[D.PAG.V.]]+BDD[[#This Row],[D.AG.]])/365</f>
        <v>1.1095890410958904</v>
      </c>
      <c r="Z99" s="243">
        <f ca="1">BDD[[#This Row],[SUE DIA]]*BDD[[#This Row],[FACTOR SDI]]</f>
        <v>349.52054794520546</v>
      </c>
      <c r="AA99" s="243">
        <f>BDD[[#This Row],[SUE DIA]]/9</f>
        <v>35</v>
      </c>
      <c r="AB99" s="251">
        <v>35085</v>
      </c>
      <c r="AC99" s="251" t="s">
        <v>898</v>
      </c>
      <c r="AD99" s="251" t="s">
        <v>787</v>
      </c>
      <c r="AE99" s="260">
        <v>9876856942</v>
      </c>
      <c r="AF99" s="251" t="s">
        <v>1441</v>
      </c>
      <c r="AG99" s="251" t="s">
        <v>776</v>
      </c>
      <c r="AH99" s="251" t="s">
        <v>730</v>
      </c>
      <c r="AI99" s="243" t="s">
        <v>151</v>
      </c>
      <c r="AJ99" s="258" cm="1">
        <f t="array" aca="1" ref="AJ99" ca="1">DATE(YEAR(FECH.CONS[FECHA DE CONSULTA:]),MONTH(BDD[[#This Row],[FECHA NAC]]),DAY(BDD[[#This Row],[FECHA NAC]]))</f>
        <v>44582</v>
      </c>
      <c r="AK99" s="243">
        <v>10</v>
      </c>
      <c r="AL99" s="261" t="s">
        <v>311</v>
      </c>
      <c r="AM99" s="251" t="s">
        <v>1549</v>
      </c>
      <c r="AN99" s="251" t="s">
        <v>1551</v>
      </c>
      <c r="AO99" s="245">
        <v>53</v>
      </c>
      <c r="AP99" s="251">
        <f ca="1">INT((TODAY()-BDD[[#This Row],[FECHA NAC]])/365)</f>
        <v>26</v>
      </c>
      <c r="AQ99" s="251">
        <v>2</v>
      </c>
      <c r="AR99" s="251">
        <f ca="1">IF(BDD[[#This Row],[ANTIG]]=0,0,1)</f>
        <v>1</v>
      </c>
      <c r="AS99" s="251"/>
      <c r="AT99" s="251"/>
      <c r="AU99" s="251"/>
      <c r="AV99" s="251"/>
      <c r="AW99" s="251"/>
      <c r="AX99" s="251"/>
      <c r="AY99" s="251"/>
      <c r="AZ99" s="251">
        <f t="shared" ca="1" si="4"/>
        <v>80</v>
      </c>
    </row>
    <row r="100" spans="2:52" ht="15" customHeight="1" x14ac:dyDescent="0.25">
      <c r="B100" s="243">
        <v>206</v>
      </c>
      <c r="C100" s="251" t="s">
        <v>227</v>
      </c>
      <c r="D100" s="252">
        <v>8825</v>
      </c>
      <c r="E100" s="252">
        <f>(BDD[[#This Row],[SUE MENS]]/30)</f>
        <v>294.16666666666669</v>
      </c>
      <c r="F100" s="252">
        <f>BDD[[#This Row],[SUE MENS]]/2</f>
        <v>4412.5</v>
      </c>
      <c r="G100" s="320">
        <v>40262</v>
      </c>
      <c r="H100" s="243">
        <f ca="1">INT(_xlfn.DAYS(TODAY(),BDD[[#This Row],[FECHA ING.]])/365)</f>
        <v>12</v>
      </c>
      <c r="I100" s="251" t="str">
        <f>VLOOKUP(J100,TABLAS!$B$3:$G$49,2,FALSE)</f>
        <v>DIRECCIÓN</v>
      </c>
      <c r="J100" s="198" t="s">
        <v>746</v>
      </c>
      <c r="K100" s="251" t="s">
        <v>778</v>
      </c>
      <c r="L100" s="251" t="s">
        <v>763</v>
      </c>
      <c r="M100" s="251"/>
      <c r="N100" s="244" t="s">
        <v>1923</v>
      </c>
      <c r="O100" s="251" t="str">
        <f>IFERROR(VLOOKUP(BDD[[#This Row],[SUBDPTO]],TABLAS!$B$4:$D$36,3,0)," ")</f>
        <v>MARIANA RODRÍGUEZ GUTIERREZ</v>
      </c>
      <c r="P100" s="258">
        <v>43385</v>
      </c>
      <c r="Q100" s="264">
        <f>D89*0.8</f>
        <v>5956</v>
      </c>
      <c r="R100" s="255" t="s">
        <v>743</v>
      </c>
      <c r="S100" s="251"/>
      <c r="T100" s="251" t="s">
        <v>301</v>
      </c>
      <c r="U100" s="243">
        <f ca="1">VLOOKUP(BDD[[#This Row],[ANTIG]],DIASXANT18[#All],2)</f>
        <v>20</v>
      </c>
      <c r="V100" s="256">
        <f t="shared" si="5"/>
        <v>0.5</v>
      </c>
      <c r="W100" s="243">
        <f ca="1">BDD[[#This Row],[D.VAC.]]*BDD[[#This Row],[% P.V.]]</f>
        <v>10</v>
      </c>
      <c r="X100" s="243">
        <v>30</v>
      </c>
      <c r="Y100" s="257">
        <f ca="1">(365+BDD[[#This Row],[D.PAG.V.]]+BDD[[#This Row],[D.AG.]])/365</f>
        <v>1.1095890410958904</v>
      </c>
      <c r="Z100" s="243">
        <f ca="1">BDD[[#This Row],[SUE DIA]]*BDD[[#This Row],[FACTOR SDI]]</f>
        <v>326.40410958904113</v>
      </c>
      <c r="AA100" s="243">
        <f>BDD[[#This Row],[SUE DIA]]/9</f>
        <v>32.68518518518519</v>
      </c>
      <c r="AB100" s="251">
        <v>32184</v>
      </c>
      <c r="AC100" s="251" t="s">
        <v>923</v>
      </c>
      <c r="AD100" s="251" t="s">
        <v>791</v>
      </c>
      <c r="AE100" s="252">
        <v>8915749301</v>
      </c>
      <c r="AF100" s="251" t="s">
        <v>1252</v>
      </c>
      <c r="AG100" s="251" t="s">
        <v>776</v>
      </c>
      <c r="AH100" s="251" t="s">
        <v>726</v>
      </c>
      <c r="AI100" s="243" t="s">
        <v>152</v>
      </c>
      <c r="AJ100" s="258" cm="1">
        <f t="array" aca="1" ref="AJ100" ca="1">DATE(YEAR(FECH.CONS[FECHA DE CONSULTA:]),MONTH(BDD[[#This Row],[FECHA NAC]]),DAY(BDD[[#This Row],[FECHA NAC]]))</f>
        <v>44603</v>
      </c>
      <c r="AK100" s="243"/>
      <c r="AL100" s="261" t="s">
        <v>311</v>
      </c>
      <c r="AM100" s="251" t="s">
        <v>1534</v>
      </c>
      <c r="AN100" s="251" t="s">
        <v>1551</v>
      </c>
      <c r="AO100" s="245">
        <v>56</v>
      </c>
      <c r="AP100" s="251">
        <f ca="1">INT((TODAY()-BDD[[#This Row],[FECHA NAC]])/365)</f>
        <v>34</v>
      </c>
      <c r="AQ100" s="251">
        <v>0</v>
      </c>
      <c r="AR100" s="251">
        <f ca="1">IF(BDD[[#This Row],[ANTIG]]=0,0,1)</f>
        <v>1</v>
      </c>
      <c r="AS100" s="251"/>
      <c r="AT100" s="251"/>
      <c r="AU100" s="251"/>
      <c r="AV100" s="251"/>
      <c r="AW100" s="251"/>
      <c r="AX100" s="251"/>
      <c r="AY100" s="251"/>
      <c r="AZ100" s="251">
        <f t="shared" ca="1" si="4"/>
        <v>159</v>
      </c>
    </row>
    <row r="101" spans="2:52" ht="15" customHeight="1" x14ac:dyDescent="0.25">
      <c r="B101" s="243">
        <v>207</v>
      </c>
      <c r="C101" s="259" t="s">
        <v>443</v>
      </c>
      <c r="D101" s="252">
        <v>7445</v>
      </c>
      <c r="E101" s="252">
        <f>(BDD[[#This Row],[SUE MENS]]/30)</f>
        <v>248.16666666666666</v>
      </c>
      <c r="F101" s="252">
        <f>BDD[[#This Row],[SUE MENS]]/2</f>
        <v>3722.5</v>
      </c>
      <c r="G101" s="320">
        <v>40268</v>
      </c>
      <c r="H101" s="243">
        <f ca="1">INT(_xlfn.DAYS(TODAY(),BDD[[#This Row],[FECHA ING.]])/365)</f>
        <v>12</v>
      </c>
      <c r="I101" s="251" t="str">
        <f>VLOOKUP(J101,TABLAS!$B$3:$G$49,2,FALSE)</f>
        <v>DIV INGENRIA</v>
      </c>
      <c r="J101" s="198" t="s">
        <v>743</v>
      </c>
      <c r="K101" s="251" t="s">
        <v>778</v>
      </c>
      <c r="L101" s="251" t="s">
        <v>763</v>
      </c>
      <c r="M101" s="251"/>
      <c r="N101" s="253" t="s">
        <v>1899</v>
      </c>
      <c r="O101" s="251" t="str">
        <f>IFERROR(VLOOKUP(BDD[[#This Row],[SUBDPTO]],TABLAS!$B$4:$D$36,3,0)," ")</f>
        <v>DIEGO HERRERA GIRÓN</v>
      </c>
      <c r="P101" s="258"/>
      <c r="Q101" s="264"/>
      <c r="R101" s="244"/>
      <c r="S101" s="251"/>
      <c r="T101" s="251" t="s">
        <v>811</v>
      </c>
      <c r="U101" s="243">
        <f ca="1">VLOOKUP(BDD[[#This Row],[ANTIG]],DIASXANT18[#All],2)</f>
        <v>20</v>
      </c>
      <c r="V101" s="256">
        <f t="shared" si="5"/>
        <v>0.5</v>
      </c>
      <c r="W101" s="243">
        <f ca="1">BDD[[#This Row],[D.VAC.]]*BDD[[#This Row],[% P.V.]]</f>
        <v>10</v>
      </c>
      <c r="X101" s="243">
        <v>30</v>
      </c>
      <c r="Y101" s="257">
        <f ca="1">(365+BDD[[#This Row],[D.PAG.V.]]+BDD[[#This Row],[D.AG.]])/365</f>
        <v>1.1095890410958904</v>
      </c>
      <c r="Z101" s="243">
        <f ca="1">BDD[[#This Row],[SUE DIA]]*BDD[[#This Row],[FACTOR SDI]]</f>
        <v>275.36301369863014</v>
      </c>
      <c r="AA101" s="243">
        <f>BDD[[#This Row],[SUE DIA]]/9</f>
        <v>27.574074074074073</v>
      </c>
      <c r="AB101" s="262">
        <v>32746</v>
      </c>
      <c r="AC101" s="251" t="s">
        <v>1028</v>
      </c>
      <c r="AD101" s="251" t="s">
        <v>810</v>
      </c>
      <c r="AE101" s="252">
        <v>5677327431</v>
      </c>
      <c r="AF101" s="251" t="s">
        <v>1312</v>
      </c>
      <c r="AG101" s="251" t="s">
        <v>773</v>
      </c>
      <c r="AH101" s="251" t="s">
        <v>727</v>
      </c>
      <c r="AI101" s="243" t="s">
        <v>151</v>
      </c>
      <c r="AJ101" s="258" cm="1">
        <f t="array" aca="1" ref="AJ101" ca="1">DATE(YEAR(FECH.CONS[FECHA DE CONSULTA:]),MONTH(BDD[[#This Row],[FECHA NAC]]),DAY(BDD[[#This Row],[FECHA NAC]]))</f>
        <v>44799</v>
      </c>
      <c r="AK101" s="243">
        <v>9</v>
      </c>
      <c r="AL101" s="261" t="s">
        <v>326</v>
      </c>
      <c r="AM101" s="251" t="s">
        <v>1538</v>
      </c>
      <c r="AN101" s="251" t="s">
        <v>1554</v>
      </c>
      <c r="AO101" s="245">
        <v>80</v>
      </c>
      <c r="AP101" s="251">
        <f ca="1">INT((TODAY()-BDD[[#This Row],[FECHA NAC]])/365)</f>
        <v>32</v>
      </c>
      <c r="AQ101" s="251">
        <v>2</v>
      </c>
      <c r="AR101" s="251">
        <f ca="1">IF(BDD[[#This Row],[ANTIG]]=0,0,1)</f>
        <v>1</v>
      </c>
      <c r="AS101" s="251"/>
      <c r="AT101" s="251"/>
      <c r="AU101" s="251"/>
      <c r="AV101" s="251"/>
      <c r="AW101" s="251"/>
      <c r="AX101" s="251"/>
      <c r="AY101" s="251"/>
      <c r="AZ101" s="251">
        <f t="shared" ca="1" si="4"/>
        <v>67</v>
      </c>
    </row>
    <row r="102" spans="2:52" ht="15" customHeight="1" x14ac:dyDescent="0.25">
      <c r="B102" s="243">
        <v>208</v>
      </c>
      <c r="C102" s="259" t="s">
        <v>708</v>
      </c>
      <c r="D102" s="252">
        <v>10860</v>
      </c>
      <c r="E102" s="252">
        <f>(BDD[[#This Row],[SUE MENS]]/30)</f>
        <v>362</v>
      </c>
      <c r="F102" s="252">
        <f>BDD[[#This Row],[SUE MENS]]/2</f>
        <v>5430</v>
      </c>
      <c r="G102" s="320">
        <v>40312</v>
      </c>
      <c r="H102" s="243">
        <f ca="1">INT(_xlfn.DAYS(TODAY(),BDD[[#This Row],[FECHA ING.]])/365)</f>
        <v>12</v>
      </c>
      <c r="I102" s="251" t="str">
        <f>VLOOKUP(J102,TABLAS!$B$3:$G$49,2,FALSE)</f>
        <v>DIV INGENRIA</v>
      </c>
      <c r="J102" s="198" t="s">
        <v>743</v>
      </c>
      <c r="K102" s="251" t="s">
        <v>778</v>
      </c>
      <c r="L102" s="251" t="s">
        <v>763</v>
      </c>
      <c r="M102" s="251"/>
      <c r="N102" s="253" t="s">
        <v>1754</v>
      </c>
      <c r="O102" s="251" t="str">
        <f>IFERROR(VLOOKUP(BDD[[#This Row],[SUBDPTO]],TABLAS!$B$4:$D$36,3,0)," ")</f>
        <v>DIEGO HERRERA GIRÓN</v>
      </c>
      <c r="P102" s="258">
        <v>42258</v>
      </c>
      <c r="Q102" s="254">
        <v>6400</v>
      </c>
      <c r="R102" s="255" t="s">
        <v>750</v>
      </c>
      <c r="S102" s="255" t="s">
        <v>736</v>
      </c>
      <c r="T102" s="251" t="s">
        <v>811</v>
      </c>
      <c r="U102" s="243">
        <f ca="1">VLOOKUP(BDD[[#This Row],[ANTIG]],DIASXANT18[#All],2)</f>
        <v>20</v>
      </c>
      <c r="V102" s="256">
        <f t="shared" si="5"/>
        <v>0.5</v>
      </c>
      <c r="W102" s="243">
        <f ca="1">BDD[[#This Row],[D.VAC.]]*BDD[[#This Row],[% P.V.]]</f>
        <v>10</v>
      </c>
      <c r="X102" s="243">
        <v>30</v>
      </c>
      <c r="Y102" s="257">
        <f ca="1">(365+BDD[[#This Row],[D.PAG.V.]]+BDD[[#This Row],[D.AG.]])/365</f>
        <v>1.1095890410958904</v>
      </c>
      <c r="Z102" s="243">
        <f ca="1">BDD[[#This Row],[SUE DIA]]*BDD[[#This Row],[FACTOR SDI]]</f>
        <v>401.67123287671234</v>
      </c>
      <c r="AA102" s="243">
        <f>BDD[[#This Row],[SUE DIA]]/9</f>
        <v>40.222222222222221</v>
      </c>
      <c r="AB102" s="251">
        <v>28912</v>
      </c>
      <c r="AC102" s="251" t="s">
        <v>1009</v>
      </c>
      <c r="AD102" s="251" t="s">
        <v>790</v>
      </c>
      <c r="AE102" s="260">
        <v>2109977118</v>
      </c>
      <c r="AF102" s="251" t="s">
        <v>1525</v>
      </c>
      <c r="AG102" s="251" t="s">
        <v>776</v>
      </c>
      <c r="AH102" s="251" t="s">
        <v>730</v>
      </c>
      <c r="AI102" s="243" t="s">
        <v>151</v>
      </c>
      <c r="AJ102" s="258" cm="1">
        <f t="array" aca="1" ref="AJ102" ca="1">DATE(YEAR(FECH.CONS[FECHA DE CONSULTA:]),MONTH(BDD[[#This Row],[FECHA NAC]]),DAY(BDD[[#This Row],[FECHA NAC]]))</f>
        <v>44618</v>
      </c>
      <c r="AK102" s="243">
        <v>9</v>
      </c>
      <c r="AL102" s="261" t="s">
        <v>314</v>
      </c>
      <c r="AM102" s="251" t="s">
        <v>1538</v>
      </c>
      <c r="AN102" s="251" t="s">
        <v>1551</v>
      </c>
      <c r="AO102" s="245">
        <v>42</v>
      </c>
      <c r="AP102" s="251">
        <f ca="1">INT((TODAY()-BDD[[#This Row],[FECHA NAC]])/365)</f>
        <v>43</v>
      </c>
      <c r="AQ102" s="251">
        <v>0</v>
      </c>
      <c r="AR102" s="251">
        <f ca="1">IF(BDD[[#This Row],[ANTIG]]=0,0,1)</f>
        <v>1</v>
      </c>
      <c r="AS102" s="251"/>
      <c r="AT102" s="251"/>
      <c r="AU102" s="251"/>
      <c r="AV102" s="251"/>
      <c r="AW102" s="251"/>
      <c r="AX102" s="251"/>
      <c r="AY102" s="251"/>
      <c r="AZ102" s="251">
        <f t="shared" ca="1" si="4"/>
        <v>291</v>
      </c>
    </row>
    <row r="103" spans="2:52" ht="15" customHeight="1" x14ac:dyDescent="0.25">
      <c r="B103" s="243">
        <v>209</v>
      </c>
      <c r="C103" s="259" t="s">
        <v>555</v>
      </c>
      <c r="D103" s="263">
        <v>7445</v>
      </c>
      <c r="E103" s="252">
        <f>(BDD[[#This Row],[SUE MENS]]/30)</f>
        <v>248.16666666666666</v>
      </c>
      <c r="F103" s="252">
        <f>BDD[[#This Row],[SUE MENS]]/2</f>
        <v>3722.5</v>
      </c>
      <c r="G103" s="320">
        <v>40337</v>
      </c>
      <c r="H103" s="243">
        <f ca="1">INT(_xlfn.DAYS(TODAY(),BDD[[#This Row],[FECHA ING.]])/365)</f>
        <v>12</v>
      </c>
      <c r="I103" s="251" t="str">
        <f>VLOOKUP(J103,TABLAS!$B$3:$G$49,2,FALSE)</f>
        <v>DIRECCIÓN</v>
      </c>
      <c r="J103" s="198" t="s">
        <v>746</v>
      </c>
      <c r="K103" s="251" t="s">
        <v>778</v>
      </c>
      <c r="L103" s="251" t="s">
        <v>763</v>
      </c>
      <c r="M103" s="251"/>
      <c r="N103" s="253" t="s">
        <v>1822</v>
      </c>
      <c r="O103" s="251" t="str">
        <f>IFERROR(VLOOKUP(BDD[[#This Row],[SUBDPTO]],TABLAS!$B$4:$D$36,3,0)," ")</f>
        <v>MARIANA RODRÍGUEZ GUTIERREZ</v>
      </c>
      <c r="P103" s="258">
        <v>43617</v>
      </c>
      <c r="Q103" s="254">
        <v>5422.4000000000005</v>
      </c>
      <c r="R103" s="255" t="s">
        <v>740</v>
      </c>
      <c r="S103" s="251"/>
      <c r="T103" s="251" t="s">
        <v>811</v>
      </c>
      <c r="U103" s="243">
        <f ca="1">VLOOKUP(BDD[[#This Row],[ANTIG]],DIASXANT18[#All],2)</f>
        <v>20</v>
      </c>
      <c r="V103" s="256">
        <f t="shared" si="5"/>
        <v>0.5</v>
      </c>
      <c r="W103" s="243">
        <f ca="1">BDD[[#This Row],[D.VAC.]]*BDD[[#This Row],[% P.V.]]</f>
        <v>10</v>
      </c>
      <c r="X103" s="243">
        <v>30</v>
      </c>
      <c r="Y103" s="257">
        <f ca="1">(365+BDD[[#This Row],[D.PAG.V.]]+BDD[[#This Row],[D.AG.]])/365</f>
        <v>1.1095890410958904</v>
      </c>
      <c r="Z103" s="243">
        <f ca="1">BDD[[#This Row],[SUE DIA]]*BDD[[#This Row],[FACTOR SDI]]</f>
        <v>275.36301369863014</v>
      </c>
      <c r="AA103" s="243">
        <f>BDD[[#This Row],[SUE DIA]]/9</f>
        <v>27.574074074074073</v>
      </c>
      <c r="AB103" s="251">
        <v>35183</v>
      </c>
      <c r="AC103" s="251" t="s">
        <v>1060</v>
      </c>
      <c r="AD103" s="251" t="s">
        <v>789</v>
      </c>
      <c r="AE103" s="260">
        <v>8096874545</v>
      </c>
      <c r="AF103" s="251" t="s">
        <v>1419</v>
      </c>
      <c r="AG103" s="251" t="s">
        <v>773</v>
      </c>
      <c r="AH103" s="251" t="s">
        <v>730</v>
      </c>
      <c r="AI103" s="243" t="s">
        <v>151</v>
      </c>
      <c r="AJ103" s="258" cm="1">
        <f t="array" aca="1" ref="AJ103" ca="1">DATE(YEAR(FECH.CONS[FECHA DE CONSULTA:]),MONTH(BDD[[#This Row],[FECHA NAC]]),DAY(BDD[[#This Row],[FECHA NAC]]))</f>
        <v>44679</v>
      </c>
      <c r="AK103" s="243">
        <v>7</v>
      </c>
      <c r="AL103" s="261" t="s">
        <v>311</v>
      </c>
      <c r="AM103" s="251" t="s">
        <v>1537</v>
      </c>
      <c r="AN103" s="251" t="s">
        <v>1551</v>
      </c>
      <c r="AO103" s="245">
        <v>84</v>
      </c>
      <c r="AP103" s="251">
        <f ca="1">INT((TODAY()-BDD[[#This Row],[FECHA NAC]])/365)</f>
        <v>26</v>
      </c>
      <c r="AQ103" s="251">
        <v>1</v>
      </c>
      <c r="AR103" s="251">
        <f ca="1">IF(BDD[[#This Row],[ANTIG]]=0,0,1)</f>
        <v>1</v>
      </c>
      <c r="AS103" s="251"/>
      <c r="AT103" s="251"/>
      <c r="AU103" s="251"/>
      <c r="AV103" s="251"/>
      <c r="AW103" s="251"/>
      <c r="AX103" s="251"/>
      <c r="AY103" s="251"/>
      <c r="AZ103" s="251">
        <f t="shared" ca="1" si="4"/>
        <v>155</v>
      </c>
    </row>
    <row r="104" spans="2:52" ht="15" customHeight="1" x14ac:dyDescent="0.25">
      <c r="B104" s="243">
        <v>211</v>
      </c>
      <c r="C104" s="251" t="s">
        <v>190</v>
      </c>
      <c r="D104" s="252">
        <v>9450</v>
      </c>
      <c r="E104" s="252">
        <f>(BDD[[#This Row],[SUE MENS]]/30)</f>
        <v>315</v>
      </c>
      <c r="F104" s="252">
        <f>BDD[[#This Row],[SUE MENS]]/2</f>
        <v>4725</v>
      </c>
      <c r="G104" s="320">
        <v>40354</v>
      </c>
      <c r="H104" s="243">
        <f ca="1">INT(_xlfn.DAYS(TODAY(),BDD[[#This Row],[FECHA ING.]])/365)</f>
        <v>12</v>
      </c>
      <c r="I104" s="251" t="str">
        <f>VLOOKUP(J104,TABLAS!$B$3:$G$49,2,FALSE)</f>
        <v>FINANZAS</v>
      </c>
      <c r="J104" s="198" t="s">
        <v>748</v>
      </c>
      <c r="K104" s="251" t="s">
        <v>778</v>
      </c>
      <c r="L104" s="251" t="s">
        <v>763</v>
      </c>
      <c r="M104" s="251"/>
      <c r="N104" s="244" t="s">
        <v>1913</v>
      </c>
      <c r="O104" s="251" t="str">
        <f>IFERROR(VLOOKUP(BDD[[#This Row],[SUBDPTO]],TABLAS!$B$4:$D$36,3,0)," ")</f>
        <v>MARIANO ALDEBARÁN</v>
      </c>
      <c r="P104" s="258"/>
      <c r="Q104" s="264"/>
      <c r="R104" s="244"/>
      <c r="S104" s="251"/>
      <c r="T104" s="251" t="s">
        <v>301</v>
      </c>
      <c r="U104" s="243">
        <f ca="1">VLOOKUP(BDD[[#This Row],[ANTIG]],DIASXANT18[#All],2)</f>
        <v>20</v>
      </c>
      <c r="V104" s="256">
        <f t="shared" si="5"/>
        <v>0.5</v>
      </c>
      <c r="W104" s="243">
        <f ca="1">BDD[[#This Row],[D.VAC.]]*BDD[[#This Row],[% P.V.]]</f>
        <v>10</v>
      </c>
      <c r="X104" s="243">
        <v>30</v>
      </c>
      <c r="Y104" s="257">
        <f ca="1">(365+BDD[[#This Row],[D.PAG.V.]]+BDD[[#This Row],[D.AG.]])/365</f>
        <v>1.1095890410958904</v>
      </c>
      <c r="Z104" s="243">
        <f ca="1">BDD[[#This Row],[SUE DIA]]*BDD[[#This Row],[FACTOR SDI]]</f>
        <v>349.52054794520546</v>
      </c>
      <c r="AA104" s="243">
        <f>BDD[[#This Row],[SUE DIA]]/9</f>
        <v>35</v>
      </c>
      <c r="AB104" s="251">
        <v>30315</v>
      </c>
      <c r="AC104" s="251" t="s">
        <v>871</v>
      </c>
      <c r="AD104" s="251" t="s">
        <v>809</v>
      </c>
      <c r="AE104" s="252">
        <v>8431230477</v>
      </c>
      <c r="AF104" s="251" t="s">
        <v>1206</v>
      </c>
      <c r="AG104" s="251" t="s">
        <v>777</v>
      </c>
      <c r="AH104" s="251" t="s">
        <v>1555</v>
      </c>
      <c r="AI104" s="243" t="s">
        <v>151</v>
      </c>
      <c r="AJ104" s="258" cm="1">
        <f t="array" aca="1" ref="AJ104" ca="1">DATE(YEAR(FECH.CONS[FECHA DE CONSULTA:]),MONTH(BDD[[#This Row],[FECHA NAC]]),DAY(BDD[[#This Row],[FECHA NAC]]))</f>
        <v>44925</v>
      </c>
      <c r="AK104" s="243"/>
      <c r="AL104" s="261" t="s">
        <v>326</v>
      </c>
      <c r="AM104" s="251" t="s">
        <v>1534</v>
      </c>
      <c r="AN104" s="251" t="s">
        <v>1551</v>
      </c>
      <c r="AO104" s="245">
        <v>96</v>
      </c>
      <c r="AP104" s="251">
        <f ca="1">INT((TODAY()-BDD[[#This Row],[FECHA NAC]])/365)</f>
        <v>39</v>
      </c>
      <c r="AQ104" s="251">
        <v>0</v>
      </c>
      <c r="AR104" s="251">
        <f ca="1">IF(BDD[[#This Row],[ANTIG]]=0,0,1)</f>
        <v>1</v>
      </c>
      <c r="AS104" s="251"/>
      <c r="AT104" s="251"/>
      <c r="AU104" s="251"/>
      <c r="AV104" s="251"/>
      <c r="AW104" s="251"/>
      <c r="AX104" s="251"/>
      <c r="AY104" s="251"/>
      <c r="AZ104" s="251">
        <f t="shared" ca="1" si="4"/>
        <v>3</v>
      </c>
    </row>
    <row r="105" spans="2:52" ht="15" customHeight="1" x14ac:dyDescent="0.25">
      <c r="B105" s="243">
        <v>213</v>
      </c>
      <c r="C105" s="251" t="s">
        <v>207</v>
      </c>
      <c r="D105" s="263">
        <v>7445</v>
      </c>
      <c r="E105" s="252">
        <f>(BDD[[#This Row],[SUE MENS]]/30)</f>
        <v>248.16666666666666</v>
      </c>
      <c r="F105" s="252">
        <f>BDD[[#This Row],[SUE MENS]]/2</f>
        <v>3722.5</v>
      </c>
      <c r="G105" s="320">
        <v>40395</v>
      </c>
      <c r="H105" s="243">
        <f ca="1">INT(_xlfn.DAYS(TODAY(),BDD[[#This Row],[FECHA ING.]])/365)</f>
        <v>11</v>
      </c>
      <c r="I105" s="251" t="str">
        <f>VLOOKUP(J105,TABLAS!$B$3:$G$49,2,FALSE)</f>
        <v>DIV INGENRIA</v>
      </c>
      <c r="J105" s="198" t="s">
        <v>743</v>
      </c>
      <c r="K105" s="251" t="s">
        <v>778</v>
      </c>
      <c r="L105" s="251" t="s">
        <v>763</v>
      </c>
      <c r="M105" s="251"/>
      <c r="N105" s="244" t="s">
        <v>1774</v>
      </c>
      <c r="O105" s="251" t="str">
        <f>IFERROR(VLOOKUP(BDD[[#This Row],[SUBDPTO]],TABLAS!$B$4:$D$36,3,0)," ")</f>
        <v>DIEGO HERRERA GIRÓN</v>
      </c>
      <c r="P105" s="258">
        <v>43876</v>
      </c>
      <c r="Q105" s="254">
        <v>4384</v>
      </c>
      <c r="R105" s="255" t="s">
        <v>745</v>
      </c>
      <c r="S105" s="251"/>
      <c r="T105" s="251" t="s">
        <v>811</v>
      </c>
      <c r="U105" s="243">
        <f ca="1">VLOOKUP(BDD[[#This Row],[ANTIG]],DIASXANT18[#All],2)</f>
        <v>20</v>
      </c>
      <c r="V105" s="256">
        <f t="shared" si="5"/>
        <v>0.5</v>
      </c>
      <c r="W105" s="243">
        <f ca="1">BDD[[#This Row],[D.VAC.]]*BDD[[#This Row],[% P.V.]]</f>
        <v>10</v>
      </c>
      <c r="X105" s="243">
        <v>30</v>
      </c>
      <c r="Y105" s="257">
        <f ca="1">(365+BDD[[#This Row],[D.PAG.V.]]+BDD[[#This Row],[D.AG.]])/365</f>
        <v>1.1095890410958904</v>
      </c>
      <c r="Z105" s="243">
        <f ca="1">BDD[[#This Row],[SUE DIA]]*BDD[[#This Row],[FACTOR SDI]]</f>
        <v>275.36301369863014</v>
      </c>
      <c r="AA105" s="243">
        <f>BDD[[#This Row],[SUE DIA]]/9</f>
        <v>27.574074074074073</v>
      </c>
      <c r="AB105" s="251">
        <v>31007</v>
      </c>
      <c r="AC105" s="251" t="s">
        <v>940</v>
      </c>
      <c r="AD105" s="251" t="s">
        <v>809</v>
      </c>
      <c r="AE105" s="252">
        <v>8270502503</v>
      </c>
      <c r="AF105" s="251" t="s">
        <v>1222</v>
      </c>
      <c r="AG105" s="251" t="s">
        <v>774</v>
      </c>
      <c r="AH105" s="251" t="s">
        <v>730</v>
      </c>
      <c r="AI105" s="243" t="s">
        <v>151</v>
      </c>
      <c r="AJ105" s="258" cm="1">
        <f t="array" aca="1" ref="AJ105" ca="1">DATE(YEAR(FECH.CONS[FECHA DE CONSULTA:]),MONTH(BDD[[#This Row],[FECHA NAC]]),DAY(BDD[[#This Row],[FECHA NAC]]))</f>
        <v>44886</v>
      </c>
      <c r="AK105" s="243">
        <v>6</v>
      </c>
      <c r="AL105" s="261" t="s">
        <v>311</v>
      </c>
      <c r="AM105" s="251" t="s">
        <v>1538</v>
      </c>
      <c r="AN105" s="251" t="s">
        <v>1551</v>
      </c>
      <c r="AO105" s="245">
        <v>59</v>
      </c>
      <c r="AP105" s="251">
        <f ca="1">INT((TODAY()-BDD[[#This Row],[FECHA NAC]])/365)</f>
        <v>37</v>
      </c>
      <c r="AQ105" s="251">
        <v>1</v>
      </c>
      <c r="AR105" s="251">
        <f ca="1">IF(BDD[[#This Row],[ANTIG]]=0,0,1)</f>
        <v>1</v>
      </c>
      <c r="AS105" s="251"/>
      <c r="AT105" s="251"/>
      <c r="AU105" s="251"/>
      <c r="AV105" s="251"/>
      <c r="AW105" s="251"/>
      <c r="AX105" s="251"/>
      <c r="AY105" s="251"/>
      <c r="AZ105" s="251">
        <f t="shared" ca="1" si="4"/>
        <v>936</v>
      </c>
    </row>
    <row r="106" spans="2:52" ht="15" customHeight="1" x14ac:dyDescent="0.25">
      <c r="B106" s="243">
        <v>214</v>
      </c>
      <c r="C106" s="262" t="s">
        <v>356</v>
      </c>
      <c r="D106" s="252">
        <v>9450</v>
      </c>
      <c r="E106" s="252">
        <f>(BDD[[#This Row],[SUE MENS]]/30)</f>
        <v>315</v>
      </c>
      <c r="F106" s="252">
        <f>BDD[[#This Row],[SUE MENS]]/2</f>
        <v>4725</v>
      </c>
      <c r="G106" s="320">
        <v>40398</v>
      </c>
      <c r="H106" s="243">
        <f ca="1">INT(_xlfn.DAYS(TODAY(),BDD[[#This Row],[FECHA ING.]])/365)</f>
        <v>11</v>
      </c>
      <c r="I106" s="251" t="str">
        <f>VLOOKUP(J106,TABLAS!$B$3:$G$49,2,FALSE)</f>
        <v>DIV INGENRIA</v>
      </c>
      <c r="J106" s="198" t="s">
        <v>743</v>
      </c>
      <c r="K106" s="251" t="s">
        <v>778</v>
      </c>
      <c r="L106" s="251" t="s">
        <v>763</v>
      </c>
      <c r="M106" s="251"/>
      <c r="N106" s="244" t="s">
        <v>2188</v>
      </c>
      <c r="O106" s="251" t="str">
        <f>IFERROR(VLOOKUP(BDD[[#This Row],[SUBDPTO]],TABLAS!$B$4:$D$36,3,0)," ")</f>
        <v>DIEGO HERRERA GIRÓN</v>
      </c>
      <c r="P106" s="258">
        <v>43568</v>
      </c>
      <c r="Q106" s="254">
        <v>6580</v>
      </c>
      <c r="R106" s="261" t="s">
        <v>767</v>
      </c>
      <c r="S106" s="251"/>
      <c r="T106" s="251" t="s">
        <v>811</v>
      </c>
      <c r="U106" s="243">
        <f ca="1">VLOOKUP(BDD[[#This Row],[ANTIG]],DIASXANT18[#All],2)</f>
        <v>20</v>
      </c>
      <c r="V106" s="256">
        <f t="shared" si="5"/>
        <v>0.5</v>
      </c>
      <c r="W106" s="243">
        <f ca="1">BDD[[#This Row],[D.VAC.]]*BDD[[#This Row],[% P.V.]]</f>
        <v>10</v>
      </c>
      <c r="X106" s="243">
        <v>30</v>
      </c>
      <c r="Y106" s="257">
        <f ca="1">(365+BDD[[#This Row],[D.PAG.V.]]+BDD[[#This Row],[D.AG.]])/365</f>
        <v>1.1095890410958904</v>
      </c>
      <c r="Z106" s="243">
        <f ca="1">BDD[[#This Row],[SUE DIA]]*BDD[[#This Row],[FACTOR SDI]]</f>
        <v>349.52054794520546</v>
      </c>
      <c r="AA106" s="243">
        <f>BDD[[#This Row],[SUE DIA]]/9</f>
        <v>35</v>
      </c>
      <c r="AB106" s="262">
        <v>35985</v>
      </c>
      <c r="AC106" s="251" t="s">
        <v>938</v>
      </c>
      <c r="AD106" s="251" t="s">
        <v>789</v>
      </c>
      <c r="AE106" s="252">
        <v>8335567504</v>
      </c>
      <c r="AF106" s="251" t="s">
        <v>1331</v>
      </c>
      <c r="AG106" s="251" t="s">
        <v>774</v>
      </c>
      <c r="AH106" s="251" t="s">
        <v>730</v>
      </c>
      <c r="AI106" s="243" t="s">
        <v>151</v>
      </c>
      <c r="AJ106" s="258" cm="1">
        <f t="array" aca="1" ref="AJ106" ca="1">DATE(YEAR(FECH.CONS[FECHA DE CONSULTA:]),MONTH(BDD[[#This Row],[FECHA NAC]]),DAY(BDD[[#This Row],[FECHA NAC]]))</f>
        <v>44751</v>
      </c>
      <c r="AK106" s="243">
        <v>7</v>
      </c>
      <c r="AL106" s="251" t="s">
        <v>311</v>
      </c>
      <c r="AM106" s="251" t="s">
        <v>1538</v>
      </c>
      <c r="AN106" s="251" t="s">
        <v>1551</v>
      </c>
      <c r="AO106" s="245">
        <v>38</v>
      </c>
      <c r="AP106" s="251">
        <f ca="1">INT((TODAY()-BDD[[#This Row],[FECHA NAC]])/365)</f>
        <v>24</v>
      </c>
      <c r="AQ106" s="251">
        <v>0</v>
      </c>
      <c r="AR106" s="251">
        <f ca="1">IF(BDD[[#This Row],[ANTIG]]=0,0,1)</f>
        <v>1</v>
      </c>
      <c r="AS106" s="251"/>
      <c r="AT106" s="251"/>
      <c r="AU106" s="251"/>
      <c r="AV106" s="251"/>
      <c r="AW106" s="251"/>
      <c r="AX106" s="251"/>
      <c r="AY106" s="251"/>
      <c r="AZ106" s="251">
        <f t="shared" ca="1" si="4"/>
        <v>120</v>
      </c>
    </row>
    <row r="107" spans="2:52" ht="15" customHeight="1" x14ac:dyDescent="0.25">
      <c r="B107" s="243">
        <v>215</v>
      </c>
      <c r="C107" s="251" t="s">
        <v>143</v>
      </c>
      <c r="D107" s="252">
        <v>7950</v>
      </c>
      <c r="E107" s="252">
        <f>(BDD[[#This Row],[SUE MENS]]/30)</f>
        <v>265</v>
      </c>
      <c r="F107" s="252">
        <f>BDD[[#This Row],[SUE MENS]]/2</f>
        <v>3975</v>
      </c>
      <c r="G107" s="320">
        <v>40417</v>
      </c>
      <c r="H107" s="243">
        <f ca="1">INT(_xlfn.DAYS(TODAY(),BDD[[#This Row],[FECHA ING.]])/365)</f>
        <v>11</v>
      </c>
      <c r="I107" s="251" t="str">
        <f>VLOOKUP(J107,TABLAS!$B$3:$G$49,2,FALSE)</f>
        <v>AUDITORÍA</v>
      </c>
      <c r="J107" s="198" t="s">
        <v>736</v>
      </c>
      <c r="K107" s="251" t="s">
        <v>778</v>
      </c>
      <c r="L107" s="251" t="s">
        <v>763</v>
      </c>
      <c r="M107" s="251"/>
      <c r="N107" s="244" t="s">
        <v>1867</v>
      </c>
      <c r="O107" s="251" t="str">
        <f>IFERROR(VLOOKUP(BDD[[#This Row],[SUBDPTO]],TABLAS!$B$4:$D$36,3,0)," ")</f>
        <v>MARCO AURELIO URBINO</v>
      </c>
      <c r="P107" s="258">
        <v>43793</v>
      </c>
      <c r="Q107" s="254">
        <v>5956</v>
      </c>
      <c r="R107" s="255" t="s">
        <v>743</v>
      </c>
      <c r="S107" s="251"/>
      <c r="T107" s="251" t="s">
        <v>811</v>
      </c>
      <c r="U107" s="243">
        <f ca="1">VLOOKUP(BDD[[#This Row],[ANTIG]],DIASXANT18[#All],2)</f>
        <v>20</v>
      </c>
      <c r="V107" s="256">
        <f t="shared" si="5"/>
        <v>0.5</v>
      </c>
      <c r="W107" s="243">
        <f ca="1">BDD[[#This Row],[D.VAC.]]*BDD[[#This Row],[% P.V.]]</f>
        <v>10</v>
      </c>
      <c r="X107" s="243">
        <v>30</v>
      </c>
      <c r="Y107" s="257">
        <f ca="1">(365+BDD[[#This Row],[D.PAG.V.]]+BDD[[#This Row],[D.AG.]])/365</f>
        <v>1.1095890410958904</v>
      </c>
      <c r="Z107" s="243">
        <f ca="1">BDD[[#This Row],[SUE DIA]]*BDD[[#This Row],[FACTOR SDI]]</f>
        <v>294.04109589041093</v>
      </c>
      <c r="AA107" s="243">
        <f>BDD[[#This Row],[SUE DIA]]/9</f>
        <v>29.444444444444443</v>
      </c>
      <c r="AB107" s="251">
        <v>32898</v>
      </c>
      <c r="AC107" s="251" t="s">
        <v>944</v>
      </c>
      <c r="AD107" s="251" t="s">
        <v>810</v>
      </c>
      <c r="AE107" s="252">
        <v>3378985211</v>
      </c>
      <c r="AF107" s="251" t="s">
        <v>1164</v>
      </c>
      <c r="AG107" s="251" t="s">
        <v>776</v>
      </c>
      <c r="AH107" s="251" t="s">
        <v>730</v>
      </c>
      <c r="AI107" s="243" t="s">
        <v>151</v>
      </c>
      <c r="AJ107" s="258" cm="1">
        <f t="array" aca="1" ref="AJ107" ca="1">DATE(YEAR(FECH.CONS[FECHA DE CONSULTA:]),MONTH(BDD[[#This Row],[FECHA NAC]]),DAY(BDD[[#This Row],[FECHA NAC]]))</f>
        <v>44586</v>
      </c>
      <c r="AK107" s="243">
        <v>10</v>
      </c>
      <c r="AL107" s="261" t="s">
        <v>314</v>
      </c>
      <c r="AM107" s="251" t="s">
        <v>1537</v>
      </c>
      <c r="AN107" s="251" t="s">
        <v>1551</v>
      </c>
      <c r="AO107" s="245">
        <v>37</v>
      </c>
      <c r="AP107" s="251">
        <f ca="1">INT((TODAY()-BDD[[#This Row],[FECHA NAC]])/365)</f>
        <v>32</v>
      </c>
      <c r="AQ107" s="251">
        <v>1</v>
      </c>
      <c r="AR107" s="251">
        <f ca="1">IF(BDD[[#This Row],[ANTIG]]=0,0,1)</f>
        <v>1</v>
      </c>
      <c r="AS107" s="251"/>
      <c r="AT107" s="251"/>
      <c r="AU107" s="251"/>
      <c r="AV107" s="251"/>
      <c r="AW107" s="251"/>
      <c r="AX107" s="251"/>
      <c r="AY107" s="251"/>
      <c r="AZ107" s="251">
        <f t="shared" ca="1" si="4"/>
        <v>187</v>
      </c>
    </row>
    <row r="108" spans="2:52" ht="15" customHeight="1" x14ac:dyDescent="0.25">
      <c r="B108" s="243">
        <v>216</v>
      </c>
      <c r="C108" s="259" t="s">
        <v>657</v>
      </c>
      <c r="D108" s="252">
        <v>9541</v>
      </c>
      <c r="E108" s="252">
        <f>(BDD[[#This Row],[SUE MENS]]/30)</f>
        <v>318.03333333333336</v>
      </c>
      <c r="F108" s="252">
        <f>BDD[[#This Row],[SUE MENS]]/2</f>
        <v>4770.5</v>
      </c>
      <c r="G108" s="320">
        <v>40428</v>
      </c>
      <c r="H108" s="243">
        <f ca="1">INT(_xlfn.DAYS(TODAY(),BDD[[#This Row],[FECHA ING.]])/365)</f>
        <v>11</v>
      </c>
      <c r="I108" s="251" t="str">
        <f>VLOOKUP(J108,TABLAS!$B$3:$G$49,2,FALSE)</f>
        <v>FINANZAS</v>
      </c>
      <c r="J108" s="198" t="s">
        <v>748</v>
      </c>
      <c r="K108" s="251" t="s">
        <v>778</v>
      </c>
      <c r="L108" s="251" t="s">
        <v>763</v>
      </c>
      <c r="M108" s="251"/>
      <c r="N108" s="253" t="s">
        <v>2111</v>
      </c>
      <c r="O108" s="251" t="str">
        <f>IFERROR(VLOOKUP(BDD[[#This Row],[SUBDPTO]],TABLAS!$B$4:$D$36,3,0)," ")</f>
        <v>MARIANO ALDEBARÁN</v>
      </c>
      <c r="P108" s="258">
        <v>42521</v>
      </c>
      <c r="Q108" s="254">
        <v>5088</v>
      </c>
      <c r="R108" s="255" t="s">
        <v>746</v>
      </c>
      <c r="S108" s="255" t="s">
        <v>735</v>
      </c>
      <c r="T108" s="251" t="s">
        <v>301</v>
      </c>
      <c r="U108" s="243">
        <f ca="1">VLOOKUP(BDD[[#This Row],[ANTIG]],DIASXANT18[#All],2)</f>
        <v>20</v>
      </c>
      <c r="V108" s="256">
        <f t="shared" si="5"/>
        <v>0.5</v>
      </c>
      <c r="W108" s="243">
        <f ca="1">BDD[[#This Row],[D.VAC.]]*BDD[[#This Row],[% P.V.]]</f>
        <v>10</v>
      </c>
      <c r="X108" s="243">
        <v>30</v>
      </c>
      <c r="Y108" s="257">
        <f ca="1">(365+BDD[[#This Row],[D.PAG.V.]]+BDD[[#This Row],[D.AG.]])/365</f>
        <v>1.1095890410958904</v>
      </c>
      <c r="Z108" s="243">
        <f ca="1">BDD[[#This Row],[SUE DIA]]*BDD[[#This Row],[FACTOR SDI]]</f>
        <v>352.88630136986302</v>
      </c>
      <c r="AA108" s="243">
        <f>BDD[[#This Row],[SUE DIA]]/9</f>
        <v>35.337037037037042</v>
      </c>
      <c r="AB108" s="251">
        <v>29953</v>
      </c>
      <c r="AC108" s="251" t="s">
        <v>1036</v>
      </c>
      <c r="AD108" s="251" t="s">
        <v>789</v>
      </c>
      <c r="AE108" s="260">
        <v>7866976862</v>
      </c>
      <c r="AF108" s="251" t="s">
        <v>1492</v>
      </c>
      <c r="AG108" s="251" t="s">
        <v>773</v>
      </c>
      <c r="AH108" s="251" t="s">
        <v>726</v>
      </c>
      <c r="AI108" s="243" t="s">
        <v>151</v>
      </c>
      <c r="AJ108" s="258" cm="1">
        <f t="array" aca="1" ref="AJ108" ca="1">DATE(YEAR(FECH.CONS[FECHA DE CONSULTA:]),MONTH(BDD[[#This Row],[FECHA NAC]]),DAY(BDD[[#This Row],[FECHA NAC]]))</f>
        <v>44563</v>
      </c>
      <c r="AK108" s="243"/>
      <c r="AL108" s="261" t="s">
        <v>311</v>
      </c>
      <c r="AM108" s="251" t="s">
        <v>1535</v>
      </c>
      <c r="AN108" s="251" t="s">
        <v>1551</v>
      </c>
      <c r="AO108" s="245">
        <v>91</v>
      </c>
      <c r="AP108" s="251">
        <f ca="1">INT((TODAY()-BDD[[#This Row],[FECHA NAC]])/365)</f>
        <v>40</v>
      </c>
      <c r="AQ108" s="251">
        <v>2</v>
      </c>
      <c r="AR108" s="251">
        <f ca="1">IF(BDD[[#This Row],[ANTIG]]=0,0,1)</f>
        <v>1</v>
      </c>
      <c r="AS108" s="251"/>
      <c r="AT108" s="251"/>
      <c r="AU108" s="251"/>
      <c r="AV108" s="251"/>
      <c r="AW108" s="251"/>
      <c r="AX108" s="251"/>
      <c r="AY108" s="251"/>
      <c r="AZ108" s="251">
        <f t="shared" ca="1" si="4"/>
        <v>424</v>
      </c>
    </row>
    <row r="109" spans="2:52" ht="15" customHeight="1" x14ac:dyDescent="0.25">
      <c r="B109" s="243">
        <v>217</v>
      </c>
      <c r="C109" s="259" t="s">
        <v>590</v>
      </c>
      <c r="D109" s="244">
        <v>6778</v>
      </c>
      <c r="E109" s="252">
        <f>(BDD[[#This Row],[SUE MENS]]/30)</f>
        <v>225.93333333333334</v>
      </c>
      <c r="F109" s="252">
        <f>BDD[[#This Row],[SUE MENS]]/2</f>
        <v>3389</v>
      </c>
      <c r="G109" s="320">
        <v>40430</v>
      </c>
      <c r="H109" s="243">
        <f ca="1">INT(_xlfn.DAYS(TODAY(),BDD[[#This Row],[FECHA ING.]])/365)</f>
        <v>11</v>
      </c>
      <c r="I109" s="251" t="str">
        <f>VLOOKUP(J109,TABLAS!$B$3:$G$49,2,FALSE)</f>
        <v>DIV ARQUIT</v>
      </c>
      <c r="J109" s="198" t="s">
        <v>740</v>
      </c>
      <c r="K109" s="251" t="s">
        <v>778</v>
      </c>
      <c r="L109" s="251" t="s">
        <v>763</v>
      </c>
      <c r="M109" s="251"/>
      <c r="N109" s="253" t="s">
        <v>1906</v>
      </c>
      <c r="O109" s="251" t="str">
        <f>IFERROR(VLOOKUP(BDD[[#This Row],[SUBDPTO]],TABLAS!$B$4:$D$36,3,0)," ")</f>
        <v>MÉRIDA ISELA MEDINA SALINAS</v>
      </c>
      <c r="P109" s="258"/>
      <c r="Q109" s="264"/>
      <c r="R109" s="244"/>
      <c r="S109" s="251"/>
      <c r="T109" s="251" t="s">
        <v>811</v>
      </c>
      <c r="U109" s="243">
        <f ca="1">VLOOKUP(BDD[[#This Row],[ANTIG]],DIASXANT18[#All],2)</f>
        <v>20</v>
      </c>
      <c r="V109" s="266">
        <v>0.25</v>
      </c>
      <c r="W109" s="243">
        <f ca="1">BDD[[#This Row],[D.VAC.]]*BDD[[#This Row],[% P.V.]]</f>
        <v>5</v>
      </c>
      <c r="X109" s="265">
        <v>15</v>
      </c>
      <c r="Y109" s="257">
        <f ca="1">(365+BDD[[#This Row],[D.PAG.V.]]+BDD[[#This Row],[D.AG.]])/365</f>
        <v>1.0547945205479452</v>
      </c>
      <c r="Z109" s="243">
        <f ca="1">BDD[[#This Row],[SUE DIA]]*BDD[[#This Row],[FACTOR SDI]]</f>
        <v>238.31324200913241</v>
      </c>
      <c r="AA109" s="243">
        <f>BDD[[#This Row],[SUE DIA]]/9</f>
        <v>25.103703703703705</v>
      </c>
      <c r="AB109" s="251">
        <v>29359</v>
      </c>
      <c r="AC109" s="251" t="s">
        <v>1052</v>
      </c>
      <c r="AD109" s="251" t="s">
        <v>789</v>
      </c>
      <c r="AE109" s="260">
        <v>4077030292</v>
      </c>
      <c r="AF109" s="251" t="s">
        <v>1450</v>
      </c>
      <c r="AG109" s="251" t="s">
        <v>776</v>
      </c>
      <c r="AH109" s="251" t="s">
        <v>730</v>
      </c>
      <c r="AI109" s="243" t="s">
        <v>151</v>
      </c>
      <c r="AJ109" s="258" cm="1">
        <f t="array" aca="1" ref="AJ109" ca="1">DATE(YEAR(FECH.CONS[FECHA DE CONSULTA:]),MONTH(BDD[[#This Row],[FECHA NAC]]),DAY(BDD[[#This Row],[FECHA NAC]]))</f>
        <v>44699</v>
      </c>
      <c r="AK109" s="243">
        <v>8</v>
      </c>
      <c r="AL109" s="261" t="s">
        <v>317</v>
      </c>
      <c r="AM109" s="251" t="s">
        <v>1543</v>
      </c>
      <c r="AN109" s="251" t="s">
        <v>1551</v>
      </c>
      <c r="AO109" s="245">
        <v>72</v>
      </c>
      <c r="AP109" s="251">
        <f ca="1">INT((TODAY()-BDD[[#This Row],[FECHA NAC]])/365)</f>
        <v>42</v>
      </c>
      <c r="AQ109" s="251">
        <v>2</v>
      </c>
      <c r="AR109" s="251">
        <f ca="1">IF(BDD[[#This Row],[ANTIG]]=0,0,1)</f>
        <v>1</v>
      </c>
      <c r="AS109" s="251"/>
      <c r="AT109" s="251"/>
      <c r="AU109" s="251"/>
      <c r="AV109" s="251"/>
      <c r="AW109" s="251"/>
      <c r="AX109" s="251"/>
      <c r="AY109" s="251"/>
      <c r="AZ109" s="251">
        <f t="shared" ca="1" si="4"/>
        <v>146</v>
      </c>
    </row>
    <row r="110" spans="2:52" ht="15" customHeight="1" x14ac:dyDescent="0.25">
      <c r="B110" s="243">
        <v>220</v>
      </c>
      <c r="C110" s="251" t="s">
        <v>182</v>
      </c>
      <c r="D110" s="252">
        <v>9541</v>
      </c>
      <c r="E110" s="252">
        <f>(BDD[[#This Row],[SUE MENS]]/30)</f>
        <v>318.03333333333336</v>
      </c>
      <c r="F110" s="252">
        <f>BDD[[#This Row],[SUE MENS]]/2</f>
        <v>4770.5</v>
      </c>
      <c r="G110" s="320">
        <v>40433</v>
      </c>
      <c r="H110" s="243">
        <f ca="1">INT(_xlfn.DAYS(TODAY(),BDD[[#This Row],[FECHA ING.]])/365)</f>
        <v>11</v>
      </c>
      <c r="I110" s="251" t="str">
        <f>VLOOKUP(J110,TABLAS!$B$3:$G$49,2,FALSE)</f>
        <v>CPTAL HUMANO</v>
      </c>
      <c r="J110" s="244" t="s">
        <v>767</v>
      </c>
      <c r="K110" s="251" t="s">
        <v>778</v>
      </c>
      <c r="L110" s="251" t="s">
        <v>763</v>
      </c>
      <c r="M110" s="251"/>
      <c r="N110" s="244" t="s">
        <v>1943</v>
      </c>
      <c r="O110" s="251" t="str">
        <f>IFERROR(VLOOKUP(BDD[[#This Row],[SUBDPTO]],TABLAS!$B$4:$D$36,3,0)," ")</f>
        <v>EMMA DARIELA GARCÍA LORCA</v>
      </c>
      <c r="P110" s="258">
        <f>BDD[[#This Row],[FECHA ING.]]+1000</f>
        <v>41433</v>
      </c>
      <c r="Q110" s="254">
        <v>6678</v>
      </c>
      <c r="R110" s="251" t="s">
        <v>853</v>
      </c>
      <c r="S110" s="251"/>
      <c r="T110" s="251" t="s">
        <v>811</v>
      </c>
      <c r="U110" s="243">
        <f ca="1">VLOOKUP(BDD[[#This Row],[ANTIG]],DIASXANT18[#All],2)</f>
        <v>20</v>
      </c>
      <c r="V110" s="256">
        <f t="shared" ref="V110:V129" si="6">100/200</f>
        <v>0.5</v>
      </c>
      <c r="W110" s="243">
        <f ca="1">BDD[[#This Row],[D.VAC.]]*BDD[[#This Row],[% P.V.]]</f>
        <v>10</v>
      </c>
      <c r="X110" s="243">
        <v>30</v>
      </c>
      <c r="Y110" s="257">
        <f ca="1">(365+BDD[[#This Row],[D.PAG.V.]]+BDD[[#This Row],[D.AG.]])/365</f>
        <v>1.1095890410958904</v>
      </c>
      <c r="Z110" s="243">
        <f ca="1">BDD[[#This Row],[SUE DIA]]*BDD[[#This Row],[FACTOR SDI]]</f>
        <v>352.88630136986302</v>
      </c>
      <c r="AA110" s="243">
        <f>BDD[[#This Row],[SUE DIA]]/9</f>
        <v>35.337037037037042</v>
      </c>
      <c r="AB110" s="251">
        <v>30424</v>
      </c>
      <c r="AC110" s="251" t="s">
        <v>969</v>
      </c>
      <c r="AD110" s="251" t="s">
        <v>787</v>
      </c>
      <c r="AE110" s="252">
        <v>8713429668</v>
      </c>
      <c r="AF110" s="251" t="s">
        <v>1198</v>
      </c>
      <c r="AG110" s="251" t="s">
        <v>776</v>
      </c>
      <c r="AH110" s="251" t="s">
        <v>730</v>
      </c>
      <c r="AI110" s="243" t="s">
        <v>151</v>
      </c>
      <c r="AJ110" s="258" cm="1">
        <f t="array" aca="1" ref="AJ110" ca="1">DATE(YEAR(FECH.CONS[FECHA DE CONSULTA:]),MONTH(BDD[[#This Row],[FECHA NAC]]),DAY(BDD[[#This Row],[FECHA NAC]]))</f>
        <v>44669</v>
      </c>
      <c r="AK110" s="243">
        <v>10</v>
      </c>
      <c r="AL110" s="261" t="s">
        <v>311</v>
      </c>
      <c r="AM110" s="251" t="s">
        <v>1535</v>
      </c>
      <c r="AN110" s="251" t="s">
        <v>1551</v>
      </c>
      <c r="AO110" s="245">
        <v>96</v>
      </c>
      <c r="AP110" s="251">
        <f ca="1">INT((TODAY()-BDD[[#This Row],[FECHA NAC]])/365)</f>
        <v>39</v>
      </c>
      <c r="AQ110" s="251">
        <v>3</v>
      </c>
      <c r="AR110" s="251">
        <f ca="1">IF(BDD[[#This Row],[ANTIG]]=0,0,1)</f>
        <v>1</v>
      </c>
      <c r="AS110" s="251"/>
      <c r="AT110" s="251"/>
      <c r="AU110" s="251"/>
      <c r="AV110" s="251"/>
      <c r="AW110" s="251"/>
      <c r="AX110" s="251"/>
      <c r="AY110" s="251"/>
      <c r="AZ110" s="251">
        <f t="shared" ca="1" si="4"/>
        <v>32</v>
      </c>
    </row>
    <row r="111" spans="2:52" ht="15" customHeight="1" x14ac:dyDescent="0.25">
      <c r="B111" s="243">
        <v>221</v>
      </c>
      <c r="C111" s="259" t="s">
        <v>469</v>
      </c>
      <c r="D111" s="252">
        <v>9450</v>
      </c>
      <c r="E111" s="252">
        <f>(BDD[[#This Row],[SUE MENS]]/30)</f>
        <v>315</v>
      </c>
      <c r="F111" s="252">
        <f>BDD[[#This Row],[SUE MENS]]/2</f>
        <v>4725</v>
      </c>
      <c r="G111" s="320">
        <v>40436</v>
      </c>
      <c r="H111" s="243">
        <f ca="1">INT(_xlfn.DAYS(TODAY(),BDD[[#This Row],[FECHA ING.]])/365)</f>
        <v>11</v>
      </c>
      <c r="I111" s="251" t="str">
        <f>VLOOKUP(J111,TABLAS!$B$3:$G$49,2,FALSE)</f>
        <v>DIV INGENRIA</v>
      </c>
      <c r="J111" s="198" t="s">
        <v>743</v>
      </c>
      <c r="K111" s="251" t="s">
        <v>778</v>
      </c>
      <c r="L111" s="251" t="s">
        <v>763</v>
      </c>
      <c r="M111" s="251"/>
      <c r="N111" s="253" t="s">
        <v>1918</v>
      </c>
      <c r="O111" s="251" t="str">
        <f>IFERROR(VLOOKUP(BDD[[#This Row],[SUBDPTO]],TABLAS!$B$4:$D$36,3,0)," ")</f>
        <v>DIEGO HERRERA GIRÓN</v>
      </c>
      <c r="P111" s="258">
        <v>43683</v>
      </c>
      <c r="Q111" s="254">
        <v>5422.4000000000005</v>
      </c>
      <c r="R111" s="255" t="s">
        <v>759</v>
      </c>
      <c r="S111" s="251"/>
      <c r="T111" s="251" t="s">
        <v>811</v>
      </c>
      <c r="U111" s="243">
        <f ca="1">VLOOKUP(BDD[[#This Row],[ANTIG]],DIASXANT18[#All],2)</f>
        <v>20</v>
      </c>
      <c r="V111" s="256">
        <f t="shared" si="6"/>
        <v>0.5</v>
      </c>
      <c r="W111" s="243">
        <f ca="1">BDD[[#This Row],[D.VAC.]]*BDD[[#This Row],[% P.V.]]</f>
        <v>10</v>
      </c>
      <c r="X111" s="243">
        <v>30</v>
      </c>
      <c r="Y111" s="257">
        <f ca="1">(365+BDD[[#This Row],[D.PAG.V.]]+BDD[[#This Row],[D.AG.]])/365</f>
        <v>1.1095890410958904</v>
      </c>
      <c r="Z111" s="243">
        <f ca="1">BDD[[#This Row],[SUE DIA]]*BDD[[#This Row],[FACTOR SDI]]</f>
        <v>349.52054794520546</v>
      </c>
      <c r="AA111" s="243">
        <f>BDD[[#This Row],[SUE DIA]]/9</f>
        <v>35</v>
      </c>
      <c r="AB111" s="251">
        <v>31549</v>
      </c>
      <c r="AC111" s="251" t="s">
        <v>1043</v>
      </c>
      <c r="AD111" s="251" t="s">
        <v>787</v>
      </c>
      <c r="AE111" s="260">
        <v>7245879865</v>
      </c>
      <c r="AF111" s="251" t="s">
        <v>1366</v>
      </c>
      <c r="AG111" s="251" t="s">
        <v>774</v>
      </c>
      <c r="AH111" s="251" t="s">
        <v>1555</v>
      </c>
      <c r="AI111" s="243" t="s">
        <v>152</v>
      </c>
      <c r="AJ111" s="258" cm="1">
        <f t="array" aca="1" ref="AJ111" ca="1">DATE(YEAR(FECH.CONS[FECHA DE CONSULTA:]),MONTH(BDD[[#This Row],[FECHA NAC]]),DAY(BDD[[#This Row],[FECHA NAC]]))</f>
        <v>44698</v>
      </c>
      <c r="AK111" s="243"/>
      <c r="AL111" s="261" t="s">
        <v>311</v>
      </c>
      <c r="AM111" s="251" t="s">
        <v>1538</v>
      </c>
      <c r="AN111" s="251" t="s">
        <v>1551</v>
      </c>
      <c r="AO111" s="245">
        <v>38</v>
      </c>
      <c r="AP111" s="251">
        <f ca="1">INT((TODAY()-BDD[[#This Row],[FECHA NAC]])/365)</f>
        <v>36</v>
      </c>
      <c r="AQ111" s="251">
        <v>1</v>
      </c>
      <c r="AR111" s="251">
        <f ca="1">IF(BDD[[#This Row],[ANTIG]]=0,0,1)</f>
        <v>1</v>
      </c>
      <c r="AS111" s="251"/>
      <c r="AT111" s="251"/>
      <c r="AU111" s="251"/>
      <c r="AV111" s="251"/>
      <c r="AW111" s="251"/>
      <c r="AX111" s="251"/>
      <c r="AY111" s="251"/>
      <c r="AZ111" s="251">
        <f t="shared" ca="1" si="4"/>
        <v>502</v>
      </c>
    </row>
    <row r="112" spans="2:52" ht="15" customHeight="1" x14ac:dyDescent="0.25">
      <c r="B112" s="243">
        <v>222</v>
      </c>
      <c r="C112" s="259" t="s">
        <v>720</v>
      </c>
      <c r="D112" s="252">
        <v>10860</v>
      </c>
      <c r="E112" s="252">
        <f>(BDD[[#This Row],[SUE MENS]]/30)</f>
        <v>362</v>
      </c>
      <c r="F112" s="252">
        <f>BDD[[#This Row],[SUE MENS]]/2</f>
        <v>5430</v>
      </c>
      <c r="G112" s="320">
        <v>40454</v>
      </c>
      <c r="H112" s="243">
        <f ca="1">INT(_xlfn.DAYS(TODAY(),BDD[[#This Row],[FECHA ING.]])/365)</f>
        <v>11</v>
      </c>
      <c r="I112" s="251" t="str">
        <f>VLOOKUP(J112,TABLAS!$B$3:$G$49,2,FALSE)</f>
        <v>DIV ARQUIT</v>
      </c>
      <c r="J112" s="198" t="s">
        <v>741</v>
      </c>
      <c r="K112" s="251" t="s">
        <v>778</v>
      </c>
      <c r="L112" s="251" t="s">
        <v>763</v>
      </c>
      <c r="M112" s="251"/>
      <c r="N112" s="244" t="s">
        <v>2222</v>
      </c>
      <c r="O112" s="251" t="str">
        <f>IFERROR(VLOOKUP(BDD[[#This Row],[SUBDPTO]],TABLAS!$B$4:$D$36,3,0)," ")</f>
        <v>MÉRIDA ISELA MEDINA SALINAS</v>
      </c>
      <c r="P112" s="258">
        <v>40801</v>
      </c>
      <c r="Q112" s="254">
        <v>5422.4000000000005</v>
      </c>
      <c r="R112" s="255" t="s">
        <v>759</v>
      </c>
      <c r="S112" s="255" t="s">
        <v>741</v>
      </c>
      <c r="T112" s="251" t="s">
        <v>811</v>
      </c>
      <c r="U112" s="243">
        <f ca="1">VLOOKUP(BDD[[#This Row],[ANTIG]],DIASXANT18[#All],2)</f>
        <v>20</v>
      </c>
      <c r="V112" s="256">
        <f t="shared" si="6"/>
        <v>0.5</v>
      </c>
      <c r="W112" s="243">
        <f ca="1">BDD[[#This Row],[D.VAC.]]*BDD[[#This Row],[% P.V.]]</f>
        <v>10</v>
      </c>
      <c r="X112" s="243">
        <v>30</v>
      </c>
      <c r="Y112" s="257">
        <f ca="1">(365+BDD[[#This Row],[D.PAG.V.]]+BDD[[#This Row],[D.AG.]])/365</f>
        <v>1.1095890410958904</v>
      </c>
      <c r="Z112" s="243">
        <f ca="1">BDD[[#This Row],[SUE DIA]]*BDD[[#This Row],[FACTOR SDI]]</f>
        <v>401.67123287671234</v>
      </c>
      <c r="AA112" s="243">
        <f>BDD[[#This Row],[SUE DIA]]/9</f>
        <v>40.222222222222221</v>
      </c>
      <c r="AB112" s="251">
        <v>26918</v>
      </c>
      <c r="AC112" s="251" t="s">
        <v>1069</v>
      </c>
      <c r="AD112" s="251" t="s">
        <v>786</v>
      </c>
      <c r="AE112" s="260">
        <v>8209719670</v>
      </c>
      <c r="AF112" s="251" t="s">
        <v>1532</v>
      </c>
      <c r="AG112" s="251" t="s">
        <v>776</v>
      </c>
      <c r="AH112" s="251" t="s">
        <v>727</v>
      </c>
      <c r="AI112" s="243" t="s">
        <v>151</v>
      </c>
      <c r="AJ112" s="258" cm="1">
        <f t="array" aca="1" ref="AJ112" ca="1">DATE(YEAR(FECH.CONS[FECHA DE CONSULTA:]),MONTH(BDD[[#This Row],[FECHA NAC]]),DAY(BDD[[#This Row],[FECHA NAC]]))</f>
        <v>44815</v>
      </c>
      <c r="AK112" s="243"/>
      <c r="AL112" s="261" t="s">
        <v>311</v>
      </c>
      <c r="AM112" s="251" t="s">
        <v>1542</v>
      </c>
      <c r="AN112" s="251" t="s">
        <v>162</v>
      </c>
      <c r="AO112" s="245">
        <v>63</v>
      </c>
      <c r="AP112" s="251">
        <f ca="1">INT((TODAY()-BDD[[#This Row],[FECHA NAC]])/365)</f>
        <v>48</v>
      </c>
      <c r="AQ112" s="251">
        <v>0</v>
      </c>
      <c r="AR112" s="251">
        <f ca="1">IF(BDD[[#This Row],[ANTIG]]=0,0,1)</f>
        <v>1</v>
      </c>
      <c r="AS112" s="251"/>
      <c r="AT112" s="251"/>
      <c r="AU112" s="251"/>
      <c r="AV112" s="251"/>
      <c r="AW112" s="251"/>
      <c r="AX112" s="251"/>
      <c r="AY112" s="251"/>
      <c r="AZ112" s="251">
        <f t="shared" ca="1" si="4"/>
        <v>303</v>
      </c>
    </row>
    <row r="113" spans="2:52" ht="15" customHeight="1" x14ac:dyDescent="0.25">
      <c r="B113" s="243">
        <v>223</v>
      </c>
      <c r="C113" s="259" t="s">
        <v>470</v>
      </c>
      <c r="D113" s="252">
        <v>9450</v>
      </c>
      <c r="E113" s="252">
        <f>(BDD[[#This Row],[SUE MENS]]/30)</f>
        <v>315</v>
      </c>
      <c r="F113" s="252">
        <f>BDD[[#This Row],[SUE MENS]]/2</f>
        <v>4725</v>
      </c>
      <c r="G113" s="320">
        <v>40470</v>
      </c>
      <c r="H113" s="243">
        <f ca="1">INT(_xlfn.DAYS(TODAY(),BDD[[#This Row],[FECHA ING.]])/365)</f>
        <v>11</v>
      </c>
      <c r="I113" s="251" t="str">
        <f>VLOOKUP(J113,TABLAS!$B$3:$G$49,2,FALSE)</f>
        <v>DIV INGENRIA</v>
      </c>
      <c r="J113" s="198" t="s">
        <v>743</v>
      </c>
      <c r="K113" s="251" t="s">
        <v>778</v>
      </c>
      <c r="L113" s="251" t="s">
        <v>763</v>
      </c>
      <c r="M113" s="251"/>
      <c r="N113" s="253" t="s">
        <v>1957</v>
      </c>
      <c r="O113" s="251" t="str">
        <f>IFERROR(VLOOKUP(BDD[[#This Row],[SUBDPTO]],TABLAS!$B$4:$D$36,3,0)," ")</f>
        <v>DIEGO HERRERA GIRÓN</v>
      </c>
      <c r="P113" s="258">
        <v>43660</v>
      </c>
      <c r="Q113" s="254">
        <v>6580</v>
      </c>
      <c r="R113" s="255" t="s">
        <v>738</v>
      </c>
      <c r="S113" s="251"/>
      <c r="T113" s="251" t="s">
        <v>811</v>
      </c>
      <c r="U113" s="243">
        <f ca="1">VLOOKUP(BDD[[#This Row],[ANTIG]],DIASXANT18[#All],2)</f>
        <v>20</v>
      </c>
      <c r="V113" s="256">
        <f t="shared" si="6"/>
        <v>0.5</v>
      </c>
      <c r="W113" s="243">
        <f ca="1">BDD[[#This Row],[D.VAC.]]*BDD[[#This Row],[% P.V.]]</f>
        <v>10</v>
      </c>
      <c r="X113" s="243">
        <v>30</v>
      </c>
      <c r="Y113" s="257">
        <f ca="1">(365+BDD[[#This Row],[D.PAG.V.]]+BDD[[#This Row],[D.AG.]])/365</f>
        <v>1.1095890410958904</v>
      </c>
      <c r="Z113" s="243">
        <f ca="1">BDD[[#This Row],[SUE DIA]]*BDD[[#This Row],[FACTOR SDI]]</f>
        <v>349.52054794520546</v>
      </c>
      <c r="AA113" s="243">
        <f>BDD[[#This Row],[SUE DIA]]/9</f>
        <v>35</v>
      </c>
      <c r="AB113" s="251">
        <v>29461</v>
      </c>
      <c r="AC113" s="251" t="s">
        <v>1044</v>
      </c>
      <c r="AD113" s="251" t="s">
        <v>793</v>
      </c>
      <c r="AE113" s="260">
        <v>3312457896</v>
      </c>
      <c r="AF113" s="251" t="s">
        <v>1367</v>
      </c>
      <c r="AG113" s="251" t="s">
        <v>773</v>
      </c>
      <c r="AH113" s="251" t="s">
        <v>730</v>
      </c>
      <c r="AI113" s="243" t="s">
        <v>151</v>
      </c>
      <c r="AJ113" s="258" cm="1">
        <f t="array" aca="1" ref="AJ113" ca="1">DATE(YEAR(FECH.CONS[FECHA DE CONSULTA:]),MONTH(BDD[[#This Row],[FECHA NAC]]),DAY(BDD[[#This Row],[FECHA NAC]]))</f>
        <v>44801</v>
      </c>
      <c r="AK113" s="243">
        <v>10</v>
      </c>
      <c r="AL113" s="261" t="s">
        <v>311</v>
      </c>
      <c r="AM113" s="251" t="s">
        <v>1538</v>
      </c>
      <c r="AN113" s="251" t="s">
        <v>1551</v>
      </c>
      <c r="AO113" s="245">
        <v>82</v>
      </c>
      <c r="AP113" s="251">
        <f ca="1">INT((TODAY()-BDD[[#This Row],[FECHA NAC]])/365)</f>
        <v>41</v>
      </c>
      <c r="AQ113" s="251">
        <v>1</v>
      </c>
      <c r="AR113" s="251">
        <f ca="1">IF(BDD[[#This Row],[ANTIG]]=0,0,1)</f>
        <v>1</v>
      </c>
      <c r="AS113" s="251"/>
      <c r="AT113" s="251"/>
      <c r="AU113" s="251"/>
      <c r="AV113" s="251"/>
      <c r="AW113" s="251"/>
      <c r="AX113" s="251"/>
      <c r="AY113" s="251"/>
      <c r="AZ113" s="251">
        <f t="shared" ca="1" si="4"/>
        <v>31</v>
      </c>
    </row>
    <row r="114" spans="2:52" ht="15" customHeight="1" x14ac:dyDescent="0.25">
      <c r="B114" s="243">
        <v>225</v>
      </c>
      <c r="C114" s="251" t="s">
        <v>240</v>
      </c>
      <c r="D114" s="252">
        <v>9450</v>
      </c>
      <c r="E114" s="252">
        <f>(BDD[[#This Row],[SUE MENS]]/30)</f>
        <v>315</v>
      </c>
      <c r="F114" s="252">
        <f>BDD[[#This Row],[SUE MENS]]/2</f>
        <v>4725</v>
      </c>
      <c r="G114" s="320">
        <v>40544</v>
      </c>
      <c r="H114" s="243">
        <f ca="1">INT(_xlfn.DAYS(TODAY(),BDD[[#This Row],[FECHA ING.]])/365)</f>
        <v>11</v>
      </c>
      <c r="I114" s="251" t="str">
        <f>VLOOKUP(J114,TABLAS!$B$3:$G$49,2,FALSE)</f>
        <v>DIV INGENRIA</v>
      </c>
      <c r="J114" s="198" t="s">
        <v>743</v>
      </c>
      <c r="K114" s="251" t="s">
        <v>778</v>
      </c>
      <c r="L114" s="251" t="s">
        <v>763</v>
      </c>
      <c r="M114" s="251"/>
      <c r="N114" s="253" t="s">
        <v>1917</v>
      </c>
      <c r="O114" s="251" t="str">
        <f>IFERROR(VLOOKUP(BDD[[#This Row],[SUBDPTO]],TABLAS!$B$4:$D$36,3,0)," ")</f>
        <v>DIEGO HERRERA GIRÓN</v>
      </c>
      <c r="P114" s="258"/>
      <c r="Q114" s="264"/>
      <c r="R114" s="244"/>
      <c r="S114" s="251"/>
      <c r="T114" s="251" t="s">
        <v>811</v>
      </c>
      <c r="U114" s="243">
        <f ca="1">VLOOKUP(BDD[[#This Row],[ANTIG]],DIASXANT18[#All],2)</f>
        <v>20</v>
      </c>
      <c r="V114" s="256">
        <f t="shared" si="6"/>
        <v>0.5</v>
      </c>
      <c r="W114" s="243">
        <f ca="1">BDD[[#This Row],[D.VAC.]]*BDD[[#This Row],[% P.V.]]</f>
        <v>10</v>
      </c>
      <c r="X114" s="243">
        <v>30</v>
      </c>
      <c r="Y114" s="257">
        <f ca="1">(365+BDD[[#This Row],[D.PAG.V.]]+BDD[[#This Row],[D.AG.]])/365</f>
        <v>1.1095890410958904</v>
      </c>
      <c r="Z114" s="243">
        <f ca="1">BDD[[#This Row],[SUE DIA]]*BDD[[#This Row],[FACTOR SDI]]</f>
        <v>349.52054794520546</v>
      </c>
      <c r="AA114" s="243">
        <f>BDD[[#This Row],[SUE DIA]]/9</f>
        <v>35</v>
      </c>
      <c r="AB114" s="251">
        <v>30208</v>
      </c>
      <c r="AC114" s="251" t="s">
        <v>927</v>
      </c>
      <c r="AD114" s="251" t="s">
        <v>809</v>
      </c>
      <c r="AE114" s="252">
        <v>8255937758</v>
      </c>
      <c r="AF114" s="251" t="s">
        <v>1267</v>
      </c>
      <c r="AG114" s="251" t="s">
        <v>773</v>
      </c>
      <c r="AH114" s="251" t="s">
        <v>730</v>
      </c>
      <c r="AI114" s="243" t="s">
        <v>151</v>
      </c>
      <c r="AJ114" s="258" cm="1">
        <f t="array" aca="1" ref="AJ114" ca="1">DATE(YEAR(FECH.CONS[FECHA DE CONSULTA:]),MONTH(BDD[[#This Row],[FECHA NAC]]),DAY(BDD[[#This Row],[FECHA NAC]]))</f>
        <v>44818</v>
      </c>
      <c r="AK114" s="243">
        <v>9</v>
      </c>
      <c r="AL114" s="261" t="s">
        <v>311</v>
      </c>
      <c r="AM114" s="251" t="s">
        <v>1538</v>
      </c>
      <c r="AN114" s="251" t="s">
        <v>1551</v>
      </c>
      <c r="AO114" s="245">
        <v>40</v>
      </c>
      <c r="AP114" s="251">
        <f ca="1">INT((TODAY()-BDD[[#This Row],[FECHA NAC]])/365)</f>
        <v>39</v>
      </c>
      <c r="AQ114" s="251">
        <v>0</v>
      </c>
      <c r="AR114" s="251">
        <f ca="1">IF(BDD[[#This Row],[ANTIG]]=0,0,1)</f>
        <v>1</v>
      </c>
      <c r="AS114" s="251"/>
      <c r="AT114" s="251"/>
      <c r="AU114" s="251"/>
      <c r="AV114" s="251"/>
      <c r="AW114" s="251"/>
      <c r="AX114" s="251"/>
      <c r="AY114" s="251"/>
      <c r="AZ114" s="251">
        <f t="shared" ca="1" si="4"/>
        <v>739</v>
      </c>
    </row>
    <row r="115" spans="2:52" ht="15" customHeight="1" x14ac:dyDescent="0.25">
      <c r="B115" s="243">
        <v>227</v>
      </c>
      <c r="C115" s="259" t="s">
        <v>648</v>
      </c>
      <c r="D115" s="252">
        <v>10860</v>
      </c>
      <c r="E115" s="252">
        <f>(BDD[[#This Row],[SUE MENS]]/30)</f>
        <v>362</v>
      </c>
      <c r="F115" s="252">
        <f>BDD[[#This Row],[SUE MENS]]/2</f>
        <v>5430</v>
      </c>
      <c r="G115" s="320">
        <v>40604</v>
      </c>
      <c r="H115" s="243">
        <f ca="1">INT(_xlfn.DAYS(TODAY(),BDD[[#This Row],[FECHA ING.]])/365)</f>
        <v>11</v>
      </c>
      <c r="I115" s="251" t="str">
        <f>VLOOKUP(J115,TABLAS!$B$3:$G$49,2,FALSE)</f>
        <v>CONTABILIDAD</v>
      </c>
      <c r="J115" s="198" t="s">
        <v>737</v>
      </c>
      <c r="K115" s="251" t="s">
        <v>778</v>
      </c>
      <c r="L115" s="251" t="s">
        <v>763</v>
      </c>
      <c r="M115" s="251"/>
      <c r="N115" s="244" t="s">
        <v>1809</v>
      </c>
      <c r="O115" s="251" t="str">
        <f>IFERROR(VLOOKUP(BDD[[#This Row],[SUBDPTO]],TABLAS!$B$4:$D$36,3,0)," ")</f>
        <v>IRIE DALÍ ANTARES CORTÉS</v>
      </c>
      <c r="P115" s="258">
        <v>41797</v>
      </c>
      <c r="Q115" s="254">
        <v>5956</v>
      </c>
      <c r="R115" s="255" t="s">
        <v>743</v>
      </c>
      <c r="S115" s="255" t="s">
        <v>743</v>
      </c>
      <c r="T115" s="251" t="s">
        <v>301</v>
      </c>
      <c r="U115" s="243">
        <f ca="1">VLOOKUP(BDD[[#This Row],[ANTIG]],DIASXANT18[#All],2)</f>
        <v>20</v>
      </c>
      <c r="V115" s="256">
        <f t="shared" si="6"/>
        <v>0.5</v>
      </c>
      <c r="W115" s="243">
        <f ca="1">BDD[[#This Row],[D.VAC.]]*BDD[[#This Row],[% P.V.]]</f>
        <v>10</v>
      </c>
      <c r="X115" s="243">
        <v>30</v>
      </c>
      <c r="Y115" s="257">
        <f ca="1">(365+BDD[[#This Row],[D.PAG.V.]]+BDD[[#This Row],[D.AG.]])/365</f>
        <v>1.1095890410958904</v>
      </c>
      <c r="Z115" s="243">
        <f ca="1">BDD[[#This Row],[SUE DIA]]*BDD[[#This Row],[FACTOR SDI]]</f>
        <v>401.67123287671234</v>
      </c>
      <c r="AA115" s="243">
        <f>BDD[[#This Row],[SUE DIA]]/9</f>
        <v>40.222222222222221</v>
      </c>
      <c r="AB115" s="251">
        <v>35853</v>
      </c>
      <c r="AC115" s="251" t="s">
        <v>1062</v>
      </c>
      <c r="AD115" s="251" t="s">
        <v>809</v>
      </c>
      <c r="AE115" s="260">
        <v>8196204370</v>
      </c>
      <c r="AF115" s="251" t="s">
        <v>1488</v>
      </c>
      <c r="AG115" s="251" t="s">
        <v>776</v>
      </c>
      <c r="AH115" s="251" t="s">
        <v>1555</v>
      </c>
      <c r="AI115" s="243" t="s">
        <v>153</v>
      </c>
      <c r="AJ115" s="258" cm="1">
        <f t="array" aca="1" ref="AJ115" ca="1">DATE(YEAR(FECH.CONS[FECHA DE CONSULTA:]),MONTH(BDD[[#This Row],[FECHA NAC]]),DAY(BDD[[#This Row],[FECHA NAC]]))</f>
        <v>44619</v>
      </c>
      <c r="AK115" s="243"/>
      <c r="AL115" s="261" t="s">
        <v>311</v>
      </c>
      <c r="AM115" s="251" t="s">
        <v>1544</v>
      </c>
      <c r="AN115" s="251" t="s">
        <v>1551</v>
      </c>
      <c r="AO115" s="245">
        <v>86</v>
      </c>
      <c r="AP115" s="251">
        <f ca="1">INT((TODAY()-BDD[[#This Row],[FECHA NAC]])/365)</f>
        <v>24</v>
      </c>
      <c r="AQ115" s="251">
        <v>3</v>
      </c>
      <c r="AR115" s="251">
        <f ca="1">IF(BDD[[#This Row],[ANTIG]]=0,0,1)</f>
        <v>1</v>
      </c>
      <c r="AS115" s="251"/>
      <c r="AT115" s="251"/>
      <c r="AU115" s="251"/>
      <c r="AV115" s="251"/>
      <c r="AW115" s="251"/>
      <c r="AX115" s="251"/>
      <c r="AY115" s="251"/>
      <c r="AZ115" s="251">
        <f t="shared" ca="1" si="4"/>
        <v>674</v>
      </c>
    </row>
    <row r="116" spans="2:52" ht="15" customHeight="1" x14ac:dyDescent="0.25">
      <c r="B116" s="243">
        <v>228</v>
      </c>
      <c r="C116" s="251" t="s">
        <v>186</v>
      </c>
      <c r="D116" s="252">
        <v>9450</v>
      </c>
      <c r="E116" s="252">
        <f>(BDD[[#This Row],[SUE MENS]]/30)</f>
        <v>315</v>
      </c>
      <c r="F116" s="252">
        <f>BDD[[#This Row],[SUE MENS]]/2</f>
        <v>4725</v>
      </c>
      <c r="G116" s="320">
        <v>40607</v>
      </c>
      <c r="H116" s="243">
        <f ca="1">INT(_xlfn.DAYS(TODAY(),BDD[[#This Row],[FECHA ING.]])/365)</f>
        <v>11</v>
      </c>
      <c r="I116" s="251" t="str">
        <f>VLOOKUP(J116,TABLAS!$B$3:$G$49,2,FALSE)</f>
        <v>DIRECCIÓN</v>
      </c>
      <c r="J116" s="198" t="s">
        <v>746</v>
      </c>
      <c r="K116" s="251" t="s">
        <v>778</v>
      </c>
      <c r="L116" s="251" t="s">
        <v>763</v>
      </c>
      <c r="M116" s="251"/>
      <c r="N116" s="244" t="s">
        <v>1789</v>
      </c>
      <c r="O116" s="251" t="str">
        <f>IFERROR(VLOOKUP(BDD[[#This Row],[SUBDPTO]],TABLAS!$B$4:$D$36,3,0)," ")</f>
        <v>MARIANA RODRÍGUEZ GUTIERREZ</v>
      </c>
      <c r="P116" s="258">
        <v>43581</v>
      </c>
      <c r="Q116" s="254">
        <v>5422.4000000000005</v>
      </c>
      <c r="R116" s="255" t="s">
        <v>736</v>
      </c>
      <c r="S116" s="251"/>
      <c r="T116" s="251" t="s">
        <v>301</v>
      </c>
      <c r="U116" s="243">
        <f ca="1">VLOOKUP(BDD[[#This Row],[ANTIG]],DIASXANT18[#All],2)</f>
        <v>20</v>
      </c>
      <c r="V116" s="256">
        <f t="shared" si="6"/>
        <v>0.5</v>
      </c>
      <c r="W116" s="243">
        <f ca="1">BDD[[#This Row],[D.VAC.]]*BDD[[#This Row],[% P.V.]]</f>
        <v>10</v>
      </c>
      <c r="X116" s="243">
        <v>30</v>
      </c>
      <c r="Y116" s="257">
        <f ca="1">(365+BDD[[#This Row],[D.PAG.V.]]+BDD[[#This Row],[D.AG.]])/365</f>
        <v>1.1095890410958904</v>
      </c>
      <c r="Z116" s="243">
        <f ca="1">BDD[[#This Row],[SUE DIA]]*BDD[[#This Row],[FACTOR SDI]]</f>
        <v>349.52054794520546</v>
      </c>
      <c r="AA116" s="243">
        <f>BDD[[#This Row],[SUE DIA]]/9</f>
        <v>35</v>
      </c>
      <c r="AB116" s="251">
        <v>36153</v>
      </c>
      <c r="AC116" s="251" t="s">
        <v>902</v>
      </c>
      <c r="AD116" s="251" t="s">
        <v>790</v>
      </c>
      <c r="AE116" s="252">
        <v>8651094075</v>
      </c>
      <c r="AF116" s="251" t="s">
        <v>1201</v>
      </c>
      <c r="AG116" s="251" t="s">
        <v>773</v>
      </c>
      <c r="AH116" s="251" t="s">
        <v>726</v>
      </c>
      <c r="AI116" s="243" t="s">
        <v>151</v>
      </c>
      <c r="AJ116" s="258" cm="1">
        <f t="array" aca="1" ref="AJ116" ca="1">DATE(YEAR(FECH.CONS[FECHA DE CONSULTA:]),MONTH(BDD[[#This Row],[FECHA NAC]]),DAY(BDD[[#This Row],[FECHA NAC]]))</f>
        <v>44919</v>
      </c>
      <c r="AK116" s="243"/>
      <c r="AL116" s="261" t="s">
        <v>317</v>
      </c>
      <c r="AM116" s="251" t="s">
        <v>1544</v>
      </c>
      <c r="AN116" s="251" t="s">
        <v>1551</v>
      </c>
      <c r="AO116" s="245">
        <v>91</v>
      </c>
      <c r="AP116" s="251">
        <f ca="1">INT((TODAY()-BDD[[#This Row],[FECHA NAC]])/365)</f>
        <v>23</v>
      </c>
      <c r="AQ116" s="251">
        <v>2</v>
      </c>
      <c r="AR116" s="251">
        <f ca="1">IF(BDD[[#This Row],[ANTIG]]=0,0,1)</f>
        <v>1</v>
      </c>
      <c r="AS116" s="251"/>
      <c r="AT116" s="251"/>
      <c r="AU116" s="251"/>
      <c r="AV116" s="251"/>
      <c r="AW116" s="251"/>
      <c r="AX116" s="251"/>
      <c r="AY116" s="251"/>
      <c r="AZ116" s="251">
        <f t="shared" ca="1" si="4"/>
        <v>879</v>
      </c>
    </row>
    <row r="117" spans="2:52" ht="15" customHeight="1" x14ac:dyDescent="0.25">
      <c r="B117" s="243">
        <v>229</v>
      </c>
      <c r="C117" s="251" t="s">
        <v>199</v>
      </c>
      <c r="D117" s="252">
        <v>9450</v>
      </c>
      <c r="E117" s="252">
        <f>(BDD[[#This Row],[SUE MENS]]/30)</f>
        <v>315</v>
      </c>
      <c r="F117" s="252">
        <f>BDD[[#This Row],[SUE MENS]]/2</f>
        <v>4725</v>
      </c>
      <c r="G117" s="320">
        <v>40642</v>
      </c>
      <c r="H117" s="243">
        <f ca="1">INT(_xlfn.DAYS(TODAY(),BDD[[#This Row],[FECHA ING.]])/365)</f>
        <v>11</v>
      </c>
      <c r="I117" s="251" t="str">
        <f>VLOOKUP(J117,TABLAS!$B$3:$G$49,2,FALSE)</f>
        <v>AUDITORÍA</v>
      </c>
      <c r="J117" s="198" t="s">
        <v>736</v>
      </c>
      <c r="K117" s="251" t="s">
        <v>778</v>
      </c>
      <c r="L117" s="251" t="s">
        <v>763</v>
      </c>
      <c r="M117" s="251"/>
      <c r="N117" s="244" t="s">
        <v>1776</v>
      </c>
      <c r="O117" s="251" t="str">
        <f>IFERROR(VLOOKUP(BDD[[#This Row],[SUBDPTO]],TABLAS!$B$4:$D$36,3,0)," ")</f>
        <v>MARCO AURELIO URBINO</v>
      </c>
      <c r="P117" s="258">
        <f>BDD[[#This Row],[FECHA ING.]]+1000</f>
        <v>41642</v>
      </c>
      <c r="Q117" s="264">
        <v>5211.5</v>
      </c>
      <c r="R117" s="251" t="s">
        <v>736</v>
      </c>
      <c r="S117" s="251"/>
      <c r="T117" s="251" t="s">
        <v>811</v>
      </c>
      <c r="U117" s="243">
        <f ca="1">VLOOKUP(BDD[[#This Row],[ANTIG]],DIASXANT18[#All],2)</f>
        <v>20</v>
      </c>
      <c r="V117" s="256">
        <f t="shared" si="6"/>
        <v>0.5</v>
      </c>
      <c r="W117" s="243">
        <f ca="1">BDD[[#This Row],[D.VAC.]]*BDD[[#This Row],[% P.V.]]</f>
        <v>10</v>
      </c>
      <c r="X117" s="243">
        <v>30</v>
      </c>
      <c r="Y117" s="257">
        <f ca="1">(365+BDD[[#This Row],[D.PAG.V.]]+BDD[[#This Row],[D.AG.]])/365</f>
        <v>1.1095890410958904</v>
      </c>
      <c r="Z117" s="243">
        <f ca="1">BDD[[#This Row],[SUE DIA]]*BDD[[#This Row],[FACTOR SDI]]</f>
        <v>349.52054794520546</v>
      </c>
      <c r="AA117" s="243">
        <f>BDD[[#This Row],[SUE DIA]]/9</f>
        <v>35</v>
      </c>
      <c r="AB117" s="251">
        <v>33721</v>
      </c>
      <c r="AC117" s="251" t="s">
        <v>977</v>
      </c>
      <c r="AD117" s="251" t="s">
        <v>786</v>
      </c>
      <c r="AE117" s="252">
        <v>8294964441</v>
      </c>
      <c r="AF117" s="251" t="s">
        <v>1215</v>
      </c>
      <c r="AG117" s="251" t="s">
        <v>776</v>
      </c>
      <c r="AH117" s="251" t="s">
        <v>726</v>
      </c>
      <c r="AI117" s="243" t="s">
        <v>151</v>
      </c>
      <c r="AJ117" s="258" cm="1">
        <f t="array" aca="1" ref="AJ117" ca="1">DATE(YEAR(FECH.CONS[FECHA DE CONSULTA:]),MONTH(BDD[[#This Row],[FECHA NAC]]),DAY(BDD[[#This Row],[FECHA NAC]]))</f>
        <v>44678</v>
      </c>
      <c r="AK117" s="243"/>
      <c r="AL117" s="261" t="s">
        <v>311</v>
      </c>
      <c r="AM117" s="251" t="s">
        <v>1537</v>
      </c>
      <c r="AN117" s="251" t="s">
        <v>1551</v>
      </c>
      <c r="AO117" s="245">
        <v>71</v>
      </c>
      <c r="AP117" s="251">
        <f ca="1">INT((TODAY()-BDD[[#This Row],[FECHA NAC]])/365)</f>
        <v>30</v>
      </c>
      <c r="AQ117" s="251">
        <v>1</v>
      </c>
      <c r="AR117" s="251">
        <f ca="1">IF(BDD[[#This Row],[ANTIG]]=0,0,1)</f>
        <v>1</v>
      </c>
      <c r="AS117" s="251"/>
      <c r="AT117" s="251"/>
      <c r="AU117" s="251"/>
      <c r="AV117" s="251"/>
      <c r="AW117" s="251"/>
      <c r="AX117" s="251"/>
      <c r="AY117" s="251"/>
      <c r="AZ117" s="251">
        <f t="shared" ca="1" si="4"/>
        <v>707</v>
      </c>
    </row>
    <row r="118" spans="2:52" ht="15" customHeight="1" x14ac:dyDescent="0.25">
      <c r="B118" s="243">
        <v>231</v>
      </c>
      <c r="C118" s="259" t="s">
        <v>635</v>
      </c>
      <c r="D118" s="252">
        <v>9541</v>
      </c>
      <c r="E118" s="252">
        <f>(BDD[[#This Row],[SUE MENS]]/30)</f>
        <v>318.03333333333336</v>
      </c>
      <c r="F118" s="252">
        <f>BDD[[#This Row],[SUE MENS]]/2</f>
        <v>4770.5</v>
      </c>
      <c r="G118" s="320">
        <v>40675</v>
      </c>
      <c r="H118" s="243">
        <f ca="1">INT(_xlfn.DAYS(TODAY(),BDD[[#This Row],[FECHA ING.]])/365)</f>
        <v>11</v>
      </c>
      <c r="I118" s="251" t="str">
        <f>VLOOKUP(J118,TABLAS!$B$3:$G$49,2,FALSE)</f>
        <v>FINANZAS</v>
      </c>
      <c r="J118" s="198" t="s">
        <v>748</v>
      </c>
      <c r="K118" s="251" t="s">
        <v>778</v>
      </c>
      <c r="L118" s="251" t="s">
        <v>763</v>
      </c>
      <c r="M118" s="251"/>
      <c r="N118" s="244" t="s">
        <v>2068</v>
      </c>
      <c r="O118" s="251" t="str">
        <f>IFERROR(VLOOKUP(BDD[[#This Row],[SUBDPTO]],TABLAS!$B$4:$D$36,3,0)," ")</f>
        <v>MARIANO ALDEBARÁN</v>
      </c>
      <c r="P118" s="258">
        <v>43350</v>
      </c>
      <c r="Q118" s="254">
        <v>5956</v>
      </c>
      <c r="R118" s="255" t="s">
        <v>750</v>
      </c>
      <c r="S118" s="255" t="s">
        <v>746</v>
      </c>
      <c r="T118" s="251" t="s">
        <v>301</v>
      </c>
      <c r="U118" s="243">
        <f ca="1">VLOOKUP(BDD[[#This Row],[ANTIG]],DIASXANT18[#All],2)</f>
        <v>20</v>
      </c>
      <c r="V118" s="256">
        <f t="shared" si="6"/>
        <v>0.5</v>
      </c>
      <c r="W118" s="243">
        <f ca="1">BDD[[#This Row],[D.VAC.]]*BDD[[#This Row],[% P.V.]]</f>
        <v>10</v>
      </c>
      <c r="X118" s="243">
        <v>30</v>
      </c>
      <c r="Y118" s="257">
        <f ca="1">(365+BDD[[#This Row],[D.PAG.V.]]+BDD[[#This Row],[D.AG.]])/365</f>
        <v>1.1095890410958904</v>
      </c>
      <c r="Z118" s="243">
        <f ca="1">BDD[[#This Row],[SUE DIA]]*BDD[[#This Row],[FACTOR SDI]]</f>
        <v>352.88630136986302</v>
      </c>
      <c r="AA118" s="243">
        <f>BDD[[#This Row],[SUE DIA]]/9</f>
        <v>35.337037037037042</v>
      </c>
      <c r="AB118" s="251">
        <v>29322</v>
      </c>
      <c r="AC118" s="251" t="s">
        <v>906</v>
      </c>
      <c r="AD118" s="251" t="s">
        <v>791</v>
      </c>
      <c r="AE118" s="260">
        <v>7077321925</v>
      </c>
      <c r="AF118" s="251" t="s">
        <v>1476</v>
      </c>
      <c r="AG118" s="251" t="s">
        <v>773</v>
      </c>
      <c r="AH118" s="251" t="s">
        <v>730</v>
      </c>
      <c r="AI118" s="243" t="s">
        <v>151</v>
      </c>
      <c r="AJ118" s="258" cm="1">
        <f t="array" aca="1" ref="AJ118" ca="1">DATE(YEAR(FECH.CONS[FECHA DE CONSULTA:]),MONTH(BDD[[#This Row],[FECHA NAC]]),DAY(BDD[[#This Row],[FECHA NAC]]))</f>
        <v>44662</v>
      </c>
      <c r="AK118" s="243">
        <v>10</v>
      </c>
      <c r="AL118" s="261" t="s">
        <v>311</v>
      </c>
      <c r="AM118" s="251" t="s">
        <v>1545</v>
      </c>
      <c r="AN118" s="251" t="s">
        <v>1551</v>
      </c>
      <c r="AO118" s="245">
        <v>60</v>
      </c>
      <c r="AP118" s="251">
        <f ca="1">INT((TODAY()-BDD[[#This Row],[FECHA NAC]])/365)</f>
        <v>42</v>
      </c>
      <c r="AQ118" s="251">
        <v>2</v>
      </c>
      <c r="AR118" s="251">
        <f ca="1">IF(BDD[[#This Row],[ANTIG]]=0,0,1)</f>
        <v>1</v>
      </c>
      <c r="AS118" s="251"/>
      <c r="AT118" s="251"/>
      <c r="AU118" s="251"/>
      <c r="AV118" s="251"/>
      <c r="AW118" s="251"/>
      <c r="AX118" s="251"/>
      <c r="AY118" s="251"/>
      <c r="AZ118" s="251">
        <f t="shared" ca="1" si="4"/>
        <v>867</v>
      </c>
    </row>
    <row r="119" spans="2:52" ht="15" customHeight="1" x14ac:dyDescent="0.25">
      <c r="B119" s="243">
        <v>232</v>
      </c>
      <c r="C119" s="251" t="s">
        <v>216</v>
      </c>
      <c r="D119" s="263">
        <v>7445</v>
      </c>
      <c r="E119" s="252">
        <f>(BDD[[#This Row],[SUE MENS]]/30)</f>
        <v>248.16666666666666</v>
      </c>
      <c r="F119" s="252">
        <f>BDD[[#This Row],[SUE MENS]]/2</f>
        <v>3722.5</v>
      </c>
      <c r="G119" s="320">
        <v>40685</v>
      </c>
      <c r="H119" s="243">
        <f ca="1">INT(_xlfn.DAYS(TODAY(),BDD[[#This Row],[FECHA ING.]])/365)</f>
        <v>11</v>
      </c>
      <c r="I119" s="251" t="str">
        <f>VLOOKUP(J119,TABLAS!$B$3:$G$49,2,FALSE)</f>
        <v>DIV ARQUIT</v>
      </c>
      <c r="J119" s="198" t="s">
        <v>741</v>
      </c>
      <c r="K119" s="251" t="s">
        <v>778</v>
      </c>
      <c r="L119" s="251" t="s">
        <v>763</v>
      </c>
      <c r="M119" s="251"/>
      <c r="N119" s="244" t="s">
        <v>2034</v>
      </c>
      <c r="O119" s="251" t="str">
        <f>IFERROR(VLOOKUP(BDD[[#This Row],[SUBDPTO]],TABLAS!$B$4:$D$36,3,0)," ")</f>
        <v>MÉRIDA ISELA MEDINA SALINAS</v>
      </c>
      <c r="P119" s="258"/>
      <c r="Q119" s="264"/>
      <c r="R119" s="244"/>
      <c r="S119" s="251"/>
      <c r="T119" s="251" t="s">
        <v>811</v>
      </c>
      <c r="U119" s="243">
        <f ca="1">VLOOKUP(BDD[[#This Row],[ANTIG]],DIASXANT18[#All],2)</f>
        <v>20</v>
      </c>
      <c r="V119" s="256">
        <f t="shared" si="6"/>
        <v>0.5</v>
      </c>
      <c r="W119" s="243">
        <f ca="1">BDD[[#This Row],[D.VAC.]]*BDD[[#This Row],[% P.V.]]</f>
        <v>10</v>
      </c>
      <c r="X119" s="243">
        <v>30</v>
      </c>
      <c r="Y119" s="257">
        <f ca="1">(365+BDD[[#This Row],[D.PAG.V.]]+BDD[[#This Row],[D.AG.]])/365</f>
        <v>1.1095890410958904</v>
      </c>
      <c r="Z119" s="243">
        <f ca="1">BDD[[#This Row],[SUE DIA]]*BDD[[#This Row],[FACTOR SDI]]</f>
        <v>275.36301369863014</v>
      </c>
      <c r="AA119" s="243">
        <f>BDD[[#This Row],[SUE DIA]]/9</f>
        <v>27.574074074074073</v>
      </c>
      <c r="AB119" s="251">
        <v>31462</v>
      </c>
      <c r="AC119" s="251" t="s">
        <v>952</v>
      </c>
      <c r="AD119" s="251" t="s">
        <v>809</v>
      </c>
      <c r="AE119" s="252">
        <v>8669871759</v>
      </c>
      <c r="AF119" s="251" t="s">
        <v>1125</v>
      </c>
      <c r="AG119" s="251" t="s">
        <v>776</v>
      </c>
      <c r="AH119" s="251" t="s">
        <v>730</v>
      </c>
      <c r="AI119" s="243" t="s">
        <v>151</v>
      </c>
      <c r="AJ119" s="258" cm="1">
        <f t="array" aca="1" ref="AJ119" ca="1">DATE(YEAR(FECH.CONS[FECHA DE CONSULTA:]),MONTH(BDD[[#This Row],[FECHA NAC]]),DAY(BDD[[#This Row],[FECHA NAC]]))</f>
        <v>44611</v>
      </c>
      <c r="AK119" s="243">
        <v>6</v>
      </c>
      <c r="AL119" s="261" t="s">
        <v>311</v>
      </c>
      <c r="AM119" s="251" t="s">
        <v>1543</v>
      </c>
      <c r="AN119" s="251" t="s">
        <v>1551</v>
      </c>
      <c r="AO119" s="245">
        <v>65</v>
      </c>
      <c r="AP119" s="251">
        <f ca="1">INT((TODAY()-BDD[[#This Row],[FECHA NAC]])/365)</f>
        <v>36</v>
      </c>
      <c r="AQ119" s="251">
        <v>3</v>
      </c>
      <c r="AR119" s="251">
        <f ca="1">IF(BDD[[#This Row],[ANTIG]]=0,0,1)</f>
        <v>1</v>
      </c>
      <c r="AS119" s="251"/>
      <c r="AT119" s="251"/>
      <c r="AU119" s="251"/>
      <c r="AV119" s="251"/>
      <c r="AW119" s="251"/>
      <c r="AX119" s="251"/>
      <c r="AY119" s="251"/>
      <c r="AZ119" s="251">
        <f t="shared" ca="1" si="4"/>
        <v>737</v>
      </c>
    </row>
    <row r="120" spans="2:52" ht="15" customHeight="1" x14ac:dyDescent="0.25">
      <c r="B120" s="243">
        <v>233</v>
      </c>
      <c r="C120" s="262" t="s">
        <v>359</v>
      </c>
      <c r="D120" s="252">
        <v>9541</v>
      </c>
      <c r="E120" s="252">
        <f>(BDD[[#This Row],[SUE MENS]]/30)</f>
        <v>318.03333333333336</v>
      </c>
      <c r="F120" s="252">
        <f>BDD[[#This Row],[SUE MENS]]/2</f>
        <v>4770.5</v>
      </c>
      <c r="G120" s="320">
        <v>40686</v>
      </c>
      <c r="H120" s="243">
        <f ca="1">INT(_xlfn.DAYS(TODAY(),BDD[[#This Row],[FECHA ING.]])/365)</f>
        <v>11</v>
      </c>
      <c r="I120" s="251" t="str">
        <f>VLOOKUP(J120,TABLAS!$B$3:$G$49,2,FALSE)</f>
        <v>DIV ARQUIT</v>
      </c>
      <c r="J120" s="198" t="s">
        <v>741</v>
      </c>
      <c r="K120" s="251" t="s">
        <v>778</v>
      </c>
      <c r="L120" s="251" t="s">
        <v>763</v>
      </c>
      <c r="M120" s="251"/>
      <c r="N120" s="244" t="s">
        <v>1990</v>
      </c>
      <c r="O120" s="251" t="str">
        <f>IFERROR(VLOOKUP(BDD[[#This Row],[SUBDPTO]],TABLAS!$B$4:$D$36,3,0)," ")</f>
        <v>MÉRIDA ISELA MEDINA SALINAS</v>
      </c>
      <c r="P120" s="258">
        <v>43276</v>
      </c>
      <c r="Q120" s="254">
        <v>7600</v>
      </c>
      <c r="R120" s="255" t="s">
        <v>736</v>
      </c>
      <c r="S120" s="251"/>
      <c r="T120" s="251" t="s">
        <v>811</v>
      </c>
      <c r="U120" s="243">
        <f ca="1">VLOOKUP(BDD[[#This Row],[ANTIG]],DIASXANT18[#All],2)</f>
        <v>20</v>
      </c>
      <c r="V120" s="256">
        <f t="shared" si="6"/>
        <v>0.5</v>
      </c>
      <c r="W120" s="243">
        <f ca="1">BDD[[#This Row],[D.VAC.]]*BDD[[#This Row],[% P.V.]]</f>
        <v>10</v>
      </c>
      <c r="X120" s="243">
        <v>30</v>
      </c>
      <c r="Y120" s="257">
        <f ca="1">(365+BDD[[#This Row],[D.PAG.V.]]+BDD[[#This Row],[D.AG.]])/365</f>
        <v>1.1095890410958904</v>
      </c>
      <c r="Z120" s="243">
        <f ca="1">BDD[[#This Row],[SUE DIA]]*BDD[[#This Row],[FACTOR SDI]]</f>
        <v>352.88630136986302</v>
      </c>
      <c r="AA120" s="243">
        <f>BDD[[#This Row],[SUE DIA]]/9</f>
        <v>35.337037037037042</v>
      </c>
      <c r="AB120" s="262">
        <v>36089</v>
      </c>
      <c r="AC120" s="251" t="s">
        <v>1035</v>
      </c>
      <c r="AD120" s="251" t="s">
        <v>791</v>
      </c>
      <c r="AE120" s="252">
        <v>8124696886</v>
      </c>
      <c r="AF120" s="251" t="s">
        <v>1313</v>
      </c>
      <c r="AG120" s="251" t="s">
        <v>776</v>
      </c>
      <c r="AH120" s="251" t="s">
        <v>730</v>
      </c>
      <c r="AI120" s="243" t="s">
        <v>151</v>
      </c>
      <c r="AJ120" s="258" cm="1">
        <f t="array" aca="1" ref="AJ120" ca="1">DATE(YEAR(FECH.CONS[FECHA DE CONSULTA:]),MONTH(BDD[[#This Row],[FECHA NAC]]),DAY(BDD[[#This Row],[FECHA NAC]]))</f>
        <v>44855</v>
      </c>
      <c r="AK120" s="243">
        <v>7</v>
      </c>
      <c r="AL120" s="261" t="s">
        <v>326</v>
      </c>
      <c r="AM120" s="251" t="s">
        <v>1543</v>
      </c>
      <c r="AN120" s="251" t="s">
        <v>1551</v>
      </c>
      <c r="AO120" s="245">
        <v>74</v>
      </c>
      <c r="AP120" s="251">
        <f ca="1">INT((TODAY()-BDD[[#This Row],[FECHA NAC]])/365)</f>
        <v>23</v>
      </c>
      <c r="AQ120" s="251">
        <v>0</v>
      </c>
      <c r="AR120" s="251">
        <f ca="1">IF(BDD[[#This Row],[ANTIG]]=0,0,1)</f>
        <v>1</v>
      </c>
      <c r="AS120" s="251"/>
      <c r="AT120" s="251"/>
      <c r="AU120" s="251"/>
      <c r="AV120" s="251"/>
      <c r="AW120" s="251"/>
      <c r="AX120" s="251"/>
      <c r="AY120" s="251"/>
      <c r="AZ120" s="251">
        <f t="shared" ca="1" si="4"/>
        <v>25</v>
      </c>
    </row>
    <row r="121" spans="2:52" ht="15" customHeight="1" x14ac:dyDescent="0.25">
      <c r="B121" s="243">
        <v>236</v>
      </c>
      <c r="C121" s="259" t="s">
        <v>623</v>
      </c>
      <c r="D121" s="252">
        <v>10860</v>
      </c>
      <c r="E121" s="252">
        <f>(BDD[[#This Row],[SUE MENS]]/30)</f>
        <v>362</v>
      </c>
      <c r="F121" s="252">
        <f>BDD[[#This Row],[SUE MENS]]/2</f>
        <v>5430</v>
      </c>
      <c r="G121" s="320">
        <v>40730</v>
      </c>
      <c r="H121" s="243">
        <f ca="1">INT(_xlfn.DAYS(TODAY(),BDD[[#This Row],[FECHA ING.]])/365)</f>
        <v>11</v>
      </c>
      <c r="I121" s="251" t="str">
        <f>VLOOKUP(J121,TABLAS!$B$3:$G$49,2,FALSE)</f>
        <v>AUDITORÍA</v>
      </c>
      <c r="J121" s="198" t="s">
        <v>734</v>
      </c>
      <c r="K121" s="251" t="s">
        <v>778</v>
      </c>
      <c r="L121" s="251" t="s">
        <v>763</v>
      </c>
      <c r="M121" s="251"/>
      <c r="N121" s="244" t="s">
        <v>2227</v>
      </c>
      <c r="O121" s="251" t="str">
        <f>IFERROR(VLOOKUP(BDD[[#This Row],[SUBDPTO]],TABLAS!$B$4:$D$36,3,0)," ")</f>
        <v>MARCO AURELIO URBINO</v>
      </c>
      <c r="P121" s="258">
        <v>41050</v>
      </c>
      <c r="Q121" s="254">
        <v>7600</v>
      </c>
      <c r="R121" s="255" t="s">
        <v>740</v>
      </c>
      <c r="S121" s="255" t="s">
        <v>759</v>
      </c>
      <c r="T121" s="251" t="s">
        <v>811</v>
      </c>
      <c r="U121" s="243">
        <f ca="1">VLOOKUP(BDD[[#This Row],[ANTIG]],DIASXANT18[#All],2)</f>
        <v>20</v>
      </c>
      <c r="V121" s="256">
        <f t="shared" si="6"/>
        <v>0.5</v>
      </c>
      <c r="W121" s="243">
        <f ca="1">BDD[[#This Row],[D.VAC.]]*BDD[[#This Row],[% P.V.]]</f>
        <v>10</v>
      </c>
      <c r="X121" s="243">
        <v>30</v>
      </c>
      <c r="Y121" s="257">
        <f ca="1">(365+BDD[[#This Row],[D.PAG.V.]]+BDD[[#This Row],[D.AG.]])/365</f>
        <v>1.1095890410958904</v>
      </c>
      <c r="Z121" s="243">
        <f ca="1">BDD[[#This Row],[SUE DIA]]*BDD[[#This Row],[FACTOR SDI]]</f>
        <v>401.67123287671234</v>
      </c>
      <c r="AA121" s="243">
        <f>BDD[[#This Row],[SUE DIA]]/9</f>
        <v>40.222222222222221</v>
      </c>
      <c r="AB121" s="251">
        <v>29858</v>
      </c>
      <c r="AC121" s="251" t="s">
        <v>1068</v>
      </c>
      <c r="AD121" s="251" t="s">
        <v>792</v>
      </c>
      <c r="AE121" s="260">
        <v>8990504536</v>
      </c>
      <c r="AF121" s="251" t="s">
        <v>1469</v>
      </c>
      <c r="AG121" s="251" t="s">
        <v>776</v>
      </c>
      <c r="AH121" s="251" t="s">
        <v>730</v>
      </c>
      <c r="AI121" s="243" t="s">
        <v>152</v>
      </c>
      <c r="AJ121" s="258" cm="1">
        <f t="array" aca="1" ref="AJ121" ca="1">DATE(YEAR(FECH.CONS[FECHA DE CONSULTA:]),MONTH(BDD[[#This Row],[FECHA NAC]]),DAY(BDD[[#This Row],[FECHA NAC]]))</f>
        <v>44833</v>
      </c>
      <c r="AK121" s="243">
        <v>9</v>
      </c>
      <c r="AL121" s="261" t="s">
        <v>312</v>
      </c>
      <c r="AM121" s="251" t="s">
        <v>1535</v>
      </c>
      <c r="AN121" s="251" t="s">
        <v>1551</v>
      </c>
      <c r="AO121" s="245">
        <v>47</v>
      </c>
      <c r="AP121" s="251">
        <f ca="1">INT((TODAY()-BDD[[#This Row],[FECHA NAC]])/365)</f>
        <v>40</v>
      </c>
      <c r="AQ121" s="251">
        <v>1</v>
      </c>
      <c r="AR121" s="251">
        <f ca="1">IF(BDD[[#This Row],[ANTIG]]=0,0,1)</f>
        <v>1</v>
      </c>
      <c r="AS121" s="251"/>
      <c r="AT121" s="251"/>
      <c r="AU121" s="251"/>
      <c r="AV121" s="251"/>
      <c r="AW121" s="251"/>
      <c r="AX121" s="251"/>
      <c r="AY121" s="251"/>
      <c r="AZ121" s="251">
        <f t="shared" ca="1" si="4"/>
        <v>394</v>
      </c>
    </row>
    <row r="122" spans="2:52" ht="15" customHeight="1" x14ac:dyDescent="0.25">
      <c r="B122" s="243">
        <v>237</v>
      </c>
      <c r="C122" s="251" t="s">
        <v>411</v>
      </c>
      <c r="D122" s="252">
        <v>9450</v>
      </c>
      <c r="E122" s="252">
        <f>(BDD[[#This Row],[SUE MENS]]/30)</f>
        <v>315</v>
      </c>
      <c r="F122" s="252">
        <f>BDD[[#This Row],[SUE MENS]]/2</f>
        <v>4725</v>
      </c>
      <c r="G122" s="319">
        <v>40753</v>
      </c>
      <c r="H122" s="243">
        <f ca="1">INT(_xlfn.DAYS(TODAY(),BDD[[#This Row],[FECHA ING.]])/365)</f>
        <v>10</v>
      </c>
      <c r="I122" s="251" t="str">
        <f>VLOOKUP(J122,TABLAS!$B$3:$G$49,2,FALSE)</f>
        <v>DIV INGENRIA</v>
      </c>
      <c r="J122" s="198" t="s">
        <v>743</v>
      </c>
      <c r="K122" s="251" t="s">
        <v>778</v>
      </c>
      <c r="L122" s="251" t="s">
        <v>763</v>
      </c>
      <c r="M122" s="251"/>
      <c r="N122" s="244" t="s">
        <v>2128</v>
      </c>
      <c r="O122" s="251" t="str">
        <f>IFERROR(VLOOKUP(BDD[[#This Row],[SUBDPTO]],TABLAS!$B$4:$D$36,3,0)," ")</f>
        <v>DIEGO HERRERA GIRÓN</v>
      </c>
      <c r="P122" s="258">
        <v>44042</v>
      </c>
      <c r="Q122" s="254">
        <v>6560</v>
      </c>
      <c r="R122" s="255" t="s">
        <v>747</v>
      </c>
      <c r="S122" s="251"/>
      <c r="T122" s="251" t="s">
        <v>811</v>
      </c>
      <c r="U122" s="243">
        <f ca="1">VLOOKUP(BDD[[#This Row],[ANTIG]],DIASXANT18[#All],2)</f>
        <v>20</v>
      </c>
      <c r="V122" s="256">
        <f t="shared" si="6"/>
        <v>0.5</v>
      </c>
      <c r="W122" s="243">
        <f ca="1">BDD[[#This Row],[D.VAC.]]*BDD[[#This Row],[% P.V.]]</f>
        <v>10</v>
      </c>
      <c r="X122" s="243">
        <v>30</v>
      </c>
      <c r="Y122" s="257">
        <f ca="1">(365+BDD[[#This Row],[D.PAG.V.]]+BDD[[#This Row],[D.AG.]])/365</f>
        <v>1.1095890410958904</v>
      </c>
      <c r="Z122" s="243">
        <f ca="1">BDD[[#This Row],[SUE DIA]]*BDD[[#This Row],[FACTOR SDI]]</f>
        <v>349.52054794520546</v>
      </c>
      <c r="AA122" s="243">
        <f>BDD[[#This Row],[SUE DIA]]/9</f>
        <v>35</v>
      </c>
      <c r="AB122" s="251">
        <v>30249</v>
      </c>
      <c r="AC122" s="251" t="s">
        <v>985</v>
      </c>
      <c r="AD122" s="251" t="s">
        <v>790</v>
      </c>
      <c r="AE122" s="252">
        <v>8851889771</v>
      </c>
      <c r="AF122" s="251" t="s">
        <v>1227</v>
      </c>
      <c r="AG122" s="251" t="s">
        <v>776</v>
      </c>
      <c r="AH122" s="251" t="s">
        <v>726</v>
      </c>
      <c r="AI122" s="243" t="s">
        <v>152</v>
      </c>
      <c r="AJ122" s="258" cm="1">
        <f t="array" aca="1" ref="AJ122" ca="1">DATE(YEAR(FECH.CONS[FECHA DE CONSULTA:]),MONTH(BDD[[#This Row],[FECHA NAC]]),DAY(BDD[[#This Row],[FECHA NAC]]))</f>
        <v>44859</v>
      </c>
      <c r="AK122" s="243"/>
      <c r="AL122" s="251" t="s">
        <v>312</v>
      </c>
      <c r="AM122" s="251" t="s">
        <v>1538</v>
      </c>
      <c r="AN122" s="251" t="s">
        <v>1551</v>
      </c>
      <c r="AO122" s="245">
        <v>58</v>
      </c>
      <c r="AP122" s="251">
        <f ca="1">INT((TODAY()-BDD[[#This Row],[FECHA NAC]])/365)</f>
        <v>39</v>
      </c>
      <c r="AQ122" s="251">
        <v>1</v>
      </c>
      <c r="AR122" s="251">
        <f ca="1">IF(BDD[[#This Row],[ANTIG]]=0,0,1)</f>
        <v>1</v>
      </c>
      <c r="AS122" s="251"/>
      <c r="AT122" s="251"/>
      <c r="AU122" s="251"/>
      <c r="AV122" s="251"/>
      <c r="AW122" s="251"/>
      <c r="AX122" s="251"/>
      <c r="AY122" s="251"/>
      <c r="AZ122" s="251">
        <f t="shared" ca="1" si="4"/>
        <v>734</v>
      </c>
    </row>
    <row r="123" spans="2:52" ht="15" customHeight="1" x14ac:dyDescent="0.25">
      <c r="B123" s="243">
        <v>238</v>
      </c>
      <c r="C123" s="262" t="s">
        <v>351</v>
      </c>
      <c r="D123" s="252">
        <v>7950</v>
      </c>
      <c r="E123" s="252">
        <f>(BDD[[#This Row],[SUE MENS]]/30)</f>
        <v>265</v>
      </c>
      <c r="F123" s="252">
        <f>BDD[[#This Row],[SUE MENS]]/2</f>
        <v>3975</v>
      </c>
      <c r="G123" s="320">
        <v>40754</v>
      </c>
      <c r="H123" s="243">
        <f ca="1">INT(_xlfn.DAYS(TODAY(),BDD[[#This Row],[FECHA ING.]])/365)</f>
        <v>10</v>
      </c>
      <c r="I123" s="251" t="str">
        <f>VLOOKUP(J123,TABLAS!$B$3:$G$49,2,FALSE)</f>
        <v>CPTAL HUMANO</v>
      </c>
      <c r="J123" s="198" t="s">
        <v>768</v>
      </c>
      <c r="K123" s="251" t="s">
        <v>778</v>
      </c>
      <c r="L123" s="251" t="s">
        <v>763</v>
      </c>
      <c r="M123" s="251"/>
      <c r="N123" s="244" t="s">
        <v>1761</v>
      </c>
      <c r="O123" s="251" t="str">
        <f>IFERROR(VLOOKUP(BDD[[#This Row],[SUBDPTO]],TABLAS!$B$4:$D$36,3,0)," ")</f>
        <v>EMMA DARIELA GARCÍA LORCA</v>
      </c>
      <c r="P123" s="258">
        <v>43472</v>
      </c>
      <c r="Q123" s="254">
        <v>5956</v>
      </c>
      <c r="R123" s="255" t="s">
        <v>736</v>
      </c>
      <c r="S123" s="251"/>
      <c r="T123" s="251" t="s">
        <v>301</v>
      </c>
      <c r="U123" s="243">
        <f ca="1">VLOOKUP(BDD[[#This Row],[ANTIG]],DIASXANT18[#All],2)</f>
        <v>20</v>
      </c>
      <c r="V123" s="256">
        <f t="shared" si="6"/>
        <v>0.5</v>
      </c>
      <c r="W123" s="243">
        <f ca="1">BDD[[#This Row],[D.VAC.]]*BDD[[#This Row],[% P.V.]]</f>
        <v>10</v>
      </c>
      <c r="X123" s="243">
        <v>30</v>
      </c>
      <c r="Y123" s="257">
        <f ca="1">(365+BDD[[#This Row],[D.PAG.V.]]+BDD[[#This Row],[D.AG.]])/365</f>
        <v>1.1095890410958904</v>
      </c>
      <c r="Z123" s="243">
        <f ca="1">BDD[[#This Row],[SUE DIA]]*BDD[[#This Row],[FACTOR SDI]]</f>
        <v>294.04109589041093</v>
      </c>
      <c r="AA123" s="243">
        <f>BDD[[#This Row],[SUE DIA]]/9</f>
        <v>29.444444444444443</v>
      </c>
      <c r="AB123" s="262">
        <v>32209</v>
      </c>
      <c r="AC123" s="251" t="s">
        <v>917</v>
      </c>
      <c r="AD123" s="251" t="s">
        <v>789</v>
      </c>
      <c r="AE123" s="252">
        <v>8123559452.5</v>
      </c>
      <c r="AF123" s="251" t="s">
        <v>1325</v>
      </c>
      <c r="AG123" s="251" t="s">
        <v>776</v>
      </c>
      <c r="AH123" s="251" t="s">
        <v>730</v>
      </c>
      <c r="AI123" s="243" t="s">
        <v>152</v>
      </c>
      <c r="AJ123" s="258" cm="1">
        <f t="array" aca="1" ref="AJ123" ca="1">DATE(YEAR(FECH.CONS[FECHA DE CONSULTA:]),MONTH(BDD[[#This Row],[FECHA NAC]]),DAY(BDD[[#This Row],[FECHA NAC]]))</f>
        <v>44627</v>
      </c>
      <c r="AK123" s="243">
        <v>10</v>
      </c>
      <c r="AL123" s="261" t="s">
        <v>311</v>
      </c>
      <c r="AM123" s="251" t="s">
        <v>1544</v>
      </c>
      <c r="AN123" s="251" t="s">
        <v>1551</v>
      </c>
      <c r="AO123" s="245">
        <v>31</v>
      </c>
      <c r="AP123" s="251">
        <f ca="1">INT((TODAY()-BDD[[#This Row],[FECHA NAC]])/365)</f>
        <v>34</v>
      </c>
      <c r="AQ123" s="251">
        <v>0</v>
      </c>
      <c r="AR123" s="251">
        <f ca="1">IF(BDD[[#This Row],[ANTIG]]=0,0,1)</f>
        <v>1</v>
      </c>
      <c r="AS123" s="251"/>
      <c r="AT123" s="251"/>
      <c r="AU123" s="251"/>
      <c r="AV123" s="251"/>
      <c r="AW123" s="251"/>
      <c r="AX123" s="251"/>
      <c r="AY123" s="251"/>
      <c r="AZ123" s="251">
        <f t="shared" ca="1" si="4"/>
        <v>450</v>
      </c>
    </row>
    <row r="124" spans="2:52" ht="15" customHeight="1" x14ac:dyDescent="0.25">
      <c r="B124" s="243">
        <v>239</v>
      </c>
      <c r="C124" s="259" t="s">
        <v>502</v>
      </c>
      <c r="D124" s="263">
        <v>10350</v>
      </c>
      <c r="E124" s="252">
        <f>(BDD[[#This Row],[SUE MENS]]/30)</f>
        <v>345</v>
      </c>
      <c r="F124" s="252">
        <f>BDD[[#This Row],[SUE MENS]]/2</f>
        <v>5175</v>
      </c>
      <c r="G124" s="320">
        <v>40769</v>
      </c>
      <c r="H124" s="243">
        <f ca="1">INT(_xlfn.DAYS(TODAY(),BDD[[#This Row],[FECHA ING.]])/365)</f>
        <v>10</v>
      </c>
      <c r="I124" s="251" t="str">
        <f>VLOOKUP(J124,TABLAS!$B$3:$G$49,2,FALSE)</f>
        <v>FINANZAS</v>
      </c>
      <c r="J124" s="198" t="s">
        <v>747</v>
      </c>
      <c r="K124" s="251" t="s">
        <v>778</v>
      </c>
      <c r="L124" s="251" t="s">
        <v>763</v>
      </c>
      <c r="M124" s="251"/>
      <c r="N124" s="244" t="s">
        <v>2071</v>
      </c>
      <c r="O124" s="251" t="str">
        <f>IFERROR(VLOOKUP(BDD[[#This Row],[SUBDPTO]],TABLAS!$B$4:$D$36,3,0)," ")</f>
        <v>MARIANO ALDEBARÁN</v>
      </c>
      <c r="P124" s="258">
        <v>42891</v>
      </c>
      <c r="Q124" s="254">
        <v>5422.4000000000005</v>
      </c>
      <c r="R124" s="255" t="s">
        <v>734</v>
      </c>
      <c r="S124" s="255" t="s">
        <v>746</v>
      </c>
      <c r="T124" s="251" t="s">
        <v>301</v>
      </c>
      <c r="U124" s="243">
        <f ca="1">VLOOKUP(BDD[[#This Row],[ANTIG]],DIASXANT18[#All],2)</f>
        <v>20</v>
      </c>
      <c r="V124" s="256">
        <f t="shared" si="6"/>
        <v>0.5</v>
      </c>
      <c r="W124" s="243">
        <f ca="1">BDD[[#This Row],[D.VAC.]]*BDD[[#This Row],[% P.V.]]</f>
        <v>10</v>
      </c>
      <c r="X124" s="243">
        <v>30</v>
      </c>
      <c r="Y124" s="257">
        <f ca="1">(365+BDD[[#This Row],[D.PAG.V.]]+BDD[[#This Row],[D.AG.]])/365</f>
        <v>1.1095890410958904</v>
      </c>
      <c r="Z124" s="243">
        <f ca="1">BDD[[#This Row],[SUE DIA]]*BDD[[#This Row],[FACTOR SDI]]</f>
        <v>382.8082191780822</v>
      </c>
      <c r="AA124" s="243">
        <f>BDD[[#This Row],[SUE DIA]]/9</f>
        <v>38.333333333333336</v>
      </c>
      <c r="AB124" s="251">
        <v>34559</v>
      </c>
      <c r="AC124" s="251" t="s">
        <v>915</v>
      </c>
      <c r="AD124" s="251" t="s">
        <v>786</v>
      </c>
      <c r="AE124" s="260">
        <v>4512457845</v>
      </c>
      <c r="AF124" s="251" t="s">
        <v>1386</v>
      </c>
      <c r="AG124" s="251" t="s">
        <v>776</v>
      </c>
      <c r="AH124" s="251" t="s">
        <v>1555</v>
      </c>
      <c r="AI124" s="243" t="s">
        <v>151</v>
      </c>
      <c r="AJ124" s="258" cm="1">
        <f t="array" aca="1" ref="AJ124" ca="1">DATE(YEAR(FECH.CONS[FECHA DE CONSULTA:]),MONTH(BDD[[#This Row],[FECHA NAC]]),DAY(BDD[[#This Row],[FECHA NAC]]))</f>
        <v>44786</v>
      </c>
      <c r="AK124" s="243"/>
      <c r="AL124" s="261" t="s">
        <v>311</v>
      </c>
      <c r="AM124" s="251" t="s">
        <v>1544</v>
      </c>
      <c r="AN124" s="251" t="s">
        <v>1551</v>
      </c>
      <c r="AO124" s="245">
        <v>30</v>
      </c>
      <c r="AP124" s="251">
        <f ca="1">INT((TODAY()-BDD[[#This Row],[FECHA NAC]])/365)</f>
        <v>27</v>
      </c>
      <c r="AQ124" s="251">
        <v>2</v>
      </c>
      <c r="AR124" s="251">
        <f ca="1">IF(BDD[[#This Row],[ANTIG]]=0,0,1)</f>
        <v>1</v>
      </c>
      <c r="AS124" s="251"/>
      <c r="AT124" s="251"/>
      <c r="AU124" s="251"/>
      <c r="AV124" s="251"/>
      <c r="AW124" s="251"/>
      <c r="AX124" s="251"/>
      <c r="AY124" s="251"/>
      <c r="AZ124" s="251">
        <f t="shared" ca="1" si="4"/>
        <v>452</v>
      </c>
    </row>
    <row r="125" spans="2:52" ht="15" customHeight="1" x14ac:dyDescent="0.25">
      <c r="B125" s="243">
        <v>240</v>
      </c>
      <c r="C125" s="251" t="s">
        <v>433</v>
      </c>
      <c r="D125" s="252">
        <v>7950</v>
      </c>
      <c r="E125" s="252">
        <f>(BDD[[#This Row],[SUE MENS]]/30)</f>
        <v>265</v>
      </c>
      <c r="F125" s="252">
        <f>BDD[[#This Row],[SUE MENS]]/2</f>
        <v>3975</v>
      </c>
      <c r="G125" s="320">
        <v>40803</v>
      </c>
      <c r="H125" s="243">
        <f ca="1">INT(_xlfn.DAYS(TODAY(),BDD[[#This Row],[FECHA ING.]])/365)</f>
        <v>10</v>
      </c>
      <c r="I125" s="251" t="str">
        <f>VLOOKUP(J125,TABLAS!$B$3:$G$49,2,FALSE)</f>
        <v>AUDITORÍA</v>
      </c>
      <c r="J125" s="198" t="s">
        <v>735</v>
      </c>
      <c r="K125" s="251" t="s">
        <v>778</v>
      </c>
      <c r="L125" s="251" t="s">
        <v>763</v>
      </c>
      <c r="M125" s="251"/>
      <c r="N125" s="244" t="s">
        <v>2210</v>
      </c>
      <c r="O125" s="251" t="str">
        <f>IFERROR(VLOOKUP(BDD[[#This Row],[SUBDPTO]],TABLAS!$B$4:$D$36,3,0)," ")</f>
        <v>MARCO AURELIO URBINO</v>
      </c>
      <c r="P125" s="258">
        <f>BDD[[#This Row],[FECHA ING.]]+1000</f>
        <v>41803</v>
      </c>
      <c r="Q125" s="254">
        <v>5211.5</v>
      </c>
      <c r="R125" s="244" t="s">
        <v>751</v>
      </c>
      <c r="S125" s="251"/>
      <c r="T125" s="251" t="s">
        <v>811</v>
      </c>
      <c r="U125" s="243">
        <f ca="1">VLOOKUP(BDD[[#This Row],[ANTIG]],DIASXANT18[#All],2)</f>
        <v>20</v>
      </c>
      <c r="V125" s="256">
        <f t="shared" si="6"/>
        <v>0.5</v>
      </c>
      <c r="W125" s="243">
        <f ca="1">BDD[[#This Row],[D.VAC.]]*BDD[[#This Row],[% P.V.]]</f>
        <v>10</v>
      </c>
      <c r="X125" s="243">
        <v>30</v>
      </c>
      <c r="Y125" s="257">
        <f ca="1">(365+BDD[[#This Row],[D.PAG.V.]]+BDD[[#This Row],[D.AG.]])/365</f>
        <v>1.1095890410958904</v>
      </c>
      <c r="Z125" s="243">
        <f ca="1">BDD[[#This Row],[SUE DIA]]*BDD[[#This Row],[FACTOR SDI]]</f>
        <v>294.04109589041093</v>
      </c>
      <c r="AA125" s="243">
        <f>BDD[[#This Row],[SUE DIA]]/9</f>
        <v>29.444444444444443</v>
      </c>
      <c r="AB125" s="251">
        <v>35396</v>
      </c>
      <c r="AC125" s="251" t="s">
        <v>884</v>
      </c>
      <c r="AD125" s="251" t="s">
        <v>790</v>
      </c>
      <c r="AE125" s="252">
        <v>8214833076</v>
      </c>
      <c r="AF125" s="251" t="s">
        <v>1245</v>
      </c>
      <c r="AG125" s="251" t="s">
        <v>776</v>
      </c>
      <c r="AH125" s="251" t="s">
        <v>730</v>
      </c>
      <c r="AI125" s="243" t="s">
        <v>151</v>
      </c>
      <c r="AJ125" s="258" cm="1">
        <f t="array" aca="1" ref="AJ125" ca="1">DATE(YEAR(FECH.CONS[FECHA DE CONSULTA:]),MONTH(BDD[[#This Row],[FECHA NAC]]),DAY(BDD[[#This Row],[FECHA NAC]]))</f>
        <v>44892</v>
      </c>
      <c r="AK125" s="243">
        <v>7</v>
      </c>
      <c r="AL125" s="251" t="s">
        <v>324</v>
      </c>
      <c r="AM125" s="251" t="s">
        <v>1535</v>
      </c>
      <c r="AN125" s="251" t="s">
        <v>1551</v>
      </c>
      <c r="AO125" s="245">
        <v>62</v>
      </c>
      <c r="AP125" s="251">
        <f ca="1">INT((TODAY()-BDD[[#This Row],[FECHA NAC]])/365)</f>
        <v>25</v>
      </c>
      <c r="AQ125" s="251">
        <v>1</v>
      </c>
      <c r="AR125" s="251">
        <f ca="1">IF(BDD[[#This Row],[ANTIG]]=0,0,1)</f>
        <v>1</v>
      </c>
      <c r="AS125" s="251"/>
      <c r="AT125" s="251"/>
      <c r="AU125" s="251"/>
      <c r="AV125" s="251"/>
      <c r="AW125" s="251"/>
      <c r="AX125" s="251"/>
      <c r="AY125" s="251"/>
      <c r="AZ125" s="251">
        <f t="shared" ca="1" si="4"/>
        <v>108</v>
      </c>
    </row>
    <row r="126" spans="2:52" ht="15" customHeight="1" x14ac:dyDescent="0.25">
      <c r="B126" s="243">
        <v>241</v>
      </c>
      <c r="C126" s="251" t="s">
        <v>187</v>
      </c>
      <c r="D126" s="263">
        <v>7445</v>
      </c>
      <c r="E126" s="252">
        <f>(BDD[[#This Row],[SUE MENS]]/30)</f>
        <v>248.16666666666666</v>
      </c>
      <c r="F126" s="252">
        <f>BDD[[#This Row],[SUE MENS]]/2</f>
        <v>3722.5</v>
      </c>
      <c r="G126" s="320">
        <v>40808</v>
      </c>
      <c r="H126" s="243">
        <f ca="1">INT(_xlfn.DAYS(TODAY(),BDD[[#This Row],[FECHA ING.]])/365)</f>
        <v>10</v>
      </c>
      <c r="I126" s="251" t="str">
        <f>VLOOKUP(J126,TABLAS!$B$3:$G$49,2,FALSE)</f>
        <v>FINANZAS</v>
      </c>
      <c r="J126" s="198" t="s">
        <v>747</v>
      </c>
      <c r="K126" s="251" t="s">
        <v>778</v>
      </c>
      <c r="L126" s="251" t="s">
        <v>763</v>
      </c>
      <c r="M126" s="251"/>
      <c r="N126" s="244" t="s">
        <v>2036</v>
      </c>
      <c r="O126" s="251" t="str">
        <f>IFERROR(VLOOKUP(BDD[[#This Row],[SUBDPTO]],TABLAS!$B$4:$D$36,3,0)," ")</f>
        <v>MARIANO ALDEBARÁN</v>
      </c>
      <c r="P126" s="258"/>
      <c r="Q126" s="264"/>
      <c r="R126" s="244"/>
      <c r="S126" s="251"/>
      <c r="T126" s="251" t="s">
        <v>301</v>
      </c>
      <c r="U126" s="243">
        <f ca="1">VLOOKUP(BDD[[#This Row],[ANTIG]],DIASXANT18[#All],2)</f>
        <v>20</v>
      </c>
      <c r="V126" s="256">
        <f t="shared" si="6"/>
        <v>0.5</v>
      </c>
      <c r="W126" s="243">
        <f ca="1">BDD[[#This Row],[D.VAC.]]*BDD[[#This Row],[% P.V.]]</f>
        <v>10</v>
      </c>
      <c r="X126" s="243">
        <v>30</v>
      </c>
      <c r="Y126" s="257">
        <f ca="1">(365+BDD[[#This Row],[D.PAG.V.]]+BDD[[#This Row],[D.AG.]])/365</f>
        <v>1.1095890410958904</v>
      </c>
      <c r="Z126" s="243">
        <f ca="1">BDD[[#This Row],[SUE DIA]]*BDD[[#This Row],[FACTOR SDI]]</f>
        <v>275.36301369863014</v>
      </c>
      <c r="AA126" s="243">
        <f>BDD[[#This Row],[SUE DIA]]/9</f>
        <v>27.574074074074073</v>
      </c>
      <c r="AB126" s="251">
        <v>34245</v>
      </c>
      <c r="AC126" s="251" t="s">
        <v>972</v>
      </c>
      <c r="AD126" s="251" t="s">
        <v>787</v>
      </c>
      <c r="AE126" s="252">
        <v>8467937028</v>
      </c>
      <c r="AF126" s="251" t="s">
        <v>1203</v>
      </c>
      <c r="AG126" s="251" t="s">
        <v>776</v>
      </c>
      <c r="AH126" s="251" t="s">
        <v>730</v>
      </c>
      <c r="AI126" s="243" t="s">
        <v>151</v>
      </c>
      <c r="AJ126" s="258" cm="1">
        <f t="array" aca="1" ref="AJ126" ca="1">DATE(YEAR(FECH.CONS[FECHA DE CONSULTA:]),MONTH(BDD[[#This Row],[FECHA NAC]]),DAY(BDD[[#This Row],[FECHA NAC]]))</f>
        <v>44837</v>
      </c>
      <c r="AK126" s="243">
        <v>8</v>
      </c>
      <c r="AL126" s="261" t="s">
        <v>311</v>
      </c>
      <c r="AM126" s="251" t="s">
        <v>1534</v>
      </c>
      <c r="AN126" s="251" t="s">
        <v>1551</v>
      </c>
      <c r="AO126" s="245">
        <v>71</v>
      </c>
      <c r="AP126" s="251">
        <f ca="1">INT((TODAY()-BDD[[#This Row],[FECHA NAC]])/365)</f>
        <v>28</v>
      </c>
      <c r="AQ126" s="251">
        <v>1</v>
      </c>
      <c r="AR126" s="251">
        <f ca="1">IF(BDD[[#This Row],[ANTIG]]=0,0,1)</f>
        <v>1</v>
      </c>
      <c r="AS126" s="251"/>
      <c r="AT126" s="251"/>
      <c r="AU126" s="251"/>
      <c r="AV126" s="251"/>
      <c r="AW126" s="251"/>
      <c r="AX126" s="251"/>
      <c r="AY126" s="251"/>
      <c r="AZ126" s="251">
        <f t="shared" ca="1" si="4"/>
        <v>633</v>
      </c>
    </row>
    <row r="127" spans="2:52" ht="15" customHeight="1" x14ac:dyDescent="0.25">
      <c r="B127" s="243">
        <v>242</v>
      </c>
      <c r="C127" s="259" t="s">
        <v>472</v>
      </c>
      <c r="D127" s="252">
        <v>9541</v>
      </c>
      <c r="E127" s="252">
        <f>(BDD[[#This Row],[SUE MENS]]/30)</f>
        <v>318.03333333333336</v>
      </c>
      <c r="F127" s="252">
        <f>BDD[[#This Row],[SUE MENS]]/2</f>
        <v>4770.5</v>
      </c>
      <c r="G127" s="320">
        <v>40810</v>
      </c>
      <c r="H127" s="243">
        <f ca="1">INT(_xlfn.DAYS(TODAY(),BDD[[#This Row],[FECHA ING.]])/365)</f>
        <v>10</v>
      </c>
      <c r="I127" s="251" t="str">
        <f>VLOOKUP(J127,TABLAS!$B$3:$G$49,2,FALSE)</f>
        <v>DIV INGENRIA</v>
      </c>
      <c r="J127" s="198" t="s">
        <v>743</v>
      </c>
      <c r="K127" s="251" t="s">
        <v>778</v>
      </c>
      <c r="L127" s="251" t="s">
        <v>763</v>
      </c>
      <c r="M127" s="251"/>
      <c r="N127" s="253" t="s">
        <v>1931</v>
      </c>
      <c r="O127" s="251" t="str">
        <f>IFERROR(VLOOKUP(BDD[[#This Row],[SUBDPTO]],TABLAS!$B$4:$D$36,3,0)," ")</f>
        <v>DIEGO HERRERA GIRÓN</v>
      </c>
      <c r="P127" s="258">
        <v>42623</v>
      </c>
      <c r="Q127" s="254">
        <v>5422.4000000000005</v>
      </c>
      <c r="R127" s="255" t="s">
        <v>743</v>
      </c>
      <c r="S127" s="251"/>
      <c r="T127" s="251" t="s">
        <v>811</v>
      </c>
      <c r="U127" s="243">
        <f ca="1">VLOOKUP(BDD[[#This Row],[ANTIG]],DIASXANT18[#All],2)</f>
        <v>20</v>
      </c>
      <c r="V127" s="256">
        <f t="shared" si="6"/>
        <v>0.5</v>
      </c>
      <c r="W127" s="243">
        <f ca="1">BDD[[#This Row],[D.VAC.]]*BDD[[#This Row],[% P.V.]]</f>
        <v>10</v>
      </c>
      <c r="X127" s="243">
        <v>30</v>
      </c>
      <c r="Y127" s="257">
        <f ca="1">(365+BDD[[#This Row],[D.PAG.V.]]+BDD[[#This Row],[D.AG.]])/365</f>
        <v>1.1095890410958904</v>
      </c>
      <c r="Z127" s="243">
        <f ca="1">BDD[[#This Row],[SUE DIA]]*BDD[[#This Row],[FACTOR SDI]]</f>
        <v>352.88630136986302</v>
      </c>
      <c r="AA127" s="243">
        <f>BDD[[#This Row],[SUE DIA]]/9</f>
        <v>35.337037037037042</v>
      </c>
      <c r="AB127" s="251">
        <v>35616</v>
      </c>
      <c r="AC127" s="251" t="s">
        <v>1045</v>
      </c>
      <c r="AD127" s="251" t="s">
        <v>810</v>
      </c>
      <c r="AE127" s="260">
        <v>3325417896</v>
      </c>
      <c r="AF127" s="251" t="s">
        <v>1368</v>
      </c>
      <c r="AG127" s="251" t="s">
        <v>776</v>
      </c>
      <c r="AH127" s="251" t="s">
        <v>730</v>
      </c>
      <c r="AI127" s="243" t="s">
        <v>151</v>
      </c>
      <c r="AJ127" s="258" cm="1">
        <f t="array" aca="1" ref="AJ127" ca="1">DATE(YEAR(FECH.CONS[FECHA DE CONSULTA:]),MONTH(BDD[[#This Row],[FECHA NAC]]),DAY(BDD[[#This Row],[FECHA NAC]]))</f>
        <v>44747</v>
      </c>
      <c r="AK127" s="243">
        <v>5</v>
      </c>
      <c r="AL127" s="261" t="s">
        <v>311</v>
      </c>
      <c r="AM127" s="251" t="s">
        <v>1538</v>
      </c>
      <c r="AN127" s="251" t="s">
        <v>1551</v>
      </c>
      <c r="AO127" s="245">
        <v>57</v>
      </c>
      <c r="AP127" s="251">
        <f ca="1">INT((TODAY()-BDD[[#This Row],[FECHA NAC]])/365)</f>
        <v>25</v>
      </c>
      <c r="AQ127" s="251">
        <v>0</v>
      </c>
      <c r="AR127" s="251">
        <f ca="1">IF(BDD[[#This Row],[ANTIG]]=0,0,1)</f>
        <v>1</v>
      </c>
      <c r="AS127" s="251"/>
      <c r="AT127" s="251"/>
      <c r="AU127" s="251"/>
      <c r="AV127" s="251"/>
      <c r="AW127" s="251"/>
      <c r="AX127" s="251"/>
      <c r="AY127" s="251"/>
      <c r="AZ127" s="251">
        <f t="shared" ca="1" si="4"/>
        <v>60</v>
      </c>
    </row>
    <row r="128" spans="2:52" ht="15" customHeight="1" x14ac:dyDescent="0.25">
      <c r="B128" s="243">
        <v>243</v>
      </c>
      <c r="C128" s="259" t="s">
        <v>454</v>
      </c>
      <c r="D128" s="252">
        <v>10860</v>
      </c>
      <c r="E128" s="252">
        <f>(BDD[[#This Row],[SUE MENS]]/30)</f>
        <v>362</v>
      </c>
      <c r="F128" s="252">
        <f>BDD[[#This Row],[SUE MENS]]/2</f>
        <v>5430</v>
      </c>
      <c r="G128" s="320">
        <v>40856</v>
      </c>
      <c r="H128" s="243">
        <f ca="1">INT(_xlfn.DAYS(TODAY(),BDD[[#This Row],[FECHA ING.]])/365)</f>
        <v>10</v>
      </c>
      <c r="I128" s="251" t="str">
        <f>VLOOKUP(J128,TABLAS!$B$3:$G$49,2,FALSE)</f>
        <v>DIV ARQUIT</v>
      </c>
      <c r="J128" s="198" t="s">
        <v>740</v>
      </c>
      <c r="K128" s="251" t="s">
        <v>778</v>
      </c>
      <c r="L128" s="251" t="s">
        <v>763</v>
      </c>
      <c r="M128" s="251"/>
      <c r="N128" s="244" t="s">
        <v>2019</v>
      </c>
      <c r="O128" s="251" t="str">
        <f>IFERROR(VLOOKUP(BDD[[#This Row],[SUBDPTO]],TABLAS!$B$4:$D$36,3,0)," ")</f>
        <v>MÉRIDA ISELA MEDINA SALINAS</v>
      </c>
      <c r="P128" s="258">
        <v>42093</v>
      </c>
      <c r="Q128" s="254">
        <v>5956</v>
      </c>
      <c r="R128" s="255" t="s">
        <v>735</v>
      </c>
      <c r="S128" s="255" t="s">
        <v>744</v>
      </c>
      <c r="T128" s="251" t="s">
        <v>811</v>
      </c>
      <c r="U128" s="243">
        <f ca="1">VLOOKUP(BDD[[#This Row],[ANTIG]],DIASXANT18[#All],2)</f>
        <v>20</v>
      </c>
      <c r="V128" s="256">
        <f t="shared" si="6"/>
        <v>0.5</v>
      </c>
      <c r="W128" s="243">
        <f ca="1">BDD[[#This Row],[D.VAC.]]*BDD[[#This Row],[% P.V.]]</f>
        <v>10</v>
      </c>
      <c r="X128" s="243">
        <v>30</v>
      </c>
      <c r="Y128" s="257">
        <f ca="1">(365+BDD[[#This Row],[D.PAG.V.]]+BDD[[#This Row],[D.AG.]])/365</f>
        <v>1.1095890410958904</v>
      </c>
      <c r="Z128" s="243">
        <f ca="1">BDD[[#This Row],[SUE DIA]]*BDD[[#This Row],[FACTOR SDI]]</f>
        <v>401.67123287671234</v>
      </c>
      <c r="AA128" s="243">
        <f>BDD[[#This Row],[SUE DIA]]/9</f>
        <v>40.222222222222221</v>
      </c>
      <c r="AB128" s="251">
        <v>28598</v>
      </c>
      <c r="AC128" s="251" t="s">
        <v>1041</v>
      </c>
      <c r="AD128" s="251" t="s">
        <v>790</v>
      </c>
      <c r="AE128" s="260">
        <v>8181478965</v>
      </c>
      <c r="AF128" s="251" t="s">
        <v>1359</v>
      </c>
      <c r="AG128" s="251" t="s">
        <v>776</v>
      </c>
      <c r="AH128" s="251" t="s">
        <v>1555</v>
      </c>
      <c r="AI128" s="243" t="s">
        <v>151</v>
      </c>
      <c r="AJ128" s="258" cm="1">
        <f t="array" aca="1" ref="AJ128" ca="1">DATE(YEAR(FECH.CONS[FECHA DE CONSULTA:]),MONTH(BDD[[#This Row],[FECHA NAC]]),DAY(BDD[[#This Row],[FECHA NAC]]))</f>
        <v>44669</v>
      </c>
      <c r="AK128" s="243">
        <v>5</v>
      </c>
      <c r="AL128" s="261" t="s">
        <v>311</v>
      </c>
      <c r="AM128" s="251" t="s">
        <v>1543</v>
      </c>
      <c r="AN128" s="251" t="s">
        <v>1551</v>
      </c>
      <c r="AO128" s="245">
        <v>70</v>
      </c>
      <c r="AP128" s="251">
        <f ca="1">INT((TODAY()-BDD[[#This Row],[FECHA NAC]])/365)</f>
        <v>44</v>
      </c>
      <c r="AQ128" s="251">
        <v>3</v>
      </c>
      <c r="AR128" s="251">
        <f ca="1">IF(BDD[[#This Row],[ANTIG]]=0,0,1)</f>
        <v>1</v>
      </c>
      <c r="AS128" s="251"/>
      <c r="AT128" s="251"/>
      <c r="AU128" s="251"/>
      <c r="AV128" s="251"/>
      <c r="AW128" s="251"/>
      <c r="AX128" s="251"/>
      <c r="AY128" s="251"/>
      <c r="AZ128" s="251">
        <f t="shared" ca="1" si="4"/>
        <v>886</v>
      </c>
    </row>
    <row r="129" spans="2:52" ht="15" customHeight="1" x14ac:dyDescent="0.25">
      <c r="B129" s="243">
        <v>245</v>
      </c>
      <c r="C129" s="251" t="s">
        <v>230</v>
      </c>
      <c r="D129" s="263">
        <v>7445</v>
      </c>
      <c r="E129" s="252">
        <f>(BDD[[#This Row],[SUE MENS]]/30)</f>
        <v>248.16666666666666</v>
      </c>
      <c r="F129" s="252">
        <f>BDD[[#This Row],[SUE MENS]]/2</f>
        <v>3722.5</v>
      </c>
      <c r="G129" s="320">
        <v>40857</v>
      </c>
      <c r="H129" s="243">
        <f ca="1">INT(_xlfn.DAYS(TODAY(),BDD[[#This Row],[FECHA ING.]])/365)</f>
        <v>10</v>
      </c>
      <c r="I129" s="251" t="str">
        <f>VLOOKUP(J129,TABLAS!$B$3:$G$49,2,FALSE)</f>
        <v>DIV ARQUIT</v>
      </c>
      <c r="J129" s="198" t="s">
        <v>741</v>
      </c>
      <c r="K129" s="251" t="s">
        <v>778</v>
      </c>
      <c r="L129" s="251" t="s">
        <v>763</v>
      </c>
      <c r="M129" s="251"/>
      <c r="N129" s="253" t="s">
        <v>1892</v>
      </c>
      <c r="O129" s="251" t="str">
        <f>IFERROR(VLOOKUP(BDD[[#This Row],[SUBDPTO]],TABLAS!$B$4:$D$36,3,0)," ")</f>
        <v>MÉRIDA ISELA MEDINA SALINAS</v>
      </c>
      <c r="P129" s="258"/>
      <c r="Q129" s="264"/>
      <c r="R129" s="244"/>
      <c r="S129" s="251"/>
      <c r="T129" s="251" t="s">
        <v>811</v>
      </c>
      <c r="U129" s="243">
        <f ca="1">VLOOKUP(BDD[[#This Row],[ANTIG]],DIASXANT18[#All],2)</f>
        <v>20</v>
      </c>
      <c r="V129" s="256">
        <f t="shared" si="6"/>
        <v>0.5</v>
      </c>
      <c r="W129" s="243">
        <f ca="1">BDD[[#This Row],[D.VAC.]]*BDD[[#This Row],[% P.V.]]</f>
        <v>10</v>
      </c>
      <c r="X129" s="243">
        <v>30</v>
      </c>
      <c r="Y129" s="257">
        <f ca="1">(365+BDD[[#This Row],[D.PAG.V.]]+BDD[[#This Row],[D.AG.]])/365</f>
        <v>1.1095890410958904</v>
      </c>
      <c r="Z129" s="243">
        <f ca="1">BDD[[#This Row],[SUE DIA]]*BDD[[#This Row],[FACTOR SDI]]</f>
        <v>275.36301369863014</v>
      </c>
      <c r="AA129" s="243">
        <f>BDD[[#This Row],[SUE DIA]]/9</f>
        <v>27.574074074074073</v>
      </c>
      <c r="AB129" s="251">
        <v>30275</v>
      </c>
      <c r="AC129" s="251" t="s">
        <v>940</v>
      </c>
      <c r="AD129" s="251" t="s">
        <v>790</v>
      </c>
      <c r="AE129" s="252">
        <v>8206138593</v>
      </c>
      <c r="AF129" s="251" t="s">
        <v>1132</v>
      </c>
      <c r="AG129" s="251" t="s">
        <v>776</v>
      </c>
      <c r="AH129" s="251" t="s">
        <v>1555</v>
      </c>
      <c r="AI129" s="243" t="s">
        <v>151</v>
      </c>
      <c r="AJ129" s="258" cm="1">
        <f t="array" aca="1" ref="AJ129" ca="1">DATE(YEAR(FECH.CONS[FECHA DE CONSULTA:]),MONTH(BDD[[#This Row],[FECHA NAC]]),DAY(BDD[[#This Row],[FECHA NAC]]))</f>
        <v>44885</v>
      </c>
      <c r="AK129" s="243"/>
      <c r="AL129" s="261" t="s">
        <v>312</v>
      </c>
      <c r="AM129" s="251" t="s">
        <v>1543</v>
      </c>
      <c r="AN129" s="251" t="s">
        <v>1551</v>
      </c>
      <c r="AO129" s="245">
        <v>44</v>
      </c>
      <c r="AP129" s="251">
        <f ca="1">INT((TODAY()-BDD[[#This Row],[FECHA NAC]])/365)</f>
        <v>39</v>
      </c>
      <c r="AQ129" s="251">
        <v>2</v>
      </c>
      <c r="AR129" s="251">
        <f ca="1">IF(BDD[[#This Row],[ANTIG]]=0,0,1)</f>
        <v>1</v>
      </c>
      <c r="AS129" s="251"/>
      <c r="AT129" s="251"/>
      <c r="AU129" s="251"/>
      <c r="AV129" s="251"/>
      <c r="AW129" s="251"/>
      <c r="AX129" s="251"/>
      <c r="AY129" s="251"/>
      <c r="AZ129" s="251">
        <f t="shared" ca="1" si="4"/>
        <v>130</v>
      </c>
    </row>
    <row r="130" spans="2:52" ht="15" customHeight="1" x14ac:dyDescent="0.25">
      <c r="B130" s="243">
        <v>246</v>
      </c>
      <c r="C130" s="259" t="s">
        <v>583</v>
      </c>
      <c r="D130" s="244">
        <v>6778</v>
      </c>
      <c r="E130" s="252">
        <f>(BDD[[#This Row],[SUE MENS]]/30)</f>
        <v>225.93333333333334</v>
      </c>
      <c r="F130" s="252">
        <f>BDD[[#This Row],[SUE MENS]]/2</f>
        <v>3389</v>
      </c>
      <c r="G130" s="320">
        <v>40860</v>
      </c>
      <c r="H130" s="243">
        <f ca="1">INT(_xlfn.DAYS(TODAY(),BDD[[#This Row],[FECHA ING.]])/365)</f>
        <v>10</v>
      </c>
      <c r="I130" s="251" t="str">
        <f>VLOOKUP(J130,TABLAS!$B$3:$G$49,2,FALSE)</f>
        <v>CONTRATOS</v>
      </c>
      <c r="J130" s="198" t="s">
        <v>739</v>
      </c>
      <c r="K130" s="251" t="s">
        <v>778</v>
      </c>
      <c r="L130" s="251" t="s">
        <v>763</v>
      </c>
      <c r="M130" s="251"/>
      <c r="N130" s="253" t="s">
        <v>1916</v>
      </c>
      <c r="O130" s="251" t="str">
        <f>IFERROR(VLOOKUP(BDD[[#This Row],[SUBDPTO]],TABLAS!$B$4:$D$36,3,0)," ")</f>
        <v>IDALIA GARCÍA ESCRIVÁ</v>
      </c>
      <c r="P130" s="258"/>
      <c r="Q130" s="264"/>
      <c r="R130" s="244"/>
      <c r="S130" s="251"/>
      <c r="T130" s="251" t="s">
        <v>301</v>
      </c>
      <c r="U130" s="243">
        <f ca="1">VLOOKUP(BDD[[#This Row],[ANTIG]],DIASXANT18[#All],2)</f>
        <v>20</v>
      </c>
      <c r="V130" s="266">
        <v>0.25</v>
      </c>
      <c r="W130" s="243">
        <f ca="1">BDD[[#This Row],[D.VAC.]]*BDD[[#This Row],[% P.V.]]</f>
        <v>5</v>
      </c>
      <c r="X130" s="265">
        <v>15</v>
      </c>
      <c r="Y130" s="257">
        <f ca="1">(365+BDD[[#This Row],[D.PAG.V.]]+BDD[[#This Row],[D.AG.]])/365</f>
        <v>1.0547945205479452</v>
      </c>
      <c r="Z130" s="243">
        <f ca="1">BDD[[#This Row],[SUE DIA]]*BDD[[#This Row],[FACTOR SDI]]</f>
        <v>238.31324200913241</v>
      </c>
      <c r="AA130" s="243">
        <f>BDD[[#This Row],[SUE DIA]]/9</f>
        <v>25.103703703703705</v>
      </c>
      <c r="AB130" s="251">
        <v>27754</v>
      </c>
      <c r="AC130" s="251" t="s">
        <v>995</v>
      </c>
      <c r="AD130" s="251" t="s">
        <v>786</v>
      </c>
      <c r="AE130" s="260">
        <v>6514746316</v>
      </c>
      <c r="AF130" s="251" t="s">
        <v>1443</v>
      </c>
      <c r="AG130" s="251" t="s">
        <v>773</v>
      </c>
      <c r="AH130" s="251" t="s">
        <v>730</v>
      </c>
      <c r="AI130" s="243" t="s">
        <v>152</v>
      </c>
      <c r="AJ130" s="258" cm="1">
        <f t="array" aca="1" ref="AJ130" ca="1">DATE(YEAR(FECH.CONS[FECHA DE CONSULTA:]),MONTH(BDD[[#This Row],[FECHA NAC]]),DAY(BDD[[#This Row],[FECHA NAC]]))</f>
        <v>44921</v>
      </c>
      <c r="AK130" s="243">
        <v>6</v>
      </c>
      <c r="AL130" s="261" t="s">
        <v>311</v>
      </c>
      <c r="AM130" s="251" t="s">
        <v>1538</v>
      </c>
      <c r="AN130" s="251" t="s">
        <v>1551</v>
      </c>
      <c r="AO130" s="245">
        <v>36</v>
      </c>
      <c r="AP130" s="251">
        <f ca="1">INT((TODAY()-BDD[[#This Row],[FECHA NAC]])/365)</f>
        <v>46</v>
      </c>
      <c r="AQ130" s="251">
        <v>1</v>
      </c>
      <c r="AR130" s="251">
        <f ca="1">IF(BDD[[#This Row],[ANTIG]]=0,0,1)</f>
        <v>1</v>
      </c>
      <c r="AS130" s="251"/>
      <c r="AT130" s="251"/>
      <c r="AU130" s="251"/>
      <c r="AV130" s="251"/>
      <c r="AW130" s="251"/>
      <c r="AX130" s="251"/>
      <c r="AY130" s="251"/>
      <c r="AZ130" s="251">
        <f t="shared" ca="1" si="4"/>
        <v>352</v>
      </c>
    </row>
    <row r="131" spans="2:52" ht="15" customHeight="1" x14ac:dyDescent="0.25">
      <c r="B131" s="243">
        <v>247</v>
      </c>
      <c r="C131" s="259" t="s">
        <v>545</v>
      </c>
      <c r="D131" s="252">
        <v>9541</v>
      </c>
      <c r="E131" s="252">
        <f>(BDD[[#This Row],[SUE MENS]]/30)</f>
        <v>318.03333333333336</v>
      </c>
      <c r="F131" s="252">
        <f>BDD[[#This Row],[SUE MENS]]/2</f>
        <v>4770.5</v>
      </c>
      <c r="G131" s="320">
        <v>40887</v>
      </c>
      <c r="H131" s="243">
        <f ca="1">INT(_xlfn.DAYS(TODAY(),BDD[[#This Row],[FECHA ING.]])/365)</f>
        <v>10</v>
      </c>
      <c r="I131" s="251" t="str">
        <f>VLOOKUP(J131,TABLAS!$B$3:$G$49,2,FALSE)</f>
        <v>DIV ARQUIT</v>
      </c>
      <c r="J131" s="198" t="s">
        <v>740</v>
      </c>
      <c r="K131" s="251" t="s">
        <v>778</v>
      </c>
      <c r="L131" s="251" t="s">
        <v>763</v>
      </c>
      <c r="M131" s="251"/>
      <c r="N131" s="253" t="s">
        <v>1750</v>
      </c>
      <c r="O131" s="251" t="str">
        <f>IFERROR(VLOOKUP(BDD[[#This Row],[SUBDPTO]],TABLAS!$B$4:$D$36,3,0)," ")</f>
        <v>MÉRIDA ISELA MEDINA SALINAS</v>
      </c>
      <c r="P131" s="258">
        <v>42659</v>
      </c>
      <c r="Q131" s="254">
        <v>6158.4000000000005</v>
      </c>
      <c r="R131" s="255" t="s">
        <v>747</v>
      </c>
      <c r="S131" s="255" t="s">
        <v>744</v>
      </c>
      <c r="T131" s="251" t="s">
        <v>811</v>
      </c>
      <c r="U131" s="243">
        <f ca="1">VLOOKUP(BDD[[#This Row],[ANTIG]],DIASXANT18[#All],2)</f>
        <v>20</v>
      </c>
      <c r="V131" s="256">
        <f t="shared" ref="V131:V152" si="7">100/200</f>
        <v>0.5</v>
      </c>
      <c r="W131" s="243">
        <f ca="1">BDD[[#This Row],[D.VAC.]]*BDD[[#This Row],[% P.V.]]</f>
        <v>10</v>
      </c>
      <c r="X131" s="243">
        <v>30</v>
      </c>
      <c r="Y131" s="257">
        <f ca="1">(365+BDD[[#This Row],[D.PAG.V.]]+BDD[[#This Row],[D.AG.]])/365</f>
        <v>1.1095890410958904</v>
      </c>
      <c r="Z131" s="243">
        <f ca="1">BDD[[#This Row],[SUE DIA]]*BDD[[#This Row],[FACTOR SDI]]</f>
        <v>352.88630136986302</v>
      </c>
      <c r="AA131" s="243">
        <f>BDD[[#This Row],[SUE DIA]]/9</f>
        <v>35.337037037037042</v>
      </c>
      <c r="AB131" s="251">
        <v>36259</v>
      </c>
      <c r="AC131" s="251" t="s">
        <v>1059</v>
      </c>
      <c r="AD131" s="251" t="s">
        <v>787</v>
      </c>
      <c r="AE131" s="260">
        <v>7632541250</v>
      </c>
      <c r="AF131" s="251" t="s">
        <v>1414</v>
      </c>
      <c r="AG131" s="251" t="s">
        <v>776</v>
      </c>
      <c r="AH131" s="251" t="s">
        <v>730</v>
      </c>
      <c r="AI131" s="243" t="s">
        <v>151</v>
      </c>
      <c r="AJ131" s="258" cm="1">
        <f t="array" aca="1" ref="AJ131" ca="1">DATE(YEAR(FECH.CONS[FECHA DE CONSULTA:]),MONTH(BDD[[#This Row],[FECHA NAC]]),DAY(BDD[[#This Row],[FECHA NAC]]))</f>
        <v>44660</v>
      </c>
      <c r="AK131" s="243">
        <v>7</v>
      </c>
      <c r="AL131" s="261" t="s">
        <v>311</v>
      </c>
      <c r="AM131" s="251" t="s">
        <v>1543</v>
      </c>
      <c r="AN131" s="251" t="s">
        <v>1551</v>
      </c>
      <c r="AO131" s="243">
        <v>81</v>
      </c>
      <c r="AP131" s="251">
        <f ca="1">INT((TODAY()-BDD[[#This Row],[FECHA NAC]])/365)</f>
        <v>23</v>
      </c>
      <c r="AQ131" s="251">
        <v>3</v>
      </c>
      <c r="AR131" s="251">
        <f ca="1">IF(BDD[[#This Row],[ANTIG]]=0,0,1)</f>
        <v>1</v>
      </c>
      <c r="AS131" s="251"/>
      <c r="AT131" s="251"/>
      <c r="AU131" s="251"/>
      <c r="AV131" s="251"/>
      <c r="AW131" s="251"/>
      <c r="AX131" s="251"/>
      <c r="AY131" s="251"/>
      <c r="AZ131" s="251">
        <f t="shared" ca="1" si="4"/>
        <v>452</v>
      </c>
    </row>
    <row r="132" spans="2:52" ht="15" customHeight="1" x14ac:dyDescent="0.25">
      <c r="B132" s="243">
        <v>249</v>
      </c>
      <c r="C132" s="262" t="s">
        <v>1666</v>
      </c>
      <c r="D132" s="252">
        <v>9541</v>
      </c>
      <c r="E132" s="252">
        <f>(BDD[[#This Row],[SUE MENS]]/30)</f>
        <v>318.03333333333336</v>
      </c>
      <c r="F132" s="252">
        <f>BDD[[#This Row],[SUE MENS]]/2</f>
        <v>4770.5</v>
      </c>
      <c r="G132" s="320">
        <v>40911</v>
      </c>
      <c r="H132" s="243">
        <f ca="1">INT(_xlfn.DAYS(TODAY(),BDD[[#This Row],[FECHA ING.]])/365)</f>
        <v>10</v>
      </c>
      <c r="I132" s="251" t="str">
        <f>VLOOKUP(J132,TABLAS!$B$3:$G$49,2,FALSE)</f>
        <v>CPTAL HUMANO</v>
      </c>
      <c r="J132" s="198" t="s">
        <v>768</v>
      </c>
      <c r="K132" s="251" t="s">
        <v>778</v>
      </c>
      <c r="L132" s="251" t="s">
        <v>763</v>
      </c>
      <c r="M132" s="251"/>
      <c r="N132" s="244" t="s">
        <v>2124</v>
      </c>
      <c r="O132" s="251" t="str">
        <f>IFERROR(VLOOKUP(BDD[[#This Row],[SUBDPTO]],TABLAS!$B$4:$D$36,3,0)," ")</f>
        <v>EMMA DARIELA GARCÍA LORCA</v>
      </c>
      <c r="P132" s="258">
        <v>42924</v>
      </c>
      <c r="Q132" s="254">
        <v>5088</v>
      </c>
      <c r="R132" s="255" t="s">
        <v>740</v>
      </c>
      <c r="S132" s="251"/>
      <c r="T132" s="251" t="s">
        <v>811</v>
      </c>
      <c r="U132" s="243">
        <f ca="1">VLOOKUP(BDD[[#This Row],[ANTIG]],DIASXANT18[#All],2)</f>
        <v>20</v>
      </c>
      <c r="V132" s="256">
        <f t="shared" si="7"/>
        <v>0.5</v>
      </c>
      <c r="W132" s="243">
        <f ca="1">BDD[[#This Row],[D.VAC.]]*BDD[[#This Row],[% P.V.]]</f>
        <v>10</v>
      </c>
      <c r="X132" s="243">
        <v>30</v>
      </c>
      <c r="Y132" s="257">
        <f ca="1">(365+BDD[[#This Row],[D.PAG.V.]]+BDD[[#This Row],[D.AG.]])/365</f>
        <v>1.1095890410958904</v>
      </c>
      <c r="Z132" s="243">
        <f ca="1">BDD[[#This Row],[SUE DIA]]*BDD[[#This Row],[FACTOR SDI]]</f>
        <v>352.88630136986302</v>
      </c>
      <c r="AA132" s="243">
        <f>BDD[[#This Row],[SUE DIA]]/9</f>
        <v>35.337037037037042</v>
      </c>
      <c r="AB132" s="262">
        <v>35985</v>
      </c>
      <c r="AC132" s="251" t="s">
        <v>1036</v>
      </c>
      <c r="AD132" s="251" t="s">
        <v>810</v>
      </c>
      <c r="AE132" s="252">
        <v>8490123947</v>
      </c>
      <c r="AF132" s="251" t="s">
        <v>1337</v>
      </c>
      <c r="AG132" s="251" t="s">
        <v>776</v>
      </c>
      <c r="AH132" s="251" t="s">
        <v>1555</v>
      </c>
      <c r="AI132" s="243" t="s">
        <v>151</v>
      </c>
      <c r="AJ132" s="258" cm="1">
        <f t="array" aca="1" ref="AJ132" ca="1">DATE(YEAR(FECH.CONS[FECHA DE CONSULTA:]),MONTH(BDD[[#This Row],[FECHA NAC]]),DAY(BDD[[#This Row],[FECHA NAC]]))</f>
        <v>44751</v>
      </c>
      <c r="AK132" s="243"/>
      <c r="AL132" s="251" t="s">
        <v>311</v>
      </c>
      <c r="AM132" s="251" t="s">
        <v>1535</v>
      </c>
      <c r="AN132" s="251" t="s">
        <v>1551</v>
      </c>
      <c r="AO132" s="245">
        <v>45</v>
      </c>
      <c r="AP132" s="251">
        <f ca="1">INT((TODAY()-BDD[[#This Row],[FECHA NAC]])/365)</f>
        <v>24</v>
      </c>
      <c r="AQ132" s="251">
        <v>3</v>
      </c>
      <c r="AR132" s="251">
        <f ca="1">IF(BDD[[#This Row],[ANTIG]]=0,0,1)</f>
        <v>1</v>
      </c>
      <c r="AS132" s="251"/>
      <c r="AT132" s="251"/>
      <c r="AU132" s="251"/>
      <c r="AV132" s="251"/>
      <c r="AW132" s="251"/>
      <c r="AX132" s="251"/>
      <c r="AY132" s="251"/>
      <c r="AZ132" s="251">
        <f t="shared" ca="1" si="4"/>
        <v>267</v>
      </c>
    </row>
    <row r="133" spans="2:52" ht="15" customHeight="1" x14ac:dyDescent="0.25">
      <c r="B133" s="243">
        <v>250</v>
      </c>
      <c r="C133" s="259" t="s">
        <v>678</v>
      </c>
      <c r="D133" s="252">
        <v>9450</v>
      </c>
      <c r="E133" s="252">
        <f>(BDD[[#This Row],[SUE MENS]]/30)</f>
        <v>315</v>
      </c>
      <c r="F133" s="252">
        <f>BDD[[#This Row],[SUE MENS]]/2</f>
        <v>4725</v>
      </c>
      <c r="G133" s="320">
        <v>40922</v>
      </c>
      <c r="H133" s="243">
        <f ca="1">INT(_xlfn.DAYS(TODAY(),BDD[[#This Row],[FECHA ING.]])/365)</f>
        <v>10</v>
      </c>
      <c r="I133" s="251" t="str">
        <f>VLOOKUP(J133,TABLAS!$B$3:$G$49,2,FALSE)</f>
        <v>DIRECCIÓN</v>
      </c>
      <c r="J133" s="198" t="s">
        <v>759</v>
      </c>
      <c r="K133" s="251" t="s">
        <v>778</v>
      </c>
      <c r="L133" s="251" t="s">
        <v>763</v>
      </c>
      <c r="M133" s="251"/>
      <c r="N133" s="253" t="s">
        <v>1958</v>
      </c>
      <c r="O133" s="251" t="str">
        <f>IFERROR(VLOOKUP(BDD[[#This Row],[SUBDPTO]],TABLAS!$B$4:$D$36,3,0)," ")</f>
        <v>MARIANA RODRÍGUEZ GUTIERREZ</v>
      </c>
      <c r="P133" s="258"/>
      <c r="Q133" s="264"/>
      <c r="R133" s="244"/>
      <c r="S133" s="251"/>
      <c r="T133" s="251" t="s">
        <v>301</v>
      </c>
      <c r="U133" s="243">
        <f ca="1">VLOOKUP(BDD[[#This Row],[ANTIG]],DIASXANT18[#All],2)</f>
        <v>20</v>
      </c>
      <c r="V133" s="256">
        <f t="shared" si="7"/>
        <v>0.5</v>
      </c>
      <c r="W133" s="243">
        <f ca="1">BDD[[#This Row],[D.VAC.]]*BDD[[#This Row],[% P.V.]]</f>
        <v>10</v>
      </c>
      <c r="X133" s="243">
        <v>30</v>
      </c>
      <c r="Y133" s="257">
        <f ca="1">(365+BDD[[#This Row],[D.PAG.V.]]+BDD[[#This Row],[D.AG.]])/365</f>
        <v>1.1095890410958904</v>
      </c>
      <c r="Z133" s="243">
        <f ca="1">BDD[[#This Row],[SUE DIA]]*BDD[[#This Row],[FACTOR SDI]]</f>
        <v>349.52054794520546</v>
      </c>
      <c r="AA133" s="243">
        <f>BDD[[#This Row],[SUE DIA]]/9</f>
        <v>35</v>
      </c>
      <c r="AB133" s="251">
        <v>33056</v>
      </c>
      <c r="AC133" s="251" t="s">
        <v>1075</v>
      </c>
      <c r="AD133" s="251" t="s">
        <v>790</v>
      </c>
      <c r="AE133" s="260">
        <v>8098529532</v>
      </c>
      <c r="AF133" s="251" t="s">
        <v>1504</v>
      </c>
      <c r="AG133" s="251" t="s">
        <v>776</v>
      </c>
      <c r="AH133" s="251" t="s">
        <v>730</v>
      </c>
      <c r="AI133" s="243" t="s">
        <v>151</v>
      </c>
      <c r="AJ133" s="258" cm="1">
        <f t="array" aca="1" ref="AJ133" ca="1">DATE(YEAR(FECH.CONS[FECHA DE CONSULTA:]),MONTH(BDD[[#This Row],[FECHA NAC]]),DAY(BDD[[#This Row],[FECHA NAC]]))</f>
        <v>44744</v>
      </c>
      <c r="AK133" s="243">
        <v>6</v>
      </c>
      <c r="AL133" s="261" t="s">
        <v>311</v>
      </c>
      <c r="AM133" s="251" t="s">
        <v>1537</v>
      </c>
      <c r="AN133" s="251" t="s">
        <v>1551</v>
      </c>
      <c r="AO133" s="245">
        <v>35</v>
      </c>
      <c r="AP133" s="251">
        <f ca="1">INT((TODAY()-BDD[[#This Row],[FECHA NAC]])/365)</f>
        <v>32</v>
      </c>
      <c r="AQ133" s="251">
        <v>3</v>
      </c>
      <c r="AR133" s="251">
        <f ca="1">IF(BDD[[#This Row],[ANTIG]]=0,0,1)</f>
        <v>1</v>
      </c>
      <c r="AS133" s="251"/>
      <c r="AT133" s="251"/>
      <c r="AU133" s="251"/>
      <c r="AV133" s="251"/>
      <c r="AW133" s="251"/>
      <c r="AX133" s="251"/>
      <c r="AY133" s="251"/>
      <c r="AZ133" s="251">
        <f t="shared" ca="1" si="4"/>
        <v>616</v>
      </c>
    </row>
    <row r="134" spans="2:52" ht="15" customHeight="1" x14ac:dyDescent="0.25">
      <c r="B134" s="243">
        <v>251</v>
      </c>
      <c r="C134" s="251" t="s">
        <v>213</v>
      </c>
      <c r="D134" s="263">
        <v>7445</v>
      </c>
      <c r="E134" s="252">
        <f>(BDD[[#This Row],[SUE MENS]]/30)</f>
        <v>248.16666666666666</v>
      </c>
      <c r="F134" s="252">
        <f>BDD[[#This Row],[SUE MENS]]/2</f>
        <v>3722.5</v>
      </c>
      <c r="G134" s="320">
        <v>40931</v>
      </c>
      <c r="H134" s="243">
        <f ca="1">INT(_xlfn.DAYS(TODAY(),BDD[[#This Row],[FECHA ING.]])/365)</f>
        <v>10</v>
      </c>
      <c r="I134" s="251" t="str">
        <f>VLOOKUP(J134,TABLAS!$B$3:$G$49,2,FALSE)</f>
        <v>DIRECCIÓN</v>
      </c>
      <c r="J134" s="198" t="s">
        <v>759</v>
      </c>
      <c r="K134" s="251" t="s">
        <v>778</v>
      </c>
      <c r="L134" s="251" t="s">
        <v>763</v>
      </c>
      <c r="M134" s="251"/>
      <c r="N134" s="244" t="s">
        <v>1821</v>
      </c>
      <c r="O134" s="251" t="str">
        <f>IFERROR(VLOOKUP(BDD[[#This Row],[SUBDPTO]],TABLAS!$B$4:$D$36,3,0)," ")</f>
        <v>MARIANA RODRÍGUEZ GUTIERREZ</v>
      </c>
      <c r="P134" s="258">
        <v>43404</v>
      </c>
      <c r="Q134" s="254">
        <v>5088</v>
      </c>
      <c r="R134" s="255" t="s">
        <v>743</v>
      </c>
      <c r="S134" s="251"/>
      <c r="T134" s="251" t="s">
        <v>811</v>
      </c>
      <c r="U134" s="243">
        <f ca="1">VLOOKUP(BDD[[#This Row],[ANTIG]],DIASXANT18[#All],2)</f>
        <v>20</v>
      </c>
      <c r="V134" s="256">
        <f t="shared" si="7"/>
        <v>0.5</v>
      </c>
      <c r="W134" s="243">
        <f ca="1">BDD[[#This Row],[D.VAC.]]*BDD[[#This Row],[% P.V.]]</f>
        <v>10</v>
      </c>
      <c r="X134" s="243">
        <v>30</v>
      </c>
      <c r="Y134" s="257">
        <f ca="1">(365+BDD[[#This Row],[D.PAG.V.]]+BDD[[#This Row],[D.AG.]])/365</f>
        <v>1.1095890410958904</v>
      </c>
      <c r="Z134" s="243">
        <f ca="1">BDD[[#This Row],[SUE DIA]]*BDD[[#This Row],[FACTOR SDI]]</f>
        <v>275.36301369863014</v>
      </c>
      <c r="AA134" s="243">
        <f>BDD[[#This Row],[SUE DIA]]/9</f>
        <v>27.574074074074073</v>
      </c>
      <c r="AB134" s="251">
        <v>34374</v>
      </c>
      <c r="AC134" s="251" t="s">
        <v>988</v>
      </c>
      <c r="AD134" s="251" t="s">
        <v>791</v>
      </c>
      <c r="AE134" s="252">
        <v>8338892498</v>
      </c>
      <c r="AF134" s="251" t="s">
        <v>1230</v>
      </c>
      <c r="AG134" s="251" t="s">
        <v>774</v>
      </c>
      <c r="AH134" s="251" t="s">
        <v>725</v>
      </c>
      <c r="AI134" s="243" t="s">
        <v>151</v>
      </c>
      <c r="AJ134" s="258" cm="1">
        <f t="array" aca="1" ref="AJ134" ca="1">DATE(YEAR(FECH.CONS[FECHA DE CONSULTA:]),MONTH(BDD[[#This Row],[FECHA NAC]]),DAY(BDD[[#This Row],[FECHA NAC]]))</f>
        <v>44601</v>
      </c>
      <c r="AK134" s="243"/>
      <c r="AL134" s="261" t="s">
        <v>311</v>
      </c>
      <c r="AM134" s="251" t="s">
        <v>1535</v>
      </c>
      <c r="AN134" s="251" t="s">
        <v>1551</v>
      </c>
      <c r="AO134" s="245">
        <v>43</v>
      </c>
      <c r="AP134" s="251">
        <f ca="1">INT((TODAY()-BDD[[#This Row],[FECHA NAC]])/365)</f>
        <v>28</v>
      </c>
      <c r="AQ134" s="251">
        <v>3</v>
      </c>
      <c r="AR134" s="251">
        <f ca="1">IF(BDD[[#This Row],[ANTIG]]=0,0,1)</f>
        <v>1</v>
      </c>
      <c r="AS134" s="251"/>
      <c r="AT134" s="251"/>
      <c r="AU134" s="251"/>
      <c r="AV134" s="251"/>
      <c r="AW134" s="251"/>
      <c r="AX134" s="251"/>
      <c r="AY134" s="251"/>
      <c r="AZ134" s="251">
        <f t="shared" ca="1" si="4"/>
        <v>289</v>
      </c>
    </row>
    <row r="135" spans="2:52" ht="15" customHeight="1" x14ac:dyDescent="0.25">
      <c r="B135" s="243">
        <v>252</v>
      </c>
      <c r="C135" s="251" t="s">
        <v>205</v>
      </c>
      <c r="D135" s="252">
        <v>7950</v>
      </c>
      <c r="E135" s="252">
        <f>(BDD[[#This Row],[SUE MENS]]/30)</f>
        <v>265</v>
      </c>
      <c r="F135" s="252">
        <f>BDD[[#This Row],[SUE MENS]]/2</f>
        <v>3975</v>
      </c>
      <c r="G135" s="320">
        <v>40931</v>
      </c>
      <c r="H135" s="243">
        <f ca="1">INT(_xlfn.DAYS(TODAY(),BDD[[#This Row],[FECHA ING.]])/365)</f>
        <v>10</v>
      </c>
      <c r="I135" s="251" t="str">
        <f>VLOOKUP(J135,TABLAS!$B$3:$G$49,2,FALSE)</f>
        <v>TECNOLOGÍA</v>
      </c>
      <c r="J135" s="198" t="s">
        <v>751</v>
      </c>
      <c r="K135" s="251" t="s">
        <v>778</v>
      </c>
      <c r="L135" s="251" t="s">
        <v>763</v>
      </c>
      <c r="M135" s="251"/>
      <c r="N135" s="244" t="s">
        <v>1757</v>
      </c>
      <c r="O135" s="251" t="str">
        <f>IFERROR(VLOOKUP(BDD[[#This Row],[SUBDPTO]],TABLAS!$B$4:$D$36,3,0)," ")</f>
        <v>DENEB SANTIAGO ALTAIR VEGA</v>
      </c>
      <c r="P135" s="258"/>
      <c r="Q135" s="264"/>
      <c r="R135" s="244"/>
      <c r="S135" s="251"/>
      <c r="T135" s="251" t="s">
        <v>301</v>
      </c>
      <c r="U135" s="243">
        <f ca="1">VLOOKUP(BDD[[#This Row],[ANTIG]],DIASXANT18[#All],2)</f>
        <v>20</v>
      </c>
      <c r="V135" s="256">
        <f t="shared" si="7"/>
        <v>0.5</v>
      </c>
      <c r="W135" s="243">
        <f ca="1">BDD[[#This Row],[D.VAC.]]*BDD[[#This Row],[% P.V.]]</f>
        <v>10</v>
      </c>
      <c r="X135" s="243">
        <v>30</v>
      </c>
      <c r="Y135" s="257">
        <f ca="1">(365+BDD[[#This Row],[D.PAG.V.]]+BDD[[#This Row],[D.AG.]])/365</f>
        <v>1.1095890410958904</v>
      </c>
      <c r="Z135" s="243">
        <f ca="1">BDD[[#This Row],[SUE DIA]]*BDD[[#This Row],[FACTOR SDI]]</f>
        <v>294.04109589041093</v>
      </c>
      <c r="AA135" s="243">
        <f>BDD[[#This Row],[SUE DIA]]/9</f>
        <v>29.444444444444443</v>
      </c>
      <c r="AB135" s="251">
        <v>33130</v>
      </c>
      <c r="AC135" s="251" t="s">
        <v>938</v>
      </c>
      <c r="AD135" s="251" t="s">
        <v>790</v>
      </c>
      <c r="AE135" s="252">
        <v>5553497812</v>
      </c>
      <c r="AF135" s="251" t="s">
        <v>1220</v>
      </c>
      <c r="AG135" s="251" t="s">
        <v>776</v>
      </c>
      <c r="AH135" s="251" t="s">
        <v>730</v>
      </c>
      <c r="AI135" s="243" t="s">
        <v>151</v>
      </c>
      <c r="AJ135" s="258" cm="1">
        <f t="array" aca="1" ref="AJ135" ca="1">DATE(YEAR(FECH.CONS[FECHA DE CONSULTA:]),MONTH(BDD[[#This Row],[FECHA NAC]]),DAY(BDD[[#This Row],[FECHA NAC]]))</f>
        <v>44818</v>
      </c>
      <c r="AK135" s="243">
        <v>9</v>
      </c>
      <c r="AL135" s="261" t="s">
        <v>311</v>
      </c>
      <c r="AM135" s="251" t="s">
        <v>1536</v>
      </c>
      <c r="AN135" s="251" t="s">
        <v>1551</v>
      </c>
      <c r="AO135" s="245">
        <v>78</v>
      </c>
      <c r="AP135" s="251">
        <f ca="1">INT((TODAY()-BDD[[#This Row],[FECHA NAC]])/365)</f>
        <v>31</v>
      </c>
      <c r="AQ135" s="251">
        <v>3</v>
      </c>
      <c r="AR135" s="251">
        <f ca="1">IF(BDD[[#This Row],[ANTIG]]=0,0,1)</f>
        <v>1</v>
      </c>
      <c r="AS135" s="251"/>
      <c r="AT135" s="251"/>
      <c r="AU135" s="251"/>
      <c r="AV135" s="251"/>
      <c r="AW135" s="251"/>
      <c r="AX135" s="251"/>
      <c r="AY135" s="251"/>
      <c r="AZ135" s="251">
        <f t="shared" ca="1" si="4"/>
        <v>404</v>
      </c>
    </row>
    <row r="136" spans="2:52" ht="15" customHeight="1" x14ac:dyDescent="0.25">
      <c r="B136" s="243">
        <v>253</v>
      </c>
      <c r="C136" s="262" t="s">
        <v>370</v>
      </c>
      <c r="D136" s="252">
        <v>8825</v>
      </c>
      <c r="E136" s="252">
        <f>(BDD[[#This Row],[SUE MENS]]/30)</f>
        <v>294.16666666666669</v>
      </c>
      <c r="F136" s="252">
        <f>BDD[[#This Row],[SUE MENS]]/2</f>
        <v>4412.5</v>
      </c>
      <c r="G136" s="320">
        <v>41060</v>
      </c>
      <c r="H136" s="243">
        <f ca="1">INT(_xlfn.DAYS(TODAY(),BDD[[#This Row],[FECHA ING.]])/365)</f>
        <v>10</v>
      </c>
      <c r="I136" s="251" t="str">
        <f>VLOOKUP(J136,TABLAS!$B$3:$G$49,2,FALSE)</f>
        <v>CONTABILIDAD</v>
      </c>
      <c r="J136" s="198" t="s">
        <v>737</v>
      </c>
      <c r="K136" s="251" t="s">
        <v>778</v>
      </c>
      <c r="L136" s="251" t="s">
        <v>763</v>
      </c>
      <c r="M136" s="251"/>
      <c r="N136" s="244" t="s">
        <v>2107</v>
      </c>
      <c r="O136" s="251" t="str">
        <f>IFERROR(VLOOKUP(BDD[[#This Row],[SUBDPTO]],TABLAS!$B$4:$D$36,3,0)," ")</f>
        <v>IRIE DALÍ ANTARES CORTÉS</v>
      </c>
      <c r="P136" s="258">
        <v>43077</v>
      </c>
      <c r="Q136" s="254">
        <v>6158.4000000000005</v>
      </c>
      <c r="R136" s="255" t="s">
        <v>734</v>
      </c>
      <c r="S136" s="251"/>
      <c r="T136" s="251" t="s">
        <v>301</v>
      </c>
      <c r="U136" s="243">
        <f ca="1">VLOOKUP(BDD[[#This Row],[ANTIG]],DIASXANT18[#All],2)</f>
        <v>20</v>
      </c>
      <c r="V136" s="256">
        <f t="shared" si="7"/>
        <v>0.5</v>
      </c>
      <c r="W136" s="243">
        <f ca="1">BDD[[#This Row],[D.VAC.]]*BDD[[#This Row],[% P.V.]]</f>
        <v>10</v>
      </c>
      <c r="X136" s="243">
        <v>30</v>
      </c>
      <c r="Y136" s="257">
        <f ca="1">(365+BDD[[#This Row],[D.PAG.V.]]+BDD[[#This Row],[D.AG.]])/365</f>
        <v>1.1095890410958904</v>
      </c>
      <c r="Z136" s="243">
        <f ca="1">BDD[[#This Row],[SUE DIA]]*BDD[[#This Row],[FACTOR SDI]]</f>
        <v>326.40410958904113</v>
      </c>
      <c r="AA136" s="243">
        <f>BDD[[#This Row],[SUE DIA]]/9</f>
        <v>32.68518518518519</v>
      </c>
      <c r="AB136" s="251">
        <v>33553</v>
      </c>
      <c r="AC136" s="251" t="s">
        <v>928</v>
      </c>
      <c r="AD136" s="251" t="s">
        <v>787</v>
      </c>
      <c r="AE136" s="252">
        <v>7942634235.5</v>
      </c>
      <c r="AF136" s="251" t="s">
        <v>1350</v>
      </c>
      <c r="AG136" s="251" t="s">
        <v>774</v>
      </c>
      <c r="AH136" s="251" t="s">
        <v>730</v>
      </c>
      <c r="AI136" s="243" t="s">
        <v>153</v>
      </c>
      <c r="AJ136" s="258" cm="1">
        <f t="array" aca="1" ref="AJ136" ca="1">DATE(YEAR(FECH.CONS[FECHA DE CONSULTA:]),MONTH(BDD[[#This Row],[FECHA NAC]]),DAY(BDD[[#This Row],[FECHA NAC]]))</f>
        <v>44876</v>
      </c>
      <c r="AK136" s="243">
        <v>8</v>
      </c>
      <c r="AL136" s="251" t="s">
        <v>311</v>
      </c>
      <c r="AM136" s="251" t="s">
        <v>1534</v>
      </c>
      <c r="AN136" s="251" t="s">
        <v>1551</v>
      </c>
      <c r="AO136" s="245">
        <v>43</v>
      </c>
      <c r="AP136" s="251">
        <f ca="1">INT((TODAY()-BDD[[#This Row],[FECHA NAC]])/365)</f>
        <v>30</v>
      </c>
      <c r="AQ136" s="251">
        <v>3</v>
      </c>
      <c r="AR136" s="251">
        <f ca="1">IF(BDD[[#This Row],[ANTIG]]=0,0,1)</f>
        <v>1</v>
      </c>
      <c r="AS136" s="251"/>
      <c r="AT136" s="251"/>
      <c r="AU136" s="251"/>
      <c r="AV136" s="251"/>
      <c r="AW136" s="251"/>
      <c r="AX136" s="251"/>
      <c r="AY136" s="251"/>
      <c r="AZ136" s="251">
        <f t="shared" ca="1" si="4"/>
        <v>527</v>
      </c>
    </row>
    <row r="137" spans="2:52" ht="15" customHeight="1" x14ac:dyDescent="0.25">
      <c r="B137" s="243">
        <v>254</v>
      </c>
      <c r="C137" s="251" t="s">
        <v>1654</v>
      </c>
      <c r="D137" s="252">
        <v>9450</v>
      </c>
      <c r="E137" s="252">
        <f>(BDD[[#This Row],[SUE MENS]]/30)</f>
        <v>315</v>
      </c>
      <c r="F137" s="252">
        <f>BDD[[#This Row],[SUE MENS]]/2</f>
        <v>4725</v>
      </c>
      <c r="G137" s="320">
        <v>41086</v>
      </c>
      <c r="H137" s="243">
        <f ca="1">INT(_xlfn.DAYS(TODAY(),BDD[[#This Row],[FECHA ING.]])/365)</f>
        <v>10</v>
      </c>
      <c r="I137" s="251" t="str">
        <f>VLOOKUP(J137,TABLAS!$B$3:$G$49,2,FALSE)</f>
        <v>DIRECCIÓN</v>
      </c>
      <c r="J137" s="198" t="s">
        <v>759</v>
      </c>
      <c r="K137" s="251" t="s">
        <v>778</v>
      </c>
      <c r="L137" s="251" t="s">
        <v>763</v>
      </c>
      <c r="M137" s="251"/>
      <c r="N137" s="244" t="s">
        <v>2142</v>
      </c>
      <c r="O137" s="251" t="str">
        <f>IFERROR(VLOOKUP(BDD[[#This Row],[SUBDPTO]],TABLAS!$B$4:$D$36,3,0)," ")</f>
        <v>MARIANA RODRÍGUEZ GUTIERREZ</v>
      </c>
      <c r="P137" s="258">
        <v>43444</v>
      </c>
      <c r="Q137" s="254">
        <v>7060</v>
      </c>
      <c r="R137" s="255" t="s">
        <v>751</v>
      </c>
      <c r="S137" s="251"/>
      <c r="T137" s="251" t="s">
        <v>301</v>
      </c>
      <c r="U137" s="243">
        <f ca="1">VLOOKUP(BDD[[#This Row],[ANTIG]],DIASXANT18[#All],2)</f>
        <v>20</v>
      </c>
      <c r="V137" s="256">
        <f t="shared" si="7"/>
        <v>0.5</v>
      </c>
      <c r="W137" s="243">
        <f ca="1">BDD[[#This Row],[D.VAC.]]*BDD[[#This Row],[% P.V.]]</f>
        <v>10</v>
      </c>
      <c r="X137" s="243">
        <v>30</v>
      </c>
      <c r="Y137" s="257">
        <f ca="1">(365+BDD[[#This Row],[D.PAG.V.]]+BDD[[#This Row],[D.AG.]])/365</f>
        <v>1.1095890410958904</v>
      </c>
      <c r="Z137" s="243">
        <f ca="1">BDD[[#This Row],[SUE DIA]]*BDD[[#This Row],[FACTOR SDI]]</f>
        <v>349.52054794520546</v>
      </c>
      <c r="AA137" s="243">
        <f>BDD[[#This Row],[SUE DIA]]/9</f>
        <v>35</v>
      </c>
      <c r="AB137" s="251">
        <v>33449</v>
      </c>
      <c r="AC137" s="251" t="s">
        <v>955</v>
      </c>
      <c r="AD137" s="251" t="s">
        <v>789</v>
      </c>
      <c r="AE137" s="252">
        <v>8972981254</v>
      </c>
      <c r="AF137" s="251" t="s">
        <v>1179</v>
      </c>
      <c r="AG137" s="251" t="s">
        <v>776</v>
      </c>
      <c r="AH137" s="251" t="s">
        <v>730</v>
      </c>
      <c r="AI137" s="243" t="s">
        <v>152</v>
      </c>
      <c r="AJ137" s="258" cm="1">
        <f t="array" aca="1" ref="AJ137" ca="1">DATE(YEAR(FECH.CONS[FECHA DE CONSULTA:]),MONTH(BDD[[#This Row],[FECHA NAC]]),DAY(BDD[[#This Row],[FECHA NAC]]))</f>
        <v>44772</v>
      </c>
      <c r="AK137" s="243">
        <v>7</v>
      </c>
      <c r="AL137" s="251" t="s">
        <v>311</v>
      </c>
      <c r="AM137" s="251" t="s">
        <v>1537</v>
      </c>
      <c r="AN137" s="251" t="s">
        <v>1551</v>
      </c>
      <c r="AO137" s="245">
        <v>88</v>
      </c>
      <c r="AP137" s="251">
        <f ca="1">INT((TODAY()-BDD[[#This Row],[FECHA NAC]])/365)</f>
        <v>30</v>
      </c>
      <c r="AQ137" s="251">
        <v>3</v>
      </c>
      <c r="AR137" s="251">
        <f ca="1">IF(BDD[[#This Row],[ANTIG]]=0,0,1)</f>
        <v>1</v>
      </c>
      <c r="AS137" s="251"/>
      <c r="AT137" s="251"/>
      <c r="AU137" s="251"/>
      <c r="AV137" s="251"/>
      <c r="AW137" s="251"/>
      <c r="AX137" s="251"/>
      <c r="AY137" s="251"/>
      <c r="AZ137" s="251">
        <f t="shared" ref="AZ137:AZ200" ca="1" si="8">RANDBETWEEN(1,1000)</f>
        <v>708</v>
      </c>
    </row>
    <row r="138" spans="2:52" ht="15" customHeight="1" x14ac:dyDescent="0.25">
      <c r="B138" s="243">
        <v>255</v>
      </c>
      <c r="C138" s="262" t="s">
        <v>336</v>
      </c>
      <c r="D138" s="263">
        <v>7445</v>
      </c>
      <c r="E138" s="252">
        <f>(BDD[[#This Row],[SUE MENS]]/30)</f>
        <v>248.16666666666666</v>
      </c>
      <c r="F138" s="252">
        <f>BDD[[#This Row],[SUE MENS]]/2</f>
        <v>3722.5</v>
      </c>
      <c r="G138" s="319">
        <v>41117</v>
      </c>
      <c r="H138" s="243">
        <f ca="1">INT(_xlfn.DAYS(TODAY(),BDD[[#This Row],[FECHA ING.]])/365)</f>
        <v>9</v>
      </c>
      <c r="I138" s="251" t="str">
        <f>VLOOKUP(J138,TABLAS!$B$3:$G$49,2,FALSE)</f>
        <v>DIV ARQUIT</v>
      </c>
      <c r="J138" s="198" t="s">
        <v>740</v>
      </c>
      <c r="K138" s="251" t="s">
        <v>778</v>
      </c>
      <c r="L138" s="251" t="s">
        <v>763</v>
      </c>
      <c r="M138" s="251"/>
      <c r="N138" s="244" t="s">
        <v>1869</v>
      </c>
      <c r="O138" s="251" t="str">
        <f>IFERROR(VLOOKUP(BDD[[#This Row],[SUBDPTO]],TABLAS!$B$4:$D$36,3,0)," ")</f>
        <v>MÉRIDA ISELA MEDINA SALINAS</v>
      </c>
      <c r="P138" s="258"/>
      <c r="Q138" s="264"/>
      <c r="R138" s="244"/>
      <c r="S138" s="251"/>
      <c r="T138" s="251" t="s">
        <v>811</v>
      </c>
      <c r="U138" s="243">
        <f ca="1">VLOOKUP(BDD[[#This Row],[ANTIG]],DIASXANT18[#All],2)</f>
        <v>16</v>
      </c>
      <c r="V138" s="256">
        <f t="shared" si="7"/>
        <v>0.5</v>
      </c>
      <c r="W138" s="243">
        <f ca="1">BDD[[#This Row],[D.VAC.]]*BDD[[#This Row],[% P.V.]]</f>
        <v>8</v>
      </c>
      <c r="X138" s="243">
        <v>30</v>
      </c>
      <c r="Y138" s="257">
        <f ca="1">(365+BDD[[#This Row],[D.PAG.V.]]+BDD[[#This Row],[D.AG.]])/365</f>
        <v>1.1041095890410959</v>
      </c>
      <c r="Z138" s="243">
        <f ca="1">BDD[[#This Row],[SUE DIA]]*BDD[[#This Row],[FACTOR SDI]]</f>
        <v>274.00319634703197</v>
      </c>
      <c r="AA138" s="243">
        <f>BDD[[#This Row],[SUE DIA]]/9</f>
        <v>27.574074074074073</v>
      </c>
      <c r="AB138" s="262">
        <v>32184</v>
      </c>
      <c r="AC138" s="251" t="s">
        <v>882</v>
      </c>
      <c r="AD138" s="251" t="s">
        <v>787</v>
      </c>
      <c r="AE138" s="252">
        <v>8400939067</v>
      </c>
      <c r="AF138" s="251" t="s">
        <v>1304</v>
      </c>
      <c r="AG138" s="251" t="s">
        <v>776</v>
      </c>
      <c r="AH138" s="251" t="s">
        <v>730</v>
      </c>
      <c r="AI138" s="243" t="s">
        <v>151</v>
      </c>
      <c r="AJ138" s="258" cm="1">
        <f t="array" aca="1" ref="AJ138" ca="1">DATE(YEAR(FECH.CONS[FECHA DE CONSULTA:]),MONTH(BDD[[#This Row],[FECHA NAC]]),DAY(BDD[[#This Row],[FECHA NAC]]))</f>
        <v>44603</v>
      </c>
      <c r="AK138" s="243">
        <v>9</v>
      </c>
      <c r="AL138" s="261" t="s">
        <v>312</v>
      </c>
      <c r="AM138" s="251" t="s">
        <v>1543</v>
      </c>
      <c r="AN138" s="251" t="s">
        <v>1551</v>
      </c>
      <c r="AO138" s="245">
        <v>44</v>
      </c>
      <c r="AP138" s="251">
        <f ca="1">INT((TODAY()-BDD[[#This Row],[FECHA NAC]])/365)</f>
        <v>34</v>
      </c>
      <c r="AQ138" s="251">
        <v>0</v>
      </c>
      <c r="AR138" s="251">
        <f ca="1">IF(BDD[[#This Row],[ANTIG]]=0,0,1)</f>
        <v>1</v>
      </c>
      <c r="AS138" s="251"/>
      <c r="AT138" s="251"/>
      <c r="AU138" s="251"/>
      <c r="AV138" s="251"/>
      <c r="AW138" s="251"/>
      <c r="AX138" s="251"/>
      <c r="AY138" s="251"/>
      <c r="AZ138" s="251">
        <f t="shared" ca="1" si="8"/>
        <v>551</v>
      </c>
    </row>
    <row r="139" spans="2:52" ht="15" customHeight="1" x14ac:dyDescent="0.25">
      <c r="B139" s="243">
        <v>256</v>
      </c>
      <c r="C139" s="259" t="s">
        <v>822</v>
      </c>
      <c r="D139" s="263">
        <v>7445</v>
      </c>
      <c r="E139" s="252">
        <f>(BDD[[#This Row],[SUE MENS]]/30)</f>
        <v>248.16666666666666</v>
      </c>
      <c r="F139" s="252">
        <f>BDD[[#This Row],[SUE MENS]]/2</f>
        <v>3722.5</v>
      </c>
      <c r="G139" s="320">
        <v>41117</v>
      </c>
      <c r="H139" s="243">
        <f ca="1">INT(_xlfn.DAYS(TODAY(),BDD[[#This Row],[FECHA ING.]])/365)</f>
        <v>9</v>
      </c>
      <c r="I139" s="251" t="str">
        <f>VLOOKUP(J139,TABLAS!$B$3:$G$49,2,FALSE)</f>
        <v>DIV ARQUIT</v>
      </c>
      <c r="J139" s="198" t="s">
        <v>740</v>
      </c>
      <c r="K139" s="251" t="s">
        <v>778</v>
      </c>
      <c r="L139" s="251" t="s">
        <v>763</v>
      </c>
      <c r="M139" s="251"/>
      <c r="N139" s="253" t="s">
        <v>1938</v>
      </c>
      <c r="O139" s="251" t="str">
        <f>IFERROR(VLOOKUP(BDD[[#This Row],[SUBDPTO]],TABLAS!$B$4:$D$36,3,0)," ")</f>
        <v>MÉRIDA ISELA MEDINA SALINAS</v>
      </c>
      <c r="P139" s="258">
        <v>43710</v>
      </c>
      <c r="Q139" s="254">
        <v>5200</v>
      </c>
      <c r="R139" s="255" t="s">
        <v>740</v>
      </c>
      <c r="S139" s="251"/>
      <c r="T139" s="251" t="s">
        <v>811</v>
      </c>
      <c r="U139" s="243">
        <f ca="1">VLOOKUP(BDD[[#This Row],[ANTIG]],DIASXANT18[#All],2)</f>
        <v>16</v>
      </c>
      <c r="V139" s="256">
        <f t="shared" si="7"/>
        <v>0.5</v>
      </c>
      <c r="W139" s="243">
        <f ca="1">BDD[[#This Row],[D.VAC.]]*BDD[[#This Row],[% P.V.]]</f>
        <v>8</v>
      </c>
      <c r="X139" s="243">
        <v>30</v>
      </c>
      <c r="Y139" s="257">
        <f ca="1">(365+BDD[[#This Row],[D.PAG.V.]]+BDD[[#This Row],[D.AG.]])/365</f>
        <v>1.1041095890410959</v>
      </c>
      <c r="Z139" s="243">
        <f ca="1">BDD[[#This Row],[SUE DIA]]*BDD[[#This Row],[FACTOR SDI]]</f>
        <v>274.00319634703197</v>
      </c>
      <c r="AA139" s="243">
        <f>BDD[[#This Row],[SUE DIA]]/9</f>
        <v>27.574074074074073</v>
      </c>
      <c r="AB139" s="251">
        <v>35787</v>
      </c>
      <c r="AC139" s="251" t="s">
        <v>1027</v>
      </c>
      <c r="AD139" s="251" t="s">
        <v>791</v>
      </c>
      <c r="AE139" s="260">
        <v>8990306338</v>
      </c>
      <c r="AF139" s="251" t="s">
        <v>1520</v>
      </c>
      <c r="AG139" s="251" t="s">
        <v>776</v>
      </c>
      <c r="AH139" s="251" t="s">
        <v>726</v>
      </c>
      <c r="AI139" s="243" t="s">
        <v>151</v>
      </c>
      <c r="AJ139" s="258" cm="1">
        <f t="array" aca="1" ref="AJ139" ca="1">DATE(YEAR(FECH.CONS[FECHA DE CONSULTA:]),MONTH(BDD[[#This Row],[FECHA NAC]]),DAY(BDD[[#This Row],[FECHA NAC]]))</f>
        <v>44918</v>
      </c>
      <c r="AK139" s="243"/>
      <c r="AL139" s="261" t="s">
        <v>311</v>
      </c>
      <c r="AM139" s="251" t="s">
        <v>1543</v>
      </c>
      <c r="AN139" s="251" t="s">
        <v>1551</v>
      </c>
      <c r="AO139" s="245">
        <v>39</v>
      </c>
      <c r="AP139" s="251">
        <f ca="1">INT((TODAY()-BDD[[#This Row],[FECHA NAC]])/365)</f>
        <v>24</v>
      </c>
      <c r="AQ139" s="251">
        <v>1</v>
      </c>
      <c r="AR139" s="251">
        <f ca="1">IF(BDD[[#This Row],[ANTIG]]=0,0,1)</f>
        <v>1</v>
      </c>
      <c r="AS139" s="251"/>
      <c r="AT139" s="251"/>
      <c r="AU139" s="251"/>
      <c r="AV139" s="251"/>
      <c r="AW139" s="251"/>
      <c r="AX139" s="251"/>
      <c r="AY139" s="251"/>
      <c r="AZ139" s="251">
        <f t="shared" ca="1" si="8"/>
        <v>715</v>
      </c>
    </row>
    <row r="140" spans="2:52" ht="15" customHeight="1" x14ac:dyDescent="0.25">
      <c r="B140" s="243">
        <v>257</v>
      </c>
      <c r="C140" s="262" t="s">
        <v>1659</v>
      </c>
      <c r="D140" s="252">
        <v>7445</v>
      </c>
      <c r="E140" s="252">
        <f>(BDD[[#This Row],[SUE MENS]]/30)</f>
        <v>248.16666666666666</v>
      </c>
      <c r="F140" s="252">
        <f>BDD[[#This Row],[SUE MENS]]/2</f>
        <v>3722.5</v>
      </c>
      <c r="G140" s="320">
        <v>41168</v>
      </c>
      <c r="H140" s="243">
        <f ca="1">INT(_xlfn.DAYS(TODAY(),BDD[[#This Row],[FECHA ING.]])/365)</f>
        <v>9</v>
      </c>
      <c r="I140" s="251" t="str">
        <f>VLOOKUP(J140,TABLAS!$B$3:$G$49,2,FALSE)</f>
        <v>AUDITORÍA</v>
      </c>
      <c r="J140" s="198" t="s">
        <v>735</v>
      </c>
      <c r="K140" s="251" t="s">
        <v>778</v>
      </c>
      <c r="L140" s="251" t="s">
        <v>763</v>
      </c>
      <c r="M140" s="251"/>
      <c r="N140" s="244" t="s">
        <v>1934</v>
      </c>
      <c r="O140" s="251" t="str">
        <f>IFERROR(VLOOKUP(BDD[[#This Row],[SUBDPTO]],TABLAS!$B$4:$D$36,3,0)," ")</f>
        <v>MARCO AURELIO URBINO</v>
      </c>
      <c r="P140" s="258"/>
      <c r="Q140" s="264"/>
      <c r="R140" s="244"/>
      <c r="S140" s="251"/>
      <c r="T140" s="251" t="s">
        <v>811</v>
      </c>
      <c r="U140" s="243">
        <f ca="1">VLOOKUP(BDD[[#This Row],[ANTIG]],DIASXANT18[#All],2)</f>
        <v>16</v>
      </c>
      <c r="V140" s="256">
        <f t="shared" si="7"/>
        <v>0.5</v>
      </c>
      <c r="W140" s="243">
        <f ca="1">BDD[[#This Row],[D.VAC.]]*BDD[[#This Row],[% P.V.]]</f>
        <v>8</v>
      </c>
      <c r="X140" s="243">
        <v>30</v>
      </c>
      <c r="Y140" s="257">
        <f ca="1">(365+BDD[[#This Row],[D.PAG.V.]]+BDD[[#This Row],[D.AG.]])/365</f>
        <v>1.1041095890410959</v>
      </c>
      <c r="Z140" s="243">
        <f ca="1">BDD[[#This Row],[SUE DIA]]*BDD[[#This Row],[FACTOR SDI]]</f>
        <v>274.00319634703197</v>
      </c>
      <c r="AA140" s="243">
        <f>BDD[[#This Row],[SUE DIA]]/9</f>
        <v>27.574074074074073</v>
      </c>
      <c r="AB140" s="262">
        <v>34400</v>
      </c>
      <c r="AC140" s="251" t="s">
        <v>998</v>
      </c>
      <c r="AD140" s="251" t="s">
        <v>809</v>
      </c>
      <c r="AE140" s="252">
        <v>8427655244</v>
      </c>
      <c r="AF140" s="251" t="s">
        <v>1311</v>
      </c>
      <c r="AG140" s="251" t="s">
        <v>774</v>
      </c>
      <c r="AH140" s="251" t="s">
        <v>730</v>
      </c>
      <c r="AI140" s="243" t="s">
        <v>151</v>
      </c>
      <c r="AJ140" s="258" cm="1">
        <f t="array" aca="1" ref="AJ140" ca="1">DATE(YEAR(FECH.CONS[FECHA DE CONSULTA:]),MONTH(BDD[[#This Row],[FECHA NAC]]),DAY(BDD[[#This Row],[FECHA NAC]]))</f>
        <v>44627</v>
      </c>
      <c r="AK140" s="243">
        <v>6</v>
      </c>
      <c r="AL140" s="261" t="s">
        <v>311</v>
      </c>
      <c r="AM140" s="251" t="s">
        <v>1535</v>
      </c>
      <c r="AN140" s="251" t="s">
        <v>1551</v>
      </c>
      <c r="AO140" s="245">
        <v>73</v>
      </c>
      <c r="AP140" s="251">
        <f ca="1">INT((TODAY()-BDD[[#This Row],[FECHA NAC]])/365)</f>
        <v>28</v>
      </c>
      <c r="AQ140" s="251">
        <v>1</v>
      </c>
      <c r="AR140" s="251">
        <f ca="1">IF(BDD[[#This Row],[ANTIG]]=0,0,1)</f>
        <v>1</v>
      </c>
      <c r="AS140" s="251"/>
      <c r="AT140" s="251"/>
      <c r="AU140" s="251"/>
      <c r="AV140" s="251"/>
      <c r="AW140" s="251"/>
      <c r="AX140" s="251"/>
      <c r="AY140" s="251"/>
      <c r="AZ140" s="251">
        <f t="shared" ca="1" si="8"/>
        <v>355</v>
      </c>
    </row>
    <row r="141" spans="2:52" ht="15" customHeight="1" x14ac:dyDescent="0.25">
      <c r="B141" s="243">
        <v>258</v>
      </c>
      <c r="C141" s="251" t="s">
        <v>824</v>
      </c>
      <c r="D141" s="263">
        <v>7445</v>
      </c>
      <c r="E141" s="252">
        <f>(BDD[[#This Row],[SUE MENS]]/30)</f>
        <v>248.16666666666666</v>
      </c>
      <c r="F141" s="252">
        <f>BDD[[#This Row],[SUE MENS]]/2</f>
        <v>3722.5</v>
      </c>
      <c r="G141" s="320">
        <v>41192</v>
      </c>
      <c r="H141" s="243">
        <f ca="1">INT(_xlfn.DAYS(TODAY(),BDD[[#This Row],[FECHA ING.]])/365)</f>
        <v>9</v>
      </c>
      <c r="I141" s="251" t="str">
        <f>VLOOKUP(J141,TABLAS!$B$3:$G$49,2,FALSE)</f>
        <v>CONTABILIDAD</v>
      </c>
      <c r="J141" s="198" t="s">
        <v>737</v>
      </c>
      <c r="K141" s="251" t="s">
        <v>778</v>
      </c>
      <c r="L141" s="251" t="s">
        <v>763</v>
      </c>
      <c r="M141" s="251"/>
      <c r="N141" s="244" t="s">
        <v>1860</v>
      </c>
      <c r="O141" s="251" t="str">
        <f>IFERROR(VLOOKUP(BDD[[#This Row],[SUBDPTO]],TABLAS!$B$4:$D$36,3,0)," ")</f>
        <v>IRIE DALÍ ANTARES CORTÉS</v>
      </c>
      <c r="P141" s="258">
        <v>43998</v>
      </c>
      <c r="Q141" s="254">
        <v>5422.4000000000005</v>
      </c>
      <c r="R141" s="255" t="s">
        <v>759</v>
      </c>
      <c r="S141" s="251"/>
      <c r="T141" s="251" t="s">
        <v>301</v>
      </c>
      <c r="U141" s="243">
        <f ca="1">VLOOKUP(BDD[[#This Row],[ANTIG]],DIASXANT18[#All],2)</f>
        <v>16</v>
      </c>
      <c r="V141" s="256">
        <f t="shared" si="7"/>
        <v>0.5</v>
      </c>
      <c r="W141" s="243">
        <f ca="1">BDD[[#This Row],[D.VAC.]]*BDD[[#This Row],[% P.V.]]</f>
        <v>8</v>
      </c>
      <c r="X141" s="243">
        <v>30</v>
      </c>
      <c r="Y141" s="257">
        <f ca="1">(365+BDD[[#This Row],[D.PAG.V.]]+BDD[[#This Row],[D.AG.]])/365</f>
        <v>1.1041095890410959</v>
      </c>
      <c r="Z141" s="243">
        <f ca="1">BDD[[#This Row],[SUE DIA]]*BDD[[#This Row],[FACTOR SDI]]</f>
        <v>274.00319634703197</v>
      </c>
      <c r="AA141" s="243">
        <f>BDD[[#This Row],[SUE DIA]]/9</f>
        <v>27.574074074074073</v>
      </c>
      <c r="AB141" s="251">
        <v>35605</v>
      </c>
      <c r="AC141" s="251" t="s">
        <v>1012</v>
      </c>
      <c r="AD141" s="251" t="s">
        <v>791</v>
      </c>
      <c r="AE141" s="252">
        <v>8825214169</v>
      </c>
      <c r="AF141" s="251" t="s">
        <v>1272</v>
      </c>
      <c r="AG141" s="251" t="s">
        <v>773</v>
      </c>
      <c r="AH141" s="251" t="s">
        <v>730</v>
      </c>
      <c r="AI141" s="243" t="s">
        <v>151</v>
      </c>
      <c r="AJ141" s="258" cm="1">
        <f t="array" aca="1" ref="AJ141" ca="1">DATE(YEAR(FECH.CONS[FECHA DE CONSULTA:]),MONTH(BDD[[#This Row],[FECHA NAC]]),DAY(BDD[[#This Row],[FECHA NAC]]))</f>
        <v>44736</v>
      </c>
      <c r="AK141" s="243">
        <v>8</v>
      </c>
      <c r="AL141" s="261" t="s">
        <v>311</v>
      </c>
      <c r="AM141" s="251" t="s">
        <v>1534</v>
      </c>
      <c r="AN141" s="251" t="s">
        <v>1551</v>
      </c>
      <c r="AO141" s="245">
        <v>96</v>
      </c>
      <c r="AP141" s="251">
        <f ca="1">INT((TODAY()-BDD[[#This Row],[FECHA NAC]])/365)</f>
        <v>25</v>
      </c>
      <c r="AQ141" s="251">
        <v>3</v>
      </c>
      <c r="AR141" s="251">
        <f ca="1">IF(BDD[[#This Row],[ANTIG]]=0,0,1)</f>
        <v>1</v>
      </c>
      <c r="AS141" s="251"/>
      <c r="AT141" s="251"/>
      <c r="AU141" s="251"/>
      <c r="AV141" s="251"/>
      <c r="AW141" s="251"/>
      <c r="AX141" s="251"/>
      <c r="AY141" s="251"/>
      <c r="AZ141" s="251">
        <f t="shared" ca="1" si="8"/>
        <v>801</v>
      </c>
    </row>
    <row r="142" spans="2:52" ht="15" customHeight="1" x14ac:dyDescent="0.25">
      <c r="B142" s="243">
        <v>260</v>
      </c>
      <c r="C142" s="259" t="s">
        <v>671</v>
      </c>
      <c r="D142" s="252">
        <v>9541</v>
      </c>
      <c r="E142" s="252">
        <f>(BDD[[#This Row],[SUE MENS]]/30)</f>
        <v>318.03333333333336</v>
      </c>
      <c r="F142" s="252">
        <f>BDD[[#This Row],[SUE MENS]]/2</f>
        <v>4770.5</v>
      </c>
      <c r="G142" s="319">
        <v>41265</v>
      </c>
      <c r="H142" s="243">
        <f ca="1">INT(_xlfn.DAYS(TODAY(),BDD[[#This Row],[FECHA ING.]])/365)</f>
        <v>9</v>
      </c>
      <c r="I142" s="251" t="str">
        <f>VLOOKUP(J142,TABLAS!$B$3:$G$49,2,FALSE)</f>
        <v>DIRECCIÓN</v>
      </c>
      <c r="J142" s="198" t="s">
        <v>746</v>
      </c>
      <c r="K142" s="251" t="s">
        <v>778</v>
      </c>
      <c r="L142" s="251" t="s">
        <v>763</v>
      </c>
      <c r="M142" s="251"/>
      <c r="N142" s="253" t="s">
        <v>2105</v>
      </c>
      <c r="O142" s="251" t="str">
        <f>IFERROR(VLOOKUP(BDD[[#This Row],[SUBDPTO]],TABLAS!$B$4:$D$36,3,0)," ")</f>
        <v>MARIANA RODRÍGUEZ GUTIERREZ</v>
      </c>
      <c r="P142" s="258">
        <v>41685</v>
      </c>
      <c r="Q142" s="254">
        <v>7600</v>
      </c>
      <c r="R142" s="255" t="s">
        <v>743</v>
      </c>
      <c r="S142" s="255" t="s">
        <v>751</v>
      </c>
      <c r="T142" s="251" t="s">
        <v>301</v>
      </c>
      <c r="U142" s="243">
        <f ca="1">VLOOKUP(BDD[[#This Row],[ANTIG]],DIASXANT18[#All],2)</f>
        <v>16</v>
      </c>
      <c r="V142" s="256">
        <f t="shared" si="7"/>
        <v>0.5</v>
      </c>
      <c r="W142" s="243">
        <f ca="1">BDD[[#This Row],[D.VAC.]]*BDD[[#This Row],[% P.V.]]</f>
        <v>8</v>
      </c>
      <c r="X142" s="243">
        <v>30</v>
      </c>
      <c r="Y142" s="257">
        <f ca="1">(365+BDD[[#This Row],[D.PAG.V.]]+BDD[[#This Row],[D.AG.]])/365</f>
        <v>1.1041095890410959</v>
      </c>
      <c r="Z142" s="243">
        <f ca="1">BDD[[#This Row],[SUE DIA]]*BDD[[#This Row],[FACTOR SDI]]</f>
        <v>351.14365296803658</v>
      </c>
      <c r="AA142" s="243">
        <f>BDD[[#This Row],[SUE DIA]]/9</f>
        <v>35.337037037037042</v>
      </c>
      <c r="AB142" s="251">
        <v>31675</v>
      </c>
      <c r="AC142" s="251" t="s">
        <v>960</v>
      </c>
      <c r="AD142" s="251" t="s">
        <v>790</v>
      </c>
      <c r="AE142" s="260">
        <v>2156534852</v>
      </c>
      <c r="AF142" s="251" t="s">
        <v>1500</v>
      </c>
      <c r="AG142" s="251" t="s">
        <v>776</v>
      </c>
      <c r="AH142" s="251" t="s">
        <v>730</v>
      </c>
      <c r="AI142" s="243" t="s">
        <v>151</v>
      </c>
      <c r="AJ142" s="258" cm="1">
        <f t="array" aca="1" ref="AJ142" ca="1">DATE(YEAR(FECH.CONS[FECHA DE CONSULTA:]),MONTH(BDD[[#This Row],[FECHA NAC]]),DAY(BDD[[#This Row],[FECHA NAC]]))</f>
        <v>44824</v>
      </c>
      <c r="AK142" s="243">
        <v>7</v>
      </c>
      <c r="AL142" s="261" t="s">
        <v>316</v>
      </c>
      <c r="AM142" s="251" t="s">
        <v>1533</v>
      </c>
      <c r="AN142" s="251" t="s">
        <v>1551</v>
      </c>
      <c r="AO142" s="245">
        <v>63</v>
      </c>
      <c r="AP142" s="251">
        <f ca="1">INT((TODAY()-BDD[[#This Row],[FECHA NAC]])/365)</f>
        <v>35</v>
      </c>
      <c r="AQ142" s="251">
        <v>0</v>
      </c>
      <c r="AR142" s="251">
        <f ca="1">IF(BDD[[#This Row],[ANTIG]]=0,0,1)</f>
        <v>1</v>
      </c>
      <c r="AS142" s="251"/>
      <c r="AT142" s="251"/>
      <c r="AU142" s="251"/>
      <c r="AV142" s="251"/>
      <c r="AW142" s="251"/>
      <c r="AX142" s="251"/>
      <c r="AY142" s="251"/>
      <c r="AZ142" s="251">
        <f t="shared" ca="1" si="8"/>
        <v>501</v>
      </c>
    </row>
    <row r="143" spans="2:52" ht="15" customHeight="1" x14ac:dyDescent="0.25">
      <c r="B143" s="243">
        <v>262</v>
      </c>
      <c r="C143" s="259" t="s">
        <v>617</v>
      </c>
      <c r="D143" s="263">
        <v>7445</v>
      </c>
      <c r="E143" s="252">
        <f>(BDD[[#This Row],[SUE MENS]]/30)</f>
        <v>248.16666666666666</v>
      </c>
      <c r="F143" s="252">
        <f>BDD[[#This Row],[SUE MENS]]/2</f>
        <v>3722.5</v>
      </c>
      <c r="G143" s="320">
        <v>41278</v>
      </c>
      <c r="H143" s="243">
        <f ca="1">INT(_xlfn.DAYS(TODAY(),BDD[[#This Row],[FECHA ING.]])/365)</f>
        <v>9</v>
      </c>
      <c r="I143" s="251" t="str">
        <f>VLOOKUP(J143,TABLAS!$B$3:$G$49,2,FALSE)</f>
        <v>DIV ARQUIT</v>
      </c>
      <c r="J143" s="198" t="s">
        <v>741</v>
      </c>
      <c r="K143" s="251" t="s">
        <v>778</v>
      </c>
      <c r="L143" s="251" t="s">
        <v>763</v>
      </c>
      <c r="M143" s="251"/>
      <c r="N143" s="253" t="s">
        <v>2186</v>
      </c>
      <c r="O143" s="251" t="str">
        <f>IFERROR(VLOOKUP(BDD[[#This Row],[SUBDPTO]],TABLAS!$B$4:$D$36,3,0)," ")</f>
        <v>MÉRIDA ISELA MEDINA SALINAS</v>
      </c>
      <c r="P143" s="258"/>
      <c r="Q143" s="264"/>
      <c r="R143" s="244"/>
      <c r="S143" s="251"/>
      <c r="T143" s="251" t="s">
        <v>811</v>
      </c>
      <c r="U143" s="243">
        <f ca="1">VLOOKUP(BDD[[#This Row],[ANTIG]],DIASXANT18[#All],2)</f>
        <v>16</v>
      </c>
      <c r="V143" s="256">
        <f t="shared" si="7"/>
        <v>0.5</v>
      </c>
      <c r="W143" s="243">
        <f ca="1">BDD[[#This Row],[D.VAC.]]*BDD[[#This Row],[% P.V.]]</f>
        <v>8</v>
      </c>
      <c r="X143" s="243">
        <v>30</v>
      </c>
      <c r="Y143" s="257">
        <f ca="1">(365+BDD[[#This Row],[D.PAG.V.]]+BDD[[#This Row],[D.AG.]])/365</f>
        <v>1.1041095890410959</v>
      </c>
      <c r="Z143" s="243">
        <f ca="1">BDD[[#This Row],[SUE DIA]]*BDD[[#This Row],[FACTOR SDI]]</f>
        <v>274.00319634703197</v>
      </c>
      <c r="AA143" s="243">
        <f>BDD[[#This Row],[SUE DIA]]/9</f>
        <v>27.574074074074073</v>
      </c>
      <c r="AB143" s="251">
        <v>35122</v>
      </c>
      <c r="AC143" s="251" t="s">
        <v>986</v>
      </c>
      <c r="AD143" s="251" t="s">
        <v>810</v>
      </c>
      <c r="AE143" s="260">
        <v>6726642714</v>
      </c>
      <c r="AF143" s="251" t="s">
        <v>1464</v>
      </c>
      <c r="AG143" s="251" t="s">
        <v>776</v>
      </c>
      <c r="AH143" s="251" t="s">
        <v>730</v>
      </c>
      <c r="AI143" s="243" t="s">
        <v>151</v>
      </c>
      <c r="AJ143" s="258" cm="1">
        <f t="array" aca="1" ref="AJ143" ca="1">DATE(YEAR(FECH.CONS[FECHA DE CONSULTA:]),MONTH(BDD[[#This Row],[FECHA NAC]]),DAY(BDD[[#This Row],[FECHA NAC]]))</f>
        <v>44619</v>
      </c>
      <c r="AK143" s="243">
        <v>9</v>
      </c>
      <c r="AL143" s="261" t="s">
        <v>322</v>
      </c>
      <c r="AM143" s="251" t="s">
        <v>1543</v>
      </c>
      <c r="AN143" s="251" t="s">
        <v>1551</v>
      </c>
      <c r="AO143" s="245">
        <v>47</v>
      </c>
      <c r="AP143" s="251">
        <f ca="1">INT((TODAY()-BDD[[#This Row],[FECHA NAC]])/365)</f>
        <v>26</v>
      </c>
      <c r="AQ143" s="251">
        <v>1</v>
      </c>
      <c r="AR143" s="251">
        <f ca="1">IF(BDD[[#This Row],[ANTIG]]=0,0,1)</f>
        <v>1</v>
      </c>
      <c r="AS143" s="251"/>
      <c r="AT143" s="251"/>
      <c r="AU143" s="251"/>
      <c r="AV143" s="251"/>
      <c r="AW143" s="251"/>
      <c r="AX143" s="251"/>
      <c r="AY143" s="251"/>
      <c r="AZ143" s="251">
        <f t="shared" ca="1" si="8"/>
        <v>323</v>
      </c>
    </row>
    <row r="144" spans="2:52" ht="15" customHeight="1" x14ac:dyDescent="0.25">
      <c r="B144" s="243">
        <v>264</v>
      </c>
      <c r="C144" s="251" t="s">
        <v>231</v>
      </c>
      <c r="D144" s="263">
        <v>10350</v>
      </c>
      <c r="E144" s="252">
        <f>(BDD[[#This Row],[SUE MENS]]/30)</f>
        <v>345</v>
      </c>
      <c r="F144" s="252">
        <f>BDD[[#This Row],[SUE MENS]]/2</f>
        <v>5175</v>
      </c>
      <c r="G144" s="319">
        <v>41292</v>
      </c>
      <c r="H144" s="243">
        <f ca="1">INT(_xlfn.DAYS(TODAY(),BDD[[#This Row],[FECHA ING.]])/365)</f>
        <v>9</v>
      </c>
      <c r="I144" s="251" t="str">
        <f>VLOOKUP(J144,TABLAS!$B$3:$G$49,2,FALSE)</f>
        <v>CPTAL HUMANO</v>
      </c>
      <c r="J144" s="198" t="s">
        <v>758</v>
      </c>
      <c r="K144" s="251" t="s">
        <v>778</v>
      </c>
      <c r="L144" s="251" t="s">
        <v>763</v>
      </c>
      <c r="M144" s="251"/>
      <c r="N144" s="244" t="s">
        <v>2022</v>
      </c>
      <c r="O144" s="251" t="str">
        <f>IFERROR(VLOOKUP(BDD[[#This Row],[SUBDPTO]],TABLAS!$B$4:$D$36,3,0)," ")</f>
        <v>EMMA DARIELA GARCÍA LORCA</v>
      </c>
      <c r="P144" s="258">
        <f>BDD[[#This Row],[FECHA ING.]]+1000</f>
        <v>42292</v>
      </c>
      <c r="Q144" s="264">
        <v>7349.9999999999991</v>
      </c>
      <c r="R144" s="251" t="s">
        <v>736</v>
      </c>
      <c r="S144" s="251"/>
      <c r="T144" s="251" t="s">
        <v>301</v>
      </c>
      <c r="U144" s="243">
        <f ca="1">VLOOKUP(BDD[[#This Row],[ANTIG]],DIASXANT18[#All],2)</f>
        <v>16</v>
      </c>
      <c r="V144" s="256">
        <f t="shared" si="7"/>
        <v>0.5</v>
      </c>
      <c r="W144" s="243">
        <f ca="1">BDD[[#This Row],[D.VAC.]]*BDD[[#This Row],[% P.V.]]</f>
        <v>8</v>
      </c>
      <c r="X144" s="243">
        <v>30</v>
      </c>
      <c r="Y144" s="257">
        <f ca="1">(365+BDD[[#This Row],[D.PAG.V.]]+BDD[[#This Row],[D.AG.]])/365</f>
        <v>1.1041095890410959</v>
      </c>
      <c r="Z144" s="243">
        <f ca="1">BDD[[#This Row],[SUE DIA]]*BDD[[#This Row],[FACTOR SDI]]</f>
        <v>380.91780821917808</v>
      </c>
      <c r="AA144" s="243">
        <f>BDD[[#This Row],[SUE DIA]]/9</f>
        <v>38.333333333333336</v>
      </c>
      <c r="AB144" s="251">
        <v>31000</v>
      </c>
      <c r="AC144" s="251" t="s">
        <v>912</v>
      </c>
      <c r="AD144" s="251" t="s">
        <v>789</v>
      </c>
      <c r="AE144" s="252">
        <v>8187925922</v>
      </c>
      <c r="AF144" s="251" t="s">
        <v>1256</v>
      </c>
      <c r="AG144" s="251" t="s">
        <v>773</v>
      </c>
      <c r="AH144" s="251" t="s">
        <v>1555</v>
      </c>
      <c r="AI144" s="243" t="s">
        <v>151</v>
      </c>
      <c r="AJ144" s="258" cm="1">
        <f t="array" aca="1" ref="AJ144" ca="1">DATE(YEAR(FECH.CONS[FECHA DE CONSULTA:]),MONTH(BDD[[#This Row],[FECHA NAC]]),DAY(BDD[[#This Row],[FECHA NAC]]))</f>
        <v>44879</v>
      </c>
      <c r="AK144" s="243">
        <v>5</v>
      </c>
      <c r="AL144" s="261" t="s">
        <v>311</v>
      </c>
      <c r="AM144" s="251" t="s">
        <v>1537</v>
      </c>
      <c r="AN144" s="251" t="s">
        <v>1551</v>
      </c>
      <c r="AO144" s="245">
        <v>96</v>
      </c>
      <c r="AP144" s="251">
        <f ca="1">INT((TODAY()-BDD[[#This Row],[FECHA NAC]])/365)</f>
        <v>37</v>
      </c>
      <c r="AQ144" s="251">
        <v>1</v>
      </c>
      <c r="AR144" s="251">
        <f ca="1">IF(BDD[[#This Row],[ANTIG]]=0,0,1)</f>
        <v>1</v>
      </c>
      <c r="AS144" s="251"/>
      <c r="AT144" s="251"/>
      <c r="AU144" s="251"/>
      <c r="AV144" s="251"/>
      <c r="AW144" s="251"/>
      <c r="AX144" s="251"/>
      <c r="AY144" s="251"/>
      <c r="AZ144" s="251">
        <f t="shared" ca="1" si="8"/>
        <v>180</v>
      </c>
    </row>
    <row r="145" spans="2:52" ht="15" customHeight="1" x14ac:dyDescent="0.25">
      <c r="B145" s="243">
        <v>265</v>
      </c>
      <c r="C145" s="259" t="s">
        <v>466</v>
      </c>
      <c r="D145" s="252">
        <v>9541</v>
      </c>
      <c r="E145" s="252">
        <f>(BDD[[#This Row],[SUE MENS]]/30)</f>
        <v>318.03333333333336</v>
      </c>
      <c r="F145" s="252">
        <f>BDD[[#This Row],[SUE MENS]]/2</f>
        <v>4770.5</v>
      </c>
      <c r="G145" s="320">
        <v>41297</v>
      </c>
      <c r="H145" s="243">
        <f ca="1">INT(_xlfn.DAYS(TODAY(),BDD[[#This Row],[FECHA ING.]])/365)</f>
        <v>9</v>
      </c>
      <c r="I145" s="251" t="str">
        <f>VLOOKUP(J145,TABLAS!$B$3:$G$49,2,FALSE)</f>
        <v>DIV INGENRIA</v>
      </c>
      <c r="J145" s="198" t="s">
        <v>744</v>
      </c>
      <c r="K145" s="251" t="s">
        <v>778</v>
      </c>
      <c r="L145" s="251" t="s">
        <v>763</v>
      </c>
      <c r="M145" s="251"/>
      <c r="N145" s="244" t="s">
        <v>1991</v>
      </c>
      <c r="O145" s="251" t="str">
        <f>IFERROR(VLOOKUP(BDD[[#This Row],[SUBDPTO]],TABLAS!$B$4:$D$36,3,0)," ")</f>
        <v>DIEGO HERRERA GIRÓN</v>
      </c>
      <c r="P145" s="258">
        <v>43384</v>
      </c>
      <c r="Q145" s="254">
        <v>6580</v>
      </c>
      <c r="R145" s="255" t="s">
        <v>759</v>
      </c>
      <c r="S145" s="255" t="s">
        <v>740</v>
      </c>
      <c r="T145" s="251" t="s">
        <v>811</v>
      </c>
      <c r="U145" s="243">
        <f ca="1">VLOOKUP(BDD[[#This Row],[ANTIG]],DIASXANT18[#All],2)</f>
        <v>16</v>
      </c>
      <c r="V145" s="256">
        <f t="shared" si="7"/>
        <v>0.5</v>
      </c>
      <c r="W145" s="243">
        <f ca="1">BDD[[#This Row],[D.VAC.]]*BDD[[#This Row],[% P.V.]]</f>
        <v>8</v>
      </c>
      <c r="X145" s="243">
        <v>30</v>
      </c>
      <c r="Y145" s="257">
        <f ca="1">(365+BDD[[#This Row],[D.PAG.V.]]+BDD[[#This Row],[D.AG.]])/365</f>
        <v>1.1041095890410959</v>
      </c>
      <c r="Z145" s="243">
        <f ca="1">BDD[[#This Row],[SUE DIA]]*BDD[[#This Row],[FACTOR SDI]]</f>
        <v>351.14365296803658</v>
      </c>
      <c r="AA145" s="243">
        <f>BDD[[#This Row],[SUE DIA]]/9</f>
        <v>35.337037037037042</v>
      </c>
      <c r="AB145" s="251">
        <v>33321</v>
      </c>
      <c r="AC145" s="251" t="s">
        <v>990</v>
      </c>
      <c r="AD145" s="251" t="s">
        <v>787</v>
      </c>
      <c r="AE145" s="260">
        <v>2221457878</v>
      </c>
      <c r="AF145" s="251" t="s">
        <v>1364</v>
      </c>
      <c r="AG145" s="251" t="s">
        <v>777</v>
      </c>
      <c r="AH145" s="251" t="s">
        <v>730</v>
      </c>
      <c r="AI145" s="243" t="s">
        <v>151</v>
      </c>
      <c r="AJ145" s="258" cm="1">
        <f t="array" aca="1" ref="AJ145" ca="1">DATE(YEAR(FECH.CONS[FECHA DE CONSULTA:]),MONTH(BDD[[#This Row],[FECHA NAC]]),DAY(BDD[[#This Row],[FECHA NAC]]))</f>
        <v>44644</v>
      </c>
      <c r="AK145" s="243">
        <v>5</v>
      </c>
      <c r="AL145" s="261" t="s">
        <v>312</v>
      </c>
      <c r="AM145" s="251" t="s">
        <v>1546</v>
      </c>
      <c r="AN145" s="251" t="s">
        <v>1551</v>
      </c>
      <c r="AO145" s="245">
        <v>40</v>
      </c>
      <c r="AP145" s="251">
        <f ca="1">INT((TODAY()-BDD[[#This Row],[FECHA NAC]])/365)</f>
        <v>31</v>
      </c>
      <c r="AQ145" s="251">
        <v>3</v>
      </c>
      <c r="AR145" s="251">
        <f ca="1">IF(BDD[[#This Row],[ANTIG]]=0,0,1)</f>
        <v>1</v>
      </c>
      <c r="AS145" s="251"/>
      <c r="AT145" s="251"/>
      <c r="AU145" s="251"/>
      <c r="AV145" s="251"/>
      <c r="AW145" s="251"/>
      <c r="AX145" s="251"/>
      <c r="AY145" s="251"/>
      <c r="AZ145" s="251">
        <f t="shared" ca="1" si="8"/>
        <v>588</v>
      </c>
    </row>
    <row r="146" spans="2:52" ht="15" customHeight="1" x14ac:dyDescent="0.25">
      <c r="B146" s="243">
        <v>266</v>
      </c>
      <c r="C146" s="259" t="s">
        <v>691</v>
      </c>
      <c r="D146" s="252">
        <v>9541</v>
      </c>
      <c r="E146" s="252">
        <f>(BDD[[#This Row],[SUE MENS]]/30)</f>
        <v>318.03333333333336</v>
      </c>
      <c r="F146" s="252">
        <f>BDD[[#This Row],[SUE MENS]]/2</f>
        <v>4770.5</v>
      </c>
      <c r="G146" s="320">
        <v>41320</v>
      </c>
      <c r="H146" s="243">
        <f ca="1">INT(_xlfn.DAYS(TODAY(),BDD[[#This Row],[FECHA ING.]])/365)</f>
        <v>9</v>
      </c>
      <c r="I146" s="251" t="str">
        <f>VLOOKUP(J146,TABLAS!$B$3:$G$49,2,FALSE)</f>
        <v>DIV INGENRIA</v>
      </c>
      <c r="J146" s="198" t="s">
        <v>744</v>
      </c>
      <c r="K146" s="251" t="s">
        <v>778</v>
      </c>
      <c r="L146" s="251" t="s">
        <v>763</v>
      </c>
      <c r="M146" s="251"/>
      <c r="N146" s="253" t="s">
        <v>1794</v>
      </c>
      <c r="O146" s="251" t="str">
        <f>IFERROR(VLOOKUP(BDD[[#This Row],[SUBDPTO]],TABLAS!$B$4:$D$36,3,0)," ")</f>
        <v>DIEGO HERRERA GIRÓN</v>
      </c>
      <c r="P146" s="258">
        <v>43052</v>
      </c>
      <c r="Q146" s="254">
        <v>5956</v>
      </c>
      <c r="R146" s="255" t="s">
        <v>735</v>
      </c>
      <c r="S146" s="251"/>
      <c r="T146" s="251" t="s">
        <v>811</v>
      </c>
      <c r="U146" s="243">
        <f ca="1">VLOOKUP(BDD[[#This Row],[ANTIG]],DIASXANT18[#All],2)</f>
        <v>16</v>
      </c>
      <c r="V146" s="256">
        <f t="shared" si="7"/>
        <v>0.5</v>
      </c>
      <c r="W146" s="243">
        <f ca="1">BDD[[#This Row],[D.VAC.]]*BDD[[#This Row],[% P.V.]]</f>
        <v>8</v>
      </c>
      <c r="X146" s="243">
        <v>30</v>
      </c>
      <c r="Y146" s="257">
        <f ca="1">(365+BDD[[#This Row],[D.PAG.V.]]+BDD[[#This Row],[D.AG.]])/365</f>
        <v>1.1041095890410959</v>
      </c>
      <c r="Z146" s="243">
        <f ca="1">BDD[[#This Row],[SUE DIA]]*BDD[[#This Row],[FACTOR SDI]]</f>
        <v>351.14365296803658</v>
      </c>
      <c r="AA146" s="243">
        <f>BDD[[#This Row],[SUE DIA]]/9</f>
        <v>35.337037037037042</v>
      </c>
      <c r="AB146" s="251">
        <v>32701</v>
      </c>
      <c r="AC146" s="251" t="s">
        <v>947</v>
      </c>
      <c r="AD146" s="251" t="s">
        <v>791</v>
      </c>
      <c r="AE146" s="260">
        <v>8205672095</v>
      </c>
      <c r="AF146" s="251" t="s">
        <v>1510</v>
      </c>
      <c r="AG146" s="251" t="s">
        <v>776</v>
      </c>
      <c r="AH146" s="251" t="s">
        <v>1555</v>
      </c>
      <c r="AI146" s="243" t="s">
        <v>151</v>
      </c>
      <c r="AJ146" s="258" cm="1">
        <f t="array" aca="1" ref="AJ146" ca="1">DATE(YEAR(FECH.CONS[FECHA DE CONSULTA:]),MONTH(BDD[[#This Row],[FECHA NAC]]),DAY(BDD[[#This Row],[FECHA NAC]]))</f>
        <v>44754</v>
      </c>
      <c r="AK146" s="243"/>
      <c r="AL146" s="261" t="s">
        <v>312</v>
      </c>
      <c r="AM146" s="251" t="s">
        <v>1538</v>
      </c>
      <c r="AN146" s="251" t="s">
        <v>1551</v>
      </c>
      <c r="AO146" s="245">
        <v>44</v>
      </c>
      <c r="AP146" s="251">
        <f ca="1">INT((TODAY()-BDD[[#This Row],[FECHA NAC]])/365)</f>
        <v>33</v>
      </c>
      <c r="AQ146" s="251">
        <v>2</v>
      </c>
      <c r="AR146" s="251">
        <f ca="1">IF(BDD[[#This Row],[ANTIG]]=0,0,1)</f>
        <v>1</v>
      </c>
      <c r="AS146" s="251"/>
      <c r="AT146" s="251"/>
      <c r="AU146" s="251"/>
      <c r="AV146" s="251"/>
      <c r="AW146" s="251"/>
      <c r="AX146" s="251"/>
      <c r="AY146" s="251"/>
      <c r="AZ146" s="251">
        <f t="shared" ca="1" si="8"/>
        <v>884</v>
      </c>
    </row>
    <row r="147" spans="2:52" ht="15" customHeight="1" x14ac:dyDescent="0.25">
      <c r="B147" s="243">
        <v>267</v>
      </c>
      <c r="C147" s="259" t="s">
        <v>462</v>
      </c>
      <c r="D147" s="263">
        <v>7445</v>
      </c>
      <c r="E147" s="252">
        <f>(BDD[[#This Row],[SUE MENS]]/30)</f>
        <v>248.16666666666666</v>
      </c>
      <c r="F147" s="252">
        <f>BDD[[#This Row],[SUE MENS]]/2</f>
        <v>3722.5</v>
      </c>
      <c r="G147" s="320">
        <v>41339</v>
      </c>
      <c r="H147" s="243">
        <f ca="1">INT(_xlfn.DAYS(TODAY(),BDD[[#This Row],[FECHA ING.]])/365)</f>
        <v>9</v>
      </c>
      <c r="I147" s="251" t="str">
        <f>VLOOKUP(J147,TABLAS!$B$3:$G$49,2,FALSE)</f>
        <v>DIRECCIÓN</v>
      </c>
      <c r="J147" s="198" t="s">
        <v>759</v>
      </c>
      <c r="K147" s="251" t="s">
        <v>778</v>
      </c>
      <c r="L147" s="251" t="s">
        <v>763</v>
      </c>
      <c r="M147" s="251"/>
      <c r="N147" s="253" t="s">
        <v>1784</v>
      </c>
      <c r="O147" s="251" t="str">
        <f>IFERROR(VLOOKUP(BDD[[#This Row],[SUBDPTO]],TABLAS!$B$4:$D$36,3,0)," ")</f>
        <v>MARIANA RODRÍGUEZ GUTIERREZ</v>
      </c>
      <c r="P147" s="258"/>
      <c r="Q147" s="264"/>
      <c r="R147" s="244"/>
      <c r="S147" s="251"/>
      <c r="T147" s="251" t="s">
        <v>811</v>
      </c>
      <c r="U147" s="243">
        <f ca="1">VLOOKUP(BDD[[#This Row],[ANTIG]],DIASXANT18[#All],2)</f>
        <v>16</v>
      </c>
      <c r="V147" s="256">
        <f t="shared" si="7"/>
        <v>0.5</v>
      </c>
      <c r="W147" s="243">
        <f ca="1">BDD[[#This Row],[D.VAC.]]*BDD[[#This Row],[% P.V.]]</f>
        <v>8</v>
      </c>
      <c r="X147" s="243">
        <v>30</v>
      </c>
      <c r="Y147" s="257">
        <f ca="1">(365+BDD[[#This Row],[D.PAG.V.]]+BDD[[#This Row],[D.AG.]])/365</f>
        <v>1.1041095890410959</v>
      </c>
      <c r="Z147" s="243">
        <f ca="1">BDD[[#This Row],[SUE DIA]]*BDD[[#This Row],[FACTOR SDI]]</f>
        <v>274.00319634703197</v>
      </c>
      <c r="AA147" s="243">
        <f>BDD[[#This Row],[SUE DIA]]/9</f>
        <v>27.574074074074073</v>
      </c>
      <c r="AB147" s="251">
        <v>26242</v>
      </c>
      <c r="AC147" s="251" t="s">
        <v>1042</v>
      </c>
      <c r="AD147" s="251" t="s">
        <v>789</v>
      </c>
      <c r="AE147" s="260">
        <v>8956231245</v>
      </c>
      <c r="AF147" s="251" t="s">
        <v>1362</v>
      </c>
      <c r="AG147" s="251" t="s">
        <v>776</v>
      </c>
      <c r="AH147" s="251" t="s">
        <v>730</v>
      </c>
      <c r="AI147" s="243" t="s">
        <v>151</v>
      </c>
      <c r="AJ147" s="258" cm="1">
        <f t="array" aca="1" ref="AJ147" ca="1">DATE(YEAR(FECH.CONS[FECHA DE CONSULTA:]),MONTH(BDD[[#This Row],[FECHA NAC]]),DAY(BDD[[#This Row],[FECHA NAC]]))</f>
        <v>44870</v>
      </c>
      <c r="AK147" s="243">
        <v>7</v>
      </c>
      <c r="AL147" s="261" t="s">
        <v>311</v>
      </c>
      <c r="AM147" s="251" t="s">
        <v>1537</v>
      </c>
      <c r="AN147" s="251" t="s">
        <v>1551</v>
      </c>
      <c r="AO147" s="245">
        <v>98</v>
      </c>
      <c r="AP147" s="251">
        <f ca="1">INT((TODAY()-BDD[[#This Row],[FECHA NAC]])/365)</f>
        <v>50</v>
      </c>
      <c r="AQ147" s="251">
        <v>1</v>
      </c>
      <c r="AR147" s="251">
        <f ca="1">IF(BDD[[#This Row],[ANTIG]]=0,0,1)</f>
        <v>1</v>
      </c>
      <c r="AS147" s="251"/>
      <c r="AT147" s="251"/>
      <c r="AU147" s="251"/>
      <c r="AV147" s="251"/>
      <c r="AW147" s="251"/>
      <c r="AX147" s="251"/>
      <c r="AY147" s="251"/>
      <c r="AZ147" s="251">
        <f t="shared" ca="1" si="8"/>
        <v>335</v>
      </c>
    </row>
    <row r="148" spans="2:52" ht="15" customHeight="1" x14ac:dyDescent="0.25">
      <c r="B148" s="243">
        <v>268</v>
      </c>
      <c r="C148" s="251" t="s">
        <v>169</v>
      </c>
      <c r="D148" s="263">
        <v>7445</v>
      </c>
      <c r="E148" s="252">
        <f>(BDD[[#This Row],[SUE MENS]]/30)</f>
        <v>248.16666666666666</v>
      </c>
      <c r="F148" s="252">
        <f>BDD[[#This Row],[SUE MENS]]/2</f>
        <v>3722.5</v>
      </c>
      <c r="G148" s="320">
        <v>41359</v>
      </c>
      <c r="H148" s="243">
        <f ca="1">INT(_xlfn.DAYS(TODAY(),BDD[[#This Row],[FECHA ING.]])/365)</f>
        <v>9</v>
      </c>
      <c r="I148" s="251" t="str">
        <f>VLOOKUP(J148,TABLAS!$B$3:$G$49,2,FALSE)</f>
        <v>DIV INGENRIA</v>
      </c>
      <c r="J148" s="198" t="s">
        <v>743</v>
      </c>
      <c r="K148" s="251" t="s">
        <v>778</v>
      </c>
      <c r="L148" s="251" t="s">
        <v>763</v>
      </c>
      <c r="M148" s="251"/>
      <c r="N148" s="244" t="s">
        <v>2196</v>
      </c>
      <c r="O148" s="251" t="str">
        <f>IFERROR(VLOOKUP(BDD[[#This Row],[SUBDPTO]],TABLAS!$B$4:$D$36,3,0)," ")</f>
        <v>DIEGO HERRERA GIRÓN</v>
      </c>
      <c r="P148" s="258">
        <v>43380</v>
      </c>
      <c r="Q148" s="254">
        <v>5088</v>
      </c>
      <c r="R148" s="255" t="s">
        <v>759</v>
      </c>
      <c r="S148" s="251"/>
      <c r="T148" s="251" t="s">
        <v>811</v>
      </c>
      <c r="U148" s="243">
        <f ca="1">VLOOKUP(BDD[[#This Row],[ANTIG]],DIASXANT18[#All],2)</f>
        <v>16</v>
      </c>
      <c r="V148" s="256">
        <f t="shared" si="7"/>
        <v>0.5</v>
      </c>
      <c r="W148" s="243">
        <f ca="1">BDD[[#This Row],[D.VAC.]]*BDD[[#This Row],[% P.V.]]</f>
        <v>8</v>
      </c>
      <c r="X148" s="243">
        <v>30</v>
      </c>
      <c r="Y148" s="257">
        <f ca="1">(365+BDD[[#This Row],[D.PAG.V.]]+BDD[[#This Row],[D.AG.]])/365</f>
        <v>1.1041095890410959</v>
      </c>
      <c r="Z148" s="243">
        <f ca="1">BDD[[#This Row],[SUE DIA]]*BDD[[#This Row],[FACTOR SDI]]</f>
        <v>274.00319634703197</v>
      </c>
      <c r="AA148" s="243">
        <f>BDD[[#This Row],[SUE DIA]]/9</f>
        <v>27.574074074074073</v>
      </c>
      <c r="AB148" s="251">
        <v>34087</v>
      </c>
      <c r="AC148" s="251" t="s">
        <v>953</v>
      </c>
      <c r="AD148" s="251" t="s">
        <v>789</v>
      </c>
      <c r="AE148" s="252">
        <v>8710009255</v>
      </c>
      <c r="AF148" s="251" t="s">
        <v>1176</v>
      </c>
      <c r="AG148" s="251" t="s">
        <v>776</v>
      </c>
      <c r="AH148" s="251" t="s">
        <v>730</v>
      </c>
      <c r="AI148" s="243" t="s">
        <v>151</v>
      </c>
      <c r="AJ148" s="258" cm="1">
        <f t="array" aca="1" ref="AJ148" ca="1">DATE(YEAR(FECH.CONS[FECHA DE CONSULTA:]),MONTH(BDD[[#This Row],[FECHA NAC]]),DAY(BDD[[#This Row],[FECHA NAC]]))</f>
        <v>44679</v>
      </c>
      <c r="AK148" s="243">
        <v>6</v>
      </c>
      <c r="AL148" s="251" t="s">
        <v>311</v>
      </c>
      <c r="AM148" s="251" t="s">
        <v>1538</v>
      </c>
      <c r="AN148" s="251" t="s">
        <v>1551</v>
      </c>
      <c r="AO148" s="245">
        <v>33</v>
      </c>
      <c r="AP148" s="251">
        <f ca="1">INT((TODAY()-BDD[[#This Row],[FECHA NAC]])/365)</f>
        <v>29</v>
      </c>
      <c r="AQ148" s="251">
        <v>0</v>
      </c>
      <c r="AR148" s="251">
        <f ca="1">IF(BDD[[#This Row],[ANTIG]]=0,0,1)</f>
        <v>1</v>
      </c>
      <c r="AS148" s="251"/>
      <c r="AT148" s="251"/>
      <c r="AU148" s="251"/>
      <c r="AV148" s="251"/>
      <c r="AW148" s="251"/>
      <c r="AX148" s="251"/>
      <c r="AY148" s="251"/>
      <c r="AZ148" s="251">
        <f t="shared" ca="1" si="8"/>
        <v>414</v>
      </c>
    </row>
    <row r="149" spans="2:52" ht="15" customHeight="1" x14ac:dyDescent="0.25">
      <c r="B149" s="243">
        <v>269</v>
      </c>
      <c r="C149" s="259" t="s">
        <v>719</v>
      </c>
      <c r="D149" s="263">
        <v>7445</v>
      </c>
      <c r="E149" s="252">
        <f>(BDD[[#This Row],[SUE MENS]]/30)</f>
        <v>248.16666666666666</v>
      </c>
      <c r="F149" s="252">
        <f>BDD[[#This Row],[SUE MENS]]/2</f>
        <v>3722.5</v>
      </c>
      <c r="G149" s="320">
        <v>41426</v>
      </c>
      <c r="H149" s="243">
        <f ca="1">INT(_xlfn.DAYS(TODAY(),BDD[[#This Row],[FECHA ING.]])/365)</f>
        <v>9</v>
      </c>
      <c r="I149" s="251" t="str">
        <f>VLOOKUP(J149,TABLAS!$B$3:$G$49,2,FALSE)</f>
        <v>DIRECCIÓN</v>
      </c>
      <c r="J149" s="198" t="s">
        <v>759</v>
      </c>
      <c r="K149" s="251" t="s">
        <v>778</v>
      </c>
      <c r="L149" s="251" t="s">
        <v>763</v>
      </c>
      <c r="M149" s="251"/>
      <c r="N149" s="244" t="s">
        <v>2228</v>
      </c>
      <c r="O149" s="251" t="str">
        <f>IFERROR(VLOOKUP(BDD[[#This Row],[SUBDPTO]],TABLAS!$B$4:$D$36,3,0)," ")</f>
        <v>MARIANA RODRÍGUEZ GUTIERREZ</v>
      </c>
      <c r="P149" s="258">
        <v>43758</v>
      </c>
      <c r="Q149" s="254">
        <v>4384</v>
      </c>
      <c r="R149" s="255" t="s">
        <v>735</v>
      </c>
      <c r="S149" s="251"/>
      <c r="T149" s="251" t="s">
        <v>301</v>
      </c>
      <c r="U149" s="243">
        <f ca="1">VLOOKUP(BDD[[#This Row],[ANTIG]],DIASXANT18[#All],2)</f>
        <v>16</v>
      </c>
      <c r="V149" s="256">
        <f t="shared" si="7"/>
        <v>0.5</v>
      </c>
      <c r="W149" s="243">
        <f ca="1">BDD[[#This Row],[D.VAC.]]*BDD[[#This Row],[% P.V.]]</f>
        <v>8</v>
      </c>
      <c r="X149" s="243">
        <v>30</v>
      </c>
      <c r="Y149" s="257">
        <f ca="1">(365+BDD[[#This Row],[D.PAG.V.]]+BDD[[#This Row],[D.AG.]])/365</f>
        <v>1.1041095890410959</v>
      </c>
      <c r="Z149" s="243">
        <f ca="1">BDD[[#This Row],[SUE DIA]]*BDD[[#This Row],[FACTOR SDI]]</f>
        <v>274.00319634703197</v>
      </c>
      <c r="AA149" s="243">
        <f>BDD[[#This Row],[SUE DIA]]/9</f>
        <v>27.574074074074073</v>
      </c>
      <c r="AB149" s="251">
        <v>27125</v>
      </c>
      <c r="AC149" s="251" t="s">
        <v>904</v>
      </c>
      <c r="AD149" s="251" t="s">
        <v>809</v>
      </c>
      <c r="AE149" s="260">
        <v>8210784219</v>
      </c>
      <c r="AF149" s="251" t="s">
        <v>1530</v>
      </c>
      <c r="AG149" s="251" t="s">
        <v>773</v>
      </c>
      <c r="AH149" s="251" t="s">
        <v>727</v>
      </c>
      <c r="AI149" s="243" t="s">
        <v>151</v>
      </c>
      <c r="AJ149" s="258" cm="1">
        <f t="array" aca="1" ref="AJ149" ca="1">DATE(YEAR(FECH.CONS[FECHA DE CONSULTA:]),MONTH(BDD[[#This Row],[FECHA NAC]]),DAY(BDD[[#This Row],[FECHA NAC]]))</f>
        <v>44657</v>
      </c>
      <c r="AK149" s="243"/>
      <c r="AL149" s="261" t="s">
        <v>311</v>
      </c>
      <c r="AM149" s="251" t="s">
        <v>1544</v>
      </c>
      <c r="AN149" s="251" t="s">
        <v>162</v>
      </c>
      <c r="AO149" s="245">
        <v>69</v>
      </c>
      <c r="AP149" s="251">
        <f ca="1">INT((TODAY()-BDD[[#This Row],[FECHA NAC]])/365)</f>
        <v>48</v>
      </c>
      <c r="AQ149" s="251">
        <v>2</v>
      </c>
      <c r="AR149" s="251">
        <f ca="1">IF(BDD[[#This Row],[ANTIG]]=0,0,1)</f>
        <v>1</v>
      </c>
      <c r="AS149" s="251"/>
      <c r="AT149" s="251"/>
      <c r="AU149" s="251"/>
      <c r="AV149" s="251"/>
      <c r="AW149" s="251"/>
      <c r="AX149" s="251"/>
      <c r="AY149" s="251"/>
      <c r="AZ149" s="251">
        <f t="shared" ca="1" si="8"/>
        <v>683</v>
      </c>
    </row>
    <row r="150" spans="2:52" ht="15" customHeight="1" x14ac:dyDescent="0.25">
      <c r="B150" s="243">
        <v>270</v>
      </c>
      <c r="C150" s="262" t="s">
        <v>367</v>
      </c>
      <c r="D150" s="252">
        <v>8825</v>
      </c>
      <c r="E150" s="252">
        <f>(BDD[[#This Row],[SUE MENS]]/30)</f>
        <v>294.16666666666669</v>
      </c>
      <c r="F150" s="252">
        <f>BDD[[#This Row],[SUE MENS]]/2</f>
        <v>4412.5</v>
      </c>
      <c r="G150" s="320">
        <v>41439</v>
      </c>
      <c r="H150" s="243">
        <f ca="1">INT(_xlfn.DAYS(TODAY(),BDD[[#This Row],[FECHA ING.]])/365)</f>
        <v>9</v>
      </c>
      <c r="I150" s="251" t="str">
        <f>VLOOKUP(J150,TABLAS!$B$3:$G$49,2,FALSE)</f>
        <v>DIV INGENRIA</v>
      </c>
      <c r="J150" s="198" t="s">
        <v>744</v>
      </c>
      <c r="K150" s="251" t="s">
        <v>778</v>
      </c>
      <c r="L150" s="251" t="s">
        <v>763</v>
      </c>
      <c r="M150" s="251"/>
      <c r="N150" s="244" t="s">
        <v>2065</v>
      </c>
      <c r="O150" s="251" t="str">
        <f>IFERROR(VLOOKUP(BDD[[#This Row],[SUBDPTO]],TABLAS!$B$4:$D$36,3,0)," ")</f>
        <v>DIEGO HERRERA GIRÓN</v>
      </c>
      <c r="P150" s="258">
        <v>44012</v>
      </c>
      <c r="Q150" s="254">
        <v>6158.4000000000005</v>
      </c>
      <c r="R150" s="255" t="s">
        <v>735</v>
      </c>
      <c r="S150" s="251"/>
      <c r="T150" s="251" t="s">
        <v>811</v>
      </c>
      <c r="U150" s="243">
        <f ca="1">VLOOKUP(BDD[[#This Row],[ANTIG]],DIASXANT18[#All],2)</f>
        <v>16</v>
      </c>
      <c r="V150" s="256">
        <f t="shared" si="7"/>
        <v>0.5</v>
      </c>
      <c r="W150" s="243">
        <f ca="1">BDD[[#This Row],[D.VAC.]]*BDD[[#This Row],[% P.V.]]</f>
        <v>8</v>
      </c>
      <c r="X150" s="243">
        <v>30</v>
      </c>
      <c r="Y150" s="257">
        <f ca="1">(365+BDD[[#This Row],[D.PAG.V.]]+BDD[[#This Row],[D.AG.]])/365</f>
        <v>1.1041095890410959</v>
      </c>
      <c r="Z150" s="243">
        <f ca="1">BDD[[#This Row],[SUE DIA]]*BDD[[#This Row],[FACTOR SDI]]</f>
        <v>324.79223744292239</v>
      </c>
      <c r="AA150" s="243">
        <f>BDD[[#This Row],[SUE DIA]]/9</f>
        <v>32.68518518518519</v>
      </c>
      <c r="AB150" s="251">
        <v>30396</v>
      </c>
      <c r="AC150" s="251" t="s">
        <v>918</v>
      </c>
      <c r="AD150" s="251" t="s">
        <v>790</v>
      </c>
      <c r="AE150" s="252">
        <v>8831608742</v>
      </c>
      <c r="AF150" s="251" t="s">
        <v>1347</v>
      </c>
      <c r="AG150" s="251" t="s">
        <v>774</v>
      </c>
      <c r="AH150" s="251" t="s">
        <v>730</v>
      </c>
      <c r="AI150" s="243" t="s">
        <v>151</v>
      </c>
      <c r="AJ150" s="258" cm="1">
        <f t="array" aca="1" ref="AJ150" ca="1">DATE(YEAR(FECH.CONS[FECHA DE CONSULTA:]),MONTH(BDD[[#This Row],[FECHA NAC]]),DAY(BDD[[#This Row],[FECHA NAC]]))</f>
        <v>44641</v>
      </c>
      <c r="AK150" s="243">
        <v>9</v>
      </c>
      <c r="AL150" s="251" t="s">
        <v>311</v>
      </c>
      <c r="AM150" s="251" t="s">
        <v>1546</v>
      </c>
      <c r="AN150" s="251" t="s">
        <v>1551</v>
      </c>
      <c r="AO150" s="245">
        <v>44</v>
      </c>
      <c r="AP150" s="251">
        <f ca="1">INT((TODAY()-BDD[[#This Row],[FECHA NAC]])/365)</f>
        <v>39</v>
      </c>
      <c r="AQ150" s="251">
        <v>0</v>
      </c>
      <c r="AR150" s="251">
        <f ca="1">IF(BDD[[#This Row],[ANTIG]]=0,0,1)</f>
        <v>1</v>
      </c>
      <c r="AS150" s="251"/>
      <c r="AT150" s="251"/>
      <c r="AU150" s="251"/>
      <c r="AV150" s="251"/>
      <c r="AW150" s="251"/>
      <c r="AX150" s="251"/>
      <c r="AY150" s="251"/>
      <c r="AZ150" s="274">
        <f t="shared" ca="1" si="8"/>
        <v>857</v>
      </c>
    </row>
    <row r="151" spans="2:52" ht="15" customHeight="1" x14ac:dyDescent="0.25">
      <c r="B151" s="243">
        <v>271</v>
      </c>
      <c r="C151" s="251" t="s">
        <v>1642</v>
      </c>
      <c r="D151" s="263">
        <v>7445</v>
      </c>
      <c r="E151" s="252">
        <f>(BDD[[#This Row],[SUE MENS]]/30)</f>
        <v>248.16666666666666</v>
      </c>
      <c r="F151" s="252">
        <f>BDD[[#This Row],[SUE MENS]]/2</f>
        <v>3722.5</v>
      </c>
      <c r="G151" s="320">
        <v>41440</v>
      </c>
      <c r="H151" s="243">
        <f ca="1">INT(_xlfn.DAYS(TODAY(),BDD[[#This Row],[FECHA ING.]])/365)</f>
        <v>9</v>
      </c>
      <c r="I151" s="251" t="str">
        <f>VLOOKUP(J151,TABLAS!$B$3:$G$49,2,FALSE)</f>
        <v>DIV ARQUIT</v>
      </c>
      <c r="J151" s="198" t="s">
        <v>741</v>
      </c>
      <c r="K151" s="251" t="s">
        <v>778</v>
      </c>
      <c r="L151" s="251" t="s">
        <v>763</v>
      </c>
      <c r="M151" s="251"/>
      <c r="N151" s="277" t="s">
        <v>2006</v>
      </c>
      <c r="O151" s="251" t="str">
        <f>IFERROR(VLOOKUP(BDD[[#This Row],[SUBDPTO]],TABLAS!$B$4:$D$36,3,0)," ")</f>
        <v>MÉRIDA ISELA MEDINA SALINAS</v>
      </c>
      <c r="P151" s="258">
        <v>43330</v>
      </c>
      <c r="Q151" s="254">
        <v>5760</v>
      </c>
      <c r="R151" s="255" t="s">
        <v>734</v>
      </c>
      <c r="S151" s="251"/>
      <c r="T151" s="251" t="s">
        <v>811</v>
      </c>
      <c r="U151" s="243">
        <f ca="1">VLOOKUP(BDD[[#This Row],[ANTIG]],DIASXANT18[#All],2)</f>
        <v>16</v>
      </c>
      <c r="V151" s="256">
        <f t="shared" si="7"/>
        <v>0.5</v>
      </c>
      <c r="W151" s="243">
        <f ca="1">BDD[[#This Row],[D.VAC.]]*BDD[[#This Row],[% P.V.]]</f>
        <v>8</v>
      </c>
      <c r="X151" s="243">
        <v>30</v>
      </c>
      <c r="Y151" s="257">
        <f ca="1">(365+BDD[[#This Row],[D.PAG.V.]]+BDD[[#This Row],[D.AG.]])/365</f>
        <v>1.1041095890410959</v>
      </c>
      <c r="Z151" s="243">
        <f ca="1">BDD[[#This Row],[SUE DIA]]*BDD[[#This Row],[FACTOR SDI]]</f>
        <v>274.00319634703197</v>
      </c>
      <c r="AA151" s="243">
        <f>BDD[[#This Row],[SUE DIA]]/9</f>
        <v>27.574074074074073</v>
      </c>
      <c r="AB151" s="251">
        <v>34238</v>
      </c>
      <c r="AC151" s="251" t="s">
        <v>931</v>
      </c>
      <c r="AD151" s="251" t="s">
        <v>792</v>
      </c>
      <c r="AE151" s="252">
        <v>8534801920</v>
      </c>
      <c r="AF151" s="251" t="s">
        <v>1155</v>
      </c>
      <c r="AG151" s="251" t="s">
        <v>776</v>
      </c>
      <c r="AH151" s="251" t="s">
        <v>730</v>
      </c>
      <c r="AI151" s="243" t="s">
        <v>151</v>
      </c>
      <c r="AJ151" s="258" cm="1">
        <f t="array" aca="1" ref="AJ151" ca="1">DATE(YEAR(FECH.CONS[FECHA DE CONSULTA:]),MONTH(BDD[[#This Row],[FECHA NAC]]),DAY(BDD[[#This Row],[FECHA NAC]]))</f>
        <v>44830</v>
      </c>
      <c r="AK151" s="243">
        <v>7</v>
      </c>
      <c r="AL151" s="261" t="s">
        <v>311</v>
      </c>
      <c r="AM151" s="251" t="s">
        <v>1543</v>
      </c>
      <c r="AN151" s="251" t="s">
        <v>1551</v>
      </c>
      <c r="AO151" s="245">
        <v>98</v>
      </c>
      <c r="AP151" s="251">
        <f ca="1">INT((TODAY()-BDD[[#This Row],[FECHA NAC]])/365)</f>
        <v>28</v>
      </c>
      <c r="AQ151" s="251">
        <v>0</v>
      </c>
      <c r="AR151" s="251">
        <f ca="1">IF(BDD[[#This Row],[ANTIG]]=0,0,1)</f>
        <v>1</v>
      </c>
      <c r="AS151" s="251"/>
      <c r="AT151" s="251"/>
      <c r="AU151" s="251"/>
      <c r="AV151" s="251"/>
      <c r="AW151" s="251"/>
      <c r="AX151" s="251"/>
      <c r="AY151" s="251"/>
      <c r="AZ151" s="251">
        <f t="shared" ca="1" si="8"/>
        <v>38</v>
      </c>
    </row>
    <row r="152" spans="2:52" ht="15" customHeight="1" x14ac:dyDescent="0.25">
      <c r="B152" s="243">
        <v>272</v>
      </c>
      <c r="C152" s="259" t="s">
        <v>614</v>
      </c>
      <c r="D152" s="252">
        <v>9450</v>
      </c>
      <c r="E152" s="252">
        <f>(BDD[[#This Row],[SUE MENS]]/30)</f>
        <v>315</v>
      </c>
      <c r="F152" s="252">
        <f>BDD[[#This Row],[SUE MENS]]/2</f>
        <v>4725</v>
      </c>
      <c r="G152" s="320">
        <v>41454</v>
      </c>
      <c r="H152" s="243">
        <f ca="1">INT(_xlfn.DAYS(TODAY(),BDD[[#This Row],[FECHA ING.]])/365)</f>
        <v>9</v>
      </c>
      <c r="I152" s="251" t="str">
        <f>VLOOKUP(J152,TABLAS!$B$3:$G$49,2,FALSE)</f>
        <v>TECNOLOGÍA</v>
      </c>
      <c r="J152" s="198" t="s">
        <v>751</v>
      </c>
      <c r="K152" s="251" t="s">
        <v>778</v>
      </c>
      <c r="L152" s="251" t="s">
        <v>763</v>
      </c>
      <c r="M152" s="251"/>
      <c r="N152" s="253" t="s">
        <v>2167</v>
      </c>
      <c r="O152" s="251" t="str">
        <f>IFERROR(VLOOKUP(BDD[[#This Row],[SUBDPTO]],TABLAS!$B$4:$D$36,3,0)," ")</f>
        <v>DENEB SANTIAGO ALTAIR VEGA</v>
      </c>
      <c r="P152" s="258">
        <v>43373</v>
      </c>
      <c r="Q152" s="254">
        <v>6158.4000000000005</v>
      </c>
      <c r="R152" s="255" t="s">
        <v>744</v>
      </c>
      <c r="S152" s="251"/>
      <c r="T152" s="251" t="s">
        <v>301</v>
      </c>
      <c r="U152" s="243">
        <f ca="1">VLOOKUP(BDD[[#This Row],[ANTIG]],DIASXANT18[#All],2)</f>
        <v>16</v>
      </c>
      <c r="V152" s="256">
        <f t="shared" si="7"/>
        <v>0.5</v>
      </c>
      <c r="W152" s="243">
        <f ca="1">BDD[[#This Row],[D.VAC.]]*BDD[[#This Row],[% P.V.]]</f>
        <v>8</v>
      </c>
      <c r="X152" s="243">
        <v>30</v>
      </c>
      <c r="Y152" s="257">
        <f ca="1">(365+BDD[[#This Row],[D.PAG.V.]]+BDD[[#This Row],[D.AG.]])/365</f>
        <v>1.1041095890410959</v>
      </c>
      <c r="Z152" s="243">
        <f ca="1">BDD[[#This Row],[SUE DIA]]*BDD[[#This Row],[FACTOR SDI]]</f>
        <v>347.79452054794518</v>
      </c>
      <c r="AA152" s="243">
        <f>BDD[[#This Row],[SUE DIA]]/9</f>
        <v>35</v>
      </c>
      <c r="AB152" s="251">
        <v>28268</v>
      </c>
      <c r="AC152" s="251" t="s">
        <v>955</v>
      </c>
      <c r="AD152" s="251" t="s">
        <v>791</v>
      </c>
      <c r="AE152" s="260">
        <v>5696781399</v>
      </c>
      <c r="AF152" s="251" t="s">
        <v>1463</v>
      </c>
      <c r="AG152" s="251" t="s">
        <v>776</v>
      </c>
      <c r="AH152" s="251" t="s">
        <v>726</v>
      </c>
      <c r="AI152" s="243" t="s">
        <v>152</v>
      </c>
      <c r="AJ152" s="258" cm="1">
        <f t="array" aca="1" ref="AJ152" ca="1">DATE(YEAR(FECH.CONS[FECHA DE CONSULTA:]),MONTH(BDD[[#This Row],[FECHA NAC]]),DAY(BDD[[#This Row],[FECHA NAC]]))</f>
        <v>44704</v>
      </c>
      <c r="AK152" s="243"/>
      <c r="AL152" s="261" t="s">
        <v>311</v>
      </c>
      <c r="AM152" s="251" t="s">
        <v>1547</v>
      </c>
      <c r="AN152" s="251" t="s">
        <v>1551</v>
      </c>
      <c r="AO152" s="245">
        <v>42</v>
      </c>
      <c r="AP152" s="251">
        <f ca="1">INT((TODAY()-BDD[[#This Row],[FECHA NAC]])/365)</f>
        <v>45</v>
      </c>
      <c r="AQ152" s="251">
        <v>2</v>
      </c>
      <c r="AR152" s="251">
        <f ca="1">IF(BDD[[#This Row],[ANTIG]]=0,0,1)</f>
        <v>1</v>
      </c>
      <c r="AS152" s="251"/>
      <c r="AT152" s="251"/>
      <c r="AU152" s="251"/>
      <c r="AV152" s="251"/>
      <c r="AW152" s="251"/>
      <c r="AX152" s="251"/>
      <c r="AY152" s="251"/>
      <c r="AZ152" s="251">
        <f t="shared" ca="1" si="8"/>
        <v>463</v>
      </c>
    </row>
    <row r="153" spans="2:52" ht="15" customHeight="1" x14ac:dyDescent="0.25">
      <c r="B153" s="245">
        <v>273</v>
      </c>
      <c r="C153" s="262" t="s">
        <v>862</v>
      </c>
      <c r="D153" s="244">
        <v>6778</v>
      </c>
      <c r="E153" s="244">
        <f>(BDD[[#This Row],[SUE MENS]]/30)</f>
        <v>225.93333333333334</v>
      </c>
      <c r="F153" s="244">
        <f>BDD[[#This Row],[SUE MENS]]/2</f>
        <v>3389</v>
      </c>
      <c r="G153" s="319">
        <v>41466</v>
      </c>
      <c r="H153" s="244">
        <f ca="1">INT(_xlfn.DAYS(TODAY(),BDD[[#This Row],[FECHA ING.]])/365)</f>
        <v>9</v>
      </c>
      <c r="I153" s="251" t="str">
        <f>VLOOKUP(J153,TABLAS!$B$3:$G$49,2,FALSE)</f>
        <v>CPTAL HUMANO</v>
      </c>
      <c r="J153" s="262" t="s">
        <v>767</v>
      </c>
      <c r="K153" s="262" t="s">
        <v>778</v>
      </c>
      <c r="L153" s="251" t="s">
        <v>763</v>
      </c>
      <c r="M153" s="251"/>
      <c r="N153" s="244" t="s">
        <v>2165</v>
      </c>
      <c r="O153" s="244" t="str">
        <f>IFERROR(VLOOKUP(BDD[[#This Row],[SUBDPTO]],TABLAS!$B$4:$D$36,3,0)," ")</f>
        <v>EMMA DARIELA GARCÍA LORCA</v>
      </c>
      <c r="P153" s="268"/>
      <c r="Q153" s="244"/>
      <c r="R153" s="244"/>
      <c r="S153" s="244"/>
      <c r="T153" s="262" t="s">
        <v>811</v>
      </c>
      <c r="U153" s="265">
        <f ca="1">VLOOKUP(BDD[[#This Row],[ANTIG]],DIASXANT18[#All],2)</f>
        <v>16</v>
      </c>
      <c r="V153" s="266">
        <v>0.25</v>
      </c>
      <c r="W153" s="265">
        <f ca="1">BDD[[#This Row],[D.VAC.]]*BDD[[#This Row],[% P.V.]]</f>
        <v>4</v>
      </c>
      <c r="X153" s="265">
        <v>15</v>
      </c>
      <c r="Y153" s="267">
        <f ca="1">(365+BDD[[#This Row],[D.PAG.V.]]+BDD[[#This Row],[D.AG.]])/365</f>
        <v>1.0520547945205478</v>
      </c>
      <c r="Z153" s="265">
        <f ca="1">BDD[[#This Row],[SUE DIA]]*BDD[[#This Row],[FACTOR SDI]]</f>
        <v>237.69424657534245</v>
      </c>
      <c r="AA153" s="265">
        <f>BDD[[#This Row],[SUE DIA]]/9</f>
        <v>25.103703703703705</v>
      </c>
      <c r="AB153" s="262">
        <v>34227</v>
      </c>
      <c r="AC153" s="262" t="s">
        <v>866</v>
      </c>
      <c r="AD153" s="244" t="s">
        <v>790</v>
      </c>
      <c r="AE153" s="262">
        <v>8181495684</v>
      </c>
      <c r="AF153" s="262" t="s">
        <v>863</v>
      </c>
      <c r="AG153" s="262" t="s">
        <v>776</v>
      </c>
      <c r="AH153" s="262" t="s">
        <v>864</v>
      </c>
      <c r="AI153" s="245" t="s">
        <v>152</v>
      </c>
      <c r="AJ153" s="268" cm="1">
        <f t="array" aca="1" ref="AJ153" ca="1">DATE(YEAR(FECH.CONS[FECHA DE CONSULTA:]),MONTH(BDD[[#This Row],[FECHA NAC]]),DAY(BDD[[#This Row],[FECHA NAC]]))</f>
        <v>44819</v>
      </c>
      <c r="AK153" s="245">
        <v>8</v>
      </c>
      <c r="AL153" s="262" t="s">
        <v>314</v>
      </c>
      <c r="AM153" s="262" t="s">
        <v>865</v>
      </c>
      <c r="AN153" s="262"/>
      <c r="AO153" s="245">
        <v>80</v>
      </c>
      <c r="AP153" s="244">
        <f ca="1">INT((TODAY()-BDD[[#This Row],[FECHA NAC]])/365)</f>
        <v>28</v>
      </c>
      <c r="AQ153" s="280">
        <v>0</v>
      </c>
      <c r="AR153" s="262">
        <f ca="1">IF(BDD[[#This Row],[ANTIG]]=0,0,1)</f>
        <v>1</v>
      </c>
      <c r="AS153" s="262"/>
      <c r="AT153" s="262"/>
      <c r="AU153" s="262"/>
      <c r="AV153" s="262"/>
      <c r="AW153" s="262"/>
      <c r="AX153" s="262"/>
      <c r="AY153" s="262"/>
      <c r="AZ153" s="244">
        <f t="shared" ca="1" si="8"/>
        <v>462</v>
      </c>
    </row>
    <row r="154" spans="2:52" ht="15" customHeight="1" x14ac:dyDescent="0.25">
      <c r="B154" s="243">
        <v>274</v>
      </c>
      <c r="C154" s="262" t="s">
        <v>399</v>
      </c>
      <c r="D154" s="252">
        <v>9541</v>
      </c>
      <c r="E154" s="252">
        <f>(BDD[[#This Row],[SUE MENS]]/30)</f>
        <v>318.03333333333336</v>
      </c>
      <c r="F154" s="252">
        <f>BDD[[#This Row],[SUE MENS]]/2</f>
        <v>4770.5</v>
      </c>
      <c r="G154" s="319">
        <v>41468</v>
      </c>
      <c r="H154" s="243">
        <f ca="1">INT(_xlfn.DAYS(TODAY(),BDD[[#This Row],[FECHA ING.]])/365)</f>
        <v>9</v>
      </c>
      <c r="I154" s="251" t="str">
        <f>VLOOKUP(J154,TABLAS!$B$3:$G$49,2,FALSE)</f>
        <v>CONTRATOS</v>
      </c>
      <c r="J154" s="198" t="s">
        <v>739</v>
      </c>
      <c r="K154" s="251" t="s">
        <v>778</v>
      </c>
      <c r="L154" s="251" t="s">
        <v>763</v>
      </c>
      <c r="M154" s="251"/>
      <c r="N154" s="244" t="s">
        <v>1995</v>
      </c>
      <c r="O154" s="251" t="str">
        <f>IFERROR(VLOOKUP(BDD[[#This Row],[SUBDPTO]],TABLAS!$B$4:$D$36,3,0)," ")</f>
        <v>IDALIA GARCÍA ESCRIVÁ</v>
      </c>
      <c r="P154" s="258">
        <v>42649</v>
      </c>
      <c r="Q154" s="254">
        <v>5088</v>
      </c>
      <c r="R154" s="255" t="s">
        <v>734</v>
      </c>
      <c r="S154" s="255" t="s">
        <v>751</v>
      </c>
      <c r="T154" s="251" t="s">
        <v>301</v>
      </c>
      <c r="U154" s="243">
        <f ca="1">VLOOKUP(BDD[[#This Row],[ANTIG]],DIASXANT18[#All],2)</f>
        <v>16</v>
      </c>
      <c r="V154" s="256">
        <f t="shared" ref="V154:V174" si="9">100/200</f>
        <v>0.5</v>
      </c>
      <c r="W154" s="243">
        <f ca="1">BDD[[#This Row],[D.VAC.]]*BDD[[#This Row],[% P.V.]]</f>
        <v>8</v>
      </c>
      <c r="X154" s="243">
        <v>30</v>
      </c>
      <c r="Y154" s="257">
        <f ca="1">(365+BDD[[#This Row],[D.PAG.V.]]+BDD[[#This Row],[D.AG.]])/365</f>
        <v>1.1041095890410959</v>
      </c>
      <c r="Z154" s="243">
        <f ca="1">BDD[[#This Row],[SUE DIA]]*BDD[[#This Row],[FACTOR SDI]]</f>
        <v>351.14365296803658</v>
      </c>
      <c r="AA154" s="243">
        <f>BDD[[#This Row],[SUE DIA]]/9</f>
        <v>35.337037037037042</v>
      </c>
      <c r="AB154" s="262">
        <v>34134</v>
      </c>
      <c r="AC154" s="251" t="s">
        <v>1029</v>
      </c>
      <c r="AD154" s="251" t="s">
        <v>790</v>
      </c>
      <c r="AE154" s="252">
        <v>8347732410</v>
      </c>
      <c r="AF154" s="251" t="s">
        <v>1313</v>
      </c>
      <c r="AG154" s="251" t="s">
        <v>776</v>
      </c>
      <c r="AH154" s="251" t="s">
        <v>730</v>
      </c>
      <c r="AI154" s="243" t="s">
        <v>151</v>
      </c>
      <c r="AJ154" s="258" cm="1">
        <f t="array" aca="1" ref="AJ154" ca="1">DATE(YEAR(FECH.CONS[FECHA DE CONSULTA:]),MONTH(BDD[[#This Row],[FECHA NAC]]),DAY(BDD[[#This Row],[FECHA NAC]]))</f>
        <v>44726</v>
      </c>
      <c r="AK154" s="243">
        <v>7</v>
      </c>
      <c r="AL154" s="261" t="s">
        <v>311</v>
      </c>
      <c r="AM154" s="251" t="s">
        <v>1538</v>
      </c>
      <c r="AN154" s="251" t="s">
        <v>1551</v>
      </c>
      <c r="AO154" s="245">
        <v>32</v>
      </c>
      <c r="AP154" s="251">
        <f ca="1">INT((TODAY()-BDD[[#This Row],[FECHA NAC]])/365)</f>
        <v>29</v>
      </c>
      <c r="AQ154" s="251">
        <v>1</v>
      </c>
      <c r="AR154" s="251">
        <f ca="1">IF(BDD[[#This Row],[ANTIG]]=0,0,1)</f>
        <v>1</v>
      </c>
      <c r="AS154" s="251"/>
      <c r="AT154" s="251"/>
      <c r="AU154" s="251"/>
      <c r="AV154" s="251"/>
      <c r="AW154" s="251"/>
      <c r="AX154" s="251"/>
      <c r="AY154" s="251"/>
      <c r="AZ154" s="251">
        <f t="shared" ca="1" si="8"/>
        <v>195</v>
      </c>
    </row>
    <row r="155" spans="2:52" ht="15" customHeight="1" x14ac:dyDescent="0.25">
      <c r="B155" s="243">
        <v>275</v>
      </c>
      <c r="C155" s="251" t="s">
        <v>420</v>
      </c>
      <c r="D155" s="263">
        <v>10350</v>
      </c>
      <c r="E155" s="252">
        <f>(BDD[[#This Row],[SUE MENS]]/30)</f>
        <v>345</v>
      </c>
      <c r="F155" s="252">
        <f>BDD[[#This Row],[SUE MENS]]/2</f>
        <v>5175</v>
      </c>
      <c r="G155" s="320">
        <v>41472</v>
      </c>
      <c r="H155" s="243">
        <f ca="1">INT(_xlfn.DAYS(TODAY(),BDD[[#This Row],[FECHA ING.]])/365)</f>
        <v>9</v>
      </c>
      <c r="I155" s="251" t="str">
        <f>VLOOKUP(J155,TABLAS!$B$3:$G$49,2,FALSE)</f>
        <v>DIRECCIÓN</v>
      </c>
      <c r="J155" s="198" t="s">
        <v>759</v>
      </c>
      <c r="K155" s="251" t="s">
        <v>778</v>
      </c>
      <c r="L155" s="251" t="s">
        <v>763</v>
      </c>
      <c r="M155" s="251"/>
      <c r="N155" s="244" t="s">
        <v>2155</v>
      </c>
      <c r="O155" s="251" t="str">
        <f>IFERROR(VLOOKUP(BDD[[#This Row],[SUBDPTO]],TABLAS!$B$4:$D$36,3,0)," ")</f>
        <v>MARIANA RODRÍGUEZ GUTIERREZ</v>
      </c>
      <c r="P155" s="258"/>
      <c r="Q155" s="264"/>
      <c r="R155" s="244"/>
      <c r="S155" s="251"/>
      <c r="T155" s="251" t="s">
        <v>301</v>
      </c>
      <c r="U155" s="243">
        <f ca="1">VLOOKUP(BDD[[#This Row],[ANTIG]],DIASXANT18[#All],2)</f>
        <v>16</v>
      </c>
      <c r="V155" s="256">
        <f t="shared" si="9"/>
        <v>0.5</v>
      </c>
      <c r="W155" s="243">
        <f ca="1">BDD[[#This Row],[D.VAC.]]*BDD[[#This Row],[% P.V.]]</f>
        <v>8</v>
      </c>
      <c r="X155" s="243">
        <v>30</v>
      </c>
      <c r="Y155" s="257">
        <f ca="1">(365+BDD[[#This Row],[D.PAG.V.]]+BDD[[#This Row],[D.AG.]])/365</f>
        <v>1.1041095890410959</v>
      </c>
      <c r="Z155" s="243">
        <f ca="1">BDD[[#This Row],[SUE DIA]]*BDD[[#This Row],[FACTOR SDI]]</f>
        <v>380.91780821917808</v>
      </c>
      <c r="AA155" s="243">
        <f>BDD[[#This Row],[SUE DIA]]/9</f>
        <v>38.333333333333336</v>
      </c>
      <c r="AB155" s="251">
        <v>30109</v>
      </c>
      <c r="AC155" s="251" t="s">
        <v>981</v>
      </c>
      <c r="AD155" s="251" t="s">
        <v>791</v>
      </c>
      <c r="AE155" s="252">
        <v>8745556056</v>
      </c>
      <c r="AF155" s="251" t="s">
        <v>1223</v>
      </c>
      <c r="AG155" s="251" t="s">
        <v>776</v>
      </c>
      <c r="AH155" s="251" t="s">
        <v>1555</v>
      </c>
      <c r="AI155" s="243" t="s">
        <v>151</v>
      </c>
      <c r="AJ155" s="258" cm="1">
        <f t="array" aca="1" ref="AJ155" ca="1">DATE(YEAR(FECH.CONS[FECHA DE CONSULTA:]),MONTH(BDD[[#This Row],[FECHA NAC]]),DAY(BDD[[#This Row],[FECHA NAC]]))</f>
        <v>44719</v>
      </c>
      <c r="AK155" s="243"/>
      <c r="AL155" s="251" t="s">
        <v>311</v>
      </c>
      <c r="AM155" s="251" t="s">
        <v>1544</v>
      </c>
      <c r="AN155" s="251" t="s">
        <v>1551</v>
      </c>
      <c r="AO155" s="245">
        <v>97</v>
      </c>
      <c r="AP155" s="251">
        <f ca="1">INT((TODAY()-BDD[[#This Row],[FECHA NAC]])/365)</f>
        <v>40</v>
      </c>
      <c r="AQ155" s="251">
        <v>1</v>
      </c>
      <c r="AR155" s="251">
        <f ca="1">IF(BDD[[#This Row],[ANTIG]]=0,0,1)</f>
        <v>1</v>
      </c>
      <c r="AS155" s="251"/>
      <c r="AT155" s="251"/>
      <c r="AU155" s="251"/>
      <c r="AV155" s="251"/>
      <c r="AW155" s="251"/>
      <c r="AX155" s="251"/>
      <c r="AY155" s="251"/>
      <c r="AZ155" s="251">
        <f t="shared" ca="1" si="8"/>
        <v>263</v>
      </c>
    </row>
    <row r="156" spans="2:52" ht="15" customHeight="1" x14ac:dyDescent="0.25">
      <c r="B156" s="243">
        <v>276</v>
      </c>
      <c r="C156" s="251" t="s">
        <v>400</v>
      </c>
      <c r="D156" s="252">
        <v>9541</v>
      </c>
      <c r="E156" s="252">
        <f>(BDD[[#This Row],[SUE MENS]]/30)</f>
        <v>318.03333333333336</v>
      </c>
      <c r="F156" s="252">
        <f>BDD[[#This Row],[SUE MENS]]/2</f>
        <v>4770.5</v>
      </c>
      <c r="G156" s="320">
        <v>41497</v>
      </c>
      <c r="H156" s="243">
        <f ca="1">INT(_xlfn.DAYS(TODAY(),BDD[[#This Row],[FECHA ING.]])/365)</f>
        <v>8</v>
      </c>
      <c r="I156" s="251" t="str">
        <f>VLOOKUP(J156,TABLAS!$B$3:$G$49,2,FALSE)</f>
        <v>CONTRATOS</v>
      </c>
      <c r="J156" s="198" t="s">
        <v>739</v>
      </c>
      <c r="K156" s="251" t="s">
        <v>778</v>
      </c>
      <c r="L156" s="251" t="s">
        <v>763</v>
      </c>
      <c r="M156" s="251"/>
      <c r="N156" s="244" t="s">
        <v>1841</v>
      </c>
      <c r="O156" s="251" t="str">
        <f>IFERROR(VLOOKUP(BDD[[#This Row],[SUBDPTO]],TABLAS!$B$4:$D$36,3,0)," ")</f>
        <v>IDALIA GARCÍA ESCRIVÁ</v>
      </c>
      <c r="P156" s="258">
        <f>BDD[[#This Row],[FECHA ING.]]+900</f>
        <v>42397</v>
      </c>
      <c r="Q156" s="254">
        <v>5211.5</v>
      </c>
      <c r="R156" s="251" t="s">
        <v>736</v>
      </c>
      <c r="S156" s="251"/>
      <c r="T156" s="251" t="s">
        <v>811</v>
      </c>
      <c r="U156" s="243">
        <f ca="1">VLOOKUP(BDD[[#This Row],[ANTIG]],DIASXANT18[#All],2)</f>
        <v>16</v>
      </c>
      <c r="V156" s="256">
        <f t="shared" si="9"/>
        <v>0.5</v>
      </c>
      <c r="W156" s="243">
        <f ca="1">BDD[[#This Row],[D.VAC.]]*BDD[[#This Row],[% P.V.]]</f>
        <v>8</v>
      </c>
      <c r="X156" s="243">
        <v>30</v>
      </c>
      <c r="Y156" s="257">
        <f ca="1">(365+BDD[[#This Row],[D.PAG.V.]]+BDD[[#This Row],[D.AG.]])/365</f>
        <v>1.1041095890410959</v>
      </c>
      <c r="Z156" s="243">
        <f ca="1">BDD[[#This Row],[SUE DIA]]*BDD[[#This Row],[FACTOR SDI]]</f>
        <v>351.14365296803658</v>
      </c>
      <c r="AA156" s="243">
        <f>BDD[[#This Row],[SUE DIA]]/9</f>
        <v>35.337037037037042</v>
      </c>
      <c r="AB156" s="251">
        <v>32204</v>
      </c>
      <c r="AC156" s="251" t="s">
        <v>986</v>
      </c>
      <c r="AD156" s="251" t="s">
        <v>786</v>
      </c>
      <c r="AE156" s="252">
        <v>8963809322</v>
      </c>
      <c r="AF156" s="251" t="s">
        <v>1228</v>
      </c>
      <c r="AG156" s="251" t="s">
        <v>773</v>
      </c>
      <c r="AH156" s="251" t="s">
        <v>730</v>
      </c>
      <c r="AI156" s="243" t="s">
        <v>152</v>
      </c>
      <c r="AJ156" s="258" cm="1">
        <f t="array" aca="1" ref="AJ156" ca="1">DATE(YEAR(FECH.CONS[FECHA DE CONSULTA:]),MONTH(BDD[[#This Row],[FECHA NAC]]),DAY(BDD[[#This Row],[FECHA NAC]]))</f>
        <v>44622</v>
      </c>
      <c r="AK156" s="243">
        <v>10</v>
      </c>
      <c r="AL156" s="261" t="s">
        <v>311</v>
      </c>
      <c r="AM156" s="251" t="s">
        <v>1538</v>
      </c>
      <c r="AN156" s="251" t="s">
        <v>1551</v>
      </c>
      <c r="AO156" s="245">
        <v>63</v>
      </c>
      <c r="AP156" s="251">
        <f ca="1">INT((TODAY()-BDD[[#This Row],[FECHA NAC]])/365)</f>
        <v>34</v>
      </c>
      <c r="AQ156" s="251">
        <v>1</v>
      </c>
      <c r="AR156" s="251">
        <f ca="1">IF(BDD[[#This Row],[ANTIG]]=0,0,1)</f>
        <v>1</v>
      </c>
      <c r="AS156" s="251"/>
      <c r="AT156" s="251"/>
      <c r="AU156" s="251"/>
      <c r="AV156" s="251"/>
      <c r="AW156" s="251"/>
      <c r="AX156" s="251"/>
      <c r="AY156" s="251"/>
      <c r="AZ156" s="251">
        <f t="shared" ca="1" si="8"/>
        <v>216</v>
      </c>
    </row>
    <row r="157" spans="2:52" ht="15" customHeight="1" x14ac:dyDescent="0.25">
      <c r="B157" s="243">
        <v>277</v>
      </c>
      <c r="C157" s="262" t="s">
        <v>338</v>
      </c>
      <c r="D157" s="252">
        <v>7445</v>
      </c>
      <c r="E157" s="252">
        <f>(BDD[[#This Row],[SUE MENS]]/30)</f>
        <v>248.16666666666666</v>
      </c>
      <c r="F157" s="252">
        <f>BDD[[#This Row],[SUE MENS]]/2</f>
        <v>3722.5</v>
      </c>
      <c r="G157" s="320">
        <v>41513</v>
      </c>
      <c r="H157" s="243">
        <f ca="1">INT(_xlfn.DAYS(TODAY(),BDD[[#This Row],[FECHA ING.]])/365)</f>
        <v>8</v>
      </c>
      <c r="I157" s="251" t="str">
        <f>VLOOKUP(J157,TABLAS!$B$3:$G$49,2,FALSE)</f>
        <v>DIV ARQUIT</v>
      </c>
      <c r="J157" s="198" t="s">
        <v>741</v>
      </c>
      <c r="K157" s="251" t="s">
        <v>778</v>
      </c>
      <c r="L157" s="251" t="s">
        <v>763</v>
      </c>
      <c r="M157" s="251"/>
      <c r="N157" s="253" t="s">
        <v>1919</v>
      </c>
      <c r="O157" s="251" t="str">
        <f>IFERROR(VLOOKUP(BDD[[#This Row],[SUBDPTO]],TABLAS!$B$4:$D$36,3,0)," ")</f>
        <v>MÉRIDA ISELA MEDINA SALINAS</v>
      </c>
      <c r="P157" s="258"/>
      <c r="Q157" s="264"/>
      <c r="R157" s="244"/>
      <c r="S157" s="251"/>
      <c r="T157" s="251" t="s">
        <v>811</v>
      </c>
      <c r="U157" s="243">
        <f ca="1">VLOOKUP(BDD[[#This Row],[ANTIG]],DIASXANT18[#All],2)</f>
        <v>16</v>
      </c>
      <c r="V157" s="256">
        <f t="shared" si="9"/>
        <v>0.5</v>
      </c>
      <c r="W157" s="243">
        <f ca="1">BDD[[#This Row],[D.VAC.]]*BDD[[#This Row],[% P.V.]]</f>
        <v>8</v>
      </c>
      <c r="X157" s="243">
        <v>30</v>
      </c>
      <c r="Y157" s="257">
        <f ca="1">(365+BDD[[#This Row],[D.PAG.V.]]+BDD[[#This Row],[D.AG.]])/365</f>
        <v>1.1041095890410959</v>
      </c>
      <c r="Z157" s="243">
        <f ca="1">BDD[[#This Row],[SUE DIA]]*BDD[[#This Row],[FACTOR SDI]]</f>
        <v>274.00319634703197</v>
      </c>
      <c r="AA157" s="243">
        <f>BDD[[#This Row],[SUE DIA]]/9</f>
        <v>27.574074074074073</v>
      </c>
      <c r="AB157" s="262">
        <v>35013</v>
      </c>
      <c r="AC157" s="251" t="s">
        <v>1024</v>
      </c>
      <c r="AD157" s="251" t="s">
        <v>790</v>
      </c>
      <c r="AE157" s="252">
        <v>8103069296</v>
      </c>
      <c r="AF157" s="251" t="s">
        <v>1306</v>
      </c>
      <c r="AG157" s="251" t="s">
        <v>776</v>
      </c>
      <c r="AH157" s="251" t="s">
        <v>730</v>
      </c>
      <c r="AI157" s="243" t="s">
        <v>151</v>
      </c>
      <c r="AJ157" s="258" cm="1">
        <f t="array" aca="1" ref="AJ157" ca="1">DATE(YEAR(FECH.CONS[FECHA DE CONSULTA:]),MONTH(BDD[[#This Row],[FECHA NAC]]),DAY(BDD[[#This Row],[FECHA NAC]]))</f>
        <v>44875</v>
      </c>
      <c r="AK157" s="243">
        <v>6</v>
      </c>
      <c r="AL157" s="261" t="s">
        <v>311</v>
      </c>
      <c r="AM157" s="251" t="s">
        <v>1543</v>
      </c>
      <c r="AN157" s="251" t="s">
        <v>1551</v>
      </c>
      <c r="AO157" s="245">
        <v>83</v>
      </c>
      <c r="AP157" s="251">
        <f ca="1">INT((TODAY()-BDD[[#This Row],[FECHA NAC]])/365)</f>
        <v>26</v>
      </c>
      <c r="AQ157" s="251">
        <v>3</v>
      </c>
      <c r="AR157" s="251">
        <f ca="1">IF(BDD[[#This Row],[ANTIG]]=0,0,1)</f>
        <v>1</v>
      </c>
      <c r="AS157" s="251"/>
      <c r="AT157" s="251"/>
      <c r="AU157" s="251"/>
      <c r="AV157" s="251"/>
      <c r="AW157" s="251"/>
      <c r="AX157" s="251"/>
      <c r="AY157" s="251"/>
      <c r="AZ157" s="251">
        <f t="shared" ca="1" si="8"/>
        <v>53</v>
      </c>
    </row>
    <row r="158" spans="2:52" ht="15" customHeight="1" x14ac:dyDescent="0.25">
      <c r="B158" s="243">
        <v>278</v>
      </c>
      <c r="C158" s="262" t="s">
        <v>345</v>
      </c>
      <c r="D158" s="263">
        <v>7445</v>
      </c>
      <c r="E158" s="252">
        <f>(BDD[[#This Row],[SUE MENS]]/30)</f>
        <v>248.16666666666666</v>
      </c>
      <c r="F158" s="252">
        <f>BDD[[#This Row],[SUE MENS]]/2</f>
        <v>3722.5</v>
      </c>
      <c r="G158" s="320">
        <v>41559</v>
      </c>
      <c r="H158" s="243">
        <f ca="1">INT(_xlfn.DAYS(TODAY(),BDD[[#This Row],[FECHA ING.]])/365)</f>
        <v>8</v>
      </c>
      <c r="I158" s="251" t="str">
        <f>VLOOKUP(J158,TABLAS!$B$3:$G$49,2,FALSE)</f>
        <v>AUDITORÍA</v>
      </c>
      <c r="J158" s="198" t="s">
        <v>734</v>
      </c>
      <c r="K158" s="251" t="s">
        <v>778</v>
      </c>
      <c r="L158" s="251" t="s">
        <v>763</v>
      </c>
      <c r="M158" s="251"/>
      <c r="N158" s="244" t="s">
        <v>1766</v>
      </c>
      <c r="O158" s="251" t="str">
        <f>IFERROR(VLOOKUP(BDD[[#This Row],[SUBDPTO]],TABLAS!$B$4:$D$36,3,0)," ")</f>
        <v>MARCO AURELIO URBINO</v>
      </c>
      <c r="P158" s="258">
        <v>43469</v>
      </c>
      <c r="Q158" s="254">
        <v>5422.4000000000005</v>
      </c>
      <c r="R158" s="255" t="s">
        <v>736</v>
      </c>
      <c r="S158" s="251"/>
      <c r="T158" s="251" t="s">
        <v>811</v>
      </c>
      <c r="U158" s="243">
        <f ca="1">VLOOKUP(BDD[[#This Row],[ANTIG]],DIASXANT18[#All],2)</f>
        <v>16</v>
      </c>
      <c r="V158" s="256">
        <f t="shared" si="9"/>
        <v>0.5</v>
      </c>
      <c r="W158" s="243">
        <f ca="1">BDD[[#This Row],[D.VAC.]]*BDD[[#This Row],[% P.V.]]</f>
        <v>8</v>
      </c>
      <c r="X158" s="243">
        <v>30</v>
      </c>
      <c r="Y158" s="257">
        <f ca="1">(365+BDD[[#This Row],[D.PAG.V.]]+BDD[[#This Row],[D.AG.]])/365</f>
        <v>1.1041095890410959</v>
      </c>
      <c r="Z158" s="243">
        <f ca="1">BDD[[#This Row],[SUE DIA]]*BDD[[#This Row],[FACTOR SDI]]</f>
        <v>274.00319634703197</v>
      </c>
      <c r="AA158" s="243">
        <f>BDD[[#This Row],[SUE DIA]]/9</f>
        <v>27.574074074074073</v>
      </c>
      <c r="AB158" s="262">
        <v>29982</v>
      </c>
      <c r="AC158" s="251" t="s">
        <v>881</v>
      </c>
      <c r="AD158" s="251" t="s">
        <v>791</v>
      </c>
      <c r="AE158" s="252">
        <v>8187505050</v>
      </c>
      <c r="AF158" s="251" t="s">
        <v>1316</v>
      </c>
      <c r="AG158" s="251" t="s">
        <v>776</v>
      </c>
      <c r="AH158" s="251" t="s">
        <v>730</v>
      </c>
      <c r="AI158" s="243" t="s">
        <v>151</v>
      </c>
      <c r="AJ158" s="258" cm="1">
        <f t="array" aca="1" ref="AJ158" ca="1">DATE(YEAR(FECH.CONS[FECHA DE CONSULTA:]),MONTH(BDD[[#This Row],[FECHA NAC]]),DAY(BDD[[#This Row],[FECHA NAC]]))</f>
        <v>44592</v>
      </c>
      <c r="AK158" s="243">
        <v>10</v>
      </c>
      <c r="AL158" s="261" t="s">
        <v>322</v>
      </c>
      <c r="AM158" s="251" t="s">
        <v>1535</v>
      </c>
      <c r="AN158" s="251" t="s">
        <v>1551</v>
      </c>
      <c r="AO158" s="245">
        <v>49</v>
      </c>
      <c r="AP158" s="251">
        <f ca="1">INT((TODAY()-BDD[[#This Row],[FECHA NAC]])/365)</f>
        <v>40</v>
      </c>
      <c r="AQ158" s="251">
        <v>2</v>
      </c>
      <c r="AR158" s="251">
        <f ca="1">IF(BDD[[#This Row],[ANTIG]]=0,0,1)</f>
        <v>1</v>
      </c>
      <c r="AS158" s="251"/>
      <c r="AT158" s="251"/>
      <c r="AU158" s="251"/>
      <c r="AV158" s="251"/>
      <c r="AW158" s="251"/>
      <c r="AX158" s="251"/>
      <c r="AY158" s="251"/>
      <c r="AZ158" s="251">
        <f t="shared" ca="1" si="8"/>
        <v>267</v>
      </c>
    </row>
    <row r="159" spans="2:52" ht="15" customHeight="1" x14ac:dyDescent="0.25">
      <c r="B159" s="243">
        <v>279</v>
      </c>
      <c r="C159" s="251" t="s">
        <v>255</v>
      </c>
      <c r="D159" s="252">
        <v>15850</v>
      </c>
      <c r="E159" s="252">
        <f>(BDD[[#This Row],[SUE MENS]]/30)</f>
        <v>528.33333333333337</v>
      </c>
      <c r="F159" s="252">
        <f>BDD[[#This Row],[SUE MENS]]/2</f>
        <v>7925</v>
      </c>
      <c r="G159" s="320">
        <v>41619</v>
      </c>
      <c r="H159" s="243">
        <f ca="1">INT(_xlfn.DAYS(TODAY(),BDD[[#This Row],[FECHA ING.]])/365)</f>
        <v>8</v>
      </c>
      <c r="I159" s="251" t="str">
        <f>VLOOKUP(J159,TABLAS!$B$3:$G$49,2,FALSE)</f>
        <v>DIV INGENRIA</v>
      </c>
      <c r="J159" s="198" t="s">
        <v>756</v>
      </c>
      <c r="K159" s="251" t="s">
        <v>778</v>
      </c>
      <c r="L159" s="251" t="s">
        <v>763</v>
      </c>
      <c r="M159" s="251"/>
      <c r="N159" s="244" t="s">
        <v>1937</v>
      </c>
      <c r="O159" s="251" t="str">
        <f>IFERROR(VLOOKUP(BDD[[#This Row],[SUBDPTO]],TABLAS!$B$4:$D$36,3,0)," ")</f>
        <v>DIEGO HERRERA GIRÓN</v>
      </c>
      <c r="P159" s="258">
        <v>43594</v>
      </c>
      <c r="Q159" s="254">
        <v>12680</v>
      </c>
      <c r="R159" s="255" t="s">
        <v>746</v>
      </c>
      <c r="S159" s="251"/>
      <c r="T159" s="251" t="s">
        <v>811</v>
      </c>
      <c r="U159" s="243">
        <f ca="1">VLOOKUP(BDD[[#This Row],[ANTIG]],DIASXANT18[#All],2)</f>
        <v>16</v>
      </c>
      <c r="V159" s="256">
        <f t="shared" si="9"/>
        <v>0.5</v>
      </c>
      <c r="W159" s="243">
        <f ca="1">BDD[[#This Row],[D.VAC.]]*BDD[[#This Row],[% P.V.]]</f>
        <v>8</v>
      </c>
      <c r="X159" s="243">
        <v>30</v>
      </c>
      <c r="Y159" s="257">
        <f ca="1">(365+BDD[[#This Row],[D.PAG.V.]]+BDD[[#This Row],[D.AG.]])/365</f>
        <v>1.1041095890410959</v>
      </c>
      <c r="Z159" s="243">
        <f ca="1">BDD[[#This Row],[SUE DIA]]*BDD[[#This Row],[FACTOR SDI]]</f>
        <v>583.33789954337908</v>
      </c>
      <c r="AA159" s="243">
        <f>BDD[[#This Row],[SUE DIA]]/9</f>
        <v>58.703703703703709</v>
      </c>
      <c r="AB159" s="251">
        <v>30923</v>
      </c>
      <c r="AC159" s="251" t="s">
        <v>944</v>
      </c>
      <c r="AD159" s="251" t="s">
        <v>790</v>
      </c>
      <c r="AE159" s="252">
        <v>8438021754</v>
      </c>
      <c r="AF159" s="251" t="s">
        <v>1186</v>
      </c>
      <c r="AG159" s="251" t="s">
        <v>776</v>
      </c>
      <c r="AH159" s="251" t="s">
        <v>1555</v>
      </c>
      <c r="AI159" s="243" t="s">
        <v>151</v>
      </c>
      <c r="AJ159" s="258" cm="1">
        <f t="array" aca="1" ref="AJ159" ca="1">DATE(YEAR(FECH.CONS[FECHA DE CONSULTA:]),MONTH(BDD[[#This Row],[FECHA NAC]]),DAY(BDD[[#This Row],[FECHA NAC]]))</f>
        <v>44802</v>
      </c>
      <c r="AK159" s="243"/>
      <c r="AL159" s="261" t="s">
        <v>311</v>
      </c>
      <c r="AM159" s="251" t="s">
        <v>1538</v>
      </c>
      <c r="AN159" s="251" t="s">
        <v>1551</v>
      </c>
      <c r="AO159" s="245">
        <v>53</v>
      </c>
      <c r="AP159" s="251">
        <f ca="1">INT((TODAY()-BDD[[#This Row],[FECHA NAC]])/365)</f>
        <v>37</v>
      </c>
      <c r="AQ159" s="251">
        <v>1</v>
      </c>
      <c r="AR159" s="251">
        <f ca="1">IF(BDD[[#This Row],[ANTIG]]=0,0,1)</f>
        <v>1</v>
      </c>
      <c r="AS159" s="251"/>
      <c r="AT159" s="251"/>
      <c r="AU159" s="251"/>
      <c r="AV159" s="251"/>
      <c r="AW159" s="251"/>
      <c r="AX159" s="251"/>
      <c r="AY159" s="251"/>
      <c r="AZ159" s="251">
        <f t="shared" ca="1" si="8"/>
        <v>69</v>
      </c>
    </row>
    <row r="160" spans="2:52" ht="15" customHeight="1" x14ac:dyDescent="0.25">
      <c r="B160" s="243">
        <v>280</v>
      </c>
      <c r="C160" s="259" t="s">
        <v>699</v>
      </c>
      <c r="D160" s="252">
        <v>9541</v>
      </c>
      <c r="E160" s="252">
        <f>(BDD[[#This Row],[SUE MENS]]/30)</f>
        <v>318.03333333333336</v>
      </c>
      <c r="F160" s="252">
        <f>BDD[[#This Row],[SUE MENS]]/2</f>
        <v>4770.5</v>
      </c>
      <c r="G160" s="320">
        <v>41630</v>
      </c>
      <c r="H160" s="243">
        <f ca="1">INT(_xlfn.DAYS(TODAY(),BDD[[#This Row],[FECHA ING.]])/365)</f>
        <v>8</v>
      </c>
      <c r="I160" s="251" t="str">
        <f>VLOOKUP(J160,TABLAS!$B$3:$G$49,2,FALSE)</f>
        <v>DIV ARQUIT</v>
      </c>
      <c r="J160" s="198" t="s">
        <v>740</v>
      </c>
      <c r="K160" s="251" t="s">
        <v>778</v>
      </c>
      <c r="L160" s="251" t="s">
        <v>763</v>
      </c>
      <c r="M160" s="251"/>
      <c r="N160" s="253" t="s">
        <v>2037</v>
      </c>
      <c r="O160" s="251" t="str">
        <f>IFERROR(VLOOKUP(BDD[[#This Row],[SUBDPTO]],TABLAS!$B$4:$D$36,3,0)," ")</f>
        <v>MÉRIDA ISELA MEDINA SALINAS</v>
      </c>
      <c r="P160" s="258">
        <v>42019</v>
      </c>
      <c r="Q160" s="254">
        <v>6580</v>
      </c>
      <c r="R160" s="255" t="s">
        <v>741</v>
      </c>
      <c r="S160" s="255" t="s">
        <v>747</v>
      </c>
      <c r="T160" s="251" t="s">
        <v>811</v>
      </c>
      <c r="U160" s="243">
        <f ca="1">VLOOKUP(BDD[[#This Row],[ANTIG]],DIASXANT18[#All],2)</f>
        <v>16</v>
      </c>
      <c r="V160" s="256">
        <f t="shared" si="9"/>
        <v>0.5</v>
      </c>
      <c r="W160" s="243">
        <f ca="1">BDD[[#This Row],[D.VAC.]]*BDD[[#This Row],[% P.V.]]</f>
        <v>8</v>
      </c>
      <c r="X160" s="243">
        <v>30</v>
      </c>
      <c r="Y160" s="257">
        <f ca="1">(365+BDD[[#This Row],[D.PAG.V.]]+BDD[[#This Row],[D.AG.]])/365</f>
        <v>1.1041095890410959</v>
      </c>
      <c r="Z160" s="243">
        <f ca="1">BDD[[#This Row],[SUE DIA]]*BDD[[#This Row],[FACTOR SDI]]</f>
        <v>351.14365296803658</v>
      </c>
      <c r="AA160" s="243">
        <f>BDD[[#This Row],[SUE DIA]]/9</f>
        <v>35.337037037037042</v>
      </c>
      <c r="AB160" s="251">
        <v>36045</v>
      </c>
      <c r="AC160" s="251" t="s">
        <v>1065</v>
      </c>
      <c r="AD160" s="251" t="s">
        <v>791</v>
      </c>
      <c r="AE160" s="260">
        <v>7876976861</v>
      </c>
      <c r="AF160" s="251" t="s">
        <v>1516</v>
      </c>
      <c r="AG160" s="251" t="s">
        <v>776</v>
      </c>
      <c r="AH160" s="251" t="s">
        <v>730</v>
      </c>
      <c r="AI160" s="243" t="s">
        <v>151</v>
      </c>
      <c r="AJ160" s="258" cm="1">
        <f t="array" aca="1" ref="AJ160" ca="1">DATE(YEAR(FECH.CONS[FECHA DE CONSULTA:]),MONTH(BDD[[#This Row],[FECHA NAC]]),DAY(BDD[[#This Row],[FECHA NAC]]))</f>
        <v>44811</v>
      </c>
      <c r="AK160" s="243">
        <v>8</v>
      </c>
      <c r="AL160" s="261" t="s">
        <v>311</v>
      </c>
      <c r="AM160" s="251" t="s">
        <v>1543</v>
      </c>
      <c r="AN160" s="251" t="s">
        <v>1551</v>
      </c>
      <c r="AO160" s="245">
        <v>35</v>
      </c>
      <c r="AP160" s="251">
        <f ca="1">INT((TODAY()-BDD[[#This Row],[FECHA NAC]])/365)</f>
        <v>23</v>
      </c>
      <c r="AQ160" s="251">
        <v>2</v>
      </c>
      <c r="AR160" s="251">
        <f ca="1">IF(BDD[[#This Row],[ANTIG]]=0,0,1)</f>
        <v>1</v>
      </c>
      <c r="AS160" s="251"/>
      <c r="AT160" s="251"/>
      <c r="AU160" s="251"/>
      <c r="AV160" s="251"/>
      <c r="AW160" s="251"/>
      <c r="AX160" s="251"/>
      <c r="AY160" s="251"/>
      <c r="AZ160" s="251">
        <f t="shared" ca="1" si="8"/>
        <v>515</v>
      </c>
    </row>
    <row r="161" spans="2:52" ht="15" customHeight="1" x14ac:dyDescent="0.25">
      <c r="B161" s="243">
        <v>281</v>
      </c>
      <c r="C161" s="251" t="s">
        <v>241</v>
      </c>
      <c r="D161" s="252">
        <v>9450</v>
      </c>
      <c r="E161" s="252">
        <f>(BDD[[#This Row],[SUE MENS]]/30)</f>
        <v>315</v>
      </c>
      <c r="F161" s="252">
        <f>BDD[[#This Row],[SUE MENS]]/2</f>
        <v>4725</v>
      </c>
      <c r="G161" s="320">
        <v>41630</v>
      </c>
      <c r="H161" s="243">
        <f ca="1">INT(_xlfn.DAYS(TODAY(),BDD[[#This Row],[FECHA ING.]])/365)</f>
        <v>8</v>
      </c>
      <c r="I161" s="251" t="str">
        <f>VLOOKUP(J161,TABLAS!$B$3:$G$49,2,FALSE)</f>
        <v>AUDITORÍA</v>
      </c>
      <c r="J161" s="198" t="s">
        <v>735</v>
      </c>
      <c r="K161" s="251" t="s">
        <v>778</v>
      </c>
      <c r="L161" s="251" t="s">
        <v>763</v>
      </c>
      <c r="M161" s="251"/>
      <c r="N161" s="244" t="s">
        <v>1924</v>
      </c>
      <c r="O161" s="251" t="str">
        <f>IFERROR(VLOOKUP(BDD[[#This Row],[SUBDPTO]],TABLAS!$B$4:$D$36,3,0)," ")</f>
        <v>MARCO AURELIO URBINO</v>
      </c>
      <c r="P161" s="258">
        <f>BDD[[#This Row],[FECHA ING.]]+700</f>
        <v>42330</v>
      </c>
      <c r="Q161" s="254">
        <v>5211.5</v>
      </c>
      <c r="R161" s="251" t="s">
        <v>756</v>
      </c>
      <c r="S161" s="251"/>
      <c r="T161" s="251" t="s">
        <v>811</v>
      </c>
      <c r="U161" s="243">
        <f ca="1">VLOOKUP(BDD[[#This Row],[ANTIG]],DIASXANT18[#All],2)</f>
        <v>16</v>
      </c>
      <c r="V161" s="256">
        <f t="shared" si="9"/>
        <v>0.5</v>
      </c>
      <c r="W161" s="243">
        <f ca="1">BDD[[#This Row],[D.VAC.]]*BDD[[#This Row],[% P.V.]]</f>
        <v>8</v>
      </c>
      <c r="X161" s="243">
        <v>30</v>
      </c>
      <c r="Y161" s="257">
        <f ca="1">(365+BDD[[#This Row],[D.PAG.V.]]+BDD[[#This Row],[D.AG.]])/365</f>
        <v>1.1041095890410959</v>
      </c>
      <c r="Z161" s="243">
        <f ca="1">BDD[[#This Row],[SUE DIA]]*BDD[[#This Row],[FACTOR SDI]]</f>
        <v>347.79452054794518</v>
      </c>
      <c r="AA161" s="243">
        <f>BDD[[#This Row],[SUE DIA]]/9</f>
        <v>35</v>
      </c>
      <c r="AB161" s="251">
        <v>34265</v>
      </c>
      <c r="AC161" s="251" t="s">
        <v>1011</v>
      </c>
      <c r="AD161" s="251" t="s">
        <v>810</v>
      </c>
      <c r="AE161" s="252">
        <v>8616231013</v>
      </c>
      <c r="AF161" s="251" t="s">
        <v>1268</v>
      </c>
      <c r="AG161" s="251" t="s">
        <v>776</v>
      </c>
      <c r="AH161" s="251" t="s">
        <v>1555</v>
      </c>
      <c r="AI161" s="243" t="s">
        <v>151</v>
      </c>
      <c r="AJ161" s="258" cm="1">
        <f t="array" aca="1" ref="AJ161" ca="1">DATE(YEAR(FECH.CONS[FECHA DE CONSULTA:]),MONTH(BDD[[#This Row],[FECHA NAC]]),DAY(BDD[[#This Row],[FECHA NAC]]))</f>
        <v>44857</v>
      </c>
      <c r="AK161" s="243"/>
      <c r="AL161" s="261" t="s">
        <v>311</v>
      </c>
      <c r="AM161" s="251" t="s">
        <v>1545</v>
      </c>
      <c r="AN161" s="251" t="s">
        <v>1551</v>
      </c>
      <c r="AO161" s="245">
        <v>72</v>
      </c>
      <c r="AP161" s="251">
        <f ca="1">INT((TODAY()-BDD[[#This Row],[FECHA NAC]])/365)</f>
        <v>28</v>
      </c>
      <c r="AQ161" s="251">
        <v>3</v>
      </c>
      <c r="AR161" s="251">
        <f ca="1">IF(BDD[[#This Row],[ANTIG]]=0,0,1)</f>
        <v>1</v>
      </c>
      <c r="AS161" s="251"/>
      <c r="AT161" s="251"/>
      <c r="AU161" s="251"/>
      <c r="AV161" s="251"/>
      <c r="AW161" s="251"/>
      <c r="AX161" s="251"/>
      <c r="AY161" s="251"/>
      <c r="AZ161" s="251">
        <f t="shared" ca="1" si="8"/>
        <v>494</v>
      </c>
    </row>
    <row r="162" spans="2:52" ht="15" customHeight="1" x14ac:dyDescent="0.25">
      <c r="B162" s="243">
        <v>282</v>
      </c>
      <c r="C162" s="251" t="s">
        <v>305</v>
      </c>
      <c r="D162" s="263">
        <v>10350</v>
      </c>
      <c r="E162" s="252">
        <f>(BDD[[#This Row],[SUE MENS]]/30)</f>
        <v>345</v>
      </c>
      <c r="F162" s="252">
        <f>BDD[[#This Row],[SUE MENS]]/2</f>
        <v>5175</v>
      </c>
      <c r="G162" s="320">
        <v>41644</v>
      </c>
      <c r="H162" s="243">
        <f ca="1">INT(_xlfn.DAYS(TODAY(),BDD[[#This Row],[FECHA ING.]])/365)</f>
        <v>8</v>
      </c>
      <c r="I162" s="251" t="str">
        <f>VLOOKUP(J162,TABLAS!$B$3:$G$49,2,FALSE)</f>
        <v>DIRECCIÓN</v>
      </c>
      <c r="J162" s="198" t="s">
        <v>745</v>
      </c>
      <c r="K162" s="251" t="s">
        <v>778</v>
      </c>
      <c r="L162" s="251" t="s">
        <v>763</v>
      </c>
      <c r="M162" s="251"/>
      <c r="N162" s="244" t="s">
        <v>1971</v>
      </c>
      <c r="O162" s="251" t="str">
        <f>IFERROR(VLOOKUP(BDD[[#This Row],[SUBDPTO]],TABLAS!$B$4:$D$36,3,0)," ")</f>
        <v>MARIANA RODRÍGUEZ GUTIERREZ</v>
      </c>
      <c r="P162" s="258">
        <v>43952</v>
      </c>
      <c r="Q162" s="254">
        <v>8400</v>
      </c>
      <c r="R162" s="255" t="s">
        <v>734</v>
      </c>
      <c r="S162" s="251"/>
      <c r="T162" s="251" t="s">
        <v>301</v>
      </c>
      <c r="U162" s="243">
        <f ca="1">VLOOKUP(BDD[[#This Row],[ANTIG]],DIASXANT18[#All],2)</f>
        <v>16</v>
      </c>
      <c r="V162" s="256">
        <f t="shared" si="9"/>
        <v>0.5</v>
      </c>
      <c r="W162" s="243">
        <f ca="1">BDD[[#This Row],[D.VAC.]]*BDD[[#This Row],[% P.V.]]</f>
        <v>8</v>
      </c>
      <c r="X162" s="243">
        <v>30</v>
      </c>
      <c r="Y162" s="257">
        <f ca="1">(365+BDD[[#This Row],[D.PAG.V.]]+BDD[[#This Row],[D.AG.]])/365</f>
        <v>1.1041095890410959</v>
      </c>
      <c r="Z162" s="243">
        <f ca="1">BDD[[#This Row],[SUE DIA]]*BDD[[#This Row],[FACTOR SDI]]</f>
        <v>380.91780821917808</v>
      </c>
      <c r="AA162" s="243">
        <f>BDD[[#This Row],[SUE DIA]]/9</f>
        <v>38.333333333333336</v>
      </c>
      <c r="AB162" s="251">
        <v>35837</v>
      </c>
      <c r="AC162" s="251" t="s">
        <v>944</v>
      </c>
      <c r="AD162" s="251" t="s">
        <v>809</v>
      </c>
      <c r="AE162" s="252">
        <v>8521454210</v>
      </c>
      <c r="AF162" s="251" t="s">
        <v>1283</v>
      </c>
      <c r="AG162" s="251" t="s">
        <v>773</v>
      </c>
      <c r="AH162" s="251" t="s">
        <v>1555</v>
      </c>
      <c r="AI162" s="243" t="s">
        <v>151</v>
      </c>
      <c r="AJ162" s="258" cm="1">
        <f t="array" aca="1" ref="AJ162" ca="1">DATE(YEAR(FECH.CONS[FECHA DE CONSULTA:]),MONTH(BDD[[#This Row],[FECHA NAC]]),DAY(BDD[[#This Row],[FECHA NAC]]))</f>
        <v>44603</v>
      </c>
      <c r="AK162" s="243"/>
      <c r="AL162" s="261" t="s">
        <v>311</v>
      </c>
      <c r="AM162" s="251" t="s">
        <v>1535</v>
      </c>
      <c r="AN162" s="251" t="s">
        <v>1551</v>
      </c>
      <c r="AO162" s="245">
        <v>31</v>
      </c>
      <c r="AP162" s="251">
        <f ca="1">INT((TODAY()-BDD[[#This Row],[FECHA NAC]])/365)</f>
        <v>24</v>
      </c>
      <c r="AQ162" s="251">
        <v>0</v>
      </c>
      <c r="AR162" s="251">
        <f ca="1">IF(BDD[[#This Row],[ANTIG]]=0,0,1)</f>
        <v>1</v>
      </c>
      <c r="AS162" s="251"/>
      <c r="AT162" s="251"/>
      <c r="AU162" s="251"/>
      <c r="AV162" s="251"/>
      <c r="AW162" s="251"/>
      <c r="AX162" s="251"/>
      <c r="AY162" s="251"/>
      <c r="AZ162" s="251">
        <f t="shared" ca="1" si="8"/>
        <v>611</v>
      </c>
    </row>
    <row r="163" spans="2:52" ht="15" customHeight="1" x14ac:dyDescent="0.25">
      <c r="B163" s="243">
        <v>283</v>
      </c>
      <c r="C163" s="251" t="s">
        <v>253</v>
      </c>
      <c r="D163" s="263">
        <v>7445</v>
      </c>
      <c r="E163" s="252">
        <f>(BDD[[#This Row],[SUE MENS]]/30)</f>
        <v>248.16666666666666</v>
      </c>
      <c r="F163" s="252">
        <f>BDD[[#This Row],[SUE MENS]]/2</f>
        <v>3722.5</v>
      </c>
      <c r="G163" s="320">
        <v>41654</v>
      </c>
      <c r="H163" s="243">
        <f ca="1">INT(_xlfn.DAYS(TODAY(),BDD[[#This Row],[FECHA ING.]])/365)</f>
        <v>8</v>
      </c>
      <c r="I163" s="251" t="str">
        <f>VLOOKUP(J163,TABLAS!$B$3:$G$49,2,FALSE)</f>
        <v>AUDITORÍA</v>
      </c>
      <c r="J163" s="198" t="s">
        <v>734</v>
      </c>
      <c r="K163" s="251" t="s">
        <v>778</v>
      </c>
      <c r="L163" s="251" t="s">
        <v>763</v>
      </c>
      <c r="M163" s="251"/>
      <c r="N163" s="253" t="s">
        <v>1832</v>
      </c>
      <c r="O163" s="251" t="str">
        <f>IFERROR(VLOOKUP(BDD[[#This Row],[SUBDPTO]],TABLAS!$B$4:$D$36,3,0)," ")</f>
        <v>MARCO AURELIO URBINO</v>
      </c>
      <c r="P163" s="258"/>
      <c r="Q163" s="264"/>
      <c r="R163" s="244"/>
      <c r="S163" s="251"/>
      <c r="T163" s="251" t="s">
        <v>811</v>
      </c>
      <c r="U163" s="243">
        <f ca="1">VLOOKUP(BDD[[#This Row],[ANTIG]],DIASXANT18[#All],2)</f>
        <v>16</v>
      </c>
      <c r="V163" s="256">
        <f t="shared" si="9"/>
        <v>0.5</v>
      </c>
      <c r="W163" s="243">
        <f ca="1">BDD[[#This Row],[D.VAC.]]*BDD[[#This Row],[% P.V.]]</f>
        <v>8</v>
      </c>
      <c r="X163" s="243">
        <v>30</v>
      </c>
      <c r="Y163" s="257">
        <f ca="1">(365+BDD[[#This Row],[D.PAG.V.]]+BDD[[#This Row],[D.AG.]])/365</f>
        <v>1.1041095890410959</v>
      </c>
      <c r="Z163" s="243">
        <f ca="1">BDD[[#This Row],[SUE DIA]]*BDD[[#This Row],[FACTOR SDI]]</f>
        <v>274.00319634703197</v>
      </c>
      <c r="AA163" s="243">
        <f>BDD[[#This Row],[SUE DIA]]/9</f>
        <v>27.574074074074073</v>
      </c>
      <c r="AB163" s="251">
        <v>31021</v>
      </c>
      <c r="AC163" s="251" t="s">
        <v>1017</v>
      </c>
      <c r="AD163" s="251" t="s">
        <v>789</v>
      </c>
      <c r="AE163" s="252">
        <v>8701444726</v>
      </c>
      <c r="AF163" s="251" t="s">
        <v>1280</v>
      </c>
      <c r="AG163" s="251" t="s">
        <v>776</v>
      </c>
      <c r="AH163" s="251" t="s">
        <v>730</v>
      </c>
      <c r="AI163" s="243" t="s">
        <v>151</v>
      </c>
      <c r="AJ163" s="258" cm="1">
        <f t="array" aca="1" ref="AJ163" ca="1">DATE(YEAR(FECH.CONS[FECHA DE CONSULTA:]),MONTH(BDD[[#This Row],[FECHA NAC]]),DAY(BDD[[#This Row],[FECHA NAC]]))</f>
        <v>44900</v>
      </c>
      <c r="AK163" s="243">
        <v>7</v>
      </c>
      <c r="AL163" s="261" t="s">
        <v>311</v>
      </c>
      <c r="AM163" s="251" t="s">
        <v>1535</v>
      </c>
      <c r="AN163" s="251" t="s">
        <v>1551</v>
      </c>
      <c r="AO163" s="245">
        <v>40</v>
      </c>
      <c r="AP163" s="251">
        <f ca="1">INT((TODAY()-BDD[[#This Row],[FECHA NAC]])/365)</f>
        <v>37</v>
      </c>
      <c r="AQ163" s="251">
        <v>0</v>
      </c>
      <c r="AR163" s="251">
        <f ca="1">IF(BDD[[#This Row],[ANTIG]]=0,0,1)</f>
        <v>1</v>
      </c>
      <c r="AS163" s="251"/>
      <c r="AT163" s="251"/>
      <c r="AU163" s="251"/>
      <c r="AV163" s="251"/>
      <c r="AW163" s="251"/>
      <c r="AX163" s="251"/>
      <c r="AY163" s="251"/>
      <c r="AZ163" s="251">
        <f t="shared" ca="1" si="8"/>
        <v>541</v>
      </c>
    </row>
    <row r="164" spans="2:52" ht="15" customHeight="1" x14ac:dyDescent="0.25">
      <c r="B164" s="243">
        <v>284</v>
      </c>
      <c r="C164" s="259" t="s">
        <v>517</v>
      </c>
      <c r="D164" s="263">
        <v>7445</v>
      </c>
      <c r="E164" s="252">
        <f>(BDD[[#This Row],[SUE MENS]]/30)</f>
        <v>248.16666666666666</v>
      </c>
      <c r="F164" s="252">
        <f>BDD[[#This Row],[SUE MENS]]/2</f>
        <v>3722.5</v>
      </c>
      <c r="G164" s="320">
        <v>41687</v>
      </c>
      <c r="H164" s="243">
        <f ca="1">INT(_xlfn.DAYS(TODAY(),BDD[[#This Row],[FECHA ING.]])/365)</f>
        <v>8</v>
      </c>
      <c r="I164" s="251" t="str">
        <f>VLOOKUP(J164,TABLAS!$B$3:$G$49,2,FALSE)</f>
        <v>CONTRATOS</v>
      </c>
      <c r="J164" s="198" t="s">
        <v>739</v>
      </c>
      <c r="K164" s="251" t="s">
        <v>778</v>
      </c>
      <c r="L164" s="251" t="s">
        <v>763</v>
      </c>
      <c r="M164" s="251"/>
      <c r="N164" s="244" t="s">
        <v>2136</v>
      </c>
      <c r="O164" s="251" t="str">
        <f>IFERROR(VLOOKUP(BDD[[#This Row],[SUBDPTO]],TABLAS!$B$4:$D$36,3,0)," ")</f>
        <v>IDALIA GARCÍA ESCRIVÁ</v>
      </c>
      <c r="P164" s="258">
        <v>43405</v>
      </c>
      <c r="Q164" s="264">
        <f>D153*0.8</f>
        <v>5422.4000000000005</v>
      </c>
      <c r="R164" s="255" t="s">
        <v>734</v>
      </c>
      <c r="S164" s="251"/>
      <c r="T164" s="251" t="s">
        <v>301</v>
      </c>
      <c r="U164" s="243">
        <f ca="1">VLOOKUP(BDD[[#This Row],[ANTIG]],DIASXANT18[#All],2)</f>
        <v>16</v>
      </c>
      <c r="V164" s="256">
        <f t="shared" si="9"/>
        <v>0.5</v>
      </c>
      <c r="W164" s="243">
        <f ca="1">BDD[[#This Row],[D.VAC.]]*BDD[[#This Row],[% P.V.]]</f>
        <v>8</v>
      </c>
      <c r="X164" s="243">
        <v>30</v>
      </c>
      <c r="Y164" s="257">
        <f ca="1">(365+BDD[[#This Row],[D.PAG.V.]]+BDD[[#This Row],[D.AG.]])/365</f>
        <v>1.1041095890410959</v>
      </c>
      <c r="Z164" s="243">
        <f ca="1">BDD[[#This Row],[SUE DIA]]*BDD[[#This Row],[FACTOR SDI]]</f>
        <v>274.00319634703197</v>
      </c>
      <c r="AA164" s="243">
        <f>BDD[[#This Row],[SUE DIA]]/9</f>
        <v>27.574074074074073</v>
      </c>
      <c r="AB164" s="251">
        <v>27445</v>
      </c>
      <c r="AC164" s="251" t="s">
        <v>1052</v>
      </c>
      <c r="AD164" s="251" t="s">
        <v>789</v>
      </c>
      <c r="AE164" s="260">
        <v>3354987443</v>
      </c>
      <c r="AF164" s="251" t="s">
        <v>1396</v>
      </c>
      <c r="AG164" s="251" t="s">
        <v>776</v>
      </c>
      <c r="AH164" s="251" t="s">
        <v>727</v>
      </c>
      <c r="AI164" s="243" t="s">
        <v>151</v>
      </c>
      <c r="AJ164" s="258" cm="1">
        <f t="array" aca="1" ref="AJ164" ca="1">DATE(YEAR(FECH.CONS[FECHA DE CONSULTA:]),MONTH(BDD[[#This Row],[FECHA NAC]]),DAY(BDD[[#This Row],[FECHA NAC]]))</f>
        <v>44612</v>
      </c>
      <c r="AK164" s="243"/>
      <c r="AL164" s="261" t="s">
        <v>311</v>
      </c>
      <c r="AM164" s="251" t="s">
        <v>1540</v>
      </c>
      <c r="AN164" s="251" t="s">
        <v>162</v>
      </c>
      <c r="AO164" s="245">
        <v>76</v>
      </c>
      <c r="AP164" s="251">
        <f ca="1">INT((TODAY()-BDD[[#This Row],[FECHA NAC]])/365)</f>
        <v>47</v>
      </c>
      <c r="AQ164" s="251">
        <v>3</v>
      </c>
      <c r="AR164" s="251">
        <f ca="1">IF(BDD[[#This Row],[ANTIG]]=0,0,1)</f>
        <v>1</v>
      </c>
      <c r="AS164" s="251"/>
      <c r="AT164" s="251"/>
      <c r="AU164" s="251"/>
      <c r="AV164" s="251"/>
      <c r="AW164" s="251"/>
      <c r="AX164" s="251"/>
      <c r="AY164" s="251"/>
      <c r="AZ164" s="251">
        <f t="shared" ca="1" si="8"/>
        <v>49</v>
      </c>
    </row>
    <row r="165" spans="2:52" ht="15" customHeight="1" x14ac:dyDescent="0.25">
      <c r="B165" s="243">
        <v>285</v>
      </c>
      <c r="C165" s="259" t="s">
        <v>1627</v>
      </c>
      <c r="D165" s="252">
        <v>9450</v>
      </c>
      <c r="E165" s="252">
        <f>(BDD[[#This Row],[SUE MENS]]/30)</f>
        <v>315</v>
      </c>
      <c r="F165" s="252">
        <f>BDD[[#This Row],[SUE MENS]]/2</f>
        <v>4725</v>
      </c>
      <c r="G165" s="320">
        <v>41697</v>
      </c>
      <c r="H165" s="243">
        <f ca="1">INT(_xlfn.DAYS(TODAY(),BDD[[#This Row],[FECHA ING.]])/365)</f>
        <v>8</v>
      </c>
      <c r="I165" s="251" t="str">
        <f>VLOOKUP(J165,TABLAS!$B$3:$G$49,2,FALSE)</f>
        <v>TECNOLOGÍA</v>
      </c>
      <c r="J165" s="198" t="s">
        <v>751</v>
      </c>
      <c r="K165" s="251" t="s">
        <v>778</v>
      </c>
      <c r="L165" s="251" t="s">
        <v>763</v>
      </c>
      <c r="M165" s="251"/>
      <c r="N165" s="277" t="s">
        <v>2003</v>
      </c>
      <c r="O165" s="251" t="str">
        <f>IFERROR(VLOOKUP(BDD[[#This Row],[SUBDPTO]],TABLAS!$B$4:$D$36,3,0)," ")</f>
        <v>DENEB SANTIAGO ALTAIR VEGA</v>
      </c>
      <c r="P165" s="258">
        <v>43842</v>
      </c>
      <c r="Q165" s="254">
        <v>7360</v>
      </c>
      <c r="R165" s="255" t="s">
        <v>746</v>
      </c>
      <c r="S165" s="251"/>
      <c r="T165" s="251" t="s">
        <v>301</v>
      </c>
      <c r="U165" s="243">
        <f ca="1">VLOOKUP(BDD[[#This Row],[ANTIG]],DIASXANT18[#All],2)</f>
        <v>16</v>
      </c>
      <c r="V165" s="256">
        <f t="shared" si="9"/>
        <v>0.5</v>
      </c>
      <c r="W165" s="243">
        <f ca="1">BDD[[#This Row],[D.VAC.]]*BDD[[#This Row],[% P.V.]]</f>
        <v>8</v>
      </c>
      <c r="X165" s="243">
        <v>30</v>
      </c>
      <c r="Y165" s="257">
        <f ca="1">(365+BDD[[#This Row],[D.PAG.V.]]+BDD[[#This Row],[D.AG.]])/365</f>
        <v>1.1041095890410959</v>
      </c>
      <c r="Z165" s="243">
        <f ca="1">BDD[[#This Row],[SUE DIA]]*BDD[[#This Row],[FACTOR SDI]]</f>
        <v>347.79452054794518</v>
      </c>
      <c r="AA165" s="243">
        <f>BDD[[#This Row],[SUE DIA]]/9</f>
        <v>35</v>
      </c>
      <c r="AB165" s="251">
        <v>30771</v>
      </c>
      <c r="AC165" s="251" t="s">
        <v>949</v>
      </c>
      <c r="AD165" s="251" t="s">
        <v>792</v>
      </c>
      <c r="AE165" s="260">
        <v>6514869772</v>
      </c>
      <c r="AF165" s="251" t="s">
        <v>1523</v>
      </c>
      <c r="AG165" s="251" t="s">
        <v>776</v>
      </c>
      <c r="AH165" s="251" t="s">
        <v>730</v>
      </c>
      <c r="AI165" s="243" t="s">
        <v>151</v>
      </c>
      <c r="AJ165" s="258" cm="1">
        <f t="array" aca="1" ref="AJ165" ca="1">DATE(YEAR(FECH.CONS[FECHA DE CONSULTA:]),MONTH(BDD[[#This Row],[FECHA NAC]]),DAY(BDD[[#This Row],[FECHA NAC]]))</f>
        <v>44650</v>
      </c>
      <c r="AK165" s="243">
        <v>9</v>
      </c>
      <c r="AL165" s="261" t="s">
        <v>311</v>
      </c>
      <c r="AM165" s="251" t="s">
        <v>1536</v>
      </c>
      <c r="AN165" s="251" t="s">
        <v>1551</v>
      </c>
      <c r="AO165" s="245">
        <v>87</v>
      </c>
      <c r="AP165" s="251">
        <f ca="1">INT((TODAY()-BDD[[#This Row],[FECHA NAC]])/365)</f>
        <v>38</v>
      </c>
      <c r="AQ165" s="251">
        <v>0</v>
      </c>
      <c r="AR165" s="251">
        <f ca="1">IF(BDD[[#This Row],[ANTIG]]=0,0,1)</f>
        <v>1</v>
      </c>
      <c r="AS165" s="251"/>
      <c r="AT165" s="251"/>
      <c r="AU165" s="251"/>
      <c r="AV165" s="251"/>
      <c r="AW165" s="251"/>
      <c r="AX165" s="251"/>
      <c r="AY165" s="251"/>
      <c r="AZ165" s="251">
        <f t="shared" ca="1" si="8"/>
        <v>20</v>
      </c>
    </row>
    <row r="166" spans="2:52" ht="15" customHeight="1" x14ac:dyDescent="0.25">
      <c r="B166" s="243">
        <v>286</v>
      </c>
      <c r="C166" s="251" t="s">
        <v>174</v>
      </c>
      <c r="D166" s="263">
        <v>7445</v>
      </c>
      <c r="E166" s="252">
        <f>(BDD[[#This Row],[SUE MENS]]/30)</f>
        <v>248.16666666666666</v>
      </c>
      <c r="F166" s="252">
        <f>BDD[[#This Row],[SUE MENS]]/2</f>
        <v>3722.5</v>
      </c>
      <c r="G166" s="320">
        <v>41708</v>
      </c>
      <c r="H166" s="243">
        <f ca="1">INT(_xlfn.DAYS(TODAY(),BDD[[#This Row],[FECHA ING.]])/365)</f>
        <v>8</v>
      </c>
      <c r="I166" s="251" t="str">
        <f>VLOOKUP(J166,TABLAS!$B$3:$G$49,2,FALSE)</f>
        <v>CPTAL HUMANO</v>
      </c>
      <c r="J166" s="198" t="s">
        <v>768</v>
      </c>
      <c r="K166" s="251" t="s">
        <v>778</v>
      </c>
      <c r="L166" s="251" t="s">
        <v>763</v>
      </c>
      <c r="M166" s="251"/>
      <c r="N166" s="244" t="s">
        <v>1994</v>
      </c>
      <c r="O166" s="251" t="str">
        <f>IFERROR(VLOOKUP(BDD[[#This Row],[SUBDPTO]],TABLAS!$B$4:$D$36,3,0)," ")</f>
        <v>EMMA DARIELA GARCÍA LORCA</v>
      </c>
      <c r="P166" s="258"/>
      <c r="Q166" s="264"/>
      <c r="R166" s="244"/>
      <c r="S166" s="251"/>
      <c r="T166" s="251" t="s">
        <v>301</v>
      </c>
      <c r="U166" s="243">
        <f ca="1">VLOOKUP(BDD[[#This Row],[ANTIG]],DIASXANT18[#All],2)</f>
        <v>16</v>
      </c>
      <c r="V166" s="256">
        <f t="shared" si="9"/>
        <v>0.5</v>
      </c>
      <c r="W166" s="243">
        <f ca="1">BDD[[#This Row],[D.VAC.]]*BDD[[#This Row],[% P.V.]]</f>
        <v>8</v>
      </c>
      <c r="X166" s="243">
        <v>30</v>
      </c>
      <c r="Y166" s="257">
        <f ca="1">(365+BDD[[#This Row],[D.PAG.V.]]+BDD[[#This Row],[D.AG.]])/365</f>
        <v>1.1041095890410959</v>
      </c>
      <c r="Z166" s="243">
        <f ca="1">BDD[[#This Row],[SUE DIA]]*BDD[[#This Row],[FACTOR SDI]]</f>
        <v>274.00319634703197</v>
      </c>
      <c r="AA166" s="243">
        <f>BDD[[#This Row],[SUE DIA]]/9</f>
        <v>27.574074074074073</v>
      </c>
      <c r="AB166" s="251">
        <v>30483</v>
      </c>
      <c r="AC166" s="251" t="s">
        <v>959</v>
      </c>
      <c r="AD166" s="251" t="s">
        <v>792</v>
      </c>
      <c r="AE166" s="252">
        <v>8690078562</v>
      </c>
      <c r="AF166" s="251" t="s">
        <v>1183</v>
      </c>
      <c r="AG166" s="251" t="s">
        <v>773</v>
      </c>
      <c r="AH166" s="251" t="s">
        <v>730</v>
      </c>
      <c r="AI166" s="243" t="s">
        <v>151</v>
      </c>
      <c r="AJ166" s="258" cm="1">
        <f t="array" aca="1" ref="AJ166" ca="1">DATE(YEAR(FECH.CONS[FECHA DE CONSULTA:]),MONTH(BDD[[#This Row],[FECHA NAC]]),DAY(BDD[[#This Row],[FECHA NAC]]))</f>
        <v>44728</v>
      </c>
      <c r="AK166" s="243">
        <v>6</v>
      </c>
      <c r="AL166" s="261" t="s">
        <v>311</v>
      </c>
      <c r="AM166" s="251" t="s">
        <v>1535</v>
      </c>
      <c r="AN166" s="251" t="s">
        <v>1551</v>
      </c>
      <c r="AO166" s="245">
        <v>32</v>
      </c>
      <c r="AP166" s="251">
        <f ca="1">INT((TODAY()-BDD[[#This Row],[FECHA NAC]])/365)</f>
        <v>39</v>
      </c>
      <c r="AQ166" s="251">
        <v>1</v>
      </c>
      <c r="AR166" s="251">
        <f ca="1">IF(BDD[[#This Row],[ANTIG]]=0,0,1)</f>
        <v>1</v>
      </c>
      <c r="AS166" s="251"/>
      <c r="AT166" s="251"/>
      <c r="AU166" s="251"/>
      <c r="AV166" s="251"/>
      <c r="AW166" s="251"/>
      <c r="AX166" s="251"/>
      <c r="AY166" s="251"/>
      <c r="AZ166" s="251">
        <f t="shared" ca="1" si="8"/>
        <v>549</v>
      </c>
    </row>
    <row r="167" spans="2:52" ht="15" customHeight="1" x14ac:dyDescent="0.25">
      <c r="B167" s="243">
        <v>289</v>
      </c>
      <c r="C167" s="251" t="s">
        <v>438</v>
      </c>
      <c r="D167" s="252">
        <v>9541</v>
      </c>
      <c r="E167" s="252">
        <f>(BDD[[#This Row],[SUE MENS]]/30)</f>
        <v>318.03333333333336</v>
      </c>
      <c r="F167" s="252">
        <f>BDD[[#This Row],[SUE MENS]]/2</f>
        <v>4770.5</v>
      </c>
      <c r="G167" s="320">
        <v>41731</v>
      </c>
      <c r="H167" s="243">
        <f ca="1">INT(_xlfn.DAYS(TODAY(),BDD[[#This Row],[FECHA ING.]])/365)</f>
        <v>8</v>
      </c>
      <c r="I167" s="251" t="str">
        <f>VLOOKUP(J167,TABLAS!$B$3:$G$49,2,FALSE)</f>
        <v>DIV INGENRIA</v>
      </c>
      <c r="J167" s="198" t="s">
        <v>743</v>
      </c>
      <c r="K167" s="251" t="s">
        <v>778</v>
      </c>
      <c r="L167" s="251" t="s">
        <v>763</v>
      </c>
      <c r="M167" s="251"/>
      <c r="N167" s="244" t="s">
        <v>2230</v>
      </c>
      <c r="O167" s="251" t="str">
        <f>IFERROR(VLOOKUP(BDD[[#This Row],[SUBDPTO]],TABLAS!$B$4:$D$36,3,0)," ")</f>
        <v>DIEGO HERRERA GIRÓN</v>
      </c>
      <c r="P167" s="258">
        <v>43903</v>
      </c>
      <c r="Q167" s="254">
        <v>7840</v>
      </c>
      <c r="R167" s="255" t="s">
        <v>758</v>
      </c>
      <c r="S167" s="251"/>
      <c r="T167" s="251" t="s">
        <v>811</v>
      </c>
      <c r="U167" s="243">
        <f ca="1">VLOOKUP(BDD[[#This Row],[ANTIG]],DIASXANT18[#All],2)</f>
        <v>16</v>
      </c>
      <c r="V167" s="256">
        <f t="shared" si="9"/>
        <v>0.5</v>
      </c>
      <c r="W167" s="243">
        <f ca="1">BDD[[#This Row],[D.VAC.]]*BDD[[#This Row],[% P.V.]]</f>
        <v>8</v>
      </c>
      <c r="X167" s="243">
        <v>30</v>
      </c>
      <c r="Y167" s="257">
        <f ca="1">(365+BDD[[#This Row],[D.PAG.V.]]+BDD[[#This Row],[D.AG.]])/365</f>
        <v>1.1041095890410959</v>
      </c>
      <c r="Z167" s="243">
        <f ca="1">BDD[[#This Row],[SUE DIA]]*BDD[[#This Row],[FACTOR SDI]]</f>
        <v>351.14365296803658</v>
      </c>
      <c r="AA167" s="243">
        <f>BDD[[#This Row],[SUE DIA]]/9</f>
        <v>35.337037037037042</v>
      </c>
      <c r="AB167" s="251">
        <v>32460</v>
      </c>
      <c r="AC167" s="251" t="s">
        <v>1024</v>
      </c>
      <c r="AD167" s="251" t="s">
        <v>790</v>
      </c>
      <c r="AE167" s="252">
        <v>8516588568</v>
      </c>
      <c r="AF167" s="251" t="s">
        <v>1290</v>
      </c>
      <c r="AG167" s="251" t="s">
        <v>776</v>
      </c>
      <c r="AH167" s="251" t="s">
        <v>730</v>
      </c>
      <c r="AI167" s="243" t="s">
        <v>151</v>
      </c>
      <c r="AJ167" s="258" cm="1">
        <f t="array" aca="1" ref="AJ167" ca="1">DATE(YEAR(FECH.CONS[FECHA DE CONSULTA:]),MONTH(BDD[[#This Row],[FECHA NAC]]),DAY(BDD[[#This Row],[FECHA NAC]]))</f>
        <v>44878</v>
      </c>
      <c r="AK167" s="243">
        <v>8</v>
      </c>
      <c r="AL167" s="251" t="s">
        <v>311</v>
      </c>
      <c r="AM167" s="251" t="s">
        <v>1546</v>
      </c>
      <c r="AN167" s="251" t="s">
        <v>1551</v>
      </c>
      <c r="AO167" s="245">
        <v>83</v>
      </c>
      <c r="AP167" s="251">
        <f ca="1">INT((TODAY()-BDD[[#This Row],[FECHA NAC]])/365)</f>
        <v>33</v>
      </c>
      <c r="AQ167" s="251">
        <v>0</v>
      </c>
      <c r="AR167" s="251">
        <f ca="1">IF(BDD[[#This Row],[ANTIG]]=0,0,1)</f>
        <v>1</v>
      </c>
      <c r="AS167" s="251"/>
      <c r="AT167" s="251"/>
      <c r="AU167" s="251"/>
      <c r="AV167" s="251"/>
      <c r="AW167" s="251"/>
      <c r="AX167" s="251"/>
      <c r="AY167" s="251"/>
      <c r="AZ167" s="251">
        <f t="shared" ca="1" si="8"/>
        <v>465</v>
      </c>
    </row>
    <row r="168" spans="2:52" ht="15" customHeight="1" x14ac:dyDescent="0.25">
      <c r="B168" s="243">
        <v>290</v>
      </c>
      <c r="C168" s="251" t="s">
        <v>200</v>
      </c>
      <c r="D168" s="252">
        <v>7445</v>
      </c>
      <c r="E168" s="252">
        <f>(BDD[[#This Row],[SUE MENS]]/30)</f>
        <v>248.16666666666666</v>
      </c>
      <c r="F168" s="252">
        <f>BDD[[#This Row],[SUE MENS]]/2</f>
        <v>3722.5</v>
      </c>
      <c r="G168" s="320">
        <v>41796</v>
      </c>
      <c r="H168" s="243">
        <f ca="1">INT(_xlfn.DAYS(TODAY(),BDD[[#This Row],[FECHA ING.]])/365)</f>
        <v>8</v>
      </c>
      <c r="I168" s="251" t="str">
        <f>VLOOKUP(J168,TABLAS!$B$3:$G$49,2,FALSE)</f>
        <v>AUDITORÍA</v>
      </c>
      <c r="J168" s="198" t="s">
        <v>734</v>
      </c>
      <c r="K168" s="251" t="s">
        <v>778</v>
      </c>
      <c r="L168" s="251" t="s">
        <v>763</v>
      </c>
      <c r="M168" s="251"/>
      <c r="N168" s="244" t="s">
        <v>2041</v>
      </c>
      <c r="O168" s="251" t="str">
        <f>IFERROR(VLOOKUP(BDD[[#This Row],[SUBDPTO]],TABLAS!$B$4:$D$36,3,0)," ")</f>
        <v>MARCO AURELIO URBINO</v>
      </c>
      <c r="P168" s="258"/>
      <c r="Q168" s="264"/>
      <c r="R168" s="244"/>
      <c r="S168" s="251"/>
      <c r="T168" s="251" t="s">
        <v>811</v>
      </c>
      <c r="U168" s="243">
        <f ca="1">VLOOKUP(BDD[[#This Row],[ANTIG]],DIASXANT18[#All],2)</f>
        <v>16</v>
      </c>
      <c r="V168" s="256">
        <f t="shared" si="9"/>
        <v>0.5</v>
      </c>
      <c r="W168" s="243">
        <f ca="1">BDD[[#This Row],[D.VAC.]]*BDD[[#This Row],[% P.V.]]</f>
        <v>8</v>
      </c>
      <c r="X168" s="243">
        <v>30</v>
      </c>
      <c r="Y168" s="257">
        <f ca="1">(365+BDD[[#This Row],[D.PAG.V.]]+BDD[[#This Row],[D.AG.]])/365</f>
        <v>1.1041095890410959</v>
      </c>
      <c r="Z168" s="243">
        <f ca="1">BDD[[#This Row],[SUE DIA]]*BDD[[#This Row],[FACTOR SDI]]</f>
        <v>274.00319634703197</v>
      </c>
      <c r="AA168" s="243">
        <f>BDD[[#This Row],[SUE DIA]]/9</f>
        <v>27.574074074074073</v>
      </c>
      <c r="AB168" s="251">
        <v>30653</v>
      </c>
      <c r="AC168" s="251" t="s">
        <v>978</v>
      </c>
      <c r="AD168" s="251" t="s">
        <v>787</v>
      </c>
      <c r="AE168" s="252">
        <v>8517441035</v>
      </c>
      <c r="AF168" s="251" t="s">
        <v>1216</v>
      </c>
      <c r="AG168" s="251" t="s">
        <v>774</v>
      </c>
      <c r="AH168" s="251" t="s">
        <v>730</v>
      </c>
      <c r="AI168" s="243" t="s">
        <v>151</v>
      </c>
      <c r="AJ168" s="258" cm="1">
        <f t="array" aca="1" ref="AJ168" ca="1">DATE(YEAR(FECH.CONS[FECHA DE CONSULTA:]),MONTH(BDD[[#This Row],[FECHA NAC]]),DAY(BDD[[#This Row],[FECHA NAC]]))</f>
        <v>44898</v>
      </c>
      <c r="AK168" s="243">
        <v>10</v>
      </c>
      <c r="AL168" s="261" t="s">
        <v>321</v>
      </c>
      <c r="AM168" s="251" t="s">
        <v>1545</v>
      </c>
      <c r="AN168" s="251" t="s">
        <v>1551</v>
      </c>
      <c r="AO168" s="245">
        <v>42</v>
      </c>
      <c r="AP168" s="251">
        <f ca="1">INT((TODAY()-BDD[[#This Row],[FECHA NAC]])/365)</f>
        <v>38</v>
      </c>
      <c r="AQ168" s="251">
        <v>2</v>
      </c>
      <c r="AR168" s="251">
        <f ca="1">IF(BDD[[#This Row],[ANTIG]]=0,0,1)</f>
        <v>1</v>
      </c>
      <c r="AS168" s="251"/>
      <c r="AT168" s="251"/>
      <c r="AU168" s="251"/>
      <c r="AV168" s="251"/>
      <c r="AW168" s="251"/>
      <c r="AX168" s="251"/>
      <c r="AY168" s="251"/>
      <c r="AZ168" s="251">
        <f t="shared" ca="1" si="8"/>
        <v>325</v>
      </c>
    </row>
    <row r="169" spans="2:52" ht="15" customHeight="1" x14ac:dyDescent="0.25">
      <c r="B169" s="243">
        <v>291</v>
      </c>
      <c r="C169" s="262" t="s">
        <v>1658</v>
      </c>
      <c r="D169" s="252">
        <v>9450</v>
      </c>
      <c r="E169" s="252">
        <f>(BDD[[#This Row],[SUE MENS]]/30)</f>
        <v>315</v>
      </c>
      <c r="F169" s="252">
        <f>BDD[[#This Row],[SUE MENS]]/2</f>
        <v>4725</v>
      </c>
      <c r="G169" s="320">
        <v>41861</v>
      </c>
      <c r="H169" s="243">
        <f ca="1">INT(_xlfn.DAYS(TODAY(),BDD[[#This Row],[FECHA ING.]])/365)</f>
        <v>7</v>
      </c>
      <c r="I169" s="251" t="str">
        <f>VLOOKUP(J169,TABLAS!$B$3:$G$49,2,FALSE)</f>
        <v>AUDITORÍA</v>
      </c>
      <c r="J169" s="198" t="s">
        <v>736</v>
      </c>
      <c r="K169" s="251" t="s">
        <v>778</v>
      </c>
      <c r="L169" s="251" t="s">
        <v>763</v>
      </c>
      <c r="M169" s="251"/>
      <c r="N169" s="244" t="s">
        <v>1926</v>
      </c>
      <c r="O169" s="251" t="str">
        <f>IFERROR(VLOOKUP(BDD[[#This Row],[SUBDPTO]],TABLAS!$B$4:$D$36,3,0)," ")</f>
        <v>MARCO AURELIO URBINO</v>
      </c>
      <c r="P169" s="258">
        <v>43722</v>
      </c>
      <c r="Q169" s="254">
        <v>6580</v>
      </c>
      <c r="R169" s="261" t="s">
        <v>745</v>
      </c>
      <c r="S169" s="251"/>
      <c r="T169" s="251" t="s">
        <v>811</v>
      </c>
      <c r="U169" s="243">
        <f ca="1">VLOOKUP(BDD[[#This Row],[ANTIG]],DIASXANT18[#All],2)</f>
        <v>16</v>
      </c>
      <c r="V169" s="256">
        <f t="shared" si="9"/>
        <v>0.5</v>
      </c>
      <c r="W169" s="243">
        <f ca="1">BDD[[#This Row],[D.VAC.]]*BDD[[#This Row],[% P.V.]]</f>
        <v>8</v>
      </c>
      <c r="X169" s="243">
        <v>30</v>
      </c>
      <c r="Y169" s="257">
        <f ca="1">(365+BDD[[#This Row],[D.PAG.V.]]+BDD[[#This Row],[D.AG.]])/365</f>
        <v>1.1041095890410959</v>
      </c>
      <c r="Z169" s="243">
        <f ca="1">BDD[[#This Row],[SUE DIA]]*BDD[[#This Row],[FACTOR SDI]]</f>
        <v>347.79452054794518</v>
      </c>
      <c r="AA169" s="243">
        <f>BDD[[#This Row],[SUE DIA]]/9</f>
        <v>35</v>
      </c>
      <c r="AB169" s="262">
        <v>35859</v>
      </c>
      <c r="AC169" s="251" t="s">
        <v>1034</v>
      </c>
      <c r="AD169" s="251" t="s">
        <v>787</v>
      </c>
      <c r="AE169" s="252">
        <v>8217284180</v>
      </c>
      <c r="AF169" s="251" t="s">
        <v>1330</v>
      </c>
      <c r="AG169" s="251" t="s">
        <v>776</v>
      </c>
      <c r="AH169" s="251" t="s">
        <v>730</v>
      </c>
      <c r="AI169" s="243" t="s">
        <v>151</v>
      </c>
      <c r="AJ169" s="258" cm="1">
        <f t="array" aca="1" ref="AJ169" ca="1">DATE(YEAR(FECH.CONS[FECHA DE CONSULTA:]),MONTH(BDD[[#This Row],[FECHA NAC]]),DAY(BDD[[#This Row],[FECHA NAC]]))</f>
        <v>44625</v>
      </c>
      <c r="AK169" s="243">
        <v>6</v>
      </c>
      <c r="AL169" s="261" t="s">
        <v>319</v>
      </c>
      <c r="AM169" s="251" t="s">
        <v>1544</v>
      </c>
      <c r="AN169" s="251" t="s">
        <v>1551</v>
      </c>
      <c r="AO169" s="245">
        <v>70</v>
      </c>
      <c r="AP169" s="251">
        <f ca="1">INT((TODAY()-BDD[[#This Row],[FECHA NAC]])/365)</f>
        <v>24</v>
      </c>
      <c r="AQ169" s="251">
        <v>2</v>
      </c>
      <c r="AR169" s="251">
        <f ca="1">IF(BDD[[#This Row],[ANTIG]]=0,0,1)</f>
        <v>1</v>
      </c>
      <c r="AS169" s="251"/>
      <c r="AT169" s="251"/>
      <c r="AU169" s="251"/>
      <c r="AV169" s="251"/>
      <c r="AW169" s="251"/>
      <c r="AX169" s="251"/>
      <c r="AY169" s="251"/>
      <c r="AZ169" s="251">
        <f t="shared" ca="1" si="8"/>
        <v>129</v>
      </c>
    </row>
    <row r="170" spans="2:52" ht="15" customHeight="1" x14ac:dyDescent="0.25">
      <c r="B170" s="243">
        <v>292</v>
      </c>
      <c r="C170" s="251" t="s">
        <v>427</v>
      </c>
      <c r="D170" s="252">
        <v>9541</v>
      </c>
      <c r="E170" s="252">
        <f>(BDD[[#This Row],[SUE MENS]]/30)</f>
        <v>318.03333333333336</v>
      </c>
      <c r="F170" s="252">
        <f>BDD[[#This Row],[SUE MENS]]/2</f>
        <v>4770.5</v>
      </c>
      <c r="G170" s="320">
        <v>41872</v>
      </c>
      <c r="H170" s="243">
        <f ca="1">INT(_xlfn.DAYS(TODAY(),BDD[[#This Row],[FECHA ING.]])/365)</f>
        <v>7</v>
      </c>
      <c r="I170" s="251" t="str">
        <f>VLOOKUP(J170,TABLAS!$B$3:$G$49,2,FALSE)</f>
        <v>AUDITORÍA</v>
      </c>
      <c r="J170" s="198" t="s">
        <v>736</v>
      </c>
      <c r="K170" s="251" t="s">
        <v>778</v>
      </c>
      <c r="L170" s="251" t="s">
        <v>763</v>
      </c>
      <c r="M170" s="251"/>
      <c r="N170" s="253" t="s">
        <v>2183</v>
      </c>
      <c r="O170" s="251" t="str">
        <f>IFERROR(VLOOKUP(BDD[[#This Row],[SUBDPTO]],TABLAS!$B$4:$D$36,3,0)," ")</f>
        <v>MARCO AURELIO URBINO</v>
      </c>
      <c r="P170" s="258">
        <f>BDD[[#This Row],[FECHA ING.]]+1000</f>
        <v>42872</v>
      </c>
      <c r="Q170" s="254">
        <v>5740</v>
      </c>
      <c r="R170" s="251" t="s">
        <v>743</v>
      </c>
      <c r="S170" s="251"/>
      <c r="T170" s="251" t="s">
        <v>811</v>
      </c>
      <c r="U170" s="243">
        <f ca="1">VLOOKUP(BDD[[#This Row],[ANTIG]],DIASXANT18[#All],2)</f>
        <v>16</v>
      </c>
      <c r="V170" s="256">
        <f t="shared" si="9"/>
        <v>0.5</v>
      </c>
      <c r="W170" s="243">
        <f ca="1">BDD[[#This Row],[D.VAC.]]*BDD[[#This Row],[% P.V.]]</f>
        <v>8</v>
      </c>
      <c r="X170" s="243">
        <v>30</v>
      </c>
      <c r="Y170" s="257">
        <f ca="1">(365+BDD[[#This Row],[D.PAG.V.]]+BDD[[#This Row],[D.AG.]])/365</f>
        <v>1.1041095890410959</v>
      </c>
      <c r="Z170" s="243">
        <f ca="1">BDD[[#This Row],[SUE DIA]]*BDD[[#This Row],[FACTOR SDI]]</f>
        <v>351.14365296803658</v>
      </c>
      <c r="AA170" s="243">
        <f>BDD[[#This Row],[SUE DIA]]/9</f>
        <v>35.337037037037042</v>
      </c>
      <c r="AB170" s="251">
        <v>33428</v>
      </c>
      <c r="AC170" s="251" t="s">
        <v>999</v>
      </c>
      <c r="AD170" s="251" t="s">
        <v>789</v>
      </c>
      <c r="AE170" s="252">
        <v>8428869654</v>
      </c>
      <c r="AF170" s="251" t="s">
        <v>1246</v>
      </c>
      <c r="AG170" s="251" t="s">
        <v>776</v>
      </c>
      <c r="AH170" s="251" t="s">
        <v>730</v>
      </c>
      <c r="AI170" s="243" t="s">
        <v>151</v>
      </c>
      <c r="AJ170" s="258" cm="1">
        <f t="array" aca="1" ref="AJ170" ca="1">DATE(YEAR(FECH.CONS[FECHA DE CONSULTA:]),MONTH(BDD[[#This Row],[FECHA NAC]]),DAY(BDD[[#This Row],[FECHA NAC]]))</f>
        <v>44751</v>
      </c>
      <c r="AK170" s="243">
        <v>10</v>
      </c>
      <c r="AL170" s="251" t="s">
        <v>311</v>
      </c>
      <c r="AM170" s="251" t="s">
        <v>1544</v>
      </c>
      <c r="AN170" s="251" t="s">
        <v>1551</v>
      </c>
      <c r="AO170" s="245">
        <v>53</v>
      </c>
      <c r="AP170" s="251">
        <f ca="1">INT((TODAY()-BDD[[#This Row],[FECHA NAC]])/365)</f>
        <v>31</v>
      </c>
      <c r="AQ170" s="251">
        <v>1</v>
      </c>
      <c r="AR170" s="251">
        <f ca="1">IF(BDD[[#This Row],[ANTIG]]=0,0,1)</f>
        <v>1</v>
      </c>
      <c r="AS170" s="251"/>
      <c r="AT170" s="251"/>
      <c r="AU170" s="251"/>
      <c r="AV170" s="251"/>
      <c r="AW170" s="251"/>
      <c r="AX170" s="251"/>
      <c r="AY170" s="251"/>
      <c r="AZ170" s="251">
        <f t="shared" ca="1" si="8"/>
        <v>965</v>
      </c>
    </row>
    <row r="171" spans="2:52" ht="15" customHeight="1" x14ac:dyDescent="0.25">
      <c r="B171" s="243">
        <v>293</v>
      </c>
      <c r="C171" s="259" t="s">
        <v>450</v>
      </c>
      <c r="D171" s="252">
        <v>9541</v>
      </c>
      <c r="E171" s="252">
        <f>(BDD[[#This Row],[SUE MENS]]/30)</f>
        <v>318.03333333333336</v>
      </c>
      <c r="F171" s="252">
        <f>BDD[[#This Row],[SUE MENS]]/2</f>
        <v>4770.5</v>
      </c>
      <c r="G171" s="320">
        <v>41918</v>
      </c>
      <c r="H171" s="243">
        <f ca="1">INT(_xlfn.DAYS(TODAY(),BDD[[#This Row],[FECHA ING.]])/365)</f>
        <v>7</v>
      </c>
      <c r="I171" s="251" t="str">
        <f>VLOOKUP(J171,TABLAS!$B$3:$G$49,2,FALSE)</f>
        <v>CONTRATOS</v>
      </c>
      <c r="J171" s="198" t="s">
        <v>738</v>
      </c>
      <c r="K171" s="251" t="s">
        <v>778</v>
      </c>
      <c r="L171" s="251" t="s">
        <v>763</v>
      </c>
      <c r="M171" s="251"/>
      <c r="N171" s="244" t="s">
        <v>2219</v>
      </c>
      <c r="O171" s="251" t="str">
        <f>IFERROR(VLOOKUP(BDD[[#This Row],[SUBDPTO]],TABLAS!$B$4:$D$36,3,0)," ")</f>
        <v>IDALIA GARCÍA ESCRIVÁ</v>
      </c>
      <c r="P171" s="258">
        <v>42685</v>
      </c>
      <c r="Q171" s="254">
        <v>6158.4000000000005</v>
      </c>
      <c r="R171" s="255" t="s">
        <v>743</v>
      </c>
      <c r="S171" s="255" t="s">
        <v>756</v>
      </c>
      <c r="T171" s="251" t="s">
        <v>301</v>
      </c>
      <c r="U171" s="243">
        <f ca="1">VLOOKUP(BDD[[#This Row],[ANTIG]],DIASXANT18[#All],2)</f>
        <v>16</v>
      </c>
      <c r="V171" s="256">
        <f t="shared" si="9"/>
        <v>0.5</v>
      </c>
      <c r="W171" s="243">
        <f ca="1">BDD[[#This Row],[D.VAC.]]*BDD[[#This Row],[% P.V.]]</f>
        <v>8</v>
      </c>
      <c r="X171" s="243">
        <v>30</v>
      </c>
      <c r="Y171" s="257">
        <f ca="1">(365+BDD[[#This Row],[D.PAG.V.]]+BDD[[#This Row],[D.AG.]])/365</f>
        <v>1.1041095890410959</v>
      </c>
      <c r="Z171" s="243">
        <f ca="1">BDD[[#This Row],[SUE DIA]]*BDD[[#This Row],[FACTOR SDI]]</f>
        <v>351.14365296803658</v>
      </c>
      <c r="AA171" s="243">
        <f>BDD[[#This Row],[SUE DIA]]/9</f>
        <v>35.337037037037042</v>
      </c>
      <c r="AB171" s="251">
        <v>26433</v>
      </c>
      <c r="AC171" s="251" t="s">
        <v>909</v>
      </c>
      <c r="AD171" s="251" t="s">
        <v>787</v>
      </c>
      <c r="AE171" s="260">
        <v>8181569600</v>
      </c>
      <c r="AF171" s="251" t="s">
        <v>1356</v>
      </c>
      <c r="AG171" s="251" t="s">
        <v>773</v>
      </c>
      <c r="AH171" s="251" t="s">
        <v>727</v>
      </c>
      <c r="AI171" s="243" t="s">
        <v>151</v>
      </c>
      <c r="AJ171" s="258" cm="1">
        <f t="array" aca="1" ref="AJ171" ca="1">DATE(YEAR(FECH.CONS[FECHA DE CONSULTA:]),MONTH(BDD[[#This Row],[FECHA NAC]]),DAY(BDD[[#This Row],[FECHA NAC]]))</f>
        <v>44695</v>
      </c>
      <c r="AK171" s="243"/>
      <c r="AL171" s="261" t="s">
        <v>326</v>
      </c>
      <c r="AM171" s="251" t="s">
        <v>1550</v>
      </c>
      <c r="AN171" s="251" t="s">
        <v>1550</v>
      </c>
      <c r="AO171" s="245">
        <v>54</v>
      </c>
      <c r="AP171" s="251">
        <f ca="1">INT((TODAY()-BDD[[#This Row],[FECHA NAC]])/365)</f>
        <v>50</v>
      </c>
      <c r="AQ171" s="251">
        <v>2</v>
      </c>
      <c r="AR171" s="251">
        <f ca="1">IF(BDD[[#This Row],[ANTIG]]=0,0,1)</f>
        <v>1</v>
      </c>
      <c r="AS171" s="251"/>
      <c r="AT171" s="251"/>
      <c r="AU171" s="251"/>
      <c r="AV171" s="251"/>
      <c r="AW171" s="251"/>
      <c r="AX171" s="251"/>
      <c r="AY171" s="251"/>
      <c r="AZ171" s="251">
        <f t="shared" ca="1" si="8"/>
        <v>535</v>
      </c>
    </row>
    <row r="172" spans="2:52" ht="15" customHeight="1" x14ac:dyDescent="0.25">
      <c r="B172" s="243">
        <v>295</v>
      </c>
      <c r="C172" s="251" t="s">
        <v>425</v>
      </c>
      <c r="D172" s="252">
        <v>7950</v>
      </c>
      <c r="E172" s="252">
        <f>(BDD[[#This Row],[SUE MENS]]/30)</f>
        <v>265</v>
      </c>
      <c r="F172" s="252">
        <f>BDD[[#This Row],[SUE MENS]]/2</f>
        <v>3975</v>
      </c>
      <c r="G172" s="319">
        <v>41919</v>
      </c>
      <c r="H172" s="243">
        <f ca="1">INT(_xlfn.DAYS(TODAY(),BDD[[#This Row],[FECHA ING.]])/365)</f>
        <v>7</v>
      </c>
      <c r="I172" s="251" t="str">
        <f>VLOOKUP(J172,TABLAS!$B$3:$G$49,2,FALSE)</f>
        <v>CPTAL HUMANO</v>
      </c>
      <c r="J172" s="198" t="s">
        <v>768</v>
      </c>
      <c r="K172" s="251" t="s">
        <v>778</v>
      </c>
      <c r="L172" s="251" t="s">
        <v>763</v>
      </c>
      <c r="M172" s="251"/>
      <c r="N172" s="253" t="s">
        <v>2172</v>
      </c>
      <c r="O172" s="251" t="str">
        <f>IFERROR(VLOOKUP(BDD[[#This Row],[SUBDPTO]],TABLAS!$B$4:$D$36,3,0)," ")</f>
        <v>EMMA DARIELA GARCÍA LORCA</v>
      </c>
      <c r="P172" s="258"/>
      <c r="Q172" s="264"/>
      <c r="R172" s="244"/>
      <c r="S172" s="251"/>
      <c r="T172" s="251" t="s">
        <v>811</v>
      </c>
      <c r="U172" s="243">
        <f ca="1">VLOOKUP(BDD[[#This Row],[ANTIG]],DIASXANT18[#All],2)</f>
        <v>16</v>
      </c>
      <c r="V172" s="256">
        <f t="shared" si="9"/>
        <v>0.5</v>
      </c>
      <c r="W172" s="243">
        <f ca="1">BDD[[#This Row],[D.VAC.]]*BDD[[#This Row],[% P.V.]]</f>
        <v>8</v>
      </c>
      <c r="X172" s="243">
        <v>30</v>
      </c>
      <c r="Y172" s="257">
        <f ca="1">(365+BDD[[#This Row],[D.PAG.V.]]+BDD[[#This Row],[D.AG.]])/365</f>
        <v>1.1041095890410959</v>
      </c>
      <c r="Z172" s="243">
        <f ca="1">BDD[[#This Row],[SUE DIA]]*BDD[[#This Row],[FACTOR SDI]]</f>
        <v>292.58904109589042</v>
      </c>
      <c r="AA172" s="243">
        <f>BDD[[#This Row],[SUE DIA]]/9</f>
        <v>29.444444444444443</v>
      </c>
      <c r="AB172" s="251">
        <v>31909</v>
      </c>
      <c r="AC172" s="251" t="s">
        <v>1014</v>
      </c>
      <c r="AD172" s="251" t="s">
        <v>792</v>
      </c>
      <c r="AE172" s="252">
        <v>8954895994</v>
      </c>
      <c r="AF172" s="251" t="s">
        <v>1275</v>
      </c>
      <c r="AG172" s="251" t="s">
        <v>776</v>
      </c>
      <c r="AH172" s="251" t="s">
        <v>726</v>
      </c>
      <c r="AI172" s="243" t="s">
        <v>152</v>
      </c>
      <c r="AJ172" s="258" cm="1">
        <f t="array" aca="1" ref="AJ172" ca="1">DATE(YEAR(FECH.CONS[FECHA DE CONSULTA:]),MONTH(BDD[[#This Row],[FECHA NAC]]),DAY(BDD[[#This Row],[FECHA NAC]]))</f>
        <v>44693</v>
      </c>
      <c r="AK172" s="243"/>
      <c r="AL172" s="251" t="s">
        <v>312</v>
      </c>
      <c r="AM172" s="251" t="s">
        <v>1533</v>
      </c>
      <c r="AN172" s="251" t="s">
        <v>1551</v>
      </c>
      <c r="AO172" s="245">
        <v>77</v>
      </c>
      <c r="AP172" s="251">
        <f ca="1">INT((TODAY()-BDD[[#This Row],[FECHA NAC]])/365)</f>
        <v>35</v>
      </c>
      <c r="AQ172" s="251">
        <v>0</v>
      </c>
      <c r="AR172" s="251">
        <f ca="1">IF(BDD[[#This Row],[ANTIG]]=0,0,1)</f>
        <v>1</v>
      </c>
      <c r="AS172" s="251"/>
      <c r="AT172" s="251"/>
      <c r="AU172" s="251"/>
      <c r="AV172" s="251"/>
      <c r="AW172" s="251"/>
      <c r="AX172" s="251"/>
      <c r="AY172" s="251"/>
      <c r="AZ172" s="251">
        <f t="shared" ca="1" si="8"/>
        <v>603</v>
      </c>
    </row>
    <row r="173" spans="2:52" ht="15" customHeight="1" x14ac:dyDescent="0.25">
      <c r="B173" s="243">
        <v>296</v>
      </c>
      <c r="C173" s="259" t="s">
        <v>592</v>
      </c>
      <c r="D173" s="252">
        <v>9541</v>
      </c>
      <c r="E173" s="252">
        <f>(BDD[[#This Row],[SUE MENS]]/30)</f>
        <v>318.03333333333336</v>
      </c>
      <c r="F173" s="252">
        <f>BDD[[#This Row],[SUE MENS]]/2</f>
        <v>4770.5</v>
      </c>
      <c r="G173" s="320">
        <v>41995</v>
      </c>
      <c r="H173" s="243">
        <f ca="1">INT(_xlfn.DAYS(TODAY(),BDD[[#This Row],[FECHA ING.]])/365)</f>
        <v>7</v>
      </c>
      <c r="I173" s="251" t="str">
        <f>VLOOKUP(J173,TABLAS!$B$3:$G$49,2,FALSE)</f>
        <v>DIV ARQUIT</v>
      </c>
      <c r="J173" s="198" t="s">
        <v>740</v>
      </c>
      <c r="K173" s="251" t="s">
        <v>778</v>
      </c>
      <c r="L173" s="251" t="s">
        <v>763</v>
      </c>
      <c r="M173" s="251"/>
      <c r="N173" s="244" t="s">
        <v>2023</v>
      </c>
      <c r="O173" s="251" t="str">
        <f>IFERROR(VLOOKUP(BDD[[#This Row],[SUBDPTO]],TABLAS!$B$4:$D$36,3,0)," ")</f>
        <v>MÉRIDA ISELA MEDINA SALINAS</v>
      </c>
      <c r="P173" s="258">
        <v>43212</v>
      </c>
      <c r="Q173" s="254">
        <v>7600</v>
      </c>
      <c r="R173" s="255" t="s">
        <v>743</v>
      </c>
      <c r="S173" s="251"/>
      <c r="T173" s="251" t="s">
        <v>811</v>
      </c>
      <c r="U173" s="243">
        <f ca="1">VLOOKUP(BDD[[#This Row],[ANTIG]],DIASXANT18[#All],2)</f>
        <v>16</v>
      </c>
      <c r="V173" s="256">
        <f t="shared" si="9"/>
        <v>0.5</v>
      </c>
      <c r="W173" s="243">
        <f ca="1">BDD[[#This Row],[D.VAC.]]*BDD[[#This Row],[% P.V.]]</f>
        <v>8</v>
      </c>
      <c r="X173" s="243">
        <v>30</v>
      </c>
      <c r="Y173" s="257">
        <f ca="1">(365+BDD[[#This Row],[D.PAG.V.]]+BDD[[#This Row],[D.AG.]])/365</f>
        <v>1.1041095890410959</v>
      </c>
      <c r="Z173" s="243">
        <f ca="1">BDD[[#This Row],[SUE DIA]]*BDD[[#This Row],[FACTOR SDI]]</f>
        <v>351.14365296803658</v>
      </c>
      <c r="AA173" s="243">
        <f>BDD[[#This Row],[SUE DIA]]/9</f>
        <v>35.337037037037042</v>
      </c>
      <c r="AB173" s="251">
        <v>32328</v>
      </c>
      <c r="AC173" s="251" t="s">
        <v>870</v>
      </c>
      <c r="AD173" s="251" t="s">
        <v>791</v>
      </c>
      <c r="AE173" s="260">
        <v>6044186404</v>
      </c>
      <c r="AF173" s="251" t="s">
        <v>1452</v>
      </c>
      <c r="AG173" s="251" t="s">
        <v>773</v>
      </c>
      <c r="AH173" s="251" t="s">
        <v>730</v>
      </c>
      <c r="AI173" s="243" t="s">
        <v>151</v>
      </c>
      <c r="AJ173" s="258" cm="1">
        <f t="array" aca="1" ref="AJ173" ca="1">DATE(YEAR(FECH.CONS[FECHA DE CONSULTA:]),MONTH(BDD[[#This Row],[FECHA NAC]]),DAY(BDD[[#This Row],[FECHA NAC]]))</f>
        <v>44746</v>
      </c>
      <c r="AK173" s="243">
        <v>6</v>
      </c>
      <c r="AL173" s="261" t="s">
        <v>311</v>
      </c>
      <c r="AM173" s="251" t="s">
        <v>1543</v>
      </c>
      <c r="AN173" s="251" t="s">
        <v>1551</v>
      </c>
      <c r="AO173" s="245">
        <v>81</v>
      </c>
      <c r="AP173" s="251">
        <f ca="1">INT((TODAY()-BDD[[#This Row],[FECHA NAC]])/365)</f>
        <v>34</v>
      </c>
      <c r="AQ173" s="251">
        <v>2</v>
      </c>
      <c r="AR173" s="251">
        <f ca="1">IF(BDD[[#This Row],[ANTIG]]=0,0,1)</f>
        <v>1</v>
      </c>
      <c r="AS173" s="251"/>
      <c r="AT173" s="251"/>
      <c r="AU173" s="251"/>
      <c r="AV173" s="251"/>
      <c r="AW173" s="251"/>
      <c r="AX173" s="251"/>
      <c r="AY173" s="251"/>
      <c r="AZ173" s="251">
        <f t="shared" ca="1" si="8"/>
        <v>156</v>
      </c>
    </row>
    <row r="174" spans="2:52" ht="15" customHeight="1" x14ac:dyDescent="0.25">
      <c r="B174" s="243">
        <v>297</v>
      </c>
      <c r="C174" s="259" t="s">
        <v>484</v>
      </c>
      <c r="D174" s="263">
        <v>10350</v>
      </c>
      <c r="E174" s="252">
        <f>(BDD[[#This Row],[SUE MENS]]/30)</f>
        <v>345</v>
      </c>
      <c r="F174" s="252">
        <f>BDD[[#This Row],[SUE MENS]]/2</f>
        <v>5175</v>
      </c>
      <c r="G174" s="320">
        <v>41997</v>
      </c>
      <c r="H174" s="243">
        <f ca="1">INT(_xlfn.DAYS(TODAY(),BDD[[#This Row],[FECHA ING.]])/365)</f>
        <v>7</v>
      </c>
      <c r="I174" s="251" t="str">
        <f>VLOOKUP(J174,TABLAS!$B$3:$G$49,2,FALSE)</f>
        <v>DIV INGENRIA</v>
      </c>
      <c r="J174" s="198" t="s">
        <v>756</v>
      </c>
      <c r="K174" s="251" t="s">
        <v>778</v>
      </c>
      <c r="L174" s="251" t="s">
        <v>763</v>
      </c>
      <c r="M174" s="251"/>
      <c r="N174" s="244" t="s">
        <v>2203</v>
      </c>
      <c r="O174" s="251" t="str">
        <f>IFERROR(VLOOKUP(BDD[[#This Row],[SUBDPTO]],TABLAS!$B$4:$D$36,3,0)," ")</f>
        <v>DIEGO HERRERA GIRÓN</v>
      </c>
      <c r="P174" s="258">
        <v>41337</v>
      </c>
      <c r="Q174" s="254">
        <v>5422.4000000000005</v>
      </c>
      <c r="R174" s="255" t="s">
        <v>740</v>
      </c>
      <c r="S174" s="255" t="s">
        <v>746</v>
      </c>
      <c r="T174" s="251" t="s">
        <v>811</v>
      </c>
      <c r="U174" s="243">
        <f ca="1">VLOOKUP(BDD[[#This Row],[ANTIG]],DIASXANT18[#All],2)</f>
        <v>16</v>
      </c>
      <c r="V174" s="256">
        <f t="shared" si="9"/>
        <v>0.5</v>
      </c>
      <c r="W174" s="243">
        <f ca="1">BDD[[#This Row],[D.VAC.]]*BDD[[#This Row],[% P.V.]]</f>
        <v>8</v>
      </c>
      <c r="X174" s="243">
        <v>30</v>
      </c>
      <c r="Y174" s="257">
        <f ca="1">(365+BDD[[#This Row],[D.PAG.V.]]+BDD[[#This Row],[D.AG.]])/365</f>
        <v>1.1041095890410959</v>
      </c>
      <c r="Z174" s="243">
        <f ca="1">BDD[[#This Row],[SUE DIA]]*BDD[[#This Row],[FACTOR SDI]]</f>
        <v>380.91780821917808</v>
      </c>
      <c r="AA174" s="243">
        <f>BDD[[#This Row],[SUE DIA]]/9</f>
        <v>38.333333333333336</v>
      </c>
      <c r="AB174" s="251">
        <v>26259</v>
      </c>
      <c r="AC174" s="251" t="s">
        <v>991</v>
      </c>
      <c r="AD174" s="251" t="s">
        <v>809</v>
      </c>
      <c r="AE174" s="260">
        <v>8156459784</v>
      </c>
      <c r="AF174" s="251" t="s">
        <v>1374</v>
      </c>
      <c r="AG174" s="251" t="s">
        <v>774</v>
      </c>
      <c r="AH174" s="251" t="s">
        <v>730</v>
      </c>
      <c r="AI174" s="243" t="s">
        <v>151</v>
      </c>
      <c r="AJ174" s="258" cm="1">
        <f t="array" aca="1" ref="AJ174" ca="1">DATE(YEAR(FECH.CONS[FECHA DE CONSULTA:]),MONTH(BDD[[#This Row],[FECHA NAC]]),DAY(BDD[[#This Row],[FECHA NAC]]))</f>
        <v>44887</v>
      </c>
      <c r="AK174" s="243">
        <v>10</v>
      </c>
      <c r="AL174" s="261" t="s">
        <v>311</v>
      </c>
      <c r="AM174" s="251" t="s">
        <v>1538</v>
      </c>
      <c r="AN174" s="251" t="s">
        <v>1551</v>
      </c>
      <c r="AO174" s="245">
        <v>37</v>
      </c>
      <c r="AP174" s="251">
        <f ca="1">INT((TODAY()-BDD[[#This Row],[FECHA NAC]])/365)</f>
        <v>50</v>
      </c>
      <c r="AQ174" s="251">
        <v>3</v>
      </c>
      <c r="AR174" s="251">
        <f ca="1">IF(BDD[[#This Row],[ANTIG]]=0,0,1)</f>
        <v>1</v>
      </c>
      <c r="AS174" s="251"/>
      <c r="AT174" s="251"/>
      <c r="AU174" s="251"/>
      <c r="AV174" s="251"/>
      <c r="AW174" s="251"/>
      <c r="AX174" s="251"/>
      <c r="AY174" s="251"/>
      <c r="AZ174" s="251">
        <f t="shared" ca="1" si="8"/>
        <v>136</v>
      </c>
    </row>
    <row r="175" spans="2:52" ht="15" customHeight="1" x14ac:dyDescent="0.25">
      <c r="B175" s="243">
        <v>299</v>
      </c>
      <c r="C175" s="259" t="s">
        <v>480</v>
      </c>
      <c r="D175" s="244">
        <v>6778</v>
      </c>
      <c r="E175" s="252">
        <f>(BDD[[#This Row],[SUE MENS]]/30)</f>
        <v>225.93333333333334</v>
      </c>
      <c r="F175" s="252">
        <f>BDD[[#This Row],[SUE MENS]]/2</f>
        <v>3389</v>
      </c>
      <c r="G175" s="320">
        <v>41997</v>
      </c>
      <c r="H175" s="243">
        <f ca="1">INT(_xlfn.DAYS(TODAY(),BDD[[#This Row],[FECHA ING.]])/365)</f>
        <v>7</v>
      </c>
      <c r="I175" s="251" t="str">
        <f>VLOOKUP(J175,TABLAS!$B$3:$G$49,2,FALSE)</f>
        <v>TECNOLOGÍA</v>
      </c>
      <c r="J175" s="198" t="s">
        <v>750</v>
      </c>
      <c r="K175" s="251" t="s">
        <v>778</v>
      </c>
      <c r="L175" s="251" t="s">
        <v>763</v>
      </c>
      <c r="M175" s="251"/>
      <c r="N175" s="244" t="s">
        <v>2232</v>
      </c>
      <c r="O175" s="251" t="str">
        <f>IFERROR(VLOOKUP(BDD[[#This Row],[SUBDPTO]],TABLAS!$B$4:$D$36,3,0)," ")</f>
        <v>DENEB SANTIAGO ALTAIR VEGA</v>
      </c>
      <c r="P175" s="258"/>
      <c r="Q175" s="264"/>
      <c r="R175" s="244"/>
      <c r="S175" s="251"/>
      <c r="T175" s="251" t="s">
        <v>301</v>
      </c>
      <c r="U175" s="243">
        <f ca="1">VLOOKUP(BDD[[#This Row],[ANTIG]],DIASXANT18[#All],2)</f>
        <v>16</v>
      </c>
      <c r="V175" s="266">
        <v>0.25</v>
      </c>
      <c r="W175" s="243">
        <f ca="1">BDD[[#This Row],[D.VAC.]]*BDD[[#This Row],[% P.V.]]</f>
        <v>4</v>
      </c>
      <c r="X175" s="265">
        <v>15</v>
      </c>
      <c r="Y175" s="257">
        <f ca="1">(365+BDD[[#This Row],[D.PAG.V.]]+BDD[[#This Row],[D.AG.]])/365</f>
        <v>1.0520547945205478</v>
      </c>
      <c r="Z175" s="243">
        <f ca="1">BDD[[#This Row],[SUE DIA]]*BDD[[#This Row],[FACTOR SDI]]</f>
        <v>237.69424657534245</v>
      </c>
      <c r="AA175" s="243">
        <f>BDD[[#This Row],[SUE DIA]]/9</f>
        <v>25.103703703703705</v>
      </c>
      <c r="AB175" s="251">
        <v>31182</v>
      </c>
      <c r="AC175" s="251" t="s">
        <v>998</v>
      </c>
      <c r="AD175" s="251" t="s">
        <v>789</v>
      </c>
      <c r="AE175" s="260">
        <v>3384785210</v>
      </c>
      <c r="AF175" s="251" t="s">
        <v>1370</v>
      </c>
      <c r="AG175" s="251" t="s">
        <v>774</v>
      </c>
      <c r="AH175" s="251" t="s">
        <v>730</v>
      </c>
      <c r="AI175" s="243" t="s">
        <v>151</v>
      </c>
      <c r="AJ175" s="258" cm="1">
        <f t="array" aca="1" ref="AJ175" ca="1">DATE(YEAR(FECH.CONS[FECHA DE CONSULTA:]),MONTH(BDD[[#This Row],[FECHA NAC]]),DAY(BDD[[#This Row],[FECHA NAC]]))</f>
        <v>44696</v>
      </c>
      <c r="AK175" s="243">
        <v>10</v>
      </c>
      <c r="AL175" s="261" t="s">
        <v>311</v>
      </c>
      <c r="AM175" s="251" t="s">
        <v>1535</v>
      </c>
      <c r="AN175" s="251" t="s">
        <v>1551</v>
      </c>
      <c r="AO175" s="245">
        <v>54</v>
      </c>
      <c r="AP175" s="251">
        <f ca="1">INT((TODAY()-BDD[[#This Row],[FECHA NAC]])/365)</f>
        <v>37</v>
      </c>
      <c r="AQ175" s="251">
        <v>2</v>
      </c>
      <c r="AR175" s="251">
        <f ca="1">IF(BDD[[#This Row],[ANTIG]]=0,0,1)</f>
        <v>1</v>
      </c>
      <c r="AS175" s="251"/>
      <c r="AT175" s="251"/>
      <c r="AU175" s="251"/>
      <c r="AV175" s="251"/>
      <c r="AW175" s="251"/>
      <c r="AX175" s="251"/>
      <c r="AY175" s="251"/>
      <c r="AZ175" s="251">
        <f t="shared" ca="1" si="8"/>
        <v>229</v>
      </c>
    </row>
    <row r="176" spans="2:52" ht="15" customHeight="1" x14ac:dyDescent="0.25">
      <c r="B176" s="243">
        <v>300</v>
      </c>
      <c r="C176" s="251" t="s">
        <v>243</v>
      </c>
      <c r="D176" s="263">
        <v>7445</v>
      </c>
      <c r="E176" s="252">
        <f>(BDD[[#This Row],[SUE MENS]]/30)</f>
        <v>248.16666666666666</v>
      </c>
      <c r="F176" s="252">
        <f>BDD[[#This Row],[SUE MENS]]/2</f>
        <v>3722.5</v>
      </c>
      <c r="G176" s="319">
        <v>42039</v>
      </c>
      <c r="H176" s="243">
        <f ca="1">INT(_xlfn.DAYS(TODAY(),BDD[[#This Row],[FECHA ING.]])/365)</f>
        <v>7</v>
      </c>
      <c r="I176" s="251" t="str">
        <f>VLOOKUP(J176,TABLAS!$B$3:$G$49,2,FALSE)</f>
        <v>DIRECCIÓN</v>
      </c>
      <c r="J176" s="198" t="s">
        <v>759</v>
      </c>
      <c r="K176" s="251" t="s">
        <v>778</v>
      </c>
      <c r="L176" s="251" t="s">
        <v>763</v>
      </c>
      <c r="M176" s="251"/>
      <c r="N176" s="244" t="s">
        <v>1974</v>
      </c>
      <c r="O176" s="251" t="str">
        <f>IFERROR(VLOOKUP(BDD[[#This Row],[SUBDPTO]],TABLAS!$B$4:$D$36,3,0)," ")</f>
        <v>MARIANA RODRÍGUEZ GUTIERREZ</v>
      </c>
      <c r="P176" s="258"/>
      <c r="Q176" s="264"/>
      <c r="R176" s="244"/>
      <c r="S176" s="251"/>
      <c r="T176" s="251" t="s">
        <v>301</v>
      </c>
      <c r="U176" s="243">
        <f ca="1">VLOOKUP(BDD[[#This Row],[ANTIG]],DIASXANT18[#All],2)</f>
        <v>16</v>
      </c>
      <c r="V176" s="256">
        <f t="shared" ref="V176:V187" si="10">100/200</f>
        <v>0.5</v>
      </c>
      <c r="W176" s="243">
        <f ca="1">BDD[[#This Row],[D.VAC.]]*BDD[[#This Row],[% P.V.]]</f>
        <v>8</v>
      </c>
      <c r="X176" s="243">
        <v>30</v>
      </c>
      <c r="Y176" s="257">
        <f ca="1">(365+BDD[[#This Row],[D.PAG.V.]]+BDD[[#This Row],[D.AG.]])/365</f>
        <v>1.1041095890410959</v>
      </c>
      <c r="Z176" s="243">
        <f ca="1">BDD[[#This Row],[SUE DIA]]*BDD[[#This Row],[FACTOR SDI]]</f>
        <v>274.00319634703197</v>
      </c>
      <c r="AA176" s="243">
        <f>BDD[[#This Row],[SUE DIA]]/9</f>
        <v>27.574074074074073</v>
      </c>
      <c r="AB176" s="251">
        <v>34984</v>
      </c>
      <c r="AC176" s="251" t="s">
        <v>941</v>
      </c>
      <c r="AD176" s="251" t="s">
        <v>789</v>
      </c>
      <c r="AE176" s="252">
        <v>8282574943</v>
      </c>
      <c r="AF176" s="251" t="s">
        <v>1270</v>
      </c>
      <c r="AG176" s="251" t="s">
        <v>776</v>
      </c>
      <c r="AH176" s="251" t="s">
        <v>730</v>
      </c>
      <c r="AI176" s="243" t="s">
        <v>151</v>
      </c>
      <c r="AJ176" s="258" cm="1">
        <f t="array" aca="1" ref="AJ176" ca="1">DATE(YEAR(FECH.CONS[FECHA DE CONSULTA:]),MONTH(BDD[[#This Row],[FECHA NAC]]),DAY(BDD[[#This Row],[FECHA NAC]]))</f>
        <v>44846</v>
      </c>
      <c r="AK176" s="243">
        <v>9</v>
      </c>
      <c r="AL176" s="261" t="s">
        <v>311</v>
      </c>
      <c r="AM176" s="251" t="s">
        <v>1534</v>
      </c>
      <c r="AN176" s="251" t="s">
        <v>1551</v>
      </c>
      <c r="AO176" s="245">
        <v>97</v>
      </c>
      <c r="AP176" s="251">
        <f ca="1">INT((TODAY()-BDD[[#This Row],[FECHA NAC]])/365)</f>
        <v>26</v>
      </c>
      <c r="AQ176" s="251">
        <v>0</v>
      </c>
      <c r="AR176" s="251">
        <f ca="1">IF(BDD[[#This Row],[ANTIG]]=0,0,1)</f>
        <v>1</v>
      </c>
      <c r="AS176" s="251"/>
      <c r="AT176" s="251"/>
      <c r="AU176" s="251"/>
      <c r="AV176" s="251"/>
      <c r="AW176" s="251"/>
      <c r="AX176" s="251"/>
      <c r="AY176" s="251"/>
      <c r="AZ176" s="251">
        <f t="shared" ca="1" si="8"/>
        <v>332</v>
      </c>
    </row>
    <row r="177" spans="2:52" ht="15" customHeight="1" x14ac:dyDescent="0.25">
      <c r="B177" s="243">
        <v>302</v>
      </c>
      <c r="C177" s="251" t="s">
        <v>234</v>
      </c>
      <c r="D177" s="252">
        <v>9450</v>
      </c>
      <c r="E177" s="252">
        <f>(BDD[[#This Row],[SUE MENS]]/30)</f>
        <v>315</v>
      </c>
      <c r="F177" s="252">
        <f>BDD[[#This Row],[SUE MENS]]/2</f>
        <v>4725</v>
      </c>
      <c r="G177" s="319">
        <v>42045</v>
      </c>
      <c r="H177" s="243">
        <f ca="1">INT(_xlfn.DAYS(TODAY(),BDD[[#This Row],[FECHA ING.]])/365)</f>
        <v>7</v>
      </c>
      <c r="I177" s="251" t="str">
        <f>VLOOKUP(J177,TABLAS!$B$3:$G$49,2,FALSE)</f>
        <v>DIV ARQUIT</v>
      </c>
      <c r="J177" s="198" t="s">
        <v>740</v>
      </c>
      <c r="K177" s="251" t="s">
        <v>778</v>
      </c>
      <c r="L177" s="251" t="s">
        <v>763</v>
      </c>
      <c r="M177" s="251"/>
      <c r="N177" s="244" t="s">
        <v>1851</v>
      </c>
      <c r="O177" s="251" t="str">
        <f>IFERROR(VLOOKUP(BDD[[#This Row],[SUBDPTO]],TABLAS!$B$4:$D$36,3,0)," ")</f>
        <v>MÉRIDA ISELA MEDINA SALINAS</v>
      </c>
      <c r="P177" s="258">
        <v>43205</v>
      </c>
      <c r="Q177" s="254">
        <v>5422.4000000000005</v>
      </c>
      <c r="R177" s="255" t="s">
        <v>740</v>
      </c>
      <c r="S177" s="251"/>
      <c r="T177" s="251" t="s">
        <v>811</v>
      </c>
      <c r="U177" s="243">
        <f ca="1">VLOOKUP(BDD[[#This Row],[ANTIG]],DIASXANT18[#All],2)</f>
        <v>16</v>
      </c>
      <c r="V177" s="256">
        <f t="shared" si="10"/>
        <v>0.5</v>
      </c>
      <c r="W177" s="243">
        <f ca="1">BDD[[#This Row],[D.VAC.]]*BDD[[#This Row],[% P.V.]]</f>
        <v>8</v>
      </c>
      <c r="X177" s="243">
        <v>30</v>
      </c>
      <c r="Y177" s="257">
        <f ca="1">(365+BDD[[#This Row],[D.PAG.V.]]+BDD[[#This Row],[D.AG.]])/365</f>
        <v>1.1041095890410959</v>
      </c>
      <c r="Z177" s="243">
        <f ca="1">BDD[[#This Row],[SUE DIA]]*BDD[[#This Row],[FACTOR SDI]]</f>
        <v>347.79452054794518</v>
      </c>
      <c r="AA177" s="243">
        <f>BDD[[#This Row],[SUE DIA]]/9</f>
        <v>35</v>
      </c>
      <c r="AB177" s="251">
        <v>29237</v>
      </c>
      <c r="AC177" s="251" t="s">
        <v>964</v>
      </c>
      <c r="AD177" s="251" t="s">
        <v>786</v>
      </c>
      <c r="AE177" s="252">
        <v>8620948996</v>
      </c>
      <c r="AF177" s="251" t="s">
        <v>1258</v>
      </c>
      <c r="AG177" s="251" t="s">
        <v>776</v>
      </c>
      <c r="AH177" s="251" t="s">
        <v>730</v>
      </c>
      <c r="AI177" s="243" t="s">
        <v>151</v>
      </c>
      <c r="AJ177" s="258" cm="1">
        <f t="array" aca="1" ref="AJ177" ca="1">DATE(YEAR(FECH.CONS[FECHA DE CONSULTA:]),MONTH(BDD[[#This Row],[FECHA NAC]]),DAY(BDD[[#This Row],[FECHA NAC]]))</f>
        <v>44578</v>
      </c>
      <c r="AK177" s="243">
        <v>7</v>
      </c>
      <c r="AL177" s="261" t="s">
        <v>311</v>
      </c>
      <c r="AM177" s="251" t="s">
        <v>1543</v>
      </c>
      <c r="AN177" s="251" t="s">
        <v>1551</v>
      </c>
      <c r="AO177" s="245">
        <v>78</v>
      </c>
      <c r="AP177" s="251">
        <f ca="1">INT((TODAY()-BDD[[#This Row],[FECHA NAC]])/365)</f>
        <v>42</v>
      </c>
      <c r="AQ177" s="251">
        <v>2</v>
      </c>
      <c r="AR177" s="251">
        <f ca="1">IF(BDD[[#This Row],[ANTIG]]=0,0,1)</f>
        <v>1</v>
      </c>
      <c r="AS177" s="251"/>
      <c r="AT177" s="251"/>
      <c r="AU177" s="251"/>
      <c r="AV177" s="251"/>
      <c r="AW177" s="251"/>
      <c r="AX177" s="251"/>
      <c r="AY177" s="251"/>
      <c r="AZ177" s="251">
        <f t="shared" ca="1" si="8"/>
        <v>516</v>
      </c>
    </row>
    <row r="178" spans="2:52" ht="15" customHeight="1" x14ac:dyDescent="0.25">
      <c r="B178" s="243">
        <v>304</v>
      </c>
      <c r="C178" s="259" t="s">
        <v>714</v>
      </c>
      <c r="D178" s="252">
        <v>9450</v>
      </c>
      <c r="E178" s="252">
        <f>(BDD[[#This Row],[SUE MENS]]/30)</f>
        <v>315</v>
      </c>
      <c r="F178" s="252">
        <f>BDD[[#This Row],[SUE MENS]]/2</f>
        <v>4725</v>
      </c>
      <c r="G178" s="319">
        <v>42062</v>
      </c>
      <c r="H178" s="243">
        <f ca="1">INT(_xlfn.DAYS(TODAY(),BDD[[#This Row],[FECHA ING.]])/365)</f>
        <v>7</v>
      </c>
      <c r="I178" s="251" t="str">
        <f>VLOOKUP(J178,TABLAS!$B$3:$G$49,2,FALSE)</f>
        <v>DIV INGENRIA</v>
      </c>
      <c r="J178" s="198" t="s">
        <v>744</v>
      </c>
      <c r="K178" s="251" t="s">
        <v>778</v>
      </c>
      <c r="L178" s="251" t="s">
        <v>763</v>
      </c>
      <c r="M178" s="251"/>
      <c r="N178" s="244" t="s">
        <v>1770</v>
      </c>
      <c r="O178" s="251" t="str">
        <f>IFERROR(VLOOKUP(BDD[[#This Row],[SUBDPTO]],TABLAS!$B$4:$D$36,3,0)," ")</f>
        <v>DIEGO HERRERA GIRÓN</v>
      </c>
      <c r="P178" s="258">
        <v>42644</v>
      </c>
      <c r="Q178" s="254">
        <v>5422.4000000000005</v>
      </c>
      <c r="R178" s="255" t="s">
        <v>743</v>
      </c>
      <c r="S178" s="251"/>
      <c r="T178" s="251" t="s">
        <v>811</v>
      </c>
      <c r="U178" s="243">
        <f ca="1">VLOOKUP(BDD[[#This Row],[ANTIG]],DIASXANT18[#All],2)</f>
        <v>16</v>
      </c>
      <c r="V178" s="256">
        <f t="shared" si="10"/>
        <v>0.5</v>
      </c>
      <c r="W178" s="243">
        <f ca="1">BDD[[#This Row],[D.VAC.]]*BDD[[#This Row],[% P.V.]]</f>
        <v>8</v>
      </c>
      <c r="X178" s="243">
        <v>30</v>
      </c>
      <c r="Y178" s="257">
        <f ca="1">(365+BDD[[#This Row],[D.PAG.V.]]+BDD[[#This Row],[D.AG.]])/365</f>
        <v>1.1041095890410959</v>
      </c>
      <c r="Z178" s="243">
        <f ca="1">BDD[[#This Row],[SUE DIA]]*BDD[[#This Row],[FACTOR SDI]]</f>
        <v>347.79452054794518</v>
      </c>
      <c r="AA178" s="243">
        <f>BDD[[#This Row],[SUE DIA]]/9</f>
        <v>35</v>
      </c>
      <c r="AB178" s="251">
        <v>33728</v>
      </c>
      <c r="AC178" s="251" t="s">
        <v>871</v>
      </c>
      <c r="AD178" s="251" t="s">
        <v>788</v>
      </c>
      <c r="AE178" s="260">
        <v>8108529531</v>
      </c>
      <c r="AF178" s="251" t="s">
        <v>1527</v>
      </c>
      <c r="AG178" s="251" t="s">
        <v>776</v>
      </c>
      <c r="AH178" s="251" t="s">
        <v>1555</v>
      </c>
      <c r="AI178" s="243" t="s">
        <v>151</v>
      </c>
      <c r="AJ178" s="258" cm="1">
        <f t="array" aca="1" ref="AJ178" ca="1">DATE(YEAR(FECH.CONS[FECHA DE CONSULTA:]),MONTH(BDD[[#This Row],[FECHA NAC]]),DAY(BDD[[#This Row],[FECHA NAC]]))</f>
        <v>44685</v>
      </c>
      <c r="AK178" s="243"/>
      <c r="AL178" s="261" t="s">
        <v>311</v>
      </c>
      <c r="AM178" s="251" t="s">
        <v>1538</v>
      </c>
      <c r="AN178" s="251" t="s">
        <v>1551</v>
      </c>
      <c r="AO178" s="271">
        <v>33</v>
      </c>
      <c r="AP178" s="251">
        <f ca="1">INT((TODAY()-BDD[[#This Row],[FECHA NAC]])/365)</f>
        <v>30</v>
      </c>
      <c r="AQ178" s="251">
        <v>0</v>
      </c>
      <c r="AR178" s="251">
        <f ca="1">IF(BDD[[#This Row],[ANTIG]]=0,0,1)</f>
        <v>1</v>
      </c>
      <c r="AS178" s="251"/>
      <c r="AT178" s="251"/>
      <c r="AU178" s="251"/>
      <c r="AV178" s="251"/>
      <c r="AW178" s="251"/>
      <c r="AX178" s="251"/>
      <c r="AY178" s="251"/>
      <c r="AZ178" s="251">
        <f t="shared" ca="1" si="8"/>
        <v>757</v>
      </c>
    </row>
    <row r="179" spans="2:52" ht="15" customHeight="1" x14ac:dyDescent="0.25">
      <c r="B179" s="243">
        <v>306</v>
      </c>
      <c r="C179" s="259" t="s">
        <v>636</v>
      </c>
      <c r="D179" s="263">
        <v>7445</v>
      </c>
      <c r="E179" s="252">
        <f>(BDD[[#This Row],[SUE MENS]]/30)</f>
        <v>248.16666666666666</v>
      </c>
      <c r="F179" s="252">
        <f>BDD[[#This Row],[SUE MENS]]/2</f>
        <v>3722.5</v>
      </c>
      <c r="G179" s="319">
        <v>42067</v>
      </c>
      <c r="H179" s="243">
        <f ca="1">INT(_xlfn.DAYS(TODAY(),BDD[[#This Row],[FECHA ING.]])/365)</f>
        <v>7</v>
      </c>
      <c r="I179" s="251" t="str">
        <f>VLOOKUP(J179,TABLAS!$B$3:$G$49,2,FALSE)</f>
        <v>CONTABILIDAD</v>
      </c>
      <c r="J179" s="198" t="s">
        <v>737</v>
      </c>
      <c r="K179" s="251" t="s">
        <v>778</v>
      </c>
      <c r="L179" s="251" t="s">
        <v>763</v>
      </c>
      <c r="M179" s="251"/>
      <c r="N179" s="244" t="s">
        <v>1845</v>
      </c>
      <c r="O179" s="251" t="str">
        <f>IFERROR(VLOOKUP(BDD[[#This Row],[SUBDPTO]],TABLAS!$B$4:$D$36,3,0)," ")</f>
        <v>IRIE DALÍ ANTARES CORTÉS</v>
      </c>
      <c r="P179" s="258"/>
      <c r="Q179" s="264"/>
      <c r="R179" s="244"/>
      <c r="S179" s="251"/>
      <c r="T179" s="251" t="s">
        <v>811</v>
      </c>
      <c r="U179" s="243">
        <f ca="1">VLOOKUP(BDD[[#This Row],[ANTIG]],DIASXANT18[#All],2)</f>
        <v>16</v>
      </c>
      <c r="V179" s="256">
        <f t="shared" si="10"/>
        <v>0.5</v>
      </c>
      <c r="W179" s="243">
        <f ca="1">BDD[[#This Row],[D.VAC.]]*BDD[[#This Row],[% P.V.]]</f>
        <v>8</v>
      </c>
      <c r="X179" s="243">
        <v>30</v>
      </c>
      <c r="Y179" s="257">
        <f ca="1">(365+BDD[[#This Row],[D.PAG.V.]]+BDD[[#This Row],[D.AG.]])/365</f>
        <v>1.1041095890410959</v>
      </c>
      <c r="Z179" s="243">
        <f ca="1">BDD[[#This Row],[SUE DIA]]*BDD[[#This Row],[FACTOR SDI]]</f>
        <v>274.00319634703197</v>
      </c>
      <c r="AA179" s="243">
        <f>BDD[[#This Row],[SUE DIA]]/9</f>
        <v>27.574074074074073</v>
      </c>
      <c r="AB179" s="251">
        <v>29683</v>
      </c>
      <c r="AC179" s="251" t="s">
        <v>1001</v>
      </c>
      <c r="AD179" s="251" t="s">
        <v>786</v>
      </c>
      <c r="AE179" s="260">
        <v>8108727729</v>
      </c>
      <c r="AF179" s="251" t="s">
        <v>1477</v>
      </c>
      <c r="AG179" s="251" t="s">
        <v>776</v>
      </c>
      <c r="AH179" s="251" t="s">
        <v>730</v>
      </c>
      <c r="AI179" s="243" t="s">
        <v>151</v>
      </c>
      <c r="AJ179" s="258" cm="1">
        <f t="array" aca="1" ref="AJ179" ca="1">DATE(YEAR(FECH.CONS[FECHA DE CONSULTA:]),MONTH(BDD[[#This Row],[FECHA NAC]]),DAY(BDD[[#This Row],[FECHA NAC]]))</f>
        <v>44658</v>
      </c>
      <c r="AK179" s="243">
        <v>4</v>
      </c>
      <c r="AL179" s="261" t="s">
        <v>311</v>
      </c>
      <c r="AM179" s="251" t="s">
        <v>1548</v>
      </c>
      <c r="AN179" s="251" t="s">
        <v>1551</v>
      </c>
      <c r="AO179" s="245">
        <v>75</v>
      </c>
      <c r="AP179" s="251">
        <f ca="1">INT((TODAY()-BDD[[#This Row],[FECHA NAC]])/365)</f>
        <v>41</v>
      </c>
      <c r="AQ179" s="251">
        <v>3</v>
      </c>
      <c r="AR179" s="251">
        <f ca="1">IF(BDD[[#This Row],[ANTIG]]=0,0,1)</f>
        <v>1</v>
      </c>
      <c r="AS179" s="251"/>
      <c r="AT179" s="251"/>
      <c r="AU179" s="251"/>
      <c r="AV179" s="251"/>
      <c r="AW179" s="251"/>
      <c r="AX179" s="251"/>
      <c r="AY179" s="251"/>
      <c r="AZ179" s="251">
        <f t="shared" ca="1" si="8"/>
        <v>596</v>
      </c>
    </row>
    <row r="180" spans="2:52" ht="15" customHeight="1" x14ac:dyDescent="0.25">
      <c r="B180" s="243">
        <v>307</v>
      </c>
      <c r="C180" s="262" t="s">
        <v>1656</v>
      </c>
      <c r="D180" s="263">
        <v>7445</v>
      </c>
      <c r="E180" s="252">
        <f>(BDD[[#This Row],[SUE MENS]]/30)</f>
        <v>248.16666666666666</v>
      </c>
      <c r="F180" s="252">
        <f>BDD[[#This Row],[SUE MENS]]/2</f>
        <v>3722.5</v>
      </c>
      <c r="G180" s="319">
        <v>42069</v>
      </c>
      <c r="H180" s="243">
        <f ca="1">INT(_xlfn.DAYS(TODAY(),BDD[[#This Row],[FECHA ING.]])/365)</f>
        <v>7</v>
      </c>
      <c r="I180" s="251" t="str">
        <f>VLOOKUP(J180,TABLAS!$B$3:$G$49,2,FALSE)</f>
        <v>FINANZAS</v>
      </c>
      <c r="J180" s="198" t="s">
        <v>747</v>
      </c>
      <c r="K180" s="251" t="s">
        <v>778</v>
      </c>
      <c r="L180" s="251" t="s">
        <v>763</v>
      </c>
      <c r="M180" s="251"/>
      <c r="N180" s="253" t="s">
        <v>1751</v>
      </c>
      <c r="O180" s="251" t="str">
        <f>IFERROR(VLOOKUP(BDD[[#This Row],[SUBDPTO]],TABLAS!$B$4:$D$36,3,0)," ")</f>
        <v>MARIANO ALDEBARÁN</v>
      </c>
      <c r="P180" s="258"/>
      <c r="Q180" s="264"/>
      <c r="R180" s="244"/>
      <c r="S180" s="251"/>
      <c r="T180" s="251" t="s">
        <v>301</v>
      </c>
      <c r="U180" s="243">
        <f ca="1">VLOOKUP(BDD[[#This Row],[ANTIG]],DIASXANT18[#All],2)</f>
        <v>16</v>
      </c>
      <c r="V180" s="256">
        <f t="shared" si="10"/>
        <v>0.5</v>
      </c>
      <c r="W180" s="243">
        <f ca="1">BDD[[#This Row],[D.VAC.]]*BDD[[#This Row],[% P.V.]]</f>
        <v>8</v>
      </c>
      <c r="X180" s="243">
        <v>30</v>
      </c>
      <c r="Y180" s="257">
        <f ca="1">(365+BDD[[#This Row],[D.PAG.V.]]+BDD[[#This Row],[D.AG.]])/365</f>
        <v>1.1041095890410959</v>
      </c>
      <c r="Z180" s="243">
        <f ca="1">BDD[[#This Row],[SUE DIA]]*BDD[[#This Row],[FACTOR SDI]]</f>
        <v>274.00319634703197</v>
      </c>
      <c r="AA180" s="243">
        <f>BDD[[#This Row],[SUE DIA]]/9</f>
        <v>27.574074074074073</v>
      </c>
      <c r="AB180" s="262">
        <v>35665</v>
      </c>
      <c r="AC180" s="251" t="s">
        <v>1026</v>
      </c>
      <c r="AD180" s="251" t="s">
        <v>792</v>
      </c>
      <c r="AE180" s="252">
        <v>8491086086</v>
      </c>
      <c r="AF180" s="251" t="s">
        <v>1303</v>
      </c>
      <c r="AG180" s="251" t="s">
        <v>776</v>
      </c>
      <c r="AH180" s="251" t="s">
        <v>727</v>
      </c>
      <c r="AI180" s="243" t="s">
        <v>151</v>
      </c>
      <c r="AJ180" s="258" cm="1">
        <f t="array" aca="1" ref="AJ180" ca="1">DATE(YEAR(FECH.CONS[FECHA DE CONSULTA:]),MONTH(BDD[[#This Row],[FECHA NAC]]),DAY(BDD[[#This Row],[FECHA NAC]]))</f>
        <v>44796</v>
      </c>
      <c r="AK180" s="243"/>
      <c r="AL180" s="261" t="s">
        <v>312</v>
      </c>
      <c r="AM180" s="251" t="s">
        <v>1535</v>
      </c>
      <c r="AN180" s="251" t="s">
        <v>1543</v>
      </c>
      <c r="AO180" s="243">
        <v>96</v>
      </c>
      <c r="AP180" s="251">
        <f ca="1">INT((TODAY()-BDD[[#This Row],[FECHA NAC]])/365)</f>
        <v>24</v>
      </c>
      <c r="AQ180" s="251">
        <v>1</v>
      </c>
      <c r="AR180" s="251">
        <f ca="1">IF(BDD[[#This Row],[ANTIG]]=0,0,1)</f>
        <v>1</v>
      </c>
      <c r="AS180" s="251"/>
      <c r="AT180" s="251"/>
      <c r="AU180" s="251"/>
      <c r="AV180" s="251"/>
      <c r="AW180" s="251"/>
      <c r="AX180" s="251"/>
      <c r="AY180" s="251"/>
      <c r="AZ180" s="251">
        <f t="shared" ca="1" si="8"/>
        <v>939</v>
      </c>
    </row>
    <row r="181" spans="2:52" ht="15" customHeight="1" x14ac:dyDescent="0.25">
      <c r="B181" s="243">
        <v>310</v>
      </c>
      <c r="C181" s="262" t="s">
        <v>352</v>
      </c>
      <c r="D181" s="252">
        <v>7950</v>
      </c>
      <c r="E181" s="252">
        <f>(BDD[[#This Row],[SUE MENS]]/30)</f>
        <v>265</v>
      </c>
      <c r="F181" s="252">
        <f>BDD[[#This Row],[SUE MENS]]/2</f>
        <v>3975</v>
      </c>
      <c r="G181" s="319">
        <v>42071</v>
      </c>
      <c r="H181" s="243">
        <f ca="1">INT(_xlfn.DAYS(TODAY(),BDD[[#This Row],[FECHA ING.]])/365)</f>
        <v>7</v>
      </c>
      <c r="I181" s="251" t="str">
        <f>VLOOKUP(J181,TABLAS!$B$3:$G$49,2,FALSE)</f>
        <v>AUDITORÍA</v>
      </c>
      <c r="J181" s="198" t="s">
        <v>736</v>
      </c>
      <c r="K181" s="251" t="s">
        <v>778</v>
      </c>
      <c r="L181" s="251" t="s">
        <v>763</v>
      </c>
      <c r="M181" s="251"/>
      <c r="N181" s="244" t="s">
        <v>1965</v>
      </c>
      <c r="O181" s="251" t="str">
        <f>IFERROR(VLOOKUP(BDD[[#This Row],[SUBDPTO]],TABLAS!$B$4:$D$36,3,0)," ")</f>
        <v>MARCO AURELIO URBINO</v>
      </c>
      <c r="P181" s="258">
        <v>43460</v>
      </c>
      <c r="Q181" s="254">
        <v>5956</v>
      </c>
      <c r="R181" s="255" t="s">
        <v>745</v>
      </c>
      <c r="S181" s="251"/>
      <c r="T181" s="251" t="s">
        <v>811</v>
      </c>
      <c r="U181" s="243">
        <f ca="1">VLOOKUP(BDD[[#This Row],[ANTIG]],DIASXANT18[#All],2)</f>
        <v>16</v>
      </c>
      <c r="V181" s="256">
        <f t="shared" si="10"/>
        <v>0.5</v>
      </c>
      <c r="W181" s="243">
        <f ca="1">BDD[[#This Row],[D.VAC.]]*BDD[[#This Row],[% P.V.]]</f>
        <v>8</v>
      </c>
      <c r="X181" s="243">
        <v>30</v>
      </c>
      <c r="Y181" s="257">
        <f ca="1">(365+BDD[[#This Row],[D.PAG.V.]]+BDD[[#This Row],[D.AG.]])/365</f>
        <v>1.1041095890410959</v>
      </c>
      <c r="Z181" s="243">
        <f ca="1">BDD[[#This Row],[SUE DIA]]*BDD[[#This Row],[FACTOR SDI]]</f>
        <v>292.58904109589042</v>
      </c>
      <c r="AA181" s="243">
        <f>BDD[[#This Row],[SUE DIA]]/9</f>
        <v>29.444444444444443</v>
      </c>
      <c r="AB181" s="262">
        <v>33641</v>
      </c>
      <c r="AC181" s="251" t="s">
        <v>1031</v>
      </c>
      <c r="AD181" s="251" t="s">
        <v>809</v>
      </c>
      <c r="AE181" s="252">
        <v>8390062615</v>
      </c>
      <c r="AF181" s="251" t="s">
        <v>1326</v>
      </c>
      <c r="AG181" s="251" t="s">
        <v>776</v>
      </c>
      <c r="AH181" s="251" t="s">
        <v>1555</v>
      </c>
      <c r="AI181" s="243" t="s">
        <v>153</v>
      </c>
      <c r="AJ181" s="258" cm="1">
        <f t="array" aca="1" ref="AJ181" ca="1">DATE(YEAR(FECH.CONS[FECHA DE CONSULTA:]),MONTH(BDD[[#This Row],[FECHA NAC]]),DAY(BDD[[#This Row],[FECHA NAC]]))</f>
        <v>44599</v>
      </c>
      <c r="AK181" s="243"/>
      <c r="AL181" s="261" t="s">
        <v>311</v>
      </c>
      <c r="AM181" s="251" t="s">
        <v>1537</v>
      </c>
      <c r="AN181" s="251" t="s">
        <v>1551</v>
      </c>
      <c r="AO181" s="245">
        <v>95</v>
      </c>
      <c r="AP181" s="251">
        <f ca="1">INT((TODAY()-BDD[[#This Row],[FECHA NAC]])/365)</f>
        <v>30</v>
      </c>
      <c r="AQ181" s="251">
        <v>0</v>
      </c>
      <c r="AR181" s="251">
        <f ca="1">IF(BDD[[#This Row],[ANTIG]]=0,0,1)</f>
        <v>1</v>
      </c>
      <c r="AS181" s="251"/>
      <c r="AT181" s="251"/>
      <c r="AU181" s="251"/>
      <c r="AV181" s="251"/>
      <c r="AW181" s="251"/>
      <c r="AX181" s="251"/>
      <c r="AY181" s="251"/>
      <c r="AZ181" s="251">
        <f t="shared" ca="1" si="8"/>
        <v>882</v>
      </c>
    </row>
    <row r="182" spans="2:52" ht="15" customHeight="1" x14ac:dyDescent="0.25">
      <c r="B182" s="243">
        <v>311</v>
      </c>
      <c r="C182" s="259" t="s">
        <v>594</v>
      </c>
      <c r="D182" s="252">
        <v>7445</v>
      </c>
      <c r="E182" s="252">
        <f>(BDD[[#This Row],[SUE MENS]]/30)</f>
        <v>248.16666666666666</v>
      </c>
      <c r="F182" s="252">
        <f>BDD[[#This Row],[SUE MENS]]/2</f>
        <v>3722.5</v>
      </c>
      <c r="G182" s="319">
        <v>42082</v>
      </c>
      <c r="H182" s="243">
        <f ca="1">INT(_xlfn.DAYS(TODAY(),BDD[[#This Row],[FECHA ING.]])/365)</f>
        <v>7</v>
      </c>
      <c r="I182" s="251" t="str">
        <f>VLOOKUP(J182,TABLAS!$B$3:$G$49,2,FALSE)</f>
        <v>CONTRATOS</v>
      </c>
      <c r="J182" s="198" t="s">
        <v>738</v>
      </c>
      <c r="K182" s="251" t="s">
        <v>778</v>
      </c>
      <c r="L182" s="251" t="s">
        <v>763</v>
      </c>
      <c r="M182" s="251"/>
      <c r="N182" s="253" t="s">
        <v>2052</v>
      </c>
      <c r="O182" s="251" t="str">
        <f>IFERROR(VLOOKUP(BDD[[#This Row],[SUBDPTO]],TABLAS!$B$4:$D$36,3,0)," ")</f>
        <v>IDALIA GARCÍA ESCRIVÁ</v>
      </c>
      <c r="P182" s="258"/>
      <c r="Q182" s="264"/>
      <c r="R182" s="244"/>
      <c r="S182" s="251"/>
      <c r="T182" s="251" t="s">
        <v>301</v>
      </c>
      <c r="U182" s="243">
        <f ca="1">VLOOKUP(BDD[[#This Row],[ANTIG]],DIASXANT18[#All],2)</f>
        <v>16</v>
      </c>
      <c r="V182" s="256">
        <f t="shared" si="10"/>
        <v>0.5</v>
      </c>
      <c r="W182" s="243">
        <f ca="1">BDD[[#This Row],[D.VAC.]]*BDD[[#This Row],[% P.V.]]</f>
        <v>8</v>
      </c>
      <c r="X182" s="243">
        <v>30</v>
      </c>
      <c r="Y182" s="257">
        <f ca="1">(365+BDD[[#This Row],[D.PAG.V.]]+BDD[[#This Row],[D.AG.]])/365</f>
        <v>1.1041095890410959</v>
      </c>
      <c r="Z182" s="243">
        <f ca="1">BDD[[#This Row],[SUE DIA]]*BDD[[#This Row],[FACTOR SDI]]</f>
        <v>274.00319634703197</v>
      </c>
      <c r="AA182" s="243">
        <f>BDD[[#This Row],[SUE DIA]]/9</f>
        <v>27.574074074074073</v>
      </c>
      <c r="AB182" s="251">
        <v>28615</v>
      </c>
      <c r="AC182" s="251" t="s">
        <v>991</v>
      </c>
      <c r="AD182" s="251" t="s">
        <v>787</v>
      </c>
      <c r="AE182" s="260">
        <v>8108406075</v>
      </c>
      <c r="AF182" s="251" t="s">
        <v>1453</v>
      </c>
      <c r="AG182" s="251" t="s">
        <v>776</v>
      </c>
      <c r="AH182" s="251" t="s">
        <v>730</v>
      </c>
      <c r="AI182" s="243" t="s">
        <v>151</v>
      </c>
      <c r="AJ182" s="258" cm="1">
        <f t="array" aca="1" ref="AJ182" ca="1">DATE(YEAR(FECH.CONS[FECHA DE CONSULTA:]),MONTH(BDD[[#This Row],[FECHA NAC]]),DAY(BDD[[#This Row],[FECHA NAC]]))</f>
        <v>44686</v>
      </c>
      <c r="AK182" s="243">
        <v>6</v>
      </c>
      <c r="AL182" s="261" t="s">
        <v>312</v>
      </c>
      <c r="AM182" s="251" t="s">
        <v>1544</v>
      </c>
      <c r="AN182" s="251" t="s">
        <v>1551</v>
      </c>
      <c r="AO182" s="245">
        <v>71</v>
      </c>
      <c r="AP182" s="251">
        <f ca="1">INT((TODAY()-BDD[[#This Row],[FECHA NAC]])/365)</f>
        <v>44</v>
      </c>
      <c r="AQ182" s="251">
        <v>2</v>
      </c>
      <c r="AR182" s="251">
        <f ca="1">IF(BDD[[#This Row],[ANTIG]]=0,0,1)</f>
        <v>1</v>
      </c>
      <c r="AS182" s="251"/>
      <c r="AT182" s="251"/>
      <c r="AU182" s="251"/>
      <c r="AV182" s="251"/>
      <c r="AW182" s="251"/>
      <c r="AX182" s="251"/>
      <c r="AY182" s="251"/>
      <c r="AZ182" s="251">
        <f t="shared" ca="1" si="8"/>
        <v>935</v>
      </c>
    </row>
    <row r="183" spans="2:52" ht="15" customHeight="1" x14ac:dyDescent="0.25">
      <c r="B183" s="243">
        <v>312</v>
      </c>
      <c r="C183" s="262" t="s">
        <v>353</v>
      </c>
      <c r="D183" s="252">
        <v>9541</v>
      </c>
      <c r="E183" s="252">
        <f>(BDD[[#This Row],[SUE MENS]]/30)</f>
        <v>318.03333333333336</v>
      </c>
      <c r="F183" s="252">
        <f>BDD[[#This Row],[SUE MENS]]/2</f>
        <v>4770.5</v>
      </c>
      <c r="G183" s="319">
        <v>42102</v>
      </c>
      <c r="H183" s="243">
        <f ca="1">INT(_xlfn.DAYS(TODAY(),BDD[[#This Row],[FECHA ING.]])/365)</f>
        <v>7</v>
      </c>
      <c r="I183" s="251" t="str">
        <f>VLOOKUP(J183,TABLAS!$B$3:$G$49,2,FALSE)</f>
        <v>AUDITORÍA</v>
      </c>
      <c r="J183" s="198" t="s">
        <v>736</v>
      </c>
      <c r="K183" s="251" t="s">
        <v>778</v>
      </c>
      <c r="L183" s="251" t="s">
        <v>763</v>
      </c>
      <c r="M183" s="251"/>
      <c r="N183" s="244" t="s">
        <v>2178</v>
      </c>
      <c r="O183" s="251" t="str">
        <f>IFERROR(VLOOKUP(BDD[[#This Row],[SUBDPTO]],TABLAS!$B$4:$D$36,3,0)," ")</f>
        <v>MARCO AURELIO URBINO</v>
      </c>
      <c r="P183" s="258">
        <v>42558</v>
      </c>
      <c r="Q183" s="254">
        <v>6158.4000000000005</v>
      </c>
      <c r="R183" s="255" t="s">
        <v>737</v>
      </c>
      <c r="S183" s="255" t="s">
        <v>743</v>
      </c>
      <c r="T183" s="251" t="s">
        <v>811</v>
      </c>
      <c r="U183" s="243">
        <f ca="1">VLOOKUP(BDD[[#This Row],[ANTIG]],DIASXANT18[#All],2)</f>
        <v>16</v>
      </c>
      <c r="V183" s="256">
        <f t="shared" si="10"/>
        <v>0.5</v>
      </c>
      <c r="W183" s="243">
        <f ca="1">BDD[[#This Row],[D.VAC.]]*BDD[[#This Row],[% P.V.]]</f>
        <v>8</v>
      </c>
      <c r="X183" s="243">
        <v>30</v>
      </c>
      <c r="Y183" s="257">
        <f ca="1">(365+BDD[[#This Row],[D.PAG.V.]]+BDD[[#This Row],[D.AG.]])/365</f>
        <v>1.1041095890410959</v>
      </c>
      <c r="Z183" s="243">
        <f ca="1">BDD[[#This Row],[SUE DIA]]*BDD[[#This Row],[FACTOR SDI]]</f>
        <v>351.14365296803658</v>
      </c>
      <c r="AA183" s="243">
        <f>BDD[[#This Row],[SUE DIA]]/9</f>
        <v>35.337037037037042</v>
      </c>
      <c r="AB183" s="262">
        <v>34594</v>
      </c>
      <c r="AC183" s="251" t="s">
        <v>879</v>
      </c>
      <c r="AD183" s="251" t="s">
        <v>791</v>
      </c>
      <c r="AE183" s="252">
        <v>8477447997</v>
      </c>
      <c r="AF183" s="251" t="s">
        <v>1327</v>
      </c>
      <c r="AG183" s="251" t="s">
        <v>776</v>
      </c>
      <c r="AH183" s="251" t="s">
        <v>1555</v>
      </c>
      <c r="AI183" s="243" t="s">
        <v>151</v>
      </c>
      <c r="AJ183" s="258" cm="1">
        <f t="array" aca="1" ref="AJ183" ca="1">DATE(YEAR(FECH.CONS[FECHA DE CONSULTA:]),MONTH(BDD[[#This Row],[FECHA NAC]]),DAY(BDD[[#This Row],[FECHA NAC]]))</f>
        <v>44821</v>
      </c>
      <c r="AK183" s="243"/>
      <c r="AL183" s="251" t="s">
        <v>311</v>
      </c>
      <c r="AM183" s="251" t="s">
        <v>1537</v>
      </c>
      <c r="AN183" s="251" t="s">
        <v>1551</v>
      </c>
      <c r="AO183" s="245">
        <v>87</v>
      </c>
      <c r="AP183" s="251">
        <f ca="1">INT((TODAY()-BDD[[#This Row],[FECHA NAC]])/365)</f>
        <v>27</v>
      </c>
      <c r="AQ183" s="251">
        <v>0</v>
      </c>
      <c r="AR183" s="251">
        <f ca="1">IF(BDD[[#This Row],[ANTIG]]=0,0,1)</f>
        <v>1</v>
      </c>
      <c r="AS183" s="251"/>
      <c r="AT183" s="251"/>
      <c r="AU183" s="251"/>
      <c r="AV183" s="251"/>
      <c r="AW183" s="251"/>
      <c r="AX183" s="251"/>
      <c r="AY183" s="251"/>
      <c r="AZ183" s="251">
        <f t="shared" ca="1" si="8"/>
        <v>157</v>
      </c>
    </row>
    <row r="184" spans="2:52" ht="15" customHeight="1" x14ac:dyDescent="0.25">
      <c r="B184" s="243">
        <v>313</v>
      </c>
      <c r="C184" s="251" t="s">
        <v>239</v>
      </c>
      <c r="D184" s="252">
        <v>9450</v>
      </c>
      <c r="E184" s="252">
        <f>(BDD[[#This Row],[SUE MENS]]/30)</f>
        <v>315</v>
      </c>
      <c r="F184" s="252">
        <f>BDD[[#This Row],[SUE MENS]]/2</f>
        <v>4725</v>
      </c>
      <c r="G184" s="320">
        <v>42103</v>
      </c>
      <c r="H184" s="243">
        <f ca="1">INT(_xlfn.DAYS(TODAY(),BDD[[#This Row],[FECHA ING.]])/365)</f>
        <v>7</v>
      </c>
      <c r="I184" s="251" t="str">
        <f>VLOOKUP(J184,TABLAS!$B$3:$G$49,2,FALSE)</f>
        <v>TECNOLOGÍA</v>
      </c>
      <c r="J184" s="198" t="s">
        <v>750</v>
      </c>
      <c r="K184" s="251" t="s">
        <v>778</v>
      </c>
      <c r="L184" s="251" t="s">
        <v>763</v>
      </c>
      <c r="M184" s="251"/>
      <c r="N184" s="244" t="s">
        <v>2046</v>
      </c>
      <c r="O184" s="251" t="str">
        <f>IFERROR(VLOOKUP(BDD[[#This Row],[SUBDPTO]],TABLAS!$B$4:$D$36,3,0)," ")</f>
        <v>DENEB SANTIAGO ALTAIR VEGA</v>
      </c>
      <c r="P184" s="258"/>
      <c r="Q184" s="264"/>
      <c r="R184" s="244"/>
      <c r="S184" s="251"/>
      <c r="T184" s="251" t="s">
        <v>811</v>
      </c>
      <c r="U184" s="243">
        <f ca="1">VLOOKUP(BDD[[#This Row],[ANTIG]],DIASXANT18[#All],2)</f>
        <v>16</v>
      </c>
      <c r="V184" s="256">
        <f t="shared" si="10"/>
        <v>0.5</v>
      </c>
      <c r="W184" s="243">
        <f ca="1">BDD[[#This Row],[D.VAC.]]*BDD[[#This Row],[% P.V.]]</f>
        <v>8</v>
      </c>
      <c r="X184" s="243">
        <v>30</v>
      </c>
      <c r="Y184" s="257">
        <f ca="1">(365+BDD[[#This Row],[D.PAG.V.]]+BDD[[#This Row],[D.AG.]])/365</f>
        <v>1.1041095890410959</v>
      </c>
      <c r="Z184" s="243">
        <f ca="1">BDD[[#This Row],[SUE DIA]]*BDD[[#This Row],[FACTOR SDI]]</f>
        <v>347.79452054794518</v>
      </c>
      <c r="AA184" s="243">
        <f>BDD[[#This Row],[SUE DIA]]/9</f>
        <v>35</v>
      </c>
      <c r="AB184" s="251">
        <v>32172</v>
      </c>
      <c r="AC184" s="251" t="s">
        <v>966</v>
      </c>
      <c r="AD184" s="251" t="s">
        <v>791</v>
      </c>
      <c r="AE184" s="252">
        <v>8864367266</v>
      </c>
      <c r="AF184" s="251" t="s">
        <v>1265</v>
      </c>
      <c r="AG184" s="251" t="s">
        <v>776</v>
      </c>
      <c r="AH184" s="251" t="s">
        <v>730</v>
      </c>
      <c r="AI184" s="243" t="s">
        <v>152</v>
      </c>
      <c r="AJ184" s="258" cm="1">
        <f t="array" aca="1" ref="AJ184" ca="1">DATE(YEAR(FECH.CONS[FECHA DE CONSULTA:]),MONTH(BDD[[#This Row],[FECHA NAC]]),DAY(BDD[[#This Row],[FECHA NAC]]))</f>
        <v>44591</v>
      </c>
      <c r="AK184" s="243">
        <v>7</v>
      </c>
      <c r="AL184" s="261" t="s">
        <v>313</v>
      </c>
      <c r="AM184" s="251" t="s">
        <v>1536</v>
      </c>
      <c r="AN184" s="251" t="s">
        <v>1551</v>
      </c>
      <c r="AO184" s="245">
        <v>84</v>
      </c>
      <c r="AP184" s="251">
        <f ca="1">INT((TODAY()-BDD[[#This Row],[FECHA NAC]])/365)</f>
        <v>34</v>
      </c>
      <c r="AQ184" s="251">
        <v>2</v>
      </c>
      <c r="AR184" s="251">
        <f ca="1">IF(BDD[[#This Row],[ANTIG]]=0,0,1)</f>
        <v>1</v>
      </c>
      <c r="AS184" s="251"/>
      <c r="AT184" s="251"/>
      <c r="AU184" s="251"/>
      <c r="AV184" s="251"/>
      <c r="AW184" s="251"/>
      <c r="AX184" s="251"/>
      <c r="AY184" s="251"/>
      <c r="AZ184" s="251">
        <f t="shared" ca="1" si="8"/>
        <v>777</v>
      </c>
    </row>
    <row r="185" spans="2:52" ht="15" customHeight="1" x14ac:dyDescent="0.25">
      <c r="B185" s="243">
        <v>314</v>
      </c>
      <c r="C185" s="259" t="s">
        <v>1645</v>
      </c>
      <c r="D185" s="263">
        <v>7445</v>
      </c>
      <c r="E185" s="252">
        <f>(BDD[[#This Row],[SUE MENS]]/30)</f>
        <v>248.16666666666666</v>
      </c>
      <c r="F185" s="252">
        <f>BDD[[#This Row],[SUE MENS]]/2</f>
        <v>3722.5</v>
      </c>
      <c r="G185" s="319">
        <v>42106</v>
      </c>
      <c r="H185" s="243">
        <f ca="1">INT(_xlfn.DAYS(TODAY(),BDD[[#This Row],[FECHA ING.]])/365)</f>
        <v>7</v>
      </c>
      <c r="I185" s="251" t="str">
        <f>VLOOKUP(J185,TABLAS!$B$3:$G$49,2,FALSE)</f>
        <v>CONTRATOS</v>
      </c>
      <c r="J185" s="198" t="s">
        <v>738</v>
      </c>
      <c r="K185" s="251" t="s">
        <v>778</v>
      </c>
      <c r="L185" s="251" t="s">
        <v>763</v>
      </c>
      <c r="M185" s="251"/>
      <c r="N185" s="277" t="s">
        <v>2089</v>
      </c>
      <c r="O185" s="251" t="str">
        <f>IFERROR(VLOOKUP(BDD[[#This Row],[SUBDPTO]],TABLAS!$B$4:$D$36,3,0)," ")</f>
        <v>IDALIA GARCÍA ESCRIVÁ</v>
      </c>
      <c r="P185" s="258">
        <v>43721</v>
      </c>
      <c r="Q185" s="254">
        <v>5088</v>
      </c>
      <c r="R185" s="255" t="s">
        <v>750</v>
      </c>
      <c r="S185" s="251"/>
      <c r="T185" s="251" t="s">
        <v>811</v>
      </c>
      <c r="U185" s="243">
        <f ca="1">VLOOKUP(BDD[[#This Row],[ANTIG]],DIASXANT18[#All],2)</f>
        <v>16</v>
      </c>
      <c r="V185" s="256">
        <f t="shared" si="10"/>
        <v>0.5</v>
      </c>
      <c r="W185" s="243">
        <f ca="1">BDD[[#This Row],[D.VAC.]]*BDD[[#This Row],[% P.V.]]</f>
        <v>8</v>
      </c>
      <c r="X185" s="243">
        <v>30</v>
      </c>
      <c r="Y185" s="257">
        <f ca="1">(365+BDD[[#This Row],[D.PAG.V.]]+BDD[[#This Row],[D.AG.]])/365</f>
        <v>1.1041095890410959</v>
      </c>
      <c r="Z185" s="243">
        <f ca="1">BDD[[#This Row],[SUE DIA]]*BDD[[#This Row],[FACTOR SDI]]</f>
        <v>274.00319634703197</v>
      </c>
      <c r="AA185" s="243">
        <f>BDD[[#This Row],[SUE DIA]]/9</f>
        <v>27.574074074074073</v>
      </c>
      <c r="AB185" s="251">
        <v>34153</v>
      </c>
      <c r="AC185" s="251" t="s">
        <v>895</v>
      </c>
      <c r="AD185" s="251" t="s">
        <v>809</v>
      </c>
      <c r="AE185" s="260">
        <v>6054062947</v>
      </c>
      <c r="AF185" s="251" t="s">
        <v>1354</v>
      </c>
      <c r="AG185" s="251" t="s">
        <v>776</v>
      </c>
      <c r="AH185" s="251" t="s">
        <v>1555</v>
      </c>
      <c r="AI185" s="243" t="s">
        <v>151</v>
      </c>
      <c r="AJ185" s="258" cm="1">
        <f t="array" aca="1" ref="AJ185" ca="1">DATE(YEAR(FECH.CONS[FECHA DE CONSULTA:]),MONTH(BDD[[#This Row],[FECHA NAC]]),DAY(BDD[[#This Row],[FECHA NAC]]))</f>
        <v>44745</v>
      </c>
      <c r="AK185" s="243"/>
      <c r="AL185" s="261" t="s">
        <v>311</v>
      </c>
      <c r="AM185" s="251" t="s">
        <v>1548</v>
      </c>
      <c r="AN185" s="251" t="s">
        <v>1551</v>
      </c>
      <c r="AO185" s="245">
        <v>56</v>
      </c>
      <c r="AP185" s="251">
        <f ca="1">INT((TODAY()-BDD[[#This Row],[FECHA NAC]])/365)</f>
        <v>29</v>
      </c>
      <c r="AQ185" s="251">
        <v>0</v>
      </c>
      <c r="AR185" s="251">
        <f ca="1">IF(BDD[[#This Row],[ANTIG]]=0,0,1)</f>
        <v>1</v>
      </c>
      <c r="AS185" s="251"/>
      <c r="AT185" s="251"/>
      <c r="AU185" s="251"/>
      <c r="AV185" s="251"/>
      <c r="AW185" s="251"/>
      <c r="AX185" s="251"/>
      <c r="AY185" s="251"/>
      <c r="AZ185" s="251">
        <f t="shared" ca="1" si="8"/>
        <v>389</v>
      </c>
    </row>
    <row r="186" spans="2:52" ht="15" customHeight="1" x14ac:dyDescent="0.25">
      <c r="B186" s="243">
        <v>315</v>
      </c>
      <c r="C186" s="259" t="s">
        <v>830</v>
      </c>
      <c r="D186" s="252">
        <v>10860</v>
      </c>
      <c r="E186" s="252">
        <f>(BDD[[#This Row],[SUE MENS]]/30)</f>
        <v>362</v>
      </c>
      <c r="F186" s="252">
        <f>BDD[[#This Row],[SUE MENS]]/2</f>
        <v>5430</v>
      </c>
      <c r="G186" s="319">
        <v>42106</v>
      </c>
      <c r="H186" s="243">
        <f ca="1">INT(_xlfn.DAYS(TODAY(),BDD[[#This Row],[FECHA ING.]])/365)</f>
        <v>7</v>
      </c>
      <c r="I186" s="251" t="str">
        <f>VLOOKUP(J186,TABLAS!$B$3:$G$49,2,FALSE)</f>
        <v>DIRECCIÓN</v>
      </c>
      <c r="J186" s="198" t="s">
        <v>745</v>
      </c>
      <c r="K186" s="251" t="s">
        <v>778</v>
      </c>
      <c r="L186" s="251" t="s">
        <v>763</v>
      </c>
      <c r="M186" s="251"/>
      <c r="N186" s="244" t="s">
        <v>2208</v>
      </c>
      <c r="O186" s="251" t="str">
        <f>IFERROR(VLOOKUP(BDD[[#This Row],[SUBDPTO]],TABLAS!$B$4:$D$36,3,0)," ")</f>
        <v>MARIANA RODRÍGUEZ GUTIERREZ</v>
      </c>
      <c r="P186" s="258">
        <v>41338</v>
      </c>
      <c r="Q186" s="254">
        <v>30000</v>
      </c>
      <c r="R186" s="255" t="s">
        <v>747</v>
      </c>
      <c r="S186" s="255" t="s">
        <v>741</v>
      </c>
      <c r="T186" s="251" t="s">
        <v>811</v>
      </c>
      <c r="U186" s="243">
        <f ca="1">VLOOKUP(BDD[[#This Row],[ANTIG]],DIASXANT18[#All],2)</f>
        <v>16</v>
      </c>
      <c r="V186" s="256">
        <f t="shared" si="10"/>
        <v>0.5</v>
      </c>
      <c r="W186" s="243">
        <f ca="1">BDD[[#This Row],[D.VAC.]]*BDD[[#This Row],[% P.V.]]</f>
        <v>8</v>
      </c>
      <c r="X186" s="243">
        <v>30</v>
      </c>
      <c r="Y186" s="257">
        <f ca="1">(365+BDD[[#This Row],[D.PAG.V.]]+BDD[[#This Row],[D.AG.]])/365</f>
        <v>1.1041095890410959</v>
      </c>
      <c r="Z186" s="243">
        <f ca="1">BDD[[#This Row],[SUE DIA]]*BDD[[#This Row],[FACTOR SDI]]</f>
        <v>399.68767123287671</v>
      </c>
      <c r="AA186" s="243">
        <f>BDD[[#This Row],[SUE DIA]]/9</f>
        <v>40.222222222222221</v>
      </c>
      <c r="AB186" s="251">
        <v>33500</v>
      </c>
      <c r="AC186" s="251" t="s">
        <v>1040</v>
      </c>
      <c r="AD186" s="251" t="s">
        <v>789</v>
      </c>
      <c r="AE186" s="260">
        <v>8123454766</v>
      </c>
      <c r="AF186" s="251" t="s">
        <v>1373</v>
      </c>
      <c r="AG186" s="251" t="s">
        <v>773</v>
      </c>
      <c r="AH186" s="251" t="s">
        <v>730</v>
      </c>
      <c r="AI186" s="243" t="s">
        <v>153</v>
      </c>
      <c r="AJ186" s="258" cm="1">
        <f t="array" aca="1" ref="AJ186" ca="1">DATE(YEAR(FECH.CONS[FECHA DE CONSULTA:]),MONTH(BDD[[#This Row],[FECHA NAC]]),DAY(BDD[[#This Row],[FECHA NAC]]))</f>
        <v>44823</v>
      </c>
      <c r="AK186" s="243">
        <v>6</v>
      </c>
      <c r="AL186" s="261" t="s">
        <v>311</v>
      </c>
      <c r="AM186" s="251" t="s">
        <v>1544</v>
      </c>
      <c r="AN186" s="251" t="s">
        <v>1551</v>
      </c>
      <c r="AO186" s="245">
        <v>63</v>
      </c>
      <c r="AP186" s="251">
        <f ca="1">INT((TODAY()-BDD[[#This Row],[FECHA NAC]])/365)</f>
        <v>30</v>
      </c>
      <c r="AQ186" s="251">
        <v>2</v>
      </c>
      <c r="AR186" s="251">
        <f ca="1">IF(BDD[[#This Row],[ANTIG]]=0,0,1)</f>
        <v>1</v>
      </c>
      <c r="AS186" s="251"/>
      <c r="AT186" s="251"/>
      <c r="AU186" s="251"/>
      <c r="AV186" s="251"/>
      <c r="AW186" s="251"/>
      <c r="AX186" s="251"/>
      <c r="AY186" s="251"/>
      <c r="AZ186" s="251">
        <f t="shared" ca="1" si="8"/>
        <v>480</v>
      </c>
    </row>
    <row r="187" spans="2:52" ht="15" customHeight="1" x14ac:dyDescent="0.25">
      <c r="B187" s="243">
        <v>316</v>
      </c>
      <c r="C187" s="251" t="s">
        <v>226</v>
      </c>
      <c r="D187" s="263">
        <v>7445</v>
      </c>
      <c r="E187" s="252">
        <f>(BDD[[#This Row],[SUE MENS]]/30)</f>
        <v>248.16666666666666</v>
      </c>
      <c r="F187" s="252">
        <f>BDD[[#This Row],[SUE MENS]]/2</f>
        <v>3722.5</v>
      </c>
      <c r="G187" s="320">
        <v>42117</v>
      </c>
      <c r="H187" s="243">
        <f ca="1">INT(_xlfn.DAYS(TODAY(),BDD[[#This Row],[FECHA ING.]])/365)</f>
        <v>7</v>
      </c>
      <c r="I187" s="251" t="str">
        <f>VLOOKUP(J187,TABLAS!$B$3:$G$49,2,FALSE)</f>
        <v>AUDITORÍA</v>
      </c>
      <c r="J187" s="198" t="s">
        <v>735</v>
      </c>
      <c r="K187" s="251" t="s">
        <v>778</v>
      </c>
      <c r="L187" s="251" t="s">
        <v>763</v>
      </c>
      <c r="M187" s="251"/>
      <c r="N187" s="244" t="s">
        <v>1875</v>
      </c>
      <c r="O187" s="251" t="str">
        <f>IFERROR(VLOOKUP(BDD[[#This Row],[SUBDPTO]],TABLAS!$B$4:$D$36,3,0)," ")</f>
        <v>MARCO AURELIO URBINO</v>
      </c>
      <c r="P187" s="258"/>
      <c r="Q187" s="264"/>
      <c r="R187" s="244"/>
      <c r="S187" s="251"/>
      <c r="T187" s="251" t="s">
        <v>811</v>
      </c>
      <c r="U187" s="243">
        <f ca="1">VLOOKUP(BDD[[#This Row],[ANTIG]],DIASXANT18[#All],2)</f>
        <v>16</v>
      </c>
      <c r="V187" s="256">
        <f t="shared" si="10"/>
        <v>0.5</v>
      </c>
      <c r="W187" s="243">
        <f ca="1">BDD[[#This Row],[D.VAC.]]*BDD[[#This Row],[% P.V.]]</f>
        <v>8</v>
      </c>
      <c r="X187" s="243">
        <v>30</v>
      </c>
      <c r="Y187" s="257">
        <f ca="1">(365+BDD[[#This Row],[D.PAG.V.]]+BDD[[#This Row],[D.AG.]])/365</f>
        <v>1.1041095890410959</v>
      </c>
      <c r="Z187" s="243">
        <f ca="1">BDD[[#This Row],[SUE DIA]]*BDD[[#This Row],[FACTOR SDI]]</f>
        <v>274.00319634703197</v>
      </c>
      <c r="AA187" s="243">
        <f>BDD[[#This Row],[SUE DIA]]/9</f>
        <v>27.574074074074073</v>
      </c>
      <c r="AB187" s="251">
        <v>33532</v>
      </c>
      <c r="AC187" s="251" t="s">
        <v>900</v>
      </c>
      <c r="AD187" s="251" t="s">
        <v>786</v>
      </c>
      <c r="AE187" s="252">
        <v>5547899669</v>
      </c>
      <c r="AF187" s="251" t="s">
        <v>1250</v>
      </c>
      <c r="AG187" s="251" t="s">
        <v>776</v>
      </c>
      <c r="AH187" s="251" t="s">
        <v>1555</v>
      </c>
      <c r="AI187" s="243" t="s">
        <v>151</v>
      </c>
      <c r="AJ187" s="258" cm="1">
        <f t="array" aca="1" ref="AJ187" ca="1">DATE(YEAR(FECH.CONS[FECHA DE CONSULTA:]),MONTH(BDD[[#This Row],[FECHA NAC]]),DAY(BDD[[#This Row],[FECHA NAC]]))</f>
        <v>44855</v>
      </c>
      <c r="AK187" s="243"/>
      <c r="AL187" s="261" t="s">
        <v>311</v>
      </c>
      <c r="AM187" s="251" t="s">
        <v>1534</v>
      </c>
      <c r="AN187" s="251" t="s">
        <v>1551</v>
      </c>
      <c r="AO187" s="245">
        <v>32</v>
      </c>
      <c r="AP187" s="251">
        <f ca="1">INT((TODAY()-BDD[[#This Row],[FECHA NAC]])/365)</f>
        <v>30</v>
      </c>
      <c r="AQ187" s="251">
        <v>0</v>
      </c>
      <c r="AR187" s="251">
        <f ca="1">IF(BDD[[#This Row],[ANTIG]]=0,0,1)</f>
        <v>1</v>
      </c>
      <c r="AS187" s="251"/>
      <c r="AT187" s="251"/>
      <c r="AU187" s="251"/>
      <c r="AV187" s="251"/>
      <c r="AW187" s="251"/>
      <c r="AX187" s="251"/>
      <c r="AY187" s="251"/>
      <c r="AZ187" s="251">
        <f t="shared" ca="1" si="8"/>
        <v>452</v>
      </c>
    </row>
    <row r="188" spans="2:52" ht="15" customHeight="1" x14ac:dyDescent="0.25">
      <c r="B188" s="243">
        <v>317</v>
      </c>
      <c r="C188" s="251" t="s">
        <v>413</v>
      </c>
      <c r="D188" s="244">
        <v>6778</v>
      </c>
      <c r="E188" s="252">
        <f>(BDD[[#This Row],[SUE MENS]]/30)</f>
        <v>225.93333333333334</v>
      </c>
      <c r="F188" s="252">
        <f>BDD[[#This Row],[SUE MENS]]/2</f>
        <v>3389</v>
      </c>
      <c r="G188" s="319">
        <v>42131</v>
      </c>
      <c r="H188" s="243">
        <f ca="1">INT(_xlfn.DAYS(TODAY(),BDD[[#This Row],[FECHA ING.]])/365)</f>
        <v>7</v>
      </c>
      <c r="I188" s="251" t="str">
        <f>VLOOKUP(J188,TABLAS!$B$3:$G$49,2,FALSE)</f>
        <v>DIV ARQUIT</v>
      </c>
      <c r="J188" s="198" t="s">
        <v>740</v>
      </c>
      <c r="K188" s="251" t="s">
        <v>778</v>
      </c>
      <c r="L188" s="251" t="s">
        <v>763</v>
      </c>
      <c r="M188" s="251"/>
      <c r="N188" s="244" t="s">
        <v>2133</v>
      </c>
      <c r="O188" s="251" t="str">
        <f>IFERROR(VLOOKUP(BDD[[#This Row],[SUBDPTO]],TABLAS!$B$4:$D$36,3,0)," ")</f>
        <v>MÉRIDA ISELA MEDINA SALINAS</v>
      </c>
      <c r="P188" s="258"/>
      <c r="Q188" s="264"/>
      <c r="R188" s="244"/>
      <c r="S188" s="251"/>
      <c r="T188" s="251" t="s">
        <v>811</v>
      </c>
      <c r="U188" s="243">
        <f ca="1">VLOOKUP(BDD[[#This Row],[ANTIG]],DIASXANT18[#All],2)</f>
        <v>16</v>
      </c>
      <c r="V188" s="266">
        <v>0.25</v>
      </c>
      <c r="W188" s="243">
        <f ca="1">BDD[[#This Row],[D.VAC.]]*BDD[[#This Row],[% P.V.]]</f>
        <v>4</v>
      </c>
      <c r="X188" s="265">
        <v>15</v>
      </c>
      <c r="Y188" s="257">
        <f ca="1">(365+BDD[[#This Row],[D.PAG.V.]]+BDD[[#This Row],[D.AG.]])/365</f>
        <v>1.0520547945205478</v>
      </c>
      <c r="Z188" s="243">
        <f ca="1">BDD[[#This Row],[SUE DIA]]*BDD[[#This Row],[FACTOR SDI]]</f>
        <v>237.69424657534245</v>
      </c>
      <c r="AA188" s="243">
        <f>BDD[[#This Row],[SUE DIA]]/9</f>
        <v>25.103703703703705</v>
      </c>
      <c r="AB188" s="251">
        <v>30757</v>
      </c>
      <c r="AC188" s="251" t="s">
        <v>974</v>
      </c>
      <c r="AD188" s="251" t="s">
        <v>786</v>
      </c>
      <c r="AE188" s="252">
        <v>8346289188</v>
      </c>
      <c r="AF188" s="251" t="s">
        <v>1286</v>
      </c>
      <c r="AG188" s="251" t="s">
        <v>776</v>
      </c>
      <c r="AH188" s="251" t="s">
        <v>730</v>
      </c>
      <c r="AI188" s="243" t="s">
        <v>151</v>
      </c>
      <c r="AJ188" s="258" cm="1">
        <f t="array" aca="1" ref="AJ188" ca="1">DATE(YEAR(FECH.CONS[FECHA DE CONSULTA:]),MONTH(BDD[[#This Row],[FECHA NAC]]),DAY(BDD[[#This Row],[FECHA NAC]]))</f>
        <v>44636</v>
      </c>
      <c r="AK188" s="243">
        <v>9</v>
      </c>
      <c r="AL188" s="251" t="s">
        <v>326</v>
      </c>
      <c r="AM188" s="251" t="s">
        <v>1543</v>
      </c>
      <c r="AN188" s="251" t="s">
        <v>1551</v>
      </c>
      <c r="AO188" s="245">
        <v>42</v>
      </c>
      <c r="AP188" s="251">
        <f ca="1">INT((TODAY()-BDD[[#This Row],[FECHA NAC]])/365)</f>
        <v>38</v>
      </c>
      <c r="AQ188" s="251">
        <v>0</v>
      </c>
      <c r="AR188" s="251">
        <f ca="1">IF(BDD[[#This Row],[ANTIG]]=0,0,1)</f>
        <v>1</v>
      </c>
      <c r="AS188" s="251"/>
      <c r="AT188" s="251"/>
      <c r="AU188" s="251"/>
      <c r="AV188" s="251"/>
      <c r="AW188" s="251"/>
      <c r="AX188" s="251"/>
      <c r="AY188" s="251"/>
      <c r="AZ188" s="251">
        <f t="shared" ca="1" si="8"/>
        <v>262</v>
      </c>
    </row>
    <row r="189" spans="2:52" ht="15" customHeight="1" x14ac:dyDescent="0.25">
      <c r="B189" s="243">
        <v>318</v>
      </c>
      <c r="C189" s="259" t="s">
        <v>446</v>
      </c>
      <c r="D189" s="263">
        <v>10350</v>
      </c>
      <c r="E189" s="252">
        <f>(BDD[[#This Row],[SUE MENS]]/30)</f>
        <v>345</v>
      </c>
      <c r="F189" s="252">
        <f>BDD[[#This Row],[SUE MENS]]/2</f>
        <v>5175</v>
      </c>
      <c r="G189" s="319">
        <v>42134</v>
      </c>
      <c r="H189" s="243">
        <f ca="1">INT(_xlfn.DAYS(TODAY(),BDD[[#This Row],[FECHA ING.]])/365)</f>
        <v>7</v>
      </c>
      <c r="I189" s="251" t="str">
        <f>VLOOKUP(J189,TABLAS!$B$3:$G$49,2,FALSE)</f>
        <v>FINANZAS</v>
      </c>
      <c r="J189" s="198" t="s">
        <v>757</v>
      </c>
      <c r="K189" s="251" t="s">
        <v>778</v>
      </c>
      <c r="L189" s="251" t="s">
        <v>763</v>
      </c>
      <c r="M189" s="251"/>
      <c r="N189" s="244" t="s">
        <v>1827</v>
      </c>
      <c r="O189" s="251" t="str">
        <f>IFERROR(VLOOKUP(BDD[[#This Row],[SUBDPTO]],TABLAS!$B$4:$D$36,3,0)," ")</f>
        <v>MARIANO ALDEBARÁN</v>
      </c>
      <c r="P189" s="258">
        <v>41781</v>
      </c>
      <c r="Q189" s="254">
        <v>5422.4000000000005</v>
      </c>
      <c r="R189" s="255" t="s">
        <v>746</v>
      </c>
      <c r="S189" s="255" t="s">
        <v>747</v>
      </c>
      <c r="T189" s="251" t="s">
        <v>301</v>
      </c>
      <c r="U189" s="243">
        <f ca="1">VLOOKUP(BDD[[#This Row],[ANTIG]],DIASXANT18[#All],2)</f>
        <v>16</v>
      </c>
      <c r="V189" s="256">
        <f>100/200</f>
        <v>0.5</v>
      </c>
      <c r="W189" s="243">
        <f ca="1">BDD[[#This Row],[D.VAC.]]*BDD[[#This Row],[% P.V.]]</f>
        <v>8</v>
      </c>
      <c r="X189" s="243">
        <v>30</v>
      </c>
      <c r="Y189" s="257">
        <f ca="1">(365+BDD[[#This Row],[D.PAG.V.]]+BDD[[#This Row],[D.AG.]])/365</f>
        <v>1.1041095890410959</v>
      </c>
      <c r="Z189" s="243">
        <f ca="1">BDD[[#This Row],[SUE DIA]]*BDD[[#This Row],[FACTOR SDI]]</f>
        <v>380.91780821917808</v>
      </c>
      <c r="AA189" s="243">
        <f>BDD[[#This Row],[SUE DIA]]/9</f>
        <v>38.333333333333336</v>
      </c>
      <c r="AB189" s="251">
        <v>31248</v>
      </c>
      <c r="AC189" s="251" t="s">
        <v>1032</v>
      </c>
      <c r="AD189" s="251" t="s">
        <v>787</v>
      </c>
      <c r="AE189" s="260">
        <v>3345671214</v>
      </c>
      <c r="AF189" s="251" t="s">
        <v>1352</v>
      </c>
      <c r="AG189" s="251" t="s">
        <v>776</v>
      </c>
      <c r="AH189" s="251" t="s">
        <v>727</v>
      </c>
      <c r="AI189" s="243" t="s">
        <v>151</v>
      </c>
      <c r="AJ189" s="258" cm="1">
        <f t="array" aca="1" ref="AJ189" ca="1">DATE(YEAR(FECH.CONS[FECHA DE CONSULTA:]),MONTH(BDD[[#This Row],[FECHA NAC]]),DAY(BDD[[#This Row],[FECHA NAC]]))</f>
        <v>44762</v>
      </c>
      <c r="AK189" s="243"/>
      <c r="AL189" s="261" t="s">
        <v>311</v>
      </c>
      <c r="AM189" s="251" t="s">
        <v>1550</v>
      </c>
      <c r="AN189" s="251" t="s">
        <v>162</v>
      </c>
      <c r="AO189" s="245">
        <v>85</v>
      </c>
      <c r="AP189" s="251">
        <f ca="1">INT((TODAY()-BDD[[#This Row],[FECHA NAC]])/365)</f>
        <v>37</v>
      </c>
      <c r="AQ189" s="251">
        <v>3</v>
      </c>
      <c r="AR189" s="251">
        <f ca="1">IF(BDD[[#This Row],[ANTIG]]=0,0,1)</f>
        <v>1</v>
      </c>
      <c r="AS189" s="251"/>
      <c r="AT189" s="251"/>
      <c r="AU189" s="251"/>
      <c r="AV189" s="251"/>
      <c r="AW189" s="251"/>
      <c r="AX189" s="251"/>
      <c r="AY189" s="251"/>
      <c r="AZ189" s="251">
        <f t="shared" ca="1" si="8"/>
        <v>67</v>
      </c>
    </row>
    <row r="190" spans="2:52" ht="15" customHeight="1" x14ac:dyDescent="0.25">
      <c r="B190" s="243">
        <v>319</v>
      </c>
      <c r="C190" s="259" t="s">
        <v>501</v>
      </c>
      <c r="D190" s="244">
        <v>6778</v>
      </c>
      <c r="E190" s="252">
        <f>(BDD[[#This Row],[SUE MENS]]/30)</f>
        <v>225.93333333333334</v>
      </c>
      <c r="F190" s="252">
        <f>BDD[[#This Row],[SUE MENS]]/2</f>
        <v>3389</v>
      </c>
      <c r="G190" s="320">
        <v>42155</v>
      </c>
      <c r="H190" s="243">
        <f ca="1">INT(_xlfn.DAYS(TODAY(),BDD[[#This Row],[FECHA ING.]])/365)</f>
        <v>7</v>
      </c>
      <c r="I190" s="251" t="str">
        <f>VLOOKUP(J190,TABLAS!$B$3:$G$49,2,FALSE)</f>
        <v>DIV INGENRIA</v>
      </c>
      <c r="J190" s="198" t="s">
        <v>743</v>
      </c>
      <c r="K190" s="251" t="s">
        <v>778</v>
      </c>
      <c r="L190" s="251" t="s">
        <v>763</v>
      </c>
      <c r="M190" s="251"/>
      <c r="N190" s="244" t="s">
        <v>2159</v>
      </c>
      <c r="O190" s="251" t="str">
        <f>IFERROR(VLOOKUP(BDD[[#This Row],[SUBDPTO]],TABLAS!$B$4:$D$36,3,0)," ")</f>
        <v>DIEGO HERRERA GIRÓN</v>
      </c>
      <c r="P190" s="258"/>
      <c r="Q190" s="264"/>
      <c r="R190" s="244"/>
      <c r="S190" s="251"/>
      <c r="T190" s="251" t="s">
        <v>811</v>
      </c>
      <c r="U190" s="243">
        <f ca="1">VLOOKUP(BDD[[#This Row],[ANTIG]],DIASXANT18[#All],2)</f>
        <v>16</v>
      </c>
      <c r="V190" s="266">
        <v>0.25</v>
      </c>
      <c r="W190" s="243">
        <f ca="1">BDD[[#This Row],[D.VAC.]]*BDD[[#This Row],[% P.V.]]</f>
        <v>4</v>
      </c>
      <c r="X190" s="265">
        <v>15</v>
      </c>
      <c r="Y190" s="257">
        <f ca="1">(365+BDD[[#This Row],[D.PAG.V.]]+BDD[[#This Row],[D.AG.]])/365</f>
        <v>1.0520547945205478</v>
      </c>
      <c r="Z190" s="243">
        <f ca="1">BDD[[#This Row],[SUE DIA]]*BDD[[#This Row],[FACTOR SDI]]</f>
        <v>237.69424657534245</v>
      </c>
      <c r="AA190" s="243">
        <f>BDD[[#This Row],[SUE DIA]]/9</f>
        <v>25.103703703703705</v>
      </c>
      <c r="AB190" s="251">
        <v>35834</v>
      </c>
      <c r="AC190" s="251" t="s">
        <v>1048</v>
      </c>
      <c r="AD190" s="251" t="s">
        <v>791</v>
      </c>
      <c r="AE190" s="260">
        <v>3346877774</v>
      </c>
      <c r="AF190" s="251" t="s">
        <v>1385</v>
      </c>
      <c r="AG190" s="251" t="s">
        <v>776</v>
      </c>
      <c r="AH190" s="251" t="s">
        <v>730</v>
      </c>
      <c r="AI190" s="243" t="s">
        <v>151</v>
      </c>
      <c r="AJ190" s="258" cm="1">
        <f t="array" aca="1" ref="AJ190" ca="1">DATE(YEAR(FECH.CONS[FECHA DE CONSULTA:]),MONTH(BDD[[#This Row],[FECHA NAC]]),DAY(BDD[[#This Row],[FECHA NAC]]))</f>
        <v>44600</v>
      </c>
      <c r="AK190" s="243">
        <v>5</v>
      </c>
      <c r="AL190" s="261" t="s">
        <v>319</v>
      </c>
      <c r="AM190" s="251" t="s">
        <v>1546</v>
      </c>
      <c r="AN190" s="251" t="s">
        <v>1551</v>
      </c>
      <c r="AO190" s="245">
        <v>66</v>
      </c>
      <c r="AP190" s="251">
        <f ca="1">INT((TODAY()-BDD[[#This Row],[FECHA NAC]])/365)</f>
        <v>24</v>
      </c>
      <c r="AQ190" s="251">
        <v>0</v>
      </c>
      <c r="AR190" s="251">
        <f ca="1">IF(BDD[[#This Row],[ANTIG]]=0,0,1)</f>
        <v>1</v>
      </c>
      <c r="AS190" s="251"/>
      <c r="AT190" s="251"/>
      <c r="AU190" s="251"/>
      <c r="AV190" s="251"/>
      <c r="AW190" s="251"/>
      <c r="AX190" s="251"/>
      <c r="AY190" s="251"/>
      <c r="AZ190" s="251">
        <f t="shared" ca="1" si="8"/>
        <v>994</v>
      </c>
    </row>
    <row r="191" spans="2:52" ht="15" customHeight="1" x14ac:dyDescent="0.25">
      <c r="B191" s="243">
        <v>320</v>
      </c>
      <c r="C191" s="259" t="s">
        <v>591</v>
      </c>
      <c r="D191" s="252">
        <v>7950</v>
      </c>
      <c r="E191" s="252">
        <f>(BDD[[#This Row],[SUE MENS]]/30)</f>
        <v>265</v>
      </c>
      <c r="F191" s="252">
        <f>BDD[[#This Row],[SUE MENS]]/2</f>
        <v>3975</v>
      </c>
      <c r="G191" s="319">
        <v>42192</v>
      </c>
      <c r="H191" s="243">
        <f ca="1">INT(_xlfn.DAYS(TODAY(),BDD[[#This Row],[FECHA ING.]])/365)</f>
        <v>7</v>
      </c>
      <c r="I191" s="251" t="str">
        <f>VLOOKUP(J191,TABLAS!$B$3:$G$49,2,FALSE)</f>
        <v>DIRECCIÓN</v>
      </c>
      <c r="J191" s="198" t="s">
        <v>745</v>
      </c>
      <c r="K191" s="251" t="s">
        <v>778</v>
      </c>
      <c r="L191" s="251" t="s">
        <v>763</v>
      </c>
      <c r="M191" s="251"/>
      <c r="N191" s="244" t="s">
        <v>2050</v>
      </c>
      <c r="O191" s="251" t="str">
        <f>IFERROR(VLOOKUP(BDD[[#This Row],[SUBDPTO]],TABLAS!$B$4:$D$36,3,0)," ")</f>
        <v>MARIANA RODRÍGUEZ GUTIERREZ</v>
      </c>
      <c r="P191" s="258">
        <v>43861</v>
      </c>
      <c r="Q191" s="254">
        <v>6158.4000000000005</v>
      </c>
      <c r="R191" s="255" t="s">
        <v>742</v>
      </c>
      <c r="S191" s="251"/>
      <c r="T191" s="251" t="s">
        <v>811</v>
      </c>
      <c r="U191" s="243">
        <f ca="1">VLOOKUP(BDD[[#This Row],[ANTIG]],DIASXANT18[#All],2)</f>
        <v>16</v>
      </c>
      <c r="V191" s="256">
        <f t="shared" ref="V191:V206" si="11">100/200</f>
        <v>0.5</v>
      </c>
      <c r="W191" s="243">
        <f ca="1">BDD[[#This Row],[D.VAC.]]*BDD[[#This Row],[% P.V.]]</f>
        <v>8</v>
      </c>
      <c r="X191" s="243">
        <v>30</v>
      </c>
      <c r="Y191" s="257">
        <f ca="1">(365+BDD[[#This Row],[D.PAG.V.]]+BDD[[#This Row],[D.AG.]])/365</f>
        <v>1.1041095890410959</v>
      </c>
      <c r="Z191" s="243">
        <f ca="1">BDD[[#This Row],[SUE DIA]]*BDD[[#This Row],[FACTOR SDI]]</f>
        <v>292.58904109589042</v>
      </c>
      <c r="AA191" s="243">
        <f>BDD[[#This Row],[SUE DIA]]/9</f>
        <v>29.444444444444443</v>
      </c>
      <c r="AB191" s="251">
        <v>35070</v>
      </c>
      <c r="AC191" s="251" t="s">
        <v>991</v>
      </c>
      <c r="AD191" s="251" t="s">
        <v>809</v>
      </c>
      <c r="AE191" s="260">
        <v>5077520284</v>
      </c>
      <c r="AF191" s="251" t="s">
        <v>1451</v>
      </c>
      <c r="AG191" s="251" t="s">
        <v>776</v>
      </c>
      <c r="AH191" s="251" t="s">
        <v>730</v>
      </c>
      <c r="AI191" s="243" t="s">
        <v>151</v>
      </c>
      <c r="AJ191" s="258" cm="1">
        <f t="array" aca="1" ref="AJ191" ca="1">DATE(YEAR(FECH.CONS[FECHA DE CONSULTA:]),MONTH(BDD[[#This Row],[FECHA NAC]]),DAY(BDD[[#This Row],[FECHA NAC]]))</f>
        <v>44567</v>
      </c>
      <c r="AK191" s="243">
        <v>7</v>
      </c>
      <c r="AL191" s="261" t="s">
        <v>311</v>
      </c>
      <c r="AM191" s="251" t="s">
        <v>1544</v>
      </c>
      <c r="AN191" s="251" t="s">
        <v>1551</v>
      </c>
      <c r="AO191" s="245">
        <v>41</v>
      </c>
      <c r="AP191" s="251">
        <f ca="1">INT((TODAY()-BDD[[#This Row],[FECHA NAC]])/365)</f>
        <v>26</v>
      </c>
      <c r="AQ191" s="251">
        <v>3</v>
      </c>
      <c r="AR191" s="251">
        <f ca="1">IF(BDD[[#This Row],[ANTIG]]=0,0,1)</f>
        <v>1</v>
      </c>
      <c r="AS191" s="251"/>
      <c r="AT191" s="251"/>
      <c r="AU191" s="251"/>
      <c r="AV191" s="251"/>
      <c r="AW191" s="251"/>
      <c r="AX191" s="251"/>
      <c r="AY191" s="251"/>
      <c r="AZ191" s="251">
        <f t="shared" ca="1" si="8"/>
        <v>164</v>
      </c>
    </row>
    <row r="192" spans="2:52" ht="15" customHeight="1" x14ac:dyDescent="0.25">
      <c r="B192" s="243">
        <v>321</v>
      </c>
      <c r="C192" s="259" t="s">
        <v>827</v>
      </c>
      <c r="D192" s="252">
        <v>9541</v>
      </c>
      <c r="E192" s="252">
        <f>(BDD[[#This Row],[SUE MENS]]/30)</f>
        <v>318.03333333333336</v>
      </c>
      <c r="F192" s="252">
        <f>BDD[[#This Row],[SUE MENS]]/2</f>
        <v>4770.5</v>
      </c>
      <c r="G192" s="319">
        <v>42193</v>
      </c>
      <c r="H192" s="243">
        <f ca="1">INT(_xlfn.DAYS(TODAY(),BDD[[#This Row],[FECHA ING.]])/365)</f>
        <v>7</v>
      </c>
      <c r="I192" s="251" t="str">
        <f>VLOOKUP(J192,TABLAS!$B$3:$G$49,2,FALSE)</f>
        <v>FINANZAS</v>
      </c>
      <c r="J192" s="198" t="s">
        <v>748</v>
      </c>
      <c r="K192" s="251" t="s">
        <v>778</v>
      </c>
      <c r="L192" s="251" t="s">
        <v>763</v>
      </c>
      <c r="M192" s="251"/>
      <c r="N192" s="253" t="s">
        <v>1961</v>
      </c>
      <c r="O192" s="251" t="str">
        <f>IFERROR(VLOOKUP(BDD[[#This Row],[SUBDPTO]],TABLAS!$B$4:$D$36,3,0)," ")</f>
        <v>MARIANO ALDEBARÁN</v>
      </c>
      <c r="P192" s="258">
        <v>42885</v>
      </c>
      <c r="Q192" s="254">
        <v>5200</v>
      </c>
      <c r="R192" s="255" t="s">
        <v>751</v>
      </c>
      <c r="S192" s="251"/>
      <c r="T192" s="251" t="s">
        <v>301</v>
      </c>
      <c r="U192" s="243">
        <f ca="1">VLOOKUP(BDD[[#This Row],[ANTIG]],DIASXANT18[#All],2)</f>
        <v>16</v>
      </c>
      <c r="V192" s="256">
        <f t="shared" si="11"/>
        <v>0.5</v>
      </c>
      <c r="W192" s="243">
        <f ca="1">BDD[[#This Row],[D.VAC.]]*BDD[[#This Row],[% P.V.]]</f>
        <v>8</v>
      </c>
      <c r="X192" s="243">
        <v>30</v>
      </c>
      <c r="Y192" s="257">
        <f ca="1">(365+BDD[[#This Row],[D.PAG.V.]]+BDD[[#This Row],[D.AG.]])/365</f>
        <v>1.1041095890410959</v>
      </c>
      <c r="Z192" s="243">
        <f ca="1">BDD[[#This Row],[SUE DIA]]*BDD[[#This Row],[FACTOR SDI]]</f>
        <v>351.14365296803658</v>
      </c>
      <c r="AA192" s="243">
        <f>BDD[[#This Row],[SUE DIA]]/9</f>
        <v>35.337037037037042</v>
      </c>
      <c r="AB192" s="251">
        <v>36464</v>
      </c>
      <c r="AC192" s="251" t="s">
        <v>286</v>
      </c>
      <c r="AD192" s="251" t="s">
        <v>787</v>
      </c>
      <c r="AE192" s="260">
        <v>6987421311</v>
      </c>
      <c r="AF192" s="251" t="s">
        <v>1351</v>
      </c>
      <c r="AG192" s="251" t="s">
        <v>776</v>
      </c>
      <c r="AH192" s="251" t="s">
        <v>1555</v>
      </c>
      <c r="AI192" s="243" t="s">
        <v>151</v>
      </c>
      <c r="AJ192" s="258" cm="1">
        <f t="array" aca="1" ref="AJ192" ca="1">DATE(YEAR(FECH.CONS[FECHA DE CONSULTA:]),MONTH(BDD[[#This Row],[FECHA NAC]]),DAY(BDD[[#This Row],[FECHA NAC]]))</f>
        <v>44865</v>
      </c>
      <c r="AK192" s="243"/>
      <c r="AL192" s="261" t="s">
        <v>311</v>
      </c>
      <c r="AM192" s="251" t="s">
        <v>1544</v>
      </c>
      <c r="AN192" s="251" t="s">
        <v>1551</v>
      </c>
      <c r="AO192" s="245">
        <v>91</v>
      </c>
      <c r="AP192" s="251">
        <f ca="1">INT((TODAY()-BDD[[#This Row],[FECHA NAC]])/365)</f>
        <v>22</v>
      </c>
      <c r="AQ192" s="251">
        <v>1</v>
      </c>
      <c r="AR192" s="251">
        <f ca="1">IF(BDD[[#This Row],[ANTIG]]=0,0,1)</f>
        <v>1</v>
      </c>
      <c r="AS192" s="251"/>
      <c r="AT192" s="251"/>
      <c r="AU192" s="251"/>
      <c r="AV192" s="251"/>
      <c r="AW192" s="251"/>
      <c r="AX192" s="251"/>
      <c r="AY192" s="251"/>
      <c r="AZ192" s="251">
        <f t="shared" ca="1" si="8"/>
        <v>464</v>
      </c>
    </row>
    <row r="193" spans="2:52" ht="15" customHeight="1" x14ac:dyDescent="0.25">
      <c r="B193" s="243">
        <v>323</v>
      </c>
      <c r="C193" s="262" t="s">
        <v>343</v>
      </c>
      <c r="D193" s="263">
        <v>7445</v>
      </c>
      <c r="E193" s="252">
        <f>(BDD[[#This Row],[SUE MENS]]/30)</f>
        <v>248.16666666666666</v>
      </c>
      <c r="F193" s="252">
        <f>BDD[[#This Row],[SUE MENS]]/2</f>
        <v>3722.5</v>
      </c>
      <c r="G193" s="319">
        <v>42194</v>
      </c>
      <c r="H193" s="243">
        <f ca="1">INT(_xlfn.DAYS(TODAY(),BDD[[#This Row],[FECHA ING.]])/365)</f>
        <v>7</v>
      </c>
      <c r="I193" s="251" t="str">
        <f>VLOOKUP(J193,TABLAS!$B$3:$G$49,2,FALSE)</f>
        <v>DIRECCIÓN</v>
      </c>
      <c r="J193" s="198" t="s">
        <v>759</v>
      </c>
      <c r="K193" s="251" t="s">
        <v>778</v>
      </c>
      <c r="L193" s="251" t="s">
        <v>763</v>
      </c>
      <c r="M193" s="251"/>
      <c r="N193" s="244" t="s">
        <v>2026</v>
      </c>
      <c r="O193" s="251" t="str">
        <f>IFERROR(VLOOKUP(BDD[[#This Row],[SUBDPTO]],TABLAS!$B$4:$D$36,3,0)," ")</f>
        <v>MARIANA RODRÍGUEZ GUTIERREZ</v>
      </c>
      <c r="P193" s="258"/>
      <c r="Q193" s="264"/>
      <c r="R193" s="244"/>
      <c r="S193" s="251"/>
      <c r="T193" s="251" t="s">
        <v>301</v>
      </c>
      <c r="U193" s="243">
        <f ca="1">VLOOKUP(BDD[[#This Row],[ANTIG]],DIASXANT18[#All],2)</f>
        <v>16</v>
      </c>
      <c r="V193" s="256">
        <f t="shared" si="11"/>
        <v>0.5</v>
      </c>
      <c r="W193" s="243">
        <f ca="1">BDD[[#This Row],[D.VAC.]]*BDD[[#This Row],[% P.V.]]</f>
        <v>8</v>
      </c>
      <c r="X193" s="243">
        <v>30</v>
      </c>
      <c r="Y193" s="257">
        <f ca="1">(365+BDD[[#This Row],[D.PAG.V.]]+BDD[[#This Row],[D.AG.]])/365</f>
        <v>1.1041095890410959</v>
      </c>
      <c r="Z193" s="243">
        <f ca="1">BDD[[#This Row],[SUE DIA]]*BDD[[#This Row],[FACTOR SDI]]</f>
        <v>274.00319634703197</v>
      </c>
      <c r="AA193" s="243">
        <f>BDD[[#This Row],[SUE DIA]]/9</f>
        <v>27.574074074074073</v>
      </c>
      <c r="AB193" s="262">
        <v>29538</v>
      </c>
      <c r="AC193" s="251" t="s">
        <v>888</v>
      </c>
      <c r="AD193" s="251" t="s">
        <v>789</v>
      </c>
      <c r="AE193" s="252">
        <v>8937192069</v>
      </c>
      <c r="AF193" s="251" t="s">
        <v>1314</v>
      </c>
      <c r="AG193" s="251" t="s">
        <v>774</v>
      </c>
      <c r="AH193" s="251" t="s">
        <v>727</v>
      </c>
      <c r="AI193" s="243" t="s">
        <v>152</v>
      </c>
      <c r="AJ193" s="258" cm="1">
        <f t="array" aca="1" ref="AJ193" ca="1">DATE(YEAR(FECH.CONS[FECHA DE CONSULTA:]),MONTH(BDD[[#This Row],[FECHA NAC]]),DAY(BDD[[#This Row],[FECHA NAC]]))</f>
        <v>44878</v>
      </c>
      <c r="AK193" s="243">
        <v>6</v>
      </c>
      <c r="AL193" s="261" t="s">
        <v>311</v>
      </c>
      <c r="AM193" s="251" t="s">
        <v>1535</v>
      </c>
      <c r="AN193" s="251" t="s">
        <v>1543</v>
      </c>
      <c r="AO193" s="245">
        <v>50</v>
      </c>
      <c r="AP193" s="251">
        <f ca="1">INT((TODAY()-BDD[[#This Row],[FECHA NAC]])/365)</f>
        <v>41</v>
      </c>
      <c r="AQ193" s="251">
        <v>0</v>
      </c>
      <c r="AR193" s="251">
        <f ca="1">IF(BDD[[#This Row],[ANTIG]]=0,0,1)</f>
        <v>1</v>
      </c>
      <c r="AS193" s="251"/>
      <c r="AT193" s="251"/>
      <c r="AU193" s="251"/>
      <c r="AV193" s="251"/>
      <c r="AW193" s="251"/>
      <c r="AX193" s="251"/>
      <c r="AY193" s="251"/>
      <c r="AZ193" s="251">
        <f t="shared" ca="1" si="8"/>
        <v>902</v>
      </c>
    </row>
    <row r="194" spans="2:52" ht="15" customHeight="1" x14ac:dyDescent="0.25">
      <c r="B194" s="243">
        <v>324</v>
      </c>
      <c r="C194" s="259" t="s">
        <v>1643</v>
      </c>
      <c r="D194" s="252">
        <v>9541</v>
      </c>
      <c r="E194" s="252">
        <f>(BDD[[#This Row],[SUE MENS]]/30)</f>
        <v>318.03333333333336</v>
      </c>
      <c r="F194" s="252">
        <f>BDD[[#This Row],[SUE MENS]]/2</f>
        <v>4770.5</v>
      </c>
      <c r="G194" s="319">
        <v>42194</v>
      </c>
      <c r="H194" s="243">
        <f ca="1">INT(_xlfn.DAYS(TODAY(),BDD[[#This Row],[FECHA ING.]])/365)</f>
        <v>7</v>
      </c>
      <c r="I194" s="251" t="str">
        <f>VLOOKUP(J194,TABLAS!$B$3:$G$49,2,FALSE)</f>
        <v>DIRECCIÓN</v>
      </c>
      <c r="J194" s="198" t="s">
        <v>759</v>
      </c>
      <c r="K194" s="251" t="s">
        <v>778</v>
      </c>
      <c r="L194" s="251" t="s">
        <v>763</v>
      </c>
      <c r="M194" s="251"/>
      <c r="N194" s="244" t="s">
        <v>2085</v>
      </c>
      <c r="O194" s="251" t="str">
        <f>IFERROR(VLOOKUP(BDD[[#This Row],[SUBDPTO]],TABLAS!$B$4:$D$36,3,0)," ")</f>
        <v>MARIANA RODRÍGUEZ GUTIERREZ</v>
      </c>
      <c r="P194" s="258">
        <v>42967</v>
      </c>
      <c r="Q194" s="254">
        <v>5956</v>
      </c>
      <c r="R194" s="255" t="s">
        <v>746</v>
      </c>
      <c r="S194" s="255" t="s">
        <v>758</v>
      </c>
      <c r="T194" s="251" t="s">
        <v>301</v>
      </c>
      <c r="U194" s="243">
        <f ca="1">VLOOKUP(BDD[[#This Row],[ANTIG]],DIASXANT18[#All],2)</f>
        <v>16</v>
      </c>
      <c r="V194" s="256">
        <f t="shared" si="11"/>
        <v>0.5</v>
      </c>
      <c r="W194" s="243">
        <f ca="1">BDD[[#This Row],[D.VAC.]]*BDD[[#This Row],[% P.V.]]</f>
        <v>8</v>
      </c>
      <c r="X194" s="243">
        <v>30</v>
      </c>
      <c r="Y194" s="257">
        <f ca="1">(365+BDD[[#This Row],[D.PAG.V.]]+BDD[[#This Row],[D.AG.]])/365</f>
        <v>1.1041095890410959</v>
      </c>
      <c r="Z194" s="243">
        <f ca="1">BDD[[#This Row],[SUE DIA]]*BDD[[#This Row],[FACTOR SDI]]</f>
        <v>351.14365296803658</v>
      </c>
      <c r="AA194" s="243">
        <f>BDD[[#This Row],[SUE DIA]]/9</f>
        <v>35.337037037037042</v>
      </c>
      <c r="AB194" s="251">
        <v>27965</v>
      </c>
      <c r="AC194" s="251" t="s">
        <v>885</v>
      </c>
      <c r="AD194" s="251" t="s">
        <v>809</v>
      </c>
      <c r="AE194" s="260">
        <v>7214547896</v>
      </c>
      <c r="AF194" s="251" t="s">
        <v>1363</v>
      </c>
      <c r="AG194" s="251" t="s">
        <v>773</v>
      </c>
      <c r="AH194" s="251" t="s">
        <v>1555</v>
      </c>
      <c r="AI194" s="243" t="s">
        <v>152</v>
      </c>
      <c r="AJ194" s="258" cm="1">
        <f t="array" aca="1" ref="AJ194" ca="1">DATE(YEAR(FECH.CONS[FECHA DE CONSULTA:]),MONTH(BDD[[#This Row],[FECHA NAC]]),DAY(BDD[[#This Row],[FECHA NAC]]))</f>
        <v>44766</v>
      </c>
      <c r="AK194" s="243"/>
      <c r="AL194" s="261" t="s">
        <v>311</v>
      </c>
      <c r="AM194" s="251" t="s">
        <v>1544</v>
      </c>
      <c r="AN194" s="251" t="s">
        <v>1551</v>
      </c>
      <c r="AO194" s="245">
        <v>94</v>
      </c>
      <c r="AP194" s="251">
        <f ca="1">INT((TODAY()-BDD[[#This Row],[FECHA NAC]])/365)</f>
        <v>46</v>
      </c>
      <c r="AQ194" s="251">
        <v>1</v>
      </c>
      <c r="AR194" s="251">
        <f ca="1">IF(BDD[[#This Row],[ANTIG]]=0,0,1)</f>
        <v>1</v>
      </c>
      <c r="AS194" s="251"/>
      <c r="AT194" s="251"/>
      <c r="AU194" s="251"/>
      <c r="AV194" s="251"/>
      <c r="AW194" s="251"/>
      <c r="AX194" s="251"/>
      <c r="AY194" s="251"/>
      <c r="AZ194" s="251">
        <f t="shared" ca="1" si="8"/>
        <v>13</v>
      </c>
    </row>
    <row r="195" spans="2:52" ht="15" customHeight="1" x14ac:dyDescent="0.25">
      <c r="B195" s="243">
        <v>325</v>
      </c>
      <c r="C195" s="259" t="s">
        <v>705</v>
      </c>
      <c r="D195" s="252">
        <v>7950</v>
      </c>
      <c r="E195" s="252">
        <f>(BDD[[#This Row],[SUE MENS]]/30)</f>
        <v>265</v>
      </c>
      <c r="F195" s="252">
        <f>BDD[[#This Row],[SUE MENS]]/2</f>
        <v>3975</v>
      </c>
      <c r="G195" s="319">
        <v>42213</v>
      </c>
      <c r="H195" s="243">
        <f ca="1">INT(_xlfn.DAYS(TODAY(),BDD[[#This Row],[FECHA ING.]])/365)</f>
        <v>6</v>
      </c>
      <c r="I195" s="251" t="str">
        <f>VLOOKUP(J195,TABLAS!$B$3:$G$49,2,FALSE)</f>
        <v>DIV INGENRIA</v>
      </c>
      <c r="J195" s="198" t="s">
        <v>744</v>
      </c>
      <c r="K195" s="251" t="s">
        <v>778</v>
      </c>
      <c r="L195" s="251" t="s">
        <v>763</v>
      </c>
      <c r="M195" s="251"/>
      <c r="N195" s="253" t="s">
        <v>1872</v>
      </c>
      <c r="O195" s="251" t="str">
        <f>IFERROR(VLOOKUP(BDD[[#This Row],[SUBDPTO]],TABLAS!$B$4:$D$36,3,0)," ")</f>
        <v>DIEGO HERRERA GIRÓN</v>
      </c>
      <c r="P195" s="258">
        <v>43418</v>
      </c>
      <c r="Q195" s="254">
        <v>6158.4000000000005</v>
      </c>
      <c r="R195" s="255" t="s">
        <v>736</v>
      </c>
      <c r="S195" s="251"/>
      <c r="T195" s="251" t="s">
        <v>811</v>
      </c>
      <c r="U195" s="243">
        <f ca="1">VLOOKUP(BDD[[#This Row],[ANTIG]],DIASXANT18[#All],2)</f>
        <v>16</v>
      </c>
      <c r="V195" s="256">
        <f t="shared" si="11"/>
        <v>0.5</v>
      </c>
      <c r="W195" s="243">
        <f ca="1">BDD[[#This Row],[D.VAC.]]*BDD[[#This Row],[% P.V.]]</f>
        <v>8</v>
      </c>
      <c r="X195" s="243">
        <v>30</v>
      </c>
      <c r="Y195" s="257">
        <f ca="1">(365+BDD[[#This Row],[D.PAG.V.]]+BDD[[#This Row],[D.AG.]])/365</f>
        <v>1.1041095890410959</v>
      </c>
      <c r="Z195" s="243">
        <f ca="1">BDD[[#This Row],[SUE DIA]]*BDD[[#This Row],[FACTOR SDI]]</f>
        <v>292.58904109589042</v>
      </c>
      <c r="AA195" s="243">
        <f>BDD[[#This Row],[SUE DIA]]/9</f>
        <v>29.444444444444443</v>
      </c>
      <c r="AB195" s="251">
        <v>30491</v>
      </c>
      <c r="AC195" s="251" t="s">
        <v>1056</v>
      </c>
      <c r="AD195" s="251" t="s">
        <v>789</v>
      </c>
      <c r="AE195" s="260">
        <v>4318198032</v>
      </c>
      <c r="AF195" s="251" t="s">
        <v>1524</v>
      </c>
      <c r="AG195" s="251" t="s">
        <v>776</v>
      </c>
      <c r="AH195" s="251" t="s">
        <v>1555</v>
      </c>
      <c r="AI195" s="243" t="s">
        <v>151</v>
      </c>
      <c r="AJ195" s="258" cm="1">
        <f t="array" aca="1" ref="AJ195" ca="1">DATE(YEAR(FECH.CONS[FECHA DE CONSULTA:]),MONTH(BDD[[#This Row],[FECHA NAC]]),DAY(BDD[[#This Row],[FECHA NAC]]))</f>
        <v>44736</v>
      </c>
      <c r="AK195" s="243"/>
      <c r="AL195" s="261" t="s">
        <v>326</v>
      </c>
      <c r="AM195" s="251" t="s">
        <v>1538</v>
      </c>
      <c r="AN195" s="251" t="s">
        <v>1551</v>
      </c>
      <c r="AO195" s="245">
        <v>46</v>
      </c>
      <c r="AP195" s="251">
        <f ca="1">INT((TODAY()-BDD[[#This Row],[FECHA NAC]])/365)</f>
        <v>39</v>
      </c>
      <c r="AQ195" s="251">
        <v>2</v>
      </c>
      <c r="AR195" s="251">
        <f ca="1">IF(BDD[[#This Row],[ANTIG]]=0,0,1)</f>
        <v>1</v>
      </c>
      <c r="AS195" s="251"/>
      <c r="AT195" s="251"/>
      <c r="AU195" s="251"/>
      <c r="AV195" s="251"/>
      <c r="AW195" s="251"/>
      <c r="AX195" s="251"/>
      <c r="AY195" s="251"/>
      <c r="AZ195" s="251">
        <f t="shared" ca="1" si="8"/>
        <v>593</v>
      </c>
    </row>
    <row r="196" spans="2:52" ht="15" customHeight="1" x14ac:dyDescent="0.25">
      <c r="B196" s="243">
        <v>327</v>
      </c>
      <c r="C196" s="259" t="s">
        <v>667</v>
      </c>
      <c r="D196" s="263">
        <v>7445</v>
      </c>
      <c r="E196" s="252">
        <f>(BDD[[#This Row],[SUE MENS]]/30)</f>
        <v>248.16666666666666</v>
      </c>
      <c r="F196" s="252">
        <f>BDD[[#This Row],[SUE MENS]]/2</f>
        <v>3722.5</v>
      </c>
      <c r="G196" s="320">
        <v>42223</v>
      </c>
      <c r="H196" s="243">
        <f ca="1">INT(_xlfn.DAYS(TODAY(),BDD[[#This Row],[FECHA ING.]])/365)</f>
        <v>6</v>
      </c>
      <c r="I196" s="251" t="str">
        <f>VLOOKUP(J196,TABLAS!$B$3:$G$49,2,FALSE)</f>
        <v>DIRECCIÓN</v>
      </c>
      <c r="J196" s="244" t="s">
        <v>745</v>
      </c>
      <c r="K196" s="251" t="s">
        <v>778</v>
      </c>
      <c r="L196" s="251" t="s">
        <v>763</v>
      </c>
      <c r="M196" s="251"/>
      <c r="N196" s="253" t="s">
        <v>2166</v>
      </c>
      <c r="O196" s="251" t="str">
        <f>IFERROR(VLOOKUP(BDD[[#This Row],[SUBDPTO]],TABLAS!$B$4:$D$36,3,0)," ")</f>
        <v>MARIANA RODRÍGUEZ GUTIERREZ</v>
      </c>
      <c r="P196" s="258">
        <v>43156</v>
      </c>
      <c r="Q196" s="254">
        <v>5088</v>
      </c>
      <c r="R196" s="255" t="s">
        <v>740</v>
      </c>
      <c r="S196" s="251"/>
      <c r="T196" s="251" t="s">
        <v>301</v>
      </c>
      <c r="U196" s="243">
        <f ca="1">VLOOKUP(BDD[[#This Row],[ANTIG]],DIASXANT18[#All],2)</f>
        <v>16</v>
      </c>
      <c r="V196" s="256">
        <f t="shared" si="11"/>
        <v>0.5</v>
      </c>
      <c r="W196" s="243">
        <f ca="1">BDD[[#This Row],[D.VAC.]]*BDD[[#This Row],[% P.V.]]</f>
        <v>8</v>
      </c>
      <c r="X196" s="243">
        <v>30</v>
      </c>
      <c r="Y196" s="257">
        <f ca="1">(365+BDD[[#This Row],[D.PAG.V.]]+BDD[[#This Row],[D.AG.]])/365</f>
        <v>1.1041095890410959</v>
      </c>
      <c r="Z196" s="243">
        <f ca="1">BDD[[#This Row],[SUE DIA]]*BDD[[#This Row],[FACTOR SDI]]</f>
        <v>274.00319634703197</v>
      </c>
      <c r="AA196" s="243">
        <f>BDD[[#This Row],[SUE DIA]]/9</f>
        <v>27.574074074074073</v>
      </c>
      <c r="AB196" s="251">
        <v>26835</v>
      </c>
      <c r="AC196" s="251" t="s">
        <v>942</v>
      </c>
      <c r="AD196" s="251" t="s">
        <v>786</v>
      </c>
      <c r="AE196" s="260">
        <v>6504869773</v>
      </c>
      <c r="AF196" s="251" t="s">
        <v>1497</v>
      </c>
      <c r="AG196" s="251" t="s">
        <v>773</v>
      </c>
      <c r="AH196" s="251" t="s">
        <v>1555</v>
      </c>
      <c r="AI196" s="243" t="s">
        <v>151</v>
      </c>
      <c r="AJ196" s="258" cm="1">
        <f t="array" aca="1" ref="AJ196" ca="1">DATE(YEAR(FECH.CONS[FECHA DE CONSULTA:]),MONTH(BDD[[#This Row],[FECHA NAC]]),DAY(BDD[[#This Row],[FECHA NAC]]))</f>
        <v>44732</v>
      </c>
      <c r="AK196" s="243"/>
      <c r="AL196" s="261" t="s">
        <v>314</v>
      </c>
      <c r="AM196" s="251" t="s">
        <v>1535</v>
      </c>
      <c r="AN196" s="251" t="s">
        <v>1551</v>
      </c>
      <c r="AO196" s="245">
        <v>65</v>
      </c>
      <c r="AP196" s="251">
        <f ca="1">INT((TODAY()-BDD[[#This Row],[FECHA NAC]])/365)</f>
        <v>49</v>
      </c>
      <c r="AQ196" s="251">
        <v>0</v>
      </c>
      <c r="AR196" s="251">
        <f ca="1">IF(BDD[[#This Row],[ANTIG]]=0,0,1)</f>
        <v>1</v>
      </c>
      <c r="AS196" s="251"/>
      <c r="AT196" s="251"/>
      <c r="AU196" s="251"/>
      <c r="AV196" s="251"/>
      <c r="AW196" s="251"/>
      <c r="AX196" s="251"/>
      <c r="AY196" s="251"/>
      <c r="AZ196" s="251">
        <f t="shared" ca="1" si="8"/>
        <v>419</v>
      </c>
    </row>
    <row r="197" spans="2:52" ht="15" customHeight="1" x14ac:dyDescent="0.25">
      <c r="B197" s="243">
        <v>328</v>
      </c>
      <c r="C197" s="259" t="s">
        <v>831</v>
      </c>
      <c r="D197" s="252">
        <v>7950</v>
      </c>
      <c r="E197" s="252">
        <f>(BDD[[#This Row],[SUE MENS]]/30)</f>
        <v>265</v>
      </c>
      <c r="F197" s="252">
        <f>BDD[[#This Row],[SUE MENS]]/2</f>
        <v>3975</v>
      </c>
      <c r="G197" s="319">
        <v>42224</v>
      </c>
      <c r="H197" s="243">
        <f ca="1">INT(_xlfn.DAYS(TODAY(),BDD[[#This Row],[FECHA ING.]])/365)</f>
        <v>6</v>
      </c>
      <c r="I197" s="251" t="str">
        <f>VLOOKUP(J197,TABLAS!$B$3:$G$49,2,FALSE)</f>
        <v>CONTABILIDAD</v>
      </c>
      <c r="J197" s="198" t="s">
        <v>737</v>
      </c>
      <c r="K197" s="251" t="s">
        <v>778</v>
      </c>
      <c r="L197" s="251" t="s">
        <v>763</v>
      </c>
      <c r="M197" s="251"/>
      <c r="N197" s="244" t="s">
        <v>2202</v>
      </c>
      <c r="O197" s="251" t="str">
        <f>IFERROR(VLOOKUP(BDD[[#This Row],[SUBDPTO]],TABLAS!$B$4:$D$36,3,0)," ")</f>
        <v>IRIE DALÍ ANTARES CORTÉS</v>
      </c>
      <c r="P197" s="258"/>
      <c r="Q197" s="264"/>
      <c r="R197" s="244"/>
      <c r="S197" s="251"/>
      <c r="T197" s="251" t="s">
        <v>301</v>
      </c>
      <c r="U197" s="243">
        <f ca="1">VLOOKUP(BDD[[#This Row],[ANTIG]],DIASXANT18[#All],2)</f>
        <v>16</v>
      </c>
      <c r="V197" s="256">
        <f t="shared" si="11"/>
        <v>0.5</v>
      </c>
      <c r="W197" s="243">
        <f ca="1">BDD[[#This Row],[D.VAC.]]*BDD[[#This Row],[% P.V.]]</f>
        <v>8</v>
      </c>
      <c r="X197" s="243">
        <v>30</v>
      </c>
      <c r="Y197" s="257">
        <f ca="1">(365+BDD[[#This Row],[D.PAG.V.]]+BDD[[#This Row],[D.AG.]])/365</f>
        <v>1.1041095890410959</v>
      </c>
      <c r="Z197" s="243">
        <f ca="1">BDD[[#This Row],[SUE DIA]]*BDD[[#This Row],[FACTOR SDI]]</f>
        <v>292.58904109589042</v>
      </c>
      <c r="AA197" s="243">
        <f>BDD[[#This Row],[SUE DIA]]/9</f>
        <v>29.444444444444443</v>
      </c>
      <c r="AB197" s="251">
        <v>32030</v>
      </c>
      <c r="AC197" s="251" t="s">
        <v>905</v>
      </c>
      <c r="AD197" s="251" t="s">
        <v>793</v>
      </c>
      <c r="AE197" s="260">
        <v>6503214786</v>
      </c>
      <c r="AF197" s="251" t="s">
        <v>1383</v>
      </c>
      <c r="AG197" s="251" t="s">
        <v>773</v>
      </c>
      <c r="AH197" s="251" t="s">
        <v>730</v>
      </c>
      <c r="AI197" s="243" t="s">
        <v>151</v>
      </c>
      <c r="AJ197" s="258" cm="1">
        <f t="array" aca="1" ref="AJ197" ca="1">DATE(YEAR(FECH.CONS[FECHA DE CONSULTA:]),MONTH(BDD[[#This Row],[FECHA NAC]]),DAY(BDD[[#This Row],[FECHA NAC]]))</f>
        <v>44814</v>
      </c>
      <c r="AK197" s="243">
        <v>9</v>
      </c>
      <c r="AL197" s="261" t="s">
        <v>312</v>
      </c>
      <c r="AM197" s="251" t="s">
        <v>1535</v>
      </c>
      <c r="AN197" s="251" t="s">
        <v>1551</v>
      </c>
      <c r="AO197" s="245">
        <v>53</v>
      </c>
      <c r="AP197" s="251">
        <f ca="1">INT((TODAY()-BDD[[#This Row],[FECHA NAC]])/365)</f>
        <v>34</v>
      </c>
      <c r="AQ197" s="251">
        <v>0</v>
      </c>
      <c r="AR197" s="251">
        <f ca="1">IF(BDD[[#This Row],[ANTIG]]=0,0,1)</f>
        <v>1</v>
      </c>
      <c r="AS197" s="251"/>
      <c r="AT197" s="251"/>
      <c r="AU197" s="251"/>
      <c r="AV197" s="251"/>
      <c r="AW197" s="251"/>
      <c r="AX197" s="251"/>
      <c r="AY197" s="251"/>
      <c r="AZ197" s="251">
        <f t="shared" ca="1" si="8"/>
        <v>522</v>
      </c>
    </row>
    <row r="198" spans="2:52" ht="15" customHeight="1" x14ac:dyDescent="0.25">
      <c r="B198" s="243">
        <v>329</v>
      </c>
      <c r="C198" s="251" t="s">
        <v>233</v>
      </c>
      <c r="D198" s="252">
        <v>9541</v>
      </c>
      <c r="E198" s="252">
        <f>(BDD[[#This Row],[SUE MENS]]/30)</f>
        <v>318.03333333333336</v>
      </c>
      <c r="F198" s="252">
        <f>BDD[[#This Row],[SUE MENS]]/2</f>
        <v>4770.5</v>
      </c>
      <c r="G198" s="319">
        <v>42225</v>
      </c>
      <c r="H198" s="243">
        <f ca="1">INT(_xlfn.DAYS(TODAY(),BDD[[#This Row],[FECHA ING.]])/365)</f>
        <v>6</v>
      </c>
      <c r="I198" s="251" t="str">
        <f>VLOOKUP(J198,TABLAS!$B$3:$G$49,2,FALSE)</f>
        <v>DIV ARQUIT</v>
      </c>
      <c r="J198" s="198" t="s">
        <v>740</v>
      </c>
      <c r="K198" s="251" t="s">
        <v>778</v>
      </c>
      <c r="L198" s="251" t="s">
        <v>763</v>
      </c>
      <c r="M198" s="251"/>
      <c r="N198" s="244" t="s">
        <v>1866</v>
      </c>
      <c r="O198" s="251" t="str">
        <f>IFERROR(VLOOKUP(BDD[[#This Row],[SUBDPTO]],TABLAS!$B$4:$D$36,3,0)," ")</f>
        <v>MÉRIDA ISELA MEDINA SALINAS</v>
      </c>
      <c r="P198" s="258">
        <f>BDD[[#This Row],[FECHA ING.]]+700</f>
        <v>42925</v>
      </c>
      <c r="Q198" s="254">
        <v>5211.5</v>
      </c>
      <c r="R198" s="251" t="s">
        <v>853</v>
      </c>
      <c r="S198" s="251"/>
      <c r="T198" s="251" t="s">
        <v>811</v>
      </c>
      <c r="U198" s="243">
        <f ca="1">VLOOKUP(BDD[[#This Row],[ANTIG]],DIASXANT18[#All],2)</f>
        <v>16</v>
      </c>
      <c r="V198" s="256">
        <f t="shared" si="11"/>
        <v>0.5</v>
      </c>
      <c r="W198" s="243">
        <f ca="1">BDD[[#This Row],[D.VAC.]]*BDD[[#This Row],[% P.V.]]</f>
        <v>8</v>
      </c>
      <c r="X198" s="243">
        <v>30</v>
      </c>
      <c r="Y198" s="257">
        <f ca="1">(365+BDD[[#This Row],[D.PAG.V.]]+BDD[[#This Row],[D.AG.]])/365</f>
        <v>1.1041095890410959</v>
      </c>
      <c r="Z198" s="243">
        <f ca="1">BDD[[#This Row],[SUE DIA]]*BDD[[#This Row],[FACTOR SDI]]</f>
        <v>351.14365296803658</v>
      </c>
      <c r="AA198" s="243">
        <f>BDD[[#This Row],[SUE DIA]]/9</f>
        <v>35.337037037037042</v>
      </c>
      <c r="AB198" s="251">
        <v>35981</v>
      </c>
      <c r="AC198" s="251" t="s">
        <v>906</v>
      </c>
      <c r="AD198" s="251" t="s">
        <v>791</v>
      </c>
      <c r="AE198" s="252">
        <v>8338343457</v>
      </c>
      <c r="AF198" s="251" t="s">
        <v>1257</v>
      </c>
      <c r="AG198" s="251" t="s">
        <v>773</v>
      </c>
      <c r="AH198" s="251" t="s">
        <v>1555</v>
      </c>
      <c r="AI198" s="243" t="s">
        <v>151</v>
      </c>
      <c r="AJ198" s="258" cm="1">
        <f t="array" aca="1" ref="AJ198" ca="1">DATE(YEAR(FECH.CONS[FECHA DE CONSULTA:]),MONTH(BDD[[#This Row],[FECHA NAC]]),DAY(BDD[[#This Row],[FECHA NAC]]))</f>
        <v>44747</v>
      </c>
      <c r="AK198" s="243"/>
      <c r="AL198" s="261" t="s">
        <v>311</v>
      </c>
      <c r="AM198" s="251" t="s">
        <v>1543</v>
      </c>
      <c r="AN198" s="251" t="s">
        <v>1551</v>
      </c>
      <c r="AO198" s="245">
        <v>91</v>
      </c>
      <c r="AP198" s="251">
        <f ca="1">INT((TODAY()-BDD[[#This Row],[FECHA NAC]])/365)</f>
        <v>24</v>
      </c>
      <c r="AQ198" s="251">
        <v>1</v>
      </c>
      <c r="AR198" s="251">
        <f ca="1">IF(BDD[[#This Row],[ANTIG]]=0,0,1)</f>
        <v>1</v>
      </c>
      <c r="AS198" s="251"/>
      <c r="AT198" s="251"/>
      <c r="AU198" s="251"/>
      <c r="AV198" s="251"/>
      <c r="AW198" s="251"/>
      <c r="AX198" s="251"/>
      <c r="AY198" s="251"/>
      <c r="AZ198" s="251">
        <f t="shared" ca="1" si="8"/>
        <v>987</v>
      </c>
    </row>
    <row r="199" spans="2:52" ht="15" customHeight="1" x14ac:dyDescent="0.25">
      <c r="B199" s="243">
        <v>330</v>
      </c>
      <c r="C199" s="251" t="s">
        <v>428</v>
      </c>
      <c r="D199" s="252">
        <v>27150</v>
      </c>
      <c r="E199" s="252">
        <f>(BDD[[#This Row],[SUE MENS]]/30)</f>
        <v>905</v>
      </c>
      <c r="F199" s="252">
        <f>BDD[[#This Row],[SUE MENS]]/2</f>
        <v>13575</v>
      </c>
      <c r="G199" s="319">
        <v>42226</v>
      </c>
      <c r="H199" s="243">
        <f ca="1">INT(_xlfn.DAYS(TODAY(),BDD[[#This Row],[FECHA ING.]])/365)</f>
        <v>6</v>
      </c>
      <c r="I199" s="251" t="str">
        <f>VLOOKUP(J199,TABLAS!$B$3:$G$49,2,FALSE)</f>
        <v>CONTABILIDAD</v>
      </c>
      <c r="J199" s="198" t="s">
        <v>742</v>
      </c>
      <c r="K199" s="244" t="s">
        <v>761</v>
      </c>
      <c r="L199" s="251" t="s">
        <v>763</v>
      </c>
      <c r="M199" s="251">
        <v>1025</v>
      </c>
      <c r="N199" s="244" t="s">
        <v>2184</v>
      </c>
      <c r="O199" s="251" t="str">
        <f>IFERROR(VLOOKUP(BDD[[#This Row],[SUBDPTO]],TABLAS!$B$4:$D$36,3,0)," ")</f>
        <v>IRIE DALÍ ANTARES CORTÉS</v>
      </c>
      <c r="P199" s="258">
        <f>BDD[[#This Row],[FECHA ING.]]+1000</f>
        <v>43226</v>
      </c>
      <c r="Q199" s="254">
        <v>18130</v>
      </c>
      <c r="R199" s="251" t="s">
        <v>853</v>
      </c>
      <c r="S199" s="251"/>
      <c r="T199" s="251" t="s">
        <v>301</v>
      </c>
      <c r="U199" s="243">
        <f ca="1">VLOOKUP(BDD[[#This Row],[ANTIG]],DIASXANT18[#All],2)</f>
        <v>16</v>
      </c>
      <c r="V199" s="256">
        <f t="shared" si="11"/>
        <v>0.5</v>
      </c>
      <c r="W199" s="243">
        <f ca="1">BDD[[#This Row],[D.VAC.]]*BDD[[#This Row],[% P.V.]]</f>
        <v>8</v>
      </c>
      <c r="X199" s="243">
        <v>30</v>
      </c>
      <c r="Y199" s="257">
        <f ca="1">(365+BDD[[#This Row],[D.PAG.V.]]+BDD[[#This Row],[D.AG.]])/365</f>
        <v>1.1041095890410959</v>
      </c>
      <c r="Z199" s="243">
        <f ca="1">BDD[[#This Row],[SUE DIA]]*BDD[[#This Row],[FACTOR SDI]]</f>
        <v>999.21917808219177</v>
      </c>
      <c r="AA199" s="243">
        <f>BDD[[#This Row],[SUE DIA]]/9</f>
        <v>100.55555555555556</v>
      </c>
      <c r="AB199" s="251">
        <v>34910</v>
      </c>
      <c r="AC199" s="251" t="s">
        <v>946</v>
      </c>
      <c r="AD199" s="251" t="s">
        <v>786</v>
      </c>
      <c r="AE199" s="252">
        <v>8811892057</v>
      </c>
      <c r="AF199" s="251" t="s">
        <v>1167</v>
      </c>
      <c r="AG199" s="251" t="s">
        <v>776</v>
      </c>
      <c r="AH199" s="251" t="s">
        <v>1555</v>
      </c>
      <c r="AI199" s="243" t="s">
        <v>151</v>
      </c>
      <c r="AJ199" s="258" cm="1">
        <f t="array" aca="1" ref="AJ199" ca="1">DATE(YEAR(FECH.CONS[FECHA DE CONSULTA:]),MONTH(BDD[[#This Row],[FECHA NAC]]),DAY(BDD[[#This Row],[FECHA NAC]]))</f>
        <v>44772</v>
      </c>
      <c r="AK199" s="243"/>
      <c r="AL199" s="251" t="s">
        <v>311</v>
      </c>
      <c r="AM199" s="251" t="s">
        <v>1538</v>
      </c>
      <c r="AN199" s="251" t="s">
        <v>1551</v>
      </c>
      <c r="AO199" s="245">
        <v>76</v>
      </c>
      <c r="AP199" s="251">
        <f ca="1">INT((TODAY()-BDD[[#This Row],[FECHA NAC]])/365)</f>
        <v>26</v>
      </c>
      <c r="AQ199" s="251">
        <v>0</v>
      </c>
      <c r="AR199" s="251">
        <f ca="1">IF(BDD[[#This Row],[ANTIG]]=0,0,1)</f>
        <v>1</v>
      </c>
      <c r="AS199" s="251"/>
      <c r="AT199" s="251"/>
      <c r="AU199" s="251"/>
      <c r="AV199" s="251"/>
      <c r="AW199" s="251"/>
      <c r="AX199" s="251"/>
      <c r="AY199" s="251"/>
      <c r="AZ199" s="251">
        <f t="shared" ca="1" si="8"/>
        <v>925</v>
      </c>
    </row>
    <row r="200" spans="2:52" ht="15" customHeight="1" x14ac:dyDescent="0.25">
      <c r="B200" s="243">
        <v>331</v>
      </c>
      <c r="C200" s="251" t="s">
        <v>421</v>
      </c>
      <c r="D200" s="252">
        <v>7950</v>
      </c>
      <c r="E200" s="252">
        <f>(BDD[[#This Row],[SUE MENS]]/30)</f>
        <v>265</v>
      </c>
      <c r="F200" s="252">
        <f>BDD[[#This Row],[SUE MENS]]/2</f>
        <v>3975</v>
      </c>
      <c r="G200" s="319">
        <v>42229</v>
      </c>
      <c r="H200" s="243">
        <f ca="1">INT(_xlfn.DAYS(TODAY(),BDD[[#This Row],[FECHA ING.]])/365)</f>
        <v>6</v>
      </c>
      <c r="I200" s="251" t="str">
        <f>VLOOKUP(J200,TABLAS!$B$3:$G$49,2,FALSE)</f>
        <v>DIV ARQUIT</v>
      </c>
      <c r="J200" s="198" t="s">
        <v>741</v>
      </c>
      <c r="K200" s="251" t="s">
        <v>778</v>
      </c>
      <c r="L200" s="251" t="s">
        <v>763</v>
      </c>
      <c r="M200" s="251"/>
      <c r="N200" s="244" t="s">
        <v>2157</v>
      </c>
      <c r="O200" s="251" t="str">
        <f>IFERROR(VLOOKUP(BDD[[#This Row],[SUBDPTO]],TABLAS!$B$4:$D$36,3,0)," ")</f>
        <v>MÉRIDA ISELA MEDINA SALINAS</v>
      </c>
      <c r="P200" s="258">
        <v>44097</v>
      </c>
      <c r="Q200" s="254">
        <v>6000</v>
      </c>
      <c r="R200" s="255" t="s">
        <v>747</v>
      </c>
      <c r="S200" s="251"/>
      <c r="T200" s="251" t="s">
        <v>811</v>
      </c>
      <c r="U200" s="243">
        <f ca="1">VLOOKUP(BDD[[#This Row],[ANTIG]],DIASXANT18[#All],2)</f>
        <v>16</v>
      </c>
      <c r="V200" s="256">
        <f t="shared" si="11"/>
        <v>0.5</v>
      </c>
      <c r="W200" s="243">
        <f ca="1">BDD[[#This Row],[D.VAC.]]*BDD[[#This Row],[% P.V.]]</f>
        <v>8</v>
      </c>
      <c r="X200" s="243">
        <v>30</v>
      </c>
      <c r="Y200" s="257">
        <f ca="1">(365+BDD[[#This Row],[D.PAG.V.]]+BDD[[#This Row],[D.AG.]])/365</f>
        <v>1.1041095890410959</v>
      </c>
      <c r="Z200" s="243">
        <f ca="1">BDD[[#This Row],[SUE DIA]]*BDD[[#This Row],[FACTOR SDI]]</f>
        <v>292.58904109589042</v>
      </c>
      <c r="AA200" s="243">
        <f>BDD[[#This Row],[SUE DIA]]/9</f>
        <v>29.444444444444443</v>
      </c>
      <c r="AB200" s="251">
        <v>31736</v>
      </c>
      <c r="AC200" s="251" t="s">
        <v>956</v>
      </c>
      <c r="AD200" s="251" t="s">
        <v>809</v>
      </c>
      <c r="AE200" s="252">
        <v>8251560407</v>
      </c>
      <c r="AF200" s="251" t="s">
        <v>1180</v>
      </c>
      <c r="AG200" s="251" t="s">
        <v>773</v>
      </c>
      <c r="AH200" s="251" t="s">
        <v>730</v>
      </c>
      <c r="AI200" s="243" t="s">
        <v>151</v>
      </c>
      <c r="AJ200" s="258" cm="1">
        <f t="array" aca="1" ref="AJ200" ca="1">DATE(YEAR(FECH.CONS[FECHA DE CONSULTA:]),MONTH(BDD[[#This Row],[FECHA NAC]]),DAY(BDD[[#This Row],[FECHA NAC]]))</f>
        <v>44885</v>
      </c>
      <c r="AK200" s="243">
        <v>10</v>
      </c>
      <c r="AL200" s="251" t="s">
        <v>311</v>
      </c>
      <c r="AM200" s="251" t="s">
        <v>1542</v>
      </c>
      <c r="AN200" s="251" t="s">
        <v>1551</v>
      </c>
      <c r="AO200" s="245">
        <v>56</v>
      </c>
      <c r="AP200" s="251">
        <f ca="1">INT((TODAY()-BDD[[#This Row],[FECHA NAC]])/365)</f>
        <v>35</v>
      </c>
      <c r="AQ200" s="251">
        <v>1</v>
      </c>
      <c r="AR200" s="251">
        <f ca="1">IF(BDD[[#This Row],[ANTIG]]=0,0,1)</f>
        <v>1</v>
      </c>
      <c r="AS200" s="251"/>
      <c r="AT200" s="251"/>
      <c r="AU200" s="251"/>
      <c r="AV200" s="251"/>
      <c r="AW200" s="251"/>
      <c r="AX200" s="251"/>
      <c r="AY200" s="251"/>
      <c r="AZ200" s="251">
        <f t="shared" ca="1" si="8"/>
        <v>181</v>
      </c>
    </row>
    <row r="201" spans="2:52" ht="15" customHeight="1" x14ac:dyDescent="0.25">
      <c r="B201" s="243">
        <v>332</v>
      </c>
      <c r="C201" s="251" t="s">
        <v>406</v>
      </c>
      <c r="D201" s="252">
        <v>9541</v>
      </c>
      <c r="E201" s="252">
        <f>(BDD[[#This Row],[SUE MENS]]/30)</f>
        <v>318.03333333333336</v>
      </c>
      <c r="F201" s="252">
        <f>BDD[[#This Row],[SUE MENS]]/2</f>
        <v>4770.5</v>
      </c>
      <c r="G201" s="320">
        <v>42245</v>
      </c>
      <c r="H201" s="243">
        <f ca="1">INT(_xlfn.DAYS(TODAY(),BDD[[#This Row],[FECHA ING.]])/365)</f>
        <v>6</v>
      </c>
      <c r="I201" s="251" t="str">
        <f>VLOOKUP(J201,TABLAS!$B$3:$G$49,2,FALSE)</f>
        <v>AUDITORÍA</v>
      </c>
      <c r="J201" s="198" t="s">
        <v>736</v>
      </c>
      <c r="K201" s="251" t="s">
        <v>778</v>
      </c>
      <c r="L201" s="251" t="s">
        <v>763</v>
      </c>
      <c r="M201" s="251"/>
      <c r="N201" s="244" t="s">
        <v>2093</v>
      </c>
      <c r="O201" s="251" t="str">
        <f>IFERROR(VLOOKUP(BDD[[#This Row],[SUBDPTO]],TABLAS!$B$4:$D$36,3,0)," ")</f>
        <v>MARCO AURELIO URBINO</v>
      </c>
      <c r="P201" s="258">
        <v>42864</v>
      </c>
      <c r="Q201" s="254">
        <v>5088</v>
      </c>
      <c r="R201" s="261" t="s">
        <v>767</v>
      </c>
      <c r="S201" s="251"/>
      <c r="T201" s="251" t="s">
        <v>811</v>
      </c>
      <c r="U201" s="243">
        <f ca="1">VLOOKUP(BDD[[#This Row],[ANTIG]],DIASXANT18[#All],2)</f>
        <v>16</v>
      </c>
      <c r="V201" s="256">
        <f t="shared" si="11"/>
        <v>0.5</v>
      </c>
      <c r="W201" s="243">
        <f ca="1">BDD[[#This Row],[D.VAC.]]*BDD[[#This Row],[% P.V.]]</f>
        <v>8</v>
      </c>
      <c r="X201" s="243">
        <v>30</v>
      </c>
      <c r="Y201" s="257">
        <f ca="1">(365+BDD[[#This Row],[D.PAG.V.]]+BDD[[#This Row],[D.AG.]])/365</f>
        <v>1.1041095890410959</v>
      </c>
      <c r="Z201" s="243">
        <f ca="1">BDD[[#This Row],[SUE DIA]]*BDD[[#This Row],[FACTOR SDI]]</f>
        <v>351.14365296803658</v>
      </c>
      <c r="AA201" s="243">
        <f>BDD[[#This Row],[SUE DIA]]/9</f>
        <v>35.337037037037042</v>
      </c>
      <c r="AB201" s="251">
        <v>34296</v>
      </c>
      <c r="AC201" s="251" t="s">
        <v>995</v>
      </c>
      <c r="AD201" s="251" t="s">
        <v>789</v>
      </c>
      <c r="AE201" s="252">
        <v>8426091384</v>
      </c>
      <c r="AF201" s="251" t="s">
        <v>1240</v>
      </c>
      <c r="AG201" s="251" t="s">
        <v>773</v>
      </c>
      <c r="AH201" s="251" t="s">
        <v>730</v>
      </c>
      <c r="AI201" s="243" t="s">
        <v>151</v>
      </c>
      <c r="AJ201" s="258" cm="1">
        <f t="array" aca="1" ref="AJ201" ca="1">DATE(YEAR(FECH.CONS[FECHA DE CONSULTA:]),MONTH(BDD[[#This Row],[FECHA NAC]]),DAY(BDD[[#This Row],[FECHA NAC]]))</f>
        <v>44888</v>
      </c>
      <c r="AK201" s="243">
        <v>10</v>
      </c>
      <c r="AL201" s="251" t="s">
        <v>311</v>
      </c>
      <c r="AM201" s="251" t="s">
        <v>1535</v>
      </c>
      <c r="AN201" s="251" t="s">
        <v>1551</v>
      </c>
      <c r="AO201" s="245">
        <v>33</v>
      </c>
      <c r="AP201" s="251">
        <f ca="1">INT((TODAY()-BDD[[#This Row],[FECHA NAC]])/365)</f>
        <v>28</v>
      </c>
      <c r="AQ201" s="251">
        <v>1</v>
      </c>
      <c r="AR201" s="251">
        <f ca="1">IF(BDD[[#This Row],[ANTIG]]=0,0,1)</f>
        <v>1</v>
      </c>
      <c r="AS201" s="251"/>
      <c r="AT201" s="251"/>
      <c r="AU201" s="251"/>
      <c r="AV201" s="251"/>
      <c r="AW201" s="251"/>
      <c r="AX201" s="251"/>
      <c r="AY201" s="251"/>
      <c r="AZ201" s="251">
        <f t="shared" ref="AZ201:AZ264" ca="1" si="12">RANDBETWEEN(1,1000)</f>
        <v>697</v>
      </c>
    </row>
    <row r="202" spans="2:52" ht="15" customHeight="1" x14ac:dyDescent="0.25">
      <c r="B202" s="243">
        <v>333</v>
      </c>
      <c r="C202" s="262" t="s">
        <v>340</v>
      </c>
      <c r="D202" s="252">
        <v>7445</v>
      </c>
      <c r="E202" s="252">
        <f>(BDD[[#This Row],[SUE MENS]]/30)</f>
        <v>248.16666666666666</v>
      </c>
      <c r="F202" s="252">
        <f>BDD[[#This Row],[SUE MENS]]/2</f>
        <v>3722.5</v>
      </c>
      <c r="G202" s="320">
        <v>42254</v>
      </c>
      <c r="H202" s="243">
        <f ca="1">INT(_xlfn.DAYS(TODAY(),BDD[[#This Row],[FECHA ING.]])/365)</f>
        <v>6</v>
      </c>
      <c r="I202" s="251" t="str">
        <f>VLOOKUP(J202,TABLAS!$B$3:$G$49,2,FALSE)</f>
        <v>DIV INGENRIA</v>
      </c>
      <c r="J202" s="198" t="s">
        <v>743</v>
      </c>
      <c r="K202" s="251" t="s">
        <v>778</v>
      </c>
      <c r="L202" s="251" t="s">
        <v>763</v>
      </c>
      <c r="M202" s="251"/>
      <c r="N202" s="244" t="s">
        <v>2119</v>
      </c>
      <c r="O202" s="251" t="str">
        <f>IFERROR(VLOOKUP(BDD[[#This Row],[SUBDPTO]],TABLAS!$B$4:$D$36,3,0)," ")</f>
        <v>DIEGO HERRERA GIRÓN</v>
      </c>
      <c r="P202" s="258"/>
      <c r="Q202" s="264"/>
      <c r="R202" s="244"/>
      <c r="S202" s="251"/>
      <c r="T202" s="251" t="s">
        <v>811</v>
      </c>
      <c r="U202" s="243">
        <f ca="1">VLOOKUP(BDD[[#This Row],[ANTIG]],DIASXANT18[#All],2)</f>
        <v>16</v>
      </c>
      <c r="V202" s="256">
        <f t="shared" si="11"/>
        <v>0.5</v>
      </c>
      <c r="W202" s="243">
        <f ca="1">BDD[[#This Row],[D.VAC.]]*BDD[[#This Row],[% P.V.]]</f>
        <v>8</v>
      </c>
      <c r="X202" s="243">
        <v>30</v>
      </c>
      <c r="Y202" s="257">
        <f ca="1">(365+BDD[[#This Row],[D.PAG.V.]]+BDD[[#This Row],[D.AG.]])/365</f>
        <v>1.1041095890410959</v>
      </c>
      <c r="Z202" s="243">
        <f ca="1">BDD[[#This Row],[SUE DIA]]*BDD[[#This Row],[FACTOR SDI]]</f>
        <v>274.00319634703197</v>
      </c>
      <c r="AA202" s="243">
        <f>BDD[[#This Row],[SUE DIA]]/9</f>
        <v>27.574074074074073</v>
      </c>
      <c r="AB202" s="262">
        <v>31758</v>
      </c>
      <c r="AC202" s="251" t="s">
        <v>944</v>
      </c>
      <c r="AD202" s="251" t="s">
        <v>787</v>
      </c>
      <c r="AE202" s="252">
        <v>8248403698</v>
      </c>
      <c r="AF202" s="251" t="s">
        <v>1308</v>
      </c>
      <c r="AG202" s="251" t="s">
        <v>776</v>
      </c>
      <c r="AH202" s="251" t="s">
        <v>730</v>
      </c>
      <c r="AI202" s="243" t="s">
        <v>151</v>
      </c>
      <c r="AJ202" s="258" cm="1">
        <f t="array" aca="1" ref="AJ202" ca="1">DATE(YEAR(FECH.CONS[FECHA DE CONSULTA:]),MONTH(BDD[[#This Row],[FECHA NAC]]),DAY(BDD[[#This Row],[FECHA NAC]]))</f>
        <v>44907</v>
      </c>
      <c r="AK202" s="243">
        <v>6</v>
      </c>
      <c r="AL202" s="251" t="s">
        <v>311</v>
      </c>
      <c r="AM202" s="251" t="s">
        <v>1538</v>
      </c>
      <c r="AN202" s="251" t="s">
        <v>1551</v>
      </c>
      <c r="AO202" s="245">
        <v>85</v>
      </c>
      <c r="AP202" s="251">
        <f ca="1">INT((TODAY()-BDD[[#This Row],[FECHA NAC]])/365)</f>
        <v>35</v>
      </c>
      <c r="AQ202" s="251">
        <v>0</v>
      </c>
      <c r="AR202" s="251">
        <f ca="1">IF(BDD[[#This Row],[ANTIG]]=0,0,1)</f>
        <v>1</v>
      </c>
      <c r="AS202" s="251"/>
      <c r="AT202" s="251"/>
      <c r="AU202" s="251"/>
      <c r="AV202" s="251"/>
      <c r="AW202" s="251"/>
      <c r="AX202" s="251"/>
      <c r="AY202" s="251"/>
      <c r="AZ202" s="251">
        <f t="shared" ca="1" si="12"/>
        <v>559</v>
      </c>
    </row>
    <row r="203" spans="2:52" ht="15" customHeight="1" x14ac:dyDescent="0.25">
      <c r="B203" s="243">
        <v>334</v>
      </c>
      <c r="C203" s="259" t="s">
        <v>818</v>
      </c>
      <c r="D203" s="252">
        <v>9450</v>
      </c>
      <c r="E203" s="252">
        <f>(BDD[[#This Row],[SUE MENS]]/30)</f>
        <v>315</v>
      </c>
      <c r="F203" s="252">
        <f>BDD[[#This Row],[SUE MENS]]/2</f>
        <v>4725</v>
      </c>
      <c r="G203" s="320">
        <v>42255</v>
      </c>
      <c r="H203" s="243">
        <f ca="1">INT(_xlfn.DAYS(TODAY(),BDD[[#This Row],[FECHA ING.]])/365)</f>
        <v>6</v>
      </c>
      <c r="I203" s="251" t="str">
        <f>VLOOKUP(J203,TABLAS!$B$3:$G$49,2,FALSE)</f>
        <v>DIV INGENRIA</v>
      </c>
      <c r="J203" s="198" t="s">
        <v>756</v>
      </c>
      <c r="K203" s="251" t="s">
        <v>778</v>
      </c>
      <c r="L203" s="251" t="s">
        <v>763</v>
      </c>
      <c r="M203" s="251"/>
      <c r="N203" s="244" t="s">
        <v>1771</v>
      </c>
      <c r="O203" s="251" t="str">
        <f>IFERROR(VLOOKUP(BDD[[#This Row],[SUBDPTO]],TABLAS!$B$4:$D$36,3,0)," ")</f>
        <v>DIEGO HERRERA GIRÓN</v>
      </c>
      <c r="P203" s="258"/>
      <c r="Q203" s="264"/>
      <c r="R203" s="244"/>
      <c r="S203" s="251"/>
      <c r="T203" s="251" t="s">
        <v>811</v>
      </c>
      <c r="U203" s="243">
        <f ca="1">VLOOKUP(BDD[[#This Row],[ANTIG]],DIASXANT18[#All],2)</f>
        <v>16</v>
      </c>
      <c r="V203" s="256">
        <f t="shared" si="11"/>
        <v>0.5</v>
      </c>
      <c r="W203" s="243">
        <f ca="1">BDD[[#This Row],[D.VAC.]]*BDD[[#This Row],[% P.V.]]</f>
        <v>8</v>
      </c>
      <c r="X203" s="243">
        <v>30</v>
      </c>
      <c r="Y203" s="257">
        <f ca="1">(365+BDD[[#This Row],[D.PAG.V.]]+BDD[[#This Row],[D.AG.]])/365</f>
        <v>1.1041095890410959</v>
      </c>
      <c r="Z203" s="243">
        <f ca="1">BDD[[#This Row],[SUE DIA]]*BDD[[#This Row],[FACTOR SDI]]</f>
        <v>347.79452054794518</v>
      </c>
      <c r="AA203" s="243">
        <f>BDD[[#This Row],[SUE DIA]]/9</f>
        <v>35</v>
      </c>
      <c r="AB203" s="251">
        <v>25591</v>
      </c>
      <c r="AC203" s="251" t="s">
        <v>924</v>
      </c>
      <c r="AD203" s="251" t="s">
        <v>790</v>
      </c>
      <c r="AE203" s="260">
        <v>3450453727</v>
      </c>
      <c r="AF203" s="251" t="s">
        <v>1517</v>
      </c>
      <c r="AG203" s="251" t="s">
        <v>776</v>
      </c>
      <c r="AH203" s="251" t="s">
        <v>730</v>
      </c>
      <c r="AI203" s="243" t="s">
        <v>151</v>
      </c>
      <c r="AJ203" s="258" cm="1">
        <f t="array" aca="1" ref="AJ203" ca="1">DATE(YEAR(FECH.CONS[FECHA DE CONSULTA:]),MONTH(BDD[[#This Row],[FECHA NAC]]),DAY(BDD[[#This Row],[FECHA NAC]]))</f>
        <v>44584</v>
      </c>
      <c r="AK203" s="243">
        <v>5</v>
      </c>
      <c r="AL203" s="261" t="s">
        <v>311</v>
      </c>
      <c r="AM203" s="251" t="s">
        <v>1538</v>
      </c>
      <c r="AN203" s="251" t="s">
        <v>1551</v>
      </c>
      <c r="AO203" s="245">
        <v>81</v>
      </c>
      <c r="AP203" s="251">
        <f ca="1">INT((TODAY()-BDD[[#This Row],[FECHA NAC]])/365)</f>
        <v>52</v>
      </c>
      <c r="AQ203" s="251">
        <v>2</v>
      </c>
      <c r="AR203" s="251">
        <f ca="1">IF(BDD[[#This Row],[ANTIG]]=0,0,1)</f>
        <v>1</v>
      </c>
      <c r="AS203" s="251"/>
      <c r="AT203" s="251"/>
      <c r="AU203" s="251"/>
      <c r="AV203" s="251"/>
      <c r="AW203" s="251"/>
      <c r="AX203" s="251"/>
      <c r="AY203" s="251"/>
      <c r="AZ203" s="251">
        <f t="shared" ca="1" si="12"/>
        <v>936</v>
      </c>
    </row>
    <row r="204" spans="2:52" ht="15" customHeight="1" x14ac:dyDescent="0.25">
      <c r="B204" s="243">
        <v>335</v>
      </c>
      <c r="C204" s="259" t="s">
        <v>538</v>
      </c>
      <c r="D204" s="252">
        <v>9450</v>
      </c>
      <c r="E204" s="252">
        <f>(BDD[[#This Row],[SUE MENS]]/30)</f>
        <v>315</v>
      </c>
      <c r="F204" s="252">
        <f>BDD[[#This Row],[SUE MENS]]/2</f>
        <v>4725</v>
      </c>
      <c r="G204" s="320">
        <v>42258</v>
      </c>
      <c r="H204" s="243">
        <f ca="1">INT(_xlfn.DAYS(TODAY(),BDD[[#This Row],[FECHA ING.]])/365)</f>
        <v>6</v>
      </c>
      <c r="I204" s="251" t="str">
        <f>VLOOKUP(J204,TABLAS!$B$3:$G$49,2,FALSE)</f>
        <v>DIV ARQUIT</v>
      </c>
      <c r="J204" s="198" t="s">
        <v>740</v>
      </c>
      <c r="K204" s="251" t="s">
        <v>778</v>
      </c>
      <c r="L204" s="251" t="s">
        <v>763</v>
      </c>
      <c r="M204" s="251"/>
      <c r="N204" s="253" t="s">
        <v>1976</v>
      </c>
      <c r="O204" s="251" t="str">
        <f>IFERROR(VLOOKUP(BDD[[#This Row],[SUBDPTO]],TABLAS!$B$4:$D$36,3,0)," ")</f>
        <v>MÉRIDA ISELA MEDINA SALINAS</v>
      </c>
      <c r="P204" s="258">
        <v>43894</v>
      </c>
      <c r="Q204" s="254">
        <v>7060</v>
      </c>
      <c r="R204" s="255" t="s">
        <v>741</v>
      </c>
      <c r="S204" s="251"/>
      <c r="T204" s="251" t="s">
        <v>811</v>
      </c>
      <c r="U204" s="243">
        <f ca="1">VLOOKUP(BDD[[#This Row],[ANTIG]],DIASXANT18[#All],2)</f>
        <v>16</v>
      </c>
      <c r="V204" s="256">
        <f t="shared" si="11"/>
        <v>0.5</v>
      </c>
      <c r="W204" s="243">
        <f ca="1">BDD[[#This Row],[D.VAC.]]*BDD[[#This Row],[% P.V.]]</f>
        <v>8</v>
      </c>
      <c r="X204" s="243">
        <v>30</v>
      </c>
      <c r="Y204" s="257">
        <f ca="1">(365+BDD[[#This Row],[D.PAG.V.]]+BDD[[#This Row],[D.AG.]])/365</f>
        <v>1.1041095890410959</v>
      </c>
      <c r="Z204" s="243">
        <f ca="1">BDD[[#This Row],[SUE DIA]]*BDD[[#This Row],[FACTOR SDI]]</f>
        <v>347.79452054794518</v>
      </c>
      <c r="AA204" s="243">
        <f>BDD[[#This Row],[SUE DIA]]/9</f>
        <v>35</v>
      </c>
      <c r="AB204" s="251">
        <v>34614</v>
      </c>
      <c r="AC204" s="251" t="s">
        <v>286</v>
      </c>
      <c r="AD204" s="251" t="s">
        <v>809</v>
      </c>
      <c r="AE204" s="260">
        <v>6714789530</v>
      </c>
      <c r="AF204" s="251" t="s">
        <v>1409</v>
      </c>
      <c r="AG204" s="251" t="s">
        <v>773</v>
      </c>
      <c r="AH204" s="251" t="s">
        <v>730</v>
      </c>
      <c r="AI204" s="243" t="s">
        <v>151</v>
      </c>
      <c r="AJ204" s="258" cm="1">
        <f t="array" aca="1" ref="AJ204" ca="1">DATE(YEAR(FECH.CONS[FECHA DE CONSULTA:]),MONTH(BDD[[#This Row],[FECHA NAC]]),DAY(BDD[[#This Row],[FECHA NAC]]))</f>
        <v>44841</v>
      </c>
      <c r="AK204" s="243">
        <v>8</v>
      </c>
      <c r="AL204" s="261" t="s">
        <v>312</v>
      </c>
      <c r="AM204" s="251" t="s">
        <v>1543</v>
      </c>
      <c r="AN204" s="251" t="s">
        <v>1551</v>
      </c>
      <c r="AO204" s="245">
        <v>71</v>
      </c>
      <c r="AP204" s="251">
        <f ca="1">INT((TODAY()-BDD[[#This Row],[FECHA NAC]])/365)</f>
        <v>27</v>
      </c>
      <c r="AQ204" s="251">
        <v>0</v>
      </c>
      <c r="AR204" s="251">
        <f ca="1">IF(BDD[[#This Row],[ANTIG]]=0,0,1)</f>
        <v>1</v>
      </c>
      <c r="AS204" s="251"/>
      <c r="AT204" s="251"/>
      <c r="AU204" s="251"/>
      <c r="AV204" s="251"/>
      <c r="AW204" s="251"/>
      <c r="AX204" s="251"/>
      <c r="AY204" s="251"/>
      <c r="AZ204" s="251">
        <f t="shared" ca="1" si="12"/>
        <v>465</v>
      </c>
    </row>
    <row r="205" spans="2:52" ht="15" customHeight="1" x14ac:dyDescent="0.25">
      <c r="B205" s="243">
        <v>336</v>
      </c>
      <c r="C205" s="262" t="s">
        <v>369</v>
      </c>
      <c r="D205" s="252">
        <v>9541</v>
      </c>
      <c r="E205" s="252">
        <f>(BDD[[#This Row],[SUE MENS]]/30)</f>
        <v>318.03333333333336</v>
      </c>
      <c r="F205" s="252">
        <f>BDD[[#This Row],[SUE MENS]]/2</f>
        <v>4770.5</v>
      </c>
      <c r="G205" s="320">
        <v>42259</v>
      </c>
      <c r="H205" s="243">
        <f ca="1">INT(_xlfn.DAYS(TODAY(),BDD[[#This Row],[FECHA ING.]])/365)</f>
        <v>6</v>
      </c>
      <c r="I205" s="251" t="str">
        <f>VLOOKUP(J205,TABLAS!$B$3:$G$49,2,FALSE)</f>
        <v>AUDITORÍA</v>
      </c>
      <c r="J205" s="198" t="s">
        <v>736</v>
      </c>
      <c r="K205" s="251" t="s">
        <v>778</v>
      </c>
      <c r="L205" s="251" t="s">
        <v>763</v>
      </c>
      <c r="M205" s="251"/>
      <c r="N205" s="244" t="s">
        <v>1762</v>
      </c>
      <c r="O205" s="251" t="str">
        <f>IFERROR(VLOOKUP(BDD[[#This Row],[SUBDPTO]],TABLAS!$B$4:$D$36,3,0)," ")</f>
        <v>MARCO AURELIO URBINO</v>
      </c>
      <c r="P205" s="258">
        <v>42752</v>
      </c>
      <c r="Q205" s="254">
        <v>6158.4000000000005</v>
      </c>
      <c r="R205" s="255" t="s">
        <v>736</v>
      </c>
      <c r="S205" s="255" t="s">
        <v>741</v>
      </c>
      <c r="T205" s="251" t="s">
        <v>811</v>
      </c>
      <c r="U205" s="243">
        <f ca="1">VLOOKUP(BDD[[#This Row],[ANTIG]],DIASXANT18[#All],2)</f>
        <v>16</v>
      </c>
      <c r="V205" s="256">
        <f t="shared" si="11"/>
        <v>0.5</v>
      </c>
      <c r="W205" s="243">
        <f ca="1">BDD[[#This Row],[D.VAC.]]*BDD[[#This Row],[% P.V.]]</f>
        <v>8</v>
      </c>
      <c r="X205" s="243">
        <v>30</v>
      </c>
      <c r="Y205" s="257">
        <f ca="1">(365+BDD[[#This Row],[D.PAG.V.]]+BDD[[#This Row],[D.AG.]])/365</f>
        <v>1.1041095890410959</v>
      </c>
      <c r="Z205" s="243">
        <f ca="1">BDD[[#This Row],[SUE DIA]]*BDD[[#This Row],[FACTOR SDI]]</f>
        <v>351.14365296803658</v>
      </c>
      <c r="AA205" s="243">
        <f>BDD[[#This Row],[SUE DIA]]/9</f>
        <v>35.337037037037042</v>
      </c>
      <c r="AB205" s="251">
        <v>34757</v>
      </c>
      <c r="AC205" s="251" t="s">
        <v>885</v>
      </c>
      <c r="AD205" s="251" t="s">
        <v>790</v>
      </c>
      <c r="AE205" s="252">
        <v>7169936608</v>
      </c>
      <c r="AF205" s="251" t="s">
        <v>1325</v>
      </c>
      <c r="AG205" s="251" t="s">
        <v>776</v>
      </c>
      <c r="AH205" s="251" t="s">
        <v>730</v>
      </c>
      <c r="AI205" s="243" t="s">
        <v>151</v>
      </c>
      <c r="AJ205" s="258" cm="1">
        <f t="array" aca="1" ref="AJ205" ca="1">DATE(YEAR(FECH.CONS[FECHA DE CONSULTA:]),MONTH(BDD[[#This Row],[FECHA NAC]]),DAY(BDD[[#This Row],[FECHA NAC]]))</f>
        <v>44619</v>
      </c>
      <c r="AK205" s="243">
        <v>6</v>
      </c>
      <c r="AL205" s="261" t="s">
        <v>311</v>
      </c>
      <c r="AM205" s="251" t="s">
        <v>1535</v>
      </c>
      <c r="AN205" s="251" t="s">
        <v>1551</v>
      </c>
      <c r="AO205" s="245">
        <v>97</v>
      </c>
      <c r="AP205" s="251">
        <f ca="1">INT((TODAY()-BDD[[#This Row],[FECHA NAC]])/365)</f>
        <v>27</v>
      </c>
      <c r="AQ205" s="251">
        <v>1</v>
      </c>
      <c r="AR205" s="251">
        <f ca="1">IF(BDD[[#This Row],[ANTIG]]=0,0,1)</f>
        <v>1</v>
      </c>
      <c r="AS205" s="251"/>
      <c r="AT205" s="251"/>
      <c r="AU205" s="251"/>
      <c r="AV205" s="251"/>
      <c r="AW205" s="251"/>
      <c r="AX205" s="251"/>
      <c r="AY205" s="251"/>
      <c r="AZ205" s="251">
        <f t="shared" ca="1" si="12"/>
        <v>527</v>
      </c>
    </row>
    <row r="206" spans="2:52" ht="15" customHeight="1" x14ac:dyDescent="0.25">
      <c r="B206" s="243">
        <v>337</v>
      </c>
      <c r="C206" s="251" t="s">
        <v>197</v>
      </c>
      <c r="D206" s="263">
        <v>7445</v>
      </c>
      <c r="E206" s="252">
        <f>(BDD[[#This Row],[SUE MENS]]/30)</f>
        <v>248.16666666666666</v>
      </c>
      <c r="F206" s="252">
        <f>BDD[[#This Row],[SUE MENS]]/2</f>
        <v>3722.5</v>
      </c>
      <c r="G206" s="319">
        <v>42273</v>
      </c>
      <c r="H206" s="243">
        <f ca="1">INT(_xlfn.DAYS(TODAY(),BDD[[#This Row],[FECHA ING.]])/365)</f>
        <v>6</v>
      </c>
      <c r="I206" s="251" t="str">
        <f>VLOOKUP(J206,TABLAS!$B$3:$G$49,2,FALSE)</f>
        <v>DIRECCIÓN</v>
      </c>
      <c r="J206" s="198" t="s">
        <v>746</v>
      </c>
      <c r="K206" s="251" t="s">
        <v>778</v>
      </c>
      <c r="L206" s="251" t="s">
        <v>763</v>
      </c>
      <c r="M206" s="251"/>
      <c r="N206" s="244" t="s">
        <v>1839</v>
      </c>
      <c r="O206" s="251" t="str">
        <f>IFERROR(VLOOKUP(BDD[[#This Row],[SUBDPTO]],TABLAS!$B$4:$D$36,3,0)," ")</f>
        <v>MARIANA RODRÍGUEZ GUTIERREZ</v>
      </c>
      <c r="P206" s="258"/>
      <c r="Q206" s="264"/>
      <c r="R206" s="244"/>
      <c r="S206" s="251"/>
      <c r="T206" s="251" t="s">
        <v>301</v>
      </c>
      <c r="U206" s="243">
        <f ca="1">VLOOKUP(BDD[[#This Row],[ANTIG]],DIASXANT18[#All],2)</f>
        <v>16</v>
      </c>
      <c r="V206" s="256">
        <f t="shared" si="11"/>
        <v>0.5</v>
      </c>
      <c r="W206" s="243">
        <f ca="1">BDD[[#This Row],[D.VAC.]]*BDD[[#This Row],[% P.V.]]</f>
        <v>8</v>
      </c>
      <c r="X206" s="243">
        <v>30</v>
      </c>
      <c r="Y206" s="257">
        <f ca="1">(365+BDD[[#This Row],[D.PAG.V.]]+BDD[[#This Row],[D.AG.]])/365</f>
        <v>1.1041095890410959</v>
      </c>
      <c r="Z206" s="243">
        <f ca="1">BDD[[#This Row],[SUE DIA]]*BDD[[#This Row],[FACTOR SDI]]</f>
        <v>274.00319634703197</v>
      </c>
      <c r="AA206" s="243">
        <f>BDD[[#This Row],[SUE DIA]]/9</f>
        <v>27.574074074074073</v>
      </c>
      <c r="AB206" s="251">
        <v>29468</v>
      </c>
      <c r="AC206" s="251" t="s">
        <v>971</v>
      </c>
      <c r="AD206" s="251" t="s">
        <v>789</v>
      </c>
      <c r="AE206" s="252">
        <v>8404528041</v>
      </c>
      <c r="AF206" s="251" t="s">
        <v>1214</v>
      </c>
      <c r="AG206" s="251" t="s">
        <v>776</v>
      </c>
      <c r="AH206" s="251" t="s">
        <v>730</v>
      </c>
      <c r="AI206" s="243" t="s">
        <v>151</v>
      </c>
      <c r="AJ206" s="258" cm="1">
        <f t="array" aca="1" ref="AJ206" ca="1">DATE(YEAR(FECH.CONS[FECHA DE CONSULTA:]),MONTH(BDD[[#This Row],[FECHA NAC]]),DAY(BDD[[#This Row],[FECHA NAC]]))</f>
        <v>44808</v>
      </c>
      <c r="AK206" s="243">
        <v>6</v>
      </c>
      <c r="AL206" s="261" t="s">
        <v>311</v>
      </c>
      <c r="AM206" s="251" t="s">
        <v>1535</v>
      </c>
      <c r="AN206" s="251" t="s">
        <v>1551</v>
      </c>
      <c r="AO206" s="245">
        <v>34</v>
      </c>
      <c r="AP206" s="251">
        <f ca="1">INT((TODAY()-BDD[[#This Row],[FECHA NAC]])/365)</f>
        <v>41</v>
      </c>
      <c r="AQ206" s="251">
        <v>3</v>
      </c>
      <c r="AR206" s="251">
        <f ca="1">IF(BDD[[#This Row],[ANTIG]]=0,0,1)</f>
        <v>1</v>
      </c>
      <c r="AS206" s="251"/>
      <c r="AT206" s="251"/>
      <c r="AU206" s="251"/>
      <c r="AV206" s="251"/>
      <c r="AW206" s="251"/>
      <c r="AX206" s="251"/>
      <c r="AY206" s="251"/>
      <c r="AZ206" s="251">
        <f t="shared" ca="1" si="12"/>
        <v>503</v>
      </c>
    </row>
    <row r="207" spans="2:52" ht="15" customHeight="1" x14ac:dyDescent="0.25">
      <c r="B207" s="246">
        <v>339</v>
      </c>
      <c r="C207" s="244" t="s">
        <v>1570</v>
      </c>
      <c r="D207" s="244">
        <v>6778</v>
      </c>
      <c r="E207" s="244">
        <f>(BDD[[#This Row],[SUE MENS]]/30)</f>
        <v>225.93333333333334</v>
      </c>
      <c r="F207" s="244">
        <f>BDD[[#This Row],[SUE MENS]]/2</f>
        <v>3389</v>
      </c>
      <c r="G207" s="319">
        <v>42274</v>
      </c>
      <c r="H207" s="244">
        <f ca="1">INT(_xlfn.DAYS(TODAY(),BDD[[#This Row],[FECHA ING.]])/365)</f>
        <v>6</v>
      </c>
      <c r="I207" s="251" t="str">
        <f>VLOOKUP(J207,TABLAS!$B$3:$G$49,2,FALSE)</f>
        <v>AUDITORÍA</v>
      </c>
      <c r="J207" s="244" t="s">
        <v>736</v>
      </c>
      <c r="K207" s="244" t="s">
        <v>778</v>
      </c>
      <c r="L207" s="244" t="s">
        <v>763</v>
      </c>
      <c r="M207" s="244">
        <v>0</v>
      </c>
      <c r="N207" s="244" t="s">
        <v>2207</v>
      </c>
      <c r="O207" s="244" t="str">
        <f>IFERROR(VLOOKUP(BDD[[#This Row],[SUBDPTO]],TABLAS!$B$4:$D$36,3,0)," ")</f>
        <v>MARCO AURELIO URBINO</v>
      </c>
      <c r="P207" s="268"/>
      <c r="Q207" s="244"/>
      <c r="R207" s="244"/>
      <c r="S207" s="244"/>
      <c r="T207" s="244" t="s">
        <v>301</v>
      </c>
      <c r="U207" s="265">
        <f ca="1">VLOOKUP(BDD[[#This Row],[ANTIG]],DIASXANT18[#All],2)</f>
        <v>16</v>
      </c>
      <c r="V207" s="266">
        <v>0.25</v>
      </c>
      <c r="W207" s="265">
        <f ca="1">BDD[[#This Row],[D.VAC.]]*BDD[[#This Row],[% P.V.]]</f>
        <v>4</v>
      </c>
      <c r="X207" s="265">
        <v>15</v>
      </c>
      <c r="Y207" s="267">
        <f ca="1">(365+BDD[[#This Row],[D.PAG.V.]]+BDD[[#This Row],[D.AG.]])/365</f>
        <v>1.0520547945205478</v>
      </c>
      <c r="Z207" s="265">
        <f ca="1">BDD[[#This Row],[SUE DIA]]*BDD[[#This Row],[FACTOR SDI]]</f>
        <v>237.69424657534245</v>
      </c>
      <c r="AA207" s="265">
        <f>BDD[[#This Row],[SUE DIA]]/9</f>
        <v>25.103703703703705</v>
      </c>
      <c r="AB207" s="244">
        <v>31963</v>
      </c>
      <c r="AC207" s="244" t="s">
        <v>1613</v>
      </c>
      <c r="AD207" s="244" t="s">
        <v>788</v>
      </c>
      <c r="AE207" s="244">
        <v>4458741420</v>
      </c>
      <c r="AF207" s="244" t="s">
        <v>1571</v>
      </c>
      <c r="AG207" s="244" t="s">
        <v>776</v>
      </c>
      <c r="AH207" s="244" t="s">
        <v>726</v>
      </c>
      <c r="AI207" s="244" t="s">
        <v>153</v>
      </c>
      <c r="AJ207" s="268" cm="1">
        <f t="array" aca="1" ref="AJ207" ca="1">DATE(YEAR(FECH.CONS[FECHA DE CONSULTA:]),MONTH(BDD[[#This Row],[FECHA NAC]]),DAY(BDD[[#This Row],[FECHA NAC]]))</f>
        <v>44747</v>
      </c>
      <c r="AK207" s="270">
        <v>9</v>
      </c>
      <c r="AL207" s="244" t="s">
        <v>313</v>
      </c>
      <c r="AM207" s="244" t="s">
        <v>1572</v>
      </c>
      <c r="AN207" s="244">
        <v>0</v>
      </c>
      <c r="AO207" s="244">
        <v>75</v>
      </c>
      <c r="AP207" s="244">
        <f ca="1">INT((TODAY()-BDD[[#This Row],[FECHA NAC]])/365)</f>
        <v>35</v>
      </c>
      <c r="AQ207" s="244">
        <v>1</v>
      </c>
      <c r="AR207" s="244">
        <f ca="1">IF(BDD[[#This Row],[ANTIG]]=0,0,1)</f>
        <v>1</v>
      </c>
      <c r="AS207" s="244"/>
      <c r="AT207" s="244"/>
      <c r="AU207" s="244"/>
      <c r="AV207" s="244"/>
      <c r="AW207" s="244"/>
      <c r="AX207" s="244"/>
      <c r="AY207" s="244"/>
      <c r="AZ207" s="244">
        <f t="shared" ca="1" si="12"/>
        <v>321</v>
      </c>
    </row>
    <row r="208" spans="2:52" ht="15" customHeight="1" x14ac:dyDescent="0.25">
      <c r="B208" s="243">
        <v>340</v>
      </c>
      <c r="C208" s="259" t="s">
        <v>694</v>
      </c>
      <c r="D208" s="263">
        <v>7445</v>
      </c>
      <c r="E208" s="252">
        <f>(BDD[[#This Row],[SUE MENS]]/30)</f>
        <v>248.16666666666666</v>
      </c>
      <c r="F208" s="252">
        <f>BDD[[#This Row],[SUE MENS]]/2</f>
        <v>3722.5</v>
      </c>
      <c r="G208" s="320">
        <v>42279</v>
      </c>
      <c r="H208" s="243">
        <f ca="1">INT(_xlfn.DAYS(TODAY(),BDD[[#This Row],[FECHA ING.]])/365)</f>
        <v>6</v>
      </c>
      <c r="I208" s="251" t="str">
        <f>VLOOKUP(J208,TABLAS!$B$3:$G$49,2,FALSE)</f>
        <v>DIV INGENRIA</v>
      </c>
      <c r="J208" s="198" t="s">
        <v>743</v>
      </c>
      <c r="K208" s="251" t="s">
        <v>778</v>
      </c>
      <c r="L208" s="251" t="s">
        <v>763</v>
      </c>
      <c r="M208" s="251"/>
      <c r="N208" s="253" t="s">
        <v>1983</v>
      </c>
      <c r="O208" s="251" t="str">
        <f>IFERROR(VLOOKUP(BDD[[#This Row],[SUBDPTO]],TABLAS!$B$4:$D$36,3,0)," ")</f>
        <v>DIEGO HERRERA GIRÓN</v>
      </c>
      <c r="P208" s="258"/>
      <c r="Q208" s="264"/>
      <c r="R208" s="244"/>
      <c r="S208" s="251"/>
      <c r="T208" s="251" t="s">
        <v>811</v>
      </c>
      <c r="U208" s="243">
        <f ca="1">VLOOKUP(BDD[[#This Row],[ANTIG]],DIASXANT18[#All],2)</f>
        <v>16</v>
      </c>
      <c r="V208" s="256">
        <f t="shared" ref="V208:V214" si="13">100/200</f>
        <v>0.5</v>
      </c>
      <c r="W208" s="243">
        <f ca="1">BDD[[#This Row],[D.VAC.]]*BDD[[#This Row],[% P.V.]]</f>
        <v>8</v>
      </c>
      <c r="X208" s="243">
        <v>30</v>
      </c>
      <c r="Y208" s="257">
        <f ca="1">(365+BDD[[#This Row],[D.PAG.V.]]+BDD[[#This Row],[D.AG.]])/365</f>
        <v>1.1041095890410959</v>
      </c>
      <c r="Z208" s="243">
        <f ca="1">BDD[[#This Row],[SUE DIA]]*BDD[[#This Row],[FACTOR SDI]]</f>
        <v>274.00319634703197</v>
      </c>
      <c r="AA208" s="243">
        <f>BDD[[#This Row],[SUE DIA]]/9</f>
        <v>27.574074074074073</v>
      </c>
      <c r="AB208" s="251">
        <v>32248</v>
      </c>
      <c r="AC208" s="251" t="s">
        <v>958</v>
      </c>
      <c r="AD208" s="251" t="s">
        <v>787</v>
      </c>
      <c r="AE208" s="260">
        <v>5596440209</v>
      </c>
      <c r="AF208" s="251" t="s">
        <v>1511</v>
      </c>
      <c r="AG208" s="251" t="s">
        <v>776</v>
      </c>
      <c r="AH208" s="251" t="s">
        <v>730</v>
      </c>
      <c r="AI208" s="243" t="s">
        <v>151</v>
      </c>
      <c r="AJ208" s="258" cm="1">
        <f t="array" aca="1" ref="AJ208" ca="1">DATE(YEAR(FECH.CONS[FECHA DE CONSULTA:]),MONTH(BDD[[#This Row],[FECHA NAC]]),DAY(BDD[[#This Row],[FECHA NAC]]))</f>
        <v>44666</v>
      </c>
      <c r="AK208" s="243">
        <v>5</v>
      </c>
      <c r="AL208" s="261" t="s">
        <v>311</v>
      </c>
      <c r="AM208" s="251" t="s">
        <v>1538</v>
      </c>
      <c r="AN208" s="251" t="s">
        <v>1551</v>
      </c>
      <c r="AO208" s="245">
        <v>74</v>
      </c>
      <c r="AP208" s="251">
        <f ca="1">INT((TODAY()-BDD[[#This Row],[FECHA NAC]])/365)</f>
        <v>34</v>
      </c>
      <c r="AQ208" s="251">
        <v>3</v>
      </c>
      <c r="AR208" s="251">
        <f ca="1">IF(BDD[[#This Row],[ANTIG]]=0,0,1)</f>
        <v>1</v>
      </c>
      <c r="AS208" s="251"/>
      <c r="AT208" s="251"/>
      <c r="AU208" s="251"/>
      <c r="AV208" s="251"/>
      <c r="AW208" s="251"/>
      <c r="AX208" s="251"/>
      <c r="AY208" s="251"/>
      <c r="AZ208" s="251">
        <f t="shared" ca="1" si="12"/>
        <v>942</v>
      </c>
    </row>
    <row r="209" spans="2:52" ht="15" customHeight="1" x14ac:dyDescent="0.25">
      <c r="B209" s="243">
        <v>341</v>
      </c>
      <c r="C209" s="259" t="s">
        <v>649</v>
      </c>
      <c r="D209" s="252">
        <v>9541</v>
      </c>
      <c r="E209" s="252">
        <f>(BDD[[#This Row],[SUE MENS]]/30)</f>
        <v>318.03333333333336</v>
      </c>
      <c r="F209" s="252">
        <f>BDD[[#This Row],[SUE MENS]]/2</f>
        <v>4770.5</v>
      </c>
      <c r="G209" s="319">
        <v>42296</v>
      </c>
      <c r="H209" s="243">
        <f ca="1">INT(_xlfn.DAYS(TODAY(),BDD[[#This Row],[FECHA ING.]])/365)</f>
        <v>6</v>
      </c>
      <c r="I209" s="251" t="str">
        <f>VLOOKUP(J209,TABLAS!$B$3:$G$49,2,FALSE)</f>
        <v>DIV ARQUIT</v>
      </c>
      <c r="J209" s="198" t="s">
        <v>740</v>
      </c>
      <c r="K209" s="251" t="s">
        <v>778</v>
      </c>
      <c r="L209" s="251" t="s">
        <v>763</v>
      </c>
      <c r="M209" s="251"/>
      <c r="N209" s="253" t="s">
        <v>1954</v>
      </c>
      <c r="O209" s="251" t="str">
        <f>IFERROR(VLOOKUP(BDD[[#This Row],[SUBDPTO]],TABLAS!$B$4:$D$36,3,0)," ")</f>
        <v>MÉRIDA ISELA MEDINA SALINAS</v>
      </c>
      <c r="P209" s="258">
        <v>42782</v>
      </c>
      <c r="Q209" s="254">
        <v>5956</v>
      </c>
      <c r="R209" s="255" t="s">
        <v>735</v>
      </c>
      <c r="S209" s="255" t="s">
        <v>741</v>
      </c>
      <c r="T209" s="251" t="s">
        <v>811</v>
      </c>
      <c r="U209" s="243">
        <f ca="1">VLOOKUP(BDD[[#This Row],[ANTIG]],DIASXANT18[#All],2)</f>
        <v>16</v>
      </c>
      <c r="V209" s="256">
        <f t="shared" si="13"/>
        <v>0.5</v>
      </c>
      <c r="W209" s="243">
        <f ca="1">BDD[[#This Row],[D.VAC.]]*BDD[[#This Row],[% P.V.]]</f>
        <v>8</v>
      </c>
      <c r="X209" s="243">
        <v>30</v>
      </c>
      <c r="Y209" s="257">
        <f ca="1">(365+BDD[[#This Row],[D.PAG.V.]]+BDD[[#This Row],[D.AG.]])/365</f>
        <v>1.1041095890410959</v>
      </c>
      <c r="Z209" s="243">
        <f ca="1">BDD[[#This Row],[SUE DIA]]*BDD[[#This Row],[FACTOR SDI]]</f>
        <v>351.14365296803658</v>
      </c>
      <c r="AA209" s="243">
        <f>BDD[[#This Row],[SUE DIA]]/9</f>
        <v>35.337037037037042</v>
      </c>
      <c r="AB209" s="251">
        <v>31025</v>
      </c>
      <c r="AC209" s="251" t="s">
        <v>1072</v>
      </c>
      <c r="AD209" s="251" t="s">
        <v>791</v>
      </c>
      <c r="AE209" s="260">
        <v>8195672096</v>
      </c>
      <c r="AF209" s="251" t="s">
        <v>1489</v>
      </c>
      <c r="AG209" s="251" t="s">
        <v>776</v>
      </c>
      <c r="AH209" s="251" t="s">
        <v>730</v>
      </c>
      <c r="AI209" s="243" t="s">
        <v>151</v>
      </c>
      <c r="AJ209" s="258" cm="1">
        <f t="array" aca="1" ref="AJ209" ca="1">DATE(YEAR(FECH.CONS[FECHA DE CONSULTA:]),MONTH(BDD[[#This Row],[FECHA NAC]]),DAY(BDD[[#This Row],[FECHA NAC]]))</f>
        <v>44904</v>
      </c>
      <c r="AK209" s="243">
        <v>6</v>
      </c>
      <c r="AL209" s="261" t="s">
        <v>311</v>
      </c>
      <c r="AM209" s="251" t="s">
        <v>1543</v>
      </c>
      <c r="AN209" s="251" t="s">
        <v>1551</v>
      </c>
      <c r="AO209" s="245">
        <v>99</v>
      </c>
      <c r="AP209" s="251">
        <f ca="1">INT((TODAY()-BDD[[#This Row],[FECHA NAC]])/365)</f>
        <v>37</v>
      </c>
      <c r="AQ209" s="251">
        <v>0</v>
      </c>
      <c r="AR209" s="251">
        <f ca="1">IF(BDD[[#This Row],[ANTIG]]=0,0,1)</f>
        <v>1</v>
      </c>
      <c r="AS209" s="251"/>
      <c r="AT209" s="251"/>
      <c r="AU209" s="251"/>
      <c r="AV209" s="251"/>
      <c r="AW209" s="251"/>
      <c r="AX209" s="251"/>
      <c r="AY209" s="251"/>
      <c r="AZ209" s="251">
        <f t="shared" ca="1" si="12"/>
        <v>668</v>
      </c>
    </row>
    <row r="210" spans="2:52" ht="15" customHeight="1" x14ac:dyDescent="0.25">
      <c r="B210" s="243">
        <v>342</v>
      </c>
      <c r="C210" s="251" t="s">
        <v>180</v>
      </c>
      <c r="D210" s="252">
        <v>9541</v>
      </c>
      <c r="E210" s="252">
        <f>(BDD[[#This Row],[SUE MENS]]/30)</f>
        <v>318.03333333333336</v>
      </c>
      <c r="F210" s="252">
        <f>BDD[[#This Row],[SUE MENS]]/2</f>
        <v>4770.5</v>
      </c>
      <c r="G210" s="319">
        <v>42309</v>
      </c>
      <c r="H210" s="243">
        <f ca="1">INT(_xlfn.DAYS(TODAY(),BDD[[#This Row],[FECHA ING.]])/365)</f>
        <v>6</v>
      </c>
      <c r="I210" s="251" t="str">
        <f>VLOOKUP(J210,TABLAS!$B$3:$G$49,2,FALSE)</f>
        <v>DIV INGENRIA</v>
      </c>
      <c r="J210" s="198" t="s">
        <v>744</v>
      </c>
      <c r="K210" s="251" t="s">
        <v>778</v>
      </c>
      <c r="L210" s="251" t="s">
        <v>763</v>
      </c>
      <c r="M210" s="251"/>
      <c r="N210" s="244" t="s">
        <v>1861</v>
      </c>
      <c r="O210" s="251" t="str">
        <f>IFERROR(VLOOKUP(BDD[[#This Row],[SUBDPTO]],TABLAS!$B$4:$D$36,3,0)," ")</f>
        <v>DIEGO HERRERA GIRÓN</v>
      </c>
      <c r="P210" s="258">
        <v>42769</v>
      </c>
      <c r="Q210" s="254">
        <v>7520</v>
      </c>
      <c r="R210" s="255" t="s">
        <v>735</v>
      </c>
      <c r="S210" s="251"/>
      <c r="T210" s="251" t="s">
        <v>811</v>
      </c>
      <c r="U210" s="243">
        <f ca="1">VLOOKUP(BDD[[#This Row],[ANTIG]],DIASXANT18[#All],2)</f>
        <v>16</v>
      </c>
      <c r="V210" s="256">
        <f t="shared" si="13"/>
        <v>0.5</v>
      </c>
      <c r="W210" s="243">
        <f ca="1">BDD[[#This Row],[D.VAC.]]*BDD[[#This Row],[% P.V.]]</f>
        <v>8</v>
      </c>
      <c r="X210" s="243">
        <v>30</v>
      </c>
      <c r="Y210" s="257">
        <f ca="1">(365+BDD[[#This Row],[D.PAG.V.]]+BDD[[#This Row],[D.AG.]])/365</f>
        <v>1.1041095890410959</v>
      </c>
      <c r="Z210" s="243">
        <f ca="1">BDD[[#This Row],[SUE DIA]]*BDD[[#This Row],[FACTOR SDI]]</f>
        <v>351.14365296803658</v>
      </c>
      <c r="AA210" s="243">
        <f>BDD[[#This Row],[SUE DIA]]/9</f>
        <v>35.337037037037042</v>
      </c>
      <c r="AB210" s="251">
        <v>32180</v>
      </c>
      <c r="AC210" s="251" t="s">
        <v>968</v>
      </c>
      <c r="AD210" s="251" t="s">
        <v>789</v>
      </c>
      <c r="AE210" s="252">
        <v>8284862085</v>
      </c>
      <c r="AF210" s="251" t="s">
        <v>1194</v>
      </c>
      <c r="AG210" s="251" t="s">
        <v>776</v>
      </c>
      <c r="AH210" s="251" t="s">
        <v>730</v>
      </c>
      <c r="AI210" s="243" t="s">
        <v>151</v>
      </c>
      <c r="AJ210" s="258" cm="1">
        <f t="array" aca="1" ref="AJ210" ca="1">DATE(YEAR(FECH.CONS[FECHA DE CONSULTA:]),MONTH(BDD[[#This Row],[FECHA NAC]]),DAY(BDD[[#This Row],[FECHA NAC]]))</f>
        <v>44599</v>
      </c>
      <c r="AK210" s="243">
        <v>6</v>
      </c>
      <c r="AL210" s="261" t="s">
        <v>312</v>
      </c>
      <c r="AM210" s="251" t="s">
        <v>1538</v>
      </c>
      <c r="AN210" s="251" t="s">
        <v>1551</v>
      </c>
      <c r="AO210" s="245">
        <v>66</v>
      </c>
      <c r="AP210" s="251">
        <f ca="1">INT((TODAY()-BDD[[#This Row],[FECHA NAC]])/365)</f>
        <v>34</v>
      </c>
      <c r="AQ210" s="251">
        <v>3</v>
      </c>
      <c r="AR210" s="251">
        <f ca="1">IF(BDD[[#This Row],[ANTIG]]=0,0,1)</f>
        <v>1</v>
      </c>
      <c r="AS210" s="251"/>
      <c r="AT210" s="251"/>
      <c r="AU210" s="251"/>
      <c r="AV210" s="251"/>
      <c r="AW210" s="251"/>
      <c r="AX210" s="251"/>
      <c r="AY210" s="251"/>
      <c r="AZ210" s="251">
        <f t="shared" ca="1" si="12"/>
        <v>968</v>
      </c>
    </row>
    <row r="211" spans="2:52" ht="15" customHeight="1" x14ac:dyDescent="0.25">
      <c r="B211" s="243">
        <v>343</v>
      </c>
      <c r="C211" s="251" t="s">
        <v>402</v>
      </c>
      <c r="D211" s="252">
        <v>9450</v>
      </c>
      <c r="E211" s="252">
        <f>(BDD[[#This Row],[SUE MENS]]/30)</f>
        <v>315</v>
      </c>
      <c r="F211" s="252">
        <f>BDD[[#This Row],[SUE MENS]]/2</f>
        <v>4725</v>
      </c>
      <c r="G211" s="320">
        <v>42322</v>
      </c>
      <c r="H211" s="243">
        <f ca="1">INT(_xlfn.DAYS(TODAY(),BDD[[#This Row],[FECHA ING.]])/365)</f>
        <v>6</v>
      </c>
      <c r="I211" s="251" t="str">
        <f>VLOOKUP(J211,TABLAS!$B$3:$G$49,2,FALSE)</f>
        <v>AUDITORÍA</v>
      </c>
      <c r="J211" s="198" t="s">
        <v>735</v>
      </c>
      <c r="K211" s="251" t="s">
        <v>778</v>
      </c>
      <c r="L211" s="251" t="s">
        <v>763</v>
      </c>
      <c r="M211" s="251"/>
      <c r="N211" s="244" t="s">
        <v>2082</v>
      </c>
      <c r="O211" s="251" t="str">
        <f>IFERROR(VLOOKUP(BDD[[#This Row],[SUBDPTO]],TABLAS!$B$4:$D$36,3,0)," ")</f>
        <v>MARCO AURELIO URBINO</v>
      </c>
      <c r="P211" s="258">
        <v>44107</v>
      </c>
      <c r="Q211" s="254">
        <v>7556</v>
      </c>
      <c r="R211" s="255" t="s">
        <v>735</v>
      </c>
      <c r="S211" s="251"/>
      <c r="T211" s="251" t="s">
        <v>811</v>
      </c>
      <c r="U211" s="243">
        <f ca="1">VLOOKUP(BDD[[#This Row],[ANTIG]],DIASXANT18[#All],2)</f>
        <v>16</v>
      </c>
      <c r="V211" s="256">
        <f t="shared" si="13"/>
        <v>0.5</v>
      </c>
      <c r="W211" s="243">
        <f ca="1">BDD[[#This Row],[D.VAC.]]*BDD[[#This Row],[% P.V.]]</f>
        <v>8</v>
      </c>
      <c r="X211" s="243">
        <v>30</v>
      </c>
      <c r="Y211" s="257">
        <f ca="1">(365+BDD[[#This Row],[D.PAG.V.]]+BDD[[#This Row],[D.AG.]])/365</f>
        <v>1.1041095890410959</v>
      </c>
      <c r="Z211" s="243">
        <f ca="1">BDD[[#This Row],[SUE DIA]]*BDD[[#This Row],[FACTOR SDI]]</f>
        <v>347.79452054794518</v>
      </c>
      <c r="AA211" s="243">
        <f>BDD[[#This Row],[SUE DIA]]/9</f>
        <v>35</v>
      </c>
      <c r="AB211" s="251">
        <v>34543</v>
      </c>
      <c r="AC211" s="251" t="s">
        <v>960</v>
      </c>
      <c r="AD211" s="251" t="s">
        <v>787</v>
      </c>
      <c r="AE211" s="252">
        <v>8219338411</v>
      </c>
      <c r="AF211" s="251" t="s">
        <v>1184</v>
      </c>
      <c r="AG211" s="251" t="s">
        <v>773</v>
      </c>
      <c r="AH211" s="251" t="s">
        <v>730</v>
      </c>
      <c r="AI211" s="243" t="s">
        <v>151</v>
      </c>
      <c r="AJ211" s="258" cm="1">
        <f t="array" aca="1" ref="AJ211" ca="1">DATE(YEAR(FECH.CONS[FECHA DE CONSULTA:]),MONTH(BDD[[#This Row],[FECHA NAC]]),DAY(BDD[[#This Row],[FECHA NAC]]))</f>
        <v>44770</v>
      </c>
      <c r="AK211" s="243">
        <v>10</v>
      </c>
      <c r="AL211" s="251" t="s">
        <v>311</v>
      </c>
      <c r="AM211" s="251" t="s">
        <v>1534</v>
      </c>
      <c r="AN211" s="251" t="s">
        <v>1551</v>
      </c>
      <c r="AO211" s="245">
        <v>89</v>
      </c>
      <c r="AP211" s="251">
        <f ca="1">INT((TODAY()-BDD[[#This Row],[FECHA NAC]])/365)</f>
        <v>27</v>
      </c>
      <c r="AQ211" s="251">
        <v>1</v>
      </c>
      <c r="AR211" s="251">
        <f ca="1">IF(BDD[[#This Row],[ANTIG]]=0,0,1)</f>
        <v>1</v>
      </c>
      <c r="AS211" s="251"/>
      <c r="AT211" s="251"/>
      <c r="AU211" s="251"/>
      <c r="AV211" s="251"/>
      <c r="AW211" s="251"/>
      <c r="AX211" s="251"/>
      <c r="AY211" s="251"/>
      <c r="AZ211" s="251">
        <f t="shared" ca="1" si="12"/>
        <v>124</v>
      </c>
    </row>
    <row r="212" spans="2:52" ht="15" customHeight="1" x14ac:dyDescent="0.25">
      <c r="B212" s="243">
        <v>345</v>
      </c>
      <c r="C212" s="251" t="s">
        <v>816</v>
      </c>
      <c r="D212" s="263">
        <v>7445</v>
      </c>
      <c r="E212" s="252">
        <f>(BDD[[#This Row],[SUE MENS]]/30)</f>
        <v>248.16666666666666</v>
      </c>
      <c r="F212" s="252">
        <f>BDD[[#This Row],[SUE MENS]]/2</f>
        <v>3722.5</v>
      </c>
      <c r="G212" s="319">
        <v>42327</v>
      </c>
      <c r="H212" s="243">
        <f ca="1">INT(_xlfn.DAYS(TODAY(),BDD[[#This Row],[FECHA ING.]])/365)</f>
        <v>6</v>
      </c>
      <c r="I212" s="251" t="str">
        <f>VLOOKUP(J212,TABLAS!$B$3:$G$49,2,FALSE)</f>
        <v>DIRECCIÓN</v>
      </c>
      <c r="J212" s="198" t="s">
        <v>759</v>
      </c>
      <c r="K212" s="251" t="s">
        <v>778</v>
      </c>
      <c r="L212" s="251" t="s">
        <v>763</v>
      </c>
      <c r="M212" s="251"/>
      <c r="N212" s="244" t="s">
        <v>1825</v>
      </c>
      <c r="O212" s="251" t="str">
        <f>IFERROR(VLOOKUP(BDD[[#This Row],[SUBDPTO]],TABLAS!$B$4:$D$36,3,0)," ")</f>
        <v>MARIANA RODRÍGUEZ GUTIERREZ</v>
      </c>
      <c r="P212" s="258"/>
      <c r="Q212" s="264"/>
      <c r="R212" s="244"/>
      <c r="S212" s="251"/>
      <c r="T212" s="251" t="s">
        <v>301</v>
      </c>
      <c r="U212" s="243">
        <f ca="1">VLOOKUP(BDD[[#This Row],[ANTIG]],DIASXANT18[#All],2)</f>
        <v>16</v>
      </c>
      <c r="V212" s="256">
        <f t="shared" si="13"/>
        <v>0.5</v>
      </c>
      <c r="W212" s="243">
        <f ca="1">BDD[[#This Row],[D.VAC.]]*BDD[[#This Row],[% P.V.]]</f>
        <v>8</v>
      </c>
      <c r="X212" s="243">
        <v>30</v>
      </c>
      <c r="Y212" s="257">
        <f ca="1">(365+BDD[[#This Row],[D.PAG.V.]]+BDD[[#This Row],[D.AG.]])/365</f>
        <v>1.1041095890410959</v>
      </c>
      <c r="Z212" s="243">
        <f ca="1">BDD[[#This Row],[SUE DIA]]*BDD[[#This Row],[FACTOR SDI]]</f>
        <v>274.00319634703197</v>
      </c>
      <c r="AA212" s="243">
        <f>BDD[[#This Row],[SUE DIA]]/9</f>
        <v>27.574074074074073</v>
      </c>
      <c r="AB212" s="251">
        <v>32641</v>
      </c>
      <c r="AC212" s="251" t="s">
        <v>996</v>
      </c>
      <c r="AD212" s="251" t="s">
        <v>790</v>
      </c>
      <c r="AE212" s="252">
        <v>8551354290</v>
      </c>
      <c r="AF212" s="251" t="s">
        <v>1241</v>
      </c>
      <c r="AG212" s="251" t="s">
        <v>776</v>
      </c>
      <c r="AH212" s="251" t="s">
        <v>730</v>
      </c>
      <c r="AI212" s="243" t="s">
        <v>151</v>
      </c>
      <c r="AJ212" s="258" cm="1">
        <f t="array" aca="1" ref="AJ212" ca="1">DATE(YEAR(FECH.CONS[FECHA DE CONSULTA:]),MONTH(BDD[[#This Row],[FECHA NAC]]),DAY(BDD[[#This Row],[FECHA NAC]]))</f>
        <v>44694</v>
      </c>
      <c r="AK212" s="243">
        <v>9</v>
      </c>
      <c r="AL212" s="261" t="s">
        <v>311</v>
      </c>
      <c r="AM212" s="251" t="s">
        <v>1537</v>
      </c>
      <c r="AN212" s="251" t="s">
        <v>1551</v>
      </c>
      <c r="AO212" s="245">
        <v>80</v>
      </c>
      <c r="AP212" s="251">
        <f ca="1">INT((TODAY()-BDD[[#This Row],[FECHA NAC]])/365)</f>
        <v>33</v>
      </c>
      <c r="AQ212" s="251">
        <v>2</v>
      </c>
      <c r="AR212" s="251">
        <f ca="1">IF(BDD[[#This Row],[ANTIG]]=0,0,1)</f>
        <v>1</v>
      </c>
      <c r="AS212" s="251"/>
      <c r="AT212" s="251"/>
      <c r="AU212" s="251"/>
      <c r="AV212" s="251"/>
      <c r="AW212" s="251"/>
      <c r="AX212" s="251"/>
      <c r="AY212" s="251"/>
      <c r="AZ212" s="251">
        <f t="shared" ca="1" si="12"/>
        <v>140</v>
      </c>
    </row>
    <row r="213" spans="2:52" ht="15" customHeight="1" x14ac:dyDescent="0.25">
      <c r="B213" s="243">
        <v>347</v>
      </c>
      <c r="C213" s="259" t="s">
        <v>684</v>
      </c>
      <c r="D213" s="252">
        <v>10860</v>
      </c>
      <c r="E213" s="252">
        <f>(BDD[[#This Row],[SUE MENS]]/30)</f>
        <v>362</v>
      </c>
      <c r="F213" s="252">
        <f>BDD[[#This Row],[SUE MENS]]/2</f>
        <v>5430</v>
      </c>
      <c r="G213" s="320">
        <v>42331</v>
      </c>
      <c r="H213" s="243">
        <f ca="1">INT(_xlfn.DAYS(TODAY(),BDD[[#This Row],[FECHA ING.]])/365)</f>
        <v>6</v>
      </c>
      <c r="I213" s="251" t="str">
        <f>VLOOKUP(J213,TABLAS!$B$3:$G$49,2,FALSE)</f>
        <v>DIV ARQUIT</v>
      </c>
      <c r="J213" s="198" t="s">
        <v>740</v>
      </c>
      <c r="K213" s="251" t="s">
        <v>778</v>
      </c>
      <c r="L213" s="251" t="s">
        <v>763</v>
      </c>
      <c r="M213" s="251"/>
      <c r="N213" s="244" t="s">
        <v>2206</v>
      </c>
      <c r="O213" s="251" t="str">
        <f>IFERROR(VLOOKUP(BDD[[#This Row],[SUBDPTO]],TABLAS!$B$4:$D$36,3,0)," ")</f>
        <v>MÉRIDA ISELA MEDINA SALINAS</v>
      </c>
      <c r="P213" s="258">
        <v>40577</v>
      </c>
      <c r="Q213" s="254">
        <v>10800</v>
      </c>
      <c r="R213" s="255" t="s">
        <v>739</v>
      </c>
      <c r="S213" s="255" t="s">
        <v>768</v>
      </c>
      <c r="T213" s="251" t="s">
        <v>811</v>
      </c>
      <c r="U213" s="243">
        <f ca="1">VLOOKUP(BDD[[#This Row],[ANTIG]],DIASXANT18[#All],2)</f>
        <v>16</v>
      </c>
      <c r="V213" s="256">
        <f t="shared" si="13"/>
        <v>0.5</v>
      </c>
      <c r="W213" s="243">
        <f ca="1">BDD[[#This Row],[D.VAC.]]*BDD[[#This Row],[% P.V.]]</f>
        <v>8</v>
      </c>
      <c r="X213" s="243">
        <v>30</v>
      </c>
      <c r="Y213" s="257">
        <f ca="1">(365+BDD[[#This Row],[D.PAG.V.]]+BDD[[#This Row],[D.AG.]])/365</f>
        <v>1.1041095890410959</v>
      </c>
      <c r="Z213" s="243">
        <f ca="1">BDD[[#This Row],[SUE DIA]]*BDD[[#This Row],[FACTOR SDI]]</f>
        <v>399.68767123287671</v>
      </c>
      <c r="AA213" s="243">
        <f>BDD[[#This Row],[SUE DIA]]/9</f>
        <v>40.222222222222221</v>
      </c>
      <c r="AB213" s="251">
        <v>30445</v>
      </c>
      <c r="AC213" s="251" t="s">
        <v>1012</v>
      </c>
      <c r="AD213" s="251" t="s">
        <v>792</v>
      </c>
      <c r="AE213" s="260">
        <v>8209930290</v>
      </c>
      <c r="AF213" s="251" t="s">
        <v>1506</v>
      </c>
      <c r="AG213" s="251" t="s">
        <v>776</v>
      </c>
      <c r="AH213" s="251" t="s">
        <v>730</v>
      </c>
      <c r="AI213" s="243" t="s">
        <v>151</v>
      </c>
      <c r="AJ213" s="258" cm="1">
        <f t="array" aca="1" ref="AJ213" ca="1">DATE(YEAR(FECH.CONS[FECHA DE CONSULTA:]),MONTH(BDD[[#This Row],[FECHA NAC]]),DAY(BDD[[#This Row],[FECHA NAC]]))</f>
        <v>44690</v>
      </c>
      <c r="AK213" s="243">
        <v>8</v>
      </c>
      <c r="AL213" s="261" t="s">
        <v>311</v>
      </c>
      <c r="AM213" s="251" t="s">
        <v>1542</v>
      </c>
      <c r="AN213" s="251" t="s">
        <v>1551</v>
      </c>
      <c r="AO213" s="245">
        <v>84</v>
      </c>
      <c r="AP213" s="251">
        <f ca="1">INT((TODAY()-BDD[[#This Row],[FECHA NAC]])/365)</f>
        <v>39</v>
      </c>
      <c r="AQ213" s="251">
        <v>1</v>
      </c>
      <c r="AR213" s="251">
        <f ca="1">IF(BDD[[#This Row],[ANTIG]]=0,0,1)</f>
        <v>1</v>
      </c>
      <c r="AS213" s="251"/>
      <c r="AT213" s="251"/>
      <c r="AU213" s="251"/>
      <c r="AV213" s="251"/>
      <c r="AW213" s="251"/>
      <c r="AX213" s="251"/>
      <c r="AY213" s="251"/>
      <c r="AZ213" s="251">
        <f t="shared" ca="1" si="12"/>
        <v>193</v>
      </c>
    </row>
    <row r="214" spans="2:52" ht="15" customHeight="1" x14ac:dyDescent="0.25">
      <c r="B214" s="243">
        <v>348</v>
      </c>
      <c r="C214" s="259" t="s">
        <v>621</v>
      </c>
      <c r="D214" s="252">
        <v>9541</v>
      </c>
      <c r="E214" s="252">
        <f>(BDD[[#This Row],[SUE MENS]]/30)</f>
        <v>318.03333333333336</v>
      </c>
      <c r="F214" s="252">
        <f>BDD[[#This Row],[SUE MENS]]/2</f>
        <v>4770.5</v>
      </c>
      <c r="G214" s="319">
        <v>42333</v>
      </c>
      <c r="H214" s="243">
        <f ca="1">INT(_xlfn.DAYS(TODAY(),BDD[[#This Row],[FECHA ING.]])/365)</f>
        <v>6</v>
      </c>
      <c r="I214" s="251" t="str">
        <f>VLOOKUP(J214,TABLAS!$B$3:$G$49,2,FALSE)</f>
        <v>DIV ARQUIT</v>
      </c>
      <c r="J214" s="198" t="s">
        <v>740</v>
      </c>
      <c r="K214" s="251" t="s">
        <v>778</v>
      </c>
      <c r="L214" s="251" t="s">
        <v>763</v>
      </c>
      <c r="M214" s="251"/>
      <c r="N214" s="253" t="s">
        <v>1752</v>
      </c>
      <c r="O214" s="251" t="str">
        <f>IFERROR(VLOOKUP(BDD[[#This Row],[SUBDPTO]],TABLAS!$B$4:$D$36,3,0)," ")</f>
        <v>MÉRIDA ISELA MEDINA SALINAS</v>
      </c>
      <c r="P214" s="258">
        <v>42880</v>
      </c>
      <c r="Q214" s="254">
        <v>6158.4000000000005</v>
      </c>
      <c r="R214" s="255" t="s">
        <v>748</v>
      </c>
      <c r="S214" s="255" t="s">
        <v>746</v>
      </c>
      <c r="T214" s="251" t="s">
        <v>811</v>
      </c>
      <c r="U214" s="243">
        <f ca="1">VLOOKUP(BDD[[#This Row],[ANTIG]],DIASXANT18[#All],2)</f>
        <v>16</v>
      </c>
      <c r="V214" s="256">
        <f t="shared" si="13"/>
        <v>0.5</v>
      </c>
      <c r="W214" s="243">
        <f ca="1">BDD[[#This Row],[D.VAC.]]*BDD[[#This Row],[% P.V.]]</f>
        <v>8</v>
      </c>
      <c r="X214" s="243">
        <v>30</v>
      </c>
      <c r="Y214" s="257">
        <f ca="1">(365+BDD[[#This Row],[D.PAG.V.]]+BDD[[#This Row],[D.AG.]])/365</f>
        <v>1.1041095890410959</v>
      </c>
      <c r="Z214" s="243">
        <f ca="1">BDD[[#This Row],[SUE DIA]]*BDD[[#This Row],[FACTOR SDI]]</f>
        <v>351.14365296803658</v>
      </c>
      <c r="AA214" s="243">
        <f>BDD[[#This Row],[SUE DIA]]/9</f>
        <v>35.337037037037042</v>
      </c>
      <c r="AB214" s="251">
        <v>34920</v>
      </c>
      <c r="AC214" s="251" t="s">
        <v>1046</v>
      </c>
      <c r="AD214" s="251" t="s">
        <v>791</v>
      </c>
      <c r="AE214" s="260">
        <v>2368617645</v>
      </c>
      <c r="AF214" s="251" t="s">
        <v>1467</v>
      </c>
      <c r="AG214" s="251" t="s">
        <v>773</v>
      </c>
      <c r="AH214" s="251" t="s">
        <v>1555</v>
      </c>
      <c r="AI214" s="243" t="s">
        <v>151</v>
      </c>
      <c r="AJ214" s="258" cm="1">
        <f t="array" aca="1" ref="AJ214" ca="1">DATE(YEAR(FECH.CONS[FECHA DE CONSULTA:]),MONTH(BDD[[#This Row],[FECHA NAC]]),DAY(BDD[[#This Row],[FECHA NAC]]))</f>
        <v>44782</v>
      </c>
      <c r="AK214" s="243"/>
      <c r="AL214" s="261" t="s">
        <v>319</v>
      </c>
      <c r="AM214" s="251" t="s">
        <v>1543</v>
      </c>
      <c r="AN214" s="251" t="s">
        <v>1551</v>
      </c>
      <c r="AO214" s="243">
        <v>60</v>
      </c>
      <c r="AP214" s="251">
        <f ca="1">INT((TODAY()-BDD[[#This Row],[FECHA NAC]])/365)</f>
        <v>26</v>
      </c>
      <c r="AQ214" s="251">
        <v>1</v>
      </c>
      <c r="AR214" s="251">
        <f ca="1">IF(BDD[[#This Row],[ANTIG]]=0,0,1)</f>
        <v>1</v>
      </c>
      <c r="AS214" s="251"/>
      <c r="AT214" s="251"/>
      <c r="AU214" s="251"/>
      <c r="AV214" s="251"/>
      <c r="AW214" s="251"/>
      <c r="AX214" s="251"/>
      <c r="AY214" s="251"/>
      <c r="AZ214" s="251">
        <f t="shared" ca="1" si="12"/>
        <v>87</v>
      </c>
    </row>
    <row r="215" spans="2:52" ht="15" customHeight="1" x14ac:dyDescent="0.25">
      <c r="B215" s="243">
        <v>350</v>
      </c>
      <c r="C215" s="259" t="s">
        <v>622</v>
      </c>
      <c r="D215" s="252">
        <v>7950</v>
      </c>
      <c r="E215" s="252">
        <f>(BDD[[#This Row],[SUE MENS]]/30)</f>
        <v>265</v>
      </c>
      <c r="F215" s="252">
        <f>BDD[[#This Row],[SUE MENS]]/2</f>
        <v>3975</v>
      </c>
      <c r="G215" s="319">
        <v>42342</v>
      </c>
      <c r="H215" s="243">
        <f ca="1">INT(_xlfn.DAYS(TODAY(),BDD[[#This Row],[FECHA ING.]])/365)</f>
        <v>6</v>
      </c>
      <c r="I215" s="251" t="str">
        <f>VLOOKUP(J215,TABLAS!$B$3:$G$49,2,FALSE)</f>
        <v>TECNOLOGÍA</v>
      </c>
      <c r="J215" s="198" t="s">
        <v>751</v>
      </c>
      <c r="K215" s="251" t="s">
        <v>778</v>
      </c>
      <c r="L215" s="251" t="s">
        <v>763</v>
      </c>
      <c r="M215" s="251"/>
      <c r="N215" s="253" t="s">
        <v>2193</v>
      </c>
      <c r="O215" s="251" t="str">
        <f>IFERROR(VLOOKUP(BDD[[#This Row],[SUBDPTO]],TABLAS!$B$4:$D$36,3,0)," ")</f>
        <v>DENEB SANTIAGO ALTAIR VEGA</v>
      </c>
      <c r="P215" s="258"/>
      <c r="Q215" s="264"/>
      <c r="R215" s="244"/>
      <c r="S215" s="251"/>
      <c r="T215" s="251" t="s">
        <v>301</v>
      </c>
      <c r="U215" s="243">
        <f ca="1">VLOOKUP(BDD[[#This Row],[ANTIG]],DIASXANT18[#All],2)</f>
        <v>16</v>
      </c>
      <c r="V215" s="266">
        <v>0.25</v>
      </c>
      <c r="W215" s="243">
        <f ca="1">BDD[[#This Row],[D.VAC.]]*BDD[[#This Row],[% P.V.]]</f>
        <v>4</v>
      </c>
      <c r="X215" s="265">
        <v>15</v>
      </c>
      <c r="Y215" s="257">
        <f ca="1">(365+BDD[[#This Row],[D.PAG.V.]]+BDD[[#This Row],[D.AG.]])/365</f>
        <v>1.0520547945205478</v>
      </c>
      <c r="Z215" s="243">
        <f ca="1">BDD[[#This Row],[SUE DIA]]*BDD[[#This Row],[FACTOR SDI]]</f>
        <v>278.79452054794518</v>
      </c>
      <c r="AA215" s="243">
        <f>BDD[[#This Row],[SUE DIA]]/9</f>
        <v>29.444444444444443</v>
      </c>
      <c r="AB215" s="251">
        <v>30933</v>
      </c>
      <c r="AC215" s="251" t="s">
        <v>1026</v>
      </c>
      <c r="AD215" s="251" t="s">
        <v>786</v>
      </c>
      <c r="AE215" s="260">
        <v>9180540867</v>
      </c>
      <c r="AF215" s="251" t="s">
        <v>1468</v>
      </c>
      <c r="AG215" s="251" t="s">
        <v>776</v>
      </c>
      <c r="AH215" s="251" t="s">
        <v>730</v>
      </c>
      <c r="AI215" s="243" t="s">
        <v>151</v>
      </c>
      <c r="AJ215" s="258" cm="1">
        <f t="array" aca="1" ref="AJ215" ca="1">DATE(YEAR(FECH.CONS[FECHA DE CONSULTA:]),MONTH(BDD[[#This Row],[FECHA NAC]]),DAY(BDD[[#This Row],[FECHA NAC]]))</f>
        <v>44812</v>
      </c>
      <c r="AK215" s="243">
        <v>9</v>
      </c>
      <c r="AL215" s="261" t="s">
        <v>311</v>
      </c>
      <c r="AM215" s="251" t="s">
        <v>1536</v>
      </c>
      <c r="AN215" s="251" t="s">
        <v>1551</v>
      </c>
      <c r="AO215" s="245">
        <v>52</v>
      </c>
      <c r="AP215" s="251">
        <f ca="1">INT((TODAY()-BDD[[#This Row],[FECHA NAC]])/365)</f>
        <v>37</v>
      </c>
      <c r="AQ215" s="251">
        <v>3</v>
      </c>
      <c r="AR215" s="251">
        <f ca="1">IF(BDD[[#This Row],[ANTIG]]=0,0,1)</f>
        <v>1</v>
      </c>
      <c r="AS215" s="251"/>
      <c r="AT215" s="251"/>
      <c r="AU215" s="251"/>
      <c r="AV215" s="251"/>
      <c r="AW215" s="251"/>
      <c r="AX215" s="251"/>
      <c r="AY215" s="251"/>
      <c r="AZ215" s="251">
        <f t="shared" ca="1" si="12"/>
        <v>535</v>
      </c>
    </row>
    <row r="216" spans="2:52" ht="15" customHeight="1" x14ac:dyDescent="0.25">
      <c r="B216" s="243">
        <v>351</v>
      </c>
      <c r="C216" s="259" t="s">
        <v>1631</v>
      </c>
      <c r="D216" s="263">
        <v>10350</v>
      </c>
      <c r="E216" s="252">
        <f>(BDD[[#This Row],[SUE MENS]]/30)</f>
        <v>345</v>
      </c>
      <c r="F216" s="252">
        <f>BDD[[#This Row],[SUE MENS]]/2</f>
        <v>5175</v>
      </c>
      <c r="G216" s="319">
        <v>42343</v>
      </c>
      <c r="H216" s="243">
        <f ca="1">INT(_xlfn.DAYS(TODAY(),BDD[[#This Row],[FECHA ING.]])/365)</f>
        <v>6</v>
      </c>
      <c r="I216" s="251" t="str">
        <f>VLOOKUP(J216,TABLAS!$B$3:$G$49,2,FALSE)</f>
        <v>DIRECCIÓN</v>
      </c>
      <c r="J216" s="198" t="s">
        <v>759</v>
      </c>
      <c r="K216" s="251" t="s">
        <v>778</v>
      </c>
      <c r="L216" s="251" t="s">
        <v>763</v>
      </c>
      <c r="M216" s="251"/>
      <c r="N216" s="253" t="s">
        <v>2008</v>
      </c>
      <c r="O216" s="251" t="str">
        <f>IFERROR(VLOOKUP(BDD[[#This Row],[SUBDPTO]],TABLAS!$B$4:$D$36,3,0)," ")</f>
        <v>MARIANA RODRÍGUEZ GUTIERREZ</v>
      </c>
      <c r="P216" s="258">
        <v>41460</v>
      </c>
      <c r="Q216" s="254">
        <v>5956</v>
      </c>
      <c r="R216" s="255" t="s">
        <v>743</v>
      </c>
      <c r="S216" s="255" t="s">
        <v>736</v>
      </c>
      <c r="T216" s="251" t="s">
        <v>301</v>
      </c>
      <c r="U216" s="243">
        <f ca="1">VLOOKUP(BDD[[#This Row],[ANTIG]],DIASXANT18[#All],2)</f>
        <v>16</v>
      </c>
      <c r="V216" s="256">
        <f t="shared" ref="V216:V234" si="14">100/200</f>
        <v>0.5</v>
      </c>
      <c r="W216" s="243">
        <f ca="1">BDD[[#This Row],[D.VAC.]]*BDD[[#This Row],[% P.V.]]</f>
        <v>8</v>
      </c>
      <c r="X216" s="243">
        <v>30</v>
      </c>
      <c r="Y216" s="257">
        <f ca="1">(365+BDD[[#This Row],[D.PAG.V.]]+BDD[[#This Row],[D.AG.]])/365</f>
        <v>1.1041095890410959</v>
      </c>
      <c r="Z216" s="243">
        <f ca="1">BDD[[#This Row],[SUE DIA]]*BDD[[#This Row],[FACTOR SDI]]</f>
        <v>380.91780821917808</v>
      </c>
      <c r="AA216" s="243">
        <f>BDD[[#This Row],[SUE DIA]]/9</f>
        <v>38.333333333333336</v>
      </c>
      <c r="AB216" s="251">
        <v>33369</v>
      </c>
      <c r="AC216" s="251" t="s">
        <v>1063</v>
      </c>
      <c r="AD216" s="251" t="s">
        <v>789</v>
      </c>
      <c r="AE216" s="260">
        <v>8208210011</v>
      </c>
      <c r="AF216" s="251" t="s">
        <v>1428</v>
      </c>
      <c r="AG216" s="251" t="s">
        <v>776</v>
      </c>
      <c r="AH216" s="251" t="s">
        <v>730</v>
      </c>
      <c r="AI216" s="243" t="s">
        <v>151</v>
      </c>
      <c r="AJ216" s="258" cm="1">
        <f t="array" aca="1" ref="AJ216" ca="1">DATE(YEAR(FECH.CONS[FECHA DE CONSULTA:]),MONTH(BDD[[#This Row],[FECHA NAC]]),DAY(BDD[[#This Row],[FECHA NAC]]))</f>
        <v>44692</v>
      </c>
      <c r="AK216" s="243">
        <v>6</v>
      </c>
      <c r="AL216" s="261" t="s">
        <v>311</v>
      </c>
      <c r="AM216" s="251" t="s">
        <v>1535</v>
      </c>
      <c r="AN216" s="251" t="s">
        <v>1551</v>
      </c>
      <c r="AO216" s="245">
        <v>78</v>
      </c>
      <c r="AP216" s="251">
        <f ca="1">INT((TODAY()-BDD[[#This Row],[FECHA NAC]])/365)</f>
        <v>31</v>
      </c>
      <c r="AQ216" s="251">
        <v>1</v>
      </c>
      <c r="AR216" s="251">
        <f ca="1">IF(BDD[[#This Row],[ANTIG]]=0,0,1)</f>
        <v>1</v>
      </c>
      <c r="AS216" s="251"/>
      <c r="AT216" s="251"/>
      <c r="AU216" s="251"/>
      <c r="AV216" s="251"/>
      <c r="AW216" s="251"/>
      <c r="AX216" s="251"/>
      <c r="AY216" s="251"/>
      <c r="AZ216" s="251">
        <f t="shared" ca="1" si="12"/>
        <v>420</v>
      </c>
    </row>
    <row r="217" spans="2:52" ht="15" customHeight="1" x14ac:dyDescent="0.25">
      <c r="B217" s="243">
        <v>352</v>
      </c>
      <c r="C217" s="262" t="s">
        <v>442</v>
      </c>
      <c r="D217" s="252">
        <v>7950</v>
      </c>
      <c r="E217" s="252">
        <f>(BDD[[#This Row],[SUE MENS]]/30)</f>
        <v>265</v>
      </c>
      <c r="F217" s="252">
        <f>BDD[[#This Row],[SUE MENS]]/2</f>
        <v>3975</v>
      </c>
      <c r="G217" s="319">
        <v>42347</v>
      </c>
      <c r="H217" s="243">
        <f ca="1">INT(_xlfn.DAYS(TODAY(),BDD[[#This Row],[FECHA ING.]])/365)</f>
        <v>6</v>
      </c>
      <c r="I217" s="251" t="str">
        <f>VLOOKUP(J217,TABLAS!$B$3:$G$49,2,FALSE)</f>
        <v>AUDITORÍA</v>
      </c>
      <c r="J217" s="198" t="s">
        <v>736</v>
      </c>
      <c r="K217" s="251" t="s">
        <v>778</v>
      </c>
      <c r="L217" s="251" t="s">
        <v>763</v>
      </c>
      <c r="M217" s="251"/>
      <c r="N217" s="244" t="s">
        <v>2031</v>
      </c>
      <c r="O217" s="251" t="str">
        <f>IFERROR(VLOOKUP(BDD[[#This Row],[SUBDPTO]],TABLAS!$B$4:$D$36,3,0)," ")</f>
        <v>MARCO AURELIO URBINO</v>
      </c>
      <c r="P217" s="258">
        <v>43567</v>
      </c>
      <c r="Q217" s="254">
        <v>5956</v>
      </c>
      <c r="R217" s="261" t="s">
        <v>745</v>
      </c>
      <c r="S217" s="251"/>
      <c r="T217" s="251" t="s">
        <v>811</v>
      </c>
      <c r="U217" s="243">
        <f ca="1">VLOOKUP(BDD[[#This Row],[ANTIG]],DIASXANT18[#All],2)</f>
        <v>16</v>
      </c>
      <c r="V217" s="256">
        <f t="shared" si="14"/>
        <v>0.5</v>
      </c>
      <c r="W217" s="243">
        <f ca="1">BDD[[#This Row],[D.VAC.]]*BDD[[#This Row],[% P.V.]]</f>
        <v>8</v>
      </c>
      <c r="X217" s="243">
        <v>30</v>
      </c>
      <c r="Y217" s="257">
        <f ca="1">(365+BDD[[#This Row],[D.PAG.V.]]+BDD[[#This Row],[D.AG.]])/365</f>
        <v>1.1041095890410959</v>
      </c>
      <c r="Z217" s="243">
        <f ca="1">BDD[[#This Row],[SUE DIA]]*BDD[[#This Row],[FACTOR SDI]]</f>
        <v>292.58904109589042</v>
      </c>
      <c r="AA217" s="243">
        <f>BDD[[#This Row],[SUE DIA]]/9</f>
        <v>29.444444444444443</v>
      </c>
      <c r="AB217" s="262">
        <v>33530</v>
      </c>
      <c r="AC217" s="251" t="s">
        <v>950</v>
      </c>
      <c r="AD217" s="251" t="s">
        <v>792</v>
      </c>
      <c r="AE217" s="252">
        <v>8127968879</v>
      </c>
      <c r="AF217" s="251" t="s">
        <v>1319</v>
      </c>
      <c r="AG217" s="251" t="s">
        <v>776</v>
      </c>
      <c r="AH217" s="251" t="s">
        <v>730</v>
      </c>
      <c r="AI217" s="243" t="s">
        <v>151</v>
      </c>
      <c r="AJ217" s="258" cm="1">
        <f t="array" aca="1" ref="AJ217" ca="1">DATE(YEAR(FECH.CONS[FECHA DE CONSULTA:]),MONTH(BDD[[#This Row],[FECHA NAC]]),DAY(BDD[[#This Row],[FECHA NAC]]))</f>
        <v>44853</v>
      </c>
      <c r="AK217" s="243">
        <v>6</v>
      </c>
      <c r="AL217" s="261" t="s">
        <v>311</v>
      </c>
      <c r="AM217" s="251" t="s">
        <v>1534</v>
      </c>
      <c r="AN217" s="251" t="s">
        <v>1551</v>
      </c>
      <c r="AO217" s="245">
        <v>88</v>
      </c>
      <c r="AP217" s="251">
        <f ca="1">INT((TODAY()-BDD[[#This Row],[FECHA NAC]])/365)</f>
        <v>30</v>
      </c>
      <c r="AQ217" s="251">
        <v>1</v>
      </c>
      <c r="AR217" s="251">
        <f ca="1">IF(BDD[[#This Row],[ANTIG]]=0,0,1)</f>
        <v>1</v>
      </c>
      <c r="AS217" s="251"/>
      <c r="AT217" s="251"/>
      <c r="AU217" s="251"/>
      <c r="AV217" s="251"/>
      <c r="AW217" s="251"/>
      <c r="AX217" s="251"/>
      <c r="AY217" s="251"/>
      <c r="AZ217" s="251">
        <f t="shared" ca="1" si="12"/>
        <v>859</v>
      </c>
    </row>
    <row r="218" spans="2:52" ht="15" customHeight="1" x14ac:dyDescent="0.25">
      <c r="B218" s="243">
        <v>353</v>
      </c>
      <c r="C218" s="259" t="s">
        <v>512</v>
      </c>
      <c r="D218" s="252">
        <v>9450</v>
      </c>
      <c r="E218" s="252">
        <f>(BDD[[#This Row],[SUE MENS]]/30)</f>
        <v>315</v>
      </c>
      <c r="F218" s="252">
        <f>BDD[[#This Row],[SUE MENS]]/2</f>
        <v>4725</v>
      </c>
      <c r="G218" s="319">
        <v>42353</v>
      </c>
      <c r="H218" s="243">
        <f ca="1">INT(_xlfn.DAYS(TODAY(),BDD[[#This Row],[FECHA ING.]])/365)</f>
        <v>6</v>
      </c>
      <c r="I218" s="251" t="str">
        <f>VLOOKUP(J218,TABLAS!$B$3:$G$49,2,FALSE)</f>
        <v>DIRECCIÓN</v>
      </c>
      <c r="J218" s="198" t="s">
        <v>746</v>
      </c>
      <c r="K218" s="251" t="s">
        <v>778</v>
      </c>
      <c r="L218" s="251" t="s">
        <v>763</v>
      </c>
      <c r="M218" s="251"/>
      <c r="N218" s="253" t="s">
        <v>1952</v>
      </c>
      <c r="O218" s="251" t="str">
        <f>IFERROR(VLOOKUP(BDD[[#This Row],[SUBDPTO]],TABLAS!$B$4:$D$36,3,0)," ")</f>
        <v>MARIANA RODRÍGUEZ GUTIERREZ</v>
      </c>
      <c r="P218" s="258">
        <v>43095</v>
      </c>
      <c r="Q218" s="254">
        <v>5956</v>
      </c>
      <c r="R218" s="255" t="s">
        <v>759</v>
      </c>
      <c r="S218" s="251"/>
      <c r="T218" s="251" t="s">
        <v>301</v>
      </c>
      <c r="U218" s="243">
        <f ca="1">VLOOKUP(BDD[[#This Row],[ANTIG]],DIASXANT18[#All],2)</f>
        <v>16</v>
      </c>
      <c r="V218" s="256">
        <f t="shared" si="14"/>
        <v>0.5</v>
      </c>
      <c r="W218" s="243">
        <f ca="1">BDD[[#This Row],[D.VAC.]]*BDD[[#This Row],[% P.V.]]</f>
        <v>8</v>
      </c>
      <c r="X218" s="243">
        <v>30</v>
      </c>
      <c r="Y218" s="257">
        <f ca="1">(365+BDD[[#This Row],[D.PAG.V.]]+BDD[[#This Row],[D.AG.]])/365</f>
        <v>1.1041095890410959</v>
      </c>
      <c r="Z218" s="243">
        <f ca="1">BDD[[#This Row],[SUE DIA]]*BDD[[#This Row],[FACTOR SDI]]</f>
        <v>347.79452054794518</v>
      </c>
      <c r="AA218" s="243">
        <f>BDD[[#This Row],[SUE DIA]]/9</f>
        <v>35</v>
      </c>
      <c r="AB218" s="251">
        <v>32859</v>
      </c>
      <c r="AC218" s="251" t="s">
        <v>1017</v>
      </c>
      <c r="AD218" s="251" t="s">
        <v>809</v>
      </c>
      <c r="AE218" s="260">
        <v>3345788511</v>
      </c>
      <c r="AF218" s="251" t="s">
        <v>1393</v>
      </c>
      <c r="AG218" s="251" t="s">
        <v>773</v>
      </c>
      <c r="AH218" s="251" t="s">
        <v>730</v>
      </c>
      <c r="AI218" s="243" t="s">
        <v>151</v>
      </c>
      <c r="AJ218" s="258" cm="1">
        <f t="array" aca="1" ref="AJ218" ca="1">DATE(YEAR(FECH.CONS[FECHA DE CONSULTA:]),MONTH(BDD[[#This Row],[FECHA NAC]]),DAY(BDD[[#This Row],[FECHA NAC]]))</f>
        <v>44912</v>
      </c>
      <c r="AK218" s="243">
        <v>7</v>
      </c>
      <c r="AL218" s="261" t="s">
        <v>311</v>
      </c>
      <c r="AM218" s="251" t="s">
        <v>1535</v>
      </c>
      <c r="AN218" s="251" t="s">
        <v>1551</v>
      </c>
      <c r="AO218" s="245">
        <v>97</v>
      </c>
      <c r="AP218" s="251">
        <f ca="1">INT((TODAY()-BDD[[#This Row],[FECHA NAC]])/365)</f>
        <v>32</v>
      </c>
      <c r="AQ218" s="251">
        <v>3</v>
      </c>
      <c r="AR218" s="251">
        <f ca="1">IF(BDD[[#This Row],[ANTIG]]=0,0,1)</f>
        <v>1</v>
      </c>
      <c r="AS218" s="251"/>
      <c r="AT218" s="251"/>
      <c r="AU218" s="251"/>
      <c r="AV218" s="251"/>
      <c r="AW218" s="251"/>
      <c r="AX218" s="251"/>
      <c r="AY218" s="251"/>
      <c r="AZ218" s="251">
        <f t="shared" ca="1" si="12"/>
        <v>967</v>
      </c>
    </row>
    <row r="219" spans="2:52" ht="15" customHeight="1" x14ac:dyDescent="0.25">
      <c r="B219" s="243">
        <v>354</v>
      </c>
      <c r="C219" s="251" t="s">
        <v>249</v>
      </c>
      <c r="D219" s="252">
        <v>7445</v>
      </c>
      <c r="E219" s="252">
        <f>(BDD[[#This Row],[SUE MENS]]/30)</f>
        <v>248.16666666666666</v>
      </c>
      <c r="F219" s="252">
        <f>BDD[[#This Row],[SUE MENS]]/2</f>
        <v>3722.5</v>
      </c>
      <c r="G219" s="320">
        <v>42365</v>
      </c>
      <c r="H219" s="243">
        <f ca="1">INT(_xlfn.DAYS(TODAY(),BDD[[#This Row],[FECHA ING.]])/365)</f>
        <v>6</v>
      </c>
      <c r="I219" s="251" t="str">
        <f>VLOOKUP(J219,TABLAS!$B$3:$G$49,2,FALSE)</f>
        <v>DIV ARQUIT</v>
      </c>
      <c r="J219" s="198" t="s">
        <v>740</v>
      </c>
      <c r="K219" s="251" t="s">
        <v>778</v>
      </c>
      <c r="L219" s="251" t="s">
        <v>763</v>
      </c>
      <c r="M219" s="251"/>
      <c r="N219" s="244" t="s">
        <v>1922</v>
      </c>
      <c r="O219" s="251" t="str">
        <f>IFERROR(VLOOKUP(BDD[[#This Row],[SUBDPTO]],TABLAS!$B$4:$D$36,3,0)," ")</f>
        <v>MÉRIDA ISELA MEDINA SALINAS</v>
      </c>
      <c r="P219" s="258"/>
      <c r="Q219" s="264"/>
      <c r="R219" s="244"/>
      <c r="S219" s="251"/>
      <c r="T219" s="251" t="s">
        <v>811</v>
      </c>
      <c r="U219" s="243">
        <f ca="1">VLOOKUP(BDD[[#This Row],[ANTIG]],DIASXANT18[#All],2)</f>
        <v>16</v>
      </c>
      <c r="V219" s="256">
        <f t="shared" si="14"/>
        <v>0.5</v>
      </c>
      <c r="W219" s="243">
        <f ca="1">BDD[[#This Row],[D.VAC.]]*BDD[[#This Row],[% P.V.]]</f>
        <v>8</v>
      </c>
      <c r="X219" s="243">
        <v>30</v>
      </c>
      <c r="Y219" s="257">
        <f ca="1">(365+BDD[[#This Row],[D.PAG.V.]]+BDD[[#This Row],[D.AG.]])/365</f>
        <v>1.1041095890410959</v>
      </c>
      <c r="Z219" s="243">
        <f ca="1">BDD[[#This Row],[SUE DIA]]*BDD[[#This Row],[FACTOR SDI]]</f>
        <v>274.00319634703197</v>
      </c>
      <c r="AA219" s="243">
        <f>BDD[[#This Row],[SUE DIA]]/9</f>
        <v>27.574074074074073</v>
      </c>
      <c r="AB219" s="251">
        <v>34454</v>
      </c>
      <c r="AC219" s="251" t="s">
        <v>1015</v>
      </c>
      <c r="AD219" s="251" t="s">
        <v>790</v>
      </c>
      <c r="AE219" s="252">
        <v>8434568360</v>
      </c>
      <c r="AF219" s="251" t="s">
        <v>1278</v>
      </c>
      <c r="AG219" s="251" t="s">
        <v>776</v>
      </c>
      <c r="AH219" s="251" t="s">
        <v>730</v>
      </c>
      <c r="AI219" s="243" t="s">
        <v>151</v>
      </c>
      <c r="AJ219" s="258" cm="1">
        <f t="array" aca="1" ref="AJ219" ca="1">DATE(YEAR(FECH.CONS[FECHA DE CONSULTA:]),MONTH(BDD[[#This Row],[FECHA NAC]]),DAY(BDD[[#This Row],[FECHA NAC]]))</f>
        <v>44681</v>
      </c>
      <c r="AK219" s="243">
        <v>10</v>
      </c>
      <c r="AL219" s="261" t="s">
        <v>311</v>
      </c>
      <c r="AM219" s="251" t="s">
        <v>1543</v>
      </c>
      <c r="AN219" s="251" t="s">
        <v>1551</v>
      </c>
      <c r="AO219" s="245">
        <v>30</v>
      </c>
      <c r="AP219" s="251">
        <f ca="1">INT((TODAY()-BDD[[#This Row],[FECHA NAC]])/365)</f>
        <v>28</v>
      </c>
      <c r="AQ219" s="251">
        <v>1</v>
      </c>
      <c r="AR219" s="251">
        <f ca="1">IF(BDD[[#This Row],[ANTIG]]=0,0,1)</f>
        <v>1</v>
      </c>
      <c r="AS219" s="251"/>
      <c r="AT219" s="251"/>
      <c r="AU219" s="251"/>
      <c r="AV219" s="251"/>
      <c r="AW219" s="251"/>
      <c r="AX219" s="251"/>
      <c r="AY219" s="251"/>
      <c r="AZ219" s="251">
        <f t="shared" ca="1" si="12"/>
        <v>398</v>
      </c>
    </row>
    <row r="220" spans="2:52" ht="15" customHeight="1" x14ac:dyDescent="0.25">
      <c r="B220" s="243">
        <v>355</v>
      </c>
      <c r="C220" s="262" t="s">
        <v>354</v>
      </c>
      <c r="D220" s="252">
        <v>9450</v>
      </c>
      <c r="E220" s="252">
        <f>(BDD[[#This Row],[SUE MENS]]/30)</f>
        <v>315</v>
      </c>
      <c r="F220" s="252">
        <f>BDD[[#This Row],[SUE MENS]]/2</f>
        <v>4725</v>
      </c>
      <c r="G220" s="320">
        <v>42376</v>
      </c>
      <c r="H220" s="243">
        <f ca="1">INT(_xlfn.DAYS(TODAY(),BDD[[#This Row],[FECHA ING.]])/365)</f>
        <v>6</v>
      </c>
      <c r="I220" s="251" t="str">
        <f>VLOOKUP(J220,TABLAS!$B$3:$G$49,2,FALSE)</f>
        <v>DIV INGENRIA</v>
      </c>
      <c r="J220" s="198" t="s">
        <v>744</v>
      </c>
      <c r="K220" s="251" t="s">
        <v>778</v>
      </c>
      <c r="L220" s="251" t="s">
        <v>763</v>
      </c>
      <c r="M220" s="251"/>
      <c r="N220" s="244" t="s">
        <v>1902</v>
      </c>
      <c r="O220" s="251" t="str">
        <f>IFERROR(VLOOKUP(BDD[[#This Row],[SUBDPTO]],TABLAS!$B$4:$D$36,3,0)," ")</f>
        <v>DIEGO HERRERA GIRÓN</v>
      </c>
      <c r="P220" s="258"/>
      <c r="Q220" s="264"/>
      <c r="R220" s="244"/>
      <c r="S220" s="251"/>
      <c r="T220" s="251" t="s">
        <v>811</v>
      </c>
      <c r="U220" s="243">
        <f ca="1">VLOOKUP(BDD[[#This Row],[ANTIG]],DIASXANT18[#All],2)</f>
        <v>16</v>
      </c>
      <c r="V220" s="256">
        <f t="shared" si="14"/>
        <v>0.5</v>
      </c>
      <c r="W220" s="243">
        <f ca="1">BDD[[#This Row],[D.VAC.]]*BDD[[#This Row],[% P.V.]]</f>
        <v>8</v>
      </c>
      <c r="X220" s="243">
        <v>30</v>
      </c>
      <c r="Y220" s="257">
        <f ca="1">(365+BDD[[#This Row],[D.PAG.V.]]+BDD[[#This Row],[D.AG.]])/365</f>
        <v>1.1041095890410959</v>
      </c>
      <c r="Z220" s="243">
        <f ca="1">BDD[[#This Row],[SUE DIA]]*BDD[[#This Row],[FACTOR SDI]]</f>
        <v>347.79452054794518</v>
      </c>
      <c r="AA220" s="243">
        <f>BDD[[#This Row],[SUE DIA]]/9</f>
        <v>35</v>
      </c>
      <c r="AB220" s="262">
        <v>32285</v>
      </c>
      <c r="AC220" s="251" t="s">
        <v>1032</v>
      </c>
      <c r="AD220" s="251" t="s">
        <v>786</v>
      </c>
      <c r="AE220" s="252">
        <v>8228857432</v>
      </c>
      <c r="AF220" s="251" t="s">
        <v>1328</v>
      </c>
      <c r="AG220" s="251" t="s">
        <v>776</v>
      </c>
      <c r="AH220" s="251" t="s">
        <v>730</v>
      </c>
      <c r="AI220" s="243" t="s">
        <v>151</v>
      </c>
      <c r="AJ220" s="258" cm="1">
        <f t="array" aca="1" ref="AJ220" ca="1">DATE(YEAR(FECH.CONS[FECHA DE CONSULTA:]),MONTH(BDD[[#This Row],[FECHA NAC]]),DAY(BDD[[#This Row],[FECHA NAC]]))</f>
        <v>44703</v>
      </c>
      <c r="AK220" s="243">
        <v>6</v>
      </c>
      <c r="AL220" s="261" t="s">
        <v>316</v>
      </c>
      <c r="AM220" s="251" t="s">
        <v>1538</v>
      </c>
      <c r="AN220" s="251" t="s">
        <v>1551</v>
      </c>
      <c r="AO220" s="245">
        <v>82</v>
      </c>
      <c r="AP220" s="251">
        <f ca="1">INT((TODAY()-BDD[[#This Row],[FECHA NAC]])/365)</f>
        <v>34</v>
      </c>
      <c r="AQ220" s="251">
        <v>3</v>
      </c>
      <c r="AR220" s="251">
        <f ca="1">IF(BDD[[#This Row],[ANTIG]]=0,0,1)</f>
        <v>1</v>
      </c>
      <c r="AS220" s="251"/>
      <c r="AT220" s="251"/>
      <c r="AU220" s="251"/>
      <c r="AV220" s="251"/>
      <c r="AW220" s="251"/>
      <c r="AX220" s="251"/>
      <c r="AY220" s="251"/>
      <c r="AZ220" s="251">
        <f t="shared" ca="1" si="12"/>
        <v>514</v>
      </c>
    </row>
    <row r="221" spans="2:52" ht="15" customHeight="1" x14ac:dyDescent="0.25">
      <c r="B221" s="243">
        <v>356</v>
      </c>
      <c r="C221" s="259" t="s">
        <v>586</v>
      </c>
      <c r="D221" s="252">
        <v>9541</v>
      </c>
      <c r="E221" s="252">
        <f>(BDD[[#This Row],[SUE MENS]]/30)</f>
        <v>318.03333333333336</v>
      </c>
      <c r="F221" s="252">
        <f>BDD[[#This Row],[SUE MENS]]/2</f>
        <v>4770.5</v>
      </c>
      <c r="G221" s="319">
        <v>42379</v>
      </c>
      <c r="H221" s="243">
        <f ca="1">INT(_xlfn.DAYS(TODAY(),BDD[[#This Row],[FECHA ING.]])/365)</f>
        <v>6</v>
      </c>
      <c r="I221" s="251" t="str">
        <f>VLOOKUP(J221,TABLAS!$B$3:$G$49,2,FALSE)</f>
        <v>DIV ARQUIT</v>
      </c>
      <c r="J221" s="198" t="s">
        <v>740</v>
      </c>
      <c r="K221" s="251" t="s">
        <v>778</v>
      </c>
      <c r="L221" s="251" t="s">
        <v>763</v>
      </c>
      <c r="M221" s="251"/>
      <c r="N221" s="253" t="s">
        <v>1831</v>
      </c>
      <c r="O221" s="251" t="str">
        <f>IFERROR(VLOOKUP(BDD[[#This Row],[SUBDPTO]],TABLAS!$B$4:$D$36,3,0)," ")</f>
        <v>MÉRIDA ISELA MEDINA SALINAS</v>
      </c>
      <c r="P221" s="258">
        <v>41847</v>
      </c>
      <c r="Q221" s="254">
        <v>5956</v>
      </c>
      <c r="R221" s="255" t="s">
        <v>751</v>
      </c>
      <c r="S221" s="261" t="s">
        <v>745</v>
      </c>
      <c r="T221" s="251" t="s">
        <v>811</v>
      </c>
      <c r="U221" s="243">
        <f ca="1">VLOOKUP(BDD[[#This Row],[ANTIG]],DIASXANT18[#All],2)</f>
        <v>16</v>
      </c>
      <c r="V221" s="256">
        <f t="shared" si="14"/>
        <v>0.5</v>
      </c>
      <c r="W221" s="243">
        <f ca="1">BDD[[#This Row],[D.VAC.]]*BDD[[#This Row],[% P.V.]]</f>
        <v>8</v>
      </c>
      <c r="X221" s="243">
        <v>30</v>
      </c>
      <c r="Y221" s="257">
        <f ca="1">(365+BDD[[#This Row],[D.PAG.V.]]+BDD[[#This Row],[D.AG.]])/365</f>
        <v>1.1041095890410959</v>
      </c>
      <c r="Z221" s="243">
        <f ca="1">BDD[[#This Row],[SUE DIA]]*BDD[[#This Row],[FACTOR SDI]]</f>
        <v>351.14365296803658</v>
      </c>
      <c r="AA221" s="243">
        <f>BDD[[#This Row],[SUE DIA]]/9</f>
        <v>35.337037037037042</v>
      </c>
      <c r="AB221" s="251">
        <v>31856</v>
      </c>
      <c r="AC221" s="251" t="s">
        <v>1065</v>
      </c>
      <c r="AD221" s="251" t="s">
        <v>789</v>
      </c>
      <c r="AE221" s="260">
        <v>3277329962</v>
      </c>
      <c r="AF221" s="251" t="s">
        <v>1446</v>
      </c>
      <c r="AG221" s="251" t="s">
        <v>776</v>
      </c>
      <c r="AH221" s="251" t="s">
        <v>730</v>
      </c>
      <c r="AI221" s="243" t="s">
        <v>151</v>
      </c>
      <c r="AJ221" s="258" cm="1">
        <f t="array" aca="1" ref="AJ221" ca="1">DATE(YEAR(FECH.CONS[FECHA DE CONSULTA:]),MONTH(BDD[[#This Row],[FECHA NAC]]),DAY(BDD[[#This Row],[FECHA NAC]]))</f>
        <v>44640</v>
      </c>
      <c r="AK221" s="243">
        <v>8</v>
      </c>
      <c r="AL221" s="261" t="s">
        <v>311</v>
      </c>
      <c r="AM221" s="251" t="s">
        <v>1543</v>
      </c>
      <c r="AN221" s="251" t="s">
        <v>1551</v>
      </c>
      <c r="AO221" s="245">
        <v>62</v>
      </c>
      <c r="AP221" s="251">
        <f ca="1">INT((TODAY()-BDD[[#This Row],[FECHA NAC]])/365)</f>
        <v>35</v>
      </c>
      <c r="AQ221" s="251">
        <v>3</v>
      </c>
      <c r="AR221" s="251">
        <f ca="1">IF(BDD[[#This Row],[ANTIG]]=0,0,1)</f>
        <v>1</v>
      </c>
      <c r="AS221" s="251"/>
      <c r="AT221" s="251"/>
      <c r="AU221" s="251"/>
      <c r="AV221" s="251"/>
      <c r="AW221" s="251"/>
      <c r="AX221" s="251"/>
      <c r="AY221" s="251"/>
      <c r="AZ221" s="251">
        <f t="shared" ca="1" si="12"/>
        <v>672</v>
      </c>
    </row>
    <row r="222" spans="2:52" ht="15" customHeight="1" x14ac:dyDescent="0.25">
      <c r="B222" s="243">
        <v>357</v>
      </c>
      <c r="C222" s="262" t="s">
        <v>348</v>
      </c>
      <c r="D222" s="263">
        <v>7445</v>
      </c>
      <c r="E222" s="252">
        <f>(BDD[[#This Row],[SUE MENS]]/30)</f>
        <v>248.16666666666666</v>
      </c>
      <c r="F222" s="252">
        <f>BDD[[#This Row],[SUE MENS]]/2</f>
        <v>3722.5</v>
      </c>
      <c r="G222" s="319">
        <v>42385</v>
      </c>
      <c r="H222" s="243">
        <f ca="1">INT(_xlfn.DAYS(TODAY(),BDD[[#This Row],[FECHA ING.]])/365)</f>
        <v>6</v>
      </c>
      <c r="I222" s="251" t="str">
        <f>VLOOKUP(J222,TABLAS!$B$3:$G$49,2,FALSE)</f>
        <v>DIV INGENRIA</v>
      </c>
      <c r="J222" s="198" t="s">
        <v>743</v>
      </c>
      <c r="K222" s="251" t="s">
        <v>778</v>
      </c>
      <c r="L222" s="251" t="s">
        <v>763</v>
      </c>
      <c r="M222" s="251"/>
      <c r="N222" s="244" t="s">
        <v>1929</v>
      </c>
      <c r="O222" s="251" t="str">
        <f>IFERROR(VLOOKUP(BDD[[#This Row],[SUBDPTO]],TABLAS!$B$4:$D$36,3,0)," ")</f>
        <v>DIEGO HERRERA GIRÓN</v>
      </c>
      <c r="P222" s="258"/>
      <c r="Q222" s="264"/>
      <c r="R222" s="244"/>
      <c r="S222" s="251"/>
      <c r="T222" s="251" t="s">
        <v>811</v>
      </c>
      <c r="U222" s="243">
        <f ca="1">VLOOKUP(BDD[[#This Row],[ANTIG]],DIASXANT18[#All],2)</f>
        <v>16</v>
      </c>
      <c r="V222" s="256">
        <f t="shared" si="14"/>
        <v>0.5</v>
      </c>
      <c r="W222" s="243">
        <f ca="1">BDD[[#This Row],[D.VAC.]]*BDD[[#This Row],[% P.V.]]</f>
        <v>8</v>
      </c>
      <c r="X222" s="243">
        <v>30</v>
      </c>
      <c r="Y222" s="257">
        <f ca="1">(365+BDD[[#This Row],[D.PAG.V.]]+BDD[[#This Row],[D.AG.]])/365</f>
        <v>1.1041095890410959</v>
      </c>
      <c r="Z222" s="243">
        <f ca="1">BDD[[#This Row],[SUE DIA]]*BDD[[#This Row],[FACTOR SDI]]</f>
        <v>274.00319634703197</v>
      </c>
      <c r="AA222" s="243">
        <f>BDD[[#This Row],[SUE DIA]]/9</f>
        <v>27.574074074074073</v>
      </c>
      <c r="AB222" s="262">
        <v>32000</v>
      </c>
      <c r="AC222" s="251" t="s">
        <v>1006</v>
      </c>
      <c r="AD222" s="251" t="s">
        <v>790</v>
      </c>
      <c r="AE222" s="252">
        <v>8141287471</v>
      </c>
      <c r="AF222" s="251" t="s">
        <v>1322</v>
      </c>
      <c r="AG222" s="251" t="s">
        <v>774</v>
      </c>
      <c r="AH222" s="251" t="s">
        <v>730</v>
      </c>
      <c r="AI222" s="243" t="s">
        <v>151</v>
      </c>
      <c r="AJ222" s="258" cm="1">
        <f t="array" aca="1" ref="AJ222" ca="1">DATE(YEAR(FECH.CONS[FECHA DE CONSULTA:]),MONTH(BDD[[#This Row],[FECHA NAC]]),DAY(BDD[[#This Row],[FECHA NAC]]))</f>
        <v>44784</v>
      </c>
      <c r="AK222" s="243">
        <v>8</v>
      </c>
      <c r="AL222" s="261" t="s">
        <v>312</v>
      </c>
      <c r="AM222" s="251" t="s">
        <v>1546</v>
      </c>
      <c r="AN222" s="251" t="s">
        <v>1551</v>
      </c>
      <c r="AO222" s="245">
        <v>31</v>
      </c>
      <c r="AP222" s="251">
        <f ca="1">INT((TODAY()-BDD[[#This Row],[FECHA NAC]])/365)</f>
        <v>34</v>
      </c>
      <c r="AQ222" s="251">
        <v>2</v>
      </c>
      <c r="AR222" s="251">
        <f ca="1">IF(BDD[[#This Row],[ANTIG]]=0,0,1)</f>
        <v>1</v>
      </c>
      <c r="AS222" s="251"/>
      <c r="AT222" s="251"/>
      <c r="AU222" s="251"/>
      <c r="AV222" s="251"/>
      <c r="AW222" s="251"/>
      <c r="AX222" s="251"/>
      <c r="AY222" s="251"/>
      <c r="AZ222" s="251">
        <f t="shared" ca="1" si="12"/>
        <v>911</v>
      </c>
    </row>
    <row r="223" spans="2:52" ht="15" customHeight="1" x14ac:dyDescent="0.25">
      <c r="B223" s="243">
        <v>358</v>
      </c>
      <c r="C223" s="259" t="s">
        <v>626</v>
      </c>
      <c r="D223" s="252">
        <v>9450</v>
      </c>
      <c r="E223" s="252">
        <f>(BDD[[#This Row],[SUE MENS]]/30)</f>
        <v>315</v>
      </c>
      <c r="F223" s="252">
        <f>BDD[[#This Row],[SUE MENS]]/2</f>
        <v>4725</v>
      </c>
      <c r="G223" s="319">
        <v>42391</v>
      </c>
      <c r="H223" s="243">
        <f ca="1">INT(_xlfn.DAYS(TODAY(),BDD[[#This Row],[FECHA ING.]])/365)</f>
        <v>6</v>
      </c>
      <c r="I223" s="251" t="str">
        <f>VLOOKUP(J223,TABLAS!$B$3:$G$49,2,FALSE)</f>
        <v>FINANZAS</v>
      </c>
      <c r="J223" s="198" t="s">
        <v>747</v>
      </c>
      <c r="K223" s="251" t="s">
        <v>778</v>
      </c>
      <c r="L223" s="251" t="s">
        <v>763</v>
      </c>
      <c r="M223" s="251"/>
      <c r="N223" s="253" t="s">
        <v>2171</v>
      </c>
      <c r="O223" s="251" t="str">
        <f>IFERROR(VLOOKUP(BDD[[#This Row],[SUBDPTO]],TABLAS!$B$4:$D$36,3,0)," ")</f>
        <v>MARIANO ALDEBARÁN</v>
      </c>
      <c r="P223" s="258">
        <v>43577</v>
      </c>
      <c r="Q223" s="254">
        <v>6580</v>
      </c>
      <c r="R223" s="255" t="s">
        <v>740</v>
      </c>
      <c r="S223" s="251"/>
      <c r="T223" s="251" t="s">
        <v>811</v>
      </c>
      <c r="U223" s="243">
        <f ca="1">VLOOKUP(BDD[[#This Row],[ANTIG]],DIASXANT18[#All],2)</f>
        <v>16</v>
      </c>
      <c r="V223" s="256">
        <f t="shared" si="14"/>
        <v>0.5</v>
      </c>
      <c r="W223" s="243">
        <f ca="1">BDD[[#This Row],[D.VAC.]]*BDD[[#This Row],[% P.V.]]</f>
        <v>8</v>
      </c>
      <c r="X223" s="243">
        <v>30</v>
      </c>
      <c r="Y223" s="257">
        <f ca="1">(365+BDD[[#This Row],[D.PAG.V.]]+BDD[[#This Row],[D.AG.]])/365</f>
        <v>1.1041095890410959</v>
      </c>
      <c r="Z223" s="243">
        <f ca="1">BDD[[#This Row],[SUE DIA]]*BDD[[#This Row],[FACTOR SDI]]</f>
        <v>347.79452054794518</v>
      </c>
      <c r="AA223" s="243">
        <f>BDD[[#This Row],[SUE DIA]]/9</f>
        <v>35</v>
      </c>
      <c r="AB223" s="251">
        <v>29046</v>
      </c>
      <c r="AC223" s="251" t="s">
        <v>870</v>
      </c>
      <c r="AD223" s="251" t="s">
        <v>790</v>
      </c>
      <c r="AE223" s="260">
        <v>6515067970</v>
      </c>
      <c r="AF223" s="251" t="s">
        <v>1471</v>
      </c>
      <c r="AG223" s="251" t="s">
        <v>776</v>
      </c>
      <c r="AH223" s="251" t="s">
        <v>1555</v>
      </c>
      <c r="AI223" s="243" t="s">
        <v>153</v>
      </c>
      <c r="AJ223" s="258" cm="1">
        <f t="array" aca="1" ref="AJ223" ca="1">DATE(YEAR(FECH.CONS[FECHA DE CONSULTA:]),MONTH(BDD[[#This Row],[FECHA NAC]]),DAY(BDD[[#This Row],[FECHA NAC]]))</f>
        <v>44752</v>
      </c>
      <c r="AK223" s="243"/>
      <c r="AL223" s="261" t="s">
        <v>313</v>
      </c>
      <c r="AM223" s="251" t="s">
        <v>1537</v>
      </c>
      <c r="AN223" s="251" t="s">
        <v>1551</v>
      </c>
      <c r="AO223" s="245">
        <v>76</v>
      </c>
      <c r="AP223" s="251">
        <f ca="1">INT((TODAY()-BDD[[#This Row],[FECHA NAC]])/365)</f>
        <v>43</v>
      </c>
      <c r="AQ223" s="251">
        <v>3</v>
      </c>
      <c r="AR223" s="251">
        <f ca="1">IF(BDD[[#This Row],[ANTIG]]=0,0,1)</f>
        <v>1</v>
      </c>
      <c r="AS223" s="251"/>
      <c r="AT223" s="251"/>
      <c r="AU223" s="251"/>
      <c r="AV223" s="251"/>
      <c r="AW223" s="251"/>
      <c r="AX223" s="251"/>
      <c r="AY223" s="251"/>
      <c r="AZ223" s="251">
        <f t="shared" ca="1" si="12"/>
        <v>645</v>
      </c>
    </row>
    <row r="224" spans="2:52" ht="15" customHeight="1" x14ac:dyDescent="0.25">
      <c r="B224" s="243">
        <v>359</v>
      </c>
      <c r="C224" s="259" t="s">
        <v>536</v>
      </c>
      <c r="D224" s="263">
        <v>7445</v>
      </c>
      <c r="E224" s="252">
        <f>(BDD[[#This Row],[SUE MENS]]/30)</f>
        <v>248.16666666666666</v>
      </c>
      <c r="F224" s="252">
        <f>BDD[[#This Row],[SUE MENS]]/2</f>
        <v>3722.5</v>
      </c>
      <c r="G224" s="320">
        <v>42400</v>
      </c>
      <c r="H224" s="243">
        <f ca="1">INT(_xlfn.DAYS(TODAY(),BDD[[#This Row],[FECHA ING.]])/365)</f>
        <v>6</v>
      </c>
      <c r="I224" s="251" t="str">
        <f>VLOOKUP(J224,TABLAS!$B$3:$G$49,2,FALSE)</f>
        <v>DIRECCIÓN</v>
      </c>
      <c r="J224" s="198" t="s">
        <v>759</v>
      </c>
      <c r="K224" s="251" t="s">
        <v>778</v>
      </c>
      <c r="L224" s="251" t="s">
        <v>763</v>
      </c>
      <c r="M224" s="251"/>
      <c r="N224" s="244" t="s">
        <v>2205</v>
      </c>
      <c r="O224" s="251" t="str">
        <f>IFERROR(VLOOKUP(BDD[[#This Row],[SUBDPTO]],TABLAS!$B$4:$D$36,3,0)," ")</f>
        <v>MARIANA RODRÍGUEZ GUTIERREZ</v>
      </c>
      <c r="P224" s="258"/>
      <c r="Q224" s="264"/>
      <c r="R224" s="244"/>
      <c r="S224" s="251"/>
      <c r="T224" s="251" t="s">
        <v>301</v>
      </c>
      <c r="U224" s="243">
        <f ca="1">VLOOKUP(BDD[[#This Row],[ANTIG]],DIASXANT18[#All],2)</f>
        <v>16</v>
      </c>
      <c r="V224" s="256">
        <f t="shared" si="14"/>
        <v>0.5</v>
      </c>
      <c r="W224" s="243">
        <f ca="1">BDD[[#This Row],[D.VAC.]]*BDD[[#This Row],[% P.V.]]</f>
        <v>8</v>
      </c>
      <c r="X224" s="243">
        <v>30</v>
      </c>
      <c r="Y224" s="257">
        <f ca="1">(365+BDD[[#This Row],[D.PAG.V.]]+BDD[[#This Row],[D.AG.]])/365</f>
        <v>1.1041095890410959</v>
      </c>
      <c r="Z224" s="243">
        <f ca="1">BDD[[#This Row],[SUE DIA]]*BDD[[#This Row],[FACTOR SDI]]</f>
        <v>274.00319634703197</v>
      </c>
      <c r="AA224" s="243">
        <f>BDD[[#This Row],[SUE DIA]]/9</f>
        <v>27.574074074074073</v>
      </c>
      <c r="AB224" s="251">
        <v>29389</v>
      </c>
      <c r="AC224" s="251" t="s">
        <v>898</v>
      </c>
      <c r="AD224" s="251" t="s">
        <v>809</v>
      </c>
      <c r="AE224" s="260">
        <v>5684928215</v>
      </c>
      <c r="AF224" s="251" t="s">
        <v>1406</v>
      </c>
      <c r="AG224" s="251" t="s">
        <v>776</v>
      </c>
      <c r="AH224" s="251" t="s">
        <v>730</v>
      </c>
      <c r="AI224" s="243" t="s">
        <v>151</v>
      </c>
      <c r="AJ224" s="258" cm="1">
        <f t="array" aca="1" ref="AJ224" ca="1">DATE(YEAR(FECH.CONS[FECHA DE CONSULTA:]),MONTH(BDD[[#This Row],[FECHA NAC]]),DAY(BDD[[#This Row],[FECHA NAC]]))</f>
        <v>44729</v>
      </c>
      <c r="AK224" s="243">
        <v>6</v>
      </c>
      <c r="AL224" s="261" t="s">
        <v>311</v>
      </c>
      <c r="AM224" s="251" t="s">
        <v>1534</v>
      </c>
      <c r="AN224" s="251" t="s">
        <v>1551</v>
      </c>
      <c r="AO224" s="245">
        <v>75</v>
      </c>
      <c r="AP224" s="251">
        <f ca="1">INT((TODAY()-BDD[[#This Row],[FECHA NAC]])/365)</f>
        <v>42</v>
      </c>
      <c r="AQ224" s="251">
        <v>3</v>
      </c>
      <c r="AR224" s="251">
        <f ca="1">IF(BDD[[#This Row],[ANTIG]]=0,0,1)</f>
        <v>1</v>
      </c>
      <c r="AS224" s="251"/>
      <c r="AT224" s="251"/>
      <c r="AU224" s="251"/>
      <c r="AV224" s="251"/>
      <c r="AW224" s="251"/>
      <c r="AX224" s="251"/>
      <c r="AY224" s="251"/>
      <c r="AZ224" s="251">
        <f t="shared" ca="1" si="12"/>
        <v>954</v>
      </c>
    </row>
    <row r="225" spans="1:52" ht="15" customHeight="1" x14ac:dyDescent="0.25">
      <c r="B225" s="243">
        <v>360</v>
      </c>
      <c r="C225" s="259" t="s">
        <v>709</v>
      </c>
      <c r="D225" s="252">
        <v>9541</v>
      </c>
      <c r="E225" s="252">
        <f>(BDD[[#This Row],[SUE MENS]]/30)</f>
        <v>318.03333333333336</v>
      </c>
      <c r="F225" s="252">
        <f>BDD[[#This Row],[SUE MENS]]/2</f>
        <v>4770.5</v>
      </c>
      <c r="G225" s="319">
        <v>42404</v>
      </c>
      <c r="H225" s="243">
        <f ca="1">INT(_xlfn.DAYS(TODAY(),BDD[[#This Row],[FECHA ING.]])/365)</f>
        <v>6</v>
      </c>
      <c r="I225" s="251" t="str">
        <f>VLOOKUP(J225,TABLAS!$B$3:$G$49,2,FALSE)</f>
        <v>CONTABILIDAD</v>
      </c>
      <c r="J225" s="198" t="s">
        <v>737</v>
      </c>
      <c r="K225" s="251" t="s">
        <v>778</v>
      </c>
      <c r="L225" s="251" t="s">
        <v>763</v>
      </c>
      <c r="M225" s="251"/>
      <c r="N225" s="253" t="s">
        <v>1804</v>
      </c>
      <c r="O225" s="251" t="str">
        <f>IFERROR(VLOOKUP(BDD[[#This Row],[SUBDPTO]],TABLAS!$B$4:$D$36,3,0)," ")</f>
        <v>IRIE DALÍ ANTARES CORTÉS</v>
      </c>
      <c r="P225" s="258">
        <v>43714</v>
      </c>
      <c r="Q225" s="254">
        <v>5422.4000000000005</v>
      </c>
      <c r="R225" s="255" t="s">
        <v>751</v>
      </c>
      <c r="S225" s="255" t="s">
        <v>735</v>
      </c>
      <c r="T225" s="251" t="s">
        <v>811</v>
      </c>
      <c r="U225" s="243">
        <f ca="1">VLOOKUP(BDD[[#This Row],[ANTIG]],DIASXANT18[#All],2)</f>
        <v>16</v>
      </c>
      <c r="V225" s="256">
        <f t="shared" si="14"/>
        <v>0.5</v>
      </c>
      <c r="W225" s="243">
        <f ca="1">BDD[[#This Row],[D.VAC.]]*BDD[[#This Row],[% P.V.]]</f>
        <v>8</v>
      </c>
      <c r="X225" s="243">
        <v>30</v>
      </c>
      <c r="Y225" s="257">
        <f ca="1">(365+BDD[[#This Row],[D.PAG.V.]]+BDD[[#This Row],[D.AG.]])/365</f>
        <v>1.1041095890410959</v>
      </c>
      <c r="Z225" s="243">
        <f ca="1">BDD[[#This Row],[SUE DIA]]*BDD[[#This Row],[FACTOR SDI]]</f>
        <v>351.14365296803658</v>
      </c>
      <c r="AA225" s="243">
        <f>BDD[[#This Row],[SUE DIA]]/9</f>
        <v>35.337037037037042</v>
      </c>
      <c r="AB225" s="251">
        <v>32375</v>
      </c>
      <c r="AC225" s="251" t="s">
        <v>879</v>
      </c>
      <c r="AD225" s="251" t="s">
        <v>789</v>
      </c>
      <c r="AE225" s="260">
        <v>3044314884</v>
      </c>
      <c r="AF225" s="251" t="s">
        <v>1526</v>
      </c>
      <c r="AG225" s="251" t="s">
        <v>773</v>
      </c>
      <c r="AH225" s="251" t="s">
        <v>1555</v>
      </c>
      <c r="AI225" s="243" t="s">
        <v>152</v>
      </c>
      <c r="AJ225" s="258" cm="1">
        <f t="array" aca="1" ref="AJ225" ca="1">DATE(YEAR(FECH.CONS[FECHA DE CONSULTA:]),MONTH(BDD[[#This Row],[FECHA NAC]]),DAY(BDD[[#This Row],[FECHA NAC]]))</f>
        <v>44793</v>
      </c>
      <c r="AK225" s="243"/>
      <c r="AL225" s="261" t="s">
        <v>311</v>
      </c>
      <c r="AM225" s="251" t="s">
        <v>1534</v>
      </c>
      <c r="AN225" s="251" t="s">
        <v>1551</v>
      </c>
      <c r="AO225" s="245">
        <v>78</v>
      </c>
      <c r="AP225" s="251">
        <f ca="1">INT((TODAY()-BDD[[#This Row],[FECHA NAC]])/365)</f>
        <v>33</v>
      </c>
      <c r="AQ225" s="251">
        <v>3</v>
      </c>
      <c r="AR225" s="251">
        <f ca="1">IF(BDD[[#This Row],[ANTIG]]=0,0,1)</f>
        <v>1</v>
      </c>
      <c r="AS225" s="251"/>
      <c r="AT225" s="251"/>
      <c r="AU225" s="251"/>
      <c r="AV225" s="251"/>
      <c r="AW225" s="251"/>
      <c r="AX225" s="251"/>
      <c r="AY225" s="251"/>
      <c r="AZ225" s="251">
        <f t="shared" ca="1" si="12"/>
        <v>958</v>
      </c>
    </row>
    <row r="226" spans="1:52" ht="15" customHeight="1" x14ac:dyDescent="0.25">
      <c r="A226" s="273"/>
      <c r="B226" s="243">
        <v>362</v>
      </c>
      <c r="C226" s="259" t="s">
        <v>524</v>
      </c>
      <c r="D226" s="252">
        <v>9450</v>
      </c>
      <c r="E226" s="252">
        <f>(BDD[[#This Row],[SUE MENS]]/30)</f>
        <v>315</v>
      </c>
      <c r="F226" s="252">
        <f>BDD[[#This Row],[SUE MENS]]/2</f>
        <v>4725</v>
      </c>
      <c r="G226" s="319">
        <v>42406</v>
      </c>
      <c r="H226" s="243">
        <f ca="1">INT(_xlfn.DAYS(TODAY(),BDD[[#This Row],[FECHA ING.]])/365)</f>
        <v>6</v>
      </c>
      <c r="I226" s="251" t="str">
        <f>VLOOKUP(J226,TABLAS!$B$3:$G$49,2,FALSE)</f>
        <v>DIV ARQUIT</v>
      </c>
      <c r="J226" s="198" t="s">
        <v>740</v>
      </c>
      <c r="K226" s="251" t="s">
        <v>778</v>
      </c>
      <c r="L226" s="251" t="s">
        <v>763</v>
      </c>
      <c r="M226" s="251"/>
      <c r="N226" s="253" t="s">
        <v>1803</v>
      </c>
      <c r="O226" s="251" t="str">
        <f>IFERROR(VLOOKUP(BDD[[#This Row],[SUBDPTO]],TABLAS!$B$4:$D$36,3,0)," ")</f>
        <v>MÉRIDA ISELA MEDINA SALINAS</v>
      </c>
      <c r="P226" s="258"/>
      <c r="Q226" s="264"/>
      <c r="R226" s="244"/>
      <c r="S226" s="251"/>
      <c r="T226" s="251" t="s">
        <v>811</v>
      </c>
      <c r="U226" s="243">
        <f ca="1">VLOOKUP(BDD[[#This Row],[ANTIG]],DIASXANT18[#All],2)</f>
        <v>16</v>
      </c>
      <c r="V226" s="256">
        <f t="shared" si="14"/>
        <v>0.5</v>
      </c>
      <c r="W226" s="243">
        <f ca="1">BDD[[#This Row],[D.VAC.]]*BDD[[#This Row],[% P.V.]]</f>
        <v>8</v>
      </c>
      <c r="X226" s="243">
        <v>30</v>
      </c>
      <c r="Y226" s="257">
        <f ca="1">(365+BDD[[#This Row],[D.PAG.V.]]+BDD[[#This Row],[D.AG.]])/365</f>
        <v>1.1041095890410959</v>
      </c>
      <c r="Z226" s="243">
        <f ca="1">BDD[[#This Row],[SUE DIA]]*BDD[[#This Row],[FACTOR SDI]]</f>
        <v>347.79452054794518</v>
      </c>
      <c r="AA226" s="243">
        <f>BDD[[#This Row],[SUE DIA]]/9</f>
        <v>35</v>
      </c>
      <c r="AB226" s="251">
        <v>31303</v>
      </c>
      <c r="AC226" s="251" t="s">
        <v>924</v>
      </c>
      <c r="AD226" s="251" t="s">
        <v>810</v>
      </c>
      <c r="AE226" s="260">
        <v>8197743030</v>
      </c>
      <c r="AF226" s="251" t="s">
        <v>1399</v>
      </c>
      <c r="AG226" s="251" t="s">
        <v>776</v>
      </c>
      <c r="AH226" s="251" t="s">
        <v>730</v>
      </c>
      <c r="AI226" s="243" t="s">
        <v>151</v>
      </c>
      <c r="AJ226" s="258" cm="1">
        <f t="array" aca="1" ref="AJ226" ca="1">DATE(YEAR(FECH.CONS[FECHA DE CONSULTA:]),MONTH(BDD[[#This Row],[FECHA NAC]]),DAY(BDD[[#This Row],[FECHA NAC]]))</f>
        <v>44817</v>
      </c>
      <c r="AK226" s="243">
        <v>10</v>
      </c>
      <c r="AL226" s="261" t="s">
        <v>311</v>
      </c>
      <c r="AM226" s="251" t="s">
        <v>1543</v>
      </c>
      <c r="AN226" s="251" t="s">
        <v>1551</v>
      </c>
      <c r="AO226" s="245">
        <v>43</v>
      </c>
      <c r="AP226" s="251">
        <f ca="1">INT((TODAY()-BDD[[#This Row],[FECHA NAC]])/365)</f>
        <v>36</v>
      </c>
      <c r="AQ226" s="251">
        <v>1</v>
      </c>
      <c r="AR226" s="251">
        <f ca="1">IF(BDD[[#This Row],[ANTIG]]=0,0,1)</f>
        <v>1</v>
      </c>
      <c r="AS226" s="251"/>
      <c r="AT226" s="251"/>
      <c r="AU226" s="251"/>
      <c r="AV226" s="251"/>
      <c r="AW226" s="251"/>
      <c r="AX226" s="251"/>
      <c r="AY226" s="251"/>
      <c r="AZ226" s="251">
        <f t="shared" ca="1" si="12"/>
        <v>746</v>
      </c>
    </row>
    <row r="227" spans="1:52" ht="15" customHeight="1" x14ac:dyDescent="0.25">
      <c r="B227" s="243">
        <v>364</v>
      </c>
      <c r="C227" s="259" t="s">
        <v>467</v>
      </c>
      <c r="D227" s="252">
        <v>10860</v>
      </c>
      <c r="E227" s="252">
        <f>(BDD[[#This Row],[SUE MENS]]/30)</f>
        <v>362</v>
      </c>
      <c r="F227" s="252">
        <f>BDD[[#This Row],[SUE MENS]]/2</f>
        <v>5430</v>
      </c>
      <c r="G227" s="320">
        <v>42406</v>
      </c>
      <c r="H227" s="243">
        <f ca="1">INT(_xlfn.DAYS(TODAY(),BDD[[#This Row],[FECHA ING.]])/365)</f>
        <v>6</v>
      </c>
      <c r="I227" s="251" t="str">
        <f>VLOOKUP(J227,TABLAS!$B$3:$G$49,2,FALSE)</f>
        <v>DIV INGENRIA</v>
      </c>
      <c r="J227" s="198" t="s">
        <v>756</v>
      </c>
      <c r="K227" s="251" t="s">
        <v>778</v>
      </c>
      <c r="L227" s="251" t="s">
        <v>763</v>
      </c>
      <c r="M227" s="251"/>
      <c r="N227" s="244" t="s">
        <v>2226</v>
      </c>
      <c r="O227" s="251" t="str">
        <f>IFERROR(VLOOKUP(BDD[[#This Row],[SUBDPTO]],TABLAS!$B$4:$D$36,3,0)," ")</f>
        <v>DIEGO HERRERA GIRÓN</v>
      </c>
      <c r="P227" s="258">
        <v>40953</v>
      </c>
      <c r="Q227" s="254">
        <v>23912</v>
      </c>
      <c r="R227" s="255" t="s">
        <v>743</v>
      </c>
      <c r="S227" s="255" t="s">
        <v>734</v>
      </c>
      <c r="T227" s="251" t="s">
        <v>811</v>
      </c>
      <c r="U227" s="243">
        <f ca="1">VLOOKUP(BDD[[#This Row],[ANTIG]],DIASXANT18[#All],2)</f>
        <v>16</v>
      </c>
      <c r="V227" s="256">
        <f t="shared" si="14"/>
        <v>0.5</v>
      </c>
      <c r="W227" s="243">
        <f ca="1">BDD[[#This Row],[D.VAC.]]*BDD[[#This Row],[% P.V.]]</f>
        <v>8</v>
      </c>
      <c r="X227" s="243">
        <v>30</v>
      </c>
      <c r="Y227" s="257">
        <f ca="1">(365+BDD[[#This Row],[D.PAG.V.]]+BDD[[#This Row],[D.AG.]])/365</f>
        <v>1.1041095890410959</v>
      </c>
      <c r="Z227" s="243">
        <f ca="1">BDD[[#This Row],[SUE DIA]]*BDD[[#This Row],[FACTOR SDI]]</f>
        <v>399.68767123287671</v>
      </c>
      <c r="AA227" s="243">
        <f>BDD[[#This Row],[SUE DIA]]/9</f>
        <v>40.222222222222221</v>
      </c>
      <c r="AB227" s="251">
        <v>33502</v>
      </c>
      <c r="AC227" s="251" t="s">
        <v>979</v>
      </c>
      <c r="AD227" s="251" t="s">
        <v>789</v>
      </c>
      <c r="AE227" s="260">
        <v>5552569600</v>
      </c>
      <c r="AF227" s="251" t="s">
        <v>1365</v>
      </c>
      <c r="AG227" s="251" t="s">
        <v>776</v>
      </c>
      <c r="AH227" s="251" t="s">
        <v>730</v>
      </c>
      <c r="AI227" s="243" t="s">
        <v>152</v>
      </c>
      <c r="AJ227" s="258" cm="1">
        <f t="array" aca="1" ref="AJ227" ca="1">DATE(YEAR(FECH.CONS[FECHA DE CONSULTA:]),MONTH(BDD[[#This Row],[FECHA NAC]]),DAY(BDD[[#This Row],[FECHA NAC]]))</f>
        <v>44825</v>
      </c>
      <c r="AK227" s="243">
        <v>10</v>
      </c>
      <c r="AL227" s="261" t="s">
        <v>311</v>
      </c>
      <c r="AM227" s="251" t="s">
        <v>1549</v>
      </c>
      <c r="AN227" s="251" t="s">
        <v>1551</v>
      </c>
      <c r="AO227" s="245">
        <v>98</v>
      </c>
      <c r="AP227" s="251">
        <f ca="1">INT((TODAY()-BDD[[#This Row],[FECHA NAC]])/365)</f>
        <v>30</v>
      </c>
      <c r="AQ227" s="251">
        <v>2</v>
      </c>
      <c r="AR227" s="251">
        <f ca="1">IF(BDD[[#This Row],[ANTIG]]=0,0,1)</f>
        <v>1</v>
      </c>
      <c r="AS227" s="251"/>
      <c r="AT227" s="251"/>
      <c r="AU227" s="251"/>
      <c r="AV227" s="251"/>
      <c r="AW227" s="251"/>
      <c r="AX227" s="251"/>
      <c r="AY227" s="251"/>
      <c r="AZ227" s="251">
        <f t="shared" ca="1" si="12"/>
        <v>999</v>
      </c>
    </row>
    <row r="228" spans="1:52" ht="15" customHeight="1" x14ac:dyDescent="0.25">
      <c r="B228" s="243">
        <v>365</v>
      </c>
      <c r="C228" s="251" t="s">
        <v>201</v>
      </c>
      <c r="D228" s="263">
        <v>7445</v>
      </c>
      <c r="E228" s="252">
        <f>(BDD[[#This Row],[SUE MENS]]/30)</f>
        <v>248.16666666666666</v>
      </c>
      <c r="F228" s="252">
        <f>BDD[[#This Row],[SUE MENS]]/2</f>
        <v>3722.5</v>
      </c>
      <c r="G228" s="320">
        <v>42409</v>
      </c>
      <c r="H228" s="243">
        <f ca="1">INT(_xlfn.DAYS(TODAY(),BDD[[#This Row],[FECHA ING.]])/365)</f>
        <v>6</v>
      </c>
      <c r="I228" s="251" t="str">
        <f>VLOOKUP(J228,TABLAS!$B$3:$G$49,2,FALSE)</f>
        <v>DIV ARQUIT</v>
      </c>
      <c r="J228" s="198" t="s">
        <v>740</v>
      </c>
      <c r="K228" s="251" t="s">
        <v>778</v>
      </c>
      <c r="L228" s="251" t="s">
        <v>763</v>
      </c>
      <c r="M228" s="251"/>
      <c r="N228" s="244" t="s">
        <v>1989</v>
      </c>
      <c r="O228" s="251" t="str">
        <f>IFERROR(VLOOKUP(BDD[[#This Row],[SUBDPTO]],TABLAS!$B$4:$D$36,3,0)," ")</f>
        <v>MÉRIDA ISELA MEDINA SALINAS</v>
      </c>
      <c r="P228" s="258"/>
      <c r="Q228" s="264"/>
      <c r="R228" s="244"/>
      <c r="S228" s="251"/>
      <c r="T228" s="251" t="s">
        <v>811</v>
      </c>
      <c r="U228" s="243">
        <f ca="1">VLOOKUP(BDD[[#This Row],[ANTIG]],DIASXANT18[#All],2)</f>
        <v>16</v>
      </c>
      <c r="V228" s="256">
        <f t="shared" si="14"/>
        <v>0.5</v>
      </c>
      <c r="W228" s="243">
        <f ca="1">BDD[[#This Row],[D.VAC.]]*BDD[[#This Row],[% P.V.]]</f>
        <v>8</v>
      </c>
      <c r="X228" s="243">
        <v>30</v>
      </c>
      <c r="Y228" s="257">
        <f ca="1">(365+BDD[[#This Row],[D.PAG.V.]]+BDD[[#This Row],[D.AG.]])/365</f>
        <v>1.1041095890410959</v>
      </c>
      <c r="Z228" s="243">
        <f ca="1">BDD[[#This Row],[SUE DIA]]*BDD[[#This Row],[FACTOR SDI]]</f>
        <v>274.00319634703197</v>
      </c>
      <c r="AA228" s="243">
        <f>BDD[[#This Row],[SUE DIA]]/9</f>
        <v>27.574074074074073</v>
      </c>
      <c r="AB228" s="251">
        <v>31378</v>
      </c>
      <c r="AC228" s="251" t="s">
        <v>979</v>
      </c>
      <c r="AD228" s="251" t="s">
        <v>793</v>
      </c>
      <c r="AE228" s="252">
        <v>8322577924</v>
      </c>
      <c r="AF228" s="251" t="s">
        <v>1217</v>
      </c>
      <c r="AG228" s="251" t="s">
        <v>773</v>
      </c>
      <c r="AH228" s="251" t="s">
        <v>725</v>
      </c>
      <c r="AI228" s="243" t="s">
        <v>151</v>
      </c>
      <c r="AJ228" s="258" cm="1">
        <f t="array" aca="1" ref="AJ228" ca="1">DATE(YEAR(FECH.CONS[FECHA DE CONSULTA:]),MONTH(BDD[[#This Row],[FECHA NAC]]),DAY(BDD[[#This Row],[FECHA NAC]]))</f>
        <v>44892</v>
      </c>
      <c r="AK228" s="243"/>
      <c r="AL228" s="261" t="s">
        <v>311</v>
      </c>
      <c r="AM228" s="251" t="s">
        <v>1543</v>
      </c>
      <c r="AN228" s="251" t="s">
        <v>1551</v>
      </c>
      <c r="AO228" s="245">
        <v>65</v>
      </c>
      <c r="AP228" s="251">
        <f ca="1">INT((TODAY()-BDD[[#This Row],[FECHA NAC]])/365)</f>
        <v>36</v>
      </c>
      <c r="AQ228" s="251">
        <v>0</v>
      </c>
      <c r="AR228" s="251">
        <f ca="1">IF(BDD[[#This Row],[ANTIG]]=0,0,1)</f>
        <v>1</v>
      </c>
      <c r="AS228" s="251"/>
      <c r="AT228" s="251"/>
      <c r="AU228" s="251"/>
      <c r="AV228" s="251"/>
      <c r="AW228" s="251"/>
      <c r="AX228" s="251"/>
      <c r="AY228" s="251"/>
      <c r="AZ228" s="251">
        <f t="shared" ca="1" si="12"/>
        <v>133</v>
      </c>
    </row>
    <row r="229" spans="1:52" ht="15" customHeight="1" x14ac:dyDescent="0.25">
      <c r="B229" s="243">
        <v>367</v>
      </c>
      <c r="C229" s="259" t="s">
        <v>527</v>
      </c>
      <c r="D229" s="252">
        <v>9450</v>
      </c>
      <c r="E229" s="252">
        <f>(BDD[[#This Row],[SUE MENS]]/30)</f>
        <v>315</v>
      </c>
      <c r="F229" s="252">
        <f>BDD[[#This Row],[SUE MENS]]/2</f>
        <v>4725</v>
      </c>
      <c r="G229" s="320">
        <v>42418</v>
      </c>
      <c r="H229" s="243">
        <f ca="1">INT(_xlfn.DAYS(TODAY(),BDD[[#This Row],[FECHA ING.]])/365)</f>
        <v>6</v>
      </c>
      <c r="I229" s="251" t="str">
        <f>VLOOKUP(J229,TABLAS!$B$3:$G$49,2,FALSE)</f>
        <v>DIV INGENRIA</v>
      </c>
      <c r="J229" s="198" t="s">
        <v>743</v>
      </c>
      <c r="K229" s="251" t="s">
        <v>778</v>
      </c>
      <c r="L229" s="251" t="s">
        <v>763</v>
      </c>
      <c r="M229" s="251"/>
      <c r="N229" s="244" t="s">
        <v>1823</v>
      </c>
      <c r="O229" s="251" t="str">
        <f>IFERROR(VLOOKUP(BDD[[#This Row],[SUBDPTO]],TABLAS!$B$4:$D$36,3,0)," ")</f>
        <v>DIEGO HERRERA GIRÓN</v>
      </c>
      <c r="P229" s="258">
        <v>43601</v>
      </c>
      <c r="Q229" s="254">
        <v>7360</v>
      </c>
      <c r="R229" s="255" t="s">
        <v>736</v>
      </c>
      <c r="S229" s="251"/>
      <c r="T229" s="251" t="s">
        <v>811</v>
      </c>
      <c r="U229" s="243">
        <f ca="1">VLOOKUP(BDD[[#This Row],[ANTIG]],DIASXANT18[#All],2)</f>
        <v>16</v>
      </c>
      <c r="V229" s="256">
        <f t="shared" si="14"/>
        <v>0.5</v>
      </c>
      <c r="W229" s="243">
        <f ca="1">BDD[[#This Row],[D.VAC.]]*BDD[[#This Row],[% P.V.]]</f>
        <v>8</v>
      </c>
      <c r="X229" s="243">
        <v>30</v>
      </c>
      <c r="Y229" s="257">
        <f ca="1">(365+BDD[[#This Row],[D.PAG.V.]]+BDD[[#This Row],[D.AG.]])/365</f>
        <v>1.1041095890410959</v>
      </c>
      <c r="Z229" s="243">
        <f ca="1">BDD[[#This Row],[SUE DIA]]*BDD[[#This Row],[FACTOR SDI]]</f>
        <v>347.79452054794518</v>
      </c>
      <c r="AA229" s="243">
        <f>BDD[[#This Row],[SUE DIA]]/9</f>
        <v>35</v>
      </c>
      <c r="AB229" s="251">
        <v>28182</v>
      </c>
      <c r="AC229" s="251" t="s">
        <v>1055</v>
      </c>
      <c r="AD229" s="251" t="s">
        <v>787</v>
      </c>
      <c r="AE229" s="260">
        <v>8195613932</v>
      </c>
      <c r="AF229" s="251" t="s">
        <v>1402</v>
      </c>
      <c r="AG229" s="251" t="s">
        <v>774</v>
      </c>
      <c r="AH229" s="251" t="s">
        <v>730</v>
      </c>
      <c r="AI229" s="243" t="s">
        <v>151</v>
      </c>
      <c r="AJ229" s="258" cm="1">
        <f t="array" aca="1" ref="AJ229" ca="1">DATE(YEAR(FECH.CONS[FECHA DE CONSULTA:]),MONTH(BDD[[#This Row],[FECHA NAC]]),DAY(BDD[[#This Row],[FECHA NAC]]))</f>
        <v>44618</v>
      </c>
      <c r="AK229" s="243">
        <v>5</v>
      </c>
      <c r="AL229" s="261" t="s">
        <v>321</v>
      </c>
      <c r="AM229" s="251" t="s">
        <v>1538</v>
      </c>
      <c r="AN229" s="251" t="s">
        <v>1551</v>
      </c>
      <c r="AO229" s="245">
        <v>66</v>
      </c>
      <c r="AP229" s="251">
        <f ca="1">INT((TODAY()-BDD[[#This Row],[FECHA NAC]])/365)</f>
        <v>45</v>
      </c>
      <c r="AQ229" s="251">
        <v>3</v>
      </c>
      <c r="AR229" s="251">
        <f ca="1">IF(BDD[[#This Row],[ANTIG]]=0,0,1)</f>
        <v>1</v>
      </c>
      <c r="AS229" s="251"/>
      <c r="AT229" s="251"/>
      <c r="AU229" s="251"/>
      <c r="AV229" s="251"/>
      <c r="AW229" s="251"/>
      <c r="AX229" s="251"/>
      <c r="AY229" s="251"/>
      <c r="AZ229" s="251">
        <f t="shared" ca="1" si="12"/>
        <v>680</v>
      </c>
    </row>
    <row r="230" spans="1:52" ht="15" customHeight="1" x14ac:dyDescent="0.25">
      <c r="B230" s="243">
        <v>368</v>
      </c>
      <c r="C230" s="262" t="s">
        <v>108</v>
      </c>
      <c r="D230" s="252">
        <v>8825</v>
      </c>
      <c r="E230" s="252">
        <f>(BDD[[#This Row],[SUE MENS]]/30)</f>
        <v>294.16666666666669</v>
      </c>
      <c r="F230" s="252">
        <f>BDD[[#This Row],[SUE MENS]]/2</f>
        <v>4412.5</v>
      </c>
      <c r="G230" s="319">
        <v>42430</v>
      </c>
      <c r="H230" s="243">
        <f ca="1">INT(_xlfn.DAYS(TODAY(),BDD[[#This Row],[FECHA ING.]])/365)</f>
        <v>6</v>
      </c>
      <c r="I230" s="251" t="str">
        <f>VLOOKUP(J230,TABLAS!$B$3:$G$49,2,FALSE)</f>
        <v>DIV INGENRIA</v>
      </c>
      <c r="J230" s="198" t="s">
        <v>743</v>
      </c>
      <c r="K230" s="251" t="s">
        <v>778</v>
      </c>
      <c r="L230" s="251" t="s">
        <v>763</v>
      </c>
      <c r="M230" s="251"/>
      <c r="N230" s="253" t="s">
        <v>1857</v>
      </c>
      <c r="O230" s="251" t="str">
        <f>IFERROR(VLOOKUP(BDD[[#This Row],[SUBDPTO]],TABLAS!$B$4:$D$36,3,0)," ")</f>
        <v>DIEGO HERRERA GIRÓN</v>
      </c>
      <c r="P230" s="258"/>
      <c r="Q230" s="264"/>
      <c r="R230" s="244"/>
      <c r="S230" s="251"/>
      <c r="T230" s="251" t="s">
        <v>811</v>
      </c>
      <c r="U230" s="243">
        <f ca="1">VLOOKUP(BDD[[#This Row],[ANTIG]],DIASXANT18[#All],2)</f>
        <v>16</v>
      </c>
      <c r="V230" s="256">
        <f t="shared" si="14"/>
        <v>0.5</v>
      </c>
      <c r="W230" s="243">
        <f ca="1">BDD[[#This Row],[D.VAC.]]*BDD[[#This Row],[% P.V.]]</f>
        <v>8</v>
      </c>
      <c r="X230" s="243">
        <v>30</v>
      </c>
      <c r="Y230" s="257">
        <f ca="1">(365+BDD[[#This Row],[D.PAG.V.]]+BDD[[#This Row],[D.AG.]])/365</f>
        <v>1.1041095890410959</v>
      </c>
      <c r="Z230" s="243">
        <f ca="1">BDD[[#This Row],[SUE DIA]]*BDD[[#This Row],[FACTOR SDI]]</f>
        <v>324.79223744292239</v>
      </c>
      <c r="AA230" s="243">
        <f>BDD[[#This Row],[SUE DIA]]/9</f>
        <v>32.68518518518519</v>
      </c>
      <c r="AB230" s="251">
        <v>35520</v>
      </c>
      <c r="AC230" s="251" t="s">
        <v>1040</v>
      </c>
      <c r="AD230" s="251" t="s">
        <v>789</v>
      </c>
      <c r="AE230" s="252">
        <v>5684928215</v>
      </c>
      <c r="AF230" s="251" t="s">
        <v>1349</v>
      </c>
      <c r="AG230" s="251" t="s">
        <v>774</v>
      </c>
      <c r="AH230" s="251" t="s">
        <v>1555</v>
      </c>
      <c r="AI230" s="243" t="s">
        <v>152</v>
      </c>
      <c r="AJ230" s="258" cm="1">
        <f t="array" aca="1" ref="AJ230" ca="1">DATE(YEAR(FECH.CONS[FECHA DE CONSULTA:]),MONTH(BDD[[#This Row],[FECHA NAC]]),DAY(BDD[[#This Row],[FECHA NAC]]))</f>
        <v>44651</v>
      </c>
      <c r="AK230" s="243"/>
      <c r="AL230" s="261" t="s">
        <v>317</v>
      </c>
      <c r="AM230" s="251" t="s">
        <v>1549</v>
      </c>
      <c r="AN230" s="251" t="s">
        <v>1551</v>
      </c>
      <c r="AO230" s="245">
        <v>99</v>
      </c>
      <c r="AP230" s="251">
        <f ca="1">INT((TODAY()-BDD[[#This Row],[FECHA NAC]])/365)</f>
        <v>25</v>
      </c>
      <c r="AQ230" s="251">
        <v>0</v>
      </c>
      <c r="AR230" s="251">
        <f ca="1">IF(BDD[[#This Row],[ANTIG]]=0,0,1)</f>
        <v>1</v>
      </c>
      <c r="AS230" s="251"/>
      <c r="AT230" s="251"/>
      <c r="AU230" s="251"/>
      <c r="AV230" s="251"/>
      <c r="AW230" s="251"/>
      <c r="AX230" s="251"/>
      <c r="AY230" s="251"/>
      <c r="AZ230" s="251">
        <f t="shared" ca="1" si="12"/>
        <v>918</v>
      </c>
    </row>
    <row r="231" spans="1:52" ht="15" customHeight="1" x14ac:dyDescent="0.25">
      <c r="B231" s="243">
        <v>369</v>
      </c>
      <c r="C231" s="259" t="s">
        <v>664</v>
      </c>
      <c r="D231" s="263">
        <v>7445</v>
      </c>
      <c r="E231" s="252">
        <f>(BDD[[#This Row],[SUE MENS]]/30)</f>
        <v>248.16666666666666</v>
      </c>
      <c r="F231" s="252">
        <f>BDD[[#This Row],[SUE MENS]]/2</f>
        <v>3722.5</v>
      </c>
      <c r="G231" s="319">
        <v>42461</v>
      </c>
      <c r="H231" s="243">
        <f ca="1">INT(_xlfn.DAYS(TODAY(),BDD[[#This Row],[FECHA ING.]])/365)</f>
        <v>6</v>
      </c>
      <c r="I231" s="251" t="str">
        <f>VLOOKUP(J231,TABLAS!$B$3:$G$49,2,FALSE)</f>
        <v>DIV ARQUIT</v>
      </c>
      <c r="J231" s="198" t="s">
        <v>741</v>
      </c>
      <c r="K231" s="251" t="s">
        <v>778</v>
      </c>
      <c r="L231" s="251" t="s">
        <v>763</v>
      </c>
      <c r="M231" s="251"/>
      <c r="N231" s="244" t="s">
        <v>1798</v>
      </c>
      <c r="O231" s="251" t="str">
        <f>IFERROR(VLOOKUP(BDD[[#This Row],[SUBDPTO]],TABLAS!$B$4:$D$36,3,0)," ")</f>
        <v>MÉRIDA ISELA MEDINA SALINAS</v>
      </c>
      <c r="P231" s="258">
        <v>43470</v>
      </c>
      <c r="Q231" s="254">
        <v>5088</v>
      </c>
      <c r="R231" s="255" t="s">
        <v>741</v>
      </c>
      <c r="S231" s="251"/>
      <c r="T231" s="251" t="s">
        <v>811</v>
      </c>
      <c r="U231" s="243">
        <f ca="1">VLOOKUP(BDD[[#This Row],[ANTIG]],DIASXANT18[#All],2)</f>
        <v>16</v>
      </c>
      <c r="V231" s="256">
        <f t="shared" si="14"/>
        <v>0.5</v>
      </c>
      <c r="W231" s="243">
        <f ca="1">BDD[[#This Row],[D.VAC.]]*BDD[[#This Row],[% P.V.]]</f>
        <v>8</v>
      </c>
      <c r="X231" s="243">
        <v>30</v>
      </c>
      <c r="Y231" s="257">
        <f ca="1">(365+BDD[[#This Row],[D.PAG.V.]]+BDD[[#This Row],[D.AG.]])/365</f>
        <v>1.1041095890410959</v>
      </c>
      <c r="Z231" s="243">
        <f ca="1">BDD[[#This Row],[SUE DIA]]*BDD[[#This Row],[FACTOR SDI]]</f>
        <v>274.00319634703197</v>
      </c>
      <c r="AA231" s="243">
        <f>BDD[[#This Row],[SUE DIA]]/9</f>
        <v>27.574074074074073</v>
      </c>
      <c r="AB231" s="251">
        <v>34740</v>
      </c>
      <c r="AC231" s="251" t="s">
        <v>1049</v>
      </c>
      <c r="AD231" s="251" t="s">
        <v>789</v>
      </c>
      <c r="AE231" s="260">
        <v>8980306339</v>
      </c>
      <c r="AF231" s="251" t="s">
        <v>1496</v>
      </c>
      <c r="AG231" s="251" t="s">
        <v>776</v>
      </c>
      <c r="AH231" s="251" t="s">
        <v>726</v>
      </c>
      <c r="AI231" s="243" t="s">
        <v>151</v>
      </c>
      <c r="AJ231" s="258" cm="1">
        <f t="array" aca="1" ref="AJ231" ca="1">DATE(YEAR(FECH.CONS[FECHA DE CONSULTA:]),MONTH(BDD[[#This Row],[FECHA NAC]]),DAY(BDD[[#This Row],[FECHA NAC]]))</f>
        <v>44602</v>
      </c>
      <c r="AK231" s="243"/>
      <c r="AL231" s="261" t="s">
        <v>311</v>
      </c>
      <c r="AM231" s="251" t="s">
        <v>1543</v>
      </c>
      <c r="AN231" s="251" t="s">
        <v>1551</v>
      </c>
      <c r="AO231" s="245">
        <v>41</v>
      </c>
      <c r="AP231" s="251">
        <f ca="1">INT((TODAY()-BDD[[#This Row],[FECHA NAC]])/365)</f>
        <v>27</v>
      </c>
      <c r="AQ231" s="251">
        <v>1</v>
      </c>
      <c r="AR231" s="251">
        <f ca="1">IF(BDD[[#This Row],[ANTIG]]=0,0,1)</f>
        <v>1</v>
      </c>
      <c r="AS231" s="251"/>
      <c r="AT231" s="251"/>
      <c r="AU231" s="251"/>
      <c r="AV231" s="251"/>
      <c r="AW231" s="251"/>
      <c r="AX231" s="251"/>
      <c r="AY231" s="251"/>
      <c r="AZ231" s="251">
        <f t="shared" ca="1" si="12"/>
        <v>335</v>
      </c>
    </row>
    <row r="232" spans="1:52" ht="15" customHeight="1" x14ac:dyDescent="0.25">
      <c r="B232" s="243">
        <v>372</v>
      </c>
      <c r="C232" s="251" t="s">
        <v>395</v>
      </c>
      <c r="D232" s="263">
        <v>7445</v>
      </c>
      <c r="E232" s="252">
        <f>(BDD[[#This Row],[SUE MENS]]/30)</f>
        <v>248.16666666666666</v>
      </c>
      <c r="F232" s="252">
        <f>BDD[[#This Row],[SUE MENS]]/2</f>
        <v>3722.5</v>
      </c>
      <c r="G232" s="319">
        <v>42465</v>
      </c>
      <c r="H232" s="243">
        <f ca="1">INT(_xlfn.DAYS(TODAY(),BDD[[#This Row],[FECHA ING.]])/365)</f>
        <v>6</v>
      </c>
      <c r="I232" s="251" t="str">
        <f>VLOOKUP(J232,TABLAS!$B$3:$G$49,2,FALSE)</f>
        <v>AUDITORÍA</v>
      </c>
      <c r="J232" s="198" t="s">
        <v>735</v>
      </c>
      <c r="K232" s="251" t="s">
        <v>778</v>
      </c>
      <c r="L232" s="251" t="s">
        <v>763</v>
      </c>
      <c r="M232" s="251"/>
      <c r="N232" s="244" t="s">
        <v>2209</v>
      </c>
      <c r="O232" s="251" t="str">
        <f>IFERROR(VLOOKUP(BDD[[#This Row],[SUBDPTO]],TABLAS!$B$4:$D$36,3,0)," ")</f>
        <v>MARCO AURELIO URBINO</v>
      </c>
      <c r="P232" s="258"/>
      <c r="Q232" s="264"/>
      <c r="R232" s="244"/>
      <c r="S232" s="251"/>
      <c r="T232" s="251" t="s">
        <v>811</v>
      </c>
      <c r="U232" s="243">
        <f ca="1">VLOOKUP(BDD[[#This Row],[ANTIG]],DIASXANT18[#All],2)</f>
        <v>16</v>
      </c>
      <c r="V232" s="256">
        <f t="shared" si="14"/>
        <v>0.5</v>
      </c>
      <c r="W232" s="243">
        <f ca="1">BDD[[#This Row],[D.VAC.]]*BDD[[#This Row],[% P.V.]]</f>
        <v>8</v>
      </c>
      <c r="X232" s="243">
        <v>30</v>
      </c>
      <c r="Y232" s="257">
        <f ca="1">(365+BDD[[#This Row],[D.PAG.V.]]+BDD[[#This Row],[D.AG.]])/365</f>
        <v>1.1041095890410959</v>
      </c>
      <c r="Z232" s="243">
        <f ca="1">BDD[[#This Row],[SUE DIA]]*BDD[[#This Row],[FACTOR SDI]]</f>
        <v>274.00319634703197</v>
      </c>
      <c r="AA232" s="243">
        <f>BDD[[#This Row],[SUE DIA]]/9</f>
        <v>27.574074074074073</v>
      </c>
      <c r="AB232" s="251">
        <v>31657</v>
      </c>
      <c r="AC232" s="251" t="s">
        <v>993</v>
      </c>
      <c r="AD232" s="251" t="s">
        <v>787</v>
      </c>
      <c r="AE232" s="252">
        <v>8182263959</v>
      </c>
      <c r="AF232" s="251" t="s">
        <v>1237</v>
      </c>
      <c r="AG232" s="251" t="s">
        <v>776</v>
      </c>
      <c r="AH232" s="251" t="s">
        <v>730</v>
      </c>
      <c r="AI232" s="243" t="s">
        <v>151</v>
      </c>
      <c r="AJ232" s="258" cm="1">
        <f t="array" aca="1" ref="AJ232" ca="1">DATE(YEAR(FECH.CONS[FECHA DE CONSULTA:]),MONTH(BDD[[#This Row],[FECHA NAC]]),DAY(BDD[[#This Row],[FECHA NAC]]))</f>
        <v>44806</v>
      </c>
      <c r="AK232" s="243">
        <v>9</v>
      </c>
      <c r="AL232" s="251" t="s">
        <v>311</v>
      </c>
      <c r="AM232" s="251" t="s">
        <v>1545</v>
      </c>
      <c r="AN232" s="251" t="s">
        <v>1551</v>
      </c>
      <c r="AO232" s="245">
        <v>86</v>
      </c>
      <c r="AP232" s="251">
        <f ca="1">INT((TODAY()-BDD[[#This Row],[FECHA NAC]])/365)</f>
        <v>35</v>
      </c>
      <c r="AQ232" s="251">
        <v>2</v>
      </c>
      <c r="AR232" s="251">
        <f ca="1">IF(BDD[[#This Row],[ANTIG]]=0,0,1)</f>
        <v>1</v>
      </c>
      <c r="AS232" s="251"/>
      <c r="AT232" s="251"/>
      <c r="AU232" s="251"/>
      <c r="AV232" s="251"/>
      <c r="AW232" s="251"/>
      <c r="AX232" s="251"/>
      <c r="AY232" s="251"/>
      <c r="AZ232" s="251">
        <f t="shared" ca="1" si="12"/>
        <v>736</v>
      </c>
    </row>
    <row r="233" spans="1:52" ht="15" customHeight="1" x14ac:dyDescent="0.25">
      <c r="B233" s="243">
        <v>373</v>
      </c>
      <c r="C233" s="251" t="s">
        <v>297</v>
      </c>
      <c r="D233" s="252">
        <v>25800</v>
      </c>
      <c r="E233" s="252">
        <f>(BDD[[#This Row],[SUE MENS]]/30)</f>
        <v>860</v>
      </c>
      <c r="F233" s="252">
        <f>BDD[[#This Row],[SUE MENS]]/2</f>
        <v>12900</v>
      </c>
      <c r="G233" s="320">
        <v>42474</v>
      </c>
      <c r="H233" s="243">
        <f ca="1">INT(_xlfn.DAYS(TODAY(),BDD[[#This Row],[FECHA ING.]])/365)</f>
        <v>6</v>
      </c>
      <c r="I233" s="251" t="str">
        <f>VLOOKUP(J233,TABLAS!$B$3:$G$49,2,FALSE)</f>
        <v>DIV INGENRIA</v>
      </c>
      <c r="J233" s="198" t="s">
        <v>743</v>
      </c>
      <c r="K233" s="244" t="s">
        <v>761</v>
      </c>
      <c r="L233" s="251" t="s">
        <v>763</v>
      </c>
      <c r="M233" s="251">
        <v>1029</v>
      </c>
      <c r="N233" s="244" t="s">
        <v>2223</v>
      </c>
      <c r="O233" s="251" t="str">
        <f>IFERROR(VLOOKUP(BDD[[#This Row],[SUBDPTO]],TABLAS!$B$4:$D$36,3,0)," ")</f>
        <v>DIEGO HERRERA GIRÓN</v>
      </c>
      <c r="P233" s="258"/>
      <c r="Q233" s="264"/>
      <c r="R233" s="244"/>
      <c r="S233" s="251"/>
      <c r="T233" s="251" t="s">
        <v>811</v>
      </c>
      <c r="U233" s="243">
        <f ca="1">VLOOKUP(BDD[[#This Row],[ANTIG]],DIASXANT18[#All],2)</f>
        <v>16</v>
      </c>
      <c r="V233" s="256">
        <f t="shared" si="14"/>
        <v>0.5</v>
      </c>
      <c r="W233" s="243">
        <f ca="1">BDD[[#This Row],[D.VAC.]]*BDD[[#This Row],[% P.V.]]</f>
        <v>8</v>
      </c>
      <c r="X233" s="243">
        <v>30</v>
      </c>
      <c r="Y233" s="257">
        <f ca="1">(365+BDD[[#This Row],[D.PAG.V.]]+BDD[[#This Row],[D.AG.]])/365</f>
        <v>1.1041095890410959</v>
      </c>
      <c r="Z233" s="243">
        <f ca="1">BDD[[#This Row],[SUE DIA]]*BDD[[#This Row],[FACTOR SDI]]</f>
        <v>949.53424657534254</v>
      </c>
      <c r="AA233" s="243">
        <f>BDD[[#This Row],[SUE DIA]]/9</f>
        <v>95.555555555555557</v>
      </c>
      <c r="AB233" s="251">
        <v>32650</v>
      </c>
      <c r="AC233" s="251" t="s">
        <v>1002</v>
      </c>
      <c r="AD233" s="251" t="s">
        <v>789</v>
      </c>
      <c r="AE233" s="252">
        <v>8468612531</v>
      </c>
      <c r="AF233" s="251" t="s">
        <v>1249</v>
      </c>
      <c r="AG233" s="251" t="s">
        <v>776</v>
      </c>
      <c r="AH233" s="251" t="s">
        <v>1555</v>
      </c>
      <c r="AI233" s="243" t="s">
        <v>151</v>
      </c>
      <c r="AJ233" s="258" cm="1">
        <f t="array" aca="1" ref="AJ233" ca="1">DATE(YEAR(FECH.CONS[FECHA DE CONSULTA:]),MONTH(BDD[[#This Row],[FECHA NAC]]),DAY(BDD[[#This Row],[FECHA NAC]]))</f>
        <v>44703</v>
      </c>
      <c r="AK233" s="243"/>
      <c r="AL233" s="251" t="s">
        <v>311</v>
      </c>
      <c r="AM233" s="251" t="s">
        <v>1538</v>
      </c>
      <c r="AN233" s="251" t="s">
        <v>1551</v>
      </c>
      <c r="AO233" s="245">
        <v>53</v>
      </c>
      <c r="AP233" s="251">
        <f ca="1">INT((TODAY()-BDD[[#This Row],[FECHA NAC]])/365)</f>
        <v>33</v>
      </c>
      <c r="AQ233" s="251">
        <v>2</v>
      </c>
      <c r="AR233" s="251">
        <f ca="1">IF(BDD[[#This Row],[ANTIG]]=0,0,1)</f>
        <v>1</v>
      </c>
      <c r="AS233" s="251"/>
      <c r="AT233" s="251"/>
      <c r="AU233" s="251"/>
      <c r="AV233" s="251"/>
      <c r="AW233" s="251"/>
      <c r="AX233" s="251"/>
      <c r="AY233" s="251"/>
      <c r="AZ233" s="251">
        <f t="shared" ca="1" si="12"/>
        <v>901</v>
      </c>
    </row>
    <row r="234" spans="1:52" ht="15" customHeight="1" x14ac:dyDescent="0.25">
      <c r="B234" s="243">
        <v>377</v>
      </c>
      <c r="C234" s="259" t="s">
        <v>676</v>
      </c>
      <c r="D234" s="252">
        <v>9541</v>
      </c>
      <c r="E234" s="252">
        <f>(BDD[[#This Row],[SUE MENS]]/30)</f>
        <v>318.03333333333336</v>
      </c>
      <c r="F234" s="252">
        <f>BDD[[#This Row],[SUE MENS]]/2</f>
        <v>4770.5</v>
      </c>
      <c r="G234" s="319">
        <v>42476</v>
      </c>
      <c r="H234" s="243">
        <f ca="1">INT(_xlfn.DAYS(TODAY(),BDD[[#This Row],[FECHA ING.]])/365)</f>
        <v>6</v>
      </c>
      <c r="I234" s="251" t="str">
        <f>VLOOKUP(J234,TABLAS!$B$3:$G$49,2,FALSE)</f>
        <v>DIV INGENRIA</v>
      </c>
      <c r="J234" s="198" t="s">
        <v>743</v>
      </c>
      <c r="K234" s="251" t="s">
        <v>778</v>
      </c>
      <c r="L234" s="251" t="s">
        <v>763</v>
      </c>
      <c r="M234" s="251"/>
      <c r="N234" s="244" t="s">
        <v>1815</v>
      </c>
      <c r="O234" s="251" t="str">
        <f>IFERROR(VLOOKUP(BDD[[#This Row],[SUBDPTO]],TABLAS!$B$4:$D$36,3,0)," ")</f>
        <v>DIEGO HERRERA GIRÓN</v>
      </c>
      <c r="P234" s="258">
        <v>42588</v>
      </c>
      <c r="Q234" s="254">
        <v>5422.4000000000005</v>
      </c>
      <c r="R234" s="255" t="s">
        <v>756</v>
      </c>
      <c r="S234" s="251"/>
      <c r="T234" s="251" t="s">
        <v>811</v>
      </c>
      <c r="U234" s="243">
        <f ca="1">VLOOKUP(BDD[[#This Row],[ANTIG]],DIASXANT18[#All],2)</f>
        <v>16</v>
      </c>
      <c r="V234" s="256">
        <f t="shared" si="14"/>
        <v>0.5</v>
      </c>
      <c r="W234" s="243">
        <f ca="1">BDD[[#This Row],[D.VAC.]]*BDD[[#This Row],[% P.V.]]</f>
        <v>8</v>
      </c>
      <c r="X234" s="243">
        <v>30</v>
      </c>
      <c r="Y234" s="257">
        <f ca="1">(365+BDD[[#This Row],[D.PAG.V.]]+BDD[[#This Row],[D.AG.]])/365</f>
        <v>1.1041095890410959</v>
      </c>
      <c r="Z234" s="243">
        <f ca="1">BDD[[#This Row],[SUE DIA]]*BDD[[#This Row],[FACTOR SDI]]</f>
        <v>351.14365296803658</v>
      </c>
      <c r="AA234" s="243">
        <f>BDD[[#This Row],[SUE DIA]]/9</f>
        <v>35.337037037037042</v>
      </c>
      <c r="AB234" s="251">
        <v>33423</v>
      </c>
      <c r="AC234" s="251" t="s">
        <v>1063</v>
      </c>
      <c r="AD234" s="251" t="s">
        <v>809</v>
      </c>
      <c r="AE234" s="260">
        <v>6034309861</v>
      </c>
      <c r="AF234" s="251" t="s">
        <v>1502</v>
      </c>
      <c r="AG234" s="251" t="s">
        <v>774</v>
      </c>
      <c r="AH234" s="251" t="s">
        <v>730</v>
      </c>
      <c r="AI234" s="243" t="s">
        <v>151</v>
      </c>
      <c r="AJ234" s="258" cm="1">
        <f t="array" aca="1" ref="AJ234" ca="1">DATE(YEAR(FECH.CONS[FECHA DE CONSULTA:]),MONTH(BDD[[#This Row],[FECHA NAC]]),DAY(BDD[[#This Row],[FECHA NAC]]))</f>
        <v>44746</v>
      </c>
      <c r="AK234" s="243">
        <v>7</v>
      </c>
      <c r="AL234" s="261" t="s">
        <v>311</v>
      </c>
      <c r="AM234" s="251" t="s">
        <v>1538</v>
      </c>
      <c r="AN234" s="251" t="s">
        <v>1551</v>
      </c>
      <c r="AO234" s="245">
        <v>57</v>
      </c>
      <c r="AP234" s="251">
        <f ca="1">INT((TODAY()-BDD[[#This Row],[FECHA NAC]])/365)</f>
        <v>31</v>
      </c>
      <c r="AQ234" s="251">
        <v>1</v>
      </c>
      <c r="AR234" s="251">
        <f ca="1">IF(BDD[[#This Row],[ANTIG]]=0,0,1)</f>
        <v>1</v>
      </c>
      <c r="AS234" s="251"/>
      <c r="AT234" s="251"/>
      <c r="AU234" s="251"/>
      <c r="AV234" s="251"/>
      <c r="AW234" s="251"/>
      <c r="AX234" s="251"/>
      <c r="AY234" s="251"/>
      <c r="AZ234" s="251">
        <f t="shared" ca="1" si="12"/>
        <v>637</v>
      </c>
    </row>
    <row r="235" spans="1:52" ht="15" customHeight="1" x14ac:dyDescent="0.25">
      <c r="B235" s="243">
        <v>378</v>
      </c>
      <c r="C235" s="262" t="s">
        <v>1621</v>
      </c>
      <c r="D235" s="244">
        <v>3900</v>
      </c>
      <c r="E235" s="252">
        <f>(BDD[[#This Row],[SUE MENS]]/30)</f>
        <v>130</v>
      </c>
      <c r="F235" s="252">
        <f>BDD[[#This Row],[SUE MENS]]/2</f>
        <v>1950</v>
      </c>
      <c r="G235" s="319">
        <v>42483</v>
      </c>
      <c r="H235" s="243">
        <f ca="1">INT(_xlfn.DAYS(TODAY(),BDD[[#This Row],[FECHA ING.]])/365)</f>
        <v>6</v>
      </c>
      <c r="I235" s="251" t="str">
        <f>VLOOKUP(J235,TABLAS!$B$3:$G$49,2,FALSE)</f>
        <v>CONTABILIDAD</v>
      </c>
      <c r="J235" s="198" t="s">
        <v>737</v>
      </c>
      <c r="K235" s="251" t="s">
        <v>778</v>
      </c>
      <c r="L235" s="251" t="s">
        <v>763</v>
      </c>
      <c r="M235" s="251"/>
      <c r="N235" s="244" t="s">
        <v>1793</v>
      </c>
      <c r="O235" s="251" t="str">
        <f>IFERROR(VLOOKUP(BDD[[#This Row],[SUBDPTO]],TABLAS!$B$4:$D$36,3,0)," ")</f>
        <v>IRIE DALÍ ANTARES CORTÉS</v>
      </c>
      <c r="P235" s="258"/>
      <c r="Q235" s="264"/>
      <c r="R235" s="244"/>
      <c r="S235" s="251"/>
      <c r="T235" s="251" t="s">
        <v>811</v>
      </c>
      <c r="U235" s="243">
        <f ca="1">VLOOKUP(BDD[[#This Row],[ANTIG]],DIASXANT18[#All],2)</f>
        <v>16</v>
      </c>
      <c r="V235" s="266">
        <v>0.25</v>
      </c>
      <c r="W235" s="243">
        <f ca="1">BDD[[#This Row],[D.VAC.]]*BDD[[#This Row],[% P.V.]]</f>
        <v>4</v>
      </c>
      <c r="X235" s="265">
        <v>15</v>
      </c>
      <c r="Y235" s="257">
        <f ca="1">(365+BDD[[#This Row],[D.PAG.V.]]+BDD[[#This Row],[D.AG.]])/365</f>
        <v>1.0520547945205478</v>
      </c>
      <c r="Z235" s="243">
        <f ca="1">BDD[[#This Row],[SUE DIA]]*BDD[[#This Row],[FACTOR SDI]]</f>
        <v>136.76712328767121</v>
      </c>
      <c r="AA235" s="243">
        <f>BDD[[#This Row],[SUE DIA]]/9</f>
        <v>14.444444444444445</v>
      </c>
      <c r="AB235" s="262">
        <v>30380</v>
      </c>
      <c r="AC235" s="251" t="s">
        <v>871</v>
      </c>
      <c r="AD235" s="251" t="s">
        <v>790</v>
      </c>
      <c r="AE235" s="252">
        <v>8363017177</v>
      </c>
      <c r="AF235" s="251" t="s">
        <v>1332</v>
      </c>
      <c r="AG235" s="251" t="s">
        <v>776</v>
      </c>
      <c r="AH235" s="251" t="s">
        <v>730</v>
      </c>
      <c r="AI235" s="243" t="s">
        <v>151</v>
      </c>
      <c r="AJ235" s="258" cm="1">
        <f t="array" aca="1" ref="AJ235" ca="1">DATE(YEAR(FECH.CONS[FECHA DE CONSULTA:]),MONTH(BDD[[#This Row],[FECHA NAC]]),DAY(BDD[[#This Row],[FECHA NAC]]))</f>
        <v>44625</v>
      </c>
      <c r="AK235" s="243">
        <v>10</v>
      </c>
      <c r="AL235" s="261" t="s">
        <v>311</v>
      </c>
      <c r="AM235" s="251" t="s">
        <v>1540</v>
      </c>
      <c r="AN235" s="251" t="s">
        <v>1551</v>
      </c>
      <c r="AO235" s="245">
        <v>71</v>
      </c>
      <c r="AP235" s="251">
        <f ca="1">INT((TODAY()-BDD[[#This Row],[FECHA NAC]])/365)</f>
        <v>39</v>
      </c>
      <c r="AQ235" s="251">
        <v>2</v>
      </c>
      <c r="AR235" s="251">
        <f ca="1">IF(BDD[[#This Row],[ANTIG]]=0,0,1)</f>
        <v>1</v>
      </c>
      <c r="AS235" s="251"/>
      <c r="AT235" s="251"/>
      <c r="AU235" s="251"/>
      <c r="AV235" s="251"/>
      <c r="AW235" s="251"/>
      <c r="AX235" s="251"/>
      <c r="AY235" s="251"/>
      <c r="AZ235" s="251">
        <f t="shared" ca="1" si="12"/>
        <v>706</v>
      </c>
    </row>
    <row r="236" spans="1:52" ht="15" customHeight="1" x14ac:dyDescent="0.25">
      <c r="B236" s="243">
        <v>382</v>
      </c>
      <c r="C236" s="251" t="s">
        <v>217</v>
      </c>
      <c r="D236" s="252">
        <v>9450</v>
      </c>
      <c r="E236" s="252">
        <f>(BDD[[#This Row],[SUE MENS]]/30)</f>
        <v>315</v>
      </c>
      <c r="F236" s="252">
        <f>BDD[[#This Row],[SUE MENS]]/2</f>
        <v>4725</v>
      </c>
      <c r="G236" s="319">
        <v>42486</v>
      </c>
      <c r="H236" s="243">
        <f ca="1">INT(_xlfn.DAYS(TODAY(),BDD[[#This Row],[FECHA ING.]])/365)</f>
        <v>6</v>
      </c>
      <c r="I236" s="251" t="str">
        <f>VLOOKUP(J236,TABLAS!$B$3:$G$49,2,FALSE)</f>
        <v>CONTRATOS</v>
      </c>
      <c r="J236" s="198" t="s">
        <v>739</v>
      </c>
      <c r="K236" s="251" t="s">
        <v>778</v>
      </c>
      <c r="L236" s="251" t="s">
        <v>763</v>
      </c>
      <c r="M236" s="251"/>
      <c r="N236" s="244" t="s">
        <v>1836</v>
      </c>
      <c r="O236" s="251" t="str">
        <f>IFERROR(VLOOKUP(BDD[[#This Row],[SUBDPTO]],TABLAS!$B$4:$D$36,3,0)," ")</f>
        <v>IDALIA GARCÍA ESCRIVÁ</v>
      </c>
      <c r="P236" s="258">
        <v>43741</v>
      </c>
      <c r="Q236" s="254">
        <v>5422.4000000000005</v>
      </c>
      <c r="R236" s="255" t="s">
        <v>743</v>
      </c>
      <c r="S236" s="251"/>
      <c r="T236" s="251" t="s">
        <v>811</v>
      </c>
      <c r="U236" s="243">
        <f ca="1">VLOOKUP(BDD[[#This Row],[ANTIG]],DIASXANT18[#All],2)</f>
        <v>16</v>
      </c>
      <c r="V236" s="256">
        <f t="shared" ref="V236:V256" si="15">100/200</f>
        <v>0.5</v>
      </c>
      <c r="W236" s="243">
        <f ca="1">BDD[[#This Row],[D.VAC.]]*BDD[[#This Row],[% P.V.]]</f>
        <v>8</v>
      </c>
      <c r="X236" s="243">
        <v>30</v>
      </c>
      <c r="Y236" s="257">
        <f ca="1">(365+BDD[[#This Row],[D.PAG.V.]]+BDD[[#This Row],[D.AG.]])/365</f>
        <v>1.1041095890410959</v>
      </c>
      <c r="Z236" s="243">
        <f ca="1">BDD[[#This Row],[SUE DIA]]*BDD[[#This Row],[FACTOR SDI]]</f>
        <v>347.79452054794518</v>
      </c>
      <c r="AA236" s="243">
        <f>BDD[[#This Row],[SUE DIA]]/9</f>
        <v>35</v>
      </c>
      <c r="AB236" s="251">
        <v>31477</v>
      </c>
      <c r="AC236" s="251" t="s">
        <v>992</v>
      </c>
      <c r="AD236" s="251" t="s">
        <v>786</v>
      </c>
      <c r="AE236" s="252">
        <v>8500938107</v>
      </c>
      <c r="AF236" s="251" t="s">
        <v>1178</v>
      </c>
      <c r="AG236" s="251" t="s">
        <v>776</v>
      </c>
      <c r="AH236" s="251" t="s">
        <v>730</v>
      </c>
      <c r="AI236" s="243" t="s">
        <v>151</v>
      </c>
      <c r="AJ236" s="258" cm="1">
        <f t="array" aca="1" ref="AJ236" ca="1">DATE(YEAR(FECH.CONS[FECHA DE CONSULTA:]),MONTH(BDD[[#This Row],[FECHA NAC]]),DAY(BDD[[#This Row],[FECHA NAC]]))</f>
        <v>44626</v>
      </c>
      <c r="AK236" s="243">
        <v>9</v>
      </c>
      <c r="AL236" s="261" t="s">
        <v>326</v>
      </c>
      <c r="AM236" s="251" t="s">
        <v>1538</v>
      </c>
      <c r="AN236" s="251" t="s">
        <v>1551</v>
      </c>
      <c r="AO236" s="245">
        <v>64</v>
      </c>
      <c r="AP236" s="251">
        <f ca="1">INT((TODAY()-BDD[[#This Row],[FECHA NAC]])/365)</f>
        <v>36</v>
      </c>
      <c r="AQ236" s="251">
        <v>3</v>
      </c>
      <c r="AR236" s="251">
        <f ca="1">IF(BDD[[#This Row],[ANTIG]]=0,0,1)</f>
        <v>1</v>
      </c>
      <c r="AS236" s="251"/>
      <c r="AT236" s="251"/>
      <c r="AU236" s="251"/>
      <c r="AV236" s="251"/>
      <c r="AW236" s="251"/>
      <c r="AX236" s="251"/>
      <c r="AY236" s="251"/>
      <c r="AZ236" s="251">
        <f t="shared" ca="1" si="12"/>
        <v>947</v>
      </c>
    </row>
    <row r="237" spans="1:52" ht="15" customHeight="1" x14ac:dyDescent="0.25">
      <c r="B237" s="243">
        <v>383</v>
      </c>
      <c r="C237" s="259" t="s">
        <v>457</v>
      </c>
      <c r="D237" s="252">
        <v>9450</v>
      </c>
      <c r="E237" s="252">
        <f>(BDD[[#This Row],[SUE MENS]]/30)</f>
        <v>315</v>
      </c>
      <c r="F237" s="252">
        <f>BDD[[#This Row],[SUE MENS]]/2</f>
        <v>4725</v>
      </c>
      <c r="G237" s="319">
        <v>42486</v>
      </c>
      <c r="H237" s="243">
        <f ca="1">INT(_xlfn.DAYS(TODAY(),BDD[[#This Row],[FECHA ING.]])/365)</f>
        <v>6</v>
      </c>
      <c r="I237" s="251" t="str">
        <f>VLOOKUP(J237,TABLAS!$B$3:$G$49,2,FALSE)</f>
        <v>FINANZAS</v>
      </c>
      <c r="J237" s="198" t="s">
        <v>747</v>
      </c>
      <c r="K237" s="251" t="s">
        <v>778</v>
      </c>
      <c r="L237" s="251" t="s">
        <v>763</v>
      </c>
      <c r="M237" s="251"/>
      <c r="N237" s="244" t="s">
        <v>2101</v>
      </c>
      <c r="O237" s="251" t="str">
        <f>IFERROR(VLOOKUP(BDD[[#This Row],[SUBDPTO]],TABLAS!$B$4:$D$36,3,0)," ")</f>
        <v>MARIANO ALDEBARÁN</v>
      </c>
      <c r="P237" s="258">
        <v>42741</v>
      </c>
      <c r="Q237" s="254">
        <v>6158.4000000000005</v>
      </c>
      <c r="R237" s="255" t="s">
        <v>759</v>
      </c>
      <c r="S237" s="251"/>
      <c r="T237" s="251" t="s">
        <v>811</v>
      </c>
      <c r="U237" s="243">
        <f ca="1">VLOOKUP(BDD[[#This Row],[ANTIG]],DIASXANT18[#All],2)</f>
        <v>16</v>
      </c>
      <c r="V237" s="256">
        <f t="shared" si="15"/>
        <v>0.5</v>
      </c>
      <c r="W237" s="243">
        <f ca="1">BDD[[#This Row],[D.VAC.]]*BDD[[#This Row],[% P.V.]]</f>
        <v>8</v>
      </c>
      <c r="X237" s="243">
        <v>30</v>
      </c>
      <c r="Y237" s="257">
        <f ca="1">(365+BDD[[#This Row],[D.PAG.V.]]+BDD[[#This Row],[D.AG.]])/365</f>
        <v>1.1041095890410959</v>
      </c>
      <c r="Z237" s="243">
        <f ca="1">BDD[[#This Row],[SUE DIA]]*BDD[[#This Row],[FACTOR SDI]]</f>
        <v>347.79452054794518</v>
      </c>
      <c r="AA237" s="243">
        <f>BDD[[#This Row],[SUE DIA]]/9</f>
        <v>35</v>
      </c>
      <c r="AB237" s="251">
        <v>29138</v>
      </c>
      <c r="AC237" s="251" t="s">
        <v>1016</v>
      </c>
      <c r="AD237" s="251" t="s">
        <v>788</v>
      </c>
      <c r="AE237" s="260">
        <v>3365987798</v>
      </c>
      <c r="AF237" s="251" t="s">
        <v>1360</v>
      </c>
      <c r="AG237" s="251" t="s">
        <v>773</v>
      </c>
      <c r="AH237" s="251" t="s">
        <v>1555</v>
      </c>
      <c r="AI237" s="243" t="s">
        <v>151</v>
      </c>
      <c r="AJ237" s="258" cm="1">
        <f t="array" aca="1" ref="AJ237" ca="1">DATE(YEAR(FECH.CONS[FECHA DE CONSULTA:]),MONTH(BDD[[#This Row],[FECHA NAC]]),DAY(BDD[[#This Row],[FECHA NAC]]))</f>
        <v>44844</v>
      </c>
      <c r="AK237" s="243"/>
      <c r="AL237" s="261" t="s">
        <v>311</v>
      </c>
      <c r="AM237" s="251" t="s">
        <v>1535</v>
      </c>
      <c r="AN237" s="251" t="s">
        <v>1551</v>
      </c>
      <c r="AO237" s="245">
        <v>61</v>
      </c>
      <c r="AP237" s="251">
        <f ca="1">INT((TODAY()-BDD[[#This Row],[FECHA NAC]])/365)</f>
        <v>42</v>
      </c>
      <c r="AQ237" s="251">
        <v>2</v>
      </c>
      <c r="AR237" s="251">
        <f ca="1">IF(BDD[[#This Row],[ANTIG]]=0,0,1)</f>
        <v>1</v>
      </c>
      <c r="AS237" s="251"/>
      <c r="AT237" s="251"/>
      <c r="AU237" s="251"/>
      <c r="AV237" s="251"/>
      <c r="AW237" s="251"/>
      <c r="AX237" s="251"/>
      <c r="AY237" s="251"/>
      <c r="AZ237" s="251">
        <f t="shared" ca="1" si="12"/>
        <v>450</v>
      </c>
    </row>
    <row r="238" spans="1:52" ht="15" customHeight="1" x14ac:dyDescent="0.25">
      <c r="B238" s="243">
        <v>384</v>
      </c>
      <c r="C238" s="251" t="s">
        <v>203</v>
      </c>
      <c r="D238" s="252">
        <v>8825</v>
      </c>
      <c r="E238" s="252">
        <f>(BDD[[#This Row],[SUE MENS]]/30)</f>
        <v>294.16666666666669</v>
      </c>
      <c r="F238" s="252">
        <f>BDD[[#This Row],[SUE MENS]]/2</f>
        <v>4412.5</v>
      </c>
      <c r="G238" s="319">
        <v>42487</v>
      </c>
      <c r="H238" s="243">
        <f ca="1">INT(_xlfn.DAYS(TODAY(),BDD[[#This Row],[FECHA ING.]])/365)</f>
        <v>6</v>
      </c>
      <c r="I238" s="251" t="str">
        <f>VLOOKUP(J238,TABLAS!$B$3:$G$49,2,FALSE)</f>
        <v>AUDITORÍA</v>
      </c>
      <c r="J238" s="198" t="s">
        <v>734</v>
      </c>
      <c r="K238" s="251" t="s">
        <v>778</v>
      </c>
      <c r="L238" s="251" t="s">
        <v>763</v>
      </c>
      <c r="M238" s="251"/>
      <c r="N238" s="253" t="s">
        <v>2135</v>
      </c>
      <c r="O238" s="251" t="str">
        <f>IFERROR(VLOOKUP(BDD[[#This Row],[SUBDPTO]],TABLAS!$B$4:$D$36,3,0)," ")</f>
        <v>MARCO AURELIO URBINO</v>
      </c>
      <c r="P238" s="258">
        <v>44057</v>
      </c>
      <c r="Q238" s="254">
        <v>6160</v>
      </c>
      <c r="R238" s="255" t="s">
        <v>759</v>
      </c>
      <c r="S238" s="251"/>
      <c r="T238" s="251" t="s">
        <v>811</v>
      </c>
      <c r="U238" s="243">
        <f ca="1">VLOOKUP(BDD[[#This Row],[ANTIG]],DIASXANT18[#All],2)</f>
        <v>16</v>
      </c>
      <c r="V238" s="256">
        <f t="shared" si="15"/>
        <v>0.5</v>
      </c>
      <c r="W238" s="243">
        <f ca="1">BDD[[#This Row],[D.VAC.]]*BDD[[#This Row],[% P.V.]]</f>
        <v>8</v>
      </c>
      <c r="X238" s="243">
        <v>30</v>
      </c>
      <c r="Y238" s="257">
        <f ca="1">(365+BDD[[#This Row],[D.PAG.V.]]+BDD[[#This Row],[D.AG.]])/365</f>
        <v>1.1041095890410959</v>
      </c>
      <c r="Z238" s="243">
        <f ca="1">BDD[[#This Row],[SUE DIA]]*BDD[[#This Row],[FACTOR SDI]]</f>
        <v>324.79223744292239</v>
      </c>
      <c r="AA238" s="243">
        <f>BDD[[#This Row],[SUE DIA]]/9</f>
        <v>32.68518518518519</v>
      </c>
      <c r="AB238" s="251">
        <v>35904</v>
      </c>
      <c r="AC238" s="251" t="s">
        <v>881</v>
      </c>
      <c r="AD238" s="251" t="s">
        <v>809</v>
      </c>
      <c r="AE238" s="252">
        <v>8374130304</v>
      </c>
      <c r="AF238" s="251" t="s">
        <v>1218</v>
      </c>
      <c r="AG238" s="251" t="s">
        <v>773</v>
      </c>
      <c r="AH238" s="251" t="s">
        <v>1555</v>
      </c>
      <c r="AI238" s="243" t="s">
        <v>151</v>
      </c>
      <c r="AJ238" s="258" cm="1">
        <f t="array" aca="1" ref="AJ238" ca="1">DATE(YEAR(FECH.CONS[FECHA DE CONSULTA:]),MONTH(BDD[[#This Row],[FECHA NAC]]),DAY(BDD[[#This Row],[FECHA NAC]]))</f>
        <v>44670</v>
      </c>
      <c r="AK238" s="243"/>
      <c r="AL238" s="251" t="s">
        <v>311</v>
      </c>
      <c r="AM238" s="251" t="s">
        <v>1534</v>
      </c>
      <c r="AN238" s="251" t="s">
        <v>1551</v>
      </c>
      <c r="AO238" s="245">
        <v>82</v>
      </c>
      <c r="AP238" s="251">
        <f ca="1">INT((TODAY()-BDD[[#This Row],[FECHA NAC]])/365)</f>
        <v>24</v>
      </c>
      <c r="AQ238" s="251">
        <v>1</v>
      </c>
      <c r="AR238" s="251">
        <f ca="1">IF(BDD[[#This Row],[ANTIG]]=0,0,1)</f>
        <v>1</v>
      </c>
      <c r="AS238" s="251"/>
      <c r="AT238" s="251"/>
      <c r="AU238" s="251"/>
      <c r="AV238" s="251"/>
      <c r="AW238" s="251"/>
      <c r="AX238" s="251"/>
      <c r="AY238" s="251"/>
      <c r="AZ238" s="251">
        <f t="shared" ca="1" si="12"/>
        <v>213</v>
      </c>
    </row>
    <row r="239" spans="1:52" ht="15" customHeight="1" x14ac:dyDescent="0.25">
      <c r="B239" s="243">
        <v>385</v>
      </c>
      <c r="C239" s="262" t="s">
        <v>361</v>
      </c>
      <c r="D239" s="252">
        <v>7445</v>
      </c>
      <c r="E239" s="252">
        <f>(BDD[[#This Row],[SUE MENS]]/30)</f>
        <v>248.16666666666666</v>
      </c>
      <c r="F239" s="252">
        <f>BDD[[#This Row],[SUE MENS]]/2</f>
        <v>3722.5</v>
      </c>
      <c r="G239" s="319">
        <v>42497</v>
      </c>
      <c r="H239" s="243">
        <f ca="1">INT(_xlfn.DAYS(TODAY(),BDD[[#This Row],[FECHA ING.]])/365)</f>
        <v>6</v>
      </c>
      <c r="I239" s="251" t="str">
        <f>VLOOKUP(J239,TABLAS!$B$3:$G$49,2,FALSE)</f>
        <v>AUDITORÍA</v>
      </c>
      <c r="J239" s="198" t="s">
        <v>735</v>
      </c>
      <c r="K239" s="251" t="s">
        <v>778</v>
      </c>
      <c r="L239" s="251" t="s">
        <v>763</v>
      </c>
      <c r="M239" s="251"/>
      <c r="N239" s="244" t="s">
        <v>1993</v>
      </c>
      <c r="O239" s="251" t="str">
        <f>IFERROR(VLOOKUP(BDD[[#This Row],[SUBDPTO]],TABLAS!$B$4:$D$36,3,0)," ")</f>
        <v>MARCO AURELIO URBINO</v>
      </c>
      <c r="P239" s="258"/>
      <c r="Q239" s="264"/>
      <c r="R239" s="244"/>
      <c r="S239" s="251"/>
      <c r="T239" s="251" t="s">
        <v>811</v>
      </c>
      <c r="U239" s="243">
        <f ca="1">VLOOKUP(BDD[[#This Row],[ANTIG]],DIASXANT18[#All],2)</f>
        <v>16</v>
      </c>
      <c r="V239" s="256">
        <f t="shared" si="15"/>
        <v>0.5</v>
      </c>
      <c r="W239" s="243">
        <f ca="1">BDD[[#This Row],[D.VAC.]]*BDD[[#This Row],[% P.V.]]</f>
        <v>8</v>
      </c>
      <c r="X239" s="243">
        <v>30</v>
      </c>
      <c r="Y239" s="257">
        <f ca="1">(365+BDD[[#This Row],[D.PAG.V.]]+BDD[[#This Row],[D.AG.]])/365</f>
        <v>1.1041095890410959</v>
      </c>
      <c r="Z239" s="243">
        <f ca="1">BDD[[#This Row],[SUE DIA]]*BDD[[#This Row],[FACTOR SDI]]</f>
        <v>274.00319634703197</v>
      </c>
      <c r="AA239" s="243">
        <f>BDD[[#This Row],[SUE DIA]]/9</f>
        <v>27.574074074074073</v>
      </c>
      <c r="AB239" s="262">
        <v>35934</v>
      </c>
      <c r="AC239" s="251" t="s">
        <v>1035</v>
      </c>
      <c r="AD239" s="251" t="s">
        <v>790</v>
      </c>
      <c r="AE239" s="252">
        <v>8218352943</v>
      </c>
      <c r="AF239" s="251" t="s">
        <v>1338</v>
      </c>
      <c r="AG239" s="251" t="s">
        <v>776</v>
      </c>
      <c r="AH239" s="251" t="s">
        <v>730</v>
      </c>
      <c r="AI239" s="243" t="s">
        <v>151</v>
      </c>
      <c r="AJ239" s="258" cm="1">
        <f t="array" aca="1" ref="AJ239" ca="1">DATE(YEAR(FECH.CONS[FECHA DE CONSULTA:]),MONTH(BDD[[#This Row],[FECHA NAC]]),DAY(BDD[[#This Row],[FECHA NAC]]))</f>
        <v>44700</v>
      </c>
      <c r="AK239" s="243">
        <v>9</v>
      </c>
      <c r="AL239" s="261" t="s">
        <v>373</v>
      </c>
      <c r="AM239" s="251" t="s">
        <v>1541</v>
      </c>
      <c r="AN239" s="251" t="s">
        <v>1551</v>
      </c>
      <c r="AO239" s="245">
        <v>58</v>
      </c>
      <c r="AP239" s="251">
        <f ca="1">INT((TODAY()-BDD[[#This Row],[FECHA NAC]])/365)</f>
        <v>24</v>
      </c>
      <c r="AQ239" s="251">
        <v>3</v>
      </c>
      <c r="AR239" s="251">
        <f ca="1">IF(BDD[[#This Row],[ANTIG]]=0,0,1)</f>
        <v>1</v>
      </c>
      <c r="AS239" s="251"/>
      <c r="AT239" s="251"/>
      <c r="AU239" s="251"/>
      <c r="AV239" s="251"/>
      <c r="AW239" s="251"/>
      <c r="AX239" s="251"/>
      <c r="AY239" s="251"/>
      <c r="AZ239" s="251">
        <f t="shared" ca="1" si="12"/>
        <v>199</v>
      </c>
    </row>
    <row r="240" spans="1:52" ht="15" customHeight="1" x14ac:dyDescent="0.25">
      <c r="B240" s="243">
        <v>386</v>
      </c>
      <c r="C240" s="251" t="s">
        <v>1629</v>
      </c>
      <c r="D240" s="252">
        <v>9450</v>
      </c>
      <c r="E240" s="252">
        <f>(BDD[[#This Row],[SUE MENS]]/30)</f>
        <v>315</v>
      </c>
      <c r="F240" s="252">
        <f>BDD[[#This Row],[SUE MENS]]/2</f>
        <v>4725</v>
      </c>
      <c r="G240" s="319">
        <v>42502</v>
      </c>
      <c r="H240" s="243">
        <f ca="1">INT(_xlfn.DAYS(TODAY(),BDD[[#This Row],[FECHA ING.]])/365)</f>
        <v>6</v>
      </c>
      <c r="I240" s="251" t="str">
        <f>VLOOKUP(J240,TABLAS!$B$3:$G$49,2,FALSE)</f>
        <v>CPTAL HUMANO</v>
      </c>
      <c r="J240" s="198" t="s">
        <v>768</v>
      </c>
      <c r="K240" s="251" t="s">
        <v>778</v>
      </c>
      <c r="L240" s="251" t="s">
        <v>763</v>
      </c>
      <c r="M240" s="251"/>
      <c r="N240" s="278" t="s">
        <v>2005</v>
      </c>
      <c r="O240" s="251" t="str">
        <f>IFERROR(VLOOKUP(BDD[[#This Row],[SUBDPTO]],TABLAS!$B$4:$D$36,3,0)," ")</f>
        <v>EMMA DARIELA GARCÍA LORCA</v>
      </c>
      <c r="P240" s="258">
        <v>44037</v>
      </c>
      <c r="Q240" s="254">
        <v>7060</v>
      </c>
      <c r="R240" s="255" t="s">
        <v>741</v>
      </c>
      <c r="S240" s="251"/>
      <c r="T240" s="251" t="s">
        <v>301</v>
      </c>
      <c r="U240" s="243">
        <f ca="1">VLOOKUP(BDD[[#This Row],[ANTIG]],DIASXANT18[#All],2)</f>
        <v>16</v>
      </c>
      <c r="V240" s="256">
        <f t="shared" si="15"/>
        <v>0.5</v>
      </c>
      <c r="W240" s="243">
        <f ca="1">BDD[[#This Row],[D.VAC.]]*BDD[[#This Row],[% P.V.]]</f>
        <v>8</v>
      </c>
      <c r="X240" s="243">
        <v>30</v>
      </c>
      <c r="Y240" s="257">
        <f ca="1">(365+BDD[[#This Row],[D.PAG.V.]]+BDD[[#This Row],[D.AG.]])/365</f>
        <v>1.1041095890410959</v>
      </c>
      <c r="Z240" s="243">
        <f ca="1">BDD[[#This Row],[SUE DIA]]*BDD[[#This Row],[FACTOR SDI]]</f>
        <v>347.79452054794518</v>
      </c>
      <c r="AA240" s="243">
        <f>BDD[[#This Row],[SUE DIA]]/9</f>
        <v>35</v>
      </c>
      <c r="AB240" s="251">
        <v>30967</v>
      </c>
      <c r="AC240" s="251" t="s">
        <v>962</v>
      </c>
      <c r="AD240" s="251" t="s">
        <v>787</v>
      </c>
      <c r="AE240" s="252">
        <v>8844408364</v>
      </c>
      <c r="AF240" s="251" t="s">
        <v>1288</v>
      </c>
      <c r="AG240" s="251" t="s">
        <v>776</v>
      </c>
      <c r="AH240" s="251" t="s">
        <v>1555</v>
      </c>
      <c r="AI240" s="243" t="s">
        <v>152</v>
      </c>
      <c r="AJ240" s="258" cm="1">
        <f t="array" aca="1" ref="AJ240" ca="1">DATE(YEAR(FECH.CONS[FECHA DE CONSULTA:]),MONTH(BDD[[#This Row],[FECHA NAC]]),DAY(BDD[[#This Row],[FECHA NAC]]))</f>
        <v>44846</v>
      </c>
      <c r="AK240" s="243"/>
      <c r="AL240" s="261" t="s">
        <v>311</v>
      </c>
      <c r="AM240" s="251" t="s">
        <v>1537</v>
      </c>
      <c r="AN240" s="251" t="s">
        <v>1551</v>
      </c>
      <c r="AO240" s="245">
        <v>72</v>
      </c>
      <c r="AP240" s="251">
        <f ca="1">INT((TODAY()-BDD[[#This Row],[FECHA NAC]])/365)</f>
        <v>37</v>
      </c>
      <c r="AQ240" s="251">
        <v>3</v>
      </c>
      <c r="AR240" s="251">
        <f ca="1">IF(BDD[[#This Row],[ANTIG]]=0,0,1)</f>
        <v>1</v>
      </c>
      <c r="AS240" s="251"/>
      <c r="AT240" s="251"/>
      <c r="AU240" s="251"/>
      <c r="AV240" s="251"/>
      <c r="AW240" s="251"/>
      <c r="AX240" s="251"/>
      <c r="AY240" s="251"/>
      <c r="AZ240" s="251">
        <f t="shared" ca="1" si="12"/>
        <v>576</v>
      </c>
    </row>
    <row r="241" spans="2:52" ht="15" customHeight="1" x14ac:dyDescent="0.25">
      <c r="B241" s="243">
        <v>387</v>
      </c>
      <c r="C241" s="259" t="s">
        <v>566</v>
      </c>
      <c r="D241" s="252">
        <v>10860</v>
      </c>
      <c r="E241" s="252">
        <f>(BDD[[#This Row],[SUE MENS]]/30)</f>
        <v>362</v>
      </c>
      <c r="F241" s="252">
        <f>BDD[[#This Row],[SUE MENS]]/2</f>
        <v>5430</v>
      </c>
      <c r="G241" s="319">
        <v>42503</v>
      </c>
      <c r="H241" s="243">
        <f ca="1">INT(_xlfn.DAYS(TODAY(),BDD[[#This Row],[FECHA ING.]])/365)</f>
        <v>6</v>
      </c>
      <c r="I241" s="251" t="str">
        <f>VLOOKUP(J241,TABLAS!$B$3:$G$49,2,FALSE)</f>
        <v>FINANZAS</v>
      </c>
      <c r="J241" s="198" t="s">
        <v>748</v>
      </c>
      <c r="K241" s="251" t="s">
        <v>778</v>
      </c>
      <c r="L241" s="251" t="s">
        <v>763</v>
      </c>
      <c r="M241" s="251"/>
      <c r="N241" s="253" t="s">
        <v>2181</v>
      </c>
      <c r="O241" s="251" t="str">
        <f>IFERROR(VLOOKUP(BDD[[#This Row],[SUBDPTO]],TABLAS!$B$4:$D$36,3,0)," ")</f>
        <v>MARIANO ALDEBARÁN</v>
      </c>
      <c r="P241" s="258">
        <v>41128</v>
      </c>
      <c r="Q241" s="254">
        <v>5200</v>
      </c>
      <c r="R241" s="255" t="s">
        <v>737</v>
      </c>
      <c r="S241" s="255" t="s">
        <v>747</v>
      </c>
      <c r="T241" s="251" t="s">
        <v>811</v>
      </c>
      <c r="U241" s="243">
        <f ca="1">VLOOKUP(BDD[[#This Row],[ANTIG]],DIASXANT18[#All],2)</f>
        <v>16</v>
      </c>
      <c r="V241" s="256">
        <f t="shared" si="15"/>
        <v>0.5</v>
      </c>
      <c r="W241" s="243">
        <f ca="1">BDD[[#This Row],[D.VAC.]]*BDD[[#This Row],[% P.V.]]</f>
        <v>8</v>
      </c>
      <c r="X241" s="243">
        <v>30</v>
      </c>
      <c r="Y241" s="257">
        <f ca="1">(365+BDD[[#This Row],[D.PAG.V.]]+BDD[[#This Row],[D.AG.]])/365</f>
        <v>1.1041095890410959</v>
      </c>
      <c r="Z241" s="243">
        <f ca="1">BDD[[#This Row],[SUE DIA]]*BDD[[#This Row],[FACTOR SDI]]</f>
        <v>399.68767123287671</v>
      </c>
      <c r="AA241" s="243">
        <f>BDD[[#This Row],[SUE DIA]]/9</f>
        <v>40.222222222222221</v>
      </c>
      <c r="AB241" s="251">
        <v>28920</v>
      </c>
      <c r="AC241" s="251" t="s">
        <v>904</v>
      </c>
      <c r="AD241" s="251" t="s">
        <v>792</v>
      </c>
      <c r="AE241" s="260">
        <v>8205548639</v>
      </c>
      <c r="AF241" s="251" t="s">
        <v>1431</v>
      </c>
      <c r="AG241" s="251" t="s">
        <v>776</v>
      </c>
      <c r="AH241" s="251" t="s">
        <v>730</v>
      </c>
      <c r="AI241" s="243" t="s">
        <v>151</v>
      </c>
      <c r="AJ241" s="258" cm="1">
        <f t="array" aca="1" ref="AJ241" ca="1">DATE(YEAR(FECH.CONS[FECHA DE CONSULTA:]),MONTH(BDD[[#This Row],[FECHA NAC]]),DAY(BDD[[#This Row],[FECHA NAC]]))</f>
        <v>44626</v>
      </c>
      <c r="AK241" s="243">
        <v>10</v>
      </c>
      <c r="AL241" s="261" t="s">
        <v>325</v>
      </c>
      <c r="AM241" s="251" t="s">
        <v>1540</v>
      </c>
      <c r="AN241" s="251" t="s">
        <v>162</v>
      </c>
      <c r="AO241" s="245">
        <v>38</v>
      </c>
      <c r="AP241" s="251">
        <f ca="1">INT((TODAY()-BDD[[#This Row],[FECHA NAC]])/365)</f>
        <v>43</v>
      </c>
      <c r="AQ241" s="251">
        <v>1</v>
      </c>
      <c r="AR241" s="251">
        <f ca="1">IF(BDD[[#This Row],[ANTIG]]=0,0,1)</f>
        <v>1</v>
      </c>
      <c r="AS241" s="251"/>
      <c r="AT241" s="251"/>
      <c r="AU241" s="251"/>
      <c r="AV241" s="251"/>
      <c r="AW241" s="251"/>
      <c r="AX241" s="251"/>
      <c r="AY241" s="251"/>
      <c r="AZ241" s="251">
        <f t="shared" ca="1" si="12"/>
        <v>304</v>
      </c>
    </row>
    <row r="242" spans="2:52" ht="15" customHeight="1" x14ac:dyDescent="0.25">
      <c r="B242" s="243">
        <v>388</v>
      </c>
      <c r="C242" s="251" t="s">
        <v>179</v>
      </c>
      <c r="D242" s="252">
        <v>9450</v>
      </c>
      <c r="E242" s="252">
        <f>(BDD[[#This Row],[SUE MENS]]/30)</f>
        <v>315</v>
      </c>
      <c r="F242" s="252">
        <f>BDD[[#This Row],[SUE MENS]]/2</f>
        <v>4725</v>
      </c>
      <c r="G242" s="319">
        <v>42514</v>
      </c>
      <c r="H242" s="243">
        <f ca="1">INT(_xlfn.DAYS(TODAY(),BDD[[#This Row],[FECHA ING.]])/365)</f>
        <v>6</v>
      </c>
      <c r="I242" s="251" t="str">
        <f>VLOOKUP(J242,TABLAS!$B$3:$G$49,2,FALSE)</f>
        <v>CONTABILIDAD</v>
      </c>
      <c r="J242" s="198" t="s">
        <v>737</v>
      </c>
      <c r="K242" s="251" t="s">
        <v>778</v>
      </c>
      <c r="L242" s="251" t="s">
        <v>763</v>
      </c>
      <c r="M242" s="251"/>
      <c r="N242" s="244" t="s">
        <v>1819</v>
      </c>
      <c r="O242" s="251" t="str">
        <f>IFERROR(VLOOKUP(BDD[[#This Row],[SUBDPTO]],TABLAS!$B$4:$D$36,3,0)," ")</f>
        <v>IRIE DALÍ ANTARES CORTÉS</v>
      </c>
      <c r="P242" s="258">
        <v>43571</v>
      </c>
      <c r="Q242" s="254">
        <v>5422.4000000000005</v>
      </c>
      <c r="R242" s="255" t="s">
        <v>737</v>
      </c>
      <c r="S242" s="251"/>
      <c r="T242" s="251" t="s">
        <v>301</v>
      </c>
      <c r="U242" s="243">
        <f ca="1">VLOOKUP(BDD[[#This Row],[ANTIG]],DIASXANT18[#All],2)</f>
        <v>16</v>
      </c>
      <c r="V242" s="256">
        <f t="shared" si="15"/>
        <v>0.5</v>
      </c>
      <c r="W242" s="243">
        <f ca="1">BDD[[#This Row],[D.VAC.]]*BDD[[#This Row],[% P.V.]]</f>
        <v>8</v>
      </c>
      <c r="X242" s="243">
        <v>30</v>
      </c>
      <c r="Y242" s="257">
        <f ca="1">(365+BDD[[#This Row],[D.PAG.V.]]+BDD[[#This Row],[D.AG.]])/365</f>
        <v>1.1041095890410959</v>
      </c>
      <c r="Z242" s="243">
        <f ca="1">BDD[[#This Row],[SUE DIA]]*BDD[[#This Row],[FACTOR SDI]]</f>
        <v>347.79452054794518</v>
      </c>
      <c r="AA242" s="243">
        <f>BDD[[#This Row],[SUE DIA]]/9</f>
        <v>35</v>
      </c>
      <c r="AB242" s="251">
        <v>31048</v>
      </c>
      <c r="AC242" s="251" t="s">
        <v>965</v>
      </c>
      <c r="AD242" s="251" t="s">
        <v>789</v>
      </c>
      <c r="AE242" s="252">
        <v>8926767571</v>
      </c>
      <c r="AF242" s="251" t="s">
        <v>1190</v>
      </c>
      <c r="AG242" s="251" t="s">
        <v>774</v>
      </c>
      <c r="AH242" s="251" t="s">
        <v>730</v>
      </c>
      <c r="AI242" s="243" t="s">
        <v>152</v>
      </c>
      <c r="AJ242" s="258" cm="1">
        <f t="array" aca="1" ref="AJ242" ca="1">DATE(YEAR(FECH.CONS[FECHA DE CONSULTA:]),MONTH(BDD[[#This Row],[FECHA NAC]]),DAY(BDD[[#This Row],[FECHA NAC]]))</f>
        <v>44562</v>
      </c>
      <c r="AK242" s="243">
        <v>7</v>
      </c>
      <c r="AL242" s="261" t="s">
        <v>311</v>
      </c>
      <c r="AM242" s="251" t="s">
        <v>1537</v>
      </c>
      <c r="AN242" s="251" t="s">
        <v>1551</v>
      </c>
      <c r="AO242" s="245">
        <v>42</v>
      </c>
      <c r="AP242" s="251">
        <f ca="1">INT((TODAY()-BDD[[#This Row],[FECHA NAC]])/365)</f>
        <v>37</v>
      </c>
      <c r="AQ242" s="251">
        <v>1</v>
      </c>
      <c r="AR242" s="251">
        <f ca="1">IF(BDD[[#This Row],[ANTIG]]=0,0,1)</f>
        <v>1</v>
      </c>
      <c r="AS242" s="251"/>
      <c r="AT242" s="251"/>
      <c r="AU242" s="251"/>
      <c r="AV242" s="251"/>
      <c r="AW242" s="251"/>
      <c r="AX242" s="251"/>
      <c r="AY242" s="251"/>
      <c r="AZ242" s="251">
        <f t="shared" ca="1" si="12"/>
        <v>158</v>
      </c>
    </row>
    <row r="243" spans="2:52" ht="15" customHeight="1" x14ac:dyDescent="0.25">
      <c r="B243" s="243">
        <v>389</v>
      </c>
      <c r="C243" s="259" t="s">
        <v>550</v>
      </c>
      <c r="D243" s="263">
        <v>10350</v>
      </c>
      <c r="E243" s="252">
        <f>(BDD[[#This Row],[SUE MENS]]/30)</f>
        <v>345</v>
      </c>
      <c r="F243" s="252">
        <f>BDD[[#This Row],[SUE MENS]]/2</f>
        <v>5175</v>
      </c>
      <c r="G243" s="319">
        <v>42534</v>
      </c>
      <c r="H243" s="243">
        <f ca="1">INT(_xlfn.DAYS(TODAY(),BDD[[#This Row],[FECHA ING.]])/365)</f>
        <v>6</v>
      </c>
      <c r="I243" s="251" t="str">
        <f>VLOOKUP(J243,TABLAS!$B$3:$G$49,2,FALSE)</f>
        <v>DIV INGENRIA</v>
      </c>
      <c r="J243" s="198" t="s">
        <v>756</v>
      </c>
      <c r="K243" s="251" t="s">
        <v>778</v>
      </c>
      <c r="L243" s="251" t="s">
        <v>763</v>
      </c>
      <c r="M243" s="251"/>
      <c r="N243" s="244" t="s">
        <v>1772</v>
      </c>
      <c r="O243" s="251" t="str">
        <f>IFERROR(VLOOKUP(BDD[[#This Row],[SUBDPTO]],TABLAS!$B$4:$D$36,3,0)," ")</f>
        <v>DIEGO HERRERA GIRÓN</v>
      </c>
      <c r="P243" s="258">
        <v>41587</v>
      </c>
      <c r="Q243" s="254">
        <v>7060</v>
      </c>
      <c r="R243" s="255" t="s">
        <v>737</v>
      </c>
      <c r="S243" s="255" t="s">
        <v>734</v>
      </c>
      <c r="T243" s="251" t="s">
        <v>811</v>
      </c>
      <c r="U243" s="243">
        <f ca="1">VLOOKUP(BDD[[#This Row],[ANTIG]],DIASXANT18[#All],2)</f>
        <v>16</v>
      </c>
      <c r="V243" s="256">
        <f t="shared" si="15"/>
        <v>0.5</v>
      </c>
      <c r="W243" s="243">
        <f ca="1">BDD[[#This Row],[D.VAC.]]*BDD[[#This Row],[% P.V.]]</f>
        <v>8</v>
      </c>
      <c r="X243" s="243">
        <v>30</v>
      </c>
      <c r="Y243" s="257">
        <f ca="1">(365+BDD[[#This Row],[D.PAG.V.]]+BDD[[#This Row],[D.AG.]])/365</f>
        <v>1.1041095890410959</v>
      </c>
      <c r="Z243" s="243">
        <f ca="1">BDD[[#This Row],[SUE DIA]]*BDD[[#This Row],[FACTOR SDI]]</f>
        <v>380.91780821917808</v>
      </c>
      <c r="AA243" s="243">
        <f>BDD[[#This Row],[SUE DIA]]/9</f>
        <v>38.333333333333336</v>
      </c>
      <c r="AB243" s="251">
        <v>31839</v>
      </c>
      <c r="AC243" s="251" t="s">
        <v>1060</v>
      </c>
      <c r="AD243" s="251" t="s">
        <v>809</v>
      </c>
      <c r="AE243" s="260">
        <v>3032659898</v>
      </c>
      <c r="AF243" s="251" t="s">
        <v>1417</v>
      </c>
      <c r="AG243" s="251" t="s">
        <v>776</v>
      </c>
      <c r="AH243" s="251" t="s">
        <v>730</v>
      </c>
      <c r="AI243" s="243" t="s">
        <v>151</v>
      </c>
      <c r="AJ243" s="258" cm="1">
        <f t="array" aca="1" ref="AJ243" ca="1">DATE(YEAR(FECH.CONS[FECHA DE CONSULTA:]),MONTH(BDD[[#This Row],[FECHA NAC]]),DAY(BDD[[#This Row],[FECHA NAC]]))</f>
        <v>44623</v>
      </c>
      <c r="AK243" s="243">
        <v>8</v>
      </c>
      <c r="AL243" s="261" t="s">
        <v>311</v>
      </c>
      <c r="AM243" s="251" t="s">
        <v>1549</v>
      </c>
      <c r="AN243" s="251" t="s">
        <v>1551</v>
      </c>
      <c r="AO243" s="245">
        <v>98</v>
      </c>
      <c r="AP243" s="251">
        <f ca="1">INT((TODAY()-BDD[[#This Row],[FECHA NAC]])/365)</f>
        <v>35</v>
      </c>
      <c r="AQ243" s="251">
        <v>1</v>
      </c>
      <c r="AR243" s="251">
        <f ca="1">IF(BDD[[#This Row],[ANTIG]]=0,0,1)</f>
        <v>1</v>
      </c>
      <c r="AS243" s="251"/>
      <c r="AT243" s="251"/>
      <c r="AU243" s="251"/>
      <c r="AV243" s="251"/>
      <c r="AW243" s="251"/>
      <c r="AX243" s="251"/>
      <c r="AY243" s="251"/>
      <c r="AZ243" s="251">
        <f t="shared" ca="1" si="12"/>
        <v>314</v>
      </c>
    </row>
    <row r="244" spans="2:52" ht="15" customHeight="1" x14ac:dyDescent="0.25">
      <c r="B244" s="243">
        <v>391</v>
      </c>
      <c r="C244" s="259" t="s">
        <v>578</v>
      </c>
      <c r="D244" s="263">
        <v>7445</v>
      </c>
      <c r="E244" s="252">
        <f>(BDD[[#This Row],[SUE MENS]]/30)</f>
        <v>248.16666666666666</v>
      </c>
      <c r="F244" s="252">
        <f>BDD[[#This Row],[SUE MENS]]/2</f>
        <v>3722.5</v>
      </c>
      <c r="G244" s="320">
        <v>42542</v>
      </c>
      <c r="H244" s="243">
        <f ca="1">INT(_xlfn.DAYS(TODAY(),BDD[[#This Row],[FECHA ING.]])/365)</f>
        <v>6</v>
      </c>
      <c r="I244" s="251" t="str">
        <f>VLOOKUP(J244,TABLAS!$B$3:$G$49,2,FALSE)</f>
        <v>DIV INGENRIA</v>
      </c>
      <c r="J244" s="198" t="s">
        <v>743</v>
      </c>
      <c r="K244" s="251" t="s">
        <v>778</v>
      </c>
      <c r="L244" s="251" t="s">
        <v>763</v>
      </c>
      <c r="M244" s="251"/>
      <c r="N244" s="253" t="s">
        <v>1767</v>
      </c>
      <c r="O244" s="251" t="str">
        <f>IFERROR(VLOOKUP(BDD[[#This Row],[SUBDPTO]],TABLAS!$B$4:$D$36,3,0)," ")</f>
        <v>DIEGO HERRERA GIRÓN</v>
      </c>
      <c r="P244" s="258"/>
      <c r="Q244" s="264"/>
      <c r="R244" s="244"/>
      <c r="S244" s="251"/>
      <c r="T244" s="251" t="s">
        <v>811</v>
      </c>
      <c r="U244" s="243">
        <f ca="1">VLOOKUP(BDD[[#This Row],[ANTIG]],DIASXANT18[#All],2)</f>
        <v>16</v>
      </c>
      <c r="V244" s="256">
        <f t="shared" si="15"/>
        <v>0.5</v>
      </c>
      <c r="W244" s="243">
        <f ca="1">BDD[[#This Row],[D.VAC.]]*BDD[[#This Row],[% P.V.]]</f>
        <v>8</v>
      </c>
      <c r="X244" s="243">
        <v>30</v>
      </c>
      <c r="Y244" s="257">
        <f ca="1">(365+BDD[[#This Row],[D.PAG.V.]]+BDD[[#This Row],[D.AG.]])/365</f>
        <v>1.1041095890410959</v>
      </c>
      <c r="Z244" s="243">
        <f ca="1">BDD[[#This Row],[SUE DIA]]*BDD[[#This Row],[FACTOR SDI]]</f>
        <v>274.00319634703197</v>
      </c>
      <c r="AA244" s="243">
        <f>BDD[[#This Row],[SUE DIA]]/9</f>
        <v>27.574074074074073</v>
      </c>
      <c r="AB244" s="251">
        <v>34785</v>
      </c>
      <c r="AC244" s="251" t="s">
        <v>990</v>
      </c>
      <c r="AD244" s="251" t="s">
        <v>791</v>
      </c>
      <c r="AE244" s="260">
        <v>3450330271</v>
      </c>
      <c r="AF244" s="251" t="s">
        <v>1439</v>
      </c>
      <c r="AG244" s="251" t="s">
        <v>776</v>
      </c>
      <c r="AH244" s="251" t="s">
        <v>1555</v>
      </c>
      <c r="AI244" s="243" t="s">
        <v>151</v>
      </c>
      <c r="AJ244" s="258" cm="1">
        <f t="array" aca="1" ref="AJ244" ca="1">DATE(YEAR(FECH.CONS[FECHA DE CONSULTA:]),MONTH(BDD[[#This Row],[FECHA NAC]]),DAY(BDD[[#This Row],[FECHA NAC]]))</f>
        <v>44647</v>
      </c>
      <c r="AK244" s="243"/>
      <c r="AL244" s="261" t="s">
        <v>311</v>
      </c>
      <c r="AM244" s="251" t="s">
        <v>1538</v>
      </c>
      <c r="AN244" s="251" t="s">
        <v>1551</v>
      </c>
      <c r="AO244" s="271">
        <v>32</v>
      </c>
      <c r="AP244" s="251">
        <f ca="1">INT((TODAY()-BDD[[#This Row],[FECHA NAC]])/365)</f>
        <v>27</v>
      </c>
      <c r="AQ244" s="251">
        <v>2</v>
      </c>
      <c r="AR244" s="251">
        <f ca="1">IF(BDD[[#This Row],[ANTIG]]=0,0,1)</f>
        <v>1</v>
      </c>
      <c r="AS244" s="251"/>
      <c r="AT244" s="251"/>
      <c r="AU244" s="251"/>
      <c r="AV244" s="251"/>
      <c r="AW244" s="251"/>
      <c r="AX244" s="251"/>
      <c r="AY244" s="251"/>
      <c r="AZ244" s="251">
        <f t="shared" ca="1" si="12"/>
        <v>768</v>
      </c>
    </row>
    <row r="245" spans="2:52" ht="15" customHeight="1" x14ac:dyDescent="0.25">
      <c r="B245" s="246">
        <v>392</v>
      </c>
      <c r="C245" s="244" t="s">
        <v>1604</v>
      </c>
      <c r="D245" s="244">
        <v>6778</v>
      </c>
      <c r="E245" s="244">
        <f>(BDD[[#This Row],[SUE MENS]]/30)</f>
        <v>225.93333333333334</v>
      </c>
      <c r="F245" s="244">
        <f>BDD[[#This Row],[SUE MENS]]/2</f>
        <v>3389</v>
      </c>
      <c r="G245" s="319">
        <v>42544</v>
      </c>
      <c r="H245" s="244">
        <f ca="1">INT(_xlfn.DAYS(TODAY(),BDD[[#This Row],[FECHA ING.]])/365)</f>
        <v>6</v>
      </c>
      <c r="I245" s="251" t="str">
        <f>VLOOKUP(J245,TABLAS!$B$3:$G$49,2,FALSE)</f>
        <v>DIRECCIÓN</v>
      </c>
      <c r="J245" s="244" t="s">
        <v>745</v>
      </c>
      <c r="K245" s="244" t="s">
        <v>778</v>
      </c>
      <c r="L245" s="244" t="s">
        <v>763</v>
      </c>
      <c r="M245" s="244">
        <v>0</v>
      </c>
      <c r="N245" s="253" t="s">
        <v>1765</v>
      </c>
      <c r="O245" s="244" t="str">
        <f>IFERROR(VLOOKUP(BDD[[#This Row],[SUBDPTO]],TABLAS!$B$4:$D$36,3,0)," ")</f>
        <v>MARIANA RODRÍGUEZ GUTIERREZ</v>
      </c>
      <c r="P245" s="268"/>
      <c r="Q245" s="244"/>
      <c r="R245" s="244"/>
      <c r="S245" s="244"/>
      <c r="T245" s="244" t="s">
        <v>301</v>
      </c>
      <c r="U245" s="244">
        <f ca="1">VLOOKUP(BDD[[#This Row],[ANTIG]],DIASXANT18[#All],2)</f>
        <v>16</v>
      </c>
      <c r="V245" s="244">
        <f t="shared" si="15"/>
        <v>0.5</v>
      </c>
      <c r="W245" s="244">
        <f ca="1">BDD[[#This Row],[D.VAC.]]*BDD[[#This Row],[% P.V.]]</f>
        <v>8</v>
      </c>
      <c r="X245" s="244">
        <f>100/4</f>
        <v>25</v>
      </c>
      <c r="Y245" s="269">
        <f ca="1">(365+BDD[[#This Row],[D.PAG.V.]]+BDD[[#This Row],[D.AG.]])/365</f>
        <v>1.0904109589041096</v>
      </c>
      <c r="Z245" s="244">
        <f ca="1">BDD[[#This Row],[SUE DIA]]*BDD[[#This Row],[FACTOR SDI]]</f>
        <v>246.36018264840183</v>
      </c>
      <c r="AA245" s="244">
        <f>BDD[[#This Row],[SUE DIA]]/9</f>
        <v>25.103703703703705</v>
      </c>
      <c r="AB245" s="244">
        <v>34157</v>
      </c>
      <c r="AC245" s="244" t="s">
        <v>1611</v>
      </c>
      <c r="AD245" s="244" t="s">
        <v>810</v>
      </c>
      <c r="AE245" s="244">
        <v>8174754125</v>
      </c>
      <c r="AF245" s="244" t="s">
        <v>1605</v>
      </c>
      <c r="AG245" s="244" t="s">
        <v>723</v>
      </c>
      <c r="AH245" s="244" t="s">
        <v>1555</v>
      </c>
      <c r="AI245" s="244" t="s">
        <v>151</v>
      </c>
      <c r="AJ245" s="268" cm="1">
        <f t="array" aca="1" ref="AJ245" ca="1">DATE(YEAR(FECH.CONS[FECHA DE CONSULTA:]),MONTH(BDD[[#This Row],[FECHA NAC]]),DAY(BDD[[#This Row],[FECHA NAC]]))</f>
        <v>44749</v>
      </c>
      <c r="AK245" s="270">
        <v>0</v>
      </c>
      <c r="AL245" s="244" t="s">
        <v>319</v>
      </c>
      <c r="AM245" s="244" t="s">
        <v>1606</v>
      </c>
      <c r="AN245" s="244">
        <v>0</v>
      </c>
      <c r="AO245" s="244">
        <v>50</v>
      </c>
      <c r="AP245" s="244">
        <f ca="1">INT((TODAY()-BDD[[#This Row],[FECHA NAC]])/365)</f>
        <v>29</v>
      </c>
      <c r="AQ245" s="244">
        <v>1</v>
      </c>
      <c r="AR245" s="244">
        <f ca="1">IF(BDD[[#This Row],[ANTIG]]=0,0,1)</f>
        <v>1</v>
      </c>
      <c r="AS245" s="244"/>
      <c r="AT245" s="244"/>
      <c r="AU245" s="244"/>
      <c r="AV245" s="244"/>
      <c r="AW245" s="244"/>
      <c r="AX245" s="244"/>
      <c r="AY245" s="244"/>
      <c r="AZ245" s="244">
        <f t="shared" ca="1" si="12"/>
        <v>46</v>
      </c>
    </row>
    <row r="246" spans="2:52" ht="15" customHeight="1" x14ac:dyDescent="0.25">
      <c r="B246" s="243">
        <v>393</v>
      </c>
      <c r="C246" s="259" t="s">
        <v>503</v>
      </c>
      <c r="D246" s="263">
        <v>10350</v>
      </c>
      <c r="E246" s="252">
        <f>(BDD[[#This Row],[SUE MENS]]/30)</f>
        <v>345</v>
      </c>
      <c r="F246" s="252">
        <f>BDD[[#This Row],[SUE MENS]]/2</f>
        <v>5175</v>
      </c>
      <c r="G246" s="319">
        <v>42559</v>
      </c>
      <c r="H246" s="243">
        <f ca="1">INT(_xlfn.DAYS(TODAY(),BDD[[#This Row],[FECHA ING.]])/365)</f>
        <v>6</v>
      </c>
      <c r="I246" s="251" t="str">
        <f>VLOOKUP(J246,TABLAS!$B$3:$G$49,2,FALSE)</f>
        <v>DIRECCIÓN</v>
      </c>
      <c r="J246" s="198" t="s">
        <v>745</v>
      </c>
      <c r="K246" s="251" t="s">
        <v>778</v>
      </c>
      <c r="L246" s="251" t="s">
        <v>763</v>
      </c>
      <c r="M246" s="251"/>
      <c r="N246" s="253" t="s">
        <v>2169</v>
      </c>
      <c r="O246" s="251" t="str">
        <f>IFERROR(VLOOKUP(BDD[[#This Row],[SUBDPTO]],TABLAS!$B$4:$D$36,3,0)," ")</f>
        <v>MARIANA RODRÍGUEZ GUTIERREZ</v>
      </c>
      <c r="P246" s="258">
        <v>41849</v>
      </c>
      <c r="Q246" s="254">
        <v>5956</v>
      </c>
      <c r="R246" s="255" t="s">
        <v>740</v>
      </c>
      <c r="S246" s="255" t="s">
        <v>745</v>
      </c>
      <c r="T246" s="251" t="s">
        <v>811</v>
      </c>
      <c r="U246" s="243">
        <f ca="1">VLOOKUP(BDD[[#This Row],[ANTIG]],DIASXANT18[#All],2)</f>
        <v>16</v>
      </c>
      <c r="V246" s="256">
        <f t="shared" si="15"/>
        <v>0.5</v>
      </c>
      <c r="W246" s="243">
        <f ca="1">BDD[[#This Row],[D.VAC.]]*BDD[[#This Row],[% P.V.]]</f>
        <v>8</v>
      </c>
      <c r="X246" s="243">
        <v>30</v>
      </c>
      <c r="Y246" s="257">
        <f ca="1">(365+BDD[[#This Row],[D.PAG.V.]]+BDD[[#This Row],[D.AG.]])/365</f>
        <v>1.1041095890410959</v>
      </c>
      <c r="Z246" s="243">
        <f ca="1">BDD[[#This Row],[SUE DIA]]*BDD[[#This Row],[FACTOR SDI]]</f>
        <v>380.91780821917808</v>
      </c>
      <c r="AA246" s="243">
        <f>BDD[[#This Row],[SUE DIA]]/9</f>
        <v>38.333333333333336</v>
      </c>
      <c r="AB246" s="251">
        <v>27771</v>
      </c>
      <c r="AC246" s="251" t="s">
        <v>1003</v>
      </c>
      <c r="AD246" s="251" t="s">
        <v>792</v>
      </c>
      <c r="AE246" s="260" t="e">
        <f>#REF!+321654</f>
        <v>#REF!</v>
      </c>
      <c r="AF246" s="251" t="s">
        <v>1387</v>
      </c>
      <c r="AG246" s="251" t="s">
        <v>776</v>
      </c>
      <c r="AH246" s="251" t="s">
        <v>1555</v>
      </c>
      <c r="AI246" s="243" t="s">
        <v>151</v>
      </c>
      <c r="AJ246" s="258" cm="1">
        <f t="array" aca="1" ref="AJ246" ca="1">DATE(YEAR(FECH.CONS[FECHA DE CONSULTA:]),MONTH(BDD[[#This Row],[FECHA NAC]]),DAY(BDD[[#This Row],[FECHA NAC]]))</f>
        <v>44573</v>
      </c>
      <c r="AK246" s="243"/>
      <c r="AL246" s="261" t="s">
        <v>311</v>
      </c>
      <c r="AM246" s="251" t="s">
        <v>1534</v>
      </c>
      <c r="AN246" s="251" t="s">
        <v>1551</v>
      </c>
      <c r="AO246" s="245">
        <v>79</v>
      </c>
      <c r="AP246" s="251">
        <f ca="1">INT((TODAY()-BDD[[#This Row],[FECHA NAC]])/365)</f>
        <v>46</v>
      </c>
      <c r="AQ246" s="251">
        <v>0</v>
      </c>
      <c r="AR246" s="251">
        <f ca="1">IF(BDD[[#This Row],[ANTIG]]=0,0,1)</f>
        <v>1</v>
      </c>
      <c r="AS246" s="251"/>
      <c r="AT246" s="251"/>
      <c r="AU246" s="251"/>
      <c r="AV246" s="251"/>
      <c r="AW246" s="251"/>
      <c r="AX246" s="251"/>
      <c r="AY246" s="251"/>
      <c r="AZ246" s="251">
        <f t="shared" ca="1" si="12"/>
        <v>536</v>
      </c>
    </row>
    <row r="247" spans="2:52" ht="15" customHeight="1" x14ac:dyDescent="0.25">
      <c r="B247" s="243">
        <v>394</v>
      </c>
      <c r="C247" s="251" t="s">
        <v>178</v>
      </c>
      <c r="D247" s="263">
        <v>7445</v>
      </c>
      <c r="E247" s="252">
        <f>(BDD[[#This Row],[SUE MENS]]/30)</f>
        <v>248.16666666666666</v>
      </c>
      <c r="F247" s="252">
        <f>BDD[[#This Row],[SUE MENS]]/2</f>
        <v>3722.5</v>
      </c>
      <c r="G247" s="320">
        <v>42588</v>
      </c>
      <c r="H247" s="243">
        <f ca="1">INT(_xlfn.DAYS(TODAY(),BDD[[#This Row],[FECHA ING.]])/365)</f>
        <v>5</v>
      </c>
      <c r="I247" s="251" t="str">
        <f>VLOOKUP(J247,TABLAS!$B$3:$G$49,2,FALSE)</f>
        <v>DIV ARQUIT</v>
      </c>
      <c r="J247" s="198" t="s">
        <v>740</v>
      </c>
      <c r="K247" s="251" t="s">
        <v>778</v>
      </c>
      <c r="L247" s="251" t="s">
        <v>763</v>
      </c>
      <c r="M247" s="251"/>
      <c r="N247" s="244" t="s">
        <v>1890</v>
      </c>
      <c r="O247" s="251" t="str">
        <f>IFERROR(VLOOKUP(BDD[[#This Row],[SUBDPTO]],TABLAS!$B$4:$D$36,3,0)," ")</f>
        <v>MÉRIDA ISELA MEDINA SALINAS</v>
      </c>
      <c r="P247" s="258">
        <v>43683</v>
      </c>
      <c r="Q247" s="254">
        <v>5422.4000000000005</v>
      </c>
      <c r="R247" s="255" t="s">
        <v>736</v>
      </c>
      <c r="S247" s="251"/>
      <c r="T247" s="251" t="s">
        <v>811</v>
      </c>
      <c r="U247" s="243">
        <f ca="1">VLOOKUP(BDD[[#This Row],[ANTIG]],DIASXANT18[#All],2)</f>
        <v>16</v>
      </c>
      <c r="V247" s="256">
        <f t="shared" si="15"/>
        <v>0.5</v>
      </c>
      <c r="W247" s="243">
        <f ca="1">BDD[[#This Row],[D.VAC.]]*BDD[[#This Row],[% P.V.]]</f>
        <v>8</v>
      </c>
      <c r="X247" s="243">
        <v>30</v>
      </c>
      <c r="Y247" s="257">
        <f ca="1">(365+BDD[[#This Row],[D.PAG.V.]]+BDD[[#This Row],[D.AG.]])/365</f>
        <v>1.1041095890410959</v>
      </c>
      <c r="Z247" s="243">
        <f ca="1">BDD[[#This Row],[SUE DIA]]*BDD[[#This Row],[FACTOR SDI]]</f>
        <v>274.00319634703197</v>
      </c>
      <c r="AA247" s="243">
        <f>BDD[[#This Row],[SUE DIA]]/9</f>
        <v>27.574074074074073</v>
      </c>
      <c r="AB247" s="251">
        <v>34915</v>
      </c>
      <c r="AC247" s="251" t="s">
        <v>964</v>
      </c>
      <c r="AD247" s="251" t="s">
        <v>793</v>
      </c>
      <c r="AE247" s="252">
        <v>8702692686</v>
      </c>
      <c r="AF247" s="251" t="s">
        <v>1189</v>
      </c>
      <c r="AG247" s="251" t="s">
        <v>773</v>
      </c>
      <c r="AH247" s="251" t="s">
        <v>730</v>
      </c>
      <c r="AI247" s="243" t="s">
        <v>151</v>
      </c>
      <c r="AJ247" s="258" cm="1">
        <f t="array" aca="1" ref="AJ247" ca="1">DATE(YEAR(FECH.CONS[FECHA DE CONSULTA:]),MONTH(BDD[[#This Row],[FECHA NAC]]),DAY(BDD[[#This Row],[FECHA NAC]]))</f>
        <v>44777</v>
      </c>
      <c r="AK247" s="243">
        <v>8</v>
      </c>
      <c r="AL247" s="261" t="s">
        <v>311</v>
      </c>
      <c r="AM247" s="251" t="s">
        <v>1543</v>
      </c>
      <c r="AN247" s="251" t="s">
        <v>1551</v>
      </c>
      <c r="AO247" s="245">
        <v>40</v>
      </c>
      <c r="AP247" s="251">
        <f ca="1">INT((TODAY()-BDD[[#This Row],[FECHA NAC]])/365)</f>
        <v>26</v>
      </c>
      <c r="AQ247" s="251">
        <v>0</v>
      </c>
      <c r="AR247" s="251">
        <f ca="1">IF(BDD[[#This Row],[ANTIG]]=0,0,1)</f>
        <v>1</v>
      </c>
      <c r="AS247" s="251"/>
      <c r="AT247" s="251"/>
      <c r="AU247" s="251"/>
      <c r="AV247" s="251"/>
      <c r="AW247" s="251"/>
      <c r="AX247" s="251"/>
      <c r="AY247" s="251"/>
      <c r="AZ247" s="251">
        <f t="shared" ca="1" si="12"/>
        <v>256</v>
      </c>
    </row>
    <row r="248" spans="2:52" ht="15" customHeight="1" x14ac:dyDescent="0.25">
      <c r="B248" s="243">
        <v>395</v>
      </c>
      <c r="C248" s="259" t="s">
        <v>628</v>
      </c>
      <c r="D248" s="252">
        <v>9450</v>
      </c>
      <c r="E248" s="252">
        <f>(BDD[[#This Row],[SUE MENS]]/30)</f>
        <v>315</v>
      </c>
      <c r="F248" s="252">
        <f>BDD[[#This Row],[SUE MENS]]/2</f>
        <v>4725</v>
      </c>
      <c r="G248" s="320">
        <v>42601</v>
      </c>
      <c r="H248" s="243">
        <f ca="1">INT(_xlfn.DAYS(TODAY(),BDD[[#This Row],[FECHA ING.]])/365)</f>
        <v>5</v>
      </c>
      <c r="I248" s="251" t="str">
        <f>VLOOKUP(J248,TABLAS!$B$3:$G$49,2,FALSE)</f>
        <v>TECNOLOGÍA</v>
      </c>
      <c r="J248" s="198" t="s">
        <v>750</v>
      </c>
      <c r="K248" s="251" t="s">
        <v>778</v>
      </c>
      <c r="L248" s="251" t="s">
        <v>763</v>
      </c>
      <c r="M248" s="251"/>
      <c r="N248" s="253" t="s">
        <v>1970</v>
      </c>
      <c r="O248" s="251" t="str">
        <f>IFERROR(VLOOKUP(BDD[[#This Row],[SUBDPTO]],TABLAS!$B$4:$D$36,3,0)," ")</f>
        <v>DENEB SANTIAGO ALTAIR VEGA</v>
      </c>
      <c r="P248" s="258">
        <v>42765</v>
      </c>
      <c r="Q248" s="254">
        <v>5088</v>
      </c>
      <c r="R248" s="255" t="s">
        <v>741</v>
      </c>
      <c r="S248" s="251"/>
      <c r="T248" s="251" t="s">
        <v>301</v>
      </c>
      <c r="U248" s="243">
        <f ca="1">VLOOKUP(BDD[[#This Row],[ANTIG]],DIASXANT18[#All],2)</f>
        <v>16</v>
      </c>
      <c r="V248" s="256">
        <f t="shared" si="15"/>
        <v>0.5</v>
      </c>
      <c r="W248" s="243">
        <f ca="1">BDD[[#This Row],[D.VAC.]]*BDD[[#This Row],[% P.V.]]</f>
        <v>8</v>
      </c>
      <c r="X248" s="243">
        <v>30</v>
      </c>
      <c r="Y248" s="257">
        <f ca="1">(365+BDD[[#This Row],[D.PAG.V.]]+BDD[[#This Row],[D.AG.]])/365</f>
        <v>1.1041095890410959</v>
      </c>
      <c r="Z248" s="243">
        <f ca="1">BDD[[#This Row],[SUE DIA]]*BDD[[#This Row],[FACTOR SDI]]</f>
        <v>347.79452054794518</v>
      </c>
      <c r="AA248" s="243">
        <f>BDD[[#This Row],[SUE DIA]]/9</f>
        <v>35</v>
      </c>
      <c r="AB248" s="251">
        <v>27373</v>
      </c>
      <c r="AC248" s="251" t="s">
        <v>1066</v>
      </c>
      <c r="AD248" s="251" t="s">
        <v>787</v>
      </c>
      <c r="AE248" s="260">
        <v>4318396230</v>
      </c>
      <c r="AF248" s="251" t="s">
        <v>1472</v>
      </c>
      <c r="AG248" s="251" t="s">
        <v>776</v>
      </c>
      <c r="AH248" s="251" t="s">
        <v>1555</v>
      </c>
      <c r="AI248" s="243" t="s">
        <v>151</v>
      </c>
      <c r="AJ248" s="258" cm="1">
        <f t="array" aca="1" ref="AJ248" ca="1">DATE(YEAR(FECH.CONS[FECHA DE CONSULTA:]),MONTH(BDD[[#This Row],[FECHA NAC]]),DAY(BDD[[#This Row],[FECHA NAC]]))</f>
        <v>44905</v>
      </c>
      <c r="AK248" s="243"/>
      <c r="AL248" s="261" t="s">
        <v>313</v>
      </c>
      <c r="AM248" s="251" t="s">
        <v>1547</v>
      </c>
      <c r="AN248" s="251" t="s">
        <v>1551</v>
      </c>
      <c r="AO248" s="245">
        <v>72</v>
      </c>
      <c r="AP248" s="251">
        <f ca="1">INT((TODAY()-BDD[[#This Row],[FECHA NAC]])/365)</f>
        <v>47</v>
      </c>
      <c r="AQ248" s="251">
        <v>0</v>
      </c>
      <c r="AR248" s="251">
        <f ca="1">IF(BDD[[#This Row],[ANTIG]]=0,0,1)</f>
        <v>1</v>
      </c>
      <c r="AS248" s="251"/>
      <c r="AT248" s="251"/>
      <c r="AU248" s="251"/>
      <c r="AV248" s="251"/>
      <c r="AW248" s="251"/>
      <c r="AX248" s="251"/>
      <c r="AY248" s="251"/>
      <c r="AZ248" s="251">
        <f t="shared" ca="1" si="12"/>
        <v>475</v>
      </c>
    </row>
    <row r="249" spans="2:52" ht="15" customHeight="1" x14ac:dyDescent="0.25">
      <c r="B249" s="243">
        <v>396</v>
      </c>
      <c r="C249" s="251" t="s">
        <v>251</v>
      </c>
      <c r="D249" s="252">
        <v>9450</v>
      </c>
      <c r="E249" s="252">
        <f>(BDD[[#This Row],[SUE MENS]]/30)</f>
        <v>315</v>
      </c>
      <c r="F249" s="252">
        <f>BDD[[#This Row],[SUE MENS]]/2</f>
        <v>4725</v>
      </c>
      <c r="G249" s="319">
        <v>42604</v>
      </c>
      <c r="H249" s="243">
        <f ca="1">INT(_xlfn.DAYS(TODAY(),BDD[[#This Row],[FECHA ING.]])/365)</f>
        <v>5</v>
      </c>
      <c r="I249" s="251" t="str">
        <f>VLOOKUP(J249,TABLAS!$B$3:$G$49,2,FALSE)</f>
        <v>DIRECCIÓN</v>
      </c>
      <c r="J249" s="198" t="s">
        <v>746</v>
      </c>
      <c r="K249" s="251" t="s">
        <v>778</v>
      </c>
      <c r="L249" s="251" t="s">
        <v>763</v>
      </c>
      <c r="M249" s="251"/>
      <c r="N249" s="244" t="s">
        <v>1967</v>
      </c>
      <c r="O249" s="251" t="str">
        <f>IFERROR(VLOOKUP(BDD[[#This Row],[SUBDPTO]],TABLAS!$B$4:$D$36,3,0)," ")</f>
        <v>MARIANA RODRÍGUEZ GUTIERREZ</v>
      </c>
      <c r="P249" s="258"/>
      <c r="Q249" s="264"/>
      <c r="R249" s="244"/>
      <c r="S249" s="251"/>
      <c r="T249" s="251" t="s">
        <v>811</v>
      </c>
      <c r="U249" s="243">
        <f ca="1">VLOOKUP(BDD[[#This Row],[ANTIG]],DIASXANT18[#All],2)</f>
        <v>16</v>
      </c>
      <c r="V249" s="256">
        <f t="shared" si="15"/>
        <v>0.5</v>
      </c>
      <c r="W249" s="243">
        <f ca="1">BDD[[#This Row],[D.VAC.]]*BDD[[#This Row],[% P.V.]]</f>
        <v>8</v>
      </c>
      <c r="X249" s="243">
        <v>30</v>
      </c>
      <c r="Y249" s="257">
        <f ca="1">(365+BDD[[#This Row],[D.PAG.V.]]+BDD[[#This Row],[D.AG.]])/365</f>
        <v>1.1041095890410959</v>
      </c>
      <c r="Z249" s="243">
        <f ca="1">BDD[[#This Row],[SUE DIA]]*BDD[[#This Row],[FACTOR SDI]]</f>
        <v>347.79452054794518</v>
      </c>
      <c r="AA249" s="243">
        <f>BDD[[#This Row],[SUE DIA]]/9</f>
        <v>35</v>
      </c>
      <c r="AB249" s="251">
        <v>33051</v>
      </c>
      <c r="AC249" s="251" t="s">
        <v>978</v>
      </c>
      <c r="AD249" s="251" t="s">
        <v>787</v>
      </c>
      <c r="AE249" s="252">
        <v>8671135008</v>
      </c>
      <c r="AF249" s="251" t="s">
        <v>1279</v>
      </c>
      <c r="AG249" s="251" t="s">
        <v>776</v>
      </c>
      <c r="AH249" s="251" t="s">
        <v>1555</v>
      </c>
      <c r="AI249" s="243" t="s">
        <v>151</v>
      </c>
      <c r="AJ249" s="258" cm="1">
        <f t="array" aca="1" ref="AJ249" ca="1">DATE(YEAR(FECH.CONS[FECHA DE CONSULTA:]),MONTH(BDD[[#This Row],[FECHA NAC]]),DAY(BDD[[#This Row],[FECHA NAC]]))</f>
        <v>44739</v>
      </c>
      <c r="AK249" s="243"/>
      <c r="AL249" s="261" t="s">
        <v>312</v>
      </c>
      <c r="AM249" s="251" t="s">
        <v>1534</v>
      </c>
      <c r="AN249" s="251" t="s">
        <v>1551</v>
      </c>
      <c r="AO249" s="245">
        <v>77</v>
      </c>
      <c r="AP249" s="251">
        <f ca="1">INT((TODAY()-BDD[[#This Row],[FECHA NAC]])/365)</f>
        <v>32</v>
      </c>
      <c r="AQ249" s="251">
        <v>0</v>
      </c>
      <c r="AR249" s="251">
        <f ca="1">IF(BDD[[#This Row],[ANTIG]]=0,0,1)</f>
        <v>1</v>
      </c>
      <c r="AS249" s="251"/>
      <c r="AT249" s="251"/>
      <c r="AU249" s="251"/>
      <c r="AV249" s="251"/>
      <c r="AW249" s="251"/>
      <c r="AX249" s="251"/>
      <c r="AY249" s="251"/>
      <c r="AZ249" s="251">
        <f t="shared" ca="1" si="12"/>
        <v>253</v>
      </c>
    </row>
    <row r="250" spans="2:52" ht="15" customHeight="1" x14ac:dyDescent="0.25">
      <c r="B250" s="243">
        <v>397</v>
      </c>
      <c r="C250" s="259" t="s">
        <v>496</v>
      </c>
      <c r="D250" s="252">
        <v>9541</v>
      </c>
      <c r="E250" s="252">
        <f>(BDD[[#This Row],[SUE MENS]]/30)</f>
        <v>318.03333333333336</v>
      </c>
      <c r="F250" s="252">
        <f>BDD[[#This Row],[SUE MENS]]/2</f>
        <v>4770.5</v>
      </c>
      <c r="G250" s="320">
        <v>42643</v>
      </c>
      <c r="H250" s="243">
        <f ca="1">INT(_xlfn.DAYS(TODAY(),BDD[[#This Row],[FECHA ING.]])/365)</f>
        <v>5</v>
      </c>
      <c r="I250" s="251" t="str">
        <f>VLOOKUP(J250,TABLAS!$B$3:$G$49,2,FALSE)</f>
        <v>DIRECCIÓN</v>
      </c>
      <c r="J250" s="198" t="s">
        <v>745</v>
      </c>
      <c r="K250" s="251" t="s">
        <v>778</v>
      </c>
      <c r="L250" s="251" t="s">
        <v>763</v>
      </c>
      <c r="M250" s="251"/>
      <c r="N250" s="244" t="s">
        <v>2017</v>
      </c>
      <c r="O250" s="251" t="str">
        <f>IFERROR(VLOOKUP(BDD[[#This Row],[SUBDPTO]],TABLAS!$B$4:$D$36,3,0)," ")</f>
        <v>MARIANA RODRÍGUEZ GUTIERREZ</v>
      </c>
      <c r="P250" s="258">
        <v>43475</v>
      </c>
      <c r="Q250" s="254">
        <v>7632</v>
      </c>
      <c r="R250" s="255" t="s">
        <v>742</v>
      </c>
      <c r="S250" s="251"/>
      <c r="T250" s="251" t="s">
        <v>301</v>
      </c>
      <c r="U250" s="243">
        <f ca="1">VLOOKUP(BDD[[#This Row],[ANTIG]],DIASXANT18[#All],2)</f>
        <v>16</v>
      </c>
      <c r="V250" s="256">
        <f t="shared" si="15"/>
        <v>0.5</v>
      </c>
      <c r="W250" s="243">
        <f ca="1">BDD[[#This Row],[D.VAC.]]*BDD[[#This Row],[% P.V.]]</f>
        <v>8</v>
      </c>
      <c r="X250" s="243">
        <v>30</v>
      </c>
      <c r="Y250" s="257">
        <f ca="1">(365+BDD[[#This Row],[D.PAG.V.]]+BDD[[#This Row],[D.AG.]])/365</f>
        <v>1.1041095890410959</v>
      </c>
      <c r="Z250" s="243">
        <f ca="1">BDD[[#This Row],[SUE DIA]]*BDD[[#This Row],[FACTOR SDI]]</f>
        <v>351.14365296803658</v>
      </c>
      <c r="AA250" s="243">
        <f>BDD[[#This Row],[SUE DIA]]/9</f>
        <v>35.337037037037042</v>
      </c>
      <c r="AB250" s="251">
        <v>34973</v>
      </c>
      <c r="AC250" s="251" t="s">
        <v>992</v>
      </c>
      <c r="AD250" s="251" t="s">
        <v>789</v>
      </c>
      <c r="AE250" s="260">
        <v>9995687412</v>
      </c>
      <c r="AF250" s="251" t="s">
        <v>1382</v>
      </c>
      <c r="AG250" s="251" t="s">
        <v>774</v>
      </c>
      <c r="AH250" s="251" t="s">
        <v>730</v>
      </c>
      <c r="AI250" s="243" t="s">
        <v>151</v>
      </c>
      <c r="AJ250" s="258" cm="1">
        <f t="array" aca="1" ref="AJ250" ca="1">DATE(YEAR(FECH.CONS[FECHA DE CONSULTA:]),MONTH(BDD[[#This Row],[FECHA NAC]]),DAY(BDD[[#This Row],[FECHA NAC]]))</f>
        <v>44835</v>
      </c>
      <c r="AK250" s="243">
        <v>6</v>
      </c>
      <c r="AL250" s="261" t="s">
        <v>311</v>
      </c>
      <c r="AM250" s="251" t="s">
        <v>1540</v>
      </c>
      <c r="AN250" s="251" t="s">
        <v>1551</v>
      </c>
      <c r="AO250" s="245">
        <v>44</v>
      </c>
      <c r="AP250" s="251">
        <f ca="1">INT((TODAY()-BDD[[#This Row],[FECHA NAC]])/365)</f>
        <v>26</v>
      </c>
      <c r="AQ250" s="251">
        <v>3</v>
      </c>
      <c r="AR250" s="251">
        <f ca="1">IF(BDD[[#This Row],[ANTIG]]=0,0,1)</f>
        <v>1</v>
      </c>
      <c r="AS250" s="251"/>
      <c r="AT250" s="251"/>
      <c r="AU250" s="251"/>
      <c r="AV250" s="251"/>
      <c r="AW250" s="251"/>
      <c r="AX250" s="251"/>
      <c r="AY250" s="251"/>
      <c r="AZ250" s="251">
        <f t="shared" ca="1" si="12"/>
        <v>724</v>
      </c>
    </row>
    <row r="251" spans="2:52" ht="15" customHeight="1" x14ac:dyDescent="0.25">
      <c r="B251" s="243">
        <v>398</v>
      </c>
      <c r="C251" s="259" t="s">
        <v>717</v>
      </c>
      <c r="D251" s="263">
        <v>7445</v>
      </c>
      <c r="E251" s="252">
        <f>(BDD[[#This Row],[SUE MENS]]/30)</f>
        <v>248.16666666666666</v>
      </c>
      <c r="F251" s="252">
        <f>BDD[[#This Row],[SUE MENS]]/2</f>
        <v>3722.5</v>
      </c>
      <c r="G251" s="319">
        <v>42644</v>
      </c>
      <c r="H251" s="243">
        <f ca="1">INT(_xlfn.DAYS(TODAY(),BDD[[#This Row],[FECHA ING.]])/365)</f>
        <v>5</v>
      </c>
      <c r="I251" s="251" t="str">
        <f>VLOOKUP(J251,TABLAS!$B$3:$G$49,2,FALSE)</f>
        <v>DIV INGENRIA</v>
      </c>
      <c r="J251" s="198" t="s">
        <v>743</v>
      </c>
      <c r="K251" s="251" t="s">
        <v>778</v>
      </c>
      <c r="L251" s="251" t="s">
        <v>763</v>
      </c>
      <c r="M251" s="251"/>
      <c r="N251" s="244" t="s">
        <v>2168</v>
      </c>
      <c r="O251" s="251" t="str">
        <f>IFERROR(VLOOKUP(BDD[[#This Row],[SUBDPTO]],TABLAS!$B$4:$D$36,3,0)," ")</f>
        <v>DIEGO HERRERA GIRÓN</v>
      </c>
      <c r="P251" s="258"/>
      <c r="Q251" s="264"/>
      <c r="R251" s="244"/>
      <c r="S251" s="251"/>
      <c r="T251" s="251" t="s">
        <v>811</v>
      </c>
      <c r="U251" s="243">
        <f ca="1">VLOOKUP(BDD[[#This Row],[ANTIG]],DIASXANT18[#All],2)</f>
        <v>16</v>
      </c>
      <c r="V251" s="256">
        <f t="shared" si="15"/>
        <v>0.5</v>
      </c>
      <c r="W251" s="243">
        <f ca="1">BDD[[#This Row],[D.VAC.]]*BDD[[#This Row],[% P.V.]]</f>
        <v>8</v>
      </c>
      <c r="X251" s="243">
        <v>30</v>
      </c>
      <c r="Y251" s="257">
        <f ca="1">(365+BDD[[#This Row],[D.PAG.V.]]+BDD[[#This Row],[D.AG.]])/365</f>
        <v>1.1041095890410959</v>
      </c>
      <c r="Z251" s="243">
        <f ca="1">BDD[[#This Row],[SUE DIA]]*BDD[[#This Row],[FACTOR SDI]]</f>
        <v>274.00319634703197</v>
      </c>
      <c r="AA251" s="243">
        <f>BDD[[#This Row],[SUE DIA]]/9</f>
        <v>27.574074074074073</v>
      </c>
      <c r="AB251" s="251">
        <v>25683</v>
      </c>
      <c r="AC251" s="251" t="s">
        <v>980</v>
      </c>
      <c r="AD251" s="251" t="s">
        <v>790</v>
      </c>
      <c r="AE251" s="260">
        <v>5609792149</v>
      </c>
      <c r="AF251" s="251" t="s">
        <v>1528</v>
      </c>
      <c r="AG251" s="251" t="s">
        <v>774</v>
      </c>
      <c r="AH251" s="251" t="s">
        <v>727</v>
      </c>
      <c r="AI251" s="243" t="s">
        <v>151</v>
      </c>
      <c r="AJ251" s="258" cm="1">
        <f t="array" aca="1" ref="AJ251" ca="1">DATE(YEAR(FECH.CONS[FECHA DE CONSULTA:]),MONTH(BDD[[#This Row],[FECHA NAC]]),DAY(BDD[[#This Row],[FECHA NAC]]))</f>
        <v>44676</v>
      </c>
      <c r="AK251" s="243"/>
      <c r="AL251" s="261" t="s">
        <v>311</v>
      </c>
      <c r="AM251" s="251" t="s">
        <v>1538</v>
      </c>
      <c r="AN251" s="251" t="s">
        <v>1553</v>
      </c>
      <c r="AO251" s="245">
        <v>77</v>
      </c>
      <c r="AP251" s="251">
        <f ca="1">INT((TODAY()-BDD[[#This Row],[FECHA NAC]])/365)</f>
        <v>52</v>
      </c>
      <c r="AQ251" s="251">
        <v>1</v>
      </c>
      <c r="AR251" s="251">
        <f ca="1">IF(BDD[[#This Row],[ANTIG]]=0,0,1)</f>
        <v>1</v>
      </c>
      <c r="AS251" s="251"/>
      <c r="AT251" s="251"/>
      <c r="AU251" s="251"/>
      <c r="AV251" s="251"/>
      <c r="AW251" s="251"/>
      <c r="AX251" s="251"/>
      <c r="AY251" s="251"/>
      <c r="AZ251" s="251">
        <f t="shared" ca="1" si="12"/>
        <v>689</v>
      </c>
    </row>
    <row r="252" spans="2:52" ht="15" customHeight="1" x14ac:dyDescent="0.25">
      <c r="B252" s="243">
        <v>399</v>
      </c>
      <c r="C252" s="251" t="s">
        <v>441</v>
      </c>
      <c r="D252" s="263">
        <v>7445</v>
      </c>
      <c r="E252" s="252">
        <f>(BDD[[#This Row],[SUE MENS]]/30)</f>
        <v>248.16666666666666</v>
      </c>
      <c r="F252" s="252">
        <f>BDD[[#This Row],[SUE MENS]]/2</f>
        <v>3722.5</v>
      </c>
      <c r="G252" s="319">
        <v>42646</v>
      </c>
      <c r="H252" s="243">
        <f ca="1">INT(_xlfn.DAYS(TODAY(),BDD[[#This Row],[FECHA ING.]])/365)</f>
        <v>5</v>
      </c>
      <c r="I252" s="251" t="str">
        <f>VLOOKUP(J252,TABLAS!$B$3:$G$49,2,FALSE)</f>
        <v>DIV INGENRIA</v>
      </c>
      <c r="J252" s="198" t="s">
        <v>744</v>
      </c>
      <c r="K252" s="251" t="s">
        <v>778</v>
      </c>
      <c r="L252" s="251" t="s">
        <v>763</v>
      </c>
      <c r="M252" s="251"/>
      <c r="N252" s="253" t="s">
        <v>1852</v>
      </c>
      <c r="O252" s="251" t="str">
        <f>IFERROR(VLOOKUP(BDD[[#This Row],[SUBDPTO]],TABLAS!$B$4:$D$36,3,0)," ")</f>
        <v>DIEGO HERRERA GIRÓN</v>
      </c>
      <c r="P252" s="258"/>
      <c r="Q252" s="264"/>
      <c r="R252" s="244"/>
      <c r="S252" s="251"/>
      <c r="T252" s="251" t="s">
        <v>811</v>
      </c>
      <c r="U252" s="243">
        <f ca="1">VLOOKUP(BDD[[#This Row],[ANTIG]],DIASXANT18[#All],2)</f>
        <v>16</v>
      </c>
      <c r="V252" s="256">
        <f t="shared" si="15"/>
        <v>0.5</v>
      </c>
      <c r="W252" s="243">
        <f ca="1">BDD[[#This Row],[D.VAC.]]*BDD[[#This Row],[% P.V.]]</f>
        <v>8</v>
      </c>
      <c r="X252" s="243">
        <v>30</v>
      </c>
      <c r="Y252" s="257">
        <f ca="1">(365+BDD[[#This Row],[D.PAG.V.]]+BDD[[#This Row],[D.AG.]])/365</f>
        <v>1.1041095890410959</v>
      </c>
      <c r="Z252" s="243">
        <f ca="1">BDD[[#This Row],[SUE DIA]]*BDD[[#This Row],[FACTOR SDI]]</f>
        <v>274.00319634703197</v>
      </c>
      <c r="AA252" s="243">
        <f>BDD[[#This Row],[SUE DIA]]/9</f>
        <v>27.574074074074073</v>
      </c>
      <c r="AB252" s="251">
        <v>35998</v>
      </c>
      <c r="AC252" s="251" t="s">
        <v>874</v>
      </c>
      <c r="AD252" s="251" t="s">
        <v>790</v>
      </c>
      <c r="AE252" s="252">
        <v>9874384138</v>
      </c>
      <c r="AF252" s="251" t="s">
        <v>1262</v>
      </c>
      <c r="AG252" s="251" t="s">
        <v>776</v>
      </c>
      <c r="AH252" s="251" t="s">
        <v>1555</v>
      </c>
      <c r="AI252" s="243" t="s">
        <v>153</v>
      </c>
      <c r="AJ252" s="258" cm="1">
        <f t="array" aca="1" ref="AJ252" ca="1">DATE(YEAR(FECH.CONS[FECHA DE CONSULTA:]),MONTH(BDD[[#This Row],[FECHA NAC]]),DAY(BDD[[#This Row],[FECHA NAC]]))</f>
        <v>44764</v>
      </c>
      <c r="AK252" s="243"/>
      <c r="AL252" s="261" t="s">
        <v>311</v>
      </c>
      <c r="AM252" s="251" t="s">
        <v>1549</v>
      </c>
      <c r="AN252" s="251" t="s">
        <v>1551</v>
      </c>
      <c r="AO252" s="245">
        <v>95</v>
      </c>
      <c r="AP252" s="251">
        <f ca="1">INT((TODAY()-BDD[[#This Row],[FECHA NAC]])/365)</f>
        <v>24</v>
      </c>
      <c r="AQ252" s="251">
        <v>2</v>
      </c>
      <c r="AR252" s="251">
        <f ca="1">IF(BDD[[#This Row],[ANTIG]]=0,0,1)</f>
        <v>1</v>
      </c>
      <c r="AS252" s="251"/>
      <c r="AT252" s="251"/>
      <c r="AU252" s="251"/>
      <c r="AV252" s="251"/>
      <c r="AW252" s="251"/>
      <c r="AX252" s="251"/>
      <c r="AY252" s="251"/>
      <c r="AZ252" s="251">
        <f t="shared" ca="1" si="12"/>
        <v>34</v>
      </c>
    </row>
    <row r="253" spans="2:52" ht="15" customHeight="1" x14ac:dyDescent="0.25">
      <c r="B253" s="243">
        <v>401</v>
      </c>
      <c r="C253" s="259" t="s">
        <v>658</v>
      </c>
      <c r="D253" s="263">
        <v>7445</v>
      </c>
      <c r="E253" s="252">
        <f>(BDD[[#This Row],[SUE MENS]]/30)</f>
        <v>248.16666666666666</v>
      </c>
      <c r="F253" s="252">
        <f>BDD[[#This Row],[SUE MENS]]/2</f>
        <v>3722.5</v>
      </c>
      <c r="G253" s="319">
        <v>42660</v>
      </c>
      <c r="H253" s="243">
        <f ca="1">INT(_xlfn.DAYS(TODAY(),BDD[[#This Row],[FECHA ING.]])/365)</f>
        <v>5</v>
      </c>
      <c r="I253" s="251" t="str">
        <f>VLOOKUP(J253,TABLAS!$B$3:$G$49,2,FALSE)</f>
        <v>DIV INGENRIA</v>
      </c>
      <c r="J253" s="198" t="s">
        <v>744</v>
      </c>
      <c r="K253" s="251" t="s">
        <v>778</v>
      </c>
      <c r="L253" s="251" t="s">
        <v>763</v>
      </c>
      <c r="M253" s="251"/>
      <c r="N253" s="244" t="s">
        <v>2018</v>
      </c>
      <c r="O253" s="251" t="str">
        <f>IFERROR(VLOOKUP(BDD[[#This Row],[SUBDPTO]],TABLAS!$B$4:$D$36,3,0)," ")</f>
        <v>DIEGO HERRERA GIRÓN</v>
      </c>
      <c r="P253" s="258"/>
      <c r="Q253" s="264"/>
      <c r="R253" s="244"/>
      <c r="S253" s="251"/>
      <c r="T253" s="251" t="s">
        <v>811</v>
      </c>
      <c r="U253" s="243">
        <f ca="1">VLOOKUP(BDD[[#This Row],[ANTIG]],DIASXANT18[#All],2)</f>
        <v>16</v>
      </c>
      <c r="V253" s="256">
        <f t="shared" si="15"/>
        <v>0.5</v>
      </c>
      <c r="W253" s="243">
        <f ca="1">BDD[[#This Row],[D.VAC.]]*BDD[[#This Row],[% P.V.]]</f>
        <v>8</v>
      </c>
      <c r="X253" s="243">
        <v>30</v>
      </c>
      <c r="Y253" s="257">
        <f ca="1">(365+BDD[[#This Row],[D.PAG.V.]]+BDD[[#This Row],[D.AG.]])/365</f>
        <v>1.1041095890410959</v>
      </c>
      <c r="Z253" s="243">
        <f ca="1">BDD[[#This Row],[SUE DIA]]*BDD[[#This Row],[FACTOR SDI]]</f>
        <v>274.00319634703197</v>
      </c>
      <c r="AA253" s="243">
        <f>BDD[[#This Row],[SUE DIA]]/9</f>
        <v>27.574074074074073</v>
      </c>
      <c r="AB253" s="251">
        <v>31286</v>
      </c>
      <c r="AC253" s="251" t="s">
        <v>1073</v>
      </c>
      <c r="AD253" s="251" t="s">
        <v>786</v>
      </c>
      <c r="AE253" s="260">
        <v>6716444517</v>
      </c>
      <c r="AF253" s="251" t="s">
        <v>1493</v>
      </c>
      <c r="AG253" s="251" t="s">
        <v>776</v>
      </c>
      <c r="AH253" s="251" t="s">
        <v>1555</v>
      </c>
      <c r="AI253" s="243" t="s">
        <v>153</v>
      </c>
      <c r="AJ253" s="258" cm="1">
        <f t="array" aca="1" ref="AJ253" ca="1">DATE(YEAR(FECH.CONS[FECHA DE CONSULTA:]),MONTH(BDD[[#This Row],[FECHA NAC]]),DAY(BDD[[#This Row],[FECHA NAC]]))</f>
        <v>44800</v>
      </c>
      <c r="AK253" s="243">
        <v>5</v>
      </c>
      <c r="AL253" s="261" t="s">
        <v>311</v>
      </c>
      <c r="AM253" s="251" t="s">
        <v>1538</v>
      </c>
      <c r="AN253" s="251" t="s">
        <v>1551</v>
      </c>
      <c r="AO253" s="245">
        <v>73</v>
      </c>
      <c r="AP253" s="251">
        <f ca="1">INT((TODAY()-BDD[[#This Row],[FECHA NAC]])/365)</f>
        <v>36</v>
      </c>
      <c r="AQ253" s="251">
        <v>0</v>
      </c>
      <c r="AR253" s="251">
        <f ca="1">IF(BDD[[#This Row],[ANTIG]]=0,0,1)</f>
        <v>1</v>
      </c>
      <c r="AS253" s="251"/>
      <c r="AT253" s="251"/>
      <c r="AU253" s="251"/>
      <c r="AV253" s="251"/>
      <c r="AW253" s="251"/>
      <c r="AX253" s="251"/>
      <c r="AY253" s="251"/>
      <c r="AZ253" s="251">
        <f t="shared" ca="1" si="12"/>
        <v>192</v>
      </c>
    </row>
    <row r="254" spans="2:52" ht="15" customHeight="1" x14ac:dyDescent="0.25">
      <c r="B254" s="243">
        <v>402</v>
      </c>
      <c r="C254" s="251" t="s">
        <v>1626</v>
      </c>
      <c r="D254" s="252">
        <v>9541</v>
      </c>
      <c r="E254" s="252">
        <f>(BDD[[#This Row],[SUE MENS]]/30)</f>
        <v>318.03333333333336</v>
      </c>
      <c r="F254" s="252">
        <f>BDD[[#This Row],[SUE MENS]]/2</f>
        <v>4770.5</v>
      </c>
      <c r="G254" s="319">
        <v>42665</v>
      </c>
      <c r="H254" s="243">
        <f ca="1">INT(_xlfn.DAYS(TODAY(),BDD[[#This Row],[FECHA ING.]])/365)</f>
        <v>5</v>
      </c>
      <c r="I254" s="251" t="str">
        <f>VLOOKUP(J254,TABLAS!$B$3:$G$49,2,FALSE)</f>
        <v>DIV INGENRIA</v>
      </c>
      <c r="J254" s="198" t="s">
        <v>756</v>
      </c>
      <c r="K254" s="251" t="s">
        <v>778</v>
      </c>
      <c r="L254" s="251" t="s">
        <v>763</v>
      </c>
      <c r="M254" s="251"/>
      <c r="N254" s="277" t="s">
        <v>2002</v>
      </c>
      <c r="O254" s="251" t="str">
        <f>IFERROR(VLOOKUP(BDD[[#This Row],[SUBDPTO]],TABLAS!$B$4:$D$36,3,0)," ")</f>
        <v>DIEGO HERRERA GIRÓN</v>
      </c>
      <c r="P254" s="258">
        <v>43039</v>
      </c>
      <c r="Q254" s="254">
        <v>5422.4000000000005</v>
      </c>
      <c r="R254" s="255" t="s">
        <v>759</v>
      </c>
      <c r="S254" s="251"/>
      <c r="T254" s="251" t="s">
        <v>811</v>
      </c>
      <c r="U254" s="243">
        <f ca="1">VLOOKUP(BDD[[#This Row],[ANTIG]],DIASXANT18[#All],2)</f>
        <v>16</v>
      </c>
      <c r="V254" s="256">
        <f t="shared" si="15"/>
        <v>0.5</v>
      </c>
      <c r="W254" s="243">
        <f ca="1">BDD[[#This Row],[D.VAC.]]*BDD[[#This Row],[% P.V.]]</f>
        <v>8</v>
      </c>
      <c r="X254" s="243">
        <v>30</v>
      </c>
      <c r="Y254" s="257">
        <f ca="1">(365+BDD[[#This Row],[D.PAG.V.]]+BDD[[#This Row],[D.AG.]])/365</f>
        <v>1.1041095890410959</v>
      </c>
      <c r="Z254" s="243">
        <f ca="1">BDD[[#This Row],[SUE DIA]]*BDD[[#This Row],[FACTOR SDI]]</f>
        <v>351.14365296803658</v>
      </c>
      <c r="AA254" s="243">
        <f>BDD[[#This Row],[SUE DIA]]/9</f>
        <v>35.337037037037042</v>
      </c>
      <c r="AB254" s="251">
        <v>31683</v>
      </c>
      <c r="AC254" s="251" t="s">
        <v>989</v>
      </c>
      <c r="AD254" s="251" t="s">
        <v>810</v>
      </c>
      <c r="AE254" s="252">
        <v>8866160910</v>
      </c>
      <c r="AF254" s="251" t="s">
        <v>1233</v>
      </c>
      <c r="AG254" s="251" t="s">
        <v>776</v>
      </c>
      <c r="AH254" s="251" t="s">
        <v>730</v>
      </c>
      <c r="AI254" s="243" t="s">
        <v>152</v>
      </c>
      <c r="AJ254" s="258" cm="1">
        <f t="array" aca="1" ref="AJ254" ca="1">DATE(YEAR(FECH.CONS[FECHA DE CONSULTA:]),MONTH(BDD[[#This Row],[FECHA NAC]]),DAY(BDD[[#This Row],[FECHA NAC]]))</f>
        <v>44832</v>
      </c>
      <c r="AK254" s="243">
        <v>7</v>
      </c>
      <c r="AL254" s="261" t="s">
        <v>311</v>
      </c>
      <c r="AM254" s="251" t="s">
        <v>1538</v>
      </c>
      <c r="AN254" s="251" t="s">
        <v>1551</v>
      </c>
      <c r="AO254" s="245">
        <v>100</v>
      </c>
      <c r="AP254" s="251">
        <f ca="1">INT((TODAY()-BDD[[#This Row],[FECHA NAC]])/365)</f>
        <v>35</v>
      </c>
      <c r="AQ254" s="251">
        <v>1</v>
      </c>
      <c r="AR254" s="251">
        <f ca="1">IF(BDD[[#This Row],[ANTIG]]=0,0,1)</f>
        <v>1</v>
      </c>
      <c r="AS254" s="251"/>
      <c r="AT254" s="251"/>
      <c r="AU254" s="251"/>
      <c r="AV254" s="251"/>
      <c r="AW254" s="251"/>
      <c r="AX254" s="251"/>
      <c r="AY254" s="251"/>
      <c r="AZ254" s="251">
        <f t="shared" ca="1" si="12"/>
        <v>267</v>
      </c>
    </row>
    <row r="255" spans="2:52" ht="15" customHeight="1" x14ac:dyDescent="0.25">
      <c r="B255" s="243">
        <v>403</v>
      </c>
      <c r="C255" s="259" t="s">
        <v>581</v>
      </c>
      <c r="D255" s="252">
        <v>7950</v>
      </c>
      <c r="E255" s="252">
        <f>(BDD[[#This Row],[SUE MENS]]/30)</f>
        <v>265</v>
      </c>
      <c r="F255" s="252">
        <f>BDD[[#This Row],[SUE MENS]]/2</f>
        <v>3975</v>
      </c>
      <c r="G255" s="319">
        <v>42694</v>
      </c>
      <c r="H255" s="243">
        <f ca="1">INT(_xlfn.DAYS(TODAY(),BDD[[#This Row],[FECHA ING.]])/365)</f>
        <v>5</v>
      </c>
      <c r="I255" s="251" t="str">
        <f>VLOOKUP(J255,TABLAS!$B$3:$G$49,2,FALSE)</f>
        <v>FINANZAS</v>
      </c>
      <c r="J255" s="198" t="s">
        <v>747</v>
      </c>
      <c r="K255" s="251" t="s">
        <v>778</v>
      </c>
      <c r="L255" s="251" t="s">
        <v>763</v>
      </c>
      <c r="M255" s="251"/>
      <c r="N255" s="244" t="s">
        <v>2190</v>
      </c>
      <c r="O255" s="251" t="str">
        <f>IFERROR(VLOOKUP(BDD[[#This Row],[SUBDPTO]],TABLAS!$B$4:$D$36,3,0)," ")</f>
        <v>MARIANO ALDEBARÁN</v>
      </c>
      <c r="P255" s="258"/>
      <c r="Q255" s="264"/>
      <c r="R255" s="244"/>
      <c r="S255" s="251"/>
      <c r="T255" s="251" t="s">
        <v>811</v>
      </c>
      <c r="U255" s="243">
        <f ca="1">VLOOKUP(BDD[[#This Row],[ANTIG]],DIASXANT18[#All],2)</f>
        <v>16</v>
      </c>
      <c r="V255" s="256">
        <f t="shared" si="15"/>
        <v>0.5</v>
      </c>
      <c r="W255" s="243">
        <f ca="1">BDD[[#This Row],[D.VAC.]]*BDD[[#This Row],[% P.V.]]</f>
        <v>8</v>
      </c>
      <c r="X255" s="243">
        <v>30</v>
      </c>
      <c r="Y255" s="257">
        <f ca="1">(365+BDD[[#This Row],[D.PAG.V.]]+BDD[[#This Row],[D.AG.]])/365</f>
        <v>1.1041095890410959</v>
      </c>
      <c r="Z255" s="243">
        <f ca="1">BDD[[#This Row],[SUE DIA]]*BDD[[#This Row],[FACTOR SDI]]</f>
        <v>292.58904109589042</v>
      </c>
      <c r="AA255" s="243">
        <f>BDD[[#This Row],[SUE DIA]]/9</f>
        <v>29.444444444444443</v>
      </c>
      <c r="AB255" s="251">
        <v>31638</v>
      </c>
      <c r="AC255" s="251" t="s">
        <v>997</v>
      </c>
      <c r="AD255" s="251" t="s">
        <v>792</v>
      </c>
      <c r="AE255" s="260">
        <v>8990182882</v>
      </c>
      <c r="AF255" s="251" t="s">
        <v>1440</v>
      </c>
      <c r="AG255" s="251" t="s">
        <v>776</v>
      </c>
      <c r="AH255" s="251" t="s">
        <v>730</v>
      </c>
      <c r="AI255" s="243" t="s">
        <v>151</v>
      </c>
      <c r="AJ255" s="258" cm="1">
        <f t="array" aca="1" ref="AJ255" ca="1">DATE(YEAR(FECH.CONS[FECHA DE CONSULTA:]),MONTH(BDD[[#This Row],[FECHA NAC]]),DAY(BDD[[#This Row],[FECHA NAC]]))</f>
        <v>44787</v>
      </c>
      <c r="AK255" s="243">
        <v>10</v>
      </c>
      <c r="AL255" s="261" t="s">
        <v>311</v>
      </c>
      <c r="AM255" s="251" t="s">
        <v>1545</v>
      </c>
      <c r="AN255" s="251" t="s">
        <v>1551</v>
      </c>
      <c r="AO255" s="245">
        <v>86</v>
      </c>
      <c r="AP255" s="251">
        <f ca="1">INT((TODAY()-BDD[[#This Row],[FECHA NAC]])/365)</f>
        <v>35</v>
      </c>
      <c r="AQ255" s="251">
        <v>1</v>
      </c>
      <c r="AR255" s="251">
        <f ca="1">IF(BDD[[#This Row],[ANTIG]]=0,0,1)</f>
        <v>1</v>
      </c>
      <c r="AS255" s="251"/>
      <c r="AT255" s="251"/>
      <c r="AU255" s="251"/>
      <c r="AV255" s="251"/>
      <c r="AW255" s="251"/>
      <c r="AX255" s="251"/>
      <c r="AY255" s="251"/>
      <c r="AZ255" s="251">
        <f t="shared" ca="1" si="12"/>
        <v>97</v>
      </c>
    </row>
    <row r="256" spans="2:52" ht="15" customHeight="1" x14ac:dyDescent="0.25">
      <c r="B256" s="243">
        <v>404</v>
      </c>
      <c r="C256" s="251" t="s">
        <v>232</v>
      </c>
      <c r="D256" s="252">
        <v>9450</v>
      </c>
      <c r="E256" s="252">
        <f>(BDD[[#This Row],[SUE MENS]]/30)</f>
        <v>315</v>
      </c>
      <c r="F256" s="252">
        <f>BDD[[#This Row],[SUE MENS]]/2</f>
        <v>4725</v>
      </c>
      <c r="G256" s="319">
        <v>42698</v>
      </c>
      <c r="H256" s="243">
        <f ca="1">INT(_xlfn.DAYS(TODAY(),BDD[[#This Row],[FECHA ING.]])/365)</f>
        <v>5</v>
      </c>
      <c r="I256" s="251" t="str">
        <f>VLOOKUP(J256,TABLAS!$B$3:$G$49,2,FALSE)</f>
        <v>DIV INGENRIA</v>
      </c>
      <c r="J256" s="198" t="s">
        <v>743</v>
      </c>
      <c r="K256" s="251" t="s">
        <v>778</v>
      </c>
      <c r="L256" s="251" t="s">
        <v>763</v>
      </c>
      <c r="M256" s="251"/>
      <c r="N256" s="253" t="s">
        <v>1975</v>
      </c>
      <c r="O256" s="251" t="str">
        <f>IFERROR(VLOOKUP(BDD[[#This Row],[SUBDPTO]],TABLAS!$B$4:$D$36,3,0)," ")</f>
        <v>DIEGO HERRERA GIRÓN</v>
      </c>
      <c r="P256" s="258">
        <v>42750</v>
      </c>
      <c r="Q256" s="254">
        <v>5422.4000000000005</v>
      </c>
      <c r="R256" s="255" t="s">
        <v>748</v>
      </c>
      <c r="S256" s="251"/>
      <c r="T256" s="251" t="s">
        <v>811</v>
      </c>
      <c r="U256" s="243">
        <f ca="1">VLOOKUP(BDD[[#This Row],[ANTIG]],DIASXANT18[#All],2)</f>
        <v>16</v>
      </c>
      <c r="V256" s="256">
        <f t="shared" si="15"/>
        <v>0.5</v>
      </c>
      <c r="W256" s="243">
        <f ca="1">BDD[[#This Row],[D.VAC.]]*BDD[[#This Row],[% P.V.]]</f>
        <v>8</v>
      </c>
      <c r="X256" s="243">
        <v>30</v>
      </c>
      <c r="Y256" s="257">
        <f ca="1">(365+BDD[[#This Row],[D.PAG.V.]]+BDD[[#This Row],[D.AG.]])/365</f>
        <v>1.1041095890410959</v>
      </c>
      <c r="Z256" s="243">
        <f ca="1">BDD[[#This Row],[SUE DIA]]*BDD[[#This Row],[FACTOR SDI]]</f>
        <v>347.79452054794518</v>
      </c>
      <c r="AA256" s="243">
        <f>BDD[[#This Row],[SUE DIA]]/9</f>
        <v>35</v>
      </c>
      <c r="AB256" s="251">
        <v>35328</v>
      </c>
      <c r="AC256" s="251" t="s">
        <v>922</v>
      </c>
      <c r="AD256" s="251" t="s">
        <v>809</v>
      </c>
      <c r="AE256" s="252">
        <v>8496807397</v>
      </c>
      <c r="AF256" s="251" t="s">
        <v>1181</v>
      </c>
      <c r="AG256" s="251" t="s">
        <v>776</v>
      </c>
      <c r="AH256" s="251" t="s">
        <v>730</v>
      </c>
      <c r="AI256" s="243" t="s">
        <v>151</v>
      </c>
      <c r="AJ256" s="258" cm="1">
        <f t="array" aca="1" ref="AJ256" ca="1">DATE(YEAR(FECH.CONS[FECHA DE CONSULTA:]),MONTH(BDD[[#This Row],[FECHA NAC]]),DAY(BDD[[#This Row],[FECHA NAC]]))</f>
        <v>44824</v>
      </c>
      <c r="AK256" s="243">
        <v>9</v>
      </c>
      <c r="AL256" s="261" t="s">
        <v>311</v>
      </c>
      <c r="AM256" s="251" t="s">
        <v>1538</v>
      </c>
      <c r="AN256" s="251" t="s">
        <v>1551</v>
      </c>
      <c r="AO256" s="245">
        <v>97</v>
      </c>
      <c r="AP256" s="251">
        <f ca="1">INT((TODAY()-BDD[[#This Row],[FECHA NAC]])/365)</f>
        <v>25</v>
      </c>
      <c r="AQ256" s="251">
        <v>1</v>
      </c>
      <c r="AR256" s="251">
        <f ca="1">IF(BDD[[#This Row],[ANTIG]]=0,0,1)</f>
        <v>1</v>
      </c>
      <c r="AS256" s="251"/>
      <c r="AT256" s="251"/>
      <c r="AU256" s="251"/>
      <c r="AV256" s="251"/>
      <c r="AW256" s="251"/>
      <c r="AX256" s="251"/>
      <c r="AY256" s="251"/>
      <c r="AZ256" s="251">
        <f t="shared" ca="1" si="12"/>
        <v>92</v>
      </c>
    </row>
    <row r="257" spans="2:52" ht="15" customHeight="1" x14ac:dyDescent="0.25">
      <c r="B257" s="243">
        <v>405</v>
      </c>
      <c r="C257" s="259" t="s">
        <v>588</v>
      </c>
      <c r="D257" s="244">
        <v>6778</v>
      </c>
      <c r="E257" s="252">
        <f>(BDD[[#This Row],[SUE MENS]]/30)</f>
        <v>225.93333333333334</v>
      </c>
      <c r="F257" s="252">
        <f>BDD[[#This Row],[SUE MENS]]/2</f>
        <v>3389</v>
      </c>
      <c r="G257" s="320">
        <v>42699</v>
      </c>
      <c r="H257" s="243">
        <f ca="1">INT(_xlfn.DAYS(TODAY(),BDD[[#This Row],[FECHA ING.]])/365)</f>
        <v>5</v>
      </c>
      <c r="I257" s="251" t="str">
        <f>VLOOKUP(J257,TABLAS!$B$3:$G$49,2,FALSE)</f>
        <v>FINANZAS</v>
      </c>
      <c r="J257" s="198" t="s">
        <v>747</v>
      </c>
      <c r="K257" s="251" t="s">
        <v>778</v>
      </c>
      <c r="L257" s="251" t="s">
        <v>763</v>
      </c>
      <c r="M257" s="251"/>
      <c r="N257" s="253" t="s">
        <v>1896</v>
      </c>
      <c r="O257" s="251" t="str">
        <f>IFERROR(VLOOKUP(BDD[[#This Row],[SUBDPTO]],TABLAS!$B$4:$D$36,3,0)," ")</f>
        <v>MARIANO ALDEBARÁN</v>
      </c>
      <c r="P257" s="258"/>
      <c r="Q257" s="264"/>
      <c r="R257" s="244"/>
      <c r="S257" s="251"/>
      <c r="T257" s="251" t="s">
        <v>811</v>
      </c>
      <c r="U257" s="243">
        <f ca="1">VLOOKUP(BDD[[#This Row],[ANTIG]],DIASXANT18[#All],2)</f>
        <v>16</v>
      </c>
      <c r="V257" s="266">
        <v>0.25</v>
      </c>
      <c r="W257" s="243">
        <f ca="1">BDD[[#This Row],[D.VAC.]]*BDD[[#This Row],[% P.V.]]</f>
        <v>4</v>
      </c>
      <c r="X257" s="265">
        <v>15</v>
      </c>
      <c r="Y257" s="257">
        <f ca="1">(365+BDD[[#This Row],[D.PAG.V.]]+BDD[[#This Row],[D.AG.]])/365</f>
        <v>1.0520547945205478</v>
      </c>
      <c r="Z257" s="243">
        <f ca="1">BDD[[#This Row],[SUE DIA]]*BDD[[#This Row],[FACTOR SDI]]</f>
        <v>237.69424657534245</v>
      </c>
      <c r="AA257" s="243">
        <f>BDD[[#This Row],[SUE DIA]]/9</f>
        <v>25.103703703703705</v>
      </c>
      <c r="AB257" s="251">
        <v>33538</v>
      </c>
      <c r="AC257" s="251" t="s">
        <v>1066</v>
      </c>
      <c r="AD257" s="251" t="s">
        <v>810</v>
      </c>
      <c r="AE257" s="260">
        <v>2109853662</v>
      </c>
      <c r="AF257" s="251" t="s">
        <v>1448</v>
      </c>
      <c r="AG257" s="251" t="s">
        <v>776</v>
      </c>
      <c r="AH257" s="251" t="s">
        <v>730</v>
      </c>
      <c r="AI257" s="243" t="s">
        <v>152</v>
      </c>
      <c r="AJ257" s="258" cm="1">
        <f t="array" aca="1" ref="AJ257" ca="1">DATE(YEAR(FECH.CONS[FECHA DE CONSULTA:]),MONTH(BDD[[#This Row],[FECHA NAC]]),DAY(BDD[[#This Row],[FECHA NAC]]))</f>
        <v>44861</v>
      </c>
      <c r="AK257" s="243">
        <v>10</v>
      </c>
      <c r="AL257" s="261" t="s">
        <v>311</v>
      </c>
      <c r="AM257" s="251" t="s">
        <v>1541</v>
      </c>
      <c r="AN257" s="251" t="s">
        <v>1551</v>
      </c>
      <c r="AO257" s="245">
        <v>33</v>
      </c>
      <c r="AP257" s="251">
        <f ca="1">INT((TODAY()-BDD[[#This Row],[FECHA NAC]])/365)</f>
        <v>30</v>
      </c>
      <c r="AQ257" s="251">
        <v>1</v>
      </c>
      <c r="AR257" s="251">
        <f ca="1">IF(BDD[[#This Row],[ANTIG]]=0,0,1)</f>
        <v>1</v>
      </c>
      <c r="AS257" s="251"/>
      <c r="AT257" s="251"/>
      <c r="AU257" s="251"/>
      <c r="AV257" s="251"/>
      <c r="AW257" s="251"/>
      <c r="AX257" s="251"/>
      <c r="AY257" s="251"/>
      <c r="AZ257" s="251">
        <f t="shared" ca="1" si="12"/>
        <v>69</v>
      </c>
    </row>
    <row r="258" spans="2:52" ht="15" customHeight="1" x14ac:dyDescent="0.25">
      <c r="B258" s="243">
        <v>407</v>
      </c>
      <c r="C258" s="259" t="s">
        <v>619</v>
      </c>
      <c r="D258" s="252">
        <v>7950</v>
      </c>
      <c r="E258" s="252">
        <f>(BDD[[#This Row],[SUE MENS]]/30)</f>
        <v>265</v>
      </c>
      <c r="F258" s="252">
        <f>BDD[[#This Row],[SUE MENS]]/2</f>
        <v>3975</v>
      </c>
      <c r="G258" s="319">
        <v>42708</v>
      </c>
      <c r="H258" s="243">
        <f ca="1">INT(_xlfn.DAYS(TODAY(),BDD[[#This Row],[FECHA ING.]])/365)</f>
        <v>5</v>
      </c>
      <c r="I258" s="251" t="str">
        <f>VLOOKUP(J258,TABLAS!$B$3:$G$49,2,FALSE)</f>
        <v>DIV INGENRIA</v>
      </c>
      <c r="J258" s="198" t="s">
        <v>743</v>
      </c>
      <c r="K258" s="251" t="s">
        <v>778</v>
      </c>
      <c r="L258" s="251" t="s">
        <v>763</v>
      </c>
      <c r="M258" s="251"/>
      <c r="N258" s="253" t="s">
        <v>1811</v>
      </c>
      <c r="O258" s="251" t="str">
        <f>IFERROR(VLOOKUP(BDD[[#This Row],[SUBDPTO]],TABLAS!$B$4:$D$36,3,0)," ")</f>
        <v>DIEGO HERRERA GIRÓN</v>
      </c>
      <c r="P258" s="258">
        <v>43977</v>
      </c>
      <c r="Q258" s="254">
        <v>5956</v>
      </c>
      <c r="R258" s="255" t="s">
        <v>743</v>
      </c>
      <c r="S258" s="251"/>
      <c r="T258" s="251" t="s">
        <v>811</v>
      </c>
      <c r="U258" s="243">
        <f ca="1">VLOOKUP(BDD[[#This Row],[ANTIG]],DIASXANT18[#All],2)</f>
        <v>16</v>
      </c>
      <c r="V258" s="256">
        <f>100/200</f>
        <v>0.5</v>
      </c>
      <c r="W258" s="243">
        <f ca="1">BDD[[#This Row],[D.VAC.]]*BDD[[#This Row],[% P.V.]]</f>
        <v>8</v>
      </c>
      <c r="X258" s="243">
        <v>30</v>
      </c>
      <c r="Y258" s="257">
        <f ca="1">(365+BDD[[#This Row],[D.PAG.V.]]+BDD[[#This Row],[D.AG.]])/365</f>
        <v>1.1041095890410959</v>
      </c>
      <c r="Z258" s="243">
        <f ca="1">BDD[[#This Row],[SUE DIA]]*BDD[[#This Row],[FACTOR SDI]]</f>
        <v>292.58904109589042</v>
      </c>
      <c r="AA258" s="243">
        <f>BDD[[#This Row],[SUE DIA]]/9</f>
        <v>29.444444444444443</v>
      </c>
      <c r="AB258" s="251">
        <v>29224</v>
      </c>
      <c r="AC258" s="251" t="s">
        <v>1067</v>
      </c>
      <c r="AD258" s="251" t="s">
        <v>789</v>
      </c>
      <c r="AE258" s="260">
        <v>4547840597</v>
      </c>
      <c r="AF258" s="251" t="s">
        <v>1465</v>
      </c>
      <c r="AG258" s="251" t="s">
        <v>773</v>
      </c>
      <c r="AH258" s="251" t="s">
        <v>1555</v>
      </c>
      <c r="AI258" s="243" t="s">
        <v>151</v>
      </c>
      <c r="AJ258" s="258" cm="1">
        <f t="array" aca="1" ref="AJ258" ca="1">DATE(YEAR(FECH.CONS[FECHA DE CONSULTA:]),MONTH(BDD[[#This Row],[FECHA NAC]]),DAY(BDD[[#This Row],[FECHA NAC]]))</f>
        <v>44565</v>
      </c>
      <c r="AK258" s="243"/>
      <c r="AL258" s="261" t="s">
        <v>315</v>
      </c>
      <c r="AM258" s="251" t="s">
        <v>1538</v>
      </c>
      <c r="AN258" s="251" t="s">
        <v>1551</v>
      </c>
      <c r="AO258" s="245">
        <v>95</v>
      </c>
      <c r="AP258" s="251">
        <f ca="1">INT((TODAY()-BDD[[#This Row],[FECHA NAC]])/365)</f>
        <v>42</v>
      </c>
      <c r="AQ258" s="251">
        <v>0</v>
      </c>
      <c r="AR258" s="251">
        <f ca="1">IF(BDD[[#This Row],[ANTIG]]=0,0,1)</f>
        <v>1</v>
      </c>
      <c r="AS258" s="251"/>
      <c r="AT258" s="251"/>
      <c r="AU258" s="251"/>
      <c r="AV258" s="251"/>
      <c r="AW258" s="251"/>
      <c r="AX258" s="251"/>
      <c r="AY258" s="251"/>
      <c r="AZ258" s="251">
        <f t="shared" ca="1" si="12"/>
        <v>956</v>
      </c>
    </row>
    <row r="259" spans="2:52" ht="15" customHeight="1" x14ac:dyDescent="0.25">
      <c r="B259" s="243">
        <v>408</v>
      </c>
      <c r="C259" s="251" t="s">
        <v>282</v>
      </c>
      <c r="D259" s="244">
        <v>6778</v>
      </c>
      <c r="E259" s="252">
        <f>(BDD[[#This Row],[SUE MENS]]/30)</f>
        <v>225.93333333333334</v>
      </c>
      <c r="F259" s="252">
        <f>BDD[[#This Row],[SUE MENS]]/2</f>
        <v>3389</v>
      </c>
      <c r="G259" s="319">
        <v>42710</v>
      </c>
      <c r="H259" s="243">
        <f ca="1">INT(_xlfn.DAYS(TODAY(),BDD[[#This Row],[FECHA ING.]])/365)</f>
        <v>5</v>
      </c>
      <c r="I259" s="251" t="str">
        <f>VLOOKUP(J259,TABLAS!$B$3:$G$49,2,FALSE)</f>
        <v>DIRECCIÓN</v>
      </c>
      <c r="J259" s="244" t="s">
        <v>745</v>
      </c>
      <c r="K259" s="251" t="s">
        <v>778</v>
      </c>
      <c r="L259" s="251" t="s">
        <v>763</v>
      </c>
      <c r="M259" s="251"/>
      <c r="N259" s="244" t="s">
        <v>1783</v>
      </c>
      <c r="O259" s="251" t="str">
        <f>IFERROR(VLOOKUP(BDD[[#This Row],[SUBDPTO]],TABLAS!$B$4:$D$36,3,0)," ")</f>
        <v>MARIANA RODRÍGUEZ GUTIERREZ</v>
      </c>
      <c r="P259" s="258"/>
      <c r="Q259" s="264"/>
      <c r="R259" s="244"/>
      <c r="S259" s="251"/>
      <c r="T259" s="251" t="s">
        <v>301</v>
      </c>
      <c r="U259" s="243">
        <f ca="1">VLOOKUP(BDD[[#This Row],[ANTIG]],DIASXANT18[#All],2)</f>
        <v>16</v>
      </c>
      <c r="V259" s="266">
        <v>0.25</v>
      </c>
      <c r="W259" s="243">
        <f ca="1">BDD[[#This Row],[D.VAC.]]*BDD[[#This Row],[% P.V.]]</f>
        <v>4</v>
      </c>
      <c r="X259" s="265">
        <v>15</v>
      </c>
      <c r="Y259" s="257">
        <f ca="1">(365+BDD[[#This Row],[D.PAG.V.]]+BDD[[#This Row],[D.AG.]])/365</f>
        <v>1.0520547945205478</v>
      </c>
      <c r="Z259" s="243">
        <f ca="1">BDD[[#This Row],[SUE DIA]]*BDD[[#This Row],[FACTOR SDI]]</f>
        <v>237.69424657534245</v>
      </c>
      <c r="AA259" s="243">
        <f>BDD[[#This Row],[SUE DIA]]/9</f>
        <v>25.103703703703705</v>
      </c>
      <c r="AB259" s="251">
        <v>28706</v>
      </c>
      <c r="AC259" s="251" t="s">
        <v>875</v>
      </c>
      <c r="AD259" s="251" t="s">
        <v>788</v>
      </c>
      <c r="AE259" s="252">
        <v>8178896072</v>
      </c>
      <c r="AF259" s="251" t="s">
        <v>1295</v>
      </c>
      <c r="AG259" s="251" t="s">
        <v>776</v>
      </c>
      <c r="AH259" s="251" t="s">
        <v>726</v>
      </c>
      <c r="AI259" s="243" t="s">
        <v>151</v>
      </c>
      <c r="AJ259" s="258" cm="1">
        <f t="array" aca="1" ref="AJ259" ca="1">DATE(YEAR(FECH.CONS[FECHA DE CONSULTA:]),MONTH(BDD[[#This Row],[FECHA NAC]]),DAY(BDD[[#This Row],[FECHA NAC]]))</f>
        <v>44777</v>
      </c>
      <c r="AK259" s="243"/>
      <c r="AL259" s="261" t="s">
        <v>312</v>
      </c>
      <c r="AM259" s="251" t="s">
        <v>1537</v>
      </c>
      <c r="AN259" s="251" t="s">
        <v>1551</v>
      </c>
      <c r="AO259" s="245">
        <v>62</v>
      </c>
      <c r="AP259" s="251">
        <f ca="1">INT((TODAY()-BDD[[#This Row],[FECHA NAC]])/365)</f>
        <v>43</v>
      </c>
      <c r="AQ259" s="251">
        <v>2</v>
      </c>
      <c r="AR259" s="251">
        <f ca="1">IF(BDD[[#This Row],[ANTIG]]=0,0,1)</f>
        <v>1</v>
      </c>
      <c r="AS259" s="251"/>
      <c r="AT259" s="251"/>
      <c r="AU259" s="251"/>
      <c r="AV259" s="251"/>
      <c r="AW259" s="251"/>
      <c r="AX259" s="251"/>
      <c r="AY259" s="251"/>
      <c r="AZ259" s="251">
        <f t="shared" ca="1" si="12"/>
        <v>959</v>
      </c>
    </row>
    <row r="260" spans="2:52" ht="15" customHeight="1" x14ac:dyDescent="0.25">
      <c r="B260" s="243">
        <v>410</v>
      </c>
      <c r="C260" s="251" t="s">
        <v>254</v>
      </c>
      <c r="D260" s="252">
        <v>9541</v>
      </c>
      <c r="E260" s="252">
        <f>(BDD[[#This Row],[SUE MENS]]/30)</f>
        <v>318.03333333333336</v>
      </c>
      <c r="F260" s="252">
        <f>BDD[[#This Row],[SUE MENS]]/2</f>
        <v>4770.5</v>
      </c>
      <c r="G260" s="319">
        <v>42712</v>
      </c>
      <c r="H260" s="243">
        <f ca="1">INT(_xlfn.DAYS(TODAY(),BDD[[#This Row],[FECHA ING.]])/365)</f>
        <v>5</v>
      </c>
      <c r="I260" s="251" t="str">
        <f>VLOOKUP(J260,TABLAS!$B$3:$G$49,2,FALSE)</f>
        <v>DIV INGENRIA</v>
      </c>
      <c r="J260" s="198" t="s">
        <v>743</v>
      </c>
      <c r="K260" s="251" t="s">
        <v>778</v>
      </c>
      <c r="L260" s="251" t="s">
        <v>763</v>
      </c>
      <c r="M260" s="251"/>
      <c r="N260" s="244" t="s">
        <v>2150</v>
      </c>
      <c r="O260" s="251" t="str">
        <f>IFERROR(VLOOKUP(BDD[[#This Row],[SUBDPTO]],TABLAS!$B$4:$D$36,3,0)," ")</f>
        <v>DIEGO HERRERA GIRÓN</v>
      </c>
      <c r="P260" s="258">
        <v>42432</v>
      </c>
      <c r="Q260" s="254">
        <v>7060</v>
      </c>
      <c r="R260" s="255" t="s">
        <v>734</v>
      </c>
      <c r="S260" s="251"/>
      <c r="T260" s="251" t="s">
        <v>811</v>
      </c>
      <c r="U260" s="243">
        <f ca="1">VLOOKUP(BDD[[#This Row],[ANTIG]],DIASXANT18[#All],2)</f>
        <v>16</v>
      </c>
      <c r="V260" s="256">
        <f>100/200</f>
        <v>0.5</v>
      </c>
      <c r="W260" s="243">
        <f ca="1">BDD[[#This Row],[D.VAC.]]*BDD[[#This Row],[% P.V.]]</f>
        <v>8</v>
      </c>
      <c r="X260" s="243">
        <v>30</v>
      </c>
      <c r="Y260" s="257">
        <f ca="1">(365+BDD[[#This Row],[D.PAG.V.]]+BDD[[#This Row],[D.AG.]])/365</f>
        <v>1.1041095890410959</v>
      </c>
      <c r="Z260" s="243">
        <f ca="1">BDD[[#This Row],[SUE DIA]]*BDD[[#This Row],[FACTOR SDI]]</f>
        <v>351.14365296803658</v>
      </c>
      <c r="AA260" s="243">
        <f>BDD[[#This Row],[SUE DIA]]/9</f>
        <v>35.337037037037042</v>
      </c>
      <c r="AB260" s="251">
        <v>32575</v>
      </c>
      <c r="AC260" s="251" t="s">
        <v>1018</v>
      </c>
      <c r="AD260" s="251" t="s">
        <v>809</v>
      </c>
      <c r="AE260" s="252">
        <v>8649573763</v>
      </c>
      <c r="AF260" s="251" t="s">
        <v>1281</v>
      </c>
      <c r="AG260" s="251" t="s">
        <v>776</v>
      </c>
      <c r="AH260" s="251" t="s">
        <v>730</v>
      </c>
      <c r="AI260" s="243" t="s">
        <v>151</v>
      </c>
      <c r="AJ260" s="258" cm="1">
        <f t="array" aca="1" ref="AJ260" ca="1">DATE(YEAR(FECH.CONS[FECHA DE CONSULTA:]),MONTH(BDD[[#This Row],[FECHA NAC]]),DAY(BDD[[#This Row],[FECHA NAC]]))</f>
        <v>44628</v>
      </c>
      <c r="AK260" s="243">
        <v>10</v>
      </c>
      <c r="AL260" s="251" t="s">
        <v>311</v>
      </c>
      <c r="AM260" s="251" t="s">
        <v>1538</v>
      </c>
      <c r="AN260" s="251" t="s">
        <v>1551</v>
      </c>
      <c r="AO260" s="245">
        <v>84</v>
      </c>
      <c r="AP260" s="251">
        <f ca="1">INT((TODAY()-BDD[[#This Row],[FECHA NAC]])/365)</f>
        <v>33</v>
      </c>
      <c r="AQ260" s="251">
        <v>2</v>
      </c>
      <c r="AR260" s="251">
        <f ca="1">IF(BDD[[#This Row],[ANTIG]]=0,0,1)</f>
        <v>1</v>
      </c>
      <c r="AS260" s="251"/>
      <c r="AT260" s="251"/>
      <c r="AU260" s="251"/>
      <c r="AV260" s="251"/>
      <c r="AW260" s="251"/>
      <c r="AX260" s="251"/>
      <c r="AY260" s="251"/>
      <c r="AZ260" s="251">
        <f t="shared" ca="1" si="12"/>
        <v>110</v>
      </c>
    </row>
    <row r="261" spans="2:52" ht="15" customHeight="1" x14ac:dyDescent="0.25">
      <c r="B261" s="243">
        <v>411</v>
      </c>
      <c r="C261" s="251" t="s">
        <v>196</v>
      </c>
      <c r="D261" s="263">
        <v>7445</v>
      </c>
      <c r="E261" s="252">
        <f>(BDD[[#This Row],[SUE MENS]]/30)</f>
        <v>248.16666666666666</v>
      </c>
      <c r="F261" s="252">
        <f>BDD[[#This Row],[SUE MENS]]/2</f>
        <v>3722.5</v>
      </c>
      <c r="G261" s="319">
        <v>42713</v>
      </c>
      <c r="H261" s="243">
        <f ca="1">INT(_xlfn.DAYS(TODAY(),BDD[[#This Row],[FECHA ING.]])/365)</f>
        <v>5</v>
      </c>
      <c r="I261" s="251" t="str">
        <f>VLOOKUP(J261,TABLAS!$B$3:$G$49,2,FALSE)</f>
        <v>FINANZAS</v>
      </c>
      <c r="J261" s="198" t="s">
        <v>748</v>
      </c>
      <c r="K261" s="251" t="s">
        <v>778</v>
      </c>
      <c r="L261" s="251" t="s">
        <v>763</v>
      </c>
      <c r="M261" s="251"/>
      <c r="N261" s="244" t="s">
        <v>1868</v>
      </c>
      <c r="O261" s="251" t="str">
        <f>IFERROR(VLOOKUP(BDD[[#This Row],[SUBDPTO]],TABLAS!$B$4:$D$36,3,0)," ")</f>
        <v>MARIANO ALDEBARÁN</v>
      </c>
      <c r="P261" s="258"/>
      <c r="Q261" s="264"/>
      <c r="R261" s="244"/>
      <c r="S261" s="251"/>
      <c r="T261" s="251" t="s">
        <v>301</v>
      </c>
      <c r="U261" s="243">
        <f ca="1">VLOOKUP(BDD[[#This Row],[ANTIG]],DIASXANT18[#All],2)</f>
        <v>16</v>
      </c>
      <c r="V261" s="256">
        <f>100/200</f>
        <v>0.5</v>
      </c>
      <c r="W261" s="243">
        <f ca="1">BDD[[#This Row],[D.VAC.]]*BDD[[#This Row],[% P.V.]]</f>
        <v>8</v>
      </c>
      <c r="X261" s="243">
        <v>30</v>
      </c>
      <c r="Y261" s="257">
        <f ca="1">(365+BDD[[#This Row],[D.PAG.V.]]+BDD[[#This Row],[D.AG.]])/365</f>
        <v>1.1041095890410959</v>
      </c>
      <c r="Z261" s="243">
        <f ca="1">BDD[[#This Row],[SUE DIA]]*BDD[[#This Row],[FACTOR SDI]]</f>
        <v>274.00319634703197</v>
      </c>
      <c r="AA261" s="243">
        <f>BDD[[#This Row],[SUE DIA]]/9</f>
        <v>27.574074074074073</v>
      </c>
      <c r="AB261" s="251">
        <v>29587</v>
      </c>
      <c r="AC261" s="251" t="s">
        <v>934</v>
      </c>
      <c r="AD261" s="251" t="s">
        <v>787</v>
      </c>
      <c r="AE261" s="252">
        <v>8901609886</v>
      </c>
      <c r="AF261" s="251" t="s">
        <v>1213</v>
      </c>
      <c r="AG261" s="251" t="s">
        <v>776</v>
      </c>
      <c r="AH261" s="251" t="s">
        <v>730</v>
      </c>
      <c r="AI261" s="243" t="s">
        <v>152</v>
      </c>
      <c r="AJ261" s="258" cm="1">
        <f t="array" aca="1" ref="AJ261" ca="1">DATE(YEAR(FECH.CONS[FECHA DE CONSULTA:]),MONTH(BDD[[#This Row],[FECHA NAC]]),DAY(BDD[[#This Row],[FECHA NAC]]))</f>
        <v>44562</v>
      </c>
      <c r="AK261" s="243">
        <v>6</v>
      </c>
      <c r="AL261" s="261" t="s">
        <v>311</v>
      </c>
      <c r="AM261" s="251" t="s">
        <v>1534</v>
      </c>
      <c r="AN261" s="251" t="s">
        <v>1551</v>
      </c>
      <c r="AO261" s="245">
        <v>75</v>
      </c>
      <c r="AP261" s="251">
        <f ca="1">INT((TODAY()-BDD[[#This Row],[FECHA NAC]])/365)</f>
        <v>41</v>
      </c>
      <c r="AQ261" s="251">
        <v>1</v>
      </c>
      <c r="AR261" s="251">
        <f ca="1">IF(BDD[[#This Row],[ANTIG]]=0,0,1)</f>
        <v>1</v>
      </c>
      <c r="AS261" s="251"/>
      <c r="AT261" s="251"/>
      <c r="AU261" s="251"/>
      <c r="AV261" s="251"/>
      <c r="AW261" s="251"/>
      <c r="AX261" s="251"/>
      <c r="AY261" s="251"/>
      <c r="AZ261" s="251">
        <f t="shared" ca="1" si="12"/>
        <v>82</v>
      </c>
    </row>
    <row r="262" spans="2:52" ht="15" customHeight="1" x14ac:dyDescent="0.25">
      <c r="B262" s="243">
        <v>413</v>
      </c>
      <c r="C262" s="259" t="s">
        <v>565</v>
      </c>
      <c r="D262" s="263">
        <v>7445</v>
      </c>
      <c r="E262" s="252">
        <f>(BDD[[#This Row],[SUE MENS]]/30)</f>
        <v>248.16666666666666</v>
      </c>
      <c r="F262" s="252">
        <f>BDD[[#This Row],[SUE MENS]]/2</f>
        <v>3722.5</v>
      </c>
      <c r="G262" s="319">
        <v>42714</v>
      </c>
      <c r="H262" s="243">
        <f ca="1">INT(_xlfn.DAYS(TODAY(),BDD[[#This Row],[FECHA ING.]])/365)</f>
        <v>5</v>
      </c>
      <c r="I262" s="251" t="str">
        <f>VLOOKUP(J262,TABLAS!$B$3:$G$49,2,FALSE)</f>
        <v>DIV INGENRIA</v>
      </c>
      <c r="J262" s="198" t="s">
        <v>756</v>
      </c>
      <c r="K262" s="251" t="s">
        <v>778</v>
      </c>
      <c r="L262" s="251" t="s">
        <v>763</v>
      </c>
      <c r="M262" s="251"/>
      <c r="N262" s="244" t="s">
        <v>2192</v>
      </c>
      <c r="O262" s="251" t="str">
        <f>IFERROR(VLOOKUP(BDD[[#This Row],[SUBDPTO]],TABLAS!$B$4:$D$36,3,0)," ")</f>
        <v>DIEGO HERRERA GIRÓN</v>
      </c>
      <c r="P262" s="258"/>
      <c r="Q262" s="264"/>
      <c r="R262" s="244"/>
      <c r="S262" s="251"/>
      <c r="T262" s="251" t="s">
        <v>811</v>
      </c>
      <c r="U262" s="243">
        <f ca="1">VLOOKUP(BDD[[#This Row],[ANTIG]],DIASXANT18[#All],2)</f>
        <v>16</v>
      </c>
      <c r="V262" s="256">
        <f>100/200</f>
        <v>0.5</v>
      </c>
      <c r="W262" s="243">
        <f ca="1">BDD[[#This Row],[D.VAC.]]*BDD[[#This Row],[% P.V.]]</f>
        <v>8</v>
      </c>
      <c r="X262" s="243">
        <v>30</v>
      </c>
      <c r="Y262" s="257">
        <f ca="1">(365+BDD[[#This Row],[D.PAG.V.]]+BDD[[#This Row],[D.AG.]])/365</f>
        <v>1.1041095890410959</v>
      </c>
      <c r="Z262" s="243">
        <f ca="1">BDD[[#This Row],[SUE DIA]]*BDD[[#This Row],[FACTOR SDI]]</f>
        <v>274.00319634703197</v>
      </c>
      <c r="AA262" s="243">
        <f>BDD[[#This Row],[SUE DIA]]/9</f>
        <v>27.574074074074073</v>
      </c>
      <c r="AB262" s="251">
        <v>34324</v>
      </c>
      <c r="AC262" s="251" t="s">
        <v>911</v>
      </c>
      <c r="AD262" s="251" t="s">
        <v>787</v>
      </c>
      <c r="AE262" s="260">
        <v>8206080913</v>
      </c>
      <c r="AF262" s="251" t="s">
        <v>1430</v>
      </c>
      <c r="AG262" s="251" t="s">
        <v>776</v>
      </c>
      <c r="AH262" s="251" t="s">
        <v>730</v>
      </c>
      <c r="AI262" s="243" t="s">
        <v>151</v>
      </c>
      <c r="AJ262" s="258" cm="1">
        <f t="array" aca="1" ref="AJ262" ca="1">DATE(YEAR(FECH.CONS[FECHA DE CONSULTA:]),MONTH(BDD[[#This Row],[FECHA NAC]]),DAY(BDD[[#This Row],[FECHA NAC]]))</f>
        <v>44916</v>
      </c>
      <c r="AK262" s="243">
        <v>9</v>
      </c>
      <c r="AL262" s="261" t="s">
        <v>311</v>
      </c>
      <c r="AM262" s="251" t="s">
        <v>1538</v>
      </c>
      <c r="AN262" s="251" t="s">
        <v>1551</v>
      </c>
      <c r="AO262" s="245">
        <v>79</v>
      </c>
      <c r="AP262" s="251">
        <f ca="1">INT((TODAY()-BDD[[#This Row],[FECHA NAC]])/365)</f>
        <v>28</v>
      </c>
      <c r="AQ262" s="251">
        <v>2</v>
      </c>
      <c r="AR262" s="251">
        <f ca="1">IF(BDD[[#This Row],[ANTIG]]=0,0,1)</f>
        <v>1</v>
      </c>
      <c r="AS262" s="251"/>
      <c r="AT262" s="251"/>
      <c r="AU262" s="251"/>
      <c r="AV262" s="251"/>
      <c r="AW262" s="251"/>
      <c r="AX262" s="251"/>
      <c r="AY262" s="251"/>
      <c r="AZ262" s="251">
        <f t="shared" ca="1" si="12"/>
        <v>217</v>
      </c>
    </row>
    <row r="263" spans="2:52" ht="15" customHeight="1" x14ac:dyDescent="0.25">
      <c r="B263" s="243">
        <v>414</v>
      </c>
      <c r="C263" s="259" t="s">
        <v>558</v>
      </c>
      <c r="D263" s="244">
        <v>6778</v>
      </c>
      <c r="E263" s="252">
        <f>(BDD[[#This Row],[SUE MENS]]/30)</f>
        <v>225.93333333333334</v>
      </c>
      <c r="F263" s="252">
        <f>BDD[[#This Row],[SUE MENS]]/2</f>
        <v>3389</v>
      </c>
      <c r="G263" s="319">
        <v>42714</v>
      </c>
      <c r="H263" s="243">
        <f ca="1">INT(_xlfn.DAYS(TODAY(),BDD[[#This Row],[FECHA ING.]])/365)</f>
        <v>5</v>
      </c>
      <c r="I263" s="251" t="str">
        <f>VLOOKUP(J263,TABLAS!$B$3:$G$49,2,FALSE)</f>
        <v>DIV INGENRIA</v>
      </c>
      <c r="J263" s="198" t="s">
        <v>756</v>
      </c>
      <c r="K263" s="251" t="s">
        <v>778</v>
      </c>
      <c r="L263" s="251" t="s">
        <v>763</v>
      </c>
      <c r="M263" s="251"/>
      <c r="N263" s="253" t="s">
        <v>1797</v>
      </c>
      <c r="O263" s="251" t="str">
        <f>IFERROR(VLOOKUP(BDD[[#This Row],[SUBDPTO]],TABLAS!$B$4:$D$36,3,0)," ")</f>
        <v>DIEGO HERRERA GIRÓN</v>
      </c>
      <c r="P263" s="258"/>
      <c r="Q263" s="264"/>
      <c r="R263" s="244"/>
      <c r="S263" s="251"/>
      <c r="T263" s="251" t="s">
        <v>811</v>
      </c>
      <c r="U263" s="243">
        <f ca="1">VLOOKUP(BDD[[#This Row],[ANTIG]],DIASXANT18[#All],2)</f>
        <v>16</v>
      </c>
      <c r="V263" s="266">
        <v>0.25</v>
      </c>
      <c r="W263" s="243">
        <f ca="1">BDD[[#This Row],[D.VAC.]]*BDD[[#This Row],[% P.V.]]</f>
        <v>4</v>
      </c>
      <c r="X263" s="265">
        <v>15</v>
      </c>
      <c r="Y263" s="257">
        <f ca="1">(365+BDD[[#This Row],[D.PAG.V.]]+BDD[[#This Row],[D.AG.]])/365</f>
        <v>1.0520547945205478</v>
      </c>
      <c r="Z263" s="243">
        <f ca="1">BDD[[#This Row],[SUE DIA]]*BDD[[#This Row],[FACTOR SDI]]</f>
        <v>237.69424657534245</v>
      </c>
      <c r="AA263" s="243">
        <f>BDD[[#This Row],[SUE DIA]]/9</f>
        <v>25.103703703703705</v>
      </c>
      <c r="AB263" s="251">
        <v>31766</v>
      </c>
      <c r="AC263" s="251" t="s">
        <v>286</v>
      </c>
      <c r="AD263" s="251" t="s">
        <v>787</v>
      </c>
      <c r="AE263" s="260">
        <v>5598137163</v>
      </c>
      <c r="AF263" s="251" t="s">
        <v>1422</v>
      </c>
      <c r="AG263" s="251" t="s">
        <v>776</v>
      </c>
      <c r="AH263" s="251" t="s">
        <v>730</v>
      </c>
      <c r="AI263" s="243" t="s">
        <v>151</v>
      </c>
      <c r="AJ263" s="258" cm="1">
        <f t="array" aca="1" ref="AJ263" ca="1">DATE(YEAR(FECH.CONS[FECHA DE CONSULTA:]),MONTH(BDD[[#This Row],[FECHA NAC]]),DAY(BDD[[#This Row],[FECHA NAC]]))</f>
        <v>44915</v>
      </c>
      <c r="AK263" s="243">
        <v>5</v>
      </c>
      <c r="AL263" s="261" t="s">
        <v>311</v>
      </c>
      <c r="AM263" s="251" t="s">
        <v>1538</v>
      </c>
      <c r="AN263" s="251" t="s">
        <v>1551</v>
      </c>
      <c r="AO263" s="245">
        <v>42</v>
      </c>
      <c r="AP263" s="251">
        <f ca="1">INT((TODAY()-BDD[[#This Row],[FECHA NAC]])/365)</f>
        <v>35</v>
      </c>
      <c r="AQ263" s="251">
        <v>0</v>
      </c>
      <c r="AR263" s="251">
        <f ca="1">IF(BDD[[#This Row],[ANTIG]]=0,0,1)</f>
        <v>1</v>
      </c>
      <c r="AS263" s="251"/>
      <c r="AT263" s="251"/>
      <c r="AU263" s="251"/>
      <c r="AV263" s="251"/>
      <c r="AW263" s="251"/>
      <c r="AX263" s="251"/>
      <c r="AY263" s="251"/>
      <c r="AZ263" s="251">
        <f t="shared" ca="1" si="12"/>
        <v>975</v>
      </c>
    </row>
    <row r="264" spans="2:52" ht="15" customHeight="1" x14ac:dyDescent="0.25">
      <c r="B264" s="243">
        <v>415</v>
      </c>
      <c r="C264" s="262" t="s">
        <v>1639</v>
      </c>
      <c r="D264" s="252">
        <v>9450</v>
      </c>
      <c r="E264" s="252">
        <f>(BDD[[#This Row],[SUE MENS]]/30)</f>
        <v>315</v>
      </c>
      <c r="F264" s="252">
        <f>BDD[[#This Row],[SUE MENS]]/2</f>
        <v>4725</v>
      </c>
      <c r="G264" s="319">
        <v>42714</v>
      </c>
      <c r="H264" s="243">
        <f ca="1">INT(_xlfn.DAYS(TODAY(),BDD[[#This Row],[FECHA ING.]])/365)</f>
        <v>5</v>
      </c>
      <c r="I264" s="251" t="str">
        <f>VLOOKUP(J264,TABLAS!$B$3:$G$49,2,FALSE)</f>
        <v>AUDITORÍA</v>
      </c>
      <c r="J264" s="198" t="s">
        <v>734</v>
      </c>
      <c r="K264" s="251" t="s">
        <v>778</v>
      </c>
      <c r="L264" s="251" t="s">
        <v>763</v>
      </c>
      <c r="M264" s="251"/>
      <c r="N264" s="244" t="s">
        <v>1870</v>
      </c>
      <c r="O264" s="251" t="str">
        <f>IFERROR(VLOOKUP(BDD[[#This Row],[SUBDPTO]],TABLAS!$B$4:$D$36,3,0)," ")</f>
        <v>MARCO AURELIO URBINO</v>
      </c>
      <c r="P264" s="258">
        <v>43501</v>
      </c>
      <c r="Q264" s="254">
        <v>5422.4000000000005</v>
      </c>
      <c r="R264" s="255" t="s">
        <v>735</v>
      </c>
      <c r="S264" s="251"/>
      <c r="T264" s="251" t="s">
        <v>811</v>
      </c>
      <c r="U264" s="243">
        <f ca="1">VLOOKUP(BDD[[#This Row],[ANTIG]],DIASXANT18[#All],2)</f>
        <v>16</v>
      </c>
      <c r="V264" s="256">
        <f>100/200</f>
        <v>0.5</v>
      </c>
      <c r="W264" s="243">
        <f ca="1">BDD[[#This Row],[D.VAC.]]*BDD[[#This Row],[% P.V.]]</f>
        <v>8</v>
      </c>
      <c r="X264" s="243">
        <v>30</v>
      </c>
      <c r="Y264" s="257">
        <f ca="1">(365+BDD[[#This Row],[D.PAG.V.]]+BDD[[#This Row],[D.AG.]])/365</f>
        <v>1.1041095890410959</v>
      </c>
      <c r="Z264" s="243">
        <f ca="1">BDD[[#This Row],[SUE DIA]]*BDD[[#This Row],[FACTOR SDI]]</f>
        <v>347.79452054794518</v>
      </c>
      <c r="AA264" s="243">
        <f>BDD[[#This Row],[SUE DIA]]/9</f>
        <v>35</v>
      </c>
      <c r="AB264" s="262">
        <v>35497</v>
      </c>
      <c r="AC264" s="251" t="s">
        <v>1004</v>
      </c>
      <c r="AD264" s="251" t="s">
        <v>787</v>
      </c>
      <c r="AE264" s="252">
        <v>8157494958</v>
      </c>
      <c r="AF264" s="251" t="s">
        <v>1318</v>
      </c>
      <c r="AG264" s="251" t="s">
        <v>773</v>
      </c>
      <c r="AH264" s="251" t="s">
        <v>730</v>
      </c>
      <c r="AI264" s="243" t="s">
        <v>151</v>
      </c>
      <c r="AJ264" s="258" cm="1">
        <f t="array" aca="1" ref="AJ264" ca="1">DATE(YEAR(FECH.CONS[FECHA DE CONSULTA:]),MONTH(BDD[[#This Row],[FECHA NAC]]),DAY(BDD[[#This Row],[FECHA NAC]]))</f>
        <v>44628</v>
      </c>
      <c r="AK264" s="243">
        <v>7</v>
      </c>
      <c r="AL264" s="261" t="s">
        <v>311</v>
      </c>
      <c r="AM264" s="251" t="s">
        <v>1533</v>
      </c>
      <c r="AN264" s="251" t="s">
        <v>1551</v>
      </c>
      <c r="AO264" s="245">
        <v>39</v>
      </c>
      <c r="AP264" s="251">
        <f ca="1">INT((TODAY()-BDD[[#This Row],[FECHA NAC]])/365)</f>
        <v>25</v>
      </c>
      <c r="AQ264" s="251">
        <v>0</v>
      </c>
      <c r="AR264" s="251">
        <f ca="1">IF(BDD[[#This Row],[ANTIG]]=0,0,1)</f>
        <v>1</v>
      </c>
      <c r="AS264" s="251"/>
      <c r="AT264" s="251"/>
      <c r="AU264" s="251"/>
      <c r="AV264" s="251"/>
      <c r="AW264" s="251"/>
      <c r="AX264" s="251"/>
      <c r="AY264" s="251"/>
      <c r="AZ264" s="251">
        <f t="shared" ca="1" si="12"/>
        <v>431</v>
      </c>
    </row>
    <row r="265" spans="2:52" ht="15" customHeight="1" x14ac:dyDescent="0.25">
      <c r="B265" s="243">
        <v>418</v>
      </c>
      <c r="C265" s="259" t="s">
        <v>509</v>
      </c>
      <c r="D265" s="252">
        <v>7950</v>
      </c>
      <c r="E265" s="252">
        <f>(BDD[[#This Row],[SUE MENS]]/30)</f>
        <v>265</v>
      </c>
      <c r="F265" s="252">
        <f>BDD[[#This Row],[SUE MENS]]/2</f>
        <v>3975</v>
      </c>
      <c r="G265" s="320">
        <v>42735</v>
      </c>
      <c r="H265" s="243">
        <f ca="1">INT(_xlfn.DAYS(TODAY(),BDD[[#This Row],[FECHA ING.]])/365)</f>
        <v>5</v>
      </c>
      <c r="I265" s="251" t="str">
        <f>VLOOKUP(J265,TABLAS!$B$3:$G$49,2,FALSE)</f>
        <v>DIRECCIÓN</v>
      </c>
      <c r="J265" s="244" t="s">
        <v>745</v>
      </c>
      <c r="K265" s="251" t="s">
        <v>778</v>
      </c>
      <c r="L265" s="251" t="s">
        <v>763</v>
      </c>
      <c r="M265" s="251"/>
      <c r="N265" s="253" t="s">
        <v>2137</v>
      </c>
      <c r="O265" s="251" t="str">
        <f>IFERROR(VLOOKUP(BDD[[#This Row],[SUBDPTO]],TABLAS!$B$4:$D$36,3,0)," ")</f>
        <v>MARIANA RODRÍGUEZ GUTIERREZ</v>
      </c>
      <c r="P265" s="258">
        <v>43397</v>
      </c>
      <c r="Q265" s="254">
        <v>5956</v>
      </c>
      <c r="R265" s="255" t="s">
        <v>735</v>
      </c>
      <c r="S265" s="251"/>
      <c r="T265" s="251" t="s">
        <v>811</v>
      </c>
      <c r="U265" s="243">
        <f ca="1">VLOOKUP(BDD[[#This Row],[ANTIG]],DIASXANT18[#All],2)</f>
        <v>16</v>
      </c>
      <c r="V265" s="256">
        <f>100/200</f>
        <v>0.5</v>
      </c>
      <c r="W265" s="243">
        <f ca="1">BDD[[#This Row],[D.VAC.]]*BDD[[#This Row],[% P.V.]]</f>
        <v>8</v>
      </c>
      <c r="X265" s="243">
        <v>30</v>
      </c>
      <c r="Y265" s="257">
        <f ca="1">(365+BDD[[#This Row],[D.PAG.V.]]+BDD[[#This Row],[D.AG.]])/365</f>
        <v>1.1041095890410959</v>
      </c>
      <c r="Z265" s="243">
        <f ca="1">BDD[[#This Row],[SUE DIA]]*BDD[[#This Row],[FACTOR SDI]]</f>
        <v>292.58904109589042</v>
      </c>
      <c r="AA265" s="243">
        <f>BDD[[#This Row],[SUE DIA]]/9</f>
        <v>29.444444444444443</v>
      </c>
      <c r="AB265" s="251">
        <v>36436</v>
      </c>
      <c r="AC265" s="251" t="s">
        <v>898</v>
      </c>
      <c r="AD265" s="251" t="s">
        <v>789</v>
      </c>
      <c r="AE265" s="260">
        <v>8112305975</v>
      </c>
      <c r="AF265" s="251" t="s">
        <v>1390</v>
      </c>
      <c r="AG265" s="251" t="s">
        <v>776</v>
      </c>
      <c r="AH265" s="251" t="s">
        <v>1555</v>
      </c>
      <c r="AI265" s="243" t="s">
        <v>151</v>
      </c>
      <c r="AJ265" s="258" cm="1">
        <f t="array" aca="1" ref="AJ265" ca="1">DATE(YEAR(FECH.CONS[FECHA DE CONSULTA:]),MONTH(BDD[[#This Row],[FECHA NAC]]),DAY(BDD[[#This Row],[FECHA NAC]]))</f>
        <v>44837</v>
      </c>
      <c r="AK265" s="243"/>
      <c r="AL265" s="261" t="s">
        <v>311</v>
      </c>
      <c r="AM265" s="251" t="s">
        <v>1537</v>
      </c>
      <c r="AN265" s="251" t="s">
        <v>1551</v>
      </c>
      <c r="AO265" s="245">
        <v>81</v>
      </c>
      <c r="AP265" s="251">
        <f ca="1">INT((TODAY()-BDD[[#This Row],[FECHA NAC]])/365)</f>
        <v>22</v>
      </c>
      <c r="AQ265" s="251">
        <v>0</v>
      </c>
      <c r="AR265" s="251">
        <f ca="1">IF(BDD[[#This Row],[ANTIG]]=0,0,1)</f>
        <v>1</v>
      </c>
      <c r="AS265" s="251"/>
      <c r="AT265" s="251"/>
      <c r="AU265" s="251"/>
      <c r="AV265" s="251"/>
      <c r="AW265" s="251"/>
      <c r="AX265" s="251"/>
      <c r="AY265" s="251"/>
      <c r="AZ265" s="251">
        <f t="shared" ref="AZ265:AZ328" ca="1" si="16">RANDBETWEEN(1,1000)</f>
        <v>996</v>
      </c>
    </row>
    <row r="266" spans="2:52" ht="15" customHeight="1" x14ac:dyDescent="0.25">
      <c r="B266" s="243">
        <v>420</v>
      </c>
      <c r="C266" s="259" t="s">
        <v>1638</v>
      </c>
      <c r="D266" s="263">
        <v>7445</v>
      </c>
      <c r="E266" s="252">
        <f>(BDD[[#This Row],[SUE MENS]]/30)</f>
        <v>248.16666666666666</v>
      </c>
      <c r="F266" s="252">
        <f>BDD[[#This Row],[SUE MENS]]/2</f>
        <v>3722.5</v>
      </c>
      <c r="G266" s="319">
        <v>42739</v>
      </c>
      <c r="H266" s="243">
        <f ca="1">INT(_xlfn.DAYS(TODAY(),BDD[[#This Row],[FECHA ING.]])/365)</f>
        <v>5</v>
      </c>
      <c r="I266" s="251" t="str">
        <f>VLOOKUP(J266,TABLAS!$B$3:$G$49,2,FALSE)</f>
        <v>FINANZAS</v>
      </c>
      <c r="J266" s="198" t="s">
        <v>757</v>
      </c>
      <c r="K266" s="251" t="s">
        <v>778</v>
      </c>
      <c r="L266" s="251" t="s">
        <v>763</v>
      </c>
      <c r="M266" s="251"/>
      <c r="N266" s="244" t="s">
        <v>1780</v>
      </c>
      <c r="O266" s="251" t="str">
        <f>IFERROR(VLOOKUP(BDD[[#This Row],[SUBDPTO]],TABLAS!$B$4:$D$36,3,0)," ")</f>
        <v>MARIANO ALDEBARÁN</v>
      </c>
      <c r="P266" s="258"/>
      <c r="Q266" s="264"/>
      <c r="R266" s="244"/>
      <c r="S266" s="251"/>
      <c r="T266" s="251" t="s">
        <v>301</v>
      </c>
      <c r="U266" s="243">
        <f ca="1">VLOOKUP(BDD[[#This Row],[ANTIG]],DIASXANT18[#All],2)</f>
        <v>16</v>
      </c>
      <c r="V266" s="256">
        <f>100/200</f>
        <v>0.5</v>
      </c>
      <c r="W266" s="243">
        <f ca="1">BDD[[#This Row],[D.VAC.]]*BDD[[#This Row],[% P.V.]]</f>
        <v>8</v>
      </c>
      <c r="X266" s="243">
        <v>30</v>
      </c>
      <c r="Y266" s="257">
        <f ca="1">(365+BDD[[#This Row],[D.PAG.V.]]+BDD[[#This Row],[D.AG.]])/365</f>
        <v>1.1041095890410959</v>
      </c>
      <c r="Z266" s="243">
        <f ca="1">BDD[[#This Row],[SUE DIA]]*BDD[[#This Row],[FACTOR SDI]]</f>
        <v>274.00319634703197</v>
      </c>
      <c r="AA266" s="243">
        <f>BDD[[#This Row],[SUE DIA]]/9</f>
        <v>27.574074074074073</v>
      </c>
      <c r="AB266" s="251">
        <v>25937</v>
      </c>
      <c r="AC266" s="251" t="s">
        <v>944</v>
      </c>
      <c r="AD266" s="251" t="s">
        <v>790</v>
      </c>
      <c r="AE266" s="260">
        <v>6698543217</v>
      </c>
      <c r="AF266" s="251" t="s">
        <v>1353</v>
      </c>
      <c r="AG266" s="251" t="s">
        <v>777</v>
      </c>
      <c r="AH266" s="251" t="s">
        <v>727</v>
      </c>
      <c r="AI266" s="243" t="s">
        <v>152</v>
      </c>
      <c r="AJ266" s="258" cm="1">
        <f t="array" aca="1" ref="AJ266" ca="1">DATE(YEAR(FECH.CONS[FECHA DE CONSULTA:]),MONTH(BDD[[#This Row],[FECHA NAC]]),DAY(BDD[[#This Row],[FECHA NAC]]))</f>
        <v>44565</v>
      </c>
      <c r="AK266" s="243"/>
      <c r="AL266" s="261" t="s">
        <v>311</v>
      </c>
      <c r="AM266" s="251" t="s">
        <v>1537</v>
      </c>
      <c r="AN266" s="251" t="s">
        <v>1550</v>
      </c>
      <c r="AO266" s="245">
        <v>68</v>
      </c>
      <c r="AP266" s="251">
        <f ca="1">INT((TODAY()-BDD[[#This Row],[FECHA NAC]])/365)</f>
        <v>51</v>
      </c>
      <c r="AQ266" s="251">
        <v>0</v>
      </c>
      <c r="AR266" s="251">
        <f ca="1">IF(BDD[[#This Row],[ANTIG]]=0,0,1)</f>
        <v>1</v>
      </c>
      <c r="AS266" s="251"/>
      <c r="AT266" s="251"/>
      <c r="AU266" s="251"/>
      <c r="AV266" s="251"/>
      <c r="AW266" s="251"/>
      <c r="AX266" s="251"/>
      <c r="AY266" s="251"/>
      <c r="AZ266" s="251">
        <f t="shared" ca="1" si="16"/>
        <v>587</v>
      </c>
    </row>
    <row r="267" spans="2:52" ht="15" customHeight="1" x14ac:dyDescent="0.25">
      <c r="B267" s="243">
        <v>421</v>
      </c>
      <c r="C267" s="251" t="s">
        <v>372</v>
      </c>
      <c r="D267" s="244">
        <v>6778</v>
      </c>
      <c r="E267" s="252">
        <f>(BDD[[#This Row],[SUE MENS]]/30)</f>
        <v>225.93333333333334</v>
      </c>
      <c r="F267" s="252">
        <f>BDD[[#This Row],[SUE MENS]]/2</f>
        <v>3389</v>
      </c>
      <c r="G267" s="320">
        <v>42744</v>
      </c>
      <c r="H267" s="243">
        <f ca="1">INT(_xlfn.DAYS(TODAY(),BDD[[#This Row],[FECHA ING.]])/365)</f>
        <v>5</v>
      </c>
      <c r="I267" s="251" t="str">
        <f>VLOOKUP(J267,TABLAS!$B$3:$G$49,2,FALSE)</f>
        <v>AUDITORÍA</v>
      </c>
      <c r="J267" s="198" t="s">
        <v>735</v>
      </c>
      <c r="K267" s="251" t="s">
        <v>778</v>
      </c>
      <c r="L267" s="251" t="s">
        <v>763</v>
      </c>
      <c r="M267" s="251"/>
      <c r="N267" s="244" t="s">
        <v>2138</v>
      </c>
      <c r="O267" s="251" t="str">
        <f>IFERROR(VLOOKUP(BDD[[#This Row],[SUBDPTO]],TABLAS!$B$4:$D$36,3,0)," ")</f>
        <v>MARCO AURELIO URBINO</v>
      </c>
      <c r="P267" s="258"/>
      <c r="Q267" s="264"/>
      <c r="R267" s="244"/>
      <c r="S267" s="251"/>
      <c r="T267" s="251" t="s">
        <v>811</v>
      </c>
      <c r="U267" s="243">
        <f ca="1">VLOOKUP(BDD[[#This Row],[ANTIG]],DIASXANT18[#All],2)</f>
        <v>16</v>
      </c>
      <c r="V267" s="266">
        <v>0.25</v>
      </c>
      <c r="W267" s="243">
        <f ca="1">BDD[[#This Row],[D.VAC.]]*BDD[[#This Row],[% P.V.]]</f>
        <v>4</v>
      </c>
      <c r="X267" s="265">
        <v>15</v>
      </c>
      <c r="Y267" s="257">
        <f ca="1">(365+BDD[[#This Row],[D.PAG.V.]]+BDD[[#This Row],[D.AG.]])/365</f>
        <v>1.0520547945205478</v>
      </c>
      <c r="Z267" s="243">
        <f ca="1">BDD[[#This Row],[SUE DIA]]*BDD[[#This Row],[FACTOR SDI]]</f>
        <v>237.69424657534245</v>
      </c>
      <c r="AA267" s="243">
        <f>BDD[[#This Row],[SUE DIA]]/9</f>
        <v>25.103703703703705</v>
      </c>
      <c r="AB267" s="251">
        <v>35193</v>
      </c>
      <c r="AC267" s="251" t="s">
        <v>955</v>
      </c>
      <c r="AD267" s="251" t="s">
        <v>810</v>
      </c>
      <c r="AE267" s="252">
        <v>7831234578</v>
      </c>
      <c r="AF267" s="251" t="s">
        <v>1108</v>
      </c>
      <c r="AG267" s="251" t="s">
        <v>776</v>
      </c>
      <c r="AH267" s="251" t="s">
        <v>1555</v>
      </c>
      <c r="AI267" s="243" t="s">
        <v>151</v>
      </c>
      <c r="AJ267" s="258" cm="1">
        <f t="array" aca="1" ref="AJ267" ca="1">DATE(YEAR(FECH.CONS[FECHA DE CONSULTA:]),MONTH(BDD[[#This Row],[FECHA NAC]]),DAY(BDD[[#This Row],[FECHA NAC]]))</f>
        <v>44689</v>
      </c>
      <c r="AK267" s="243"/>
      <c r="AL267" s="251" t="s">
        <v>373</v>
      </c>
      <c r="AM267" s="251" t="s">
        <v>1544</v>
      </c>
      <c r="AN267" s="251" t="s">
        <v>1551</v>
      </c>
      <c r="AO267" s="245">
        <v>88</v>
      </c>
      <c r="AP267" s="251">
        <f ca="1">INT((TODAY()-BDD[[#This Row],[FECHA NAC]])/365)</f>
        <v>26</v>
      </c>
      <c r="AQ267" s="251">
        <v>0</v>
      </c>
      <c r="AR267" s="251">
        <f ca="1">IF(BDD[[#This Row],[ANTIG]]=0,0,1)</f>
        <v>1</v>
      </c>
      <c r="AS267" s="251"/>
      <c r="AT267" s="251"/>
      <c r="AU267" s="251"/>
      <c r="AV267" s="251"/>
      <c r="AW267" s="251"/>
      <c r="AX267" s="251"/>
      <c r="AY267" s="251"/>
      <c r="AZ267" s="251">
        <f t="shared" ca="1" si="16"/>
        <v>885</v>
      </c>
    </row>
    <row r="268" spans="2:52" ht="15" customHeight="1" x14ac:dyDescent="0.25">
      <c r="B268" s="243">
        <v>424</v>
      </c>
      <c r="C268" s="259" t="s">
        <v>825</v>
      </c>
      <c r="D268" s="252">
        <v>9541</v>
      </c>
      <c r="E268" s="252">
        <f>(BDD[[#This Row],[SUE MENS]]/30)</f>
        <v>318.03333333333336</v>
      </c>
      <c r="F268" s="252">
        <f>BDD[[#This Row],[SUE MENS]]/2</f>
        <v>4770.5</v>
      </c>
      <c r="G268" s="320">
        <v>42766</v>
      </c>
      <c r="H268" s="243">
        <f ca="1">INT(_xlfn.DAYS(TODAY(),BDD[[#This Row],[FECHA ING.]])/365)</f>
        <v>5</v>
      </c>
      <c r="I268" s="251" t="str">
        <f>VLOOKUP(J268,TABLAS!$B$3:$G$49,2,FALSE)</f>
        <v>DIRECCIÓN</v>
      </c>
      <c r="J268" s="198" t="s">
        <v>746</v>
      </c>
      <c r="K268" s="251" t="s">
        <v>778</v>
      </c>
      <c r="L268" s="251" t="s">
        <v>763</v>
      </c>
      <c r="M268" s="251"/>
      <c r="N268" s="253" t="s">
        <v>2076</v>
      </c>
      <c r="O268" s="251" t="str">
        <f>IFERROR(VLOOKUP(BDD[[#This Row],[SUBDPTO]],TABLAS!$B$4:$D$36,3,0)," ")</f>
        <v>MARIANA RODRÍGUEZ GUTIERREZ</v>
      </c>
      <c r="P268" s="258">
        <v>43030</v>
      </c>
      <c r="Q268" s="254">
        <v>7600</v>
      </c>
      <c r="R268" s="255" t="s">
        <v>768</v>
      </c>
      <c r="S268" s="251"/>
      <c r="T268" s="251" t="s">
        <v>301</v>
      </c>
      <c r="U268" s="243">
        <f ca="1">VLOOKUP(BDD[[#This Row],[ANTIG]],DIASXANT18[#All],2)</f>
        <v>16</v>
      </c>
      <c r="V268" s="256">
        <f>100/200</f>
        <v>0.5</v>
      </c>
      <c r="W268" s="243">
        <f ca="1">BDD[[#This Row],[D.VAC.]]*BDD[[#This Row],[% P.V.]]</f>
        <v>8</v>
      </c>
      <c r="X268" s="243">
        <v>30</v>
      </c>
      <c r="Y268" s="257">
        <f ca="1">(365+BDD[[#This Row],[D.PAG.V.]]+BDD[[#This Row],[D.AG.]])/365</f>
        <v>1.1041095890410959</v>
      </c>
      <c r="Z268" s="243">
        <f ca="1">BDD[[#This Row],[SUE DIA]]*BDD[[#This Row],[FACTOR SDI]]</f>
        <v>351.14365296803658</v>
      </c>
      <c r="AA268" s="243">
        <f>BDD[[#This Row],[SUE DIA]]/9</f>
        <v>35.337037037037042</v>
      </c>
      <c r="AB268" s="251">
        <v>28309</v>
      </c>
      <c r="AC268" s="251" t="s">
        <v>959</v>
      </c>
      <c r="AD268" s="251" t="s">
        <v>809</v>
      </c>
      <c r="AE268" s="260">
        <v>9180342669</v>
      </c>
      <c r="AF268" s="251" t="s">
        <v>1519</v>
      </c>
      <c r="AG268" s="251" t="s">
        <v>776</v>
      </c>
      <c r="AH268" s="251" t="s">
        <v>730</v>
      </c>
      <c r="AI268" s="243" t="s">
        <v>151</v>
      </c>
      <c r="AJ268" s="258" cm="1">
        <f t="array" aca="1" ref="AJ268" ca="1">DATE(YEAR(FECH.CONS[FECHA DE CONSULTA:]),MONTH(BDD[[#This Row],[FECHA NAC]]),DAY(BDD[[#This Row],[FECHA NAC]]))</f>
        <v>44745</v>
      </c>
      <c r="AK268" s="243">
        <v>7</v>
      </c>
      <c r="AL268" s="261" t="s">
        <v>325</v>
      </c>
      <c r="AM268" s="251" t="s">
        <v>1535</v>
      </c>
      <c r="AN268" s="251" t="s">
        <v>1551</v>
      </c>
      <c r="AO268" s="245">
        <v>62</v>
      </c>
      <c r="AP268" s="251">
        <f ca="1">INT((TODAY()-BDD[[#This Row],[FECHA NAC]])/365)</f>
        <v>45</v>
      </c>
      <c r="AQ268" s="251">
        <v>2</v>
      </c>
      <c r="AR268" s="251">
        <f ca="1">IF(BDD[[#This Row],[ANTIG]]=0,0,1)</f>
        <v>1</v>
      </c>
      <c r="AS268" s="251"/>
      <c r="AT268" s="251"/>
      <c r="AU268" s="251"/>
      <c r="AV268" s="251"/>
      <c r="AW268" s="251"/>
      <c r="AX268" s="251"/>
      <c r="AY268" s="251"/>
      <c r="AZ268" s="251">
        <f t="shared" ca="1" si="16"/>
        <v>870</v>
      </c>
    </row>
    <row r="269" spans="2:52" ht="15" customHeight="1" x14ac:dyDescent="0.25">
      <c r="B269" s="243">
        <v>425</v>
      </c>
      <c r="C269" s="259" t="s">
        <v>1628</v>
      </c>
      <c r="D269" s="252">
        <v>10860</v>
      </c>
      <c r="E269" s="252">
        <f>(BDD[[#This Row],[SUE MENS]]/30)</f>
        <v>362</v>
      </c>
      <c r="F269" s="252">
        <f>BDD[[#This Row],[SUE MENS]]/2</f>
        <v>5430</v>
      </c>
      <c r="G269" s="320">
        <v>42776</v>
      </c>
      <c r="H269" s="243">
        <f ca="1">INT(_xlfn.DAYS(TODAY(),BDD[[#This Row],[FECHA ING.]])/365)</f>
        <v>5</v>
      </c>
      <c r="I269" s="251" t="str">
        <f>VLOOKUP(J269,TABLAS!$B$3:$G$49,2,FALSE)</f>
        <v>DIV INGENRIA</v>
      </c>
      <c r="J269" s="198" t="s">
        <v>743</v>
      </c>
      <c r="K269" s="251" t="s">
        <v>778</v>
      </c>
      <c r="L269" s="251" t="s">
        <v>763</v>
      </c>
      <c r="M269" s="251"/>
      <c r="N269" s="277" t="s">
        <v>2004</v>
      </c>
      <c r="O269" s="251" t="str">
        <f>IFERROR(VLOOKUP(BDD[[#This Row],[SUBDPTO]],TABLAS!$B$4:$D$36,3,0)," ")</f>
        <v>DIEGO HERRERA GIRÓN</v>
      </c>
      <c r="P269" s="258">
        <v>40819</v>
      </c>
      <c r="Q269" s="254">
        <v>6158.4000000000005</v>
      </c>
      <c r="R269" s="255" t="s">
        <v>743</v>
      </c>
      <c r="S269" s="255" t="s">
        <v>746</v>
      </c>
      <c r="T269" s="251" t="s">
        <v>811</v>
      </c>
      <c r="U269" s="243">
        <f ca="1">VLOOKUP(BDD[[#This Row],[ANTIG]],DIASXANT18[#All],2)</f>
        <v>16</v>
      </c>
      <c r="V269" s="256">
        <f>100/200</f>
        <v>0.5</v>
      </c>
      <c r="W269" s="243">
        <f ca="1">BDD[[#This Row],[D.VAC.]]*BDD[[#This Row],[% P.V.]]</f>
        <v>8</v>
      </c>
      <c r="X269" s="243">
        <v>30</v>
      </c>
      <c r="Y269" s="257">
        <f ca="1">(365+BDD[[#This Row],[D.PAG.V.]]+BDD[[#This Row],[D.AG.]])/365</f>
        <v>1.1041095890410959</v>
      </c>
      <c r="Z269" s="243">
        <f ca="1">BDD[[#This Row],[SUE DIA]]*BDD[[#This Row],[FACTOR SDI]]</f>
        <v>399.68767123287671</v>
      </c>
      <c r="AA269" s="243">
        <f>BDD[[#This Row],[SUE DIA]]/9</f>
        <v>40.222222222222221</v>
      </c>
      <c r="AB269" s="251">
        <v>30544</v>
      </c>
      <c r="AC269" s="251" t="s">
        <v>997</v>
      </c>
      <c r="AD269" s="251" t="s">
        <v>789</v>
      </c>
      <c r="AE269" s="260">
        <v>8198865742</v>
      </c>
      <c r="AF269" s="251" t="s">
        <v>1484</v>
      </c>
      <c r="AG269" s="251" t="s">
        <v>776</v>
      </c>
      <c r="AH269" s="251" t="s">
        <v>730</v>
      </c>
      <c r="AI269" s="243" t="s">
        <v>151</v>
      </c>
      <c r="AJ269" s="258" cm="1">
        <f t="array" aca="1" ref="AJ269" ca="1">DATE(YEAR(FECH.CONS[FECHA DE CONSULTA:]),MONTH(BDD[[#This Row],[FECHA NAC]]),DAY(BDD[[#This Row],[FECHA NAC]]))</f>
        <v>44789</v>
      </c>
      <c r="AK269" s="243">
        <v>5</v>
      </c>
      <c r="AL269" s="261" t="s">
        <v>311</v>
      </c>
      <c r="AM269" s="251" t="s">
        <v>1549</v>
      </c>
      <c r="AN269" s="251" t="s">
        <v>1551</v>
      </c>
      <c r="AO269" s="245">
        <v>34</v>
      </c>
      <c r="AP269" s="251">
        <f ca="1">INT((TODAY()-BDD[[#This Row],[FECHA NAC]])/365)</f>
        <v>38</v>
      </c>
      <c r="AQ269" s="251">
        <v>1</v>
      </c>
      <c r="AR269" s="251">
        <f ca="1">IF(BDD[[#This Row],[ANTIG]]=0,0,1)</f>
        <v>1</v>
      </c>
      <c r="AS269" s="251"/>
      <c r="AT269" s="251"/>
      <c r="AU269" s="251"/>
      <c r="AV269" s="251"/>
      <c r="AW269" s="251"/>
      <c r="AX269" s="251"/>
      <c r="AY269" s="251"/>
      <c r="AZ269" s="251">
        <f t="shared" ca="1" si="16"/>
        <v>974</v>
      </c>
    </row>
    <row r="270" spans="2:52" ht="15" customHeight="1" x14ac:dyDescent="0.25">
      <c r="B270" s="243">
        <v>426</v>
      </c>
      <c r="C270" s="259" t="s">
        <v>620</v>
      </c>
      <c r="D270" s="252">
        <v>9450</v>
      </c>
      <c r="E270" s="252">
        <f>(BDD[[#This Row],[SUE MENS]]/30)</f>
        <v>315</v>
      </c>
      <c r="F270" s="252">
        <f>BDD[[#This Row],[SUE MENS]]/2</f>
        <v>4725</v>
      </c>
      <c r="G270" s="319">
        <v>42781</v>
      </c>
      <c r="H270" s="243">
        <f ca="1">INT(_xlfn.DAYS(TODAY(),BDD[[#This Row],[FECHA ING.]])/365)</f>
        <v>5</v>
      </c>
      <c r="I270" s="251" t="str">
        <f>VLOOKUP(J270,TABLAS!$B$3:$G$49,2,FALSE)</f>
        <v>DIV ARQUIT</v>
      </c>
      <c r="J270" s="198" t="s">
        <v>740</v>
      </c>
      <c r="K270" s="251" t="s">
        <v>778</v>
      </c>
      <c r="L270" s="251" t="s">
        <v>763</v>
      </c>
      <c r="M270" s="251"/>
      <c r="N270" s="253" t="s">
        <v>2084</v>
      </c>
      <c r="O270" s="251" t="str">
        <f>IFERROR(VLOOKUP(BDD[[#This Row],[SUBDPTO]],TABLAS!$B$4:$D$36,3,0)," ")</f>
        <v>MÉRIDA ISELA MEDINA SALINAS</v>
      </c>
      <c r="P270" s="258">
        <v>43637</v>
      </c>
      <c r="Q270" s="254">
        <v>5956</v>
      </c>
      <c r="R270" s="255" t="s">
        <v>747</v>
      </c>
      <c r="S270" s="251"/>
      <c r="T270" s="251" t="s">
        <v>811</v>
      </c>
      <c r="U270" s="243">
        <f ca="1">VLOOKUP(BDD[[#This Row],[ANTIG]],DIASXANT18[#All],2)</f>
        <v>16</v>
      </c>
      <c r="V270" s="256">
        <f>100/200</f>
        <v>0.5</v>
      </c>
      <c r="W270" s="243">
        <f ca="1">BDD[[#This Row],[D.VAC.]]*BDD[[#This Row],[% P.V.]]</f>
        <v>8</v>
      </c>
      <c r="X270" s="243">
        <v>30</v>
      </c>
      <c r="Y270" s="257">
        <f ca="1">(365+BDD[[#This Row],[D.PAG.V.]]+BDD[[#This Row],[D.AG.]])/365</f>
        <v>1.1041095890410959</v>
      </c>
      <c r="Z270" s="243">
        <f ca="1">BDD[[#This Row],[SUE DIA]]*BDD[[#This Row],[FACTOR SDI]]</f>
        <v>347.79452054794518</v>
      </c>
      <c r="AA270" s="243">
        <f>BDD[[#This Row],[SUE DIA]]/9</f>
        <v>35</v>
      </c>
      <c r="AB270" s="251">
        <v>33095</v>
      </c>
      <c r="AC270" s="251" t="s">
        <v>1025</v>
      </c>
      <c r="AD270" s="251" t="s">
        <v>809</v>
      </c>
      <c r="AE270" s="260">
        <v>3450651925</v>
      </c>
      <c r="AF270" s="251" t="s">
        <v>1466</v>
      </c>
      <c r="AG270" s="251" t="s">
        <v>776</v>
      </c>
      <c r="AH270" s="251" t="s">
        <v>730</v>
      </c>
      <c r="AI270" s="243" t="s">
        <v>151</v>
      </c>
      <c r="AJ270" s="258" cm="1">
        <f t="array" aca="1" ref="AJ270" ca="1">DATE(YEAR(FECH.CONS[FECHA DE CONSULTA:]),MONTH(BDD[[#This Row],[FECHA NAC]]),DAY(BDD[[#This Row],[FECHA NAC]]))</f>
        <v>44783</v>
      </c>
      <c r="AK270" s="243">
        <v>8</v>
      </c>
      <c r="AL270" s="261" t="s">
        <v>322</v>
      </c>
      <c r="AM270" s="251" t="s">
        <v>1543</v>
      </c>
      <c r="AN270" s="251" t="s">
        <v>1551</v>
      </c>
      <c r="AO270" s="245">
        <v>38</v>
      </c>
      <c r="AP270" s="251">
        <f ca="1">INT((TODAY()-BDD[[#This Row],[FECHA NAC]])/365)</f>
        <v>31</v>
      </c>
      <c r="AQ270" s="251">
        <v>2</v>
      </c>
      <c r="AR270" s="251">
        <f ca="1">IF(BDD[[#This Row],[ANTIG]]=0,0,1)</f>
        <v>1</v>
      </c>
      <c r="AS270" s="251"/>
      <c r="AT270" s="251"/>
      <c r="AU270" s="251"/>
      <c r="AV270" s="251"/>
      <c r="AW270" s="251"/>
      <c r="AX270" s="251"/>
      <c r="AY270" s="251"/>
      <c r="AZ270" s="251">
        <f t="shared" ca="1" si="16"/>
        <v>224</v>
      </c>
    </row>
    <row r="271" spans="2:52" ht="15" customHeight="1" x14ac:dyDescent="0.25">
      <c r="B271" s="243">
        <v>427</v>
      </c>
      <c r="C271" s="259" t="s">
        <v>659</v>
      </c>
      <c r="D271" s="244">
        <v>6778</v>
      </c>
      <c r="E271" s="252">
        <f>(BDD[[#This Row],[SUE MENS]]/30)</f>
        <v>225.93333333333334</v>
      </c>
      <c r="F271" s="252">
        <f>BDD[[#This Row],[SUE MENS]]/2</f>
        <v>3389</v>
      </c>
      <c r="G271" s="319">
        <v>42784</v>
      </c>
      <c r="H271" s="243">
        <f ca="1">INT(_xlfn.DAYS(TODAY(),BDD[[#This Row],[FECHA ING.]])/365)</f>
        <v>5</v>
      </c>
      <c r="I271" s="251" t="str">
        <f>VLOOKUP(J271,TABLAS!$B$3:$G$49,2,FALSE)</f>
        <v>FINANZAS</v>
      </c>
      <c r="J271" s="198" t="s">
        <v>757</v>
      </c>
      <c r="K271" s="251" t="s">
        <v>778</v>
      </c>
      <c r="L271" s="251" t="s">
        <v>763</v>
      </c>
      <c r="M271" s="251"/>
      <c r="N271" s="244" t="s">
        <v>1996</v>
      </c>
      <c r="O271" s="251" t="str">
        <f>IFERROR(VLOOKUP(BDD[[#This Row],[SUBDPTO]],TABLAS!$B$4:$D$36,3,0)," ")</f>
        <v>MARIANO ALDEBARÁN</v>
      </c>
      <c r="P271" s="258"/>
      <c r="Q271" s="264"/>
      <c r="R271" s="244"/>
      <c r="S271" s="251"/>
      <c r="T271" s="251" t="s">
        <v>811</v>
      </c>
      <c r="U271" s="243">
        <f ca="1">VLOOKUP(BDD[[#This Row],[ANTIG]],DIASXANT18[#All],2)</f>
        <v>16</v>
      </c>
      <c r="V271" s="266">
        <v>0.25</v>
      </c>
      <c r="W271" s="243">
        <f ca="1">BDD[[#This Row],[D.VAC.]]*BDD[[#This Row],[% P.V.]]</f>
        <v>4</v>
      </c>
      <c r="X271" s="265">
        <v>15</v>
      </c>
      <c r="Y271" s="257">
        <f ca="1">(365+BDD[[#This Row],[D.PAG.V.]]+BDD[[#This Row],[D.AG.]])/365</f>
        <v>1.0520547945205478</v>
      </c>
      <c r="Z271" s="243">
        <f ca="1">BDD[[#This Row],[SUE DIA]]*BDD[[#This Row],[FACTOR SDI]]</f>
        <v>237.69424657534245</v>
      </c>
      <c r="AA271" s="243">
        <f>BDD[[#This Row],[SUE DIA]]/9</f>
        <v>25.103703703703705</v>
      </c>
      <c r="AB271" s="251">
        <v>26761</v>
      </c>
      <c r="AC271" s="251" t="s">
        <v>1074</v>
      </c>
      <c r="AD271" s="251" t="s">
        <v>791</v>
      </c>
      <c r="AE271" s="260">
        <v>5633666534</v>
      </c>
      <c r="AF271" s="251" t="s">
        <v>1494</v>
      </c>
      <c r="AG271" s="251" t="s">
        <v>776</v>
      </c>
      <c r="AH271" s="251" t="s">
        <v>730</v>
      </c>
      <c r="AI271" s="243" t="s">
        <v>151</v>
      </c>
      <c r="AJ271" s="258" cm="1">
        <f t="array" aca="1" ref="AJ271" ca="1">DATE(YEAR(FECH.CONS[FECHA DE CONSULTA:]),MONTH(BDD[[#This Row],[FECHA NAC]]),DAY(BDD[[#This Row],[FECHA NAC]]))</f>
        <v>44658</v>
      </c>
      <c r="AK271" s="243">
        <v>10</v>
      </c>
      <c r="AL271" s="261" t="s">
        <v>311</v>
      </c>
      <c r="AM271" s="251" t="s">
        <v>1541</v>
      </c>
      <c r="AN271" s="251" t="s">
        <v>1551</v>
      </c>
      <c r="AO271" s="245">
        <v>73</v>
      </c>
      <c r="AP271" s="251">
        <f ca="1">INT((TODAY()-BDD[[#This Row],[FECHA NAC]])/365)</f>
        <v>49</v>
      </c>
      <c r="AQ271" s="251">
        <v>0</v>
      </c>
      <c r="AR271" s="251">
        <f ca="1">IF(BDD[[#This Row],[ANTIG]]=0,0,1)</f>
        <v>1</v>
      </c>
      <c r="AS271" s="251"/>
      <c r="AT271" s="251"/>
      <c r="AU271" s="251"/>
      <c r="AV271" s="251"/>
      <c r="AW271" s="251"/>
      <c r="AX271" s="251"/>
      <c r="AY271" s="251"/>
      <c r="AZ271" s="251">
        <f t="shared" ca="1" si="16"/>
        <v>557</v>
      </c>
    </row>
    <row r="272" spans="2:52" ht="15" customHeight="1" x14ac:dyDescent="0.25">
      <c r="B272" s="243">
        <v>428</v>
      </c>
      <c r="C272" s="259" t="s">
        <v>559</v>
      </c>
      <c r="D272" s="263">
        <v>10350</v>
      </c>
      <c r="E272" s="252">
        <f>(BDD[[#This Row],[SUE MENS]]/30)</f>
        <v>345</v>
      </c>
      <c r="F272" s="252">
        <f>BDD[[#This Row],[SUE MENS]]/2</f>
        <v>5175</v>
      </c>
      <c r="G272" s="320">
        <v>42791</v>
      </c>
      <c r="H272" s="243">
        <f ca="1">INT(_xlfn.DAYS(TODAY(),BDD[[#This Row],[FECHA ING.]])/365)</f>
        <v>5</v>
      </c>
      <c r="I272" s="251" t="str">
        <f>VLOOKUP(J272,TABLAS!$B$3:$G$49,2,FALSE)</f>
        <v>DIV ARQUIT</v>
      </c>
      <c r="J272" s="198" t="s">
        <v>740</v>
      </c>
      <c r="K272" s="251" t="s">
        <v>778</v>
      </c>
      <c r="L272" s="251" t="s">
        <v>763</v>
      </c>
      <c r="M272" s="251"/>
      <c r="N272" s="253" t="s">
        <v>1949</v>
      </c>
      <c r="O272" s="251" t="str">
        <f>IFERROR(VLOOKUP(BDD[[#This Row],[SUBDPTO]],TABLAS!$B$4:$D$36,3,0)," ")</f>
        <v>MÉRIDA ISELA MEDINA SALINAS</v>
      </c>
      <c r="P272" s="258">
        <v>41903</v>
      </c>
      <c r="Q272" s="254">
        <v>5088</v>
      </c>
      <c r="R272" s="255" t="s">
        <v>751</v>
      </c>
      <c r="S272" s="255" t="s">
        <v>736</v>
      </c>
      <c r="T272" s="251" t="s">
        <v>811</v>
      </c>
      <c r="U272" s="243">
        <f ca="1">VLOOKUP(BDD[[#This Row],[ANTIG]],DIASXANT18[#All],2)</f>
        <v>16</v>
      </c>
      <c r="V272" s="256">
        <f t="shared" ref="V272:V279" si="17">100/200</f>
        <v>0.5</v>
      </c>
      <c r="W272" s="243">
        <f ca="1">BDD[[#This Row],[D.VAC.]]*BDD[[#This Row],[% P.V.]]</f>
        <v>8</v>
      </c>
      <c r="X272" s="243">
        <v>30</v>
      </c>
      <c r="Y272" s="257">
        <f ca="1">(365+BDD[[#This Row],[D.PAG.V.]]+BDD[[#This Row],[D.AG.]])/365</f>
        <v>1.1041095890410959</v>
      </c>
      <c r="Z272" s="243">
        <f ca="1">BDD[[#This Row],[SUE DIA]]*BDD[[#This Row],[FACTOR SDI]]</f>
        <v>380.91780821917808</v>
      </c>
      <c r="AA272" s="243">
        <f>BDD[[#This Row],[SUE DIA]]/9</f>
        <v>38.333333333333336</v>
      </c>
      <c r="AB272" s="251">
        <v>36101</v>
      </c>
      <c r="AC272" s="251" t="s">
        <v>969</v>
      </c>
      <c r="AD272" s="251" t="s">
        <v>793</v>
      </c>
      <c r="AE272" s="260">
        <v>8210871383</v>
      </c>
      <c r="AF272" s="251" t="s">
        <v>1423</v>
      </c>
      <c r="AG272" s="251" t="s">
        <v>774</v>
      </c>
      <c r="AH272" s="251" t="s">
        <v>730</v>
      </c>
      <c r="AI272" s="243" t="s">
        <v>151</v>
      </c>
      <c r="AJ272" s="258" cm="1">
        <f t="array" aca="1" ref="AJ272" ca="1">DATE(YEAR(FECH.CONS[FECHA DE CONSULTA:]),MONTH(BDD[[#This Row],[FECHA NAC]]),DAY(BDD[[#This Row],[FECHA NAC]]))</f>
        <v>44867</v>
      </c>
      <c r="AK272" s="243">
        <v>7</v>
      </c>
      <c r="AL272" s="261" t="s">
        <v>311</v>
      </c>
      <c r="AM272" s="251" t="s">
        <v>1543</v>
      </c>
      <c r="AN272" s="251" t="s">
        <v>1551</v>
      </c>
      <c r="AO272" s="245">
        <v>94</v>
      </c>
      <c r="AP272" s="251">
        <f ca="1">INT((TODAY()-BDD[[#This Row],[FECHA NAC]])/365)</f>
        <v>23</v>
      </c>
      <c r="AQ272" s="251">
        <v>3</v>
      </c>
      <c r="AR272" s="251">
        <f ca="1">IF(BDD[[#This Row],[ANTIG]]=0,0,1)</f>
        <v>1</v>
      </c>
      <c r="AS272" s="251"/>
      <c r="AT272" s="251"/>
      <c r="AU272" s="251"/>
      <c r="AV272" s="251"/>
      <c r="AW272" s="251"/>
      <c r="AX272" s="251"/>
      <c r="AY272" s="251"/>
      <c r="AZ272" s="251">
        <f t="shared" ca="1" si="16"/>
        <v>558</v>
      </c>
    </row>
    <row r="273" spans="2:52" ht="15" customHeight="1" x14ac:dyDescent="0.25">
      <c r="B273" s="243">
        <v>430</v>
      </c>
      <c r="C273" s="259" t="s">
        <v>654</v>
      </c>
      <c r="D273" s="252">
        <v>9541</v>
      </c>
      <c r="E273" s="252">
        <f>(BDD[[#This Row],[SUE MENS]]/30)</f>
        <v>318.03333333333336</v>
      </c>
      <c r="F273" s="252">
        <f>BDD[[#This Row],[SUE MENS]]/2</f>
        <v>4770.5</v>
      </c>
      <c r="G273" s="319">
        <v>42799</v>
      </c>
      <c r="H273" s="243">
        <f ca="1">INT(_xlfn.DAYS(TODAY(),BDD[[#This Row],[FECHA ING.]])/365)</f>
        <v>5</v>
      </c>
      <c r="I273" s="251" t="str">
        <f>VLOOKUP(J273,TABLAS!$B$3:$G$49,2,FALSE)</f>
        <v>DIV INGENRIA</v>
      </c>
      <c r="J273" s="198" t="s">
        <v>743</v>
      </c>
      <c r="K273" s="251" t="s">
        <v>778</v>
      </c>
      <c r="L273" s="251" t="s">
        <v>763</v>
      </c>
      <c r="M273" s="251"/>
      <c r="N273" s="244" t="s">
        <v>2116</v>
      </c>
      <c r="O273" s="251" t="str">
        <f>IFERROR(VLOOKUP(BDD[[#This Row],[SUBDPTO]],TABLAS!$B$4:$D$36,3,0)," ")</f>
        <v>DIEGO HERRERA GIRÓN</v>
      </c>
      <c r="P273" s="258">
        <v>42714</v>
      </c>
      <c r="Q273" s="254">
        <v>5200</v>
      </c>
      <c r="R273" s="255" t="s">
        <v>747</v>
      </c>
      <c r="S273" s="255" t="s">
        <v>743</v>
      </c>
      <c r="T273" s="251" t="s">
        <v>811</v>
      </c>
      <c r="U273" s="243">
        <f ca="1">VLOOKUP(BDD[[#This Row],[ANTIG]],DIASXANT18[#All],2)</f>
        <v>16</v>
      </c>
      <c r="V273" s="256">
        <f t="shared" si="17"/>
        <v>0.5</v>
      </c>
      <c r="W273" s="243">
        <f ca="1">BDD[[#This Row],[D.VAC.]]*BDD[[#This Row],[% P.V.]]</f>
        <v>8</v>
      </c>
      <c r="X273" s="243">
        <v>30</v>
      </c>
      <c r="Y273" s="257">
        <f ca="1">(365+BDD[[#This Row],[D.PAG.V.]]+BDD[[#This Row],[D.AG.]])/365</f>
        <v>1.1041095890410959</v>
      </c>
      <c r="Z273" s="243">
        <f ca="1">BDD[[#This Row],[SUE DIA]]*BDD[[#This Row],[FACTOR SDI]]</f>
        <v>351.14365296803658</v>
      </c>
      <c r="AA273" s="243">
        <f>BDD[[#This Row],[SUE DIA]]/9</f>
        <v>35.337037037037042</v>
      </c>
      <c r="AB273" s="251">
        <v>31189</v>
      </c>
      <c r="AC273" s="251" t="s">
        <v>918</v>
      </c>
      <c r="AD273" s="251" t="s">
        <v>789</v>
      </c>
      <c r="AE273" s="260">
        <v>7171591595</v>
      </c>
      <c r="AF273" s="251" t="s">
        <v>1491</v>
      </c>
      <c r="AG273" s="251" t="s">
        <v>776</v>
      </c>
      <c r="AH273" s="251" t="s">
        <v>730</v>
      </c>
      <c r="AI273" s="243" t="s">
        <v>151</v>
      </c>
      <c r="AJ273" s="258" cm="1">
        <f t="array" aca="1" ref="AJ273" ca="1">DATE(YEAR(FECH.CONS[FECHA DE CONSULTA:]),MONTH(BDD[[#This Row],[FECHA NAC]]),DAY(BDD[[#This Row],[FECHA NAC]]))</f>
        <v>44703</v>
      </c>
      <c r="AK273" s="243">
        <v>5</v>
      </c>
      <c r="AL273" s="261" t="s">
        <v>326</v>
      </c>
      <c r="AM273" s="251" t="s">
        <v>1538</v>
      </c>
      <c r="AN273" s="251" t="s">
        <v>1551</v>
      </c>
      <c r="AO273" s="245">
        <v>75</v>
      </c>
      <c r="AP273" s="251">
        <f ca="1">INT((TODAY()-BDD[[#This Row],[FECHA NAC]])/365)</f>
        <v>37</v>
      </c>
      <c r="AQ273" s="251">
        <v>2</v>
      </c>
      <c r="AR273" s="251">
        <f ca="1">IF(BDD[[#This Row],[ANTIG]]=0,0,1)</f>
        <v>1</v>
      </c>
      <c r="AS273" s="251"/>
      <c r="AT273" s="251"/>
      <c r="AU273" s="251"/>
      <c r="AV273" s="251"/>
      <c r="AW273" s="251"/>
      <c r="AX273" s="251"/>
      <c r="AY273" s="251"/>
      <c r="AZ273" s="251">
        <f t="shared" ca="1" si="16"/>
        <v>170</v>
      </c>
    </row>
    <row r="274" spans="2:52" ht="15" customHeight="1" x14ac:dyDescent="0.25">
      <c r="B274" s="243">
        <v>431</v>
      </c>
      <c r="C274" s="251" t="s">
        <v>429</v>
      </c>
      <c r="D274" s="263">
        <v>7445</v>
      </c>
      <c r="E274" s="252">
        <f>(BDD[[#This Row],[SUE MENS]]/30)</f>
        <v>248.16666666666666</v>
      </c>
      <c r="F274" s="252">
        <f>BDD[[#This Row],[SUE MENS]]/2</f>
        <v>3722.5</v>
      </c>
      <c r="G274" s="319">
        <v>42801</v>
      </c>
      <c r="H274" s="243">
        <f ca="1">INT(_xlfn.DAYS(TODAY(),BDD[[#This Row],[FECHA ING.]])/365)</f>
        <v>5</v>
      </c>
      <c r="I274" s="251" t="str">
        <f>VLOOKUP(J274,TABLAS!$B$3:$G$49,2,FALSE)</f>
        <v>AUDITORÍA</v>
      </c>
      <c r="J274" s="198" t="s">
        <v>736</v>
      </c>
      <c r="K274" s="251" t="s">
        <v>778</v>
      </c>
      <c r="L274" s="251" t="s">
        <v>763</v>
      </c>
      <c r="M274" s="251"/>
      <c r="N274" s="244" t="s">
        <v>2191</v>
      </c>
      <c r="O274" s="251" t="str">
        <f>IFERROR(VLOOKUP(BDD[[#This Row],[SUBDPTO]],TABLAS!$B$4:$D$36,3,0)," ")</f>
        <v>MARCO AURELIO URBINO</v>
      </c>
      <c r="P274" s="258"/>
      <c r="Q274" s="264"/>
      <c r="R274" s="244"/>
      <c r="S274" s="251"/>
      <c r="T274" s="251" t="s">
        <v>811</v>
      </c>
      <c r="U274" s="243">
        <f ca="1">VLOOKUP(BDD[[#This Row],[ANTIG]],DIASXANT18[#All],2)</f>
        <v>16</v>
      </c>
      <c r="V274" s="256">
        <f t="shared" si="17"/>
        <v>0.5</v>
      </c>
      <c r="W274" s="243">
        <f ca="1">BDD[[#This Row],[D.VAC.]]*BDD[[#This Row],[% P.V.]]</f>
        <v>8</v>
      </c>
      <c r="X274" s="243">
        <v>30</v>
      </c>
      <c r="Y274" s="257">
        <f ca="1">(365+BDD[[#This Row],[D.PAG.V.]]+BDD[[#This Row],[D.AG.]])/365</f>
        <v>1.1041095890410959</v>
      </c>
      <c r="Z274" s="243">
        <f ca="1">BDD[[#This Row],[SUE DIA]]*BDD[[#This Row],[FACTOR SDI]]</f>
        <v>274.00319634703197</v>
      </c>
      <c r="AA274" s="243">
        <f>BDD[[#This Row],[SUE DIA]]/9</f>
        <v>27.574074074074073</v>
      </c>
      <c r="AB274" s="251">
        <v>32010</v>
      </c>
      <c r="AC274" s="251" t="s">
        <v>900</v>
      </c>
      <c r="AD274" s="251" t="s">
        <v>809</v>
      </c>
      <c r="AE274" s="252">
        <v>8229404573</v>
      </c>
      <c r="AF274" s="251" t="s">
        <v>1195</v>
      </c>
      <c r="AG274" s="251" t="s">
        <v>776</v>
      </c>
      <c r="AH274" s="251" t="s">
        <v>730</v>
      </c>
      <c r="AI274" s="243" t="s">
        <v>151</v>
      </c>
      <c r="AJ274" s="258" cm="1">
        <f t="array" aca="1" ref="AJ274" ca="1">DATE(YEAR(FECH.CONS[FECHA DE CONSULTA:]),MONTH(BDD[[#This Row],[FECHA NAC]]),DAY(BDD[[#This Row],[FECHA NAC]]))</f>
        <v>44794</v>
      </c>
      <c r="AK274" s="243">
        <v>8</v>
      </c>
      <c r="AL274" s="251" t="s">
        <v>311</v>
      </c>
      <c r="AM274" s="251" t="s">
        <v>1535</v>
      </c>
      <c r="AN274" s="251" t="s">
        <v>1551</v>
      </c>
      <c r="AO274" s="245">
        <v>91</v>
      </c>
      <c r="AP274" s="251">
        <f ca="1">INT((TODAY()-BDD[[#This Row],[FECHA NAC]])/365)</f>
        <v>34</v>
      </c>
      <c r="AQ274" s="251">
        <v>2</v>
      </c>
      <c r="AR274" s="251">
        <f ca="1">IF(BDD[[#This Row],[ANTIG]]=0,0,1)</f>
        <v>1</v>
      </c>
      <c r="AS274" s="251"/>
      <c r="AT274" s="251"/>
      <c r="AU274" s="251"/>
      <c r="AV274" s="251"/>
      <c r="AW274" s="251"/>
      <c r="AX274" s="251"/>
      <c r="AY274" s="251"/>
      <c r="AZ274" s="251">
        <f t="shared" ca="1" si="16"/>
        <v>268</v>
      </c>
    </row>
    <row r="275" spans="2:52" ht="15" customHeight="1" x14ac:dyDescent="0.25">
      <c r="B275" s="243">
        <v>432</v>
      </c>
      <c r="C275" s="251" t="s">
        <v>211</v>
      </c>
      <c r="D275" s="252">
        <v>7445</v>
      </c>
      <c r="E275" s="252">
        <f>(BDD[[#This Row],[SUE MENS]]/30)</f>
        <v>248.16666666666666</v>
      </c>
      <c r="F275" s="252">
        <f>BDD[[#This Row],[SUE MENS]]/2</f>
        <v>3722.5</v>
      </c>
      <c r="G275" s="320">
        <v>42832</v>
      </c>
      <c r="H275" s="243">
        <f ca="1">INT(_xlfn.DAYS(TODAY(),BDD[[#This Row],[FECHA ING.]])/365)</f>
        <v>5</v>
      </c>
      <c r="I275" s="251" t="str">
        <f>VLOOKUP(J275,TABLAS!$B$3:$G$49,2,FALSE)</f>
        <v>FINANZAS</v>
      </c>
      <c r="J275" s="198" t="s">
        <v>747</v>
      </c>
      <c r="K275" s="251" t="s">
        <v>778</v>
      </c>
      <c r="L275" s="251" t="s">
        <v>763</v>
      </c>
      <c r="M275" s="251"/>
      <c r="N275" s="244" t="s">
        <v>1988</v>
      </c>
      <c r="O275" s="251" t="str">
        <f>IFERROR(VLOOKUP(BDD[[#This Row],[SUBDPTO]],TABLAS!$B$4:$D$36,3,0)," ")</f>
        <v>MARIANO ALDEBARÁN</v>
      </c>
      <c r="P275" s="258"/>
      <c r="Q275" s="264"/>
      <c r="R275" s="244"/>
      <c r="S275" s="251"/>
      <c r="T275" s="251" t="s">
        <v>811</v>
      </c>
      <c r="U275" s="243">
        <f ca="1">VLOOKUP(BDD[[#This Row],[ANTIG]],DIASXANT18[#All],2)</f>
        <v>16</v>
      </c>
      <c r="V275" s="256">
        <f t="shared" si="17"/>
        <v>0.5</v>
      </c>
      <c r="W275" s="243">
        <f ca="1">BDD[[#This Row],[D.VAC.]]*BDD[[#This Row],[% P.V.]]</f>
        <v>8</v>
      </c>
      <c r="X275" s="243">
        <v>30</v>
      </c>
      <c r="Y275" s="257">
        <f ca="1">(365+BDD[[#This Row],[D.PAG.V.]]+BDD[[#This Row],[D.AG.]])/365</f>
        <v>1.1041095890410959</v>
      </c>
      <c r="Z275" s="243">
        <f ca="1">BDD[[#This Row],[SUE DIA]]*BDD[[#This Row],[FACTOR SDI]]</f>
        <v>274.00319634703197</v>
      </c>
      <c r="AA275" s="243">
        <f>BDD[[#This Row],[SUE DIA]]/9</f>
        <v>27.574074074074073</v>
      </c>
      <c r="AB275" s="251">
        <v>31998</v>
      </c>
      <c r="AC275" s="251" t="s">
        <v>984</v>
      </c>
      <c r="AD275" s="251" t="s">
        <v>787</v>
      </c>
      <c r="AE275" s="252">
        <v>8689628567</v>
      </c>
      <c r="AF275" s="251" t="s">
        <v>1217</v>
      </c>
      <c r="AG275" s="251" t="s">
        <v>776</v>
      </c>
      <c r="AH275" s="251" t="s">
        <v>730</v>
      </c>
      <c r="AI275" s="243" t="s">
        <v>151</v>
      </c>
      <c r="AJ275" s="258" cm="1">
        <f t="array" aca="1" ref="AJ275" ca="1">DATE(YEAR(FECH.CONS[FECHA DE CONSULTA:]),MONTH(BDD[[#This Row],[FECHA NAC]]),DAY(BDD[[#This Row],[FECHA NAC]]))</f>
        <v>44782</v>
      </c>
      <c r="AK275" s="243">
        <v>5</v>
      </c>
      <c r="AL275" s="261" t="s">
        <v>311</v>
      </c>
      <c r="AM275" s="251" t="s">
        <v>1535</v>
      </c>
      <c r="AN275" s="251" t="s">
        <v>1551</v>
      </c>
      <c r="AO275" s="245">
        <v>63</v>
      </c>
      <c r="AP275" s="251">
        <f ca="1">INT((TODAY()-BDD[[#This Row],[FECHA NAC]])/365)</f>
        <v>34</v>
      </c>
      <c r="AQ275" s="251">
        <v>3</v>
      </c>
      <c r="AR275" s="251">
        <f ca="1">IF(BDD[[#This Row],[ANTIG]]=0,0,1)</f>
        <v>1</v>
      </c>
      <c r="AS275" s="251"/>
      <c r="AT275" s="251"/>
      <c r="AU275" s="251"/>
      <c r="AV275" s="251"/>
      <c r="AW275" s="251"/>
      <c r="AX275" s="251"/>
      <c r="AY275" s="251"/>
      <c r="AZ275" s="251">
        <f t="shared" ca="1" si="16"/>
        <v>927</v>
      </c>
    </row>
    <row r="276" spans="2:52" ht="15" customHeight="1" x14ac:dyDescent="0.25">
      <c r="B276" s="243">
        <v>433</v>
      </c>
      <c r="C276" s="262" t="s">
        <v>1634</v>
      </c>
      <c r="D276" s="252">
        <v>8825</v>
      </c>
      <c r="E276" s="252">
        <f>(BDD[[#This Row],[SUE MENS]]/30)</f>
        <v>294.16666666666669</v>
      </c>
      <c r="F276" s="252">
        <f>BDD[[#This Row],[SUE MENS]]/2</f>
        <v>4412.5</v>
      </c>
      <c r="G276" s="319">
        <v>42837</v>
      </c>
      <c r="H276" s="243">
        <f ca="1">INT(_xlfn.DAYS(TODAY(),BDD[[#This Row],[FECHA ING.]])/365)</f>
        <v>5</v>
      </c>
      <c r="I276" s="251" t="str">
        <f>VLOOKUP(J276,TABLAS!$B$3:$G$49,2,FALSE)</f>
        <v>CONTABILIDAD</v>
      </c>
      <c r="J276" s="198" t="s">
        <v>737</v>
      </c>
      <c r="K276" s="251" t="s">
        <v>778</v>
      </c>
      <c r="L276" s="251" t="s">
        <v>763</v>
      </c>
      <c r="M276" s="251"/>
      <c r="N276" s="253" t="s">
        <v>2012</v>
      </c>
      <c r="O276" s="251" t="str">
        <f>IFERROR(VLOOKUP(BDD[[#This Row],[SUBDPTO]],TABLAS!$B$4:$D$36,3,0)," ")</f>
        <v>IRIE DALÍ ANTARES CORTÉS</v>
      </c>
      <c r="P276" s="258">
        <v>43358</v>
      </c>
      <c r="Q276" s="254">
        <v>6158.4000000000005</v>
      </c>
      <c r="R276" s="255" t="s">
        <v>738</v>
      </c>
      <c r="S276" s="251"/>
      <c r="T276" s="251" t="s">
        <v>811</v>
      </c>
      <c r="U276" s="243">
        <f ca="1">VLOOKUP(BDD[[#This Row],[ANTIG]],DIASXANT18[#All],2)</f>
        <v>16</v>
      </c>
      <c r="V276" s="256">
        <f t="shared" si="17"/>
        <v>0.5</v>
      </c>
      <c r="W276" s="243">
        <f ca="1">BDD[[#This Row],[D.VAC.]]*BDD[[#This Row],[% P.V.]]</f>
        <v>8</v>
      </c>
      <c r="X276" s="243">
        <v>30</v>
      </c>
      <c r="Y276" s="257">
        <f ca="1">(365+BDD[[#This Row],[D.PAG.V.]]+BDD[[#This Row],[D.AG.]])/365</f>
        <v>1.1041095890410959</v>
      </c>
      <c r="Z276" s="243">
        <f ca="1">BDD[[#This Row],[SUE DIA]]*BDD[[#This Row],[FACTOR SDI]]</f>
        <v>324.79223744292239</v>
      </c>
      <c r="AA276" s="243">
        <f>BDD[[#This Row],[SUE DIA]]/9</f>
        <v>32.68518518518519</v>
      </c>
      <c r="AB276" s="262">
        <v>35992</v>
      </c>
      <c r="AC276" s="251" t="s">
        <v>921</v>
      </c>
      <c r="AD276" s="251" t="s">
        <v>792</v>
      </c>
      <c r="AE276" s="252">
        <v>8258294284</v>
      </c>
      <c r="AF276" s="251" t="s">
        <v>1344</v>
      </c>
      <c r="AG276" s="251" t="s">
        <v>776</v>
      </c>
      <c r="AH276" s="251" t="s">
        <v>730</v>
      </c>
      <c r="AI276" s="243" t="s">
        <v>151</v>
      </c>
      <c r="AJ276" s="258" cm="1">
        <f t="array" aca="1" ref="AJ276" ca="1">DATE(YEAR(FECH.CONS[FECHA DE CONSULTA:]),MONTH(BDD[[#This Row],[FECHA NAC]]),DAY(BDD[[#This Row],[FECHA NAC]]))</f>
        <v>44758</v>
      </c>
      <c r="AK276" s="243">
        <v>6</v>
      </c>
      <c r="AL276" s="261" t="s">
        <v>311</v>
      </c>
      <c r="AM276" s="251" t="s">
        <v>1545</v>
      </c>
      <c r="AN276" s="251" t="s">
        <v>1551</v>
      </c>
      <c r="AO276" s="245">
        <v>73</v>
      </c>
      <c r="AP276" s="251">
        <f ca="1">INT((TODAY()-BDD[[#This Row],[FECHA NAC]])/365)</f>
        <v>24</v>
      </c>
      <c r="AQ276" s="251">
        <v>1</v>
      </c>
      <c r="AR276" s="251">
        <f ca="1">IF(BDD[[#This Row],[ANTIG]]=0,0,1)</f>
        <v>1</v>
      </c>
      <c r="AS276" s="251"/>
      <c r="AT276" s="251"/>
      <c r="AU276" s="251"/>
      <c r="AV276" s="251"/>
      <c r="AW276" s="251"/>
      <c r="AX276" s="251"/>
      <c r="AY276" s="251"/>
      <c r="AZ276" s="251">
        <f t="shared" ca="1" si="16"/>
        <v>100</v>
      </c>
    </row>
    <row r="277" spans="2:52" ht="15" customHeight="1" x14ac:dyDescent="0.25">
      <c r="B277" s="243">
        <v>434</v>
      </c>
      <c r="C277" s="259" t="s">
        <v>459</v>
      </c>
      <c r="D277" s="252">
        <v>10860</v>
      </c>
      <c r="E277" s="252">
        <f>(BDD[[#This Row],[SUE MENS]]/30)</f>
        <v>362</v>
      </c>
      <c r="F277" s="252">
        <f>BDD[[#This Row],[SUE MENS]]/2</f>
        <v>5430</v>
      </c>
      <c r="G277" s="319">
        <v>42840</v>
      </c>
      <c r="H277" s="243">
        <f ca="1">INT(_xlfn.DAYS(TODAY(),BDD[[#This Row],[FECHA ING.]])/365)</f>
        <v>5</v>
      </c>
      <c r="I277" s="251" t="str">
        <f>VLOOKUP(J277,TABLAS!$B$3:$G$49,2,FALSE)</f>
        <v>DIRECCIÓN</v>
      </c>
      <c r="J277" s="198" t="s">
        <v>759</v>
      </c>
      <c r="K277" s="251" t="s">
        <v>778</v>
      </c>
      <c r="L277" s="251" t="s">
        <v>763</v>
      </c>
      <c r="M277" s="251"/>
      <c r="N277" s="244" t="s">
        <v>1936</v>
      </c>
      <c r="O277" s="251" t="str">
        <f>IFERROR(VLOOKUP(BDD[[#This Row],[SUBDPTO]],TABLAS!$B$4:$D$36,3,0)," ")</f>
        <v>MARIANA RODRÍGUEZ GUTIERREZ</v>
      </c>
      <c r="P277" s="258">
        <v>42179</v>
      </c>
      <c r="Q277" s="254">
        <v>6158.4000000000005</v>
      </c>
      <c r="R277" s="255" t="s">
        <v>740</v>
      </c>
      <c r="S277" s="255" t="s">
        <v>759</v>
      </c>
      <c r="T277" s="251" t="s">
        <v>301</v>
      </c>
      <c r="U277" s="243">
        <f ca="1">VLOOKUP(BDD[[#This Row],[ANTIG]],DIASXANT18[#All],2)</f>
        <v>16</v>
      </c>
      <c r="V277" s="256">
        <f t="shared" si="17"/>
        <v>0.5</v>
      </c>
      <c r="W277" s="243">
        <f ca="1">BDD[[#This Row],[D.VAC.]]*BDD[[#This Row],[% P.V.]]</f>
        <v>8</v>
      </c>
      <c r="X277" s="243">
        <v>30</v>
      </c>
      <c r="Y277" s="257">
        <f ca="1">(365+BDD[[#This Row],[D.PAG.V.]]+BDD[[#This Row],[D.AG.]])/365</f>
        <v>1.1041095890410959</v>
      </c>
      <c r="Z277" s="243">
        <f ca="1">BDD[[#This Row],[SUE DIA]]*BDD[[#This Row],[FACTOR SDI]]</f>
        <v>399.68767123287671</v>
      </c>
      <c r="AA277" s="243">
        <f>BDD[[#This Row],[SUE DIA]]/9</f>
        <v>40.222222222222221</v>
      </c>
      <c r="AB277" s="251">
        <v>27047</v>
      </c>
      <c r="AC277" s="251" t="s">
        <v>886</v>
      </c>
      <c r="AD277" s="251" t="s">
        <v>809</v>
      </c>
      <c r="AE277" s="260">
        <v>3395020145</v>
      </c>
      <c r="AF277" s="251" t="s">
        <v>1361</v>
      </c>
      <c r="AG277" s="251" t="s">
        <v>773</v>
      </c>
      <c r="AH277" s="251" t="s">
        <v>730</v>
      </c>
      <c r="AI277" s="243" t="s">
        <v>152</v>
      </c>
      <c r="AJ277" s="258" cm="1">
        <f t="array" aca="1" ref="AJ277" ca="1">DATE(YEAR(FECH.CONS[FECHA DE CONSULTA:]),MONTH(BDD[[#This Row],[FECHA NAC]]),DAY(BDD[[#This Row],[FECHA NAC]]))</f>
        <v>44579</v>
      </c>
      <c r="AK277" s="243">
        <v>6</v>
      </c>
      <c r="AL277" s="261" t="s">
        <v>311</v>
      </c>
      <c r="AM277" s="251" t="s">
        <v>1534</v>
      </c>
      <c r="AN277" s="251" t="s">
        <v>1551</v>
      </c>
      <c r="AO277" s="245">
        <v>73</v>
      </c>
      <c r="AP277" s="251">
        <f ca="1">INT((TODAY()-BDD[[#This Row],[FECHA NAC]])/365)</f>
        <v>48</v>
      </c>
      <c r="AQ277" s="251">
        <v>2</v>
      </c>
      <c r="AR277" s="251">
        <f ca="1">IF(BDD[[#This Row],[ANTIG]]=0,0,1)</f>
        <v>1</v>
      </c>
      <c r="AS277" s="251"/>
      <c r="AT277" s="251"/>
      <c r="AU277" s="251"/>
      <c r="AV277" s="251"/>
      <c r="AW277" s="251"/>
      <c r="AX277" s="251"/>
      <c r="AY277" s="251"/>
      <c r="AZ277" s="251">
        <f t="shared" ca="1" si="16"/>
        <v>88</v>
      </c>
    </row>
    <row r="278" spans="2:52" ht="15" customHeight="1" x14ac:dyDescent="0.25">
      <c r="B278" s="243">
        <v>435</v>
      </c>
      <c r="C278" s="262" t="s">
        <v>341</v>
      </c>
      <c r="D278" s="263">
        <v>7445</v>
      </c>
      <c r="E278" s="252">
        <f>(BDD[[#This Row],[SUE MENS]]/30)</f>
        <v>248.16666666666666</v>
      </c>
      <c r="F278" s="252">
        <f>BDD[[#This Row],[SUE MENS]]/2</f>
        <v>3722.5</v>
      </c>
      <c r="G278" s="319">
        <v>42843</v>
      </c>
      <c r="H278" s="243">
        <f ca="1">INT(_xlfn.DAYS(TODAY(),BDD[[#This Row],[FECHA ING.]])/365)</f>
        <v>5</v>
      </c>
      <c r="I278" s="251" t="str">
        <f>VLOOKUP(J278,TABLAS!$B$3:$G$49,2,FALSE)</f>
        <v>AUDITORÍA</v>
      </c>
      <c r="J278" s="198" t="s">
        <v>736</v>
      </c>
      <c r="K278" s="251" t="s">
        <v>778</v>
      </c>
      <c r="L278" s="251" t="s">
        <v>763</v>
      </c>
      <c r="M278" s="251"/>
      <c r="N278" s="244" t="s">
        <v>1842</v>
      </c>
      <c r="O278" s="251" t="str">
        <f>IFERROR(VLOOKUP(BDD[[#This Row],[SUBDPTO]],TABLAS!$B$4:$D$36,3,0)," ")</f>
        <v>MARCO AURELIO URBINO</v>
      </c>
      <c r="P278" s="258">
        <v>43208</v>
      </c>
      <c r="Q278" s="254">
        <v>5422.4000000000005</v>
      </c>
      <c r="R278" s="255" t="s">
        <v>747</v>
      </c>
      <c r="S278" s="251"/>
      <c r="T278" s="251" t="s">
        <v>811</v>
      </c>
      <c r="U278" s="243">
        <f ca="1">VLOOKUP(BDD[[#This Row],[ANTIG]],DIASXANT18[#All],2)</f>
        <v>16</v>
      </c>
      <c r="V278" s="256">
        <f t="shared" si="17"/>
        <v>0.5</v>
      </c>
      <c r="W278" s="243">
        <f ca="1">BDD[[#This Row],[D.VAC.]]*BDD[[#This Row],[% P.V.]]</f>
        <v>8</v>
      </c>
      <c r="X278" s="243">
        <v>30</v>
      </c>
      <c r="Y278" s="257">
        <f ca="1">(365+BDD[[#This Row],[D.PAG.V.]]+BDD[[#This Row],[D.AG.]])/365</f>
        <v>1.1041095890410959</v>
      </c>
      <c r="Z278" s="243">
        <f ca="1">BDD[[#This Row],[SUE DIA]]*BDD[[#This Row],[FACTOR SDI]]</f>
        <v>274.00319634703197</v>
      </c>
      <c r="AA278" s="243">
        <f>BDD[[#This Row],[SUE DIA]]/9</f>
        <v>27.574074074074073</v>
      </c>
      <c r="AB278" s="262">
        <v>36023</v>
      </c>
      <c r="AC278" s="251" t="s">
        <v>920</v>
      </c>
      <c r="AD278" s="251" t="s">
        <v>791</v>
      </c>
      <c r="AE278" s="252">
        <v>8169171728</v>
      </c>
      <c r="AF278" s="251" t="s">
        <v>1309</v>
      </c>
      <c r="AG278" s="251" t="s">
        <v>776</v>
      </c>
      <c r="AH278" s="251" t="s">
        <v>727</v>
      </c>
      <c r="AI278" s="243" t="s">
        <v>151</v>
      </c>
      <c r="AJ278" s="258" cm="1">
        <f t="array" aca="1" ref="AJ278" ca="1">DATE(YEAR(FECH.CONS[FECHA DE CONSULTA:]),MONTH(BDD[[#This Row],[FECHA NAC]]),DAY(BDD[[#This Row],[FECHA NAC]]))</f>
        <v>44789</v>
      </c>
      <c r="AK278" s="243"/>
      <c r="AL278" s="261" t="s">
        <v>311</v>
      </c>
      <c r="AM278" s="251" t="s">
        <v>1534</v>
      </c>
      <c r="AN278" s="251" t="s">
        <v>162</v>
      </c>
      <c r="AO278" s="245">
        <v>80</v>
      </c>
      <c r="AP278" s="251">
        <f ca="1">INT((TODAY()-BDD[[#This Row],[FECHA NAC]])/365)</f>
        <v>23</v>
      </c>
      <c r="AQ278" s="251">
        <v>2</v>
      </c>
      <c r="AR278" s="251">
        <f ca="1">IF(BDD[[#This Row],[ANTIG]]=0,0,1)</f>
        <v>1</v>
      </c>
      <c r="AS278" s="251"/>
      <c r="AT278" s="251"/>
      <c r="AU278" s="251"/>
      <c r="AV278" s="251"/>
      <c r="AW278" s="251"/>
      <c r="AX278" s="251"/>
      <c r="AY278" s="251"/>
      <c r="AZ278" s="251">
        <f t="shared" ca="1" si="16"/>
        <v>744</v>
      </c>
    </row>
    <row r="279" spans="2:52" ht="15" customHeight="1" x14ac:dyDescent="0.25">
      <c r="B279" s="243">
        <v>436</v>
      </c>
      <c r="C279" s="259" t="s">
        <v>531</v>
      </c>
      <c r="D279" s="252">
        <v>10860</v>
      </c>
      <c r="E279" s="252">
        <f>(BDD[[#This Row],[SUE MENS]]/30)</f>
        <v>362</v>
      </c>
      <c r="F279" s="252">
        <f>BDD[[#This Row],[SUE MENS]]/2</f>
        <v>5430</v>
      </c>
      <c r="G279" s="320">
        <v>42882</v>
      </c>
      <c r="H279" s="243">
        <f ca="1">INT(_xlfn.DAYS(TODAY(),BDD[[#This Row],[FECHA ING.]])/365)</f>
        <v>5</v>
      </c>
      <c r="I279" s="251" t="str">
        <f>VLOOKUP(J279,TABLAS!$B$3:$G$49,2,FALSE)</f>
        <v>DIV INGENRIA</v>
      </c>
      <c r="J279" s="198" t="s">
        <v>744</v>
      </c>
      <c r="K279" s="251" t="s">
        <v>778</v>
      </c>
      <c r="L279" s="251" t="s">
        <v>763</v>
      </c>
      <c r="M279" s="251"/>
      <c r="N279" s="253" t="s">
        <v>2174</v>
      </c>
      <c r="O279" s="251" t="str">
        <f>IFERROR(VLOOKUP(BDD[[#This Row],[SUBDPTO]],TABLAS!$B$4:$D$36,3,0)," ")</f>
        <v>DIEGO HERRERA GIRÓN</v>
      </c>
      <c r="P279" s="258">
        <v>40992</v>
      </c>
      <c r="Q279" s="254">
        <v>5956</v>
      </c>
      <c r="R279" s="255" t="s">
        <v>758</v>
      </c>
      <c r="S279" s="255" t="s">
        <v>745</v>
      </c>
      <c r="T279" s="251" t="s">
        <v>811</v>
      </c>
      <c r="U279" s="243">
        <f ca="1">VLOOKUP(BDD[[#This Row],[ANTIG]],DIASXANT18[#All],2)</f>
        <v>16</v>
      </c>
      <c r="V279" s="256">
        <f t="shared" si="17"/>
        <v>0.5</v>
      </c>
      <c r="W279" s="243">
        <f ca="1">BDD[[#This Row],[D.VAC.]]*BDD[[#This Row],[% P.V.]]</f>
        <v>8</v>
      </c>
      <c r="X279" s="243">
        <v>30</v>
      </c>
      <c r="Y279" s="257">
        <f ca="1">(365+BDD[[#This Row],[D.PAG.V.]]+BDD[[#This Row],[D.AG.]])/365</f>
        <v>1.1041095890410959</v>
      </c>
      <c r="Z279" s="243">
        <f ca="1">BDD[[#This Row],[SUE DIA]]*BDD[[#This Row],[FACTOR SDI]]</f>
        <v>399.68767123287671</v>
      </c>
      <c r="AA279" s="243">
        <f>BDD[[#This Row],[SUE DIA]]/9</f>
        <v>40.222222222222221</v>
      </c>
      <c r="AB279" s="251">
        <v>30079</v>
      </c>
      <c r="AC279" s="251" t="s">
        <v>1051</v>
      </c>
      <c r="AD279" s="251" t="s">
        <v>790</v>
      </c>
      <c r="AE279" s="260">
        <v>8193484834</v>
      </c>
      <c r="AF279" s="251" t="s">
        <v>1403</v>
      </c>
      <c r="AG279" s="251" t="s">
        <v>776</v>
      </c>
      <c r="AH279" s="251" t="s">
        <v>730</v>
      </c>
      <c r="AI279" s="243" t="s">
        <v>151</v>
      </c>
      <c r="AJ279" s="258" cm="1">
        <f t="array" aca="1" ref="AJ279" ca="1">DATE(YEAR(FECH.CONS[FECHA DE CONSULTA:]),MONTH(BDD[[#This Row],[FECHA NAC]]),DAY(BDD[[#This Row],[FECHA NAC]]))</f>
        <v>44689</v>
      </c>
      <c r="AK279" s="243">
        <v>5</v>
      </c>
      <c r="AL279" s="261" t="s">
        <v>311</v>
      </c>
      <c r="AM279" s="251" t="s">
        <v>1538</v>
      </c>
      <c r="AN279" s="251" t="s">
        <v>1551</v>
      </c>
      <c r="AO279" s="245">
        <v>50</v>
      </c>
      <c r="AP279" s="251">
        <f ca="1">INT((TODAY()-BDD[[#This Row],[FECHA NAC]])/365)</f>
        <v>40</v>
      </c>
      <c r="AQ279" s="251">
        <v>2</v>
      </c>
      <c r="AR279" s="251">
        <f ca="1">IF(BDD[[#This Row],[ANTIG]]=0,0,1)</f>
        <v>1</v>
      </c>
      <c r="AS279" s="251"/>
      <c r="AT279" s="251"/>
      <c r="AU279" s="251"/>
      <c r="AV279" s="251"/>
      <c r="AW279" s="251"/>
      <c r="AX279" s="251"/>
      <c r="AY279" s="251"/>
      <c r="AZ279" s="251">
        <f t="shared" ca="1" si="16"/>
        <v>735</v>
      </c>
    </row>
    <row r="280" spans="2:52" ht="15" customHeight="1" x14ac:dyDescent="0.25">
      <c r="B280" s="243">
        <v>438</v>
      </c>
      <c r="C280" s="262" t="s">
        <v>371</v>
      </c>
      <c r="D280" s="244">
        <v>6778</v>
      </c>
      <c r="E280" s="252">
        <f>(BDD[[#This Row],[SUE MENS]]/30)</f>
        <v>225.93333333333334</v>
      </c>
      <c r="F280" s="252">
        <f>BDD[[#This Row],[SUE MENS]]/2</f>
        <v>3389</v>
      </c>
      <c r="G280" s="320">
        <v>42887</v>
      </c>
      <c r="H280" s="243">
        <f ca="1">INT(_xlfn.DAYS(TODAY(),BDD[[#This Row],[FECHA ING.]])/365)</f>
        <v>5</v>
      </c>
      <c r="I280" s="251" t="str">
        <f>VLOOKUP(J280,TABLAS!$B$3:$G$49,2,FALSE)</f>
        <v>DIV ARQUIT</v>
      </c>
      <c r="J280" s="198" t="s">
        <v>740</v>
      </c>
      <c r="K280" s="251" t="s">
        <v>778</v>
      </c>
      <c r="L280" s="251" t="s">
        <v>763</v>
      </c>
      <c r="M280" s="251"/>
      <c r="N280" s="253" t="s">
        <v>1850</v>
      </c>
      <c r="O280" s="251" t="str">
        <f>IFERROR(VLOOKUP(BDD[[#This Row],[SUBDPTO]],TABLAS!$B$4:$D$36,3,0)," ")</f>
        <v>MÉRIDA ISELA MEDINA SALINAS</v>
      </c>
      <c r="P280" s="258"/>
      <c r="Q280" s="264"/>
      <c r="R280" s="244"/>
      <c r="S280" s="251"/>
      <c r="T280" s="251" t="s">
        <v>811</v>
      </c>
      <c r="U280" s="243">
        <f ca="1">VLOOKUP(BDD[[#This Row],[ANTIG]],DIASXANT18[#All],2)</f>
        <v>16</v>
      </c>
      <c r="V280" s="266">
        <v>0.25</v>
      </c>
      <c r="W280" s="243">
        <f ca="1">BDD[[#This Row],[D.VAC.]]*BDD[[#This Row],[% P.V.]]</f>
        <v>4</v>
      </c>
      <c r="X280" s="265">
        <v>15</v>
      </c>
      <c r="Y280" s="257">
        <f ca="1">(365+BDD[[#This Row],[D.PAG.V.]]+BDD[[#This Row],[D.AG.]])/365</f>
        <v>1.0520547945205478</v>
      </c>
      <c r="Z280" s="243">
        <f ca="1">BDD[[#This Row],[SUE DIA]]*BDD[[#This Row],[FACTOR SDI]]</f>
        <v>237.69424657534245</v>
      </c>
      <c r="AA280" s="243">
        <f>BDD[[#This Row],[SUE DIA]]/9</f>
        <v>25.103703703703705</v>
      </c>
      <c r="AB280" s="262">
        <v>33204</v>
      </c>
      <c r="AC280" s="251" t="s">
        <v>898</v>
      </c>
      <c r="AD280" s="251" t="s">
        <v>787</v>
      </c>
      <c r="AE280" s="252">
        <v>8308115506.5</v>
      </c>
      <c r="AF280" s="251" t="s">
        <v>1320</v>
      </c>
      <c r="AG280" s="251" t="s">
        <v>776</v>
      </c>
      <c r="AH280" s="251" t="s">
        <v>730</v>
      </c>
      <c r="AI280" s="243" t="s">
        <v>151</v>
      </c>
      <c r="AJ280" s="258" cm="1">
        <f t="array" aca="1" ref="AJ280" ca="1">DATE(YEAR(FECH.CONS[FECHA DE CONSULTA:]),MONTH(BDD[[#This Row],[FECHA NAC]]),DAY(BDD[[#This Row],[FECHA NAC]]))</f>
        <v>44892</v>
      </c>
      <c r="AK280" s="279">
        <v>9</v>
      </c>
      <c r="AL280" s="261" t="s">
        <v>311</v>
      </c>
      <c r="AM280" s="251" t="s">
        <v>1543</v>
      </c>
      <c r="AN280" s="251" t="s">
        <v>1551</v>
      </c>
      <c r="AO280" s="245">
        <v>39</v>
      </c>
      <c r="AP280" s="251">
        <f ca="1">INT((TODAY()-BDD[[#This Row],[FECHA NAC]])/365)</f>
        <v>31</v>
      </c>
      <c r="AQ280" s="251">
        <v>0</v>
      </c>
      <c r="AR280" s="251">
        <f ca="1">IF(BDD[[#This Row],[ANTIG]]=0,0,1)</f>
        <v>1</v>
      </c>
      <c r="AS280" s="251"/>
      <c r="AT280" s="251"/>
      <c r="AU280" s="251"/>
      <c r="AV280" s="251"/>
      <c r="AW280" s="251"/>
      <c r="AX280" s="251"/>
      <c r="AY280" s="251"/>
      <c r="AZ280" s="251">
        <f t="shared" ca="1" si="16"/>
        <v>937</v>
      </c>
    </row>
    <row r="281" spans="2:52" ht="15" customHeight="1" x14ac:dyDescent="0.25">
      <c r="B281" s="246">
        <v>439</v>
      </c>
      <c r="C281" s="244" t="s">
        <v>1560</v>
      </c>
      <c r="D281" s="244">
        <v>6778</v>
      </c>
      <c r="E281" s="244">
        <f>(BDD[[#This Row],[SUE MENS]]/30)</f>
        <v>225.93333333333334</v>
      </c>
      <c r="F281" s="244">
        <f>BDD[[#This Row],[SUE MENS]]/2</f>
        <v>3389</v>
      </c>
      <c r="G281" s="319">
        <v>42903</v>
      </c>
      <c r="H281" s="244">
        <f ca="1">INT(_xlfn.DAYS(TODAY(),BDD[[#This Row],[FECHA ING.]])/365)</f>
        <v>5</v>
      </c>
      <c r="I281" s="251" t="str">
        <f>VLOOKUP(J281,TABLAS!$B$3:$G$49,2,FALSE)</f>
        <v>CONTABILIDAD</v>
      </c>
      <c r="J281" s="244" t="s">
        <v>737</v>
      </c>
      <c r="K281" s="244" t="s">
        <v>778</v>
      </c>
      <c r="L281" s="244" t="s">
        <v>763</v>
      </c>
      <c r="M281" s="244"/>
      <c r="N281" s="253" t="s">
        <v>1755</v>
      </c>
      <c r="O281" s="244" t="str">
        <f>IFERROR(VLOOKUP(BDD[[#This Row],[SUBDPTO]],TABLAS!$B$4:$D$36,3,0)," ")</f>
        <v>IRIE DALÍ ANTARES CORTÉS</v>
      </c>
      <c r="P281" s="268"/>
      <c r="Q281" s="244"/>
      <c r="R281" s="244"/>
      <c r="S281" s="244"/>
      <c r="T281" s="244" t="s">
        <v>811</v>
      </c>
      <c r="U281" s="265">
        <f ca="1">VLOOKUP(BDD[[#This Row],[ANTIG]],DIASXANT18[#All],2)</f>
        <v>16</v>
      </c>
      <c r="V281" s="266">
        <v>0.25</v>
      </c>
      <c r="W281" s="265">
        <f ca="1">BDD[[#This Row],[D.VAC.]]*BDD[[#This Row],[% P.V.]]</f>
        <v>4</v>
      </c>
      <c r="X281" s="265">
        <v>15</v>
      </c>
      <c r="Y281" s="267">
        <f ca="1">(365+BDD[[#This Row],[D.PAG.V.]]+BDD[[#This Row],[D.AG.]])/365</f>
        <v>1.0520547945205478</v>
      </c>
      <c r="Z281" s="265">
        <f ca="1">BDD[[#This Row],[SUE DIA]]*BDD[[#This Row],[FACTOR SDI]]</f>
        <v>237.69424657534245</v>
      </c>
      <c r="AA281" s="265">
        <f>BDD[[#This Row],[SUE DIA]]/9</f>
        <v>25.103703703703705</v>
      </c>
      <c r="AB281" s="244">
        <v>33553</v>
      </c>
      <c r="AC281" s="244" t="s">
        <v>1609</v>
      </c>
      <c r="AD281" s="244" t="s">
        <v>790</v>
      </c>
      <c r="AE281" s="244">
        <v>2212829371</v>
      </c>
      <c r="AF281" s="244" t="s">
        <v>1561</v>
      </c>
      <c r="AG281" s="244" t="s">
        <v>776</v>
      </c>
      <c r="AH281" s="244" t="s">
        <v>727</v>
      </c>
      <c r="AI281" s="244" t="s">
        <v>153</v>
      </c>
      <c r="AJ281" s="268" cm="1">
        <f t="array" aca="1" ref="AJ281" ca="1">DATE(YEAR(FECH.CONS[FECHA DE CONSULTA:]),MONTH(BDD[[#This Row],[FECHA NAC]]),DAY(BDD[[#This Row],[FECHA NAC]]))</f>
        <v>44876</v>
      </c>
      <c r="AK281" s="318">
        <v>0</v>
      </c>
      <c r="AL281" s="244" t="s">
        <v>317</v>
      </c>
      <c r="AM281" s="244" t="s">
        <v>1562</v>
      </c>
      <c r="AN281" s="244" t="s">
        <v>1563</v>
      </c>
      <c r="AO281" s="244">
        <v>80</v>
      </c>
      <c r="AP281" s="244">
        <f ca="1">INT((TODAY()-BDD[[#This Row],[FECHA NAC]])/365)</f>
        <v>30</v>
      </c>
      <c r="AQ281" s="244">
        <v>1</v>
      </c>
      <c r="AR281" s="244">
        <f ca="1">IF(BDD[[#This Row],[ANTIG]]=0,0,1)</f>
        <v>1</v>
      </c>
      <c r="AS281" s="251"/>
      <c r="AT281" s="244"/>
      <c r="AU281" s="244"/>
      <c r="AV281" s="244"/>
      <c r="AW281" s="244"/>
      <c r="AX281" s="244"/>
      <c r="AY281" s="244"/>
      <c r="AZ281" s="244">
        <f t="shared" ca="1" si="16"/>
        <v>243</v>
      </c>
    </row>
    <row r="282" spans="2:52" ht="15" customHeight="1" x14ac:dyDescent="0.25">
      <c r="B282" s="243">
        <v>442</v>
      </c>
      <c r="C282" s="259" t="s">
        <v>641</v>
      </c>
      <c r="D282" s="252">
        <v>8825</v>
      </c>
      <c r="E282" s="252">
        <f>(BDD[[#This Row],[SUE MENS]]/30)</f>
        <v>294.16666666666669</v>
      </c>
      <c r="F282" s="252">
        <f>BDD[[#This Row],[SUE MENS]]/2</f>
        <v>4412.5</v>
      </c>
      <c r="G282" s="319">
        <v>42904</v>
      </c>
      <c r="H282" s="243">
        <f ca="1">INT(_xlfn.DAYS(TODAY(),BDD[[#This Row],[FECHA ING.]])/365)</f>
        <v>5</v>
      </c>
      <c r="I282" s="251" t="str">
        <f>VLOOKUP(J282,TABLAS!$B$3:$G$49,2,FALSE)</f>
        <v>DIRECCIÓN</v>
      </c>
      <c r="J282" s="198" t="s">
        <v>746</v>
      </c>
      <c r="K282" s="251" t="s">
        <v>778</v>
      </c>
      <c r="L282" s="251" t="s">
        <v>763</v>
      </c>
      <c r="M282" s="251"/>
      <c r="N282" s="244" t="s">
        <v>1992</v>
      </c>
      <c r="O282" s="251" t="str">
        <f>IFERROR(VLOOKUP(BDD[[#This Row],[SUBDPTO]],TABLAS!$B$4:$D$36,3,0)," ")</f>
        <v>MARIANA RODRÍGUEZ GUTIERREZ</v>
      </c>
      <c r="P282" s="258"/>
      <c r="Q282" s="264"/>
      <c r="R282" s="244"/>
      <c r="S282" s="251"/>
      <c r="T282" s="251" t="s">
        <v>301</v>
      </c>
      <c r="U282" s="243">
        <f ca="1">VLOOKUP(BDD[[#This Row],[ANTIG]],DIASXANT18[#All],2)</f>
        <v>16</v>
      </c>
      <c r="V282" s="256">
        <f>100/200</f>
        <v>0.5</v>
      </c>
      <c r="W282" s="243">
        <f ca="1">BDD[[#This Row],[D.VAC.]]*BDD[[#This Row],[% P.V.]]</f>
        <v>8</v>
      </c>
      <c r="X282" s="243">
        <v>30</v>
      </c>
      <c r="Y282" s="257">
        <f ca="1">(365+BDD[[#This Row],[D.PAG.V.]]+BDD[[#This Row],[D.AG.]])/365</f>
        <v>1.1041095890410959</v>
      </c>
      <c r="Z282" s="243">
        <f ca="1">BDD[[#This Row],[SUE DIA]]*BDD[[#This Row],[FACTOR SDI]]</f>
        <v>324.79223744292239</v>
      </c>
      <c r="AA282" s="243">
        <f>BDD[[#This Row],[SUE DIA]]/9</f>
        <v>32.68518518518519</v>
      </c>
      <c r="AB282" s="251">
        <v>27331</v>
      </c>
      <c r="AC282" s="251" t="s">
        <v>1071</v>
      </c>
      <c r="AD282" s="251" t="s">
        <v>790</v>
      </c>
      <c r="AE282" s="260">
        <v>8200462566</v>
      </c>
      <c r="AF282" s="251" t="s">
        <v>1481</v>
      </c>
      <c r="AG282" s="251" t="s">
        <v>776</v>
      </c>
      <c r="AH282" s="251" t="s">
        <v>730</v>
      </c>
      <c r="AI282" s="243" t="s">
        <v>151</v>
      </c>
      <c r="AJ282" s="258" cm="1">
        <f t="array" aca="1" ref="AJ282" ca="1">DATE(YEAR(FECH.CONS[FECHA DE CONSULTA:]),MONTH(BDD[[#This Row],[FECHA NAC]]),DAY(BDD[[#This Row],[FECHA NAC]]))</f>
        <v>44863</v>
      </c>
      <c r="AK282" s="279">
        <v>7</v>
      </c>
      <c r="AL282" s="261" t="s">
        <v>311</v>
      </c>
      <c r="AM282" s="251" t="s">
        <v>1544</v>
      </c>
      <c r="AN282" s="251" t="s">
        <v>1551</v>
      </c>
      <c r="AO282" s="245">
        <v>86</v>
      </c>
      <c r="AP282" s="251">
        <f ca="1">INT((TODAY()-BDD[[#This Row],[FECHA NAC]])/365)</f>
        <v>47</v>
      </c>
      <c r="AQ282" s="251">
        <v>1</v>
      </c>
      <c r="AR282" s="251">
        <f ca="1">IF(BDD[[#This Row],[ANTIG]]=0,0,1)</f>
        <v>1</v>
      </c>
      <c r="AS282" s="251"/>
      <c r="AT282" s="251"/>
      <c r="AU282" s="251"/>
      <c r="AV282" s="251"/>
      <c r="AW282" s="251"/>
      <c r="AX282" s="251"/>
      <c r="AY282" s="251"/>
      <c r="AZ282" s="251">
        <f t="shared" ca="1" si="16"/>
        <v>146</v>
      </c>
    </row>
    <row r="283" spans="2:52" ht="15" customHeight="1" x14ac:dyDescent="0.25">
      <c r="B283" s="243">
        <v>443</v>
      </c>
      <c r="C283" s="259" t="s">
        <v>576</v>
      </c>
      <c r="D283" s="244">
        <v>6778</v>
      </c>
      <c r="E283" s="252">
        <f>(BDD[[#This Row],[SUE MENS]]/30)</f>
        <v>225.93333333333334</v>
      </c>
      <c r="F283" s="252">
        <f>BDD[[#This Row],[SUE MENS]]/2</f>
        <v>3389</v>
      </c>
      <c r="G283" s="319">
        <v>42911</v>
      </c>
      <c r="H283" s="243">
        <f ca="1">INT(_xlfn.DAYS(TODAY(),BDD[[#This Row],[FECHA ING.]])/365)</f>
        <v>5</v>
      </c>
      <c r="I283" s="251" t="str">
        <f>VLOOKUP(J283,TABLAS!$B$3:$G$49,2,FALSE)</f>
        <v>DIV INGENRIA</v>
      </c>
      <c r="J283" s="198" t="s">
        <v>743</v>
      </c>
      <c r="K283" s="251" t="s">
        <v>778</v>
      </c>
      <c r="L283" s="251" t="s">
        <v>763</v>
      </c>
      <c r="M283" s="251"/>
      <c r="N283" s="253" t="s">
        <v>1981</v>
      </c>
      <c r="O283" s="251" t="str">
        <f>IFERROR(VLOOKUP(BDD[[#This Row],[SUBDPTO]],TABLAS!$B$4:$D$36,3,0)," ")</f>
        <v>DIEGO HERRERA GIRÓN</v>
      </c>
      <c r="P283" s="258"/>
      <c r="Q283" s="264"/>
      <c r="R283" s="244"/>
      <c r="S283" s="251"/>
      <c r="T283" s="251" t="s">
        <v>811</v>
      </c>
      <c r="U283" s="243">
        <f ca="1">VLOOKUP(BDD[[#This Row],[ANTIG]],DIASXANT18[#All],2)</f>
        <v>16</v>
      </c>
      <c r="V283" s="266">
        <v>0.25</v>
      </c>
      <c r="W283" s="243">
        <f ca="1">BDD[[#This Row],[D.VAC.]]*BDD[[#This Row],[% P.V.]]</f>
        <v>4</v>
      </c>
      <c r="X283" s="265">
        <v>15</v>
      </c>
      <c r="Y283" s="257">
        <f ca="1">(365+BDD[[#This Row],[D.PAG.V.]]+BDD[[#This Row],[D.AG.]])/365</f>
        <v>1.0520547945205478</v>
      </c>
      <c r="Z283" s="243">
        <f ca="1">BDD[[#This Row],[SUE DIA]]*BDD[[#This Row],[FACTOR SDI]]</f>
        <v>237.69424657534245</v>
      </c>
      <c r="AA283" s="243">
        <f>BDD[[#This Row],[SUE DIA]]/9</f>
        <v>25.103703703703705</v>
      </c>
      <c r="AB283" s="251">
        <v>31746</v>
      </c>
      <c r="AC283" s="251" t="s">
        <v>945</v>
      </c>
      <c r="AD283" s="251" t="s">
        <v>789</v>
      </c>
      <c r="AE283" s="260">
        <v>5643543077</v>
      </c>
      <c r="AF283" s="251" t="s">
        <v>1437</v>
      </c>
      <c r="AG283" s="251" t="s">
        <v>776</v>
      </c>
      <c r="AH283" s="251" t="s">
        <v>726</v>
      </c>
      <c r="AI283" s="243" t="s">
        <v>151</v>
      </c>
      <c r="AJ283" s="258" cm="1">
        <f t="array" aca="1" ref="AJ283" ca="1">DATE(YEAR(FECH.CONS[FECHA DE CONSULTA:]),MONTH(BDD[[#This Row],[FECHA NAC]]),DAY(BDD[[#This Row],[FECHA NAC]]))</f>
        <v>44895</v>
      </c>
      <c r="AK283" s="279"/>
      <c r="AL283" s="261" t="s">
        <v>316</v>
      </c>
      <c r="AM283" s="251" t="s">
        <v>1549</v>
      </c>
      <c r="AN283" s="251" t="s">
        <v>1551</v>
      </c>
      <c r="AO283" s="245">
        <v>35</v>
      </c>
      <c r="AP283" s="251">
        <f ca="1">INT((TODAY()-BDD[[#This Row],[FECHA NAC]])/365)</f>
        <v>35</v>
      </c>
      <c r="AQ283" s="251">
        <v>2</v>
      </c>
      <c r="AR283" s="251">
        <f ca="1">IF(BDD[[#This Row],[ANTIG]]=0,0,1)</f>
        <v>1</v>
      </c>
      <c r="AS283" s="251"/>
      <c r="AT283" s="251"/>
      <c r="AU283" s="251"/>
      <c r="AV283" s="251"/>
      <c r="AW283" s="251"/>
      <c r="AX283" s="251"/>
      <c r="AY283" s="251"/>
      <c r="AZ283" s="251">
        <f t="shared" ca="1" si="16"/>
        <v>214</v>
      </c>
    </row>
    <row r="284" spans="2:52" ht="15" customHeight="1" x14ac:dyDescent="0.25">
      <c r="B284" s="243">
        <v>444</v>
      </c>
      <c r="C284" s="251" t="s">
        <v>401</v>
      </c>
      <c r="D284" s="252">
        <v>7445</v>
      </c>
      <c r="E284" s="252">
        <f>(BDD[[#This Row],[SUE MENS]]/30)</f>
        <v>248.16666666666666</v>
      </c>
      <c r="F284" s="252">
        <f>BDD[[#This Row],[SUE MENS]]/2</f>
        <v>3722.5</v>
      </c>
      <c r="G284" s="319">
        <v>42913</v>
      </c>
      <c r="H284" s="243">
        <f ca="1">INT(_xlfn.DAYS(TODAY(),BDD[[#This Row],[FECHA ING.]])/365)</f>
        <v>5</v>
      </c>
      <c r="I284" s="251" t="str">
        <f>VLOOKUP(J284,TABLAS!$B$3:$G$49,2,FALSE)</f>
        <v>AUDITORÍA</v>
      </c>
      <c r="J284" s="198" t="s">
        <v>734</v>
      </c>
      <c r="K284" s="251" t="s">
        <v>778</v>
      </c>
      <c r="L284" s="251" t="s">
        <v>763</v>
      </c>
      <c r="M284" s="251"/>
      <c r="N284" s="244" t="s">
        <v>2081</v>
      </c>
      <c r="O284" s="251" t="str">
        <f>IFERROR(VLOOKUP(BDD[[#This Row],[SUBDPTO]],TABLAS!$B$4:$D$36,3,0)," ")</f>
        <v>MARCO AURELIO URBINO</v>
      </c>
      <c r="P284" s="258"/>
      <c r="Q284" s="264"/>
      <c r="R284" s="244"/>
      <c r="S284" s="251"/>
      <c r="T284" s="251" t="s">
        <v>811</v>
      </c>
      <c r="U284" s="243">
        <f ca="1">VLOOKUP(BDD[[#This Row],[ANTIG]],DIASXANT18[#All],2)</f>
        <v>16</v>
      </c>
      <c r="V284" s="256">
        <f>100/200</f>
        <v>0.5</v>
      </c>
      <c r="W284" s="243">
        <f ca="1">BDD[[#This Row],[D.VAC.]]*BDD[[#This Row],[% P.V.]]</f>
        <v>8</v>
      </c>
      <c r="X284" s="243">
        <v>30</v>
      </c>
      <c r="Y284" s="257">
        <f ca="1">(365+BDD[[#This Row],[D.PAG.V.]]+BDD[[#This Row],[D.AG.]])/365</f>
        <v>1.1041095890410959</v>
      </c>
      <c r="Z284" s="243">
        <f ca="1">BDD[[#This Row],[SUE DIA]]*BDD[[#This Row],[FACTOR SDI]]</f>
        <v>274.00319634703197</v>
      </c>
      <c r="AA284" s="243">
        <f>BDD[[#This Row],[SUE DIA]]/9</f>
        <v>27.574074074074073</v>
      </c>
      <c r="AB284" s="251">
        <v>35756</v>
      </c>
      <c r="AC284" s="251" t="s">
        <v>1004</v>
      </c>
      <c r="AD284" s="251" t="s">
        <v>809</v>
      </c>
      <c r="AE284" s="252">
        <v>8801878134</v>
      </c>
      <c r="AF284" s="251" t="s">
        <v>1254</v>
      </c>
      <c r="AG284" s="251" t="s">
        <v>774</v>
      </c>
      <c r="AH284" s="251" t="s">
        <v>730</v>
      </c>
      <c r="AI284" s="243" t="s">
        <v>151</v>
      </c>
      <c r="AJ284" s="258" cm="1">
        <f t="array" aca="1" ref="AJ284" ca="1">DATE(YEAR(FECH.CONS[FECHA DE CONSULTA:]),MONTH(BDD[[#This Row],[FECHA NAC]]),DAY(BDD[[#This Row],[FECHA NAC]]))</f>
        <v>44887</v>
      </c>
      <c r="AK284" s="279">
        <v>10</v>
      </c>
      <c r="AL284" s="251" t="s">
        <v>311</v>
      </c>
      <c r="AM284" s="251" t="s">
        <v>1533</v>
      </c>
      <c r="AN284" s="251" t="s">
        <v>1551</v>
      </c>
      <c r="AO284" s="245">
        <v>67</v>
      </c>
      <c r="AP284" s="251">
        <f ca="1">INT((TODAY()-BDD[[#This Row],[FECHA NAC]])/365)</f>
        <v>24</v>
      </c>
      <c r="AQ284" s="251">
        <v>0</v>
      </c>
      <c r="AR284" s="251">
        <f ca="1">IF(BDD[[#This Row],[ANTIG]]=0,0,1)</f>
        <v>1</v>
      </c>
      <c r="AS284" s="251"/>
      <c r="AT284" s="251"/>
      <c r="AU284" s="251"/>
      <c r="AV284" s="251"/>
      <c r="AW284" s="251"/>
      <c r="AX284" s="251"/>
      <c r="AY284" s="251"/>
      <c r="AZ284" s="251">
        <f t="shared" ca="1" si="16"/>
        <v>13</v>
      </c>
    </row>
    <row r="285" spans="2:52" ht="15" customHeight="1" x14ac:dyDescent="0.25">
      <c r="B285" s="243">
        <v>445</v>
      </c>
      <c r="C285" s="259" t="s">
        <v>668</v>
      </c>
      <c r="D285" s="252">
        <v>9541</v>
      </c>
      <c r="E285" s="252">
        <f>(BDD[[#This Row],[SUE MENS]]/30)</f>
        <v>318.03333333333336</v>
      </c>
      <c r="F285" s="252">
        <f>BDD[[#This Row],[SUE MENS]]/2</f>
        <v>4770.5</v>
      </c>
      <c r="G285" s="319">
        <v>42942</v>
      </c>
      <c r="H285" s="243">
        <f ca="1">INT(_xlfn.DAYS(TODAY(),BDD[[#This Row],[FECHA ING.]])/365)</f>
        <v>4</v>
      </c>
      <c r="I285" s="251" t="str">
        <f>VLOOKUP(J285,TABLAS!$B$3:$G$49,2,FALSE)</f>
        <v>DIV ARQUIT</v>
      </c>
      <c r="J285" s="198" t="s">
        <v>740</v>
      </c>
      <c r="K285" s="251" t="s">
        <v>778</v>
      </c>
      <c r="L285" s="251" t="s">
        <v>763</v>
      </c>
      <c r="M285" s="251"/>
      <c r="N285" s="253" t="s">
        <v>1909</v>
      </c>
      <c r="O285" s="251" t="str">
        <f>IFERROR(VLOOKUP(BDD[[#This Row],[SUBDPTO]],TABLAS!$B$4:$D$36,3,0)," ")</f>
        <v>MÉRIDA ISELA MEDINA SALINAS</v>
      </c>
      <c r="P285" s="258">
        <v>42392</v>
      </c>
      <c r="Q285" s="254">
        <v>7060</v>
      </c>
      <c r="R285" s="255" t="s">
        <v>756</v>
      </c>
      <c r="S285" s="255" t="s">
        <v>736</v>
      </c>
      <c r="T285" s="251" t="s">
        <v>811</v>
      </c>
      <c r="U285" s="243">
        <f ca="1">VLOOKUP(BDD[[#This Row],[ANTIG]],DIASXANT18[#All],2)</f>
        <v>14</v>
      </c>
      <c r="V285" s="256">
        <f>100/200</f>
        <v>0.5</v>
      </c>
      <c r="W285" s="243">
        <f ca="1">BDD[[#This Row],[D.VAC.]]*BDD[[#This Row],[% P.V.]]</f>
        <v>7</v>
      </c>
      <c r="X285" s="243">
        <v>30</v>
      </c>
      <c r="Y285" s="257">
        <f ca="1">(365+BDD[[#This Row],[D.PAG.V.]]+BDD[[#This Row],[D.AG.]])/365</f>
        <v>1.1013698630136985</v>
      </c>
      <c r="Z285" s="243">
        <f ca="1">BDD[[#This Row],[SUE DIA]]*BDD[[#This Row],[FACTOR SDI]]</f>
        <v>350.27232876712327</v>
      </c>
      <c r="AA285" s="243">
        <f>BDD[[#This Row],[SUE DIA]]/9</f>
        <v>35.337037037037042</v>
      </c>
      <c r="AB285" s="251">
        <v>31842</v>
      </c>
      <c r="AC285" s="251" t="s">
        <v>918</v>
      </c>
      <c r="AD285" s="251" t="s">
        <v>792</v>
      </c>
      <c r="AE285" s="260">
        <v>5424765255</v>
      </c>
      <c r="AF285" s="251" t="s">
        <v>1498</v>
      </c>
      <c r="AG285" s="251" t="s">
        <v>776</v>
      </c>
      <c r="AH285" s="251" t="s">
        <v>727</v>
      </c>
      <c r="AI285" s="243" t="s">
        <v>151</v>
      </c>
      <c r="AJ285" s="258" cm="1">
        <f t="array" aca="1" ref="AJ285" ca="1">DATE(YEAR(FECH.CONS[FECHA DE CONSULTA:]),MONTH(BDD[[#This Row],[FECHA NAC]]),DAY(BDD[[#This Row],[FECHA NAC]]))</f>
        <v>44626</v>
      </c>
      <c r="AK285" s="279"/>
      <c r="AL285" s="261" t="s">
        <v>316</v>
      </c>
      <c r="AM285" s="251" t="s">
        <v>1543</v>
      </c>
      <c r="AN285" s="251" t="s">
        <v>1549</v>
      </c>
      <c r="AO285" s="245">
        <v>56</v>
      </c>
      <c r="AP285" s="251">
        <f ca="1">INT((TODAY()-BDD[[#This Row],[FECHA NAC]])/365)</f>
        <v>35</v>
      </c>
      <c r="AQ285" s="251">
        <v>1</v>
      </c>
      <c r="AR285" s="251">
        <f ca="1">IF(BDD[[#This Row],[ANTIG]]=0,0,1)</f>
        <v>1</v>
      </c>
      <c r="AS285" s="251"/>
      <c r="AT285" s="251"/>
      <c r="AU285" s="251"/>
      <c r="AV285" s="251"/>
      <c r="AW285" s="251"/>
      <c r="AX285" s="251"/>
      <c r="AY285" s="251"/>
      <c r="AZ285" s="251">
        <f t="shared" ca="1" si="16"/>
        <v>240</v>
      </c>
    </row>
    <row r="286" spans="2:52" ht="15" customHeight="1" x14ac:dyDescent="0.25">
      <c r="B286" s="243">
        <v>446</v>
      </c>
      <c r="C286" s="251" t="s">
        <v>258</v>
      </c>
      <c r="D286" s="244">
        <v>6778</v>
      </c>
      <c r="E286" s="252">
        <f>(BDD[[#This Row],[SUE MENS]]/30)</f>
        <v>225.93333333333334</v>
      </c>
      <c r="F286" s="252">
        <f>BDD[[#This Row],[SUE MENS]]/2</f>
        <v>3389</v>
      </c>
      <c r="G286" s="319">
        <v>42947</v>
      </c>
      <c r="H286" s="243">
        <f ca="1">INT(_xlfn.DAYS(TODAY(),BDD[[#This Row],[FECHA ING.]])/365)</f>
        <v>4</v>
      </c>
      <c r="I286" s="251" t="str">
        <f>VLOOKUP(J286,TABLAS!$B$3:$G$49,2,FALSE)</f>
        <v>DIV INGENRIA</v>
      </c>
      <c r="J286" s="198" t="s">
        <v>756</v>
      </c>
      <c r="K286" s="251" t="s">
        <v>778</v>
      </c>
      <c r="L286" s="251" t="s">
        <v>763</v>
      </c>
      <c r="M286" s="274"/>
      <c r="N286" s="244" t="s">
        <v>1818</v>
      </c>
      <c r="O286" s="251" t="str">
        <f>IFERROR(VLOOKUP(BDD[[#This Row],[SUBDPTO]],TABLAS!$B$4:$D$36,3,0)," ")</f>
        <v>DIEGO HERRERA GIRÓN</v>
      </c>
      <c r="P286" s="258"/>
      <c r="Q286" s="264"/>
      <c r="R286" s="244"/>
      <c r="S286" s="251"/>
      <c r="T286" s="251" t="s">
        <v>811</v>
      </c>
      <c r="U286" s="243">
        <f ca="1">VLOOKUP(BDD[[#This Row],[ANTIG]],DIASXANT18[#All],2)</f>
        <v>14</v>
      </c>
      <c r="V286" s="266">
        <v>0.25</v>
      </c>
      <c r="W286" s="243">
        <f ca="1">BDD[[#This Row],[D.VAC.]]*BDD[[#This Row],[% P.V.]]</f>
        <v>3.5</v>
      </c>
      <c r="X286" s="265">
        <v>15</v>
      </c>
      <c r="Y286" s="257">
        <f ca="1">(365+BDD[[#This Row],[D.PAG.V.]]+BDD[[#This Row],[D.AG.]])/365</f>
        <v>1.0506849315068494</v>
      </c>
      <c r="Z286" s="243">
        <f ca="1">BDD[[#This Row],[SUE DIA]]*BDD[[#This Row],[FACTOR SDI]]</f>
        <v>237.38474885844749</v>
      </c>
      <c r="AA286" s="243">
        <f>BDD[[#This Row],[SUE DIA]]/9</f>
        <v>25.103703703703705</v>
      </c>
      <c r="AB286" s="251">
        <v>31587</v>
      </c>
      <c r="AC286" s="251" t="s">
        <v>900</v>
      </c>
      <c r="AD286" s="251" t="s">
        <v>786</v>
      </c>
      <c r="AE286" s="252">
        <v>8818202124</v>
      </c>
      <c r="AF286" s="251" t="s">
        <v>1202</v>
      </c>
      <c r="AG286" s="251" t="s">
        <v>776</v>
      </c>
      <c r="AH286" s="251" t="s">
        <v>730</v>
      </c>
      <c r="AI286" s="243" t="s">
        <v>151</v>
      </c>
      <c r="AJ286" s="258" cm="1">
        <f t="array" aca="1" ref="AJ286" ca="1">DATE(YEAR(FECH.CONS[FECHA DE CONSULTA:]),MONTH(BDD[[#This Row],[FECHA NAC]]),DAY(BDD[[#This Row],[FECHA NAC]]))</f>
        <v>44736</v>
      </c>
      <c r="AK286" s="279">
        <v>8</v>
      </c>
      <c r="AL286" s="261" t="s">
        <v>311</v>
      </c>
      <c r="AM286" s="251" t="s">
        <v>1538</v>
      </c>
      <c r="AN286" s="251" t="s">
        <v>1551</v>
      </c>
      <c r="AO286" s="245">
        <v>65</v>
      </c>
      <c r="AP286" s="251">
        <f ca="1">INT((TODAY()-BDD[[#This Row],[FECHA NAC]])/365)</f>
        <v>36</v>
      </c>
      <c r="AQ286" s="251">
        <v>0</v>
      </c>
      <c r="AR286" s="251">
        <f ca="1">IF(BDD[[#This Row],[ANTIG]]=0,0,1)</f>
        <v>1</v>
      </c>
      <c r="AS286" s="251"/>
      <c r="AT286" s="251"/>
      <c r="AU286" s="251"/>
      <c r="AV286" s="251"/>
      <c r="AW286" s="251"/>
      <c r="AX286" s="251"/>
      <c r="AY286" s="251"/>
      <c r="AZ286" s="251">
        <f t="shared" ca="1" si="16"/>
        <v>361</v>
      </c>
    </row>
    <row r="287" spans="2:52" ht="15" customHeight="1" x14ac:dyDescent="0.25">
      <c r="B287" s="243">
        <v>448</v>
      </c>
      <c r="C287" s="259" t="s">
        <v>571</v>
      </c>
      <c r="D287" s="252">
        <v>9541</v>
      </c>
      <c r="E287" s="252">
        <f>(BDD[[#This Row],[SUE MENS]]/30)</f>
        <v>318.03333333333336</v>
      </c>
      <c r="F287" s="252">
        <f>BDD[[#This Row],[SUE MENS]]/2</f>
        <v>4770.5</v>
      </c>
      <c r="G287" s="319">
        <v>42947</v>
      </c>
      <c r="H287" s="243">
        <f ca="1">INT(_xlfn.DAYS(TODAY(),BDD[[#This Row],[FECHA ING.]])/365)</f>
        <v>4</v>
      </c>
      <c r="I287" s="251" t="str">
        <f>VLOOKUP(J287,TABLAS!$B$3:$G$49,2,FALSE)</f>
        <v>DIV ARQUIT</v>
      </c>
      <c r="J287" s="198" t="s">
        <v>740</v>
      </c>
      <c r="K287" s="251" t="s">
        <v>778</v>
      </c>
      <c r="L287" s="251" t="s">
        <v>763</v>
      </c>
      <c r="M287" s="251"/>
      <c r="N287" s="253" t="s">
        <v>1805</v>
      </c>
      <c r="O287" s="251" t="str">
        <f>IFERROR(VLOOKUP(BDD[[#This Row],[SUBDPTO]],TABLAS!$B$4:$D$36,3,0)," ")</f>
        <v>MÉRIDA ISELA MEDINA SALINAS</v>
      </c>
      <c r="P287" s="258">
        <v>41652</v>
      </c>
      <c r="Q287" s="254">
        <v>5956</v>
      </c>
      <c r="R287" s="255" t="s">
        <v>736</v>
      </c>
      <c r="S287" s="255" t="s">
        <v>743</v>
      </c>
      <c r="T287" s="251" t="s">
        <v>811</v>
      </c>
      <c r="U287" s="243">
        <f ca="1">VLOOKUP(BDD[[#This Row],[ANTIG]],DIASXANT18[#All],2)</f>
        <v>14</v>
      </c>
      <c r="V287" s="256">
        <f t="shared" ref="V287:V304" si="18">100/200</f>
        <v>0.5</v>
      </c>
      <c r="W287" s="243">
        <f ca="1">BDD[[#This Row],[D.VAC.]]*BDD[[#This Row],[% P.V.]]</f>
        <v>7</v>
      </c>
      <c r="X287" s="243">
        <v>30</v>
      </c>
      <c r="Y287" s="257">
        <f ca="1">(365+BDD[[#This Row],[D.PAG.V.]]+BDD[[#This Row],[D.AG.]])/365</f>
        <v>1.1013698630136985</v>
      </c>
      <c r="Z287" s="243">
        <f ca="1">BDD[[#This Row],[SUE DIA]]*BDD[[#This Row],[FACTOR SDI]]</f>
        <v>350.27232876712327</v>
      </c>
      <c r="AA287" s="243">
        <f>BDD[[#This Row],[SUE DIA]]/9</f>
        <v>35.337037037037042</v>
      </c>
      <c r="AB287" s="251">
        <v>27872</v>
      </c>
      <c r="AC287" s="251" t="s">
        <v>913</v>
      </c>
      <c r="AD287" s="251" t="s">
        <v>787</v>
      </c>
      <c r="AE287" s="260">
        <v>7181468138</v>
      </c>
      <c r="AF287" s="251" t="s">
        <v>1434</v>
      </c>
      <c r="AG287" s="251" t="s">
        <v>774</v>
      </c>
      <c r="AH287" s="251" t="s">
        <v>730</v>
      </c>
      <c r="AI287" s="243" t="s">
        <v>151</v>
      </c>
      <c r="AJ287" s="258" cm="1">
        <f t="array" aca="1" ref="AJ287" ca="1">DATE(YEAR(FECH.CONS[FECHA DE CONSULTA:]),MONTH(BDD[[#This Row],[FECHA NAC]]),DAY(BDD[[#This Row],[FECHA NAC]]))</f>
        <v>44673</v>
      </c>
      <c r="AK287" s="279">
        <v>7</v>
      </c>
      <c r="AL287" s="261" t="s">
        <v>312</v>
      </c>
      <c r="AM287" s="251" t="s">
        <v>1543</v>
      </c>
      <c r="AN287" s="251" t="s">
        <v>1551</v>
      </c>
      <c r="AO287" s="245">
        <v>73</v>
      </c>
      <c r="AP287" s="251">
        <f ca="1">INT((TODAY()-BDD[[#This Row],[FECHA NAC]])/365)</f>
        <v>46</v>
      </c>
      <c r="AQ287" s="251">
        <v>1</v>
      </c>
      <c r="AR287" s="251">
        <f ca="1">IF(BDD[[#This Row],[ANTIG]]=0,0,1)</f>
        <v>1</v>
      </c>
      <c r="AS287" s="251"/>
      <c r="AT287" s="251"/>
      <c r="AU287" s="251"/>
      <c r="AV287" s="251"/>
      <c r="AW287" s="251"/>
      <c r="AX287" s="251"/>
      <c r="AY287" s="251"/>
      <c r="AZ287" s="251">
        <f t="shared" ca="1" si="16"/>
        <v>939</v>
      </c>
    </row>
    <row r="288" spans="2:52" ht="15" customHeight="1" x14ac:dyDescent="0.25">
      <c r="B288" s="243">
        <v>449</v>
      </c>
      <c r="C288" s="251" t="s">
        <v>144</v>
      </c>
      <c r="D288" s="252">
        <v>9450</v>
      </c>
      <c r="E288" s="252">
        <f>(BDD[[#This Row],[SUE MENS]]/30)</f>
        <v>315</v>
      </c>
      <c r="F288" s="252">
        <f>BDD[[#This Row],[SUE MENS]]/2</f>
        <v>4725</v>
      </c>
      <c r="G288" s="320">
        <v>42951</v>
      </c>
      <c r="H288" s="243">
        <f ca="1">INT(_xlfn.DAYS(TODAY(),BDD[[#This Row],[FECHA ING.]])/365)</f>
        <v>4</v>
      </c>
      <c r="I288" s="251" t="str">
        <f>VLOOKUP(J288,TABLAS!$B$3:$G$49,2,FALSE)</f>
        <v>DIV ARQUIT</v>
      </c>
      <c r="J288" s="198" t="s">
        <v>740</v>
      </c>
      <c r="K288" s="251" t="s">
        <v>778</v>
      </c>
      <c r="L288" s="251" t="s">
        <v>763</v>
      </c>
      <c r="M288" s="251"/>
      <c r="N288" s="244" t="s">
        <v>1895</v>
      </c>
      <c r="O288" s="251" t="str">
        <f>IFERROR(VLOOKUP(BDD[[#This Row],[SUBDPTO]],TABLAS!$B$4:$D$36,3,0)," ")</f>
        <v>MÉRIDA ISELA MEDINA SALINAS</v>
      </c>
      <c r="P288" s="258">
        <f>BDD[[#This Row],[FECHA ING.]]+700</f>
        <v>43651</v>
      </c>
      <c r="Q288" s="254">
        <v>5211.5</v>
      </c>
      <c r="R288" s="251" t="s">
        <v>748</v>
      </c>
      <c r="S288" s="251"/>
      <c r="T288" s="251" t="s">
        <v>811</v>
      </c>
      <c r="U288" s="243">
        <f ca="1">VLOOKUP(BDD[[#This Row],[ANTIG]],DIASXANT18[#All],2)</f>
        <v>14</v>
      </c>
      <c r="V288" s="256">
        <f t="shared" si="18"/>
        <v>0.5</v>
      </c>
      <c r="W288" s="243">
        <f ca="1">BDD[[#This Row],[D.VAC.]]*BDD[[#This Row],[% P.V.]]</f>
        <v>7</v>
      </c>
      <c r="X288" s="243">
        <v>30</v>
      </c>
      <c r="Y288" s="257">
        <f ca="1">(365+BDD[[#This Row],[D.PAG.V.]]+BDD[[#This Row],[D.AG.]])/365</f>
        <v>1.1013698630136985</v>
      </c>
      <c r="Z288" s="243">
        <f ca="1">BDD[[#This Row],[SUE DIA]]*BDD[[#This Row],[FACTOR SDI]]</f>
        <v>346.93150684931504</v>
      </c>
      <c r="AA288" s="243">
        <f>BDD[[#This Row],[SUE DIA]]/9</f>
        <v>35</v>
      </c>
      <c r="AB288" s="251">
        <v>30826</v>
      </c>
      <c r="AC288" s="251" t="s">
        <v>890</v>
      </c>
      <c r="AD288" s="251" t="s">
        <v>790</v>
      </c>
      <c r="AE288" s="252">
        <v>8794722674</v>
      </c>
      <c r="AF288" s="251" t="s">
        <v>1165</v>
      </c>
      <c r="AG288" s="251" t="s">
        <v>776</v>
      </c>
      <c r="AH288" s="251" t="s">
        <v>730</v>
      </c>
      <c r="AI288" s="243" t="s">
        <v>151</v>
      </c>
      <c r="AJ288" s="258" cm="1">
        <f t="array" aca="1" ref="AJ288" ca="1">DATE(YEAR(FECH.CONS[FECHA DE CONSULTA:]),MONTH(BDD[[#This Row],[FECHA NAC]]),DAY(BDD[[#This Row],[FECHA NAC]]))</f>
        <v>44705</v>
      </c>
      <c r="AK288" s="279">
        <v>7</v>
      </c>
      <c r="AL288" s="261" t="s">
        <v>311</v>
      </c>
      <c r="AM288" s="251" t="s">
        <v>1543</v>
      </c>
      <c r="AN288" s="251" t="s">
        <v>1551</v>
      </c>
      <c r="AO288" s="245">
        <v>96</v>
      </c>
      <c r="AP288" s="251">
        <f ca="1">INT((TODAY()-BDD[[#This Row],[FECHA NAC]])/365)</f>
        <v>38</v>
      </c>
      <c r="AQ288" s="251">
        <v>2</v>
      </c>
      <c r="AR288" s="251">
        <f ca="1">IF(BDD[[#This Row],[ANTIG]]=0,0,1)</f>
        <v>1</v>
      </c>
      <c r="AS288" s="251"/>
      <c r="AT288" s="251"/>
      <c r="AU288" s="251"/>
      <c r="AV288" s="251"/>
      <c r="AW288" s="251"/>
      <c r="AX288" s="251"/>
      <c r="AY288" s="251"/>
      <c r="AZ288" s="251">
        <f t="shared" ca="1" si="16"/>
        <v>341</v>
      </c>
    </row>
    <row r="289" spans="2:52" ht="15" customHeight="1" x14ac:dyDescent="0.25">
      <c r="B289" s="243">
        <v>450</v>
      </c>
      <c r="C289" s="251" t="s">
        <v>208</v>
      </c>
      <c r="D289" s="263">
        <v>7445</v>
      </c>
      <c r="E289" s="252">
        <f>(BDD[[#This Row],[SUE MENS]]/30)</f>
        <v>248.16666666666666</v>
      </c>
      <c r="F289" s="252">
        <f>BDD[[#This Row],[SUE MENS]]/2</f>
        <v>3722.5</v>
      </c>
      <c r="G289" s="319">
        <v>42962</v>
      </c>
      <c r="H289" s="243">
        <f ca="1">INT(_xlfn.DAYS(TODAY(),BDD[[#This Row],[FECHA ING.]])/365)</f>
        <v>4</v>
      </c>
      <c r="I289" s="251" t="str">
        <f>VLOOKUP(J289,TABLAS!$B$3:$G$49,2,FALSE)</f>
        <v>DIV INGENRIA</v>
      </c>
      <c r="J289" s="198" t="s">
        <v>743</v>
      </c>
      <c r="K289" s="251" t="s">
        <v>778</v>
      </c>
      <c r="L289" s="251" t="s">
        <v>763</v>
      </c>
      <c r="M289" s="251"/>
      <c r="N289" s="244" t="s">
        <v>1764</v>
      </c>
      <c r="O289" s="251" t="str">
        <f>IFERROR(VLOOKUP(BDD[[#This Row],[SUBDPTO]],TABLAS!$B$4:$D$36,3,0)," ")</f>
        <v>DIEGO HERRERA GIRÓN</v>
      </c>
      <c r="P289" s="258"/>
      <c r="Q289" s="264"/>
      <c r="R289" s="244"/>
      <c r="S289" s="251"/>
      <c r="T289" s="251" t="s">
        <v>811</v>
      </c>
      <c r="U289" s="243">
        <f ca="1">VLOOKUP(BDD[[#This Row],[ANTIG]],DIASXANT18[#All],2)</f>
        <v>14</v>
      </c>
      <c r="V289" s="256">
        <f t="shared" si="18"/>
        <v>0.5</v>
      </c>
      <c r="W289" s="243">
        <f ca="1">BDD[[#This Row],[D.VAC.]]*BDD[[#This Row],[% P.V.]]</f>
        <v>7</v>
      </c>
      <c r="X289" s="243">
        <v>30</v>
      </c>
      <c r="Y289" s="257">
        <f ca="1">(365+BDD[[#This Row],[D.PAG.V.]]+BDD[[#This Row],[D.AG.]])/365</f>
        <v>1.1013698630136985</v>
      </c>
      <c r="Z289" s="243">
        <f ca="1">BDD[[#This Row],[SUE DIA]]*BDD[[#This Row],[FACTOR SDI]]</f>
        <v>273.32328767123283</v>
      </c>
      <c r="AA289" s="243">
        <f>BDD[[#This Row],[SUE DIA]]/9</f>
        <v>27.574074074074073</v>
      </c>
      <c r="AB289" s="251">
        <v>31274</v>
      </c>
      <c r="AC289" s="251" t="s">
        <v>982</v>
      </c>
      <c r="AD289" s="251" t="s">
        <v>786</v>
      </c>
      <c r="AE289" s="252">
        <v>5587415632</v>
      </c>
      <c r="AF289" s="251" t="s">
        <v>1224</v>
      </c>
      <c r="AG289" s="251" t="s">
        <v>773</v>
      </c>
      <c r="AH289" s="251" t="s">
        <v>730</v>
      </c>
      <c r="AI289" s="243" t="s">
        <v>151</v>
      </c>
      <c r="AJ289" s="258" cm="1">
        <f t="array" aca="1" ref="AJ289" ca="1">DATE(YEAR(FECH.CONS[FECHA DE CONSULTA:]),MONTH(BDD[[#This Row],[FECHA NAC]]),DAY(BDD[[#This Row],[FECHA NAC]]))</f>
        <v>44788</v>
      </c>
      <c r="AK289" s="279">
        <v>9</v>
      </c>
      <c r="AL289" s="261" t="s">
        <v>312</v>
      </c>
      <c r="AM289" s="251" t="s">
        <v>1546</v>
      </c>
      <c r="AN289" s="251" t="s">
        <v>1551</v>
      </c>
      <c r="AO289" s="245">
        <v>45</v>
      </c>
      <c r="AP289" s="251">
        <f ca="1">INT((TODAY()-BDD[[#This Row],[FECHA NAC]])/365)</f>
        <v>36</v>
      </c>
      <c r="AQ289" s="251">
        <v>2</v>
      </c>
      <c r="AR289" s="251">
        <f ca="1">IF(BDD[[#This Row],[ANTIG]]=0,0,1)</f>
        <v>1</v>
      </c>
      <c r="AS289" s="251"/>
      <c r="AT289" s="251"/>
      <c r="AU289" s="251"/>
      <c r="AV289" s="251"/>
      <c r="AW289" s="251"/>
      <c r="AX289" s="251"/>
      <c r="AY289" s="251"/>
      <c r="AZ289" s="251">
        <f t="shared" ca="1" si="16"/>
        <v>505</v>
      </c>
    </row>
    <row r="290" spans="2:52" ht="15" customHeight="1" x14ac:dyDescent="0.25">
      <c r="B290" s="243">
        <v>451</v>
      </c>
      <c r="C290" s="251" t="s">
        <v>1665</v>
      </c>
      <c r="D290" s="252">
        <v>7445</v>
      </c>
      <c r="E290" s="252">
        <f>(BDD[[#This Row],[SUE MENS]]/30)</f>
        <v>248.16666666666666</v>
      </c>
      <c r="F290" s="252">
        <f>BDD[[#This Row],[SUE MENS]]/2</f>
        <v>3722.5</v>
      </c>
      <c r="G290" s="319">
        <v>42965</v>
      </c>
      <c r="H290" s="243">
        <f ca="1">INT(_xlfn.DAYS(TODAY(),BDD[[#This Row],[FECHA ING.]])/365)</f>
        <v>4</v>
      </c>
      <c r="I290" s="251" t="str">
        <f>VLOOKUP(J290,TABLAS!$B$3:$G$49,2,FALSE)</f>
        <v>CPTAL HUMANO</v>
      </c>
      <c r="J290" s="198" t="s">
        <v>758</v>
      </c>
      <c r="K290" s="251" t="s">
        <v>778</v>
      </c>
      <c r="L290" s="251" t="s">
        <v>763</v>
      </c>
      <c r="M290" s="251"/>
      <c r="N290" s="244" t="s">
        <v>2110</v>
      </c>
      <c r="O290" s="251" t="str">
        <f>IFERROR(VLOOKUP(BDD[[#This Row],[SUBDPTO]],TABLAS!$B$4:$D$36,3,0)," ")</f>
        <v>EMMA DARIELA GARCÍA LORCA</v>
      </c>
      <c r="P290" s="258"/>
      <c r="Q290" s="264"/>
      <c r="R290" s="244"/>
      <c r="S290" s="251"/>
      <c r="T290" s="251" t="s">
        <v>301</v>
      </c>
      <c r="U290" s="243">
        <f ca="1">VLOOKUP(BDD[[#This Row],[ANTIG]],DIASXANT18[#All],2)</f>
        <v>14</v>
      </c>
      <c r="V290" s="256">
        <f t="shared" si="18"/>
        <v>0.5</v>
      </c>
      <c r="W290" s="243">
        <f ca="1">BDD[[#This Row],[D.VAC.]]*BDD[[#This Row],[% P.V.]]</f>
        <v>7</v>
      </c>
      <c r="X290" s="243">
        <v>30</v>
      </c>
      <c r="Y290" s="257">
        <f ca="1">(365+BDD[[#This Row],[D.PAG.V.]]+BDD[[#This Row],[D.AG.]])/365</f>
        <v>1.1013698630136985</v>
      </c>
      <c r="Z290" s="243">
        <f ca="1">BDD[[#This Row],[SUE DIA]]*BDD[[#This Row],[FACTOR SDI]]</f>
        <v>273.32328767123283</v>
      </c>
      <c r="AA290" s="243">
        <f>BDD[[#This Row],[SUE DIA]]/9</f>
        <v>27.574074074074073</v>
      </c>
      <c r="AB290" s="251">
        <v>33228</v>
      </c>
      <c r="AC290" s="251" t="s">
        <v>998</v>
      </c>
      <c r="AD290" s="251" t="s">
        <v>789</v>
      </c>
      <c r="AE290" s="252">
        <v>8314989916</v>
      </c>
      <c r="AF290" s="251" t="s">
        <v>1266</v>
      </c>
      <c r="AG290" s="251" t="s">
        <v>776</v>
      </c>
      <c r="AH290" s="251" t="s">
        <v>730</v>
      </c>
      <c r="AI290" s="243" t="s">
        <v>151</v>
      </c>
      <c r="AJ290" s="258" cm="1">
        <f t="array" aca="1" ref="AJ290" ca="1">DATE(YEAR(FECH.CONS[FECHA DE CONSULTA:]),MONTH(BDD[[#This Row],[FECHA NAC]]),DAY(BDD[[#This Row],[FECHA NAC]]))</f>
        <v>44916</v>
      </c>
      <c r="AK290" s="279">
        <v>8</v>
      </c>
      <c r="AL290" s="251" t="s">
        <v>311</v>
      </c>
      <c r="AM290" s="251" t="s">
        <v>1533</v>
      </c>
      <c r="AN290" s="251" t="s">
        <v>1551</v>
      </c>
      <c r="AO290" s="245">
        <v>83</v>
      </c>
      <c r="AP290" s="251">
        <f ca="1">INT((TODAY()-BDD[[#This Row],[FECHA NAC]])/365)</f>
        <v>31</v>
      </c>
      <c r="AQ290" s="251">
        <v>0</v>
      </c>
      <c r="AR290" s="251">
        <f ca="1">IF(BDD[[#This Row],[ANTIG]]=0,0,1)</f>
        <v>1</v>
      </c>
      <c r="AS290" s="251"/>
      <c r="AT290" s="251"/>
      <c r="AU290" s="251"/>
      <c r="AV290" s="251"/>
      <c r="AW290" s="251"/>
      <c r="AX290" s="251"/>
      <c r="AY290" s="251"/>
      <c r="AZ290" s="251">
        <f t="shared" ca="1" si="16"/>
        <v>32</v>
      </c>
    </row>
    <row r="291" spans="2:52" ht="15" customHeight="1" x14ac:dyDescent="0.25">
      <c r="B291" s="243">
        <v>452</v>
      </c>
      <c r="C291" s="259" t="s">
        <v>519</v>
      </c>
      <c r="D291" s="252">
        <v>9541</v>
      </c>
      <c r="E291" s="252">
        <f>(BDD[[#This Row],[SUE MENS]]/30)</f>
        <v>318.03333333333336</v>
      </c>
      <c r="F291" s="252">
        <f>BDD[[#This Row],[SUE MENS]]/2</f>
        <v>4770.5</v>
      </c>
      <c r="G291" s="319">
        <v>42993</v>
      </c>
      <c r="H291" s="243">
        <f ca="1">INT(_xlfn.DAYS(TODAY(),BDD[[#This Row],[FECHA ING.]])/365)</f>
        <v>4</v>
      </c>
      <c r="I291" s="251" t="str">
        <f>VLOOKUP(J291,TABLAS!$B$3:$G$49,2,FALSE)</f>
        <v>CONTABILIDAD</v>
      </c>
      <c r="J291" s="198" t="s">
        <v>742</v>
      </c>
      <c r="K291" s="251" t="s">
        <v>778</v>
      </c>
      <c r="L291" s="251" t="s">
        <v>763</v>
      </c>
      <c r="M291" s="251"/>
      <c r="N291" s="253" t="s">
        <v>2063</v>
      </c>
      <c r="O291" s="251" t="str">
        <f>IFERROR(VLOOKUP(BDD[[#This Row],[SUBDPTO]],TABLAS!$B$4:$D$36,3,0)," ")</f>
        <v>IRIE DALÍ ANTARES CORTÉS</v>
      </c>
      <c r="P291" s="258">
        <v>41995</v>
      </c>
      <c r="Q291" s="254">
        <v>5088</v>
      </c>
      <c r="R291" s="255" t="s">
        <v>768</v>
      </c>
      <c r="S291" s="255" t="s">
        <v>742</v>
      </c>
      <c r="T291" s="251" t="s">
        <v>301</v>
      </c>
      <c r="U291" s="243">
        <f ca="1">VLOOKUP(BDD[[#This Row],[ANTIG]],DIASXANT18[#All],2)</f>
        <v>14</v>
      </c>
      <c r="V291" s="256">
        <f t="shared" si="18"/>
        <v>0.5</v>
      </c>
      <c r="W291" s="243">
        <f ca="1">BDD[[#This Row],[D.VAC.]]*BDD[[#This Row],[% P.V.]]</f>
        <v>7</v>
      </c>
      <c r="X291" s="243">
        <v>30</v>
      </c>
      <c r="Y291" s="257">
        <f ca="1">(365+BDD[[#This Row],[D.PAG.V.]]+BDD[[#This Row],[D.AG.]])/365</f>
        <v>1.1013698630136985</v>
      </c>
      <c r="Z291" s="243">
        <f ca="1">BDD[[#This Row],[SUE DIA]]*BDD[[#This Row],[FACTOR SDI]]</f>
        <v>350.27232876712327</v>
      </c>
      <c r="AA291" s="243">
        <f>BDD[[#This Row],[SUE DIA]]/9</f>
        <v>35.337037037037042</v>
      </c>
      <c r="AB291" s="251">
        <v>33631</v>
      </c>
      <c r="AC291" s="251" t="s">
        <v>1053</v>
      </c>
      <c r="AD291" s="251" t="s">
        <v>786</v>
      </c>
      <c r="AE291" s="260">
        <v>3367974465</v>
      </c>
      <c r="AF291" s="251" t="s">
        <v>1398</v>
      </c>
      <c r="AG291" s="251" t="s">
        <v>773</v>
      </c>
      <c r="AH291" s="251" t="s">
        <v>1555</v>
      </c>
      <c r="AI291" s="243" t="s">
        <v>151</v>
      </c>
      <c r="AJ291" s="258" cm="1">
        <f t="array" aca="1" ref="AJ291" ca="1">DATE(YEAR(FECH.CONS[FECHA DE CONSULTA:]),MONTH(BDD[[#This Row],[FECHA NAC]]),DAY(BDD[[#This Row],[FECHA NAC]]))</f>
        <v>44589</v>
      </c>
      <c r="AK291" s="279"/>
      <c r="AL291" s="261" t="s">
        <v>311</v>
      </c>
      <c r="AM291" s="251" t="s">
        <v>1546</v>
      </c>
      <c r="AN291" s="251" t="s">
        <v>1551</v>
      </c>
      <c r="AO291" s="245">
        <v>77</v>
      </c>
      <c r="AP291" s="251">
        <f ca="1">INT((TODAY()-BDD[[#This Row],[FECHA NAC]])/365)</f>
        <v>30</v>
      </c>
      <c r="AQ291" s="251">
        <v>2</v>
      </c>
      <c r="AR291" s="251">
        <f ca="1">IF(BDD[[#This Row],[ANTIG]]=0,0,1)</f>
        <v>1</v>
      </c>
      <c r="AS291" s="251"/>
      <c r="AT291" s="251"/>
      <c r="AU291" s="251"/>
      <c r="AV291" s="251"/>
      <c r="AW291" s="251"/>
      <c r="AX291" s="251"/>
      <c r="AY291" s="251"/>
      <c r="AZ291" s="251">
        <f t="shared" ca="1" si="16"/>
        <v>397</v>
      </c>
    </row>
    <row r="292" spans="2:52" ht="15" customHeight="1" x14ac:dyDescent="0.25">
      <c r="B292" s="243">
        <v>455</v>
      </c>
      <c r="C292" s="259" t="s">
        <v>608</v>
      </c>
      <c r="D292" s="263">
        <v>7445</v>
      </c>
      <c r="E292" s="252">
        <f>(BDD[[#This Row],[SUE MENS]]/30)</f>
        <v>248.16666666666666</v>
      </c>
      <c r="F292" s="252">
        <f>BDD[[#This Row],[SUE MENS]]/2</f>
        <v>3722.5</v>
      </c>
      <c r="G292" s="319">
        <v>43003</v>
      </c>
      <c r="H292" s="243">
        <f ca="1">INT(_xlfn.DAYS(TODAY(),BDD[[#This Row],[FECHA ING.]])/365)</f>
        <v>4</v>
      </c>
      <c r="I292" s="251" t="str">
        <f>VLOOKUP(J292,TABLAS!$B$3:$G$49,2,FALSE)</f>
        <v>DIV INGENRIA</v>
      </c>
      <c r="J292" s="198" t="s">
        <v>743</v>
      </c>
      <c r="K292" s="251" t="s">
        <v>778</v>
      </c>
      <c r="L292" s="251" t="s">
        <v>763</v>
      </c>
      <c r="M292" s="251"/>
      <c r="N292" s="253" t="s">
        <v>2073</v>
      </c>
      <c r="O292" s="251" t="str">
        <f>IFERROR(VLOOKUP(BDD[[#This Row],[SUBDPTO]],TABLAS!$B$4:$D$36,3,0)," ")</f>
        <v>DIEGO HERRERA GIRÓN</v>
      </c>
      <c r="P292" s="258">
        <v>43743</v>
      </c>
      <c r="Q292" s="254">
        <v>5422.4000000000005</v>
      </c>
      <c r="R292" s="255" t="s">
        <v>736</v>
      </c>
      <c r="S292" s="251"/>
      <c r="T292" s="251" t="s">
        <v>811</v>
      </c>
      <c r="U292" s="243">
        <f ca="1">VLOOKUP(BDD[[#This Row],[ANTIG]],DIASXANT18[#All],2)</f>
        <v>14</v>
      </c>
      <c r="V292" s="256">
        <f t="shared" si="18"/>
        <v>0.5</v>
      </c>
      <c r="W292" s="243">
        <f ca="1">BDD[[#This Row],[D.VAC.]]*BDD[[#This Row],[% P.V.]]</f>
        <v>7</v>
      </c>
      <c r="X292" s="243">
        <v>30</v>
      </c>
      <c r="Y292" s="257">
        <f ca="1">(365+BDD[[#This Row],[D.PAG.V.]]+BDD[[#This Row],[D.AG.]])/365</f>
        <v>1.1013698630136985</v>
      </c>
      <c r="Z292" s="243">
        <f ca="1">BDD[[#This Row],[SUE DIA]]*BDD[[#This Row],[FACTOR SDI]]</f>
        <v>273.32328767123283</v>
      </c>
      <c r="AA292" s="243">
        <f>BDD[[#This Row],[SUE DIA]]/9</f>
        <v>27.574074074074073</v>
      </c>
      <c r="AB292" s="251">
        <v>27006</v>
      </c>
      <c r="AC292" s="251" t="s">
        <v>983</v>
      </c>
      <c r="AD292" s="251" t="s">
        <v>787</v>
      </c>
      <c r="AE292" s="260">
        <v>8205870293</v>
      </c>
      <c r="AF292" s="251" t="s">
        <v>1458</v>
      </c>
      <c r="AG292" s="251" t="s">
        <v>776</v>
      </c>
      <c r="AH292" s="251" t="s">
        <v>730</v>
      </c>
      <c r="AI292" s="243" t="s">
        <v>152</v>
      </c>
      <c r="AJ292" s="258" cm="1">
        <f t="array" aca="1" ref="AJ292" ca="1">DATE(YEAR(FECH.CONS[FECHA DE CONSULTA:]),MONTH(BDD[[#This Row],[FECHA NAC]]),DAY(BDD[[#This Row],[FECHA NAC]]))</f>
        <v>44903</v>
      </c>
      <c r="AK292" s="279">
        <v>5</v>
      </c>
      <c r="AL292" s="261" t="s">
        <v>311</v>
      </c>
      <c r="AM292" s="251" t="s">
        <v>1546</v>
      </c>
      <c r="AN292" s="251" t="s">
        <v>1551</v>
      </c>
      <c r="AO292" s="245">
        <v>40</v>
      </c>
      <c r="AP292" s="251">
        <f ca="1">INT((TODAY()-BDD[[#This Row],[FECHA NAC]])/365)</f>
        <v>48</v>
      </c>
      <c r="AQ292" s="251">
        <v>3</v>
      </c>
      <c r="AR292" s="251">
        <f ca="1">IF(BDD[[#This Row],[ANTIG]]=0,0,1)</f>
        <v>1</v>
      </c>
      <c r="AS292" s="251"/>
      <c r="AT292" s="251"/>
      <c r="AU292" s="251"/>
      <c r="AV292" s="251"/>
      <c r="AW292" s="251"/>
      <c r="AX292" s="251"/>
      <c r="AY292" s="251"/>
      <c r="AZ292" s="251">
        <f t="shared" ca="1" si="16"/>
        <v>440</v>
      </c>
    </row>
    <row r="293" spans="2:52" ht="15" customHeight="1" x14ac:dyDescent="0.25">
      <c r="B293" s="243">
        <v>456</v>
      </c>
      <c r="C293" s="259" t="s">
        <v>826</v>
      </c>
      <c r="D293" s="252">
        <v>9541</v>
      </c>
      <c r="E293" s="252">
        <f>(BDD[[#This Row],[SUE MENS]]/30)</f>
        <v>318.03333333333336</v>
      </c>
      <c r="F293" s="252">
        <f>BDD[[#This Row],[SUE MENS]]/2</f>
        <v>4770.5</v>
      </c>
      <c r="G293" s="319">
        <v>43019</v>
      </c>
      <c r="H293" s="243">
        <f ca="1">INT(_xlfn.DAYS(TODAY(),BDD[[#This Row],[FECHA ING.]])/365)</f>
        <v>4</v>
      </c>
      <c r="I293" s="251" t="str">
        <f>VLOOKUP(J293,TABLAS!$B$3:$G$49,2,FALSE)</f>
        <v>CONTRATOS</v>
      </c>
      <c r="J293" s="198" t="s">
        <v>739</v>
      </c>
      <c r="K293" s="251" t="s">
        <v>778</v>
      </c>
      <c r="L293" s="251" t="s">
        <v>763</v>
      </c>
      <c r="M293" s="251"/>
      <c r="N293" s="244" t="s">
        <v>1779</v>
      </c>
      <c r="O293" s="251" t="str">
        <f>IFERROR(VLOOKUP(BDD[[#This Row],[SUBDPTO]],TABLAS!$B$4:$D$36,3,0)," ")</f>
        <v>IDALIA GARCÍA ESCRIVÁ</v>
      </c>
      <c r="P293" s="258">
        <v>43822</v>
      </c>
      <c r="Q293" s="254">
        <v>5422.4000000000005</v>
      </c>
      <c r="R293" s="255" t="s">
        <v>768</v>
      </c>
      <c r="S293" s="255" t="s">
        <v>740</v>
      </c>
      <c r="T293" s="251" t="s">
        <v>301</v>
      </c>
      <c r="U293" s="243">
        <f ca="1">VLOOKUP(BDD[[#This Row],[ANTIG]],DIASXANT18[#All],2)</f>
        <v>14</v>
      </c>
      <c r="V293" s="256">
        <f t="shared" si="18"/>
        <v>0.5</v>
      </c>
      <c r="W293" s="243">
        <f ca="1">BDD[[#This Row],[D.VAC.]]*BDD[[#This Row],[% P.V.]]</f>
        <v>7</v>
      </c>
      <c r="X293" s="243">
        <v>30</v>
      </c>
      <c r="Y293" s="257">
        <f ca="1">(365+BDD[[#This Row],[D.PAG.V.]]+BDD[[#This Row],[D.AG.]])/365</f>
        <v>1.1013698630136985</v>
      </c>
      <c r="Z293" s="243">
        <f ca="1">BDD[[#This Row],[SUE DIA]]*BDD[[#This Row],[FACTOR SDI]]</f>
        <v>350.27232876712327</v>
      </c>
      <c r="AA293" s="243">
        <f>BDD[[#This Row],[SUE DIA]]/9</f>
        <v>35.337037037037042</v>
      </c>
      <c r="AB293" s="251">
        <v>34604</v>
      </c>
      <c r="AC293" s="251" t="s">
        <v>985</v>
      </c>
      <c r="AD293" s="251" t="s">
        <v>790</v>
      </c>
      <c r="AE293" s="260">
        <v>7644072780</v>
      </c>
      <c r="AF293" s="251" t="s">
        <v>1442</v>
      </c>
      <c r="AG293" s="251" t="s">
        <v>776</v>
      </c>
      <c r="AH293" s="251" t="s">
        <v>726</v>
      </c>
      <c r="AI293" s="243" t="s">
        <v>152</v>
      </c>
      <c r="AJ293" s="258" cm="1">
        <f t="array" aca="1" ref="AJ293" ca="1">DATE(YEAR(FECH.CONS[FECHA DE CONSULTA:]),MONTH(BDD[[#This Row],[FECHA NAC]]),DAY(BDD[[#This Row],[FECHA NAC]]))</f>
        <v>44831</v>
      </c>
      <c r="AK293" s="279"/>
      <c r="AL293" s="261" t="s">
        <v>326</v>
      </c>
      <c r="AM293" s="251" t="s">
        <v>1538</v>
      </c>
      <c r="AN293" s="251" t="s">
        <v>1551</v>
      </c>
      <c r="AO293" s="245">
        <v>71</v>
      </c>
      <c r="AP293" s="251">
        <f ca="1">INT((TODAY()-BDD[[#This Row],[FECHA NAC]])/365)</f>
        <v>27</v>
      </c>
      <c r="AQ293" s="251">
        <v>0</v>
      </c>
      <c r="AR293" s="251">
        <f ca="1">IF(BDD[[#This Row],[ANTIG]]=0,0,1)</f>
        <v>1</v>
      </c>
      <c r="AS293" s="251"/>
      <c r="AT293" s="251"/>
      <c r="AU293" s="251"/>
      <c r="AV293" s="251"/>
      <c r="AW293" s="251"/>
      <c r="AX293" s="251"/>
      <c r="AY293" s="251"/>
      <c r="AZ293" s="251">
        <f t="shared" ca="1" si="16"/>
        <v>34</v>
      </c>
    </row>
    <row r="294" spans="2:52" ht="15" customHeight="1" x14ac:dyDescent="0.25">
      <c r="B294" s="243">
        <v>458</v>
      </c>
      <c r="C294" s="259" t="s">
        <v>829</v>
      </c>
      <c r="D294" s="252">
        <v>9541</v>
      </c>
      <c r="E294" s="252">
        <f>(BDD[[#This Row],[SUE MENS]]/30)</f>
        <v>318.03333333333336</v>
      </c>
      <c r="F294" s="252">
        <f>BDD[[#This Row],[SUE MENS]]/2</f>
        <v>4770.5</v>
      </c>
      <c r="G294" s="319">
        <v>43019</v>
      </c>
      <c r="H294" s="243">
        <f ca="1">INT(_xlfn.DAYS(TODAY(),BDD[[#This Row],[FECHA ING.]])/365)</f>
        <v>4</v>
      </c>
      <c r="I294" s="251" t="str">
        <f>VLOOKUP(J294,TABLAS!$B$3:$G$49,2,FALSE)</f>
        <v>DIV INGENRIA</v>
      </c>
      <c r="J294" s="198" t="s">
        <v>756</v>
      </c>
      <c r="K294" s="251" t="s">
        <v>778</v>
      </c>
      <c r="L294" s="251" t="s">
        <v>763</v>
      </c>
      <c r="M294" s="251"/>
      <c r="N294" s="244" t="s">
        <v>2070</v>
      </c>
      <c r="O294" s="251" t="str">
        <f>IFERROR(VLOOKUP(BDD[[#This Row],[SUBDPTO]],TABLAS!$B$4:$D$36,3,0)," ")</f>
        <v>DIEGO HERRERA GIRÓN</v>
      </c>
      <c r="P294" s="258">
        <v>42155</v>
      </c>
      <c r="Q294" s="254">
        <v>5956</v>
      </c>
      <c r="R294" s="255" t="s">
        <v>738</v>
      </c>
      <c r="S294" s="255" t="s">
        <v>743</v>
      </c>
      <c r="T294" s="251" t="s">
        <v>811</v>
      </c>
      <c r="U294" s="243">
        <f ca="1">VLOOKUP(BDD[[#This Row],[ANTIG]],DIASXANT18[#All],2)</f>
        <v>14</v>
      </c>
      <c r="V294" s="256">
        <f t="shared" si="18"/>
        <v>0.5</v>
      </c>
      <c r="W294" s="243">
        <f ca="1">BDD[[#This Row],[D.VAC.]]*BDD[[#This Row],[% P.V.]]</f>
        <v>7</v>
      </c>
      <c r="X294" s="243">
        <v>30</v>
      </c>
      <c r="Y294" s="257">
        <f ca="1">(365+BDD[[#This Row],[D.PAG.V.]]+BDD[[#This Row],[D.AG.]])/365</f>
        <v>1.1013698630136985</v>
      </c>
      <c r="Z294" s="243">
        <f ca="1">BDD[[#This Row],[SUE DIA]]*BDD[[#This Row],[FACTOR SDI]]</f>
        <v>350.27232876712327</v>
      </c>
      <c r="AA294" s="243">
        <f>BDD[[#This Row],[SUE DIA]]/9</f>
        <v>35.337037037037042</v>
      </c>
      <c r="AB294" s="251">
        <v>31943</v>
      </c>
      <c r="AC294" s="251" t="s">
        <v>955</v>
      </c>
      <c r="AD294" s="251" t="s">
        <v>789</v>
      </c>
      <c r="AE294" s="260">
        <v>2368419447</v>
      </c>
      <c r="AF294" s="251" t="s">
        <v>1518</v>
      </c>
      <c r="AG294" s="251" t="s">
        <v>773</v>
      </c>
      <c r="AH294" s="251" t="s">
        <v>730</v>
      </c>
      <c r="AI294" s="243" t="s">
        <v>151</v>
      </c>
      <c r="AJ294" s="258" cm="1">
        <f t="array" aca="1" ref="AJ294" ca="1">DATE(YEAR(FECH.CONS[FECHA DE CONSULTA:]),MONTH(BDD[[#This Row],[FECHA NAC]]),DAY(BDD[[#This Row],[FECHA NAC]]))</f>
        <v>44727</v>
      </c>
      <c r="AK294" s="279">
        <v>10</v>
      </c>
      <c r="AL294" s="261" t="s">
        <v>313</v>
      </c>
      <c r="AM294" s="251" t="s">
        <v>1538</v>
      </c>
      <c r="AN294" s="251" t="s">
        <v>1551</v>
      </c>
      <c r="AO294" s="245">
        <v>48</v>
      </c>
      <c r="AP294" s="251">
        <f ca="1">INT((TODAY()-BDD[[#This Row],[FECHA NAC]])/365)</f>
        <v>35</v>
      </c>
      <c r="AQ294" s="251">
        <v>3</v>
      </c>
      <c r="AR294" s="251">
        <f ca="1">IF(BDD[[#This Row],[ANTIG]]=0,0,1)</f>
        <v>1</v>
      </c>
      <c r="AS294" s="251"/>
      <c r="AT294" s="251"/>
      <c r="AU294" s="251"/>
      <c r="AV294" s="251"/>
      <c r="AW294" s="251"/>
      <c r="AX294" s="251"/>
      <c r="AY294" s="251"/>
      <c r="AZ294" s="251">
        <f t="shared" ca="1" si="16"/>
        <v>930</v>
      </c>
    </row>
    <row r="295" spans="2:52" ht="15" customHeight="1" x14ac:dyDescent="0.25">
      <c r="B295" s="243">
        <v>460</v>
      </c>
      <c r="C295" s="251" t="s">
        <v>1650</v>
      </c>
      <c r="D295" s="252">
        <v>9450</v>
      </c>
      <c r="E295" s="252">
        <f>(BDD[[#This Row],[SUE MENS]]/30)</f>
        <v>315</v>
      </c>
      <c r="F295" s="252">
        <f>BDD[[#This Row],[SUE MENS]]/2</f>
        <v>4725</v>
      </c>
      <c r="G295" s="319">
        <v>43019</v>
      </c>
      <c r="H295" s="243">
        <f ca="1">INT(_xlfn.DAYS(TODAY(),BDD[[#This Row],[FECHA ING.]])/365)</f>
        <v>4</v>
      </c>
      <c r="I295" s="251" t="str">
        <f>VLOOKUP(J295,TABLAS!$B$3:$G$49,2,FALSE)</f>
        <v>DIV ARQUIT</v>
      </c>
      <c r="J295" s="198" t="s">
        <v>740</v>
      </c>
      <c r="K295" s="251" t="s">
        <v>778</v>
      </c>
      <c r="L295" s="251" t="s">
        <v>763</v>
      </c>
      <c r="M295" s="274"/>
      <c r="N295" s="244" t="s">
        <v>2095</v>
      </c>
      <c r="O295" s="251" t="str">
        <f>IFERROR(VLOOKUP(BDD[[#This Row],[SUBDPTO]],TABLAS!$B$4:$D$36,3,0)," ")</f>
        <v>MÉRIDA ISELA MEDINA SALINAS</v>
      </c>
      <c r="P295" s="258">
        <f>BDD[[#This Row],[FECHA ING.]]+700</f>
        <v>43719</v>
      </c>
      <c r="Q295" s="254">
        <v>6177.5</v>
      </c>
      <c r="R295" s="251" t="s">
        <v>735</v>
      </c>
      <c r="S295" s="251"/>
      <c r="T295" s="251" t="s">
        <v>811</v>
      </c>
      <c r="U295" s="243">
        <f ca="1">VLOOKUP(BDD[[#This Row],[ANTIG]],DIASXANT18[#All],2)</f>
        <v>14</v>
      </c>
      <c r="V295" s="256">
        <f t="shared" si="18"/>
        <v>0.5</v>
      </c>
      <c r="W295" s="243">
        <f ca="1">BDD[[#This Row],[D.VAC.]]*BDD[[#This Row],[% P.V.]]</f>
        <v>7</v>
      </c>
      <c r="X295" s="243">
        <v>30</v>
      </c>
      <c r="Y295" s="257">
        <f ca="1">(365+BDD[[#This Row],[D.PAG.V.]]+BDD[[#This Row],[D.AG.]])/365</f>
        <v>1.1013698630136985</v>
      </c>
      <c r="Z295" s="243">
        <f ca="1">BDD[[#This Row],[SUE DIA]]*BDD[[#This Row],[FACTOR SDI]]</f>
        <v>346.93150684931504</v>
      </c>
      <c r="AA295" s="243">
        <f>BDD[[#This Row],[SUE DIA]]/9</f>
        <v>35</v>
      </c>
      <c r="AB295" s="251">
        <v>29818</v>
      </c>
      <c r="AC295" s="251" t="s">
        <v>926</v>
      </c>
      <c r="AD295" s="251" t="s">
        <v>809</v>
      </c>
      <c r="AE295" s="252">
        <v>8592807804</v>
      </c>
      <c r="AF295" s="251" t="s">
        <v>1232</v>
      </c>
      <c r="AG295" s="251" t="s">
        <v>773</v>
      </c>
      <c r="AH295" s="251" t="s">
        <v>730</v>
      </c>
      <c r="AI295" s="243" t="s">
        <v>151</v>
      </c>
      <c r="AJ295" s="258" cm="1">
        <f t="array" aca="1" ref="AJ295" ca="1">DATE(YEAR(FECH.CONS[FECHA DE CONSULTA:]),MONTH(BDD[[#This Row],[FECHA NAC]]),DAY(BDD[[#This Row],[FECHA NAC]]))</f>
        <v>44793</v>
      </c>
      <c r="AK295" s="279">
        <v>10</v>
      </c>
      <c r="AL295" s="251" t="s">
        <v>311</v>
      </c>
      <c r="AM295" s="251" t="s">
        <v>1543</v>
      </c>
      <c r="AN295" s="251" t="s">
        <v>1551</v>
      </c>
      <c r="AO295" s="245">
        <v>79</v>
      </c>
      <c r="AP295" s="251">
        <f ca="1">INT((TODAY()-BDD[[#This Row],[FECHA NAC]])/365)</f>
        <v>40</v>
      </c>
      <c r="AQ295" s="251">
        <v>2</v>
      </c>
      <c r="AR295" s="251">
        <f ca="1">IF(BDD[[#This Row],[ANTIG]]=0,0,1)</f>
        <v>1</v>
      </c>
      <c r="AS295" s="251"/>
      <c r="AT295" s="251"/>
      <c r="AU295" s="251"/>
      <c r="AV295" s="251"/>
      <c r="AW295" s="251"/>
      <c r="AX295" s="251"/>
      <c r="AY295" s="251"/>
      <c r="AZ295" s="251">
        <f t="shared" ca="1" si="16"/>
        <v>919</v>
      </c>
    </row>
    <row r="296" spans="2:52" ht="15" customHeight="1" x14ac:dyDescent="0.25">
      <c r="B296" s="243">
        <v>461</v>
      </c>
      <c r="C296" s="259" t="s">
        <v>563</v>
      </c>
      <c r="D296" s="252">
        <v>9541</v>
      </c>
      <c r="E296" s="252">
        <f>(BDD[[#This Row],[SUE MENS]]/30)</f>
        <v>318.03333333333336</v>
      </c>
      <c r="F296" s="252">
        <f>BDD[[#This Row],[SUE MENS]]/2</f>
        <v>4770.5</v>
      </c>
      <c r="G296" s="319">
        <v>43020</v>
      </c>
      <c r="H296" s="243">
        <f ca="1">INT(_xlfn.DAYS(TODAY(),BDD[[#This Row],[FECHA ING.]])/365)</f>
        <v>4</v>
      </c>
      <c r="I296" s="251" t="str">
        <f>VLOOKUP(J296,TABLAS!$B$3:$G$49,2,FALSE)</f>
        <v>DIV ARQUIT</v>
      </c>
      <c r="J296" s="198" t="s">
        <v>741</v>
      </c>
      <c r="K296" s="251" t="s">
        <v>778</v>
      </c>
      <c r="L296" s="251" t="s">
        <v>763</v>
      </c>
      <c r="M296" s="251"/>
      <c r="N296" s="253" t="s">
        <v>2100</v>
      </c>
      <c r="O296" s="251" t="str">
        <f>IFERROR(VLOOKUP(BDD[[#This Row],[SUBDPTO]],TABLAS!$B$4:$D$36,3,0)," ")</f>
        <v>MÉRIDA ISELA MEDINA SALINAS</v>
      </c>
      <c r="P296" s="258">
        <v>41252</v>
      </c>
      <c r="Q296" s="254">
        <v>6580</v>
      </c>
      <c r="R296" s="255" t="s">
        <v>744</v>
      </c>
      <c r="S296" s="255" t="s">
        <v>734</v>
      </c>
      <c r="T296" s="251" t="s">
        <v>811</v>
      </c>
      <c r="U296" s="243">
        <f ca="1">VLOOKUP(BDD[[#This Row],[ANTIG]],DIASXANT18[#All],2)</f>
        <v>14</v>
      </c>
      <c r="V296" s="256">
        <f t="shared" si="18"/>
        <v>0.5</v>
      </c>
      <c r="W296" s="243">
        <f ca="1">BDD[[#This Row],[D.VAC.]]*BDD[[#This Row],[% P.V.]]</f>
        <v>7</v>
      </c>
      <c r="X296" s="243">
        <v>30</v>
      </c>
      <c r="Y296" s="257">
        <f ca="1">(365+BDD[[#This Row],[D.PAG.V.]]+BDD[[#This Row],[D.AG.]])/365</f>
        <v>1.1013698630136985</v>
      </c>
      <c r="Z296" s="243">
        <f ca="1">BDD[[#This Row],[SUE DIA]]*BDD[[#This Row],[FACTOR SDI]]</f>
        <v>350.27232876712327</v>
      </c>
      <c r="AA296" s="243">
        <f>BDD[[#This Row],[SUE DIA]]/9</f>
        <v>35.337037037037042</v>
      </c>
      <c r="AB296" s="251">
        <v>34044</v>
      </c>
      <c r="AC296" s="251" t="s">
        <v>1064</v>
      </c>
      <c r="AD296" s="251" t="s">
        <v>791</v>
      </c>
      <c r="AE296" s="260">
        <v>8207145462</v>
      </c>
      <c r="AF296" s="251" t="s">
        <v>1429</v>
      </c>
      <c r="AG296" s="251" t="s">
        <v>773</v>
      </c>
      <c r="AH296" s="251" t="s">
        <v>730</v>
      </c>
      <c r="AI296" s="243" t="s">
        <v>152</v>
      </c>
      <c r="AJ296" s="258" cm="1">
        <f t="array" aca="1" ref="AJ296" ca="1">DATE(YEAR(FECH.CONS[FECHA DE CONSULTA:]),MONTH(BDD[[#This Row],[FECHA NAC]]),DAY(BDD[[#This Row],[FECHA NAC]]))</f>
        <v>44636</v>
      </c>
      <c r="AK296" s="279">
        <v>9</v>
      </c>
      <c r="AL296" s="261" t="s">
        <v>311</v>
      </c>
      <c r="AM296" s="251" t="s">
        <v>1543</v>
      </c>
      <c r="AN296" s="251" t="s">
        <v>1551</v>
      </c>
      <c r="AO296" s="245">
        <v>36</v>
      </c>
      <c r="AP296" s="251">
        <f ca="1">INT((TODAY()-BDD[[#This Row],[FECHA NAC]])/365)</f>
        <v>29</v>
      </c>
      <c r="AQ296" s="251">
        <v>3</v>
      </c>
      <c r="AR296" s="251">
        <f ca="1">IF(BDD[[#This Row],[ANTIG]]=0,0,1)</f>
        <v>1</v>
      </c>
      <c r="AS296" s="251"/>
      <c r="AT296" s="251"/>
      <c r="AU296" s="251"/>
      <c r="AV296" s="251"/>
      <c r="AW296" s="251"/>
      <c r="AX296" s="251"/>
      <c r="AY296" s="251"/>
      <c r="AZ296" s="251">
        <f t="shared" ca="1" si="16"/>
        <v>877</v>
      </c>
    </row>
    <row r="297" spans="2:52" ht="15" customHeight="1" x14ac:dyDescent="0.25">
      <c r="B297" s="243">
        <v>462</v>
      </c>
      <c r="C297" s="259" t="s">
        <v>498</v>
      </c>
      <c r="D297" s="252">
        <v>9450</v>
      </c>
      <c r="E297" s="252">
        <f>(BDD[[#This Row],[SUE MENS]]/30)</f>
        <v>315</v>
      </c>
      <c r="F297" s="252">
        <f>BDD[[#This Row],[SUE MENS]]/2</f>
        <v>4725</v>
      </c>
      <c r="G297" s="319">
        <v>43028</v>
      </c>
      <c r="H297" s="243">
        <f ca="1">INT(_xlfn.DAYS(TODAY(),BDD[[#This Row],[FECHA ING.]])/365)</f>
        <v>4</v>
      </c>
      <c r="I297" s="251" t="str">
        <f>VLOOKUP(J297,TABLAS!$B$3:$G$49,2,FALSE)</f>
        <v>DIV INGENRIA</v>
      </c>
      <c r="J297" s="198" t="s">
        <v>756</v>
      </c>
      <c r="K297" s="251" t="s">
        <v>778</v>
      </c>
      <c r="L297" s="251" t="s">
        <v>763</v>
      </c>
      <c r="M297" s="251"/>
      <c r="N297" s="244" t="s">
        <v>2231</v>
      </c>
      <c r="O297" s="251" t="str">
        <f>IFERROR(VLOOKUP(BDD[[#This Row],[SUBDPTO]],TABLAS!$B$4:$D$36,3,0)," ")</f>
        <v>DIEGO HERRERA GIRÓN</v>
      </c>
      <c r="P297" s="258">
        <v>43139</v>
      </c>
      <c r="Q297" s="254">
        <v>5200</v>
      </c>
      <c r="R297" s="255" t="s">
        <v>740</v>
      </c>
      <c r="S297" s="251"/>
      <c r="T297" s="251" t="s">
        <v>811</v>
      </c>
      <c r="U297" s="243">
        <f ca="1">VLOOKUP(BDD[[#This Row],[ANTIG]],DIASXANT18[#All],2)</f>
        <v>14</v>
      </c>
      <c r="V297" s="256">
        <f t="shared" si="18"/>
        <v>0.5</v>
      </c>
      <c r="W297" s="243">
        <f ca="1">BDD[[#This Row],[D.VAC.]]*BDD[[#This Row],[% P.V.]]</f>
        <v>7</v>
      </c>
      <c r="X297" s="243">
        <v>30</v>
      </c>
      <c r="Y297" s="257">
        <f ca="1">(365+BDD[[#This Row],[D.PAG.V.]]+BDD[[#This Row],[D.AG.]])/365</f>
        <v>1.1013698630136985</v>
      </c>
      <c r="Z297" s="243">
        <f ca="1">BDD[[#This Row],[SUE DIA]]*BDD[[#This Row],[FACTOR SDI]]</f>
        <v>346.93150684931504</v>
      </c>
      <c r="AA297" s="243">
        <f>BDD[[#This Row],[SUE DIA]]/9</f>
        <v>35</v>
      </c>
      <c r="AB297" s="251">
        <v>29610</v>
      </c>
      <c r="AC297" s="251" t="s">
        <v>1047</v>
      </c>
      <c r="AD297" s="251" t="s">
        <v>810</v>
      </c>
      <c r="AE297" s="260">
        <v>4456487541</v>
      </c>
      <c r="AF297" s="251" t="s">
        <v>1384</v>
      </c>
      <c r="AG297" s="251" t="s">
        <v>776</v>
      </c>
      <c r="AH297" s="251" t="s">
        <v>730</v>
      </c>
      <c r="AI297" s="243" t="s">
        <v>151</v>
      </c>
      <c r="AJ297" s="258" cm="1">
        <f t="array" aca="1" ref="AJ297" ca="1">DATE(YEAR(FECH.CONS[FECHA DE CONSULTA:]),MONTH(BDD[[#This Row],[FECHA NAC]]),DAY(BDD[[#This Row],[FECHA NAC]]))</f>
        <v>44585</v>
      </c>
      <c r="AK297" s="279">
        <v>10</v>
      </c>
      <c r="AL297" s="261" t="s">
        <v>311</v>
      </c>
      <c r="AM297" s="251" t="s">
        <v>1546</v>
      </c>
      <c r="AN297" s="251" t="s">
        <v>1551</v>
      </c>
      <c r="AO297" s="245">
        <v>43</v>
      </c>
      <c r="AP297" s="251">
        <f ca="1">INT((TODAY()-BDD[[#This Row],[FECHA NAC]])/365)</f>
        <v>41</v>
      </c>
      <c r="AQ297" s="251">
        <v>0</v>
      </c>
      <c r="AR297" s="251">
        <f ca="1">IF(BDD[[#This Row],[ANTIG]]=0,0,1)</f>
        <v>1</v>
      </c>
      <c r="AS297" s="251"/>
      <c r="AT297" s="251"/>
      <c r="AU297" s="251"/>
      <c r="AV297" s="251"/>
      <c r="AW297" s="251"/>
      <c r="AX297" s="251"/>
      <c r="AY297" s="251"/>
      <c r="AZ297" s="251">
        <f t="shared" ca="1" si="16"/>
        <v>304</v>
      </c>
    </row>
    <row r="298" spans="2:52" ht="15" customHeight="1" x14ac:dyDescent="0.25">
      <c r="B298" s="243">
        <v>463</v>
      </c>
      <c r="C298" s="259" t="s">
        <v>679</v>
      </c>
      <c r="D298" s="252">
        <v>9541</v>
      </c>
      <c r="E298" s="252">
        <f>(BDD[[#This Row],[SUE MENS]]/30)</f>
        <v>318.03333333333336</v>
      </c>
      <c r="F298" s="252">
        <f>BDD[[#This Row],[SUE MENS]]/2</f>
        <v>4770.5</v>
      </c>
      <c r="G298" s="320">
        <v>43028</v>
      </c>
      <c r="H298" s="243">
        <f ca="1">INT(_xlfn.DAYS(TODAY(),BDD[[#This Row],[FECHA ING.]])/365)</f>
        <v>4</v>
      </c>
      <c r="I298" s="251" t="str">
        <f>VLOOKUP(J298,TABLAS!$B$3:$G$49,2,FALSE)</f>
        <v>CONTABILIDAD</v>
      </c>
      <c r="J298" s="198" t="s">
        <v>742</v>
      </c>
      <c r="K298" s="251" t="s">
        <v>778</v>
      </c>
      <c r="L298" s="251" t="s">
        <v>763</v>
      </c>
      <c r="M298" s="251"/>
      <c r="N298" s="244" t="s">
        <v>1814</v>
      </c>
      <c r="O298" s="251" t="str">
        <f>IFERROR(VLOOKUP(BDD[[#This Row],[SUBDPTO]],TABLAS!$B$4:$D$36,3,0)," ")</f>
        <v>IRIE DALÍ ANTARES CORTÉS</v>
      </c>
      <c r="P298" s="258">
        <v>42610</v>
      </c>
      <c r="Q298" s="254">
        <v>5422.4000000000005</v>
      </c>
      <c r="R298" s="255" t="s">
        <v>759</v>
      </c>
      <c r="S298" s="261" t="s">
        <v>745</v>
      </c>
      <c r="T298" s="251" t="s">
        <v>301</v>
      </c>
      <c r="U298" s="243">
        <f ca="1">VLOOKUP(BDD[[#This Row],[ANTIG]],DIASXANT18[#All],2)</f>
        <v>14</v>
      </c>
      <c r="V298" s="256">
        <f t="shared" si="18"/>
        <v>0.5</v>
      </c>
      <c r="W298" s="243">
        <f ca="1">BDD[[#This Row],[D.VAC.]]*BDD[[#This Row],[% P.V.]]</f>
        <v>7</v>
      </c>
      <c r="X298" s="243">
        <v>30</v>
      </c>
      <c r="Y298" s="257">
        <f ca="1">(365+BDD[[#This Row],[D.PAG.V.]]+BDD[[#This Row],[D.AG.]])/365</f>
        <v>1.1013698630136985</v>
      </c>
      <c r="Z298" s="243">
        <f ca="1">BDD[[#This Row],[SUE DIA]]*BDD[[#This Row],[FACTOR SDI]]</f>
        <v>350.27232876712327</v>
      </c>
      <c r="AA298" s="243">
        <f>BDD[[#This Row],[SUE DIA]]/9</f>
        <v>35.337037037037042</v>
      </c>
      <c r="AB298" s="251">
        <v>35082</v>
      </c>
      <c r="AC298" s="251" t="s">
        <v>1018</v>
      </c>
      <c r="AD298" s="251" t="s">
        <v>789</v>
      </c>
      <c r="AE298" s="260">
        <v>5589204629</v>
      </c>
      <c r="AF298" s="251" t="s">
        <v>1505</v>
      </c>
      <c r="AG298" s="251" t="s">
        <v>774</v>
      </c>
      <c r="AH298" s="251" t="s">
        <v>727</v>
      </c>
      <c r="AI298" s="243" t="s">
        <v>152</v>
      </c>
      <c r="AJ298" s="258" cm="1">
        <f t="array" aca="1" ref="AJ298" ca="1">DATE(YEAR(FECH.CONS[FECHA DE CONSULTA:]),MONTH(BDD[[#This Row],[FECHA NAC]]),DAY(BDD[[#This Row],[FECHA NAC]]))</f>
        <v>44579</v>
      </c>
      <c r="AK298" s="279"/>
      <c r="AL298" s="261" t="s">
        <v>311</v>
      </c>
      <c r="AM298" s="251" t="s">
        <v>1538</v>
      </c>
      <c r="AN298" s="251" t="s">
        <v>1553</v>
      </c>
      <c r="AO298" s="245">
        <v>62</v>
      </c>
      <c r="AP298" s="251">
        <f ca="1">INT((TODAY()-BDD[[#This Row],[FECHA NAC]])/365)</f>
        <v>26</v>
      </c>
      <c r="AQ298" s="251">
        <v>2</v>
      </c>
      <c r="AR298" s="251">
        <f ca="1">IF(BDD[[#This Row],[ANTIG]]=0,0,1)</f>
        <v>1</v>
      </c>
      <c r="AS298" s="251"/>
      <c r="AT298" s="251"/>
      <c r="AU298" s="251"/>
      <c r="AV298" s="251"/>
      <c r="AW298" s="251"/>
      <c r="AX298" s="251"/>
      <c r="AY298" s="251"/>
      <c r="AZ298" s="251">
        <f t="shared" ca="1" si="16"/>
        <v>506</v>
      </c>
    </row>
    <row r="299" spans="2:52" ht="15" customHeight="1" x14ac:dyDescent="0.25">
      <c r="B299" s="243">
        <v>464</v>
      </c>
      <c r="C299" s="251" t="s">
        <v>185</v>
      </c>
      <c r="D299" s="263">
        <v>7445</v>
      </c>
      <c r="E299" s="252">
        <f>(BDD[[#This Row],[SUE MENS]]/30)</f>
        <v>248.16666666666666</v>
      </c>
      <c r="F299" s="252">
        <f>BDD[[#This Row],[SUE MENS]]/2</f>
        <v>3722.5</v>
      </c>
      <c r="G299" s="320">
        <v>43032</v>
      </c>
      <c r="H299" s="243">
        <f ca="1">INT(_xlfn.DAYS(TODAY(),BDD[[#This Row],[FECHA ING.]])/365)</f>
        <v>4</v>
      </c>
      <c r="I299" s="251" t="str">
        <f>VLOOKUP(J299,TABLAS!$B$3:$G$49,2,FALSE)</f>
        <v>DIRECCIÓN</v>
      </c>
      <c r="J299" s="198" t="s">
        <v>746</v>
      </c>
      <c r="K299" s="251" t="s">
        <v>778</v>
      </c>
      <c r="L299" s="251" t="s">
        <v>763</v>
      </c>
      <c r="M299" s="251"/>
      <c r="N299" s="244" t="s">
        <v>1950</v>
      </c>
      <c r="O299" s="251" t="str">
        <f>IFERROR(VLOOKUP(BDD[[#This Row],[SUBDPTO]],TABLAS!$B$4:$D$36,3,0)," ")</f>
        <v>MARIANA RODRÍGUEZ GUTIERREZ</v>
      </c>
      <c r="P299" s="258">
        <v>43079</v>
      </c>
      <c r="Q299" s="254">
        <v>5088</v>
      </c>
      <c r="R299" s="255" t="s">
        <v>757</v>
      </c>
      <c r="S299" s="251"/>
      <c r="T299" s="251" t="s">
        <v>811</v>
      </c>
      <c r="U299" s="243">
        <f ca="1">VLOOKUP(BDD[[#This Row],[ANTIG]],DIASXANT18[#All],2)</f>
        <v>14</v>
      </c>
      <c r="V299" s="256">
        <f t="shared" si="18"/>
        <v>0.5</v>
      </c>
      <c r="W299" s="243">
        <f ca="1">BDD[[#This Row],[D.VAC.]]*BDD[[#This Row],[% P.V.]]</f>
        <v>7</v>
      </c>
      <c r="X299" s="243">
        <v>30</v>
      </c>
      <c r="Y299" s="257">
        <f ca="1">(365+BDD[[#This Row],[D.PAG.V.]]+BDD[[#This Row],[D.AG.]])/365</f>
        <v>1.1013698630136985</v>
      </c>
      <c r="Z299" s="243">
        <f ca="1">BDD[[#This Row],[SUE DIA]]*BDD[[#This Row],[FACTOR SDI]]</f>
        <v>273.32328767123283</v>
      </c>
      <c r="AA299" s="243">
        <f>BDD[[#This Row],[SUE DIA]]/9</f>
        <v>27.574074074074073</v>
      </c>
      <c r="AB299" s="251">
        <v>34777</v>
      </c>
      <c r="AC299" s="251" t="s">
        <v>971</v>
      </c>
      <c r="AD299" s="251" t="s">
        <v>789</v>
      </c>
      <c r="AE299" s="252">
        <v>8508827329</v>
      </c>
      <c r="AF299" s="251" t="s">
        <v>1200</v>
      </c>
      <c r="AG299" s="251" t="s">
        <v>773</v>
      </c>
      <c r="AH299" s="251" t="s">
        <v>730</v>
      </c>
      <c r="AI299" s="243" t="s">
        <v>151</v>
      </c>
      <c r="AJ299" s="258" cm="1">
        <f t="array" aca="1" ref="AJ299" ca="1">DATE(YEAR(FECH.CONS[FECHA DE CONSULTA:]),MONTH(BDD[[#This Row],[FECHA NAC]]),DAY(BDD[[#This Row],[FECHA NAC]]))</f>
        <v>44639</v>
      </c>
      <c r="AK299" s="279">
        <v>6</v>
      </c>
      <c r="AL299" s="261" t="s">
        <v>311</v>
      </c>
      <c r="AM299" s="251" t="s">
        <v>1535</v>
      </c>
      <c r="AN299" s="251" t="s">
        <v>1551</v>
      </c>
      <c r="AO299" s="245">
        <v>87</v>
      </c>
      <c r="AP299" s="251">
        <f ca="1">INT((TODAY()-BDD[[#This Row],[FECHA NAC]])/365)</f>
        <v>27</v>
      </c>
      <c r="AQ299" s="251">
        <v>3</v>
      </c>
      <c r="AR299" s="251">
        <f ca="1">IF(BDD[[#This Row],[ANTIG]]=0,0,1)</f>
        <v>1</v>
      </c>
      <c r="AS299" s="251"/>
      <c r="AT299" s="251"/>
      <c r="AU299" s="251"/>
      <c r="AV299" s="251"/>
      <c r="AW299" s="251"/>
      <c r="AX299" s="251"/>
      <c r="AY299" s="251"/>
      <c r="AZ299" s="251">
        <f t="shared" ca="1" si="16"/>
        <v>425</v>
      </c>
    </row>
    <row r="300" spans="2:52" ht="15" customHeight="1" x14ac:dyDescent="0.25">
      <c r="B300" s="243">
        <v>466</v>
      </c>
      <c r="C300" s="251" t="s">
        <v>256</v>
      </c>
      <c r="D300" s="252">
        <v>9541</v>
      </c>
      <c r="E300" s="252">
        <f>(BDD[[#This Row],[SUE MENS]]/30)</f>
        <v>318.03333333333336</v>
      </c>
      <c r="F300" s="252">
        <f>BDD[[#This Row],[SUE MENS]]/2</f>
        <v>4770.5</v>
      </c>
      <c r="G300" s="319">
        <v>43038</v>
      </c>
      <c r="H300" s="243">
        <f ca="1">INT(_xlfn.DAYS(TODAY(),BDD[[#This Row],[FECHA ING.]])/365)</f>
        <v>4</v>
      </c>
      <c r="I300" s="251" t="str">
        <f>VLOOKUP(J300,TABLAS!$B$3:$G$49,2,FALSE)</f>
        <v>AUDITORÍA</v>
      </c>
      <c r="J300" s="198" t="s">
        <v>736</v>
      </c>
      <c r="K300" s="251" t="s">
        <v>778</v>
      </c>
      <c r="L300" s="251" t="s">
        <v>763</v>
      </c>
      <c r="M300" s="251"/>
      <c r="N300" s="244" t="s">
        <v>2170</v>
      </c>
      <c r="O300" s="251" t="str">
        <f>IFERROR(VLOOKUP(BDD[[#This Row],[SUBDPTO]],TABLAS!$B$4:$D$36,3,0)," ")</f>
        <v>MARCO AURELIO URBINO</v>
      </c>
      <c r="P300" s="258">
        <f>BDD[[#This Row],[FECHA ING.]]+900</f>
        <v>43938</v>
      </c>
      <c r="Q300" s="254">
        <v>5211.5</v>
      </c>
      <c r="R300" s="251" t="s">
        <v>853</v>
      </c>
      <c r="S300" s="251"/>
      <c r="T300" s="251" t="s">
        <v>811</v>
      </c>
      <c r="U300" s="243">
        <f ca="1">VLOOKUP(BDD[[#This Row],[ANTIG]],DIASXANT18[#All],2)</f>
        <v>14</v>
      </c>
      <c r="V300" s="256">
        <f t="shared" si="18"/>
        <v>0.5</v>
      </c>
      <c r="W300" s="243">
        <f ca="1">BDD[[#This Row],[D.VAC.]]*BDD[[#This Row],[% P.V.]]</f>
        <v>7</v>
      </c>
      <c r="X300" s="243">
        <v>30</v>
      </c>
      <c r="Y300" s="257">
        <f ca="1">(365+BDD[[#This Row],[D.PAG.V.]]+BDD[[#This Row],[D.AG.]])/365</f>
        <v>1.1013698630136985</v>
      </c>
      <c r="Z300" s="243">
        <f ca="1">BDD[[#This Row],[SUE DIA]]*BDD[[#This Row],[FACTOR SDI]]</f>
        <v>350.27232876712327</v>
      </c>
      <c r="AA300" s="243">
        <f>BDD[[#This Row],[SUE DIA]]/9</f>
        <v>35.337037037037042</v>
      </c>
      <c r="AB300" s="251">
        <v>32194</v>
      </c>
      <c r="AC300" s="251" t="s">
        <v>926</v>
      </c>
      <c r="AD300" s="251" t="s">
        <v>810</v>
      </c>
      <c r="AE300" s="252">
        <v>8452694195</v>
      </c>
      <c r="AF300" s="251" t="s">
        <v>1192</v>
      </c>
      <c r="AG300" s="251" t="s">
        <v>773</v>
      </c>
      <c r="AH300" s="251" t="s">
        <v>730</v>
      </c>
      <c r="AI300" s="243" t="s">
        <v>151</v>
      </c>
      <c r="AJ300" s="258" cm="1">
        <f t="array" aca="1" ref="AJ300" ca="1">DATE(YEAR(FECH.CONS[FECHA DE CONSULTA:]),MONTH(BDD[[#This Row],[FECHA NAC]]),DAY(BDD[[#This Row],[FECHA NAC]]))</f>
        <v>44613</v>
      </c>
      <c r="AK300" s="279">
        <v>6</v>
      </c>
      <c r="AL300" s="251" t="s">
        <v>311</v>
      </c>
      <c r="AM300" s="251" t="s">
        <v>1544</v>
      </c>
      <c r="AN300" s="251" t="s">
        <v>1551</v>
      </c>
      <c r="AO300" s="245">
        <v>79</v>
      </c>
      <c r="AP300" s="251">
        <f ca="1">INT((TODAY()-BDD[[#This Row],[FECHA NAC]])/365)</f>
        <v>34</v>
      </c>
      <c r="AQ300" s="251">
        <v>2</v>
      </c>
      <c r="AR300" s="251">
        <f ca="1">IF(BDD[[#This Row],[ANTIG]]=0,0,1)</f>
        <v>1</v>
      </c>
      <c r="AS300" s="251"/>
      <c r="AT300" s="251"/>
      <c r="AU300" s="251"/>
      <c r="AV300" s="251"/>
      <c r="AW300" s="251"/>
      <c r="AX300" s="251"/>
      <c r="AY300" s="251"/>
      <c r="AZ300" s="251">
        <f t="shared" ca="1" si="16"/>
        <v>289</v>
      </c>
    </row>
    <row r="301" spans="2:52" ht="15" customHeight="1" x14ac:dyDescent="0.25">
      <c r="B301" s="243">
        <v>467</v>
      </c>
      <c r="C301" s="259" t="s">
        <v>697</v>
      </c>
      <c r="D301" s="252">
        <v>9541</v>
      </c>
      <c r="E301" s="252">
        <f>(BDD[[#This Row],[SUE MENS]]/30)</f>
        <v>318.03333333333336</v>
      </c>
      <c r="F301" s="252">
        <f>BDD[[#This Row],[SUE MENS]]/2</f>
        <v>4770.5</v>
      </c>
      <c r="G301" s="319">
        <v>43039</v>
      </c>
      <c r="H301" s="243">
        <f ca="1">INT(_xlfn.DAYS(TODAY(),BDD[[#This Row],[FECHA ING.]])/365)</f>
        <v>4</v>
      </c>
      <c r="I301" s="251" t="str">
        <f>VLOOKUP(J301,TABLAS!$B$3:$G$49,2,FALSE)</f>
        <v>DIV INGENRIA</v>
      </c>
      <c r="J301" s="198" t="s">
        <v>744</v>
      </c>
      <c r="K301" s="251" t="s">
        <v>778</v>
      </c>
      <c r="L301" s="251" t="s">
        <v>763</v>
      </c>
      <c r="M301" s="251"/>
      <c r="N301" s="253" t="s">
        <v>1830</v>
      </c>
      <c r="O301" s="251" t="str">
        <f>IFERROR(VLOOKUP(BDD[[#This Row],[SUBDPTO]],TABLAS!$B$4:$D$36,3,0)," ")</f>
        <v>DIEGO HERRERA GIRÓN</v>
      </c>
      <c r="P301" s="258">
        <v>43533</v>
      </c>
      <c r="Q301" s="254">
        <v>5956</v>
      </c>
      <c r="R301" s="255" t="s">
        <v>747</v>
      </c>
      <c r="S301" s="255" t="s">
        <v>745</v>
      </c>
      <c r="T301" s="251" t="s">
        <v>811</v>
      </c>
      <c r="U301" s="243">
        <f ca="1">VLOOKUP(BDD[[#This Row],[ANTIG]],DIASXANT18[#All],2)</f>
        <v>14</v>
      </c>
      <c r="V301" s="256">
        <f t="shared" si="18"/>
        <v>0.5</v>
      </c>
      <c r="W301" s="243">
        <f ca="1">BDD[[#This Row],[D.VAC.]]*BDD[[#This Row],[% P.V.]]</f>
        <v>7</v>
      </c>
      <c r="X301" s="243">
        <v>30</v>
      </c>
      <c r="Y301" s="257">
        <f ca="1">(365+BDD[[#This Row],[D.PAG.V.]]+BDD[[#This Row],[D.AG.]])/365</f>
        <v>1.1013698630136985</v>
      </c>
      <c r="Z301" s="243">
        <f ca="1">BDD[[#This Row],[SUE DIA]]*BDD[[#This Row],[FACTOR SDI]]</f>
        <v>350.27232876712327</v>
      </c>
      <c r="AA301" s="243">
        <f>BDD[[#This Row],[SUE DIA]]/9</f>
        <v>35.337037037037042</v>
      </c>
      <c r="AB301" s="251">
        <v>31311</v>
      </c>
      <c r="AC301" s="251" t="s">
        <v>948</v>
      </c>
      <c r="AD301" s="251" t="s">
        <v>786</v>
      </c>
      <c r="AE301" s="260">
        <v>5696583201</v>
      </c>
      <c r="AF301" s="251" t="s">
        <v>1514</v>
      </c>
      <c r="AG301" s="251" t="s">
        <v>776</v>
      </c>
      <c r="AH301" s="251" t="s">
        <v>730</v>
      </c>
      <c r="AI301" s="243" t="s">
        <v>151</v>
      </c>
      <c r="AJ301" s="258" cm="1">
        <f t="array" aca="1" ref="AJ301" ca="1">DATE(YEAR(FECH.CONS[FECHA DE CONSULTA:]),MONTH(BDD[[#This Row],[FECHA NAC]]),DAY(BDD[[#This Row],[FECHA NAC]]))</f>
        <v>44825</v>
      </c>
      <c r="AK301" s="279">
        <v>6</v>
      </c>
      <c r="AL301" s="261" t="s">
        <v>311</v>
      </c>
      <c r="AM301" s="251" t="s">
        <v>1538</v>
      </c>
      <c r="AN301" s="251" t="s">
        <v>1551</v>
      </c>
      <c r="AO301" s="245">
        <v>70</v>
      </c>
      <c r="AP301" s="251">
        <f ca="1">INT((TODAY()-BDD[[#This Row],[FECHA NAC]])/365)</f>
        <v>36</v>
      </c>
      <c r="AQ301" s="251">
        <v>1</v>
      </c>
      <c r="AR301" s="251">
        <f ca="1">IF(BDD[[#This Row],[ANTIG]]=0,0,1)</f>
        <v>1</v>
      </c>
      <c r="AS301" s="251"/>
      <c r="AT301" s="251"/>
      <c r="AU301" s="251"/>
      <c r="AV301" s="251"/>
      <c r="AW301" s="251"/>
      <c r="AX301" s="251"/>
      <c r="AY301" s="251"/>
      <c r="AZ301" s="251">
        <f t="shared" ca="1" si="16"/>
        <v>719</v>
      </c>
    </row>
    <row r="302" spans="2:52" ht="15" customHeight="1" x14ac:dyDescent="0.25">
      <c r="B302" s="243">
        <v>468</v>
      </c>
      <c r="C302" s="259" t="s">
        <v>1641</v>
      </c>
      <c r="D302" s="252">
        <v>9541</v>
      </c>
      <c r="E302" s="252">
        <f>(BDD[[#This Row],[SUE MENS]]/30)</f>
        <v>318.03333333333336</v>
      </c>
      <c r="F302" s="252">
        <f>BDD[[#This Row],[SUE MENS]]/2</f>
        <v>4770.5</v>
      </c>
      <c r="G302" s="319">
        <v>43040</v>
      </c>
      <c r="H302" s="243">
        <f ca="1">INT(_xlfn.DAYS(TODAY(),BDD[[#This Row],[FECHA ING.]])/365)</f>
        <v>4</v>
      </c>
      <c r="I302" s="251" t="str">
        <f>VLOOKUP(J302,TABLAS!$B$3:$G$49,2,FALSE)</f>
        <v>DIRECCIÓN</v>
      </c>
      <c r="J302" s="198" t="s">
        <v>759</v>
      </c>
      <c r="K302" s="251" t="s">
        <v>778</v>
      </c>
      <c r="L302" s="251" t="s">
        <v>763</v>
      </c>
      <c r="M302" s="251"/>
      <c r="N302" s="244" t="s">
        <v>1879</v>
      </c>
      <c r="O302" s="251" t="str">
        <f>IFERROR(VLOOKUP(BDD[[#This Row],[SUBDPTO]],TABLAS!$B$4:$D$36,3,0)," ")</f>
        <v>MARIANA RODRÍGUEZ GUTIERREZ</v>
      </c>
      <c r="P302" s="258">
        <v>42567</v>
      </c>
      <c r="Q302" s="254">
        <v>7600</v>
      </c>
      <c r="R302" s="255" t="s">
        <v>735</v>
      </c>
      <c r="S302" s="255" t="s">
        <v>736</v>
      </c>
      <c r="T302" s="251" t="s">
        <v>301</v>
      </c>
      <c r="U302" s="243">
        <f ca="1">VLOOKUP(BDD[[#This Row],[ANTIG]],DIASXANT18[#All],2)</f>
        <v>14</v>
      </c>
      <c r="V302" s="256">
        <f t="shared" si="18"/>
        <v>0.5</v>
      </c>
      <c r="W302" s="243">
        <f ca="1">BDD[[#This Row],[D.VAC.]]*BDD[[#This Row],[% P.V.]]</f>
        <v>7</v>
      </c>
      <c r="X302" s="243">
        <v>30</v>
      </c>
      <c r="Y302" s="257">
        <f ca="1">(365+BDD[[#This Row],[D.PAG.V.]]+BDD[[#This Row],[D.AG.]])/365</f>
        <v>1.1013698630136985</v>
      </c>
      <c r="Z302" s="243">
        <f ca="1">BDD[[#This Row],[SUE DIA]]*BDD[[#This Row],[FACTOR SDI]]</f>
        <v>350.27232876712327</v>
      </c>
      <c r="AA302" s="243">
        <f>BDD[[#This Row],[SUE DIA]]/9</f>
        <v>35.337037037037042</v>
      </c>
      <c r="AB302" s="251">
        <v>28365</v>
      </c>
      <c r="AC302" s="251" t="s">
        <v>1062</v>
      </c>
      <c r="AD302" s="251" t="s">
        <v>809</v>
      </c>
      <c r="AE302" s="260">
        <v>8209806834</v>
      </c>
      <c r="AF302" s="251" t="s">
        <v>1425</v>
      </c>
      <c r="AG302" s="251" t="s">
        <v>777</v>
      </c>
      <c r="AH302" s="251" t="s">
        <v>1555</v>
      </c>
      <c r="AI302" s="243" t="s">
        <v>151</v>
      </c>
      <c r="AJ302" s="258" cm="1">
        <f t="array" aca="1" ref="AJ302" ca="1">DATE(YEAR(FECH.CONS[FECHA DE CONSULTA:]),MONTH(BDD[[#This Row],[FECHA NAC]]),DAY(BDD[[#This Row],[FECHA NAC]]))</f>
        <v>44801</v>
      </c>
      <c r="AK302" s="279"/>
      <c r="AL302" s="261" t="s">
        <v>311</v>
      </c>
      <c r="AM302" s="251" t="s">
        <v>1544</v>
      </c>
      <c r="AN302" s="251" t="s">
        <v>1551</v>
      </c>
      <c r="AO302" s="245">
        <v>54</v>
      </c>
      <c r="AP302" s="251">
        <f ca="1">INT((TODAY()-BDD[[#This Row],[FECHA NAC]])/365)</f>
        <v>44</v>
      </c>
      <c r="AQ302" s="251">
        <v>2</v>
      </c>
      <c r="AR302" s="251">
        <f ca="1">IF(BDD[[#This Row],[ANTIG]]=0,0,1)</f>
        <v>1</v>
      </c>
      <c r="AS302" s="251"/>
      <c r="AT302" s="251"/>
      <c r="AU302" s="251"/>
      <c r="AV302" s="251"/>
      <c r="AW302" s="251"/>
      <c r="AX302" s="251"/>
      <c r="AY302" s="251"/>
      <c r="AZ302" s="251">
        <f t="shared" ca="1" si="16"/>
        <v>287</v>
      </c>
    </row>
    <row r="303" spans="2:52" ht="15" customHeight="1" x14ac:dyDescent="0.25">
      <c r="B303" s="243">
        <v>469</v>
      </c>
      <c r="C303" s="251" t="s">
        <v>247</v>
      </c>
      <c r="D303" s="263">
        <v>10350</v>
      </c>
      <c r="E303" s="252">
        <f>(BDD[[#This Row],[SUE MENS]]/30)</f>
        <v>345</v>
      </c>
      <c r="F303" s="252">
        <f>BDD[[#This Row],[SUE MENS]]/2</f>
        <v>5175</v>
      </c>
      <c r="G303" s="319">
        <v>43043</v>
      </c>
      <c r="H303" s="243">
        <f ca="1">INT(_xlfn.DAYS(TODAY(),BDD[[#This Row],[FECHA ING.]])/365)</f>
        <v>4</v>
      </c>
      <c r="I303" s="251" t="str">
        <f>VLOOKUP(J303,TABLAS!$B$3:$G$49,2,FALSE)</f>
        <v>DIV INGENRIA</v>
      </c>
      <c r="J303" s="198" t="s">
        <v>743</v>
      </c>
      <c r="K303" s="251" t="s">
        <v>778</v>
      </c>
      <c r="L303" s="251" t="s">
        <v>763</v>
      </c>
      <c r="M303" s="251"/>
      <c r="N303" s="244" t="s">
        <v>2185</v>
      </c>
      <c r="O303" s="251" t="str">
        <f>IFERROR(VLOOKUP(BDD[[#This Row],[SUBDPTO]],TABLAS!$B$4:$D$36,3,0)," ")</f>
        <v>DIEGO HERRERA GIRÓN</v>
      </c>
      <c r="P303" s="258">
        <v>43808</v>
      </c>
      <c r="Q303" s="254">
        <v>8400</v>
      </c>
      <c r="R303" s="255" t="s">
        <v>756</v>
      </c>
      <c r="S303" s="251"/>
      <c r="T303" s="251" t="s">
        <v>811</v>
      </c>
      <c r="U303" s="243">
        <f ca="1">VLOOKUP(BDD[[#This Row],[ANTIG]],DIASXANT18[#All],2)</f>
        <v>14</v>
      </c>
      <c r="V303" s="256">
        <f t="shared" si="18"/>
        <v>0.5</v>
      </c>
      <c r="W303" s="243">
        <f ca="1">BDD[[#This Row],[D.VAC.]]*BDD[[#This Row],[% P.V.]]</f>
        <v>7</v>
      </c>
      <c r="X303" s="243">
        <v>30</v>
      </c>
      <c r="Y303" s="257">
        <f ca="1">(365+BDD[[#This Row],[D.PAG.V.]]+BDD[[#This Row],[D.AG.]])/365</f>
        <v>1.1013698630136985</v>
      </c>
      <c r="Z303" s="243">
        <f ca="1">BDD[[#This Row],[SUE DIA]]*BDD[[#This Row],[FACTOR SDI]]</f>
        <v>379.97260273972597</v>
      </c>
      <c r="AA303" s="243">
        <f>BDD[[#This Row],[SUE DIA]]/9</f>
        <v>38.333333333333336</v>
      </c>
      <c r="AB303" s="251">
        <v>34242</v>
      </c>
      <c r="AC303" s="251" t="s">
        <v>955</v>
      </c>
      <c r="AD303" s="251" t="s">
        <v>787</v>
      </c>
      <c r="AE303" s="252">
        <v>8457714864</v>
      </c>
      <c r="AF303" s="251" t="s">
        <v>1276</v>
      </c>
      <c r="AG303" s="251" t="s">
        <v>776</v>
      </c>
      <c r="AH303" s="251" t="s">
        <v>1555</v>
      </c>
      <c r="AI303" s="243" t="s">
        <v>151</v>
      </c>
      <c r="AJ303" s="258" cm="1">
        <f t="array" aca="1" ref="AJ303" ca="1">DATE(YEAR(FECH.CONS[FECHA DE CONSULTA:]),MONTH(BDD[[#This Row],[FECHA NAC]]),DAY(BDD[[#This Row],[FECHA NAC]]))</f>
        <v>44834</v>
      </c>
      <c r="AK303" s="279"/>
      <c r="AL303" s="251" t="s">
        <v>311</v>
      </c>
      <c r="AM303" s="251" t="s">
        <v>1546</v>
      </c>
      <c r="AN303" s="251" t="s">
        <v>1551</v>
      </c>
      <c r="AO303" s="245">
        <v>83</v>
      </c>
      <c r="AP303" s="251">
        <f ca="1">INT((TODAY()-BDD[[#This Row],[FECHA NAC]])/365)</f>
        <v>28</v>
      </c>
      <c r="AQ303" s="251">
        <v>2</v>
      </c>
      <c r="AR303" s="251">
        <f ca="1">IF(BDD[[#This Row],[ANTIG]]=0,0,1)</f>
        <v>1</v>
      </c>
      <c r="AS303" s="251"/>
      <c r="AT303" s="251"/>
      <c r="AU303" s="251"/>
      <c r="AV303" s="251"/>
      <c r="AW303" s="251"/>
      <c r="AX303" s="251"/>
      <c r="AY303" s="251"/>
      <c r="AZ303" s="251">
        <f t="shared" ca="1" si="16"/>
        <v>810</v>
      </c>
    </row>
    <row r="304" spans="2:52" ht="15" customHeight="1" x14ac:dyDescent="0.25">
      <c r="B304" s="243">
        <v>470</v>
      </c>
      <c r="C304" s="251" t="s">
        <v>172</v>
      </c>
      <c r="D304" s="252">
        <v>9450</v>
      </c>
      <c r="E304" s="252">
        <f>(BDD[[#This Row],[SUE MENS]]/30)</f>
        <v>315</v>
      </c>
      <c r="F304" s="252">
        <f>BDD[[#This Row],[SUE MENS]]/2</f>
        <v>4725</v>
      </c>
      <c r="G304" s="319">
        <v>43043</v>
      </c>
      <c r="H304" s="243">
        <f ca="1">INT(_xlfn.DAYS(TODAY(),BDD[[#This Row],[FECHA ING.]])/365)</f>
        <v>4</v>
      </c>
      <c r="I304" s="251" t="str">
        <f>VLOOKUP(J304,TABLAS!$B$3:$G$49,2,FALSE)</f>
        <v>DIRECCIÓN</v>
      </c>
      <c r="J304" s="198" t="s">
        <v>759</v>
      </c>
      <c r="K304" s="251" t="s">
        <v>778</v>
      </c>
      <c r="L304" s="251" t="s">
        <v>763</v>
      </c>
      <c r="M304" s="251"/>
      <c r="N304" s="244" t="s">
        <v>1835</v>
      </c>
      <c r="O304" s="251" t="str">
        <f>IFERROR(VLOOKUP(BDD[[#This Row],[SUBDPTO]],TABLAS!$B$4:$D$36,3,0)," ")</f>
        <v>MARIANA RODRÍGUEZ GUTIERREZ</v>
      </c>
      <c r="P304" s="258">
        <v>43121</v>
      </c>
      <c r="Q304" s="254">
        <v>7360</v>
      </c>
      <c r="R304" s="255" t="s">
        <v>743</v>
      </c>
      <c r="S304" s="251"/>
      <c r="T304" s="251" t="s">
        <v>301</v>
      </c>
      <c r="U304" s="243">
        <f ca="1">VLOOKUP(BDD[[#This Row],[ANTIG]],DIASXANT18[#All],2)</f>
        <v>14</v>
      </c>
      <c r="V304" s="256">
        <f t="shared" si="18"/>
        <v>0.5</v>
      </c>
      <c r="W304" s="243">
        <f ca="1">BDD[[#This Row],[D.VAC.]]*BDD[[#This Row],[% P.V.]]</f>
        <v>7</v>
      </c>
      <c r="X304" s="243">
        <v>30</v>
      </c>
      <c r="Y304" s="257">
        <f ca="1">(365+BDD[[#This Row],[D.PAG.V.]]+BDD[[#This Row],[D.AG.]])/365</f>
        <v>1.1013698630136985</v>
      </c>
      <c r="Z304" s="243">
        <f ca="1">BDD[[#This Row],[SUE DIA]]*BDD[[#This Row],[FACTOR SDI]]</f>
        <v>346.93150684931504</v>
      </c>
      <c r="AA304" s="243">
        <f>BDD[[#This Row],[SUE DIA]]/9</f>
        <v>35</v>
      </c>
      <c r="AB304" s="251">
        <v>30457</v>
      </c>
      <c r="AC304" s="251" t="s">
        <v>954</v>
      </c>
      <c r="AD304" s="251" t="s">
        <v>790</v>
      </c>
      <c r="AE304" s="252">
        <v>8336808865</v>
      </c>
      <c r="AF304" s="251" t="s">
        <v>1178</v>
      </c>
      <c r="AG304" s="251" t="s">
        <v>776</v>
      </c>
      <c r="AH304" s="251" t="s">
        <v>730</v>
      </c>
      <c r="AI304" s="243" t="s">
        <v>151</v>
      </c>
      <c r="AJ304" s="258" cm="1">
        <f t="array" aca="1" ref="AJ304" ca="1">DATE(YEAR(FECH.CONS[FECHA DE CONSULTA:]),MONTH(BDD[[#This Row],[FECHA NAC]]),DAY(BDD[[#This Row],[FECHA NAC]]))</f>
        <v>44702</v>
      </c>
      <c r="AK304" s="279">
        <v>8</v>
      </c>
      <c r="AL304" s="261" t="s">
        <v>314</v>
      </c>
      <c r="AM304" s="251" t="s">
        <v>1534</v>
      </c>
      <c r="AN304" s="251" t="s">
        <v>1551</v>
      </c>
      <c r="AO304" s="245">
        <v>47</v>
      </c>
      <c r="AP304" s="251">
        <f ca="1">INT((TODAY()-BDD[[#This Row],[FECHA NAC]])/365)</f>
        <v>39</v>
      </c>
      <c r="AQ304" s="251">
        <v>0</v>
      </c>
      <c r="AR304" s="251">
        <f ca="1">IF(BDD[[#This Row],[ANTIG]]=0,0,1)</f>
        <v>1</v>
      </c>
      <c r="AS304" s="251"/>
      <c r="AT304" s="251"/>
      <c r="AU304" s="251"/>
      <c r="AV304" s="251"/>
      <c r="AW304" s="251"/>
      <c r="AX304" s="251"/>
      <c r="AY304" s="251"/>
      <c r="AZ304" s="251">
        <f t="shared" ca="1" si="16"/>
        <v>216</v>
      </c>
    </row>
    <row r="305" spans="2:52" ht="15" customHeight="1" x14ac:dyDescent="0.25">
      <c r="B305" s="243">
        <v>472</v>
      </c>
      <c r="C305" s="259" t="s">
        <v>718</v>
      </c>
      <c r="D305" s="244">
        <v>6778</v>
      </c>
      <c r="E305" s="252">
        <f>(BDD[[#This Row],[SUE MENS]]/30)</f>
        <v>225.93333333333334</v>
      </c>
      <c r="F305" s="252">
        <f>BDD[[#This Row],[SUE MENS]]/2</f>
        <v>3389</v>
      </c>
      <c r="G305" s="319">
        <v>43053</v>
      </c>
      <c r="H305" s="243">
        <f ca="1">INT(_xlfn.DAYS(TODAY(),BDD[[#This Row],[FECHA ING.]])/365)</f>
        <v>4</v>
      </c>
      <c r="I305" s="251" t="str">
        <f>VLOOKUP(J305,TABLAS!$B$3:$G$49,2,FALSE)</f>
        <v>CONTABILIDAD</v>
      </c>
      <c r="J305" s="198" t="s">
        <v>737</v>
      </c>
      <c r="K305" s="251" t="s">
        <v>778</v>
      </c>
      <c r="L305" s="251" t="s">
        <v>763</v>
      </c>
      <c r="M305" s="251"/>
      <c r="N305" s="244" t="s">
        <v>1865</v>
      </c>
      <c r="O305" s="251" t="str">
        <f>IFERROR(VLOOKUP(BDD[[#This Row],[SUBDPTO]],TABLAS!$B$4:$D$36,3,0)," ")</f>
        <v>IRIE DALÍ ANTARES CORTÉS</v>
      </c>
      <c r="P305" s="258"/>
      <c r="Q305" s="264"/>
      <c r="R305" s="244"/>
      <c r="S305" s="251"/>
      <c r="T305" s="251" t="s">
        <v>811</v>
      </c>
      <c r="U305" s="243">
        <f ca="1">VLOOKUP(BDD[[#This Row],[ANTIG]],DIASXANT18[#All],2)</f>
        <v>14</v>
      </c>
      <c r="V305" s="266">
        <v>0.25</v>
      </c>
      <c r="W305" s="243">
        <f ca="1">BDD[[#This Row],[D.VAC.]]*BDD[[#This Row],[% P.V.]]</f>
        <v>3.5</v>
      </c>
      <c r="X305" s="265">
        <v>15</v>
      </c>
      <c r="Y305" s="257">
        <f ca="1">(365+BDD[[#This Row],[D.PAG.V.]]+BDD[[#This Row],[D.AG.]])/365</f>
        <v>1.0506849315068494</v>
      </c>
      <c r="Z305" s="243">
        <f ca="1">BDD[[#This Row],[SUE DIA]]*BDD[[#This Row],[FACTOR SDI]]</f>
        <v>237.38474885844749</v>
      </c>
      <c r="AA305" s="243">
        <f>BDD[[#This Row],[SUE DIA]]/9</f>
        <v>25.103703703703705</v>
      </c>
      <c r="AB305" s="251">
        <v>35474</v>
      </c>
      <c r="AC305" s="251" t="s">
        <v>933</v>
      </c>
      <c r="AD305" s="251" t="s">
        <v>789</v>
      </c>
      <c r="AE305" s="260">
        <v>8211316493</v>
      </c>
      <c r="AF305" s="251" t="s">
        <v>1529</v>
      </c>
      <c r="AG305" s="251" t="s">
        <v>776</v>
      </c>
      <c r="AH305" s="251" t="s">
        <v>730</v>
      </c>
      <c r="AI305" s="243" t="s">
        <v>151</v>
      </c>
      <c r="AJ305" s="258" cm="1">
        <f t="array" aca="1" ref="AJ305" ca="1">DATE(YEAR(FECH.CONS[FECHA DE CONSULTA:]),MONTH(BDD[[#This Row],[FECHA NAC]]),DAY(BDD[[#This Row],[FECHA NAC]]))</f>
        <v>44605</v>
      </c>
      <c r="AK305" s="279">
        <v>9</v>
      </c>
      <c r="AL305" s="261" t="s">
        <v>311</v>
      </c>
      <c r="AM305" s="251" t="s">
        <v>1544</v>
      </c>
      <c r="AN305" s="251" t="s">
        <v>1551</v>
      </c>
      <c r="AO305" s="245">
        <v>57</v>
      </c>
      <c r="AP305" s="251">
        <f ca="1">INT((TODAY()-BDD[[#This Row],[FECHA NAC]])/365)</f>
        <v>25</v>
      </c>
      <c r="AQ305" s="251">
        <v>3</v>
      </c>
      <c r="AR305" s="251">
        <f ca="1">IF(BDD[[#This Row],[ANTIG]]=0,0,1)</f>
        <v>1</v>
      </c>
      <c r="AS305" s="251"/>
      <c r="AT305" s="251"/>
      <c r="AU305" s="251"/>
      <c r="AV305" s="251"/>
      <c r="AW305" s="251"/>
      <c r="AX305" s="251"/>
      <c r="AY305" s="251"/>
      <c r="AZ305" s="251">
        <f t="shared" ca="1" si="16"/>
        <v>545</v>
      </c>
    </row>
    <row r="306" spans="2:52" ht="15" customHeight="1" x14ac:dyDescent="0.25">
      <c r="B306" s="243">
        <v>473</v>
      </c>
      <c r="C306" s="251" t="s">
        <v>72</v>
      </c>
      <c r="D306" s="263">
        <v>7445</v>
      </c>
      <c r="E306" s="252">
        <f>(BDD[[#This Row],[SUE MENS]]/30)</f>
        <v>248.16666666666666</v>
      </c>
      <c r="F306" s="252">
        <f>BDD[[#This Row],[SUE MENS]]/2</f>
        <v>3722.5</v>
      </c>
      <c r="G306" s="320">
        <v>43068</v>
      </c>
      <c r="H306" s="243">
        <f ca="1">INT(_xlfn.DAYS(TODAY(),BDD[[#This Row],[FECHA ING.]])/365)</f>
        <v>4</v>
      </c>
      <c r="I306" s="251" t="str">
        <f>VLOOKUP(J306,TABLAS!$B$3:$G$49,2,FALSE)</f>
        <v>DIRECCIÓN</v>
      </c>
      <c r="J306" s="198" t="s">
        <v>745</v>
      </c>
      <c r="K306" s="251" t="s">
        <v>778</v>
      </c>
      <c r="L306" s="251" t="s">
        <v>763</v>
      </c>
      <c r="M306" s="251"/>
      <c r="N306" s="244" t="s">
        <v>1846</v>
      </c>
      <c r="O306" s="251" t="str">
        <f>IFERROR(VLOOKUP(BDD[[#This Row],[SUBDPTO]],TABLAS!$B$4:$D$36,3,0)," ")</f>
        <v>MARIANA RODRÍGUEZ GUTIERREZ</v>
      </c>
      <c r="P306" s="258"/>
      <c r="Q306" s="264"/>
      <c r="R306" s="244"/>
      <c r="S306" s="251"/>
      <c r="T306" s="251" t="s">
        <v>301</v>
      </c>
      <c r="U306" s="243">
        <f ca="1">VLOOKUP(BDD[[#This Row],[ANTIG]],DIASXANT18[#All],2)</f>
        <v>14</v>
      </c>
      <c r="V306" s="256">
        <f t="shared" ref="V306:V320" si="19">100/200</f>
        <v>0.5</v>
      </c>
      <c r="W306" s="243">
        <f ca="1">BDD[[#This Row],[D.VAC.]]*BDD[[#This Row],[% P.V.]]</f>
        <v>7</v>
      </c>
      <c r="X306" s="243">
        <v>30</v>
      </c>
      <c r="Y306" s="257">
        <f ca="1">(365+BDD[[#This Row],[D.PAG.V.]]+BDD[[#This Row],[D.AG.]])/365</f>
        <v>1.1013698630136985</v>
      </c>
      <c r="Z306" s="243">
        <f ca="1">BDD[[#This Row],[SUE DIA]]*BDD[[#This Row],[FACTOR SDI]]</f>
        <v>273.32328767123283</v>
      </c>
      <c r="AA306" s="243">
        <f>BDD[[#This Row],[SUE DIA]]/9</f>
        <v>27.574074074074073</v>
      </c>
      <c r="AB306" s="251">
        <v>31895</v>
      </c>
      <c r="AC306" s="251" t="s">
        <v>1001</v>
      </c>
      <c r="AD306" s="251" t="s">
        <v>787</v>
      </c>
      <c r="AE306" s="252">
        <v>8968970879</v>
      </c>
      <c r="AF306" s="251" t="s">
        <v>1247</v>
      </c>
      <c r="AG306" s="251" t="s">
        <v>776</v>
      </c>
      <c r="AH306" s="251" t="s">
        <v>730</v>
      </c>
      <c r="AI306" s="243" t="s">
        <v>152</v>
      </c>
      <c r="AJ306" s="258" cm="1">
        <f t="array" aca="1" ref="AJ306" ca="1">DATE(YEAR(FECH.CONS[FECHA DE CONSULTA:]),MONTH(BDD[[#This Row],[FECHA NAC]]),DAY(BDD[[#This Row],[FECHA NAC]]))</f>
        <v>44679</v>
      </c>
      <c r="AK306" s="279">
        <v>6</v>
      </c>
      <c r="AL306" s="261" t="s">
        <v>311</v>
      </c>
      <c r="AM306" s="251" t="s">
        <v>1537</v>
      </c>
      <c r="AN306" s="251" t="s">
        <v>1551</v>
      </c>
      <c r="AO306" s="245">
        <v>67</v>
      </c>
      <c r="AP306" s="251">
        <f ca="1">INT((TODAY()-BDD[[#This Row],[FECHA NAC]])/365)</f>
        <v>35</v>
      </c>
      <c r="AQ306" s="251">
        <v>2</v>
      </c>
      <c r="AR306" s="251">
        <f ca="1">IF(BDD[[#This Row],[ANTIG]]=0,0,1)</f>
        <v>1</v>
      </c>
      <c r="AS306" s="251"/>
      <c r="AT306" s="251"/>
      <c r="AU306" s="251"/>
      <c r="AV306" s="251"/>
      <c r="AW306" s="251"/>
      <c r="AX306" s="251"/>
      <c r="AY306" s="251"/>
      <c r="AZ306" s="251">
        <f t="shared" ca="1" si="16"/>
        <v>781</v>
      </c>
    </row>
    <row r="307" spans="2:52" ht="15" customHeight="1" x14ac:dyDescent="0.25">
      <c r="B307" s="243">
        <v>474</v>
      </c>
      <c r="C307" s="251" t="s">
        <v>166</v>
      </c>
      <c r="D307" s="252">
        <v>9541</v>
      </c>
      <c r="E307" s="252">
        <f>(BDD[[#This Row],[SUE MENS]]/30)</f>
        <v>318.03333333333336</v>
      </c>
      <c r="F307" s="252">
        <f>BDD[[#This Row],[SUE MENS]]/2</f>
        <v>4770.5</v>
      </c>
      <c r="G307" s="320">
        <v>43082</v>
      </c>
      <c r="H307" s="243">
        <f ca="1">INT(_xlfn.DAYS(TODAY(),BDD[[#This Row],[FECHA ING.]])/365)</f>
        <v>4</v>
      </c>
      <c r="I307" s="251" t="str">
        <f>VLOOKUP(J307,TABLAS!$B$3:$G$49,2,FALSE)</f>
        <v>CPTAL HUMANO</v>
      </c>
      <c r="J307" s="198" t="s">
        <v>758</v>
      </c>
      <c r="K307" s="251" t="s">
        <v>778</v>
      </c>
      <c r="L307" s="251" t="s">
        <v>763</v>
      </c>
      <c r="M307" s="251"/>
      <c r="N307" s="253" t="s">
        <v>2127</v>
      </c>
      <c r="O307" s="251" t="str">
        <f>IFERROR(VLOOKUP(BDD[[#This Row],[SUBDPTO]],TABLAS!$B$4:$D$36,3,0)," ")</f>
        <v>EMMA DARIELA GARCÍA LORCA</v>
      </c>
      <c r="P307" s="258">
        <f>BDD[[#This Row],[FECHA ING.]]+900</f>
        <v>43982</v>
      </c>
      <c r="Q307" s="254">
        <v>6678</v>
      </c>
      <c r="R307" s="251" t="s">
        <v>747</v>
      </c>
      <c r="S307" s="251"/>
      <c r="T307" s="251" t="s">
        <v>811</v>
      </c>
      <c r="U307" s="243">
        <f ca="1">VLOOKUP(BDD[[#This Row],[ANTIG]],DIASXANT18[#All],2)</f>
        <v>14</v>
      </c>
      <c r="V307" s="256">
        <f t="shared" si="19"/>
        <v>0.5</v>
      </c>
      <c r="W307" s="243">
        <f ca="1">BDD[[#This Row],[D.VAC.]]*BDD[[#This Row],[% P.V.]]</f>
        <v>7</v>
      </c>
      <c r="X307" s="243">
        <v>30</v>
      </c>
      <c r="Y307" s="257">
        <f ca="1">(365+BDD[[#This Row],[D.PAG.V.]]+BDD[[#This Row],[D.AG.]])/365</f>
        <v>1.1013698630136985</v>
      </c>
      <c r="Z307" s="243">
        <f ca="1">BDD[[#This Row],[SUE DIA]]*BDD[[#This Row],[FACTOR SDI]]</f>
        <v>350.27232876712327</v>
      </c>
      <c r="AA307" s="243">
        <f>BDD[[#This Row],[SUE DIA]]/9</f>
        <v>35.337037037037042</v>
      </c>
      <c r="AB307" s="251">
        <v>35457</v>
      </c>
      <c r="AC307" s="251" t="s">
        <v>951</v>
      </c>
      <c r="AD307" s="251" t="s">
        <v>787</v>
      </c>
      <c r="AE307" s="252">
        <v>8800088469</v>
      </c>
      <c r="AF307" s="251" t="s">
        <v>1174</v>
      </c>
      <c r="AG307" s="251" t="s">
        <v>776</v>
      </c>
      <c r="AH307" s="251" t="s">
        <v>730</v>
      </c>
      <c r="AI307" s="243" t="s">
        <v>151</v>
      </c>
      <c r="AJ307" s="258" cm="1">
        <f t="array" aca="1" ref="AJ307" ca="1">DATE(YEAR(FECH.CONS[FECHA DE CONSULTA:]),MONTH(BDD[[#This Row],[FECHA NAC]]),DAY(BDD[[#This Row],[FECHA NAC]]))</f>
        <v>44588</v>
      </c>
      <c r="AK307" s="279">
        <v>6</v>
      </c>
      <c r="AL307" s="251" t="s">
        <v>311</v>
      </c>
      <c r="AM307" s="251" t="s">
        <v>1541</v>
      </c>
      <c r="AN307" s="251" t="s">
        <v>1551</v>
      </c>
      <c r="AO307" s="245">
        <v>91</v>
      </c>
      <c r="AP307" s="251">
        <f ca="1">INT((TODAY()-BDD[[#This Row],[FECHA NAC]])/365)</f>
        <v>25</v>
      </c>
      <c r="AQ307" s="251">
        <v>3</v>
      </c>
      <c r="AR307" s="251">
        <f ca="1">IF(BDD[[#This Row],[ANTIG]]=0,0,1)</f>
        <v>1</v>
      </c>
      <c r="AS307" s="251"/>
      <c r="AT307" s="251"/>
      <c r="AU307" s="251"/>
      <c r="AV307" s="251"/>
      <c r="AW307" s="251"/>
      <c r="AX307" s="251"/>
      <c r="AY307" s="251"/>
      <c r="AZ307" s="251">
        <f t="shared" ca="1" si="16"/>
        <v>229</v>
      </c>
    </row>
    <row r="308" spans="2:52" ht="15" customHeight="1" x14ac:dyDescent="0.25">
      <c r="B308" s="243">
        <v>475</v>
      </c>
      <c r="C308" s="251" t="s">
        <v>173</v>
      </c>
      <c r="D308" s="252">
        <v>9450</v>
      </c>
      <c r="E308" s="252">
        <f>(BDD[[#This Row],[SUE MENS]]/30)</f>
        <v>315</v>
      </c>
      <c r="F308" s="252">
        <f>BDD[[#This Row],[SUE MENS]]/2</f>
        <v>4725</v>
      </c>
      <c r="G308" s="320">
        <v>43110</v>
      </c>
      <c r="H308" s="243">
        <f ca="1">INT(_xlfn.DAYS(TODAY(),BDD[[#This Row],[FECHA ING.]])/365)</f>
        <v>4</v>
      </c>
      <c r="I308" s="251" t="str">
        <f>VLOOKUP(J308,TABLAS!$B$3:$G$49,2,FALSE)</f>
        <v>DIV ARQUIT</v>
      </c>
      <c r="J308" s="198" t="s">
        <v>740</v>
      </c>
      <c r="K308" s="251" t="s">
        <v>778</v>
      </c>
      <c r="L308" s="251" t="s">
        <v>763</v>
      </c>
      <c r="M308" s="251"/>
      <c r="N308" s="244" t="s">
        <v>1973</v>
      </c>
      <c r="O308" s="251" t="str">
        <f>IFERROR(VLOOKUP(BDD[[#This Row],[SUBDPTO]],TABLAS!$B$4:$D$36,3,0)," ")</f>
        <v>MÉRIDA ISELA MEDINA SALINAS</v>
      </c>
      <c r="P308" s="258">
        <f>BDD[[#This Row],[FECHA ING.]]+700</f>
        <v>43810</v>
      </c>
      <c r="Q308" s="254">
        <v>5211.5</v>
      </c>
      <c r="R308" s="251" t="s">
        <v>261</v>
      </c>
      <c r="S308" s="244" t="s">
        <v>739</v>
      </c>
      <c r="T308" s="251" t="s">
        <v>811</v>
      </c>
      <c r="U308" s="243">
        <f ca="1">VLOOKUP(BDD[[#This Row],[ANTIG]],DIASXANT18[#All],2)</f>
        <v>14</v>
      </c>
      <c r="V308" s="256">
        <f t="shared" si="19"/>
        <v>0.5</v>
      </c>
      <c r="W308" s="243">
        <f ca="1">BDD[[#This Row],[D.VAC.]]*BDD[[#This Row],[% P.V.]]</f>
        <v>7</v>
      </c>
      <c r="X308" s="243">
        <v>30</v>
      </c>
      <c r="Y308" s="257">
        <f ca="1">(365+BDD[[#This Row],[D.PAG.V.]]+BDD[[#This Row],[D.AG.]])/365</f>
        <v>1.1013698630136985</v>
      </c>
      <c r="Z308" s="243">
        <f ca="1">BDD[[#This Row],[SUE DIA]]*BDD[[#This Row],[FACTOR SDI]]</f>
        <v>346.93150684931504</v>
      </c>
      <c r="AA308" s="243">
        <f>BDD[[#This Row],[SUE DIA]]/9</f>
        <v>35</v>
      </c>
      <c r="AB308" s="251">
        <v>31952</v>
      </c>
      <c r="AC308" s="251" t="s">
        <v>957</v>
      </c>
      <c r="AD308" s="251" t="s">
        <v>791</v>
      </c>
      <c r="AE308" s="252">
        <v>8626695393</v>
      </c>
      <c r="AF308" s="251" t="s">
        <v>1181</v>
      </c>
      <c r="AG308" s="251" t="s">
        <v>776</v>
      </c>
      <c r="AH308" s="251" t="s">
        <v>730</v>
      </c>
      <c r="AI308" s="243" t="s">
        <v>151</v>
      </c>
      <c r="AJ308" s="258" cm="1">
        <f t="array" aca="1" ref="AJ308" ca="1">DATE(YEAR(FECH.CONS[FECHA DE CONSULTA:]),MONTH(BDD[[#This Row],[FECHA NAC]]),DAY(BDD[[#This Row],[FECHA NAC]]))</f>
        <v>44736</v>
      </c>
      <c r="AK308" s="279">
        <v>8</v>
      </c>
      <c r="AL308" s="261" t="s">
        <v>311</v>
      </c>
      <c r="AM308" s="251" t="s">
        <v>1543</v>
      </c>
      <c r="AN308" s="251" t="s">
        <v>1551</v>
      </c>
      <c r="AO308" s="245">
        <v>97</v>
      </c>
      <c r="AP308" s="251">
        <f ca="1">INT((TODAY()-BDD[[#This Row],[FECHA NAC]])/365)</f>
        <v>35</v>
      </c>
      <c r="AQ308" s="251">
        <v>0</v>
      </c>
      <c r="AR308" s="251">
        <f ca="1">IF(BDD[[#This Row],[ANTIG]]=0,0,1)</f>
        <v>1</v>
      </c>
      <c r="AS308" s="251"/>
      <c r="AT308" s="251"/>
      <c r="AU308" s="251"/>
      <c r="AV308" s="251"/>
      <c r="AW308" s="251"/>
      <c r="AX308" s="251"/>
      <c r="AY308" s="251"/>
      <c r="AZ308" s="251">
        <f t="shared" ca="1" si="16"/>
        <v>307</v>
      </c>
    </row>
    <row r="309" spans="2:52" ht="15" customHeight="1" x14ac:dyDescent="0.25">
      <c r="B309" s="243">
        <v>476</v>
      </c>
      <c r="C309" s="251" t="s">
        <v>403</v>
      </c>
      <c r="D309" s="252">
        <v>7950</v>
      </c>
      <c r="E309" s="252">
        <f>(BDD[[#This Row],[SUE MENS]]/30)</f>
        <v>265</v>
      </c>
      <c r="F309" s="252">
        <f>BDD[[#This Row],[SUE MENS]]/2</f>
        <v>3975</v>
      </c>
      <c r="G309" s="320">
        <v>43112</v>
      </c>
      <c r="H309" s="243">
        <f ca="1">INT(_xlfn.DAYS(TODAY(),BDD[[#This Row],[FECHA ING.]])/365)</f>
        <v>4</v>
      </c>
      <c r="I309" s="251" t="str">
        <f>VLOOKUP(J309,TABLAS!$B$3:$G$49,2,FALSE)</f>
        <v>TECNOLOGÍA</v>
      </c>
      <c r="J309" s="198" t="s">
        <v>751</v>
      </c>
      <c r="K309" s="251" t="s">
        <v>778</v>
      </c>
      <c r="L309" s="251" t="s">
        <v>763</v>
      </c>
      <c r="M309" s="251"/>
      <c r="N309" s="251" t="s">
        <v>1637</v>
      </c>
      <c r="O309" s="251" t="str">
        <f>IFERROR(VLOOKUP(BDD[[#This Row],[SUBDPTO]],TABLAS!$B$4:$D$36,3,0)," ")</f>
        <v>DENEB SANTIAGO ALTAIR VEGA</v>
      </c>
      <c r="P309" s="258"/>
      <c r="Q309" s="264"/>
      <c r="R309" s="244"/>
      <c r="S309" s="251"/>
      <c r="T309" s="251" t="s">
        <v>811</v>
      </c>
      <c r="U309" s="243">
        <f ca="1">VLOOKUP(BDD[[#This Row],[ANTIG]],DIASXANT18[#All],2)</f>
        <v>14</v>
      </c>
      <c r="V309" s="256">
        <f t="shared" si="19"/>
        <v>0.5</v>
      </c>
      <c r="W309" s="243">
        <f ca="1">BDD[[#This Row],[D.VAC.]]*BDD[[#This Row],[% P.V.]]</f>
        <v>7</v>
      </c>
      <c r="X309" s="243">
        <v>30</v>
      </c>
      <c r="Y309" s="257">
        <f ca="1">(365+BDD[[#This Row],[D.PAG.V.]]+BDD[[#This Row],[D.AG.]])/365</f>
        <v>1.1013698630136985</v>
      </c>
      <c r="Z309" s="243">
        <f ca="1">BDD[[#This Row],[SUE DIA]]*BDD[[#This Row],[FACTOR SDI]]</f>
        <v>291.86301369863014</v>
      </c>
      <c r="AA309" s="243">
        <f>BDD[[#This Row],[SUE DIA]]/9</f>
        <v>29.444444444444443</v>
      </c>
      <c r="AB309" s="251">
        <v>31641</v>
      </c>
      <c r="AC309" s="251" t="s">
        <v>966</v>
      </c>
      <c r="AD309" s="251" t="s">
        <v>809</v>
      </c>
      <c r="AE309" s="252">
        <v>9874654325</v>
      </c>
      <c r="AF309" s="251" t="s">
        <v>1191</v>
      </c>
      <c r="AG309" s="251" t="s">
        <v>776</v>
      </c>
      <c r="AH309" s="251" t="s">
        <v>730</v>
      </c>
      <c r="AI309" s="243" t="s">
        <v>153</v>
      </c>
      <c r="AJ309" s="258" cm="1">
        <f t="array" aca="1" ref="AJ309" ca="1">DATE(YEAR(FECH.CONS[FECHA DE CONSULTA:]),MONTH(BDD[[#This Row],[FECHA NAC]]),DAY(BDD[[#This Row],[FECHA NAC]]))</f>
        <v>44790</v>
      </c>
      <c r="AK309" s="279">
        <v>10</v>
      </c>
      <c r="AL309" s="251" t="s">
        <v>311</v>
      </c>
      <c r="AM309" s="251" t="s">
        <v>1536</v>
      </c>
      <c r="AN309" s="251" t="s">
        <v>1551</v>
      </c>
      <c r="AO309" s="245">
        <v>100</v>
      </c>
      <c r="AP309" s="251">
        <f ca="1">INT((TODAY()-BDD[[#This Row],[FECHA NAC]])/365)</f>
        <v>35</v>
      </c>
      <c r="AQ309" s="251">
        <v>1</v>
      </c>
      <c r="AR309" s="251">
        <f ca="1">IF(BDD[[#This Row],[ANTIG]]=0,0,1)</f>
        <v>1</v>
      </c>
      <c r="AS309" s="251"/>
      <c r="AT309" s="251"/>
      <c r="AU309" s="251"/>
      <c r="AV309" s="251"/>
      <c r="AW309" s="251"/>
      <c r="AX309" s="251"/>
      <c r="AY309" s="251"/>
      <c r="AZ309" s="251">
        <f t="shared" ca="1" si="16"/>
        <v>864</v>
      </c>
    </row>
    <row r="310" spans="2:52" ht="15" customHeight="1" x14ac:dyDescent="0.25">
      <c r="B310" s="243">
        <v>477</v>
      </c>
      <c r="C310" s="262" t="s">
        <v>346</v>
      </c>
      <c r="D310" s="263">
        <v>7445</v>
      </c>
      <c r="E310" s="252">
        <f>(BDD[[#This Row],[SUE MENS]]/30)</f>
        <v>248.16666666666666</v>
      </c>
      <c r="F310" s="252">
        <f>BDD[[#This Row],[SUE MENS]]/2</f>
        <v>3722.5</v>
      </c>
      <c r="G310" s="320">
        <v>43114</v>
      </c>
      <c r="H310" s="243">
        <f ca="1">INT(_xlfn.DAYS(TODAY(),BDD[[#This Row],[FECHA ING.]])/365)</f>
        <v>4</v>
      </c>
      <c r="I310" s="251" t="str">
        <f>VLOOKUP(J310,TABLAS!$B$3:$G$49,2,FALSE)</f>
        <v>CPTAL HUMANO</v>
      </c>
      <c r="J310" s="198" t="s">
        <v>758</v>
      </c>
      <c r="K310" s="251" t="s">
        <v>778</v>
      </c>
      <c r="L310" s="251" t="s">
        <v>763</v>
      </c>
      <c r="M310" s="251"/>
      <c r="N310" s="244" t="s">
        <v>2035</v>
      </c>
      <c r="O310" s="251" t="str">
        <f>IFERROR(VLOOKUP(BDD[[#This Row],[SUBDPTO]],TABLAS!$B$4:$D$36,3,0)," ")</f>
        <v>EMMA DARIELA GARCÍA LORCA</v>
      </c>
      <c r="P310" s="258">
        <v>43739</v>
      </c>
      <c r="Q310" s="254">
        <v>5422.4000000000005</v>
      </c>
      <c r="R310" s="255" t="s">
        <v>751</v>
      </c>
      <c r="S310" s="251"/>
      <c r="T310" s="251" t="s">
        <v>811</v>
      </c>
      <c r="U310" s="243">
        <f ca="1">VLOOKUP(BDD[[#This Row],[ANTIG]],DIASXANT18[#All],2)</f>
        <v>14</v>
      </c>
      <c r="V310" s="256">
        <f t="shared" si="19"/>
        <v>0.5</v>
      </c>
      <c r="W310" s="243">
        <f ca="1">BDD[[#This Row],[D.VAC.]]*BDD[[#This Row],[% P.V.]]</f>
        <v>7</v>
      </c>
      <c r="X310" s="243">
        <v>30</v>
      </c>
      <c r="Y310" s="257">
        <f ca="1">(365+BDD[[#This Row],[D.PAG.V.]]+BDD[[#This Row],[D.AG.]])/365</f>
        <v>1.1013698630136985</v>
      </c>
      <c r="Z310" s="243">
        <f ca="1">BDD[[#This Row],[SUE DIA]]*BDD[[#This Row],[FACTOR SDI]]</f>
        <v>273.32328767123283</v>
      </c>
      <c r="AA310" s="243">
        <f>BDD[[#This Row],[SUE DIA]]/9</f>
        <v>27.574074074074073</v>
      </c>
      <c r="AB310" s="262">
        <v>34734</v>
      </c>
      <c r="AC310" s="251" t="s">
        <v>966</v>
      </c>
      <c r="AD310" s="251" t="s">
        <v>786</v>
      </c>
      <c r="AE310" s="252">
        <v>8432183633</v>
      </c>
      <c r="AF310" s="251" t="s">
        <v>1317</v>
      </c>
      <c r="AG310" s="251" t="s">
        <v>776</v>
      </c>
      <c r="AH310" s="251" t="s">
        <v>730</v>
      </c>
      <c r="AI310" s="243" t="s">
        <v>151</v>
      </c>
      <c r="AJ310" s="258" cm="1">
        <f t="array" aca="1" ref="AJ310" ca="1">DATE(YEAR(FECH.CONS[FECHA DE CONSULTA:]),MONTH(BDD[[#This Row],[FECHA NAC]]),DAY(BDD[[#This Row],[FECHA NAC]]))</f>
        <v>44596</v>
      </c>
      <c r="AK310" s="243">
        <v>9</v>
      </c>
      <c r="AL310" s="261" t="s">
        <v>318</v>
      </c>
      <c r="AM310" s="251" t="s">
        <v>1535</v>
      </c>
      <c r="AN310" s="251" t="s">
        <v>1551</v>
      </c>
      <c r="AO310" s="245">
        <v>42</v>
      </c>
      <c r="AP310" s="251">
        <f ca="1">INT((TODAY()-BDD[[#This Row],[FECHA NAC]])/365)</f>
        <v>27</v>
      </c>
      <c r="AQ310" s="251">
        <v>2</v>
      </c>
      <c r="AR310" s="251">
        <f ca="1">IF(BDD[[#This Row],[ANTIG]]=0,0,1)</f>
        <v>1</v>
      </c>
      <c r="AS310" s="251"/>
      <c r="AT310" s="251"/>
      <c r="AU310" s="251"/>
      <c r="AV310" s="251"/>
      <c r="AW310" s="251"/>
      <c r="AX310" s="251"/>
      <c r="AY310" s="251"/>
      <c r="AZ310" s="251">
        <f t="shared" ca="1" si="16"/>
        <v>657</v>
      </c>
    </row>
    <row r="311" spans="2:52" ht="15" customHeight="1" x14ac:dyDescent="0.25">
      <c r="B311" s="243">
        <v>478</v>
      </c>
      <c r="C311" s="251" t="s">
        <v>228</v>
      </c>
      <c r="D311" s="252">
        <v>7950</v>
      </c>
      <c r="E311" s="252">
        <f>(BDD[[#This Row],[SUE MENS]]/30)</f>
        <v>265</v>
      </c>
      <c r="F311" s="252">
        <f>BDD[[#This Row],[SUE MENS]]/2</f>
        <v>3975</v>
      </c>
      <c r="G311" s="320">
        <v>43125</v>
      </c>
      <c r="H311" s="243">
        <f ca="1">INT(_xlfn.DAYS(TODAY(),BDD[[#This Row],[FECHA ING.]])/365)</f>
        <v>4</v>
      </c>
      <c r="I311" s="251" t="str">
        <f>VLOOKUP(J311,TABLAS!$B$3:$G$49,2,FALSE)</f>
        <v>TECNOLOGÍA</v>
      </c>
      <c r="J311" s="198" t="s">
        <v>751</v>
      </c>
      <c r="K311" s="251" t="s">
        <v>778</v>
      </c>
      <c r="L311" s="251" t="s">
        <v>763</v>
      </c>
      <c r="M311" s="251"/>
      <c r="N311" s="253" t="s">
        <v>1768</v>
      </c>
      <c r="O311" s="251" t="str">
        <f>IFERROR(VLOOKUP(BDD[[#This Row],[SUBDPTO]],TABLAS!$B$4:$D$36,3,0)," ")</f>
        <v>DENEB SANTIAGO ALTAIR VEGA</v>
      </c>
      <c r="P311" s="258">
        <v>44086</v>
      </c>
      <c r="Q311" s="254">
        <v>5422.4000000000005</v>
      </c>
      <c r="R311" s="255" t="s">
        <v>759</v>
      </c>
      <c r="S311" s="251"/>
      <c r="T311" s="251" t="s">
        <v>301</v>
      </c>
      <c r="U311" s="243">
        <f ca="1">VLOOKUP(BDD[[#This Row],[ANTIG]],DIASXANT18[#All],2)</f>
        <v>14</v>
      </c>
      <c r="V311" s="256">
        <f t="shared" si="19"/>
        <v>0.5</v>
      </c>
      <c r="W311" s="243">
        <f ca="1">BDD[[#This Row],[D.VAC.]]*BDD[[#This Row],[% P.V.]]</f>
        <v>7</v>
      </c>
      <c r="X311" s="243">
        <v>30</v>
      </c>
      <c r="Y311" s="257">
        <f ca="1">(365+BDD[[#This Row],[D.PAG.V.]]+BDD[[#This Row],[D.AG.]])/365</f>
        <v>1.1013698630136985</v>
      </c>
      <c r="Z311" s="243">
        <f ca="1">BDD[[#This Row],[SUE DIA]]*BDD[[#This Row],[FACTOR SDI]]</f>
        <v>291.86301369863014</v>
      </c>
      <c r="AA311" s="243">
        <f>BDD[[#This Row],[SUE DIA]]/9</f>
        <v>29.444444444444443</v>
      </c>
      <c r="AB311" s="251">
        <v>33538</v>
      </c>
      <c r="AC311" s="251" t="s">
        <v>996</v>
      </c>
      <c r="AD311" s="251" t="s">
        <v>789</v>
      </c>
      <c r="AE311" s="252">
        <v>8982172172</v>
      </c>
      <c r="AF311" s="251" t="s">
        <v>1253</v>
      </c>
      <c r="AG311" s="251" t="s">
        <v>776</v>
      </c>
      <c r="AH311" s="251" t="s">
        <v>730</v>
      </c>
      <c r="AI311" s="243" t="s">
        <v>153</v>
      </c>
      <c r="AJ311" s="258" cm="1">
        <f t="array" aca="1" ref="AJ311" ca="1">DATE(YEAR(FECH.CONS[FECHA DE CONSULTA:]),MONTH(BDD[[#This Row],[FECHA NAC]]),DAY(BDD[[#This Row],[FECHA NAC]]))</f>
        <v>44861</v>
      </c>
      <c r="AK311" s="243">
        <v>10</v>
      </c>
      <c r="AL311" s="261" t="s">
        <v>311</v>
      </c>
      <c r="AM311" s="251" t="s">
        <v>1536</v>
      </c>
      <c r="AN311" s="251" t="s">
        <v>1551</v>
      </c>
      <c r="AO311" s="245">
        <v>46</v>
      </c>
      <c r="AP311" s="251">
        <f ca="1">INT((TODAY()-BDD[[#This Row],[FECHA NAC]])/365)</f>
        <v>30</v>
      </c>
      <c r="AQ311" s="251">
        <v>2</v>
      </c>
      <c r="AR311" s="251">
        <f ca="1">IF(BDD[[#This Row],[ANTIG]]=0,0,1)</f>
        <v>1</v>
      </c>
      <c r="AS311" s="251"/>
      <c r="AT311" s="251"/>
      <c r="AU311" s="251"/>
      <c r="AV311" s="251"/>
      <c r="AW311" s="251"/>
      <c r="AX311" s="251"/>
      <c r="AY311" s="251"/>
      <c r="AZ311" s="251">
        <f t="shared" ca="1" si="16"/>
        <v>837</v>
      </c>
    </row>
    <row r="312" spans="2:52" ht="15" customHeight="1" x14ac:dyDescent="0.25">
      <c r="B312" s="243">
        <v>479</v>
      </c>
      <c r="C312" s="251" t="s">
        <v>434</v>
      </c>
      <c r="D312" s="252">
        <v>9450</v>
      </c>
      <c r="E312" s="252">
        <f>(BDD[[#This Row],[SUE MENS]]/30)</f>
        <v>315</v>
      </c>
      <c r="F312" s="252">
        <f>BDD[[#This Row],[SUE MENS]]/2</f>
        <v>4725</v>
      </c>
      <c r="G312" s="319">
        <v>43131</v>
      </c>
      <c r="H312" s="243">
        <f ca="1">INT(_xlfn.DAYS(TODAY(),BDD[[#This Row],[FECHA ING.]])/365)</f>
        <v>4</v>
      </c>
      <c r="I312" s="251" t="str">
        <f>VLOOKUP(J312,TABLAS!$B$3:$G$49,2,FALSE)</f>
        <v>DIV INGENRIA</v>
      </c>
      <c r="J312" s="198" t="s">
        <v>743</v>
      </c>
      <c r="K312" s="251" t="s">
        <v>778</v>
      </c>
      <c r="L312" s="251" t="s">
        <v>763</v>
      </c>
      <c r="M312" s="251"/>
      <c r="N312" s="244" t="s">
        <v>2212</v>
      </c>
      <c r="O312" s="251" t="str">
        <f>IFERROR(VLOOKUP(BDD[[#This Row],[SUBDPTO]],TABLAS!$B$4:$D$36,3,0)," ")</f>
        <v>DIEGO HERRERA GIRÓN</v>
      </c>
      <c r="P312" s="258"/>
      <c r="Q312" s="264"/>
      <c r="R312" s="244"/>
      <c r="S312" s="251"/>
      <c r="T312" s="251" t="s">
        <v>811</v>
      </c>
      <c r="U312" s="243">
        <f ca="1">VLOOKUP(BDD[[#This Row],[ANTIG]],DIASXANT18[#All],2)</f>
        <v>14</v>
      </c>
      <c r="V312" s="256">
        <f t="shared" si="19"/>
        <v>0.5</v>
      </c>
      <c r="W312" s="243">
        <f ca="1">BDD[[#This Row],[D.VAC.]]*BDD[[#This Row],[% P.V.]]</f>
        <v>7</v>
      </c>
      <c r="X312" s="243">
        <v>30</v>
      </c>
      <c r="Y312" s="257">
        <f ca="1">(365+BDD[[#This Row],[D.PAG.V.]]+BDD[[#This Row],[D.AG.]])/365</f>
        <v>1.1013698630136985</v>
      </c>
      <c r="Z312" s="243">
        <f ca="1">BDD[[#This Row],[SUE DIA]]*BDD[[#This Row],[FACTOR SDI]]</f>
        <v>346.93150684931504</v>
      </c>
      <c r="AA312" s="243">
        <f>BDD[[#This Row],[SUE DIA]]/9</f>
        <v>35</v>
      </c>
      <c r="AB312" s="251">
        <v>32101</v>
      </c>
      <c r="AC312" s="251" t="s">
        <v>1003</v>
      </c>
      <c r="AD312" s="251" t="s">
        <v>790</v>
      </c>
      <c r="AE312" s="252">
        <v>8608647284</v>
      </c>
      <c r="AF312" s="251" t="s">
        <v>1237</v>
      </c>
      <c r="AG312" s="251" t="s">
        <v>776</v>
      </c>
      <c r="AH312" s="251" t="s">
        <v>730</v>
      </c>
      <c r="AI312" s="243" t="s">
        <v>151</v>
      </c>
      <c r="AJ312" s="258" cm="1">
        <f t="array" aca="1" ref="AJ312" ca="1">DATE(YEAR(FECH.CONS[FECHA DE CONSULTA:]),MONTH(BDD[[#This Row],[FECHA NAC]]),DAY(BDD[[#This Row],[FECHA NAC]]))</f>
        <v>44885</v>
      </c>
      <c r="AK312" s="279">
        <v>7</v>
      </c>
      <c r="AL312" s="251" t="s">
        <v>318</v>
      </c>
      <c r="AM312" s="251" t="s">
        <v>1549</v>
      </c>
      <c r="AN312" s="251" t="s">
        <v>1551</v>
      </c>
      <c r="AO312" s="245">
        <v>87</v>
      </c>
      <c r="AP312" s="251">
        <f ca="1">INT((TODAY()-BDD[[#This Row],[FECHA NAC]])/365)</f>
        <v>34</v>
      </c>
      <c r="AQ312" s="251">
        <v>3</v>
      </c>
      <c r="AR312" s="251">
        <f ca="1">IF(BDD[[#This Row],[ANTIG]]=0,0,1)</f>
        <v>1</v>
      </c>
      <c r="AS312" s="251"/>
      <c r="AT312" s="251"/>
      <c r="AU312" s="251"/>
      <c r="AV312" s="251"/>
      <c r="AW312" s="251"/>
      <c r="AX312" s="251"/>
      <c r="AY312" s="251"/>
      <c r="AZ312" s="251">
        <f t="shared" ca="1" si="16"/>
        <v>917</v>
      </c>
    </row>
    <row r="313" spans="2:52" ht="15" customHeight="1" x14ac:dyDescent="0.25">
      <c r="B313" s="243">
        <v>482</v>
      </c>
      <c r="C313" s="259" t="s">
        <v>698</v>
      </c>
      <c r="D313" s="252">
        <v>9450</v>
      </c>
      <c r="E313" s="252">
        <f>(BDD[[#This Row],[SUE MENS]]/30)</f>
        <v>315</v>
      </c>
      <c r="F313" s="252">
        <f>BDD[[#This Row],[SUE MENS]]/2</f>
        <v>4725</v>
      </c>
      <c r="G313" s="319">
        <v>43173</v>
      </c>
      <c r="H313" s="243">
        <f ca="1">INT(_xlfn.DAYS(TODAY(),BDD[[#This Row],[FECHA ING.]])/365)</f>
        <v>4</v>
      </c>
      <c r="I313" s="251" t="str">
        <f>VLOOKUP(J313,TABLAS!$B$3:$G$49,2,FALSE)</f>
        <v>DIV ARQUIT</v>
      </c>
      <c r="J313" s="198" t="s">
        <v>741</v>
      </c>
      <c r="K313" s="251" t="s">
        <v>778</v>
      </c>
      <c r="L313" s="251" t="s">
        <v>763</v>
      </c>
      <c r="M313" s="251"/>
      <c r="N313" s="244" t="s">
        <v>2121</v>
      </c>
      <c r="O313" s="251" t="str">
        <f>IFERROR(VLOOKUP(BDD[[#This Row],[SUBDPTO]],TABLAS!$B$4:$D$36,3,0)," ")</f>
        <v>MÉRIDA ISELA MEDINA SALINAS</v>
      </c>
      <c r="P313" s="258"/>
      <c r="Q313" s="264"/>
      <c r="R313" s="244"/>
      <c r="S313" s="251"/>
      <c r="T313" s="251" t="s">
        <v>811</v>
      </c>
      <c r="U313" s="243">
        <f ca="1">VLOOKUP(BDD[[#This Row],[ANTIG]],DIASXANT18[#All],2)</f>
        <v>14</v>
      </c>
      <c r="V313" s="256">
        <f t="shared" si="19"/>
        <v>0.5</v>
      </c>
      <c r="W313" s="243">
        <f ca="1">BDD[[#This Row],[D.VAC.]]*BDD[[#This Row],[% P.V.]]</f>
        <v>7</v>
      </c>
      <c r="X313" s="243">
        <v>30</v>
      </c>
      <c r="Y313" s="257">
        <f ca="1">(365+BDD[[#This Row],[D.PAG.V.]]+BDD[[#This Row],[D.AG.]])/365</f>
        <v>1.1013698630136985</v>
      </c>
      <c r="Z313" s="243">
        <f ca="1">BDD[[#This Row],[SUE DIA]]*BDD[[#This Row],[FACTOR SDI]]</f>
        <v>346.93150684931504</v>
      </c>
      <c r="AA313" s="243">
        <f>BDD[[#This Row],[SUE DIA]]/9</f>
        <v>35</v>
      </c>
      <c r="AB313" s="251">
        <v>36429</v>
      </c>
      <c r="AC313" s="251" t="s">
        <v>987</v>
      </c>
      <c r="AD313" s="251" t="s">
        <v>787</v>
      </c>
      <c r="AE313" s="260">
        <v>9889509198</v>
      </c>
      <c r="AF313" s="251" t="s">
        <v>1515</v>
      </c>
      <c r="AG313" s="251" t="s">
        <v>773</v>
      </c>
      <c r="AH313" s="251" t="s">
        <v>730</v>
      </c>
      <c r="AI313" s="243" t="s">
        <v>151</v>
      </c>
      <c r="AJ313" s="258" cm="1">
        <f t="array" aca="1" ref="AJ313" ca="1">DATE(YEAR(FECH.CONS[FECHA DE CONSULTA:]),MONTH(BDD[[#This Row],[FECHA NAC]]),DAY(BDD[[#This Row],[FECHA NAC]]))</f>
        <v>44830</v>
      </c>
      <c r="AK313" s="279">
        <v>9</v>
      </c>
      <c r="AL313" s="261" t="s">
        <v>312</v>
      </c>
      <c r="AM313" s="251" t="s">
        <v>1543</v>
      </c>
      <c r="AN313" s="251" t="s">
        <v>1551</v>
      </c>
      <c r="AO313" s="245">
        <v>70</v>
      </c>
      <c r="AP313" s="251">
        <f ca="1">INT((TODAY()-BDD[[#This Row],[FECHA NAC]])/365)</f>
        <v>22</v>
      </c>
      <c r="AQ313" s="251">
        <v>0</v>
      </c>
      <c r="AR313" s="251">
        <f ca="1">IF(BDD[[#This Row],[ANTIG]]=0,0,1)</f>
        <v>1</v>
      </c>
      <c r="AS313" s="251"/>
      <c r="AT313" s="251"/>
      <c r="AU313" s="251"/>
      <c r="AV313" s="251"/>
      <c r="AW313" s="251"/>
      <c r="AX313" s="251"/>
      <c r="AY313" s="251"/>
      <c r="AZ313" s="251">
        <f t="shared" ca="1" si="16"/>
        <v>88</v>
      </c>
    </row>
    <row r="314" spans="2:52" ht="15" customHeight="1" x14ac:dyDescent="0.25">
      <c r="B314" s="243">
        <v>484</v>
      </c>
      <c r="C314" s="251" t="s">
        <v>215</v>
      </c>
      <c r="D314" s="252">
        <v>9450</v>
      </c>
      <c r="E314" s="252">
        <f>(BDD[[#This Row],[SUE MENS]]/30)</f>
        <v>315</v>
      </c>
      <c r="F314" s="252">
        <f>BDD[[#This Row],[SUE MENS]]/2</f>
        <v>4725</v>
      </c>
      <c r="G314" s="319">
        <v>43192</v>
      </c>
      <c r="H314" s="243">
        <f ca="1">INT(_xlfn.DAYS(TODAY(),BDD[[#This Row],[FECHA ING.]])/365)</f>
        <v>4</v>
      </c>
      <c r="I314" s="251" t="str">
        <f>VLOOKUP(J314,TABLAS!$B$3:$G$49,2,FALSE)</f>
        <v>CONTRATOS</v>
      </c>
      <c r="J314" s="198" t="s">
        <v>738</v>
      </c>
      <c r="K314" s="251" t="s">
        <v>778</v>
      </c>
      <c r="L314" s="251" t="s">
        <v>763</v>
      </c>
      <c r="M314" s="251"/>
      <c r="N314" s="244" t="s">
        <v>2056</v>
      </c>
      <c r="O314" s="251" t="str">
        <f>IFERROR(VLOOKUP(BDD[[#This Row],[SUBDPTO]],TABLAS!$B$4:$D$36,3,0)," ")</f>
        <v>IDALIA GARCÍA ESCRIVÁ</v>
      </c>
      <c r="P314" s="258">
        <f>BDD[[#This Row],[FECHA ING.]]+1000</f>
        <v>44192</v>
      </c>
      <c r="Q314" s="254">
        <v>5211.5</v>
      </c>
      <c r="R314" s="251" t="s">
        <v>853</v>
      </c>
      <c r="S314" s="244" t="s">
        <v>747</v>
      </c>
      <c r="T314" s="251" t="s">
        <v>301</v>
      </c>
      <c r="U314" s="243">
        <f ca="1">VLOOKUP(BDD[[#This Row],[ANTIG]],DIASXANT18[#All],2)</f>
        <v>14</v>
      </c>
      <c r="V314" s="256">
        <f t="shared" si="19"/>
        <v>0.5</v>
      </c>
      <c r="W314" s="243">
        <f ca="1">BDD[[#This Row],[D.VAC.]]*BDD[[#This Row],[% P.V.]]</f>
        <v>7</v>
      </c>
      <c r="X314" s="243">
        <v>30</v>
      </c>
      <c r="Y314" s="257">
        <f ca="1">(365+BDD[[#This Row],[D.PAG.V.]]+BDD[[#This Row],[D.AG.]])/365</f>
        <v>1.1013698630136985</v>
      </c>
      <c r="Z314" s="243">
        <f ca="1">BDD[[#This Row],[SUE DIA]]*BDD[[#This Row],[FACTOR SDI]]</f>
        <v>346.93150684931504</v>
      </c>
      <c r="AA314" s="243">
        <f>BDD[[#This Row],[SUE DIA]]/9</f>
        <v>35</v>
      </c>
      <c r="AB314" s="251">
        <v>32077</v>
      </c>
      <c r="AC314" s="251" t="s">
        <v>990</v>
      </c>
      <c r="AD314" s="251" t="s">
        <v>789</v>
      </c>
      <c r="AE314" s="252">
        <v>8360246863</v>
      </c>
      <c r="AF314" s="251" t="s">
        <v>1235</v>
      </c>
      <c r="AG314" s="251" t="s">
        <v>776</v>
      </c>
      <c r="AH314" s="251" t="s">
        <v>730</v>
      </c>
      <c r="AI314" s="243" t="s">
        <v>151</v>
      </c>
      <c r="AJ314" s="258" cm="1">
        <f t="array" aca="1" ref="AJ314" ca="1">DATE(YEAR(FECH.CONS[FECHA DE CONSULTA:]),MONTH(BDD[[#This Row],[FECHA NAC]]),DAY(BDD[[#This Row],[FECHA NAC]]))</f>
        <v>44861</v>
      </c>
      <c r="AK314" s="279">
        <v>9</v>
      </c>
      <c r="AL314" s="251" t="s">
        <v>326</v>
      </c>
      <c r="AM314" s="251" t="s">
        <v>1535</v>
      </c>
      <c r="AN314" s="251" t="s">
        <v>1551</v>
      </c>
      <c r="AO314" s="245">
        <v>62</v>
      </c>
      <c r="AP314" s="251">
        <f ca="1">INT((TODAY()-BDD[[#This Row],[FECHA NAC]])/365)</f>
        <v>34</v>
      </c>
      <c r="AQ314" s="251">
        <v>3</v>
      </c>
      <c r="AR314" s="251">
        <f ca="1">IF(BDD[[#This Row],[ANTIG]]=0,0,1)</f>
        <v>1</v>
      </c>
      <c r="AS314" s="251"/>
      <c r="AT314" s="251"/>
      <c r="AU314" s="251"/>
      <c r="AV314" s="251"/>
      <c r="AW314" s="251"/>
      <c r="AX314" s="251"/>
      <c r="AY314" s="251"/>
      <c r="AZ314" s="251">
        <f t="shared" ca="1" si="16"/>
        <v>791</v>
      </c>
    </row>
    <row r="315" spans="2:52" ht="15" customHeight="1" x14ac:dyDescent="0.25">
      <c r="B315" s="243">
        <v>485</v>
      </c>
      <c r="C315" s="259" t="s">
        <v>661</v>
      </c>
      <c r="D315" s="252">
        <v>9541</v>
      </c>
      <c r="E315" s="252">
        <f>(BDD[[#This Row],[SUE MENS]]/30)</f>
        <v>318.03333333333336</v>
      </c>
      <c r="F315" s="252">
        <f>BDD[[#This Row],[SUE MENS]]/2</f>
        <v>4770.5</v>
      </c>
      <c r="G315" s="319">
        <v>43197</v>
      </c>
      <c r="H315" s="243">
        <f ca="1">INT(_xlfn.DAYS(TODAY(),BDD[[#This Row],[FECHA ING.]])/365)</f>
        <v>4</v>
      </c>
      <c r="I315" s="251" t="str">
        <f>VLOOKUP(J315,TABLAS!$B$3:$G$49,2,FALSE)</f>
        <v>DIRECCIÓN</v>
      </c>
      <c r="J315" s="198" t="s">
        <v>745</v>
      </c>
      <c r="K315" s="251" t="s">
        <v>778</v>
      </c>
      <c r="L315" s="251" t="s">
        <v>763</v>
      </c>
      <c r="M315" s="251"/>
      <c r="N315" s="244" t="s">
        <v>1900</v>
      </c>
      <c r="O315" s="251" t="str">
        <f>IFERROR(VLOOKUP(BDD[[#This Row],[SUBDPTO]],TABLAS!$B$4:$D$36,3,0)," ")</f>
        <v>MARIANA RODRÍGUEZ GUTIERREZ</v>
      </c>
      <c r="P315" s="258">
        <v>42993</v>
      </c>
      <c r="Q315" s="254">
        <v>6158.4000000000005</v>
      </c>
      <c r="R315" s="255" t="s">
        <v>740</v>
      </c>
      <c r="S315" s="255" t="s">
        <v>751</v>
      </c>
      <c r="T315" s="251" t="s">
        <v>811</v>
      </c>
      <c r="U315" s="243">
        <f ca="1">VLOOKUP(BDD[[#This Row],[ANTIG]],DIASXANT18[#All],2)</f>
        <v>14</v>
      </c>
      <c r="V315" s="256">
        <f t="shared" si="19"/>
        <v>0.5</v>
      </c>
      <c r="W315" s="243">
        <f ca="1">BDD[[#This Row],[D.VAC.]]*BDD[[#This Row],[% P.V.]]</f>
        <v>7</v>
      </c>
      <c r="X315" s="243">
        <v>30</v>
      </c>
      <c r="Y315" s="257">
        <f ca="1">(365+BDD[[#This Row],[D.PAG.V.]]+BDD[[#This Row],[D.AG.]])/365</f>
        <v>1.1013698630136985</v>
      </c>
      <c r="Z315" s="243">
        <f ca="1">BDD[[#This Row],[SUE DIA]]*BDD[[#This Row],[FACTOR SDI]]</f>
        <v>350.27232876712327</v>
      </c>
      <c r="AA315" s="243">
        <f>BDD[[#This Row],[SUE DIA]]/9</f>
        <v>35.337037037037042</v>
      </c>
      <c r="AB315" s="251">
        <v>33300</v>
      </c>
      <c r="AC315" s="251" t="s">
        <v>919</v>
      </c>
      <c r="AD315" s="251" t="s">
        <v>787</v>
      </c>
      <c r="AE315" s="260">
        <v>3440453728</v>
      </c>
      <c r="AF315" s="251" t="s">
        <v>1495</v>
      </c>
      <c r="AG315" s="251" t="s">
        <v>776</v>
      </c>
      <c r="AH315" s="251" t="s">
        <v>727</v>
      </c>
      <c r="AI315" s="243" t="s">
        <v>151</v>
      </c>
      <c r="AJ315" s="258" cm="1">
        <f t="array" aca="1" ref="AJ315" ca="1">DATE(YEAR(FECH.CONS[FECHA DE CONSULTA:]),MONTH(BDD[[#This Row],[FECHA NAC]]),DAY(BDD[[#This Row],[FECHA NAC]]))</f>
        <v>44623</v>
      </c>
      <c r="AK315" s="243"/>
      <c r="AL315" s="261" t="s">
        <v>311</v>
      </c>
      <c r="AM315" s="251" t="s">
        <v>1550</v>
      </c>
      <c r="AN315" s="251" t="s">
        <v>1550</v>
      </c>
      <c r="AO315" s="245">
        <v>39</v>
      </c>
      <c r="AP315" s="251">
        <f ca="1">INT((TODAY()-BDD[[#This Row],[FECHA NAC]])/365)</f>
        <v>31</v>
      </c>
      <c r="AQ315" s="251">
        <v>1</v>
      </c>
      <c r="AR315" s="251">
        <f ca="1">IF(BDD[[#This Row],[ANTIG]]=0,0,1)</f>
        <v>1</v>
      </c>
      <c r="AS315" s="251"/>
      <c r="AT315" s="251"/>
      <c r="AU315" s="251"/>
      <c r="AV315" s="251"/>
      <c r="AW315" s="251"/>
      <c r="AX315" s="251"/>
      <c r="AY315" s="251"/>
      <c r="AZ315" s="251">
        <f t="shared" ca="1" si="16"/>
        <v>612</v>
      </c>
    </row>
    <row r="316" spans="2:52" ht="15" customHeight="1" x14ac:dyDescent="0.25">
      <c r="B316" s="243">
        <v>486</v>
      </c>
      <c r="C316" s="251" t="s">
        <v>219</v>
      </c>
      <c r="D316" s="252">
        <v>9450</v>
      </c>
      <c r="E316" s="252">
        <f>(BDD[[#This Row],[SUE MENS]]/30)</f>
        <v>315</v>
      </c>
      <c r="F316" s="252">
        <f>BDD[[#This Row],[SUE MENS]]/2</f>
        <v>4725</v>
      </c>
      <c r="G316" s="319">
        <v>43198</v>
      </c>
      <c r="H316" s="243">
        <f ca="1">INT(_xlfn.DAYS(TODAY(),BDD[[#This Row],[FECHA ING.]])/365)</f>
        <v>4</v>
      </c>
      <c r="I316" s="251" t="str">
        <f>VLOOKUP(J316,TABLAS!$B$3:$G$49,2,FALSE)</f>
        <v>AUDITORÍA</v>
      </c>
      <c r="J316" s="198" t="s">
        <v>734</v>
      </c>
      <c r="K316" s="251" t="s">
        <v>778</v>
      </c>
      <c r="L316" s="251" t="s">
        <v>763</v>
      </c>
      <c r="M316" s="251"/>
      <c r="N316" s="244" t="s">
        <v>1948</v>
      </c>
      <c r="O316" s="251" t="str">
        <f>IFERROR(VLOOKUP(BDD[[#This Row],[SUBDPTO]],TABLAS!$B$4:$D$36,3,0)," ")</f>
        <v>MARCO AURELIO URBINO</v>
      </c>
      <c r="P316" s="258">
        <v>44018</v>
      </c>
      <c r="Q316" s="254">
        <v>6560</v>
      </c>
      <c r="R316" s="255" t="s">
        <v>740</v>
      </c>
      <c r="S316" s="251"/>
      <c r="T316" s="251" t="s">
        <v>811</v>
      </c>
      <c r="U316" s="243">
        <f ca="1">VLOOKUP(BDD[[#This Row],[ANTIG]],DIASXANT18[#All],2)</f>
        <v>14</v>
      </c>
      <c r="V316" s="256">
        <f t="shared" si="19"/>
        <v>0.5</v>
      </c>
      <c r="W316" s="243">
        <f ca="1">BDD[[#This Row],[D.VAC.]]*BDD[[#This Row],[% P.V.]]</f>
        <v>7</v>
      </c>
      <c r="X316" s="243">
        <v>30</v>
      </c>
      <c r="Y316" s="257">
        <f ca="1">(365+BDD[[#This Row],[D.PAG.V.]]+BDD[[#This Row],[D.AG.]])/365</f>
        <v>1.1013698630136985</v>
      </c>
      <c r="Z316" s="243">
        <f ca="1">BDD[[#This Row],[SUE DIA]]*BDD[[#This Row],[FACTOR SDI]]</f>
        <v>346.93150684931504</v>
      </c>
      <c r="AA316" s="243">
        <f>BDD[[#This Row],[SUE DIA]]/9</f>
        <v>35</v>
      </c>
      <c r="AB316" s="251">
        <v>34028</v>
      </c>
      <c r="AC316" s="251" t="s">
        <v>961</v>
      </c>
      <c r="AD316" s="251" t="s">
        <v>786</v>
      </c>
      <c r="AE316" s="252">
        <v>8182736637</v>
      </c>
      <c r="AF316" s="251" t="s">
        <v>1242</v>
      </c>
      <c r="AG316" s="251" t="s">
        <v>774</v>
      </c>
      <c r="AH316" s="251" t="s">
        <v>730</v>
      </c>
      <c r="AI316" s="243" t="s">
        <v>151</v>
      </c>
      <c r="AJ316" s="258" cm="1">
        <f t="array" aca="1" ref="AJ316" ca="1">DATE(YEAR(FECH.CONS[FECHA DE CONSULTA:]),MONTH(BDD[[#This Row],[FECHA NAC]]),DAY(BDD[[#This Row],[FECHA NAC]]))</f>
        <v>44620</v>
      </c>
      <c r="AK316" s="243">
        <v>8</v>
      </c>
      <c r="AL316" s="261" t="s">
        <v>326</v>
      </c>
      <c r="AM316" s="251" t="s">
        <v>1535</v>
      </c>
      <c r="AN316" s="251" t="s">
        <v>1551</v>
      </c>
      <c r="AO316" s="245">
        <v>62</v>
      </c>
      <c r="AP316" s="251">
        <f ca="1">INT((TODAY()-BDD[[#This Row],[FECHA NAC]])/365)</f>
        <v>29</v>
      </c>
      <c r="AQ316" s="251">
        <v>0</v>
      </c>
      <c r="AR316" s="251">
        <f ca="1">IF(BDD[[#This Row],[ANTIG]]=0,0,1)</f>
        <v>1</v>
      </c>
      <c r="AS316" s="251"/>
      <c r="AT316" s="251"/>
      <c r="AU316" s="251"/>
      <c r="AV316" s="251"/>
      <c r="AW316" s="251"/>
      <c r="AX316" s="251"/>
      <c r="AY316" s="251"/>
      <c r="AZ316" s="251">
        <f t="shared" ca="1" si="16"/>
        <v>394</v>
      </c>
    </row>
    <row r="317" spans="2:52" x14ac:dyDescent="0.25">
      <c r="B317" s="243">
        <v>487</v>
      </c>
      <c r="C317" s="259" t="s">
        <v>1623</v>
      </c>
      <c r="D317" s="263">
        <v>10350</v>
      </c>
      <c r="E317" s="252">
        <f>(BDD[[#This Row],[SUE MENS]]/30)</f>
        <v>345</v>
      </c>
      <c r="F317" s="252">
        <f>BDD[[#This Row],[SUE MENS]]/2</f>
        <v>5175</v>
      </c>
      <c r="G317" s="319">
        <v>43202</v>
      </c>
      <c r="H317" s="243">
        <f ca="1">INT(_xlfn.DAYS(TODAY(),BDD[[#This Row],[FECHA ING.]])/365)</f>
        <v>4</v>
      </c>
      <c r="I317" s="251" t="str">
        <f>VLOOKUP(J317,TABLAS!$B$3:$G$49,2,FALSE)</f>
        <v>DIRECCIÓN</v>
      </c>
      <c r="J317" s="198" t="s">
        <v>759</v>
      </c>
      <c r="K317" s="251" t="s">
        <v>778</v>
      </c>
      <c r="L317" s="251" t="s">
        <v>763</v>
      </c>
      <c r="M317" s="251"/>
      <c r="N317" s="244" t="s">
        <v>1998</v>
      </c>
      <c r="O317" s="251" t="str">
        <f>IFERROR(VLOOKUP(BDD[[#This Row],[SUBDPTO]],TABLAS!$B$4:$D$36,3,0)," ")</f>
        <v>MARIANA RODRÍGUEZ GUTIERREZ</v>
      </c>
      <c r="P317" s="258">
        <v>42594</v>
      </c>
      <c r="Q317" s="254">
        <v>5956</v>
      </c>
      <c r="R317" s="255" t="s">
        <v>737</v>
      </c>
      <c r="S317" s="255" t="s">
        <v>744</v>
      </c>
      <c r="T317" s="251" t="s">
        <v>811</v>
      </c>
      <c r="U317" s="243">
        <f ca="1">VLOOKUP(BDD[[#This Row],[ANTIG]],DIASXANT18[#All],2)</f>
        <v>14</v>
      </c>
      <c r="V317" s="256">
        <f t="shared" si="19"/>
        <v>0.5</v>
      </c>
      <c r="W317" s="243">
        <f ca="1">BDD[[#This Row],[D.VAC.]]*BDD[[#This Row],[% P.V.]]</f>
        <v>7</v>
      </c>
      <c r="X317" s="243">
        <v>30</v>
      </c>
      <c r="Y317" s="257">
        <f ca="1">(365+BDD[[#This Row],[D.PAG.V.]]+BDD[[#This Row],[D.AG.]])/365</f>
        <v>1.1013698630136985</v>
      </c>
      <c r="Z317" s="243">
        <f ca="1">BDD[[#This Row],[SUE DIA]]*BDD[[#This Row],[FACTOR SDI]]</f>
        <v>379.97260273972597</v>
      </c>
      <c r="AA317" s="243">
        <f>BDD[[#This Row],[SUE DIA]]/9</f>
        <v>38.333333333333336</v>
      </c>
      <c r="AB317" s="251">
        <v>31848</v>
      </c>
      <c r="AC317" s="251" t="s">
        <v>1024</v>
      </c>
      <c r="AD317" s="251" t="s">
        <v>790</v>
      </c>
      <c r="AE317" s="260">
        <v>4077351946</v>
      </c>
      <c r="AF317" s="251" t="s">
        <v>1428</v>
      </c>
      <c r="AG317" s="251" t="s">
        <v>773</v>
      </c>
      <c r="AH317" s="251" t="s">
        <v>730</v>
      </c>
      <c r="AI317" s="243" t="s">
        <v>151</v>
      </c>
      <c r="AJ317" s="258" cm="1">
        <f t="array" aca="1" ref="AJ317" ca="1">DATE(YEAR(FECH.CONS[FECHA DE CONSULTA:]),MONTH(BDD[[#This Row],[FECHA NAC]]),DAY(BDD[[#This Row],[FECHA NAC]]))</f>
        <v>44632</v>
      </c>
      <c r="AK317" s="243">
        <v>6</v>
      </c>
      <c r="AL317" s="261" t="s">
        <v>311</v>
      </c>
      <c r="AM317" s="251" t="s">
        <v>1544</v>
      </c>
      <c r="AN317" s="251" t="s">
        <v>1551</v>
      </c>
      <c r="AO317" s="245">
        <v>82</v>
      </c>
      <c r="AP317" s="251">
        <f ca="1">INT((TODAY()-BDD[[#This Row],[FECHA NAC]])/365)</f>
        <v>35</v>
      </c>
      <c r="AQ317" s="251">
        <v>3</v>
      </c>
      <c r="AR317" s="251">
        <f ca="1">IF(BDD[[#This Row],[ANTIG]]=0,0,1)</f>
        <v>1</v>
      </c>
      <c r="AS317" s="251"/>
      <c r="AT317" s="251"/>
      <c r="AU317" s="251"/>
      <c r="AV317" s="251"/>
      <c r="AW317" s="251"/>
      <c r="AX317" s="251"/>
      <c r="AY317" s="251"/>
      <c r="AZ317" s="251">
        <f t="shared" ca="1" si="16"/>
        <v>493</v>
      </c>
    </row>
    <row r="318" spans="2:52" x14ac:dyDescent="0.25">
      <c r="B318" s="243">
        <v>488</v>
      </c>
      <c r="C318" s="259" t="s">
        <v>651</v>
      </c>
      <c r="D318" s="263">
        <v>10350</v>
      </c>
      <c r="E318" s="252">
        <f>(BDD[[#This Row],[SUE MENS]]/30)</f>
        <v>345</v>
      </c>
      <c r="F318" s="252">
        <f>BDD[[#This Row],[SUE MENS]]/2</f>
        <v>5175</v>
      </c>
      <c r="G318" s="320">
        <v>43203</v>
      </c>
      <c r="H318" s="243">
        <f ca="1">INT(_xlfn.DAYS(TODAY(),BDD[[#This Row],[FECHA ING.]])/365)</f>
        <v>4</v>
      </c>
      <c r="I318" s="251" t="str">
        <f>VLOOKUP(J318,TABLAS!$B$3:$G$49,2,FALSE)</f>
        <v>DIRECCIÓN</v>
      </c>
      <c r="J318" s="198" t="s">
        <v>745</v>
      </c>
      <c r="K318" s="251" t="s">
        <v>778</v>
      </c>
      <c r="L318" s="251" t="s">
        <v>763</v>
      </c>
      <c r="M318" s="251"/>
      <c r="N318" s="253" t="s">
        <v>1813</v>
      </c>
      <c r="O318" s="251" t="str">
        <f>IFERROR(VLOOKUP(BDD[[#This Row],[SUBDPTO]],TABLAS!$B$4:$D$36,3,0)," ")</f>
        <v>MARIANA RODRÍGUEZ GUTIERREZ</v>
      </c>
      <c r="P318" s="258">
        <v>41951</v>
      </c>
      <c r="Q318" s="254">
        <v>7520</v>
      </c>
      <c r="R318" s="255" t="s">
        <v>746</v>
      </c>
      <c r="S318" s="255" t="s">
        <v>743</v>
      </c>
      <c r="T318" s="251" t="s">
        <v>811</v>
      </c>
      <c r="U318" s="243">
        <f ca="1">VLOOKUP(BDD[[#This Row],[ANTIG]],DIASXANT18[#All],2)</f>
        <v>14</v>
      </c>
      <c r="V318" s="256">
        <f t="shared" si="19"/>
        <v>0.5</v>
      </c>
      <c r="W318" s="243">
        <f ca="1">BDD[[#This Row],[D.VAC.]]*BDD[[#This Row],[% P.V.]]</f>
        <v>7</v>
      </c>
      <c r="X318" s="243">
        <v>30</v>
      </c>
      <c r="Y318" s="257">
        <f ca="1">(365+BDD[[#This Row],[D.PAG.V.]]+BDD[[#This Row],[D.AG.]])/365</f>
        <v>1.1013698630136985</v>
      </c>
      <c r="Z318" s="243">
        <f ca="1">BDD[[#This Row],[SUE DIA]]*BDD[[#This Row],[FACTOR SDI]]</f>
        <v>379.97260273972597</v>
      </c>
      <c r="AA318" s="243">
        <f>BDD[[#This Row],[SUE DIA]]/9</f>
        <v>38.333333333333336</v>
      </c>
      <c r="AB318" s="251">
        <v>36351</v>
      </c>
      <c r="AC318" s="251" t="s">
        <v>1061</v>
      </c>
      <c r="AD318" s="251" t="s">
        <v>787</v>
      </c>
      <c r="AE318" s="260">
        <v>8194607547</v>
      </c>
      <c r="AF318" s="251" t="s">
        <v>1490</v>
      </c>
      <c r="AG318" s="251" t="s">
        <v>776</v>
      </c>
      <c r="AH318" s="251" t="s">
        <v>730</v>
      </c>
      <c r="AI318" s="243" t="s">
        <v>151</v>
      </c>
      <c r="AJ318" s="258" cm="1">
        <f t="array" aca="1" ref="AJ318" ca="1">DATE(YEAR(FECH.CONS[FECHA DE CONSULTA:]),MONTH(BDD[[#This Row],[FECHA NAC]]),DAY(BDD[[#This Row],[FECHA NAC]]))</f>
        <v>44752</v>
      </c>
      <c r="AK318" s="243">
        <v>6</v>
      </c>
      <c r="AL318" s="261" t="s">
        <v>323</v>
      </c>
      <c r="AM318" s="251" t="s">
        <v>1548</v>
      </c>
      <c r="AN318" s="251" t="s">
        <v>1551</v>
      </c>
      <c r="AO318" s="245">
        <v>30</v>
      </c>
      <c r="AP318" s="251">
        <f ca="1">INT((TODAY()-BDD[[#This Row],[FECHA NAC]])/365)</f>
        <v>23</v>
      </c>
      <c r="AQ318" s="251">
        <v>0</v>
      </c>
      <c r="AR318" s="251">
        <f ca="1">IF(BDD[[#This Row],[ANTIG]]=0,0,1)</f>
        <v>1</v>
      </c>
      <c r="AS318" s="251"/>
      <c r="AT318" s="251"/>
      <c r="AU318" s="251"/>
      <c r="AV318" s="251"/>
      <c r="AW318" s="251"/>
      <c r="AX318" s="251"/>
      <c r="AY318" s="251"/>
      <c r="AZ318" s="251">
        <f t="shared" ca="1" si="16"/>
        <v>126</v>
      </c>
    </row>
    <row r="319" spans="2:52" x14ac:dyDescent="0.25">
      <c r="B319" s="243">
        <v>489</v>
      </c>
      <c r="C319" s="251" t="s">
        <v>154</v>
      </c>
      <c r="D319" s="252">
        <v>7445</v>
      </c>
      <c r="E319" s="252">
        <f>(BDD[[#This Row],[SUE MENS]]/30)</f>
        <v>248.16666666666666</v>
      </c>
      <c r="F319" s="252">
        <f>BDD[[#This Row],[SUE MENS]]/2</f>
        <v>3722.5</v>
      </c>
      <c r="G319" s="319">
        <v>43206</v>
      </c>
      <c r="H319" s="243">
        <f ca="1">INT(_xlfn.DAYS(TODAY(),BDD[[#This Row],[FECHA ING.]])/365)</f>
        <v>4</v>
      </c>
      <c r="I319" s="251" t="str">
        <f>VLOOKUP(J319,TABLAS!$B$3:$G$49,2,FALSE)</f>
        <v>AUDITORÍA</v>
      </c>
      <c r="J319" s="198" t="s">
        <v>734</v>
      </c>
      <c r="K319" s="251" t="s">
        <v>778</v>
      </c>
      <c r="L319" s="251" t="s">
        <v>763</v>
      </c>
      <c r="M319" s="251"/>
      <c r="N319" s="244" t="s">
        <v>1760</v>
      </c>
      <c r="O319" s="251" t="str">
        <f>IFERROR(VLOOKUP(BDD[[#This Row],[SUBDPTO]],TABLAS!$B$4:$D$36,3,0)," ")</f>
        <v>MARCO AURELIO URBINO</v>
      </c>
      <c r="P319" s="258"/>
      <c r="Q319" s="264"/>
      <c r="R319" s="244"/>
      <c r="S319" s="251"/>
      <c r="T319" s="251" t="s">
        <v>811</v>
      </c>
      <c r="U319" s="243">
        <f ca="1">VLOOKUP(BDD[[#This Row],[ANTIG]],DIASXANT18[#All],2)</f>
        <v>14</v>
      </c>
      <c r="V319" s="256">
        <f t="shared" si="19"/>
        <v>0.5</v>
      </c>
      <c r="W319" s="243">
        <f ca="1">BDD[[#This Row],[D.VAC.]]*BDD[[#This Row],[% P.V.]]</f>
        <v>7</v>
      </c>
      <c r="X319" s="243">
        <v>30</v>
      </c>
      <c r="Y319" s="257">
        <f ca="1">(365+BDD[[#This Row],[D.PAG.V.]]+BDD[[#This Row],[D.AG.]])/365</f>
        <v>1.1013698630136985</v>
      </c>
      <c r="Z319" s="243">
        <f ca="1">BDD[[#This Row],[SUE DIA]]*BDD[[#This Row],[FACTOR SDI]]</f>
        <v>273.32328767123283</v>
      </c>
      <c r="AA319" s="243">
        <f>BDD[[#This Row],[SUE DIA]]/9</f>
        <v>27.574074074074073</v>
      </c>
      <c r="AB319" s="251">
        <v>35824</v>
      </c>
      <c r="AC319" s="251" t="s">
        <v>890</v>
      </c>
      <c r="AD319" s="251" t="s">
        <v>787</v>
      </c>
      <c r="AE319" s="252">
        <v>8499468079</v>
      </c>
      <c r="AF319" s="251" t="s">
        <v>1168</v>
      </c>
      <c r="AG319" s="251" t="s">
        <v>774</v>
      </c>
      <c r="AH319" s="251" t="s">
        <v>730</v>
      </c>
      <c r="AI319" s="243" t="s">
        <v>151</v>
      </c>
      <c r="AJ319" s="258" cm="1">
        <f t="array" aca="1" ref="AJ319" ca="1">DATE(YEAR(FECH.CONS[FECHA DE CONSULTA:]),MONTH(BDD[[#This Row],[FECHA NAC]]),DAY(BDD[[#This Row],[FECHA NAC]]))</f>
        <v>44590</v>
      </c>
      <c r="AK319" s="243">
        <v>9</v>
      </c>
      <c r="AL319" s="261" t="s">
        <v>311</v>
      </c>
      <c r="AM319" s="251" t="s">
        <v>1534</v>
      </c>
      <c r="AN319" s="251" t="s">
        <v>1551</v>
      </c>
      <c r="AO319" s="245">
        <v>37</v>
      </c>
      <c r="AP319" s="251">
        <f ca="1">INT((TODAY()-BDD[[#This Row],[FECHA NAC]])/365)</f>
        <v>24</v>
      </c>
      <c r="AQ319" s="251">
        <v>3</v>
      </c>
      <c r="AR319" s="251">
        <f ca="1">IF(BDD[[#This Row],[ANTIG]]=0,0,1)</f>
        <v>1</v>
      </c>
      <c r="AS319" s="251"/>
      <c r="AT319" s="251"/>
      <c r="AU319" s="251"/>
      <c r="AV319" s="251"/>
      <c r="AW319" s="251"/>
      <c r="AX319" s="251"/>
      <c r="AY319" s="251"/>
      <c r="AZ319" s="251">
        <f t="shared" ca="1" si="16"/>
        <v>696</v>
      </c>
    </row>
    <row r="320" spans="2:52" x14ac:dyDescent="0.25">
      <c r="B320" s="243">
        <v>491</v>
      </c>
      <c r="C320" s="251" t="s">
        <v>418</v>
      </c>
      <c r="D320" s="252">
        <v>9450</v>
      </c>
      <c r="E320" s="252">
        <f>(BDD[[#This Row],[SUE MENS]]/30)</f>
        <v>315</v>
      </c>
      <c r="F320" s="252">
        <f>BDD[[#This Row],[SUE MENS]]/2</f>
        <v>4725</v>
      </c>
      <c r="G320" s="319">
        <v>43209</v>
      </c>
      <c r="H320" s="243">
        <f ca="1">INT(_xlfn.DAYS(TODAY(),BDD[[#This Row],[FECHA ING.]])/365)</f>
        <v>4</v>
      </c>
      <c r="I320" s="251" t="str">
        <f>VLOOKUP(J320,TABLAS!$B$3:$G$49,2,FALSE)</f>
        <v>AUDITORÍA</v>
      </c>
      <c r="J320" s="198" t="s">
        <v>736</v>
      </c>
      <c r="K320" s="251" t="s">
        <v>778</v>
      </c>
      <c r="L320" s="251" t="s">
        <v>763</v>
      </c>
      <c r="M320" s="251"/>
      <c r="N320" s="244" t="s">
        <v>2151</v>
      </c>
      <c r="O320" s="251" t="str">
        <f>IFERROR(VLOOKUP(BDD[[#This Row],[SUBDPTO]],TABLAS!$B$4:$D$36,3,0)," ")</f>
        <v>MARCO AURELIO URBINO</v>
      </c>
      <c r="P320" s="258">
        <v>43100</v>
      </c>
      <c r="Q320" s="254">
        <v>7360</v>
      </c>
      <c r="R320" s="255" t="s">
        <v>746</v>
      </c>
      <c r="S320" s="251"/>
      <c r="T320" s="251" t="s">
        <v>811</v>
      </c>
      <c r="U320" s="243">
        <f ca="1">VLOOKUP(BDD[[#This Row],[ANTIG]],DIASXANT18[#All],2)</f>
        <v>14</v>
      </c>
      <c r="V320" s="256">
        <f t="shared" si="19"/>
        <v>0.5</v>
      </c>
      <c r="W320" s="243">
        <f ca="1">BDD[[#This Row],[D.VAC.]]*BDD[[#This Row],[% P.V.]]</f>
        <v>7</v>
      </c>
      <c r="X320" s="243">
        <v>30</v>
      </c>
      <c r="Y320" s="257">
        <f ca="1">(365+BDD[[#This Row],[D.PAG.V.]]+BDD[[#This Row],[D.AG.]])/365</f>
        <v>1.1013698630136985</v>
      </c>
      <c r="Z320" s="243">
        <f ca="1">BDD[[#This Row],[SUE DIA]]*BDD[[#This Row],[FACTOR SDI]]</f>
        <v>346.93150684931504</v>
      </c>
      <c r="AA320" s="243">
        <f>BDD[[#This Row],[SUE DIA]]/9</f>
        <v>35</v>
      </c>
      <c r="AB320" s="251">
        <v>29889</v>
      </c>
      <c r="AC320" s="251" t="s">
        <v>883</v>
      </c>
      <c r="AD320" s="251" t="s">
        <v>810</v>
      </c>
      <c r="AE320" s="252">
        <v>8249393772</v>
      </c>
      <c r="AF320" s="251" t="s">
        <v>1282</v>
      </c>
      <c r="AG320" s="251" t="s">
        <v>776</v>
      </c>
      <c r="AH320" s="251" t="s">
        <v>730</v>
      </c>
      <c r="AI320" s="243" t="s">
        <v>151</v>
      </c>
      <c r="AJ320" s="258" cm="1">
        <f t="array" aca="1" ref="AJ320" ca="1">DATE(YEAR(FECH.CONS[FECHA DE CONSULTA:]),MONTH(BDD[[#This Row],[FECHA NAC]]),DAY(BDD[[#This Row],[FECHA NAC]]))</f>
        <v>44864</v>
      </c>
      <c r="AK320" s="243">
        <v>10</v>
      </c>
      <c r="AL320" s="251" t="s">
        <v>311</v>
      </c>
      <c r="AM320" s="251" t="s">
        <v>1537</v>
      </c>
      <c r="AN320" s="251" t="s">
        <v>1551</v>
      </c>
      <c r="AO320" s="245">
        <v>80</v>
      </c>
      <c r="AP320" s="251">
        <f ca="1">INT((TODAY()-BDD[[#This Row],[FECHA NAC]])/365)</f>
        <v>40</v>
      </c>
      <c r="AQ320" s="251">
        <v>3</v>
      </c>
      <c r="AR320" s="251">
        <f ca="1">IF(BDD[[#This Row],[ANTIG]]=0,0,1)</f>
        <v>1</v>
      </c>
      <c r="AS320" s="251"/>
      <c r="AT320" s="251"/>
      <c r="AU320" s="251"/>
      <c r="AV320" s="251"/>
      <c r="AW320" s="251"/>
      <c r="AX320" s="251"/>
      <c r="AY320" s="251"/>
      <c r="AZ320" s="251">
        <f t="shared" ca="1" si="16"/>
        <v>685</v>
      </c>
    </row>
    <row r="321" spans="2:52" x14ac:dyDescent="0.25">
      <c r="B321" s="246">
        <v>493</v>
      </c>
      <c r="C321" s="244" t="s">
        <v>1556</v>
      </c>
      <c r="D321" s="244">
        <v>6778</v>
      </c>
      <c r="E321" s="244">
        <f>(BDD[[#This Row],[SUE MENS]]/30)</f>
        <v>225.93333333333334</v>
      </c>
      <c r="F321" s="244">
        <f>BDD[[#This Row],[SUE MENS]]/2</f>
        <v>3389</v>
      </c>
      <c r="G321" s="320">
        <v>43222</v>
      </c>
      <c r="H321" s="244">
        <f ca="1">INT(_xlfn.DAYS(TODAY(),BDD[[#This Row],[FECHA ING.]])/365)</f>
        <v>4</v>
      </c>
      <c r="I321" s="251" t="str">
        <f>VLOOKUP(J321,TABLAS!$B$3:$G$49,2,FALSE)</f>
        <v>DIRECCIÓN</v>
      </c>
      <c r="J321" s="244" t="s">
        <v>745</v>
      </c>
      <c r="K321" s="244" t="s">
        <v>778</v>
      </c>
      <c r="L321" s="244" t="s">
        <v>763</v>
      </c>
      <c r="M321" s="244"/>
      <c r="N321" s="253" t="s">
        <v>1960</v>
      </c>
      <c r="O321" s="244" t="str">
        <f>IFERROR(VLOOKUP(BDD[[#This Row],[SUBDPTO]],TABLAS!$B$4:$D$36,3,0)," ")</f>
        <v>MARIANA RODRÍGUEZ GUTIERREZ</v>
      </c>
      <c r="P321" s="268"/>
      <c r="Q321" s="244"/>
      <c r="R321" s="244"/>
      <c r="S321" s="244"/>
      <c r="T321" s="244" t="s">
        <v>811</v>
      </c>
      <c r="U321" s="265">
        <f ca="1">VLOOKUP(BDD[[#This Row],[ANTIG]],DIASXANT18[#All],2)</f>
        <v>14</v>
      </c>
      <c r="V321" s="266">
        <v>0.25</v>
      </c>
      <c r="W321" s="265">
        <f ca="1">BDD[[#This Row],[D.VAC.]]*BDD[[#This Row],[% P.V.]]</f>
        <v>3.5</v>
      </c>
      <c r="X321" s="265">
        <v>15</v>
      </c>
      <c r="Y321" s="267">
        <f ca="1">(365+BDD[[#This Row],[D.PAG.V.]]+BDD[[#This Row],[D.AG.]])/365</f>
        <v>1.0506849315068494</v>
      </c>
      <c r="Z321" s="265">
        <f ca="1">BDD[[#This Row],[SUE DIA]]*BDD[[#This Row],[FACTOR SDI]]</f>
        <v>237.38474885844749</v>
      </c>
      <c r="AA321" s="265">
        <f>BDD[[#This Row],[SUE DIA]]/9</f>
        <v>25.103703703703705</v>
      </c>
      <c r="AB321" s="244">
        <v>35222</v>
      </c>
      <c r="AC321" s="244" t="s">
        <v>1608</v>
      </c>
      <c r="AD321" s="244" t="s">
        <v>787</v>
      </c>
      <c r="AE321" s="244">
        <v>5554879496</v>
      </c>
      <c r="AF321" s="244" t="s">
        <v>1557</v>
      </c>
      <c r="AG321" s="244" t="s">
        <v>777</v>
      </c>
      <c r="AH321" s="244" t="s">
        <v>1555</v>
      </c>
      <c r="AI321" s="244" t="s">
        <v>151</v>
      </c>
      <c r="AJ321" s="268" cm="1">
        <f t="array" aca="1" ref="AJ321" ca="1">DATE(YEAR(FECH.CONS[FECHA DE CONSULTA:]),MONTH(BDD[[#This Row],[FECHA NAC]]),DAY(BDD[[#This Row],[FECHA NAC]]))</f>
        <v>44718</v>
      </c>
      <c r="AK321" s="244">
        <v>0</v>
      </c>
      <c r="AL321" s="244" t="s">
        <v>312</v>
      </c>
      <c r="AM321" s="244" t="s">
        <v>1558</v>
      </c>
      <c r="AN321" s="244" t="s">
        <v>1559</v>
      </c>
      <c r="AO321" s="244">
        <v>50</v>
      </c>
      <c r="AP321" s="244">
        <f ca="1">INT((TODAY()-BDD[[#This Row],[FECHA NAC]])/365)</f>
        <v>26</v>
      </c>
      <c r="AQ321" s="244">
        <v>1</v>
      </c>
      <c r="AR321" s="244">
        <f ca="1">IF(BDD[[#This Row],[ANTIG]]=0,0,1)</f>
        <v>1</v>
      </c>
      <c r="AS321" s="244"/>
      <c r="AT321" s="244"/>
      <c r="AU321" s="244"/>
      <c r="AV321" s="244"/>
      <c r="AW321" s="244"/>
      <c r="AX321" s="244"/>
      <c r="AY321" s="244"/>
      <c r="AZ321" s="244">
        <f t="shared" ca="1" si="16"/>
        <v>215</v>
      </c>
    </row>
    <row r="322" spans="2:52" x14ac:dyDescent="0.25">
      <c r="B322" s="243">
        <v>494</v>
      </c>
      <c r="C322" s="251" t="s">
        <v>284</v>
      </c>
      <c r="D322" s="252">
        <v>27150</v>
      </c>
      <c r="E322" s="252">
        <f>(BDD[[#This Row],[SUE MENS]]/30)</f>
        <v>905</v>
      </c>
      <c r="F322" s="252">
        <f>BDD[[#This Row],[SUE MENS]]/2</f>
        <v>13575</v>
      </c>
      <c r="G322" s="320">
        <v>43222</v>
      </c>
      <c r="H322" s="243">
        <f ca="1">INT(_xlfn.DAYS(TODAY(),BDD[[#This Row],[FECHA ING.]])/365)</f>
        <v>4</v>
      </c>
      <c r="I322" s="251" t="str">
        <f>VLOOKUP(J322,TABLAS!$B$3:$G$49,2,FALSE)</f>
        <v>TECNOLOGÍA</v>
      </c>
      <c r="J322" s="198" t="s">
        <v>751</v>
      </c>
      <c r="K322" s="251" t="s">
        <v>761</v>
      </c>
      <c r="L322" s="251" t="s">
        <v>763</v>
      </c>
      <c r="M322" s="251">
        <v>1087</v>
      </c>
      <c r="N322" s="253" t="s">
        <v>1807</v>
      </c>
      <c r="O322" s="251" t="str">
        <f>IFERROR(VLOOKUP(BDD[[#This Row],[SUBDPTO]],TABLAS!$B$4:$D$36,3,0)," ")</f>
        <v>DENEB SANTIAGO ALTAIR VEGA</v>
      </c>
      <c r="P322" s="258">
        <f>BDD[[#This Row],[FECHA ING.]]+1200</f>
        <v>44422</v>
      </c>
      <c r="Q322" s="254">
        <v>18830</v>
      </c>
      <c r="R322" s="251" t="s">
        <v>736</v>
      </c>
      <c r="S322" s="251"/>
      <c r="T322" s="251" t="s">
        <v>811</v>
      </c>
      <c r="U322" s="243">
        <f ca="1">VLOOKUP(BDD[[#This Row],[ANTIG]],DIASXANT18[#All],2)</f>
        <v>14</v>
      </c>
      <c r="V322" s="256">
        <f t="shared" ref="V322:V327" si="20">100/200</f>
        <v>0.5</v>
      </c>
      <c r="W322" s="243">
        <f ca="1">BDD[[#This Row],[D.VAC.]]*BDD[[#This Row],[% P.V.]]</f>
        <v>7</v>
      </c>
      <c r="X322" s="243">
        <v>30</v>
      </c>
      <c r="Y322" s="257">
        <f ca="1">(365+BDD[[#This Row],[D.PAG.V.]]+BDD[[#This Row],[D.AG.]])/365</f>
        <v>1.1013698630136985</v>
      </c>
      <c r="Z322" s="243">
        <f ca="1">BDD[[#This Row],[SUE DIA]]*BDD[[#This Row],[FACTOR SDI]]</f>
        <v>996.73972602739718</v>
      </c>
      <c r="AA322" s="243">
        <f>BDD[[#This Row],[SUE DIA]]/9</f>
        <v>100.55555555555556</v>
      </c>
      <c r="AB322" s="251">
        <v>35846</v>
      </c>
      <c r="AC322" s="251" t="s">
        <v>998</v>
      </c>
      <c r="AD322" s="251" t="s">
        <v>787</v>
      </c>
      <c r="AE322" s="252">
        <v>8484485439</v>
      </c>
      <c r="AF322" s="251" t="s">
        <v>1296</v>
      </c>
      <c r="AG322" s="251" t="s">
        <v>776</v>
      </c>
      <c r="AH322" s="251" t="s">
        <v>727</v>
      </c>
      <c r="AI322" s="243" t="s">
        <v>151</v>
      </c>
      <c r="AJ322" s="258" cm="1">
        <f t="array" aca="1" ref="AJ322" ca="1">DATE(YEAR(FECH.CONS[FECHA DE CONSULTA:]),MONTH(BDD[[#This Row],[FECHA NAC]]),DAY(BDD[[#This Row],[FECHA NAC]]))</f>
        <v>44612</v>
      </c>
      <c r="AK322" s="243"/>
      <c r="AL322" s="261" t="s">
        <v>311</v>
      </c>
      <c r="AM322" s="251" t="s">
        <v>1547</v>
      </c>
      <c r="AN322" s="251" t="s">
        <v>1554</v>
      </c>
      <c r="AO322" s="245">
        <v>76</v>
      </c>
      <c r="AP322" s="251">
        <f ca="1">INT((TODAY()-BDD[[#This Row],[FECHA NAC]])/365)</f>
        <v>24</v>
      </c>
      <c r="AQ322" s="251">
        <v>0</v>
      </c>
      <c r="AR322" s="251">
        <f ca="1">IF(BDD[[#This Row],[ANTIG]]=0,0,1)</f>
        <v>1</v>
      </c>
      <c r="AS322" s="251"/>
      <c r="AT322" s="251"/>
      <c r="AU322" s="251"/>
      <c r="AV322" s="251"/>
      <c r="AW322" s="251"/>
      <c r="AX322" s="251"/>
      <c r="AY322" s="251"/>
      <c r="AZ322" s="251">
        <f t="shared" ca="1" si="16"/>
        <v>735</v>
      </c>
    </row>
    <row r="323" spans="2:52" x14ac:dyDescent="0.25">
      <c r="B323" s="243">
        <v>495</v>
      </c>
      <c r="C323" s="251" t="s">
        <v>177</v>
      </c>
      <c r="D323" s="263">
        <v>7445</v>
      </c>
      <c r="E323" s="252">
        <f>(BDD[[#This Row],[SUE MENS]]/30)</f>
        <v>248.16666666666666</v>
      </c>
      <c r="F323" s="252">
        <f>BDD[[#This Row],[SUE MENS]]/2</f>
        <v>3722.5</v>
      </c>
      <c r="G323" s="320">
        <v>43236</v>
      </c>
      <c r="H323" s="243">
        <f ca="1">INT(_xlfn.DAYS(TODAY(),BDD[[#This Row],[FECHA ING.]])/365)</f>
        <v>4</v>
      </c>
      <c r="I323" s="251" t="str">
        <f>VLOOKUP(J323,TABLAS!$B$3:$G$49,2,FALSE)</f>
        <v>DIV ARQUIT</v>
      </c>
      <c r="J323" s="198" t="s">
        <v>740</v>
      </c>
      <c r="K323" s="251" t="s">
        <v>778</v>
      </c>
      <c r="L323" s="251" t="s">
        <v>763</v>
      </c>
      <c r="M323" s="251"/>
      <c r="N323" s="244" t="s">
        <v>1912</v>
      </c>
      <c r="O323" s="251" t="str">
        <f>IFERROR(VLOOKUP(BDD[[#This Row],[SUBDPTO]],TABLAS!$B$4:$D$36,3,0)," ")</f>
        <v>MÉRIDA ISELA MEDINA SALINAS</v>
      </c>
      <c r="P323" s="258">
        <v>43563</v>
      </c>
      <c r="Q323" s="254">
        <v>5088</v>
      </c>
      <c r="R323" s="255" t="s">
        <v>740</v>
      </c>
      <c r="S323" s="251"/>
      <c r="T323" s="251" t="s">
        <v>811</v>
      </c>
      <c r="U323" s="243">
        <f ca="1">VLOOKUP(BDD[[#This Row],[ANTIG]],DIASXANT18[#All],2)</f>
        <v>14</v>
      </c>
      <c r="V323" s="256">
        <f t="shared" si="20"/>
        <v>0.5</v>
      </c>
      <c r="W323" s="243">
        <f ca="1">BDD[[#This Row],[D.VAC.]]*BDD[[#This Row],[% P.V.]]</f>
        <v>7</v>
      </c>
      <c r="X323" s="243">
        <v>30</v>
      </c>
      <c r="Y323" s="257">
        <f ca="1">(365+BDD[[#This Row],[D.PAG.V.]]+BDD[[#This Row],[D.AG.]])/365</f>
        <v>1.1013698630136985</v>
      </c>
      <c r="Z323" s="243">
        <f ca="1">BDD[[#This Row],[SUE DIA]]*BDD[[#This Row],[FACTOR SDI]]</f>
        <v>273.32328767123283</v>
      </c>
      <c r="AA323" s="243">
        <f>BDD[[#This Row],[SUE DIA]]/9</f>
        <v>27.574074074074073</v>
      </c>
      <c r="AB323" s="251">
        <v>31995</v>
      </c>
      <c r="AC323" s="251" t="s">
        <v>963</v>
      </c>
      <c r="AD323" s="251" t="s">
        <v>787</v>
      </c>
      <c r="AE323" s="252">
        <v>8806001054</v>
      </c>
      <c r="AF323" s="251" t="s">
        <v>1188</v>
      </c>
      <c r="AG323" s="251" t="s">
        <v>776</v>
      </c>
      <c r="AH323" s="251" t="s">
        <v>730</v>
      </c>
      <c r="AI323" s="243" t="s">
        <v>151</v>
      </c>
      <c r="AJ323" s="258" cm="1">
        <f t="array" aca="1" ref="AJ323" ca="1">DATE(YEAR(FECH.CONS[FECHA DE CONSULTA:]),MONTH(BDD[[#This Row],[FECHA NAC]]),DAY(BDD[[#This Row],[FECHA NAC]]))</f>
        <v>44779</v>
      </c>
      <c r="AK323" s="243">
        <v>9</v>
      </c>
      <c r="AL323" s="261" t="s">
        <v>311</v>
      </c>
      <c r="AM323" s="251" t="s">
        <v>1543</v>
      </c>
      <c r="AN323" s="251" t="s">
        <v>1551</v>
      </c>
      <c r="AO323" s="245">
        <v>30</v>
      </c>
      <c r="AP323" s="251">
        <f ca="1">INT((TODAY()-BDD[[#This Row],[FECHA NAC]])/365)</f>
        <v>34</v>
      </c>
      <c r="AQ323" s="251">
        <v>0</v>
      </c>
      <c r="AR323" s="251">
        <f ca="1">IF(BDD[[#This Row],[ANTIG]]=0,0,1)</f>
        <v>1</v>
      </c>
      <c r="AS323" s="251"/>
      <c r="AT323" s="251"/>
      <c r="AU323" s="251"/>
      <c r="AV323" s="251"/>
      <c r="AW323" s="251"/>
      <c r="AX323" s="251"/>
      <c r="AY323" s="251"/>
      <c r="AZ323" s="251">
        <f t="shared" ca="1" si="16"/>
        <v>404</v>
      </c>
    </row>
    <row r="324" spans="2:52" x14ac:dyDescent="0.25">
      <c r="B324" s="243">
        <v>496</v>
      </c>
      <c r="C324" s="259" t="s">
        <v>556</v>
      </c>
      <c r="D324" s="252">
        <v>7445</v>
      </c>
      <c r="E324" s="252">
        <f>(BDD[[#This Row],[SUE MENS]]/30)</f>
        <v>248.16666666666666</v>
      </c>
      <c r="F324" s="252">
        <f>BDD[[#This Row],[SUE MENS]]/2</f>
        <v>3722.5</v>
      </c>
      <c r="G324" s="320">
        <v>43264</v>
      </c>
      <c r="H324" s="243">
        <f ca="1">INT(_xlfn.DAYS(TODAY(),BDD[[#This Row],[FECHA ING.]])/365)</f>
        <v>4</v>
      </c>
      <c r="I324" s="251" t="str">
        <f>VLOOKUP(J324,TABLAS!$B$3:$G$49,2,FALSE)</f>
        <v>DIV INGENRIA</v>
      </c>
      <c r="J324" s="198" t="s">
        <v>756</v>
      </c>
      <c r="K324" s="251" t="s">
        <v>778</v>
      </c>
      <c r="L324" s="251" t="s">
        <v>763</v>
      </c>
      <c r="M324" s="251"/>
      <c r="N324" s="253" t="s">
        <v>1910</v>
      </c>
      <c r="O324" s="251" t="str">
        <f>IFERROR(VLOOKUP(BDD[[#This Row],[SUBDPTO]],TABLAS!$B$4:$D$36,3,0)," ")</f>
        <v>DIEGO HERRERA GIRÓN</v>
      </c>
      <c r="P324" s="258"/>
      <c r="Q324" s="264"/>
      <c r="R324" s="244"/>
      <c r="S324" s="251"/>
      <c r="T324" s="251" t="s">
        <v>811</v>
      </c>
      <c r="U324" s="243">
        <f ca="1">VLOOKUP(BDD[[#This Row],[ANTIG]],DIASXANT18[#All],2)</f>
        <v>14</v>
      </c>
      <c r="V324" s="256">
        <f t="shared" si="20"/>
        <v>0.5</v>
      </c>
      <c r="W324" s="243">
        <f ca="1">BDD[[#This Row],[D.VAC.]]*BDD[[#This Row],[% P.V.]]</f>
        <v>7</v>
      </c>
      <c r="X324" s="243">
        <v>30</v>
      </c>
      <c r="Y324" s="257">
        <f ca="1">(365+BDD[[#This Row],[D.PAG.V.]]+BDD[[#This Row],[D.AG.]])/365</f>
        <v>1.1013698630136985</v>
      </c>
      <c r="Z324" s="243">
        <f ca="1">BDD[[#This Row],[SUE DIA]]*BDD[[#This Row],[FACTOR SDI]]</f>
        <v>273.32328767123283</v>
      </c>
      <c r="AA324" s="243">
        <f>BDD[[#This Row],[SUE DIA]]/9</f>
        <v>27.574074074074073</v>
      </c>
      <c r="AB324" s="251">
        <v>33500</v>
      </c>
      <c r="AC324" s="251" t="s">
        <v>1045</v>
      </c>
      <c r="AD324" s="251" t="s">
        <v>790</v>
      </c>
      <c r="AE324" s="260">
        <v>5587549642</v>
      </c>
      <c r="AF324" s="251" t="s">
        <v>1420</v>
      </c>
      <c r="AG324" s="251" t="s">
        <v>773</v>
      </c>
      <c r="AH324" s="251" t="s">
        <v>726</v>
      </c>
      <c r="AI324" s="243" t="s">
        <v>151</v>
      </c>
      <c r="AJ324" s="258" cm="1">
        <f t="array" aca="1" ref="AJ324" ca="1">DATE(YEAR(FECH.CONS[FECHA DE CONSULTA:]),MONTH(BDD[[#This Row],[FECHA NAC]]),DAY(BDD[[#This Row],[FECHA NAC]]))</f>
        <v>44823</v>
      </c>
      <c r="AK324" s="243"/>
      <c r="AL324" s="261" t="s">
        <v>311</v>
      </c>
      <c r="AM324" s="251" t="s">
        <v>1538</v>
      </c>
      <c r="AN324" s="251" t="s">
        <v>1551</v>
      </c>
      <c r="AO324" s="245">
        <v>32</v>
      </c>
      <c r="AP324" s="251">
        <f ca="1">INT((TODAY()-BDD[[#This Row],[FECHA NAC]])/365)</f>
        <v>30</v>
      </c>
      <c r="AQ324" s="251">
        <v>0</v>
      </c>
      <c r="AR324" s="251">
        <f ca="1">IF(BDD[[#This Row],[ANTIG]]=0,0,1)</f>
        <v>1</v>
      </c>
      <c r="AS324" s="251"/>
      <c r="AT324" s="251"/>
      <c r="AU324" s="251"/>
      <c r="AV324" s="251"/>
      <c r="AW324" s="251"/>
      <c r="AX324" s="251"/>
      <c r="AY324" s="251"/>
      <c r="AZ324" s="251">
        <f t="shared" ca="1" si="16"/>
        <v>770</v>
      </c>
    </row>
    <row r="325" spans="2:52" x14ac:dyDescent="0.25">
      <c r="B325" s="243">
        <v>497</v>
      </c>
      <c r="C325" s="251" t="s">
        <v>819</v>
      </c>
      <c r="D325" s="252">
        <v>7445</v>
      </c>
      <c r="E325" s="252">
        <f>(BDD[[#This Row],[SUE MENS]]/30)</f>
        <v>248.16666666666666</v>
      </c>
      <c r="F325" s="252">
        <f>BDD[[#This Row],[SUE MENS]]/2</f>
        <v>3722.5</v>
      </c>
      <c r="G325" s="319">
        <v>43268</v>
      </c>
      <c r="H325" s="243">
        <f ca="1">INT(_xlfn.DAYS(TODAY(),BDD[[#This Row],[FECHA ING.]])/365)</f>
        <v>4</v>
      </c>
      <c r="I325" s="251" t="str">
        <f>VLOOKUP(J325,TABLAS!$B$3:$G$49,2,FALSE)</f>
        <v>AUDITORÍA</v>
      </c>
      <c r="J325" s="198" t="s">
        <v>736</v>
      </c>
      <c r="K325" s="251" t="s">
        <v>778</v>
      </c>
      <c r="L325" s="251" t="s">
        <v>763</v>
      </c>
      <c r="M325" s="251"/>
      <c r="N325" s="244" t="s">
        <v>1854</v>
      </c>
      <c r="O325" s="251" t="str">
        <f>IFERROR(VLOOKUP(BDD[[#This Row],[SUBDPTO]],TABLAS!$B$4:$D$36,3,0)," ")</f>
        <v>MARCO AURELIO URBINO</v>
      </c>
      <c r="P325" s="258"/>
      <c r="Q325" s="264"/>
      <c r="R325" s="244"/>
      <c r="S325" s="251"/>
      <c r="T325" s="251" t="s">
        <v>811</v>
      </c>
      <c r="U325" s="243">
        <f ca="1">VLOOKUP(BDD[[#This Row],[ANTIG]],DIASXANT18[#All],2)</f>
        <v>14</v>
      </c>
      <c r="V325" s="256">
        <f t="shared" si="20"/>
        <v>0.5</v>
      </c>
      <c r="W325" s="243">
        <f ca="1">BDD[[#This Row],[D.VAC.]]*BDD[[#This Row],[% P.V.]]</f>
        <v>7</v>
      </c>
      <c r="X325" s="243">
        <v>30</v>
      </c>
      <c r="Y325" s="257">
        <f ca="1">(365+BDD[[#This Row],[D.PAG.V.]]+BDD[[#This Row],[D.AG.]])/365</f>
        <v>1.1013698630136985</v>
      </c>
      <c r="Z325" s="243">
        <f ca="1">BDD[[#This Row],[SUE DIA]]*BDD[[#This Row],[FACTOR SDI]]</f>
        <v>273.32328767123283</v>
      </c>
      <c r="AA325" s="243">
        <f>BDD[[#This Row],[SUE DIA]]/9</f>
        <v>27.574074074074073</v>
      </c>
      <c r="AB325" s="251">
        <v>34508</v>
      </c>
      <c r="AC325" s="251" t="s">
        <v>958</v>
      </c>
      <c r="AD325" s="251" t="s">
        <v>786</v>
      </c>
      <c r="AE325" s="252">
        <v>3315698420</v>
      </c>
      <c r="AF325" s="251" t="s">
        <v>1182</v>
      </c>
      <c r="AG325" s="251" t="s">
        <v>776</v>
      </c>
      <c r="AH325" s="251" t="s">
        <v>730</v>
      </c>
      <c r="AI325" s="243" t="s">
        <v>151</v>
      </c>
      <c r="AJ325" s="258" cm="1">
        <f t="array" aca="1" ref="AJ325" ca="1">DATE(YEAR(FECH.CONS[FECHA DE CONSULTA:]),MONTH(BDD[[#This Row],[FECHA NAC]]),DAY(BDD[[#This Row],[FECHA NAC]]))</f>
        <v>44735</v>
      </c>
      <c r="AK325" s="243">
        <v>9</v>
      </c>
      <c r="AL325" s="261" t="s">
        <v>311</v>
      </c>
      <c r="AM325" s="251" t="s">
        <v>1535</v>
      </c>
      <c r="AN325" s="251" t="s">
        <v>1551</v>
      </c>
      <c r="AO325" s="245">
        <v>46</v>
      </c>
      <c r="AP325" s="251">
        <f ca="1">INT((TODAY()-BDD[[#This Row],[FECHA NAC]])/365)</f>
        <v>28</v>
      </c>
      <c r="AQ325" s="251">
        <v>0</v>
      </c>
      <c r="AR325" s="251">
        <f ca="1">IF(BDD[[#This Row],[ANTIG]]=0,0,1)</f>
        <v>1</v>
      </c>
      <c r="AS325" s="251"/>
      <c r="AT325" s="251"/>
      <c r="AU325" s="251"/>
      <c r="AV325" s="251"/>
      <c r="AW325" s="251"/>
      <c r="AX325" s="251"/>
      <c r="AY325" s="251"/>
      <c r="AZ325" s="251">
        <f t="shared" ca="1" si="16"/>
        <v>324</v>
      </c>
    </row>
    <row r="326" spans="2:52" x14ac:dyDescent="0.25">
      <c r="B326" s="243">
        <v>498</v>
      </c>
      <c r="C326" s="262" t="s">
        <v>366</v>
      </c>
      <c r="D326" s="252">
        <v>8825</v>
      </c>
      <c r="E326" s="252">
        <f>(BDD[[#This Row],[SUE MENS]]/30)</f>
        <v>294.16666666666669</v>
      </c>
      <c r="F326" s="252">
        <f>BDD[[#This Row],[SUE MENS]]/2</f>
        <v>4412.5</v>
      </c>
      <c r="G326" s="320">
        <v>43268</v>
      </c>
      <c r="H326" s="243">
        <f ca="1">INT(_xlfn.DAYS(TODAY(),BDD[[#This Row],[FECHA ING.]])/365)</f>
        <v>4</v>
      </c>
      <c r="I326" s="251" t="str">
        <f>VLOOKUP(J326,TABLAS!$B$3:$G$49,2,FALSE)</f>
        <v>AUDITORÍA</v>
      </c>
      <c r="J326" s="198" t="s">
        <v>736</v>
      </c>
      <c r="K326" s="251" t="s">
        <v>778</v>
      </c>
      <c r="L326" s="251" t="s">
        <v>763</v>
      </c>
      <c r="M326" s="251"/>
      <c r="N326" s="244" t="s">
        <v>2083</v>
      </c>
      <c r="O326" s="251" t="str">
        <f>IFERROR(VLOOKUP(BDD[[#This Row],[SUBDPTO]],TABLAS!$B$4:$D$36,3,0)," ")</f>
        <v>MARCO AURELIO URBINO</v>
      </c>
      <c r="P326" s="258">
        <v>44073</v>
      </c>
      <c r="Q326" s="264">
        <f>D315*0.8</f>
        <v>7632.8</v>
      </c>
      <c r="R326" s="255" t="s">
        <v>736</v>
      </c>
      <c r="S326" s="251"/>
      <c r="T326" s="251" t="s">
        <v>811</v>
      </c>
      <c r="U326" s="243">
        <f ca="1">VLOOKUP(BDD[[#This Row],[ANTIG]],DIASXANT18[#All],2)</f>
        <v>14</v>
      </c>
      <c r="V326" s="256">
        <f t="shared" si="20"/>
        <v>0.5</v>
      </c>
      <c r="W326" s="243">
        <f ca="1">BDD[[#This Row],[D.VAC.]]*BDD[[#This Row],[% P.V.]]</f>
        <v>7</v>
      </c>
      <c r="X326" s="243">
        <v>30</v>
      </c>
      <c r="Y326" s="257">
        <f ca="1">(365+BDD[[#This Row],[D.PAG.V.]]+BDD[[#This Row],[D.AG.]])/365</f>
        <v>1.1013698630136985</v>
      </c>
      <c r="Z326" s="243">
        <f ca="1">BDD[[#This Row],[SUE DIA]]*BDD[[#This Row],[FACTOR SDI]]</f>
        <v>323.98630136986299</v>
      </c>
      <c r="AA326" s="243">
        <f>BDD[[#This Row],[SUE DIA]]/9</f>
        <v>32.68518518518519</v>
      </c>
      <c r="AB326" s="251">
        <v>36001</v>
      </c>
      <c r="AC326" s="251" t="s">
        <v>1038</v>
      </c>
      <c r="AD326" s="251" t="s">
        <v>789</v>
      </c>
      <c r="AE326" s="252">
        <v>8056296487.5</v>
      </c>
      <c r="AF326" s="251" t="s">
        <v>1346</v>
      </c>
      <c r="AG326" s="251" t="s">
        <v>776</v>
      </c>
      <c r="AH326" s="251" t="s">
        <v>1555</v>
      </c>
      <c r="AI326" s="243" t="s">
        <v>151</v>
      </c>
      <c r="AJ326" s="258" cm="1">
        <f t="array" aca="1" ref="AJ326" ca="1">DATE(YEAR(FECH.CONS[FECHA DE CONSULTA:]),MONTH(BDD[[#This Row],[FECHA NAC]]),DAY(BDD[[#This Row],[FECHA NAC]]))</f>
        <v>44767</v>
      </c>
      <c r="AK326" s="243">
        <v>10</v>
      </c>
      <c r="AL326" s="251" t="s">
        <v>311</v>
      </c>
      <c r="AM326" s="251" t="s">
        <v>1537</v>
      </c>
      <c r="AN326" s="251" t="s">
        <v>1551</v>
      </c>
      <c r="AO326" s="245">
        <v>83</v>
      </c>
      <c r="AP326" s="251">
        <f ca="1">INT((TODAY()-BDD[[#This Row],[FECHA NAC]])/365)</f>
        <v>23</v>
      </c>
      <c r="AQ326" s="251">
        <v>3</v>
      </c>
      <c r="AR326" s="251">
        <f ca="1">IF(BDD[[#This Row],[ANTIG]]=0,0,1)</f>
        <v>1</v>
      </c>
      <c r="AS326" s="251"/>
      <c r="AT326" s="251"/>
      <c r="AU326" s="251"/>
      <c r="AV326" s="251"/>
      <c r="AW326" s="251"/>
      <c r="AX326" s="251"/>
      <c r="AY326" s="251"/>
      <c r="AZ326" s="251">
        <f t="shared" ca="1" si="16"/>
        <v>648</v>
      </c>
    </row>
    <row r="327" spans="2:52" x14ac:dyDescent="0.25">
      <c r="B327" s="243">
        <v>500</v>
      </c>
      <c r="C327" s="259" t="s">
        <v>577</v>
      </c>
      <c r="D327" s="252">
        <v>9541</v>
      </c>
      <c r="E327" s="252">
        <f>(BDD[[#This Row],[SUE MENS]]/30)</f>
        <v>318.03333333333336</v>
      </c>
      <c r="F327" s="252">
        <f>BDD[[#This Row],[SUE MENS]]/2</f>
        <v>4770.5</v>
      </c>
      <c r="G327" s="319">
        <v>43269</v>
      </c>
      <c r="H327" s="243">
        <f ca="1">INT(_xlfn.DAYS(TODAY(),BDD[[#This Row],[FECHA ING.]])/365)</f>
        <v>4</v>
      </c>
      <c r="I327" s="251" t="str">
        <f>VLOOKUP(J327,TABLAS!$B$3:$G$49,2,FALSE)</f>
        <v>DIRECCIÓN</v>
      </c>
      <c r="J327" s="198" t="s">
        <v>759</v>
      </c>
      <c r="K327" s="251" t="s">
        <v>778</v>
      </c>
      <c r="L327" s="251" t="s">
        <v>763</v>
      </c>
      <c r="M327" s="251"/>
      <c r="N327" s="244" t="s">
        <v>2020</v>
      </c>
      <c r="O327" s="251" t="str">
        <f>IFERROR(VLOOKUP(BDD[[#This Row],[SUBDPTO]],TABLAS!$B$4:$D$36,3,0)," ")</f>
        <v>MARIANA RODRÍGUEZ GUTIERREZ</v>
      </c>
      <c r="P327" s="258">
        <v>43204</v>
      </c>
      <c r="Q327" s="254">
        <v>3888</v>
      </c>
      <c r="R327" s="255" t="s">
        <v>734</v>
      </c>
      <c r="S327" s="251"/>
      <c r="T327" s="251" t="s">
        <v>811</v>
      </c>
      <c r="U327" s="243">
        <f ca="1">VLOOKUP(BDD[[#This Row],[ANTIG]],DIASXANT18[#All],2)</f>
        <v>14</v>
      </c>
      <c r="V327" s="256">
        <f t="shared" si="20"/>
        <v>0.5</v>
      </c>
      <c r="W327" s="243">
        <f ca="1">BDD[[#This Row],[D.VAC.]]*BDD[[#This Row],[% P.V.]]</f>
        <v>7</v>
      </c>
      <c r="X327" s="243">
        <v>30</v>
      </c>
      <c r="Y327" s="257">
        <f ca="1">(365+BDD[[#This Row],[D.PAG.V.]]+BDD[[#This Row],[D.AG.]])/365</f>
        <v>1.1013698630136985</v>
      </c>
      <c r="Z327" s="243">
        <f ca="1">BDD[[#This Row],[SUE DIA]]*BDD[[#This Row],[FACTOR SDI]]</f>
        <v>350.27232876712327</v>
      </c>
      <c r="AA327" s="243">
        <f>BDD[[#This Row],[SUE DIA]]/9</f>
        <v>35.337037037037042</v>
      </c>
      <c r="AB327" s="251">
        <v>32658</v>
      </c>
      <c r="AC327" s="251" t="s">
        <v>873</v>
      </c>
      <c r="AD327" s="251" t="s">
        <v>809</v>
      </c>
      <c r="AE327" s="260">
        <v>4547518943</v>
      </c>
      <c r="AF327" s="251" t="s">
        <v>1438</v>
      </c>
      <c r="AG327" s="251" t="s">
        <v>774</v>
      </c>
      <c r="AH327" s="251" t="s">
        <v>730</v>
      </c>
      <c r="AI327" s="243" t="s">
        <v>151</v>
      </c>
      <c r="AJ327" s="258" cm="1">
        <f t="array" aca="1" ref="AJ327" ca="1">DATE(YEAR(FECH.CONS[FECHA DE CONSULTA:]),MONTH(BDD[[#This Row],[FECHA NAC]]),DAY(BDD[[#This Row],[FECHA NAC]]))</f>
        <v>44711</v>
      </c>
      <c r="AK327" s="243">
        <v>6</v>
      </c>
      <c r="AL327" s="261" t="s">
        <v>311</v>
      </c>
      <c r="AM327" s="251" t="s">
        <v>1537</v>
      </c>
      <c r="AN327" s="251" t="s">
        <v>1551</v>
      </c>
      <c r="AO327" s="245">
        <v>30</v>
      </c>
      <c r="AP327" s="251">
        <f ca="1">INT((TODAY()-BDD[[#This Row],[FECHA NAC]])/365)</f>
        <v>33</v>
      </c>
      <c r="AQ327" s="251">
        <v>2</v>
      </c>
      <c r="AR327" s="251">
        <f ca="1">IF(BDD[[#This Row],[ANTIG]]=0,0,1)</f>
        <v>1</v>
      </c>
      <c r="AS327" s="251"/>
      <c r="AT327" s="251"/>
      <c r="AU327" s="251"/>
      <c r="AV327" s="251"/>
      <c r="AW327" s="251"/>
      <c r="AX327" s="251"/>
      <c r="AY327" s="251"/>
      <c r="AZ327" s="251">
        <f t="shared" ca="1" si="16"/>
        <v>524</v>
      </c>
    </row>
    <row r="328" spans="2:52" x14ac:dyDescent="0.25">
      <c r="B328" s="243">
        <v>501</v>
      </c>
      <c r="C328" s="259" t="s">
        <v>703</v>
      </c>
      <c r="D328" s="244">
        <v>6778</v>
      </c>
      <c r="E328" s="252">
        <f>(BDD[[#This Row],[SUE MENS]]/30)</f>
        <v>225.93333333333334</v>
      </c>
      <c r="F328" s="252">
        <f>BDD[[#This Row],[SUE MENS]]/2</f>
        <v>3389</v>
      </c>
      <c r="G328" s="320">
        <v>43277</v>
      </c>
      <c r="H328" s="243">
        <f ca="1">INT(_xlfn.DAYS(TODAY(),BDD[[#This Row],[FECHA ING.]])/365)</f>
        <v>4</v>
      </c>
      <c r="I328" s="251" t="str">
        <f>VLOOKUP(J328,TABLAS!$B$3:$G$49,2,FALSE)</f>
        <v>CONTABILIDAD</v>
      </c>
      <c r="J328" s="198" t="s">
        <v>737</v>
      </c>
      <c r="K328" s="251" t="s">
        <v>778</v>
      </c>
      <c r="L328" s="251" t="s">
        <v>763</v>
      </c>
      <c r="M328" s="251"/>
      <c r="N328" s="253" t="s">
        <v>1800</v>
      </c>
      <c r="O328" s="251" t="str">
        <f>IFERROR(VLOOKUP(BDD[[#This Row],[SUBDPTO]],TABLAS!$B$4:$D$36,3,0)," ")</f>
        <v>IRIE DALÍ ANTARES CORTÉS</v>
      </c>
      <c r="P328" s="258"/>
      <c r="Q328" s="264"/>
      <c r="R328" s="244"/>
      <c r="S328" s="251"/>
      <c r="T328" s="251" t="s">
        <v>811</v>
      </c>
      <c r="U328" s="243">
        <f ca="1">VLOOKUP(BDD[[#This Row],[ANTIG]],DIASXANT18[#All],2)</f>
        <v>14</v>
      </c>
      <c r="V328" s="266">
        <v>0.25</v>
      </c>
      <c r="W328" s="243">
        <f ca="1">BDD[[#This Row],[D.VAC.]]*BDD[[#This Row],[% P.V.]]</f>
        <v>3.5</v>
      </c>
      <c r="X328" s="265">
        <v>15</v>
      </c>
      <c r="Y328" s="257">
        <f ca="1">(365+BDD[[#This Row],[D.PAG.V.]]+BDD[[#This Row],[D.AG.]])/365</f>
        <v>1.0506849315068494</v>
      </c>
      <c r="Z328" s="243">
        <f ca="1">BDD[[#This Row],[SUE DIA]]*BDD[[#This Row],[FACTOR SDI]]</f>
        <v>237.38474885844749</v>
      </c>
      <c r="AA328" s="243">
        <f>BDD[[#This Row],[SUE DIA]]/9</f>
        <v>25.103703703703705</v>
      </c>
      <c r="AB328" s="251">
        <v>26643</v>
      </c>
      <c r="AC328" s="251" t="s">
        <v>1070</v>
      </c>
      <c r="AD328" s="251" t="s">
        <v>787</v>
      </c>
      <c r="AE328" s="260">
        <v>7644196236</v>
      </c>
      <c r="AF328" s="251" t="s">
        <v>1522</v>
      </c>
      <c r="AG328" s="251" t="s">
        <v>776</v>
      </c>
      <c r="AH328" s="251" t="s">
        <v>730</v>
      </c>
      <c r="AI328" s="243" t="s">
        <v>151</v>
      </c>
      <c r="AJ328" s="258" cm="1">
        <f t="array" aca="1" ref="AJ328" ca="1">DATE(YEAR(FECH.CONS[FECHA DE CONSULTA:]),MONTH(BDD[[#This Row],[FECHA NAC]]),DAY(BDD[[#This Row],[FECHA NAC]]))</f>
        <v>44905</v>
      </c>
      <c r="AK328" s="243">
        <v>8</v>
      </c>
      <c r="AL328" s="261" t="s">
        <v>311</v>
      </c>
      <c r="AM328" s="251" t="s">
        <v>1541</v>
      </c>
      <c r="AN328" s="251" t="s">
        <v>1551</v>
      </c>
      <c r="AO328" s="245">
        <v>68</v>
      </c>
      <c r="AP328" s="251">
        <f ca="1">INT((TODAY()-BDD[[#This Row],[FECHA NAC]])/365)</f>
        <v>49</v>
      </c>
      <c r="AQ328" s="251">
        <v>0</v>
      </c>
      <c r="AR328" s="251">
        <f ca="1">IF(BDD[[#This Row],[ANTIG]]=0,0,1)</f>
        <v>1</v>
      </c>
      <c r="AS328" s="251"/>
      <c r="AT328" s="251"/>
      <c r="AU328" s="251"/>
      <c r="AV328" s="251"/>
      <c r="AW328" s="251"/>
      <c r="AX328" s="251"/>
      <c r="AY328" s="251"/>
      <c r="AZ328" s="251">
        <f t="shared" ca="1" si="16"/>
        <v>568</v>
      </c>
    </row>
    <row r="329" spans="2:52" x14ac:dyDescent="0.25">
      <c r="B329" s="243">
        <v>502</v>
      </c>
      <c r="C329" s="251" t="s">
        <v>188</v>
      </c>
      <c r="D329" s="252">
        <v>9450</v>
      </c>
      <c r="E329" s="252">
        <f>(BDD[[#This Row],[SUE MENS]]/30)</f>
        <v>315</v>
      </c>
      <c r="F329" s="252">
        <f>BDD[[#This Row],[SUE MENS]]/2</f>
        <v>4725</v>
      </c>
      <c r="G329" s="320">
        <v>43288</v>
      </c>
      <c r="H329" s="243">
        <f ca="1">INT(_xlfn.DAYS(TODAY(),BDD[[#This Row],[FECHA ING.]])/365)</f>
        <v>4</v>
      </c>
      <c r="I329" s="251" t="str">
        <f>VLOOKUP(J329,TABLAS!$B$3:$G$49,2,FALSE)</f>
        <v>DIV INGENRIA</v>
      </c>
      <c r="J329" s="198" t="s">
        <v>743</v>
      </c>
      <c r="K329" s="251" t="s">
        <v>778</v>
      </c>
      <c r="L329" s="251" t="s">
        <v>763</v>
      </c>
      <c r="M329" s="251"/>
      <c r="N329" s="244" t="s">
        <v>1799</v>
      </c>
      <c r="O329" s="251" t="str">
        <f>IFERROR(VLOOKUP(BDD[[#This Row],[SUBDPTO]],TABLAS!$B$4:$D$36,3,0)," ")</f>
        <v>DIEGO HERRERA GIRÓN</v>
      </c>
      <c r="P329" s="258">
        <v>43739</v>
      </c>
      <c r="Q329" s="254">
        <v>4384</v>
      </c>
      <c r="R329" s="255" t="s">
        <v>759</v>
      </c>
      <c r="S329" s="251"/>
      <c r="T329" s="251" t="s">
        <v>811</v>
      </c>
      <c r="U329" s="243">
        <f ca="1">VLOOKUP(BDD[[#This Row],[ANTIG]],DIASXANT18[#All],2)</f>
        <v>14</v>
      </c>
      <c r="V329" s="256">
        <f>100/200</f>
        <v>0.5</v>
      </c>
      <c r="W329" s="243">
        <f ca="1">BDD[[#This Row],[D.VAC.]]*BDD[[#This Row],[% P.V.]]</f>
        <v>7</v>
      </c>
      <c r="X329" s="243">
        <v>30</v>
      </c>
      <c r="Y329" s="257">
        <f ca="1">(365+BDD[[#This Row],[D.PAG.V.]]+BDD[[#This Row],[D.AG.]])/365</f>
        <v>1.1013698630136985</v>
      </c>
      <c r="Z329" s="243">
        <f ca="1">BDD[[#This Row],[SUE DIA]]*BDD[[#This Row],[FACTOR SDI]]</f>
        <v>346.93150684931504</v>
      </c>
      <c r="AA329" s="243">
        <f>BDD[[#This Row],[SUE DIA]]/9</f>
        <v>35</v>
      </c>
      <c r="AB329" s="251">
        <v>35276</v>
      </c>
      <c r="AC329" s="251" t="s">
        <v>973</v>
      </c>
      <c r="AD329" s="251" t="s">
        <v>793</v>
      </c>
      <c r="AE329" s="252">
        <v>8390559420</v>
      </c>
      <c r="AF329" s="251" t="s">
        <v>1204</v>
      </c>
      <c r="AG329" s="251" t="s">
        <v>774</v>
      </c>
      <c r="AH329" s="251" t="s">
        <v>730</v>
      </c>
      <c r="AI329" s="243" t="s">
        <v>151</v>
      </c>
      <c r="AJ329" s="258" cm="1">
        <f t="array" aca="1" ref="AJ329" ca="1">DATE(YEAR(FECH.CONS[FECHA DE CONSULTA:]),MONTH(BDD[[#This Row],[FECHA NAC]]),DAY(BDD[[#This Row],[FECHA NAC]]))</f>
        <v>44772</v>
      </c>
      <c r="AK329" s="243">
        <v>6</v>
      </c>
      <c r="AL329" s="261" t="s">
        <v>311</v>
      </c>
      <c r="AM329" s="251" t="s">
        <v>1538</v>
      </c>
      <c r="AN329" s="251" t="s">
        <v>1551</v>
      </c>
      <c r="AO329" s="245">
        <v>58</v>
      </c>
      <c r="AP329" s="251">
        <f ca="1">INT((TODAY()-BDD[[#This Row],[FECHA NAC]])/365)</f>
        <v>25</v>
      </c>
      <c r="AQ329" s="251">
        <v>2</v>
      </c>
      <c r="AR329" s="251">
        <f ca="1">IF(BDD[[#This Row],[ANTIG]]=0,0,1)</f>
        <v>1</v>
      </c>
      <c r="AS329" s="251"/>
      <c r="AT329" s="251"/>
      <c r="AU329" s="251"/>
      <c r="AV329" s="251"/>
      <c r="AW329" s="251"/>
      <c r="AX329" s="251"/>
      <c r="AY329" s="251"/>
      <c r="AZ329" s="251">
        <f t="shared" ref="AZ329:AZ392" ca="1" si="21">RANDBETWEEN(1,1000)</f>
        <v>508</v>
      </c>
    </row>
    <row r="330" spans="2:52" x14ac:dyDescent="0.25">
      <c r="B330" s="243">
        <v>503</v>
      </c>
      <c r="C330" s="262" t="s">
        <v>360</v>
      </c>
      <c r="D330" s="252">
        <v>9541</v>
      </c>
      <c r="E330" s="252">
        <f>(BDD[[#This Row],[SUE MENS]]/30)</f>
        <v>318.03333333333336</v>
      </c>
      <c r="F330" s="252">
        <f>BDD[[#This Row],[SUE MENS]]/2</f>
        <v>4770.5</v>
      </c>
      <c r="G330" s="319">
        <v>43300</v>
      </c>
      <c r="H330" s="243">
        <f ca="1">INT(_xlfn.DAYS(TODAY(),BDD[[#This Row],[FECHA ING.]])/365)</f>
        <v>4</v>
      </c>
      <c r="I330" s="251" t="str">
        <f>VLOOKUP(J330,TABLAS!$B$3:$G$49,2,FALSE)</f>
        <v>AUDITORÍA</v>
      </c>
      <c r="J330" s="198" t="s">
        <v>736</v>
      </c>
      <c r="K330" s="251" t="s">
        <v>778</v>
      </c>
      <c r="L330" s="251" t="s">
        <v>763</v>
      </c>
      <c r="M330" s="251"/>
      <c r="N330" s="244" t="s">
        <v>1959</v>
      </c>
      <c r="O330" s="251" t="str">
        <f>IFERROR(VLOOKUP(BDD[[#This Row],[SUBDPTO]],TABLAS!$B$4:$D$36,3,0)," ")</f>
        <v>MARCO AURELIO URBINO</v>
      </c>
      <c r="P330" s="258">
        <v>43479</v>
      </c>
      <c r="Q330" s="254">
        <v>7600</v>
      </c>
      <c r="R330" s="255" t="s">
        <v>741</v>
      </c>
      <c r="S330" s="251"/>
      <c r="T330" s="251" t="s">
        <v>811</v>
      </c>
      <c r="U330" s="243">
        <f ca="1">VLOOKUP(BDD[[#This Row],[ANTIG]],DIASXANT18[#All],2)</f>
        <v>14</v>
      </c>
      <c r="V330" s="256">
        <f>100/200</f>
        <v>0.5</v>
      </c>
      <c r="W330" s="243">
        <f ca="1">BDD[[#This Row],[D.VAC.]]*BDD[[#This Row],[% P.V.]]</f>
        <v>7</v>
      </c>
      <c r="X330" s="243">
        <v>30</v>
      </c>
      <c r="Y330" s="257">
        <f ca="1">(365+BDD[[#This Row],[D.PAG.V.]]+BDD[[#This Row],[D.AG.]])/365</f>
        <v>1.1013698630136985</v>
      </c>
      <c r="Z330" s="243">
        <f ca="1">BDD[[#This Row],[SUE DIA]]*BDD[[#This Row],[FACTOR SDI]]</f>
        <v>350.27232876712327</v>
      </c>
      <c r="AA330" s="243">
        <f>BDD[[#This Row],[SUE DIA]]/9</f>
        <v>35.337037037037042</v>
      </c>
      <c r="AB330" s="262">
        <v>34801</v>
      </c>
      <c r="AC330" s="251" t="s">
        <v>944</v>
      </c>
      <c r="AD330" s="251" t="s">
        <v>809</v>
      </c>
      <c r="AE330" s="252">
        <v>8294418521</v>
      </c>
      <c r="AF330" s="251" t="s">
        <v>1336</v>
      </c>
      <c r="AG330" s="251" t="s">
        <v>776</v>
      </c>
      <c r="AH330" s="251" t="s">
        <v>730</v>
      </c>
      <c r="AI330" s="243" t="s">
        <v>151</v>
      </c>
      <c r="AJ330" s="258" cm="1">
        <f t="array" aca="1" ref="AJ330" ca="1">DATE(YEAR(FECH.CONS[FECHA DE CONSULTA:]),MONTH(BDD[[#This Row],[FECHA NAC]]),DAY(BDD[[#This Row],[FECHA NAC]]))</f>
        <v>44663</v>
      </c>
      <c r="AK330" s="243">
        <v>4</v>
      </c>
      <c r="AL330" s="261" t="s">
        <v>311</v>
      </c>
      <c r="AM330" s="251" t="s">
        <v>1535</v>
      </c>
      <c r="AN330" s="251" t="s">
        <v>1551</v>
      </c>
      <c r="AO330" s="245">
        <v>48</v>
      </c>
      <c r="AP330" s="251">
        <f ca="1">INT((TODAY()-BDD[[#This Row],[FECHA NAC]])/365)</f>
        <v>27</v>
      </c>
      <c r="AQ330" s="251">
        <v>2</v>
      </c>
      <c r="AR330" s="251">
        <f ca="1">IF(BDD[[#This Row],[ANTIG]]=0,0,1)</f>
        <v>1</v>
      </c>
      <c r="AS330" s="251"/>
      <c r="AT330" s="251"/>
      <c r="AU330" s="251"/>
      <c r="AV330" s="251"/>
      <c r="AW330" s="251"/>
      <c r="AX330" s="251"/>
      <c r="AY330" s="251"/>
      <c r="AZ330" s="251">
        <f t="shared" ca="1" si="21"/>
        <v>133</v>
      </c>
    </row>
    <row r="331" spans="2:52" x14ac:dyDescent="0.25">
      <c r="B331" s="243">
        <v>504</v>
      </c>
      <c r="C331" s="259" t="s">
        <v>817</v>
      </c>
      <c r="D331" s="263">
        <v>7445</v>
      </c>
      <c r="E331" s="252">
        <f>(BDD[[#This Row],[SUE MENS]]/30)</f>
        <v>248.16666666666666</v>
      </c>
      <c r="F331" s="252">
        <f>BDD[[#This Row],[SUE MENS]]/2</f>
        <v>3722.5</v>
      </c>
      <c r="G331" s="320">
        <v>43312</v>
      </c>
      <c r="H331" s="243">
        <f ca="1">INT(_xlfn.DAYS(TODAY(),BDD[[#This Row],[FECHA ING.]])/365)</f>
        <v>3</v>
      </c>
      <c r="I331" s="251" t="str">
        <f>VLOOKUP(J331,TABLAS!$B$3:$G$49,2,FALSE)</f>
        <v>DIV ARQUIT</v>
      </c>
      <c r="J331" s="198" t="s">
        <v>740</v>
      </c>
      <c r="K331" s="251" t="s">
        <v>778</v>
      </c>
      <c r="L331" s="251" t="s">
        <v>763</v>
      </c>
      <c r="M331" s="251"/>
      <c r="N331" s="253" t="s">
        <v>1753</v>
      </c>
      <c r="O331" s="251" t="str">
        <f>IFERROR(VLOOKUP(BDD[[#This Row],[SUBDPTO]],TABLAS!$B$4:$D$36,3,0)," ")</f>
        <v>MÉRIDA ISELA MEDINA SALINAS</v>
      </c>
      <c r="P331" s="258"/>
      <c r="Q331" s="264"/>
      <c r="R331" s="244"/>
      <c r="S331" s="251"/>
      <c r="T331" s="251" t="s">
        <v>811</v>
      </c>
      <c r="U331" s="243">
        <f ca="1">VLOOKUP(BDD[[#This Row],[ANTIG]],DIASXANT18[#All],2)</f>
        <v>14</v>
      </c>
      <c r="V331" s="256">
        <f>100/200</f>
        <v>0.5</v>
      </c>
      <c r="W331" s="243">
        <f ca="1">BDD[[#This Row],[D.VAC.]]*BDD[[#This Row],[% P.V.]]</f>
        <v>7</v>
      </c>
      <c r="X331" s="243">
        <v>30</v>
      </c>
      <c r="Y331" s="257">
        <f ca="1">(365+BDD[[#This Row],[D.PAG.V.]]+BDD[[#This Row],[D.AG.]])/365</f>
        <v>1.1013698630136985</v>
      </c>
      <c r="Z331" s="243">
        <f ca="1">BDD[[#This Row],[SUE DIA]]*BDD[[#This Row],[FACTOR SDI]]</f>
        <v>273.32328767123283</v>
      </c>
      <c r="AA331" s="243">
        <f>BDD[[#This Row],[SUE DIA]]/9</f>
        <v>27.574074074074073</v>
      </c>
      <c r="AB331" s="251">
        <v>35274</v>
      </c>
      <c r="AC331" s="251" t="s">
        <v>952</v>
      </c>
      <c r="AD331" s="251" t="s">
        <v>786</v>
      </c>
      <c r="AE331" s="260">
        <v>9876980398</v>
      </c>
      <c r="AF331" s="251" t="s">
        <v>1521</v>
      </c>
      <c r="AG331" s="251" t="s">
        <v>776</v>
      </c>
      <c r="AH331" s="251" t="s">
        <v>730</v>
      </c>
      <c r="AI331" s="243" t="s">
        <v>151</v>
      </c>
      <c r="AJ331" s="258" cm="1">
        <f t="array" aca="1" ref="AJ331" ca="1">DATE(YEAR(FECH.CONS[FECHA DE CONSULTA:]),MONTH(BDD[[#This Row],[FECHA NAC]]),DAY(BDD[[#This Row],[FECHA NAC]]))</f>
        <v>44770</v>
      </c>
      <c r="AK331" s="243">
        <v>5</v>
      </c>
      <c r="AL331" s="261" t="s">
        <v>311</v>
      </c>
      <c r="AM331" s="251" t="s">
        <v>1543</v>
      </c>
      <c r="AN331" s="251" t="s">
        <v>1551</v>
      </c>
      <c r="AO331" s="243">
        <v>78</v>
      </c>
      <c r="AP331" s="251">
        <f ca="1">INT((TODAY()-BDD[[#This Row],[FECHA NAC]])/365)</f>
        <v>25</v>
      </c>
      <c r="AQ331" s="251">
        <v>1</v>
      </c>
      <c r="AR331" s="251">
        <f ca="1">IF(BDD[[#This Row],[ANTIG]]=0,0,1)</f>
        <v>1</v>
      </c>
      <c r="AS331" s="251"/>
      <c r="AT331" s="251"/>
      <c r="AU331" s="251"/>
      <c r="AV331" s="251"/>
      <c r="AW331" s="251"/>
      <c r="AX331" s="251"/>
      <c r="AY331" s="251"/>
      <c r="AZ331" s="251">
        <f t="shared" ca="1" si="21"/>
        <v>688</v>
      </c>
    </row>
    <row r="332" spans="2:52" x14ac:dyDescent="0.25">
      <c r="B332" s="243">
        <v>507</v>
      </c>
      <c r="C332" s="259" t="s">
        <v>506</v>
      </c>
      <c r="D332" s="244">
        <v>6778</v>
      </c>
      <c r="E332" s="252">
        <f>(BDD[[#This Row],[SUE MENS]]/30)</f>
        <v>225.93333333333334</v>
      </c>
      <c r="F332" s="252">
        <f>BDD[[#This Row],[SUE MENS]]/2</f>
        <v>3389</v>
      </c>
      <c r="G332" s="320">
        <v>43343</v>
      </c>
      <c r="H332" s="243">
        <f ca="1">INT(_xlfn.DAYS(TODAY(),BDD[[#This Row],[FECHA ING.]])/365)</f>
        <v>3</v>
      </c>
      <c r="I332" s="251" t="str">
        <f>VLOOKUP(J332,TABLAS!$B$3:$G$49,2,FALSE)</f>
        <v>DIV ARQUIT</v>
      </c>
      <c r="J332" s="198" t="s">
        <v>741</v>
      </c>
      <c r="K332" s="251" t="s">
        <v>778</v>
      </c>
      <c r="L332" s="251" t="s">
        <v>763</v>
      </c>
      <c r="M332" s="251"/>
      <c r="N332" s="253" t="s">
        <v>1911</v>
      </c>
      <c r="O332" s="251" t="str">
        <f>IFERROR(VLOOKUP(BDD[[#This Row],[SUBDPTO]],TABLAS!$B$4:$D$36,3,0)," ")</f>
        <v>MÉRIDA ISELA MEDINA SALINAS</v>
      </c>
      <c r="P332" s="258"/>
      <c r="Q332" s="264"/>
      <c r="R332" s="244"/>
      <c r="S332" s="251"/>
      <c r="T332" s="251" t="s">
        <v>811</v>
      </c>
      <c r="U332" s="243">
        <f ca="1">VLOOKUP(BDD[[#This Row],[ANTIG]],DIASXANT18[#All],2)</f>
        <v>14</v>
      </c>
      <c r="V332" s="266">
        <v>0.25</v>
      </c>
      <c r="W332" s="243">
        <f ca="1">BDD[[#This Row],[D.VAC.]]*BDD[[#This Row],[% P.V.]]</f>
        <v>3.5</v>
      </c>
      <c r="X332" s="265">
        <v>15</v>
      </c>
      <c r="Y332" s="257">
        <f ca="1">(365+BDD[[#This Row],[D.PAG.V.]]+BDD[[#This Row],[D.AG.]])/365</f>
        <v>1.0506849315068494</v>
      </c>
      <c r="Z332" s="243">
        <f ca="1">BDD[[#This Row],[SUE DIA]]*BDD[[#This Row],[FACTOR SDI]]</f>
        <v>237.38474885844749</v>
      </c>
      <c r="AA332" s="243">
        <f>BDD[[#This Row],[SUE DIA]]/9</f>
        <v>25.103703703703705</v>
      </c>
      <c r="AB332" s="251">
        <v>29642</v>
      </c>
      <c r="AC332" s="251" t="s">
        <v>997</v>
      </c>
      <c r="AD332" s="251" t="s">
        <v>790</v>
      </c>
      <c r="AE332" s="260">
        <v>8181677552</v>
      </c>
      <c r="AF332" s="251" t="s">
        <v>1389</v>
      </c>
      <c r="AG332" s="251" t="s">
        <v>773</v>
      </c>
      <c r="AH332" s="251" t="s">
        <v>730</v>
      </c>
      <c r="AI332" s="243" t="s">
        <v>151</v>
      </c>
      <c r="AJ332" s="258" cm="1">
        <f t="array" aca="1" ref="AJ332" ca="1">DATE(YEAR(FECH.CONS[FECHA DE CONSULTA:]),MONTH(BDD[[#This Row],[FECHA NAC]]),DAY(BDD[[#This Row],[FECHA NAC]]))</f>
        <v>44617</v>
      </c>
      <c r="AK332" s="243">
        <v>9</v>
      </c>
      <c r="AL332" s="261" t="s">
        <v>316</v>
      </c>
      <c r="AM332" s="251" t="s">
        <v>1543</v>
      </c>
      <c r="AN332" s="251" t="s">
        <v>1551</v>
      </c>
      <c r="AO332" s="245">
        <v>53</v>
      </c>
      <c r="AP332" s="251">
        <f ca="1">INT((TODAY()-BDD[[#This Row],[FECHA NAC]])/365)</f>
        <v>41</v>
      </c>
      <c r="AQ332" s="251">
        <v>2</v>
      </c>
      <c r="AR332" s="251">
        <f ca="1">IF(BDD[[#This Row],[ANTIG]]=0,0,1)</f>
        <v>1</v>
      </c>
      <c r="AS332" s="251"/>
      <c r="AT332" s="251"/>
      <c r="AU332" s="251"/>
      <c r="AV332" s="251"/>
      <c r="AW332" s="251"/>
      <c r="AX332" s="251"/>
      <c r="AY332" s="251"/>
      <c r="AZ332" s="251">
        <f t="shared" ca="1" si="21"/>
        <v>122</v>
      </c>
    </row>
    <row r="333" spans="2:52" x14ac:dyDescent="0.25">
      <c r="B333" s="246">
        <v>509</v>
      </c>
      <c r="C333" s="244" t="s">
        <v>1669</v>
      </c>
      <c r="D333" s="244">
        <v>6778</v>
      </c>
      <c r="E333" s="244">
        <f>(BDD[[#This Row],[SUE MENS]]/30)</f>
        <v>225.93333333333334</v>
      </c>
      <c r="F333" s="244">
        <f>BDD[[#This Row],[SUE MENS]]/2</f>
        <v>3389</v>
      </c>
      <c r="G333" s="320">
        <v>43345</v>
      </c>
      <c r="H333" s="244">
        <f ca="1">INT(_xlfn.DAYS(TODAY(),BDD[[#This Row],[FECHA ING.]])/365)</f>
        <v>3</v>
      </c>
      <c r="I333" s="251" t="str">
        <f>VLOOKUP(J333,TABLAS!$B$3:$G$49,2,FALSE)</f>
        <v>DIRECCIÓN</v>
      </c>
      <c r="J333" s="244" t="s">
        <v>745</v>
      </c>
      <c r="K333" s="244" t="s">
        <v>778</v>
      </c>
      <c r="L333" s="244" t="s">
        <v>763</v>
      </c>
      <c r="M333" s="244">
        <v>0</v>
      </c>
      <c r="N333" s="244" t="s">
        <v>1671</v>
      </c>
      <c r="O333" s="244" t="str">
        <f>IFERROR(VLOOKUP(BDD[[#This Row],[SUBDPTO]],TABLAS!$B$4:$D$36,3,0)," ")</f>
        <v>MARIANA RODRÍGUEZ GUTIERREZ</v>
      </c>
      <c r="P333" s="268"/>
      <c r="Q333" s="244"/>
      <c r="R333" s="244"/>
      <c r="S333" s="244"/>
      <c r="T333" s="244" t="s">
        <v>811</v>
      </c>
      <c r="U333" s="244">
        <f ca="1">VLOOKUP(BDD[[#This Row],[ANTIG]],DIASXANT18[#All],2)</f>
        <v>14</v>
      </c>
      <c r="V333" s="244">
        <v>0.25</v>
      </c>
      <c r="W333" s="244">
        <f ca="1">BDD[[#This Row],[D.VAC.]]*BDD[[#This Row],[% P.V.]]</f>
        <v>3.5</v>
      </c>
      <c r="X333" s="244">
        <v>15</v>
      </c>
      <c r="Y333" s="269">
        <f ca="1">(365+BDD[[#This Row],[D.PAG.V.]]+BDD[[#This Row],[D.AG.]])/365</f>
        <v>1.0506849315068494</v>
      </c>
      <c r="Z333" s="244">
        <f ca="1">BDD[[#This Row],[SUE DIA]]*BDD[[#This Row],[FACTOR SDI]]</f>
        <v>237.38474885844749</v>
      </c>
      <c r="AA333" s="244">
        <f>BDD[[#This Row],[SUE DIA]]/9</f>
        <v>25.103703703703705</v>
      </c>
      <c r="AB333" s="244">
        <v>36568</v>
      </c>
      <c r="AC333" s="244" t="s">
        <v>1673</v>
      </c>
      <c r="AD333" s="244" t="s">
        <v>789</v>
      </c>
      <c r="AE333" s="244">
        <v>6654938122</v>
      </c>
      <c r="AF333" s="244" t="s">
        <v>1670</v>
      </c>
      <c r="AG333" s="244" t="s">
        <v>776</v>
      </c>
      <c r="AH333" s="244" t="s">
        <v>730</v>
      </c>
      <c r="AI333" s="244" t="s">
        <v>151</v>
      </c>
      <c r="AJ333" s="268" cm="1">
        <f t="array" aca="1" ref="AJ333" ca="1">DATE(YEAR(FECH.CONS[FECHA DE CONSULTA:]),MONTH(BDD[[#This Row],[FECHA NAC]]),DAY(BDD[[#This Row],[FECHA NAC]]))</f>
        <v>44604</v>
      </c>
      <c r="AK333" s="244">
        <v>7</v>
      </c>
      <c r="AL333" s="244" t="s">
        <v>311</v>
      </c>
      <c r="AM333" s="244" t="s">
        <v>1672</v>
      </c>
      <c r="AN333" s="244">
        <v>0</v>
      </c>
      <c r="AO333" s="244">
        <v>45</v>
      </c>
      <c r="AP333" s="244">
        <f ca="1">INT((TODAY()-BDD[[#This Row],[FECHA NAC]])/365)</f>
        <v>22</v>
      </c>
      <c r="AQ333" s="244">
        <v>0</v>
      </c>
      <c r="AR333" s="244">
        <f ca="1">IF(BDD[[#This Row],[ANTIG]]=0,0,1)</f>
        <v>1</v>
      </c>
      <c r="AS333" s="244"/>
      <c r="AT333" s="244"/>
      <c r="AU333" s="244"/>
      <c r="AV333" s="244"/>
      <c r="AW333" s="244"/>
      <c r="AX333" s="244"/>
      <c r="AY333" s="244"/>
      <c r="AZ333" s="244">
        <f t="shared" ca="1" si="21"/>
        <v>180</v>
      </c>
    </row>
    <row r="334" spans="2:52" x14ac:dyDescent="0.25">
      <c r="B334" s="243">
        <v>510</v>
      </c>
      <c r="C334" s="251" t="s">
        <v>222</v>
      </c>
      <c r="D334" s="252">
        <v>9450</v>
      </c>
      <c r="E334" s="252">
        <f>(BDD[[#This Row],[SUE MENS]]/30)</f>
        <v>315</v>
      </c>
      <c r="F334" s="252">
        <f>BDD[[#This Row],[SUE MENS]]/2</f>
        <v>4725</v>
      </c>
      <c r="G334" s="319">
        <v>43356</v>
      </c>
      <c r="H334" s="243">
        <f ca="1">INT(_xlfn.DAYS(TODAY(),BDD[[#This Row],[FECHA ING.]])/365)</f>
        <v>3</v>
      </c>
      <c r="I334" s="251" t="str">
        <f>VLOOKUP(J334,TABLAS!$B$3:$G$49,2,FALSE)</f>
        <v>AUDITORÍA</v>
      </c>
      <c r="J334" s="198" t="s">
        <v>735</v>
      </c>
      <c r="K334" s="251" t="s">
        <v>778</v>
      </c>
      <c r="L334" s="251" t="s">
        <v>763</v>
      </c>
      <c r="M334" s="251"/>
      <c r="N334" s="244" t="s">
        <v>1897</v>
      </c>
      <c r="O334" s="251" t="str">
        <f>IFERROR(VLOOKUP(BDD[[#This Row],[SUBDPTO]],TABLAS!$B$4:$D$36,3,0)," ")</f>
        <v>MARCO AURELIO URBINO</v>
      </c>
      <c r="P334" s="258">
        <f>BDD[[#This Row],[FECHA ING.]]+1000</f>
        <v>44356</v>
      </c>
      <c r="Q334" s="254">
        <v>5390</v>
      </c>
      <c r="R334" s="251" t="s">
        <v>743</v>
      </c>
      <c r="S334" s="251"/>
      <c r="T334" s="251" t="s">
        <v>811</v>
      </c>
      <c r="U334" s="243">
        <f ca="1">VLOOKUP(BDD[[#This Row],[ANTIG]],DIASXANT18[#All],2)</f>
        <v>14</v>
      </c>
      <c r="V334" s="256">
        <f>100/200</f>
        <v>0.5</v>
      </c>
      <c r="W334" s="243">
        <f ca="1">BDD[[#This Row],[D.VAC.]]*BDD[[#This Row],[% P.V.]]</f>
        <v>7</v>
      </c>
      <c r="X334" s="243">
        <v>30</v>
      </c>
      <c r="Y334" s="257">
        <f ca="1">(365+BDD[[#This Row],[D.PAG.V.]]+BDD[[#This Row],[D.AG.]])/365</f>
        <v>1.1013698630136985</v>
      </c>
      <c r="Z334" s="243">
        <f ca="1">BDD[[#This Row],[SUE DIA]]*BDD[[#This Row],[FACTOR SDI]]</f>
        <v>346.93150684931504</v>
      </c>
      <c r="AA334" s="243">
        <f>BDD[[#This Row],[SUE DIA]]/9</f>
        <v>35</v>
      </c>
      <c r="AB334" s="251">
        <v>29873</v>
      </c>
      <c r="AC334" s="251" t="s">
        <v>873</v>
      </c>
      <c r="AD334" s="251" t="s">
        <v>809</v>
      </c>
      <c r="AE334" s="252">
        <v>8441829766</v>
      </c>
      <c r="AF334" s="251" t="s">
        <v>1165</v>
      </c>
      <c r="AG334" s="251" t="s">
        <v>776</v>
      </c>
      <c r="AH334" s="251" t="s">
        <v>730</v>
      </c>
      <c r="AI334" s="243" t="s">
        <v>151</v>
      </c>
      <c r="AJ334" s="258" cm="1">
        <f t="array" aca="1" ref="AJ334" ca="1">DATE(YEAR(FECH.CONS[FECHA DE CONSULTA:]),MONTH(BDD[[#This Row],[FECHA NAC]]),DAY(BDD[[#This Row],[FECHA NAC]]))</f>
        <v>44848</v>
      </c>
      <c r="AK334" s="243">
        <v>6</v>
      </c>
      <c r="AL334" s="261" t="s">
        <v>311</v>
      </c>
      <c r="AM334" s="251" t="s">
        <v>1535</v>
      </c>
      <c r="AN334" s="251" t="s">
        <v>1551</v>
      </c>
      <c r="AO334" s="245">
        <v>67</v>
      </c>
      <c r="AP334" s="251">
        <f ca="1">INT((TODAY()-BDD[[#This Row],[FECHA NAC]])/365)</f>
        <v>40</v>
      </c>
      <c r="AQ334" s="251">
        <v>0</v>
      </c>
      <c r="AR334" s="251">
        <f ca="1">IF(BDD[[#This Row],[ANTIG]]=0,0,1)</f>
        <v>1</v>
      </c>
      <c r="AS334" s="251"/>
      <c r="AT334" s="251"/>
      <c r="AU334" s="251"/>
      <c r="AV334" s="251"/>
      <c r="AW334" s="251"/>
      <c r="AX334" s="251"/>
      <c r="AY334" s="251"/>
      <c r="AZ334" s="251">
        <f t="shared" ca="1" si="21"/>
        <v>145</v>
      </c>
    </row>
    <row r="335" spans="2:52" x14ac:dyDescent="0.25">
      <c r="B335" s="243">
        <v>511</v>
      </c>
      <c r="C335" s="251" t="s">
        <v>156</v>
      </c>
      <c r="D335" s="252">
        <v>25800</v>
      </c>
      <c r="E335" s="252">
        <f>(BDD[[#This Row],[SUE MENS]]/30)</f>
        <v>860</v>
      </c>
      <c r="F335" s="252">
        <f>BDD[[#This Row],[SUE MENS]]/2</f>
        <v>12900</v>
      </c>
      <c r="G335" s="319">
        <v>43357</v>
      </c>
      <c r="H335" s="243">
        <f ca="1">INT(_xlfn.DAYS(TODAY(),BDD[[#This Row],[FECHA ING.]])/365)</f>
        <v>3</v>
      </c>
      <c r="I335" s="251" t="str">
        <f>VLOOKUP(J335,TABLAS!$B$3:$G$49,2,FALSE)</f>
        <v>DIRECCIÓN</v>
      </c>
      <c r="J335" s="198" t="s">
        <v>759</v>
      </c>
      <c r="K335" s="244" t="s">
        <v>761</v>
      </c>
      <c r="L335" s="251" t="s">
        <v>763</v>
      </c>
      <c r="M335" s="251">
        <v>1030</v>
      </c>
      <c r="N335" s="244" t="s">
        <v>1781</v>
      </c>
      <c r="O335" s="251" t="str">
        <f>IFERROR(VLOOKUP(BDD[[#This Row],[SUBDPTO]],TABLAS!$B$4:$D$36,3,0)," ")</f>
        <v>MARIANA RODRÍGUEZ GUTIERREZ</v>
      </c>
      <c r="P335" s="258">
        <f>BDD[[#This Row],[FECHA ING.]]+1000</f>
        <v>44357</v>
      </c>
      <c r="Q335" s="254">
        <v>17360</v>
      </c>
      <c r="R335" s="244" t="s">
        <v>845</v>
      </c>
      <c r="S335" s="244" t="s">
        <v>738</v>
      </c>
      <c r="T335" s="251" t="s">
        <v>301</v>
      </c>
      <c r="U335" s="243">
        <f ca="1">VLOOKUP(BDD[[#This Row],[ANTIG]],DIASXANT18[#All],2)</f>
        <v>14</v>
      </c>
      <c r="V335" s="256">
        <f>100/200</f>
        <v>0.5</v>
      </c>
      <c r="W335" s="243">
        <f ca="1">BDD[[#This Row],[D.VAC.]]*BDD[[#This Row],[% P.V.]]</f>
        <v>7</v>
      </c>
      <c r="X335" s="243">
        <v>30</v>
      </c>
      <c r="Y335" s="257">
        <f ca="1">(365+BDD[[#This Row],[D.PAG.V.]]+BDD[[#This Row],[D.AG.]])/365</f>
        <v>1.1013698630136985</v>
      </c>
      <c r="Z335" s="243">
        <f ca="1">BDD[[#This Row],[SUE DIA]]*BDD[[#This Row],[FACTOR SDI]]</f>
        <v>947.17808219178073</v>
      </c>
      <c r="AA335" s="243">
        <f>BDD[[#This Row],[SUE DIA]]/9</f>
        <v>95.555555555555557</v>
      </c>
      <c r="AB335" s="251">
        <v>33101</v>
      </c>
      <c r="AC335" s="251" t="s">
        <v>947</v>
      </c>
      <c r="AD335" s="251" t="s">
        <v>787</v>
      </c>
      <c r="AE335" s="252">
        <v>8196691483</v>
      </c>
      <c r="AF335" s="251" t="s">
        <v>1170</v>
      </c>
      <c r="AG335" s="251" t="s">
        <v>776</v>
      </c>
      <c r="AH335" s="251" t="s">
        <v>1555</v>
      </c>
      <c r="AI335" s="243" t="s">
        <v>151</v>
      </c>
      <c r="AJ335" s="258" cm="1">
        <f t="array" aca="1" ref="AJ335" ca="1">DATE(YEAR(FECH.CONS[FECHA DE CONSULTA:]),MONTH(BDD[[#This Row],[FECHA NAC]]),DAY(BDD[[#This Row],[FECHA NAC]]))</f>
        <v>44789</v>
      </c>
      <c r="AK335" s="243"/>
      <c r="AL335" s="261" t="s">
        <v>326</v>
      </c>
      <c r="AM335" s="251" t="s">
        <v>1535</v>
      </c>
      <c r="AN335" s="251" t="s">
        <v>1551</v>
      </c>
      <c r="AO335" s="245">
        <v>58</v>
      </c>
      <c r="AP335" s="251">
        <f ca="1">INT((TODAY()-BDD[[#This Row],[FECHA NAC]])/365)</f>
        <v>31</v>
      </c>
      <c r="AQ335" s="251">
        <v>3</v>
      </c>
      <c r="AR335" s="251">
        <f ca="1">IF(BDD[[#This Row],[ANTIG]]=0,0,1)</f>
        <v>1</v>
      </c>
      <c r="AS335" s="251"/>
      <c r="AT335" s="251"/>
      <c r="AU335" s="251"/>
      <c r="AV335" s="251"/>
      <c r="AW335" s="251"/>
      <c r="AX335" s="251"/>
      <c r="AY335" s="251"/>
      <c r="AZ335" s="251">
        <f t="shared" ca="1" si="21"/>
        <v>300</v>
      </c>
    </row>
    <row r="336" spans="2:52" x14ac:dyDescent="0.25">
      <c r="B336" s="246">
        <v>513</v>
      </c>
      <c r="C336" s="244" t="s">
        <v>1615</v>
      </c>
      <c r="D336" s="244">
        <v>6778</v>
      </c>
      <c r="E336" s="244">
        <f>(BDD[[#This Row],[SUE MENS]]/30)</f>
        <v>225.93333333333334</v>
      </c>
      <c r="F336" s="244">
        <f>BDD[[#This Row],[SUE MENS]]/2</f>
        <v>3389</v>
      </c>
      <c r="G336" s="320">
        <v>43366</v>
      </c>
      <c r="H336" s="244">
        <f ca="1">INT(_xlfn.DAYS(TODAY(),BDD[[#This Row],[FECHA ING.]])/365)</f>
        <v>3</v>
      </c>
      <c r="I336" s="251" t="str">
        <f>VLOOKUP(J336,TABLAS!$B$3:$G$49,2,FALSE)</f>
        <v>AUDITORÍA</v>
      </c>
      <c r="J336" s="244" t="s">
        <v>735</v>
      </c>
      <c r="K336" s="244" t="s">
        <v>778</v>
      </c>
      <c r="L336" s="244" t="s">
        <v>763</v>
      </c>
      <c r="M336" s="244">
        <v>0</v>
      </c>
      <c r="N336" s="244" t="s">
        <v>1864</v>
      </c>
      <c r="O336" s="244" t="str">
        <f>IFERROR(VLOOKUP(BDD[[#This Row],[SUBDPTO]],TABLAS!$B$4:$D$36,3,0)," ")</f>
        <v>MARCO AURELIO URBINO</v>
      </c>
      <c r="P336" s="268"/>
      <c r="Q336" s="244"/>
      <c r="R336" s="244"/>
      <c r="S336" s="244"/>
      <c r="T336" s="244" t="s">
        <v>811</v>
      </c>
      <c r="U336" s="244">
        <f ca="1">VLOOKUP(BDD[[#This Row],[ANTIG]],DIASXANT18[#All],2)</f>
        <v>14</v>
      </c>
      <c r="V336" s="244">
        <v>0.25</v>
      </c>
      <c r="W336" s="244">
        <f ca="1">BDD[[#This Row],[D.VAC.]]*BDD[[#This Row],[% P.V.]]</f>
        <v>3.5</v>
      </c>
      <c r="X336" s="244">
        <v>15</v>
      </c>
      <c r="Y336" s="269">
        <f ca="1">(365+BDD[[#This Row],[D.PAG.V.]]+BDD[[#This Row],[D.AG.]])/365</f>
        <v>1.0506849315068494</v>
      </c>
      <c r="Z336" s="244">
        <f ca="1">BDD[[#This Row],[SUE DIA]]*BDD[[#This Row],[FACTOR SDI]]</f>
        <v>237.38474885844749</v>
      </c>
      <c r="AA336" s="244">
        <f>BDD[[#This Row],[SUE DIA]]/9</f>
        <v>25.103703703703705</v>
      </c>
      <c r="AB336" s="244">
        <v>34745</v>
      </c>
      <c r="AC336" s="244" t="s">
        <v>1607</v>
      </c>
      <c r="AD336" s="244" t="s">
        <v>810</v>
      </c>
      <c r="AE336" s="244">
        <v>8566987412</v>
      </c>
      <c r="AF336" s="244" t="s">
        <v>1616</v>
      </c>
      <c r="AG336" s="244" t="s">
        <v>776</v>
      </c>
      <c r="AH336" s="244" t="s">
        <v>1555</v>
      </c>
      <c r="AI336" s="244" t="s">
        <v>152</v>
      </c>
      <c r="AJ336" s="268" cm="1">
        <f t="array" aca="1" ref="AJ336" ca="1">DATE(YEAR(FECH.CONS[FECHA DE CONSULTA:]),MONTH(BDD[[#This Row],[FECHA NAC]]),DAY(BDD[[#This Row],[FECHA NAC]]))</f>
        <v>44607</v>
      </c>
      <c r="AK336" s="244" t="s">
        <v>44</v>
      </c>
      <c r="AL336" s="244" t="s">
        <v>311</v>
      </c>
      <c r="AM336" s="244" t="s">
        <v>1617</v>
      </c>
      <c r="AN336" s="244">
        <v>0</v>
      </c>
      <c r="AO336" s="244">
        <v>60</v>
      </c>
      <c r="AP336" s="244">
        <f ca="1">INT((TODAY()-BDD[[#This Row],[FECHA NAC]])/365)</f>
        <v>27</v>
      </c>
      <c r="AQ336" s="244">
        <v>0</v>
      </c>
      <c r="AR336" s="244">
        <f ca="1">IF(BDD[[#This Row],[ANTIG]]=0,0,1)</f>
        <v>1</v>
      </c>
      <c r="AS336" s="244"/>
      <c r="AT336" s="244"/>
      <c r="AU336" s="244"/>
      <c r="AV336" s="244"/>
      <c r="AW336" s="244"/>
      <c r="AX336" s="244"/>
      <c r="AY336" s="244"/>
      <c r="AZ336" s="244">
        <f t="shared" ca="1" si="21"/>
        <v>688</v>
      </c>
    </row>
    <row r="337" spans="2:52" x14ac:dyDescent="0.25">
      <c r="B337" s="243">
        <v>514</v>
      </c>
      <c r="C337" s="259" t="s">
        <v>645</v>
      </c>
      <c r="D337" s="252">
        <v>9541</v>
      </c>
      <c r="E337" s="252">
        <f>(BDD[[#This Row],[SUE MENS]]/30)</f>
        <v>318.03333333333336</v>
      </c>
      <c r="F337" s="252">
        <f>BDD[[#This Row],[SUE MENS]]/2</f>
        <v>4770.5</v>
      </c>
      <c r="G337" s="320">
        <v>43367</v>
      </c>
      <c r="H337" s="243">
        <f ca="1">INT(_xlfn.DAYS(TODAY(),BDD[[#This Row],[FECHA ING.]])/365)</f>
        <v>3</v>
      </c>
      <c r="I337" s="251" t="str">
        <f>VLOOKUP(J337,TABLAS!$B$3:$G$49,2,FALSE)</f>
        <v>DIRECCIÓN</v>
      </c>
      <c r="J337" s="198" t="s">
        <v>745</v>
      </c>
      <c r="K337" s="251" t="s">
        <v>778</v>
      </c>
      <c r="L337" s="251" t="s">
        <v>763</v>
      </c>
      <c r="M337" s="251"/>
      <c r="N337" s="253" t="s">
        <v>2043</v>
      </c>
      <c r="O337" s="251" t="str">
        <f>IFERROR(VLOOKUP(BDD[[#This Row],[SUBDPTO]],TABLAS!$B$4:$D$36,3,0)," ")</f>
        <v>MARIANA RODRÍGUEZ GUTIERREZ</v>
      </c>
      <c r="P337" s="258">
        <v>42170</v>
      </c>
      <c r="Q337" s="254">
        <v>7632</v>
      </c>
      <c r="R337" s="255" t="s">
        <v>741</v>
      </c>
      <c r="S337" s="255" t="s">
        <v>736</v>
      </c>
      <c r="T337" s="251" t="s">
        <v>301</v>
      </c>
      <c r="U337" s="243">
        <f ca="1">VLOOKUP(BDD[[#This Row],[ANTIG]],DIASXANT18[#All],2)</f>
        <v>14</v>
      </c>
      <c r="V337" s="256">
        <f t="shared" ref="V337:V343" si="22">100/200</f>
        <v>0.5</v>
      </c>
      <c r="W337" s="243">
        <f ca="1">BDD[[#This Row],[D.VAC.]]*BDD[[#This Row],[% P.V.]]</f>
        <v>7</v>
      </c>
      <c r="X337" s="243">
        <v>30</v>
      </c>
      <c r="Y337" s="257">
        <f ca="1">(365+BDD[[#This Row],[D.PAG.V.]]+BDD[[#This Row],[D.AG.]])/365</f>
        <v>1.1013698630136985</v>
      </c>
      <c r="Z337" s="243">
        <f ca="1">BDD[[#This Row],[SUE DIA]]*BDD[[#This Row],[FACTOR SDI]]</f>
        <v>350.27232876712327</v>
      </c>
      <c r="AA337" s="243">
        <f>BDD[[#This Row],[SUE DIA]]/9</f>
        <v>35.337037037037042</v>
      </c>
      <c r="AB337" s="251">
        <v>36436</v>
      </c>
      <c r="AC337" s="251" t="s">
        <v>963</v>
      </c>
      <c r="AD337" s="251" t="s">
        <v>810</v>
      </c>
      <c r="AE337" s="260">
        <v>8197801193</v>
      </c>
      <c r="AF337" s="251" t="s">
        <v>1485</v>
      </c>
      <c r="AG337" s="251" t="s">
        <v>776</v>
      </c>
      <c r="AH337" s="251" t="s">
        <v>730</v>
      </c>
      <c r="AI337" s="243" t="s">
        <v>151</v>
      </c>
      <c r="AJ337" s="258" cm="1">
        <f t="array" aca="1" ref="AJ337" ca="1">DATE(YEAR(FECH.CONS[FECHA DE CONSULTA:]),MONTH(BDD[[#This Row],[FECHA NAC]]),DAY(BDD[[#This Row],[FECHA NAC]]))</f>
        <v>44837</v>
      </c>
      <c r="AK337" s="243">
        <v>6</v>
      </c>
      <c r="AL337" s="261" t="s">
        <v>311</v>
      </c>
      <c r="AM337" s="251" t="s">
        <v>1534</v>
      </c>
      <c r="AN337" s="251" t="s">
        <v>1551</v>
      </c>
      <c r="AO337" s="245">
        <v>99</v>
      </c>
      <c r="AP337" s="251">
        <f ca="1">INT((TODAY()-BDD[[#This Row],[FECHA NAC]])/365)</f>
        <v>22</v>
      </c>
      <c r="AQ337" s="251">
        <v>3</v>
      </c>
      <c r="AR337" s="251">
        <f ca="1">IF(BDD[[#This Row],[ANTIG]]=0,0,1)</f>
        <v>1</v>
      </c>
      <c r="AS337" s="251"/>
      <c r="AT337" s="251"/>
      <c r="AU337" s="251"/>
      <c r="AV337" s="251"/>
      <c r="AW337" s="251"/>
      <c r="AX337" s="251"/>
      <c r="AY337" s="251"/>
      <c r="AZ337" s="251">
        <f t="shared" ca="1" si="21"/>
        <v>962</v>
      </c>
    </row>
    <row r="338" spans="2:52" x14ac:dyDescent="0.25">
      <c r="B338" s="243">
        <v>516</v>
      </c>
      <c r="C338" s="251" t="s">
        <v>176</v>
      </c>
      <c r="D338" s="252">
        <v>9450</v>
      </c>
      <c r="E338" s="252">
        <f>(BDD[[#This Row],[SUE MENS]]/30)</f>
        <v>315</v>
      </c>
      <c r="F338" s="252">
        <f>BDD[[#This Row],[SUE MENS]]/2</f>
        <v>4725</v>
      </c>
      <c r="G338" s="319">
        <v>43374</v>
      </c>
      <c r="H338" s="243">
        <f ca="1">INT(_xlfn.DAYS(TODAY(),BDD[[#This Row],[FECHA ING.]])/365)</f>
        <v>3</v>
      </c>
      <c r="I338" s="251" t="str">
        <f>VLOOKUP(J338,TABLAS!$B$3:$G$49,2,FALSE)</f>
        <v>DIRECCIÓN</v>
      </c>
      <c r="J338" s="198" t="s">
        <v>746</v>
      </c>
      <c r="K338" s="251" t="s">
        <v>778</v>
      </c>
      <c r="L338" s="251" t="s">
        <v>763</v>
      </c>
      <c r="M338" s="251"/>
      <c r="N338" s="244" t="s">
        <v>1885</v>
      </c>
      <c r="O338" s="251" t="str">
        <f>IFERROR(VLOOKUP(BDD[[#This Row],[SUBDPTO]],TABLAS!$B$4:$D$36,3,0)," ")</f>
        <v>MARIANA RODRÍGUEZ GUTIERREZ</v>
      </c>
      <c r="P338" s="258">
        <v>43592</v>
      </c>
      <c r="Q338" s="254">
        <v>6580</v>
      </c>
      <c r="R338" s="255" t="s">
        <v>737</v>
      </c>
      <c r="S338" s="251"/>
      <c r="T338" s="251" t="s">
        <v>301</v>
      </c>
      <c r="U338" s="243">
        <f ca="1">VLOOKUP(BDD[[#This Row],[ANTIG]],DIASXANT18[#All],2)</f>
        <v>14</v>
      </c>
      <c r="V338" s="256">
        <f t="shared" si="22"/>
        <v>0.5</v>
      </c>
      <c r="W338" s="243">
        <f ca="1">BDD[[#This Row],[D.VAC.]]*BDD[[#This Row],[% P.V.]]</f>
        <v>7</v>
      </c>
      <c r="X338" s="243">
        <v>30</v>
      </c>
      <c r="Y338" s="257">
        <f ca="1">(365+BDD[[#This Row],[D.PAG.V.]]+BDD[[#This Row],[D.AG.]])/365</f>
        <v>1.1013698630136985</v>
      </c>
      <c r="Z338" s="243">
        <f ca="1">BDD[[#This Row],[SUE DIA]]*BDD[[#This Row],[FACTOR SDI]]</f>
        <v>346.93150684931504</v>
      </c>
      <c r="AA338" s="243">
        <f>BDD[[#This Row],[SUE DIA]]/9</f>
        <v>35</v>
      </c>
      <c r="AB338" s="251">
        <v>33691</v>
      </c>
      <c r="AC338" s="251" t="s">
        <v>962</v>
      </c>
      <c r="AD338" s="251" t="s">
        <v>786</v>
      </c>
      <c r="AE338" s="252">
        <v>8543221995</v>
      </c>
      <c r="AF338" s="251" t="s">
        <v>1187</v>
      </c>
      <c r="AG338" s="251" t="s">
        <v>776</v>
      </c>
      <c r="AH338" s="251" t="s">
        <v>730</v>
      </c>
      <c r="AI338" s="243" t="s">
        <v>151</v>
      </c>
      <c r="AJ338" s="258" cm="1">
        <f t="array" aca="1" ref="AJ338" ca="1">DATE(YEAR(FECH.CONS[FECHA DE CONSULTA:]),MONTH(BDD[[#This Row],[FECHA NAC]]),DAY(BDD[[#This Row],[FECHA NAC]]))</f>
        <v>44648</v>
      </c>
      <c r="AK338" s="243">
        <v>10</v>
      </c>
      <c r="AL338" s="261" t="s">
        <v>313</v>
      </c>
      <c r="AM338" s="251" t="s">
        <v>1540</v>
      </c>
      <c r="AN338" s="251" t="s">
        <v>162</v>
      </c>
      <c r="AO338" s="245">
        <v>65</v>
      </c>
      <c r="AP338" s="251">
        <f ca="1">INT((TODAY()-BDD[[#This Row],[FECHA NAC]])/365)</f>
        <v>30</v>
      </c>
      <c r="AQ338" s="251">
        <v>2</v>
      </c>
      <c r="AR338" s="251">
        <f ca="1">IF(BDD[[#This Row],[ANTIG]]=0,0,1)</f>
        <v>1</v>
      </c>
      <c r="AS338" s="251"/>
      <c r="AT338" s="251"/>
      <c r="AU338" s="251"/>
      <c r="AV338" s="251"/>
      <c r="AW338" s="251"/>
      <c r="AX338" s="251"/>
      <c r="AY338" s="251"/>
      <c r="AZ338" s="251">
        <f t="shared" ca="1" si="21"/>
        <v>423</v>
      </c>
    </row>
    <row r="339" spans="2:52" x14ac:dyDescent="0.25">
      <c r="B339" s="243">
        <v>517</v>
      </c>
      <c r="C339" s="259" t="s">
        <v>516</v>
      </c>
      <c r="D339" s="252">
        <v>9541</v>
      </c>
      <c r="E339" s="252">
        <f>(BDD[[#This Row],[SUE MENS]]/30)</f>
        <v>318.03333333333336</v>
      </c>
      <c r="F339" s="252">
        <f>BDD[[#This Row],[SUE MENS]]/2</f>
        <v>4770.5</v>
      </c>
      <c r="G339" s="319">
        <v>43375</v>
      </c>
      <c r="H339" s="243">
        <f ca="1">INT(_xlfn.DAYS(TODAY(),BDD[[#This Row],[FECHA ING.]])/365)</f>
        <v>3</v>
      </c>
      <c r="I339" s="251" t="str">
        <f>VLOOKUP(J339,TABLAS!$B$3:$G$49,2,FALSE)</f>
        <v>DIV INGENRIA</v>
      </c>
      <c r="J339" s="198" t="s">
        <v>743</v>
      </c>
      <c r="K339" s="251" t="s">
        <v>778</v>
      </c>
      <c r="L339" s="251" t="s">
        <v>763</v>
      </c>
      <c r="M339" s="251"/>
      <c r="N339" s="253" t="s">
        <v>1856</v>
      </c>
      <c r="O339" s="251" t="str">
        <f>IFERROR(VLOOKUP(BDD[[#This Row],[SUBDPTO]],TABLAS!$B$4:$D$36,3,0)," ")</f>
        <v>DIEGO HERRERA GIRÓN</v>
      </c>
      <c r="P339" s="258">
        <v>41724</v>
      </c>
      <c r="Q339" s="254">
        <v>6580</v>
      </c>
      <c r="R339" s="255" t="s">
        <v>759</v>
      </c>
      <c r="S339" s="255" t="s">
        <v>759</v>
      </c>
      <c r="T339" s="251" t="s">
        <v>811</v>
      </c>
      <c r="U339" s="243">
        <f ca="1">VLOOKUP(BDD[[#This Row],[ANTIG]],DIASXANT18[#All],2)</f>
        <v>14</v>
      </c>
      <c r="V339" s="256">
        <f t="shared" si="22"/>
        <v>0.5</v>
      </c>
      <c r="W339" s="243">
        <f ca="1">BDD[[#This Row],[D.VAC.]]*BDD[[#This Row],[% P.V.]]</f>
        <v>7</v>
      </c>
      <c r="X339" s="243">
        <v>30</v>
      </c>
      <c r="Y339" s="257">
        <f ca="1">(365+BDD[[#This Row],[D.PAG.V.]]+BDD[[#This Row],[D.AG.]])/365</f>
        <v>1.1013698630136985</v>
      </c>
      <c r="Z339" s="243">
        <f ca="1">BDD[[#This Row],[SUE DIA]]*BDD[[#This Row],[FACTOR SDI]]</f>
        <v>350.27232876712327</v>
      </c>
      <c r="AA339" s="243">
        <f>BDD[[#This Row],[SUE DIA]]/9</f>
        <v>35.337037037037042</v>
      </c>
      <c r="AB339" s="251">
        <v>27064</v>
      </c>
      <c r="AC339" s="251" t="s">
        <v>1051</v>
      </c>
      <c r="AD339" s="251" t="s">
        <v>787</v>
      </c>
      <c r="AE339" s="260">
        <v>3354875565</v>
      </c>
      <c r="AF339" s="251" t="s">
        <v>1395</v>
      </c>
      <c r="AG339" s="251" t="s">
        <v>773</v>
      </c>
      <c r="AH339" s="251" t="s">
        <v>730</v>
      </c>
      <c r="AI339" s="243" t="s">
        <v>151</v>
      </c>
      <c r="AJ339" s="258" cm="1">
        <f t="array" aca="1" ref="AJ339" ca="1">DATE(YEAR(FECH.CONS[FECHA DE CONSULTA:]),MONTH(BDD[[#This Row],[FECHA NAC]]),DAY(BDD[[#This Row],[FECHA NAC]]))</f>
        <v>44596</v>
      </c>
      <c r="AK339" s="243">
        <v>7</v>
      </c>
      <c r="AL339" s="261" t="s">
        <v>311</v>
      </c>
      <c r="AM339" s="251" t="s">
        <v>1538</v>
      </c>
      <c r="AN339" s="251" t="s">
        <v>1551</v>
      </c>
      <c r="AO339" s="245">
        <v>83</v>
      </c>
      <c r="AP339" s="251">
        <f ca="1">INT((TODAY()-BDD[[#This Row],[FECHA NAC]])/365)</f>
        <v>48</v>
      </c>
      <c r="AQ339" s="251">
        <v>2</v>
      </c>
      <c r="AR339" s="251">
        <f ca="1">IF(BDD[[#This Row],[ANTIG]]=0,0,1)</f>
        <v>1</v>
      </c>
      <c r="AS339" s="251"/>
      <c r="AT339" s="251"/>
      <c r="AU339" s="251"/>
      <c r="AV339" s="251"/>
      <c r="AW339" s="251"/>
      <c r="AX339" s="251"/>
      <c r="AY339" s="251"/>
      <c r="AZ339" s="251">
        <f t="shared" ca="1" si="21"/>
        <v>517</v>
      </c>
    </row>
    <row r="340" spans="2:52" x14ac:dyDescent="0.25">
      <c r="B340" s="243">
        <v>518</v>
      </c>
      <c r="C340" s="251" t="s">
        <v>1624</v>
      </c>
      <c r="D340" s="252">
        <v>9541</v>
      </c>
      <c r="E340" s="252">
        <f>(BDD[[#This Row],[SUE MENS]]/30)</f>
        <v>318.03333333333336</v>
      </c>
      <c r="F340" s="252">
        <f>BDD[[#This Row],[SUE MENS]]/2</f>
        <v>4770.5</v>
      </c>
      <c r="G340" s="319">
        <v>43377</v>
      </c>
      <c r="H340" s="243">
        <f ca="1">INT(_xlfn.DAYS(TODAY(),BDD[[#This Row],[FECHA ING.]])/365)</f>
        <v>3</v>
      </c>
      <c r="I340" s="251" t="str">
        <f>VLOOKUP(J340,TABLAS!$B$3:$G$49,2,FALSE)</f>
        <v>CPTAL HUMANO</v>
      </c>
      <c r="J340" s="244" t="s">
        <v>767</v>
      </c>
      <c r="K340" s="251" t="s">
        <v>778</v>
      </c>
      <c r="L340" s="251" t="s">
        <v>763</v>
      </c>
      <c r="M340" s="251"/>
      <c r="N340" s="244" t="s">
        <v>1999</v>
      </c>
      <c r="O340" s="251" t="str">
        <f>IFERROR(VLOOKUP(BDD[[#This Row],[SUBDPTO]],TABLAS!$B$4:$D$36,3,0)," ")</f>
        <v>EMMA DARIELA GARCÍA LORCA</v>
      </c>
      <c r="P340" s="258">
        <f>BDD[[#This Row],[FECHA ING.]]+1000</f>
        <v>44377</v>
      </c>
      <c r="Q340" s="254">
        <v>5211.5</v>
      </c>
      <c r="R340" s="244" t="s">
        <v>750</v>
      </c>
      <c r="S340" s="251"/>
      <c r="T340" s="251" t="s">
        <v>301</v>
      </c>
      <c r="U340" s="243">
        <f ca="1">VLOOKUP(BDD[[#This Row],[ANTIG]],DIASXANT18[#All],2)</f>
        <v>14</v>
      </c>
      <c r="V340" s="256">
        <f t="shared" si="22"/>
        <v>0.5</v>
      </c>
      <c r="W340" s="243">
        <f ca="1">BDD[[#This Row],[D.VAC.]]*BDD[[#This Row],[% P.V.]]</f>
        <v>7</v>
      </c>
      <c r="X340" s="243">
        <v>30</v>
      </c>
      <c r="Y340" s="257">
        <f ca="1">(365+BDD[[#This Row],[D.PAG.V.]]+BDD[[#This Row],[D.AG.]])/365</f>
        <v>1.1013698630136985</v>
      </c>
      <c r="Z340" s="243">
        <f ca="1">BDD[[#This Row],[SUE DIA]]*BDD[[#This Row],[FACTOR SDI]]</f>
        <v>350.27232876712327</v>
      </c>
      <c r="AA340" s="243">
        <f>BDD[[#This Row],[SUE DIA]]/9</f>
        <v>35.337037037037042</v>
      </c>
      <c r="AB340" s="251">
        <v>33101</v>
      </c>
      <c r="AC340" s="251" t="s">
        <v>1000</v>
      </c>
      <c r="AD340" s="251" t="s">
        <v>809</v>
      </c>
      <c r="AE340" s="252">
        <v>8979001343</v>
      </c>
      <c r="AF340" s="251" t="s">
        <v>1233</v>
      </c>
      <c r="AG340" s="251" t="s">
        <v>776</v>
      </c>
      <c r="AH340" s="251" t="s">
        <v>726</v>
      </c>
      <c r="AI340" s="243" t="s">
        <v>153</v>
      </c>
      <c r="AJ340" s="258" cm="1">
        <f t="array" aca="1" ref="AJ340" ca="1">DATE(YEAR(FECH.CONS[FECHA DE CONSULTA:]),MONTH(BDD[[#This Row],[FECHA NAC]]),DAY(BDD[[#This Row],[FECHA NAC]]))</f>
        <v>44789</v>
      </c>
      <c r="AK340" s="243"/>
      <c r="AL340" s="261" t="s">
        <v>312</v>
      </c>
      <c r="AM340" s="251" t="s">
        <v>1537</v>
      </c>
      <c r="AN340" s="251" t="s">
        <v>1551</v>
      </c>
      <c r="AO340" s="245">
        <v>42</v>
      </c>
      <c r="AP340" s="251">
        <f ca="1">INT((TODAY()-BDD[[#This Row],[FECHA NAC]])/365)</f>
        <v>31</v>
      </c>
      <c r="AQ340" s="251">
        <v>2</v>
      </c>
      <c r="AR340" s="251">
        <f ca="1">IF(BDD[[#This Row],[ANTIG]]=0,0,1)</f>
        <v>1</v>
      </c>
      <c r="AS340" s="251"/>
      <c r="AT340" s="251"/>
      <c r="AU340" s="251"/>
      <c r="AV340" s="251"/>
      <c r="AW340" s="251"/>
      <c r="AX340" s="251"/>
      <c r="AY340" s="251"/>
      <c r="AZ340" s="251">
        <f t="shared" ca="1" si="21"/>
        <v>96</v>
      </c>
    </row>
    <row r="341" spans="2:52" x14ac:dyDescent="0.25">
      <c r="B341" s="243">
        <v>519</v>
      </c>
      <c r="C341" s="251" t="s">
        <v>820</v>
      </c>
      <c r="D341" s="252">
        <v>7445</v>
      </c>
      <c r="E341" s="252">
        <f>(BDD[[#This Row],[SUE MENS]]/30)</f>
        <v>248.16666666666666</v>
      </c>
      <c r="F341" s="252">
        <f>BDD[[#This Row],[SUE MENS]]/2</f>
        <v>3722.5</v>
      </c>
      <c r="G341" s="319">
        <v>43378</v>
      </c>
      <c r="H341" s="243">
        <f ca="1">INT(_xlfn.DAYS(TODAY(),BDD[[#This Row],[FECHA ING.]])/365)</f>
        <v>3</v>
      </c>
      <c r="I341" s="251" t="str">
        <f>VLOOKUP(J341,TABLAS!$B$3:$G$49,2,FALSE)</f>
        <v>FINANZAS</v>
      </c>
      <c r="J341" s="198" t="s">
        <v>747</v>
      </c>
      <c r="K341" s="251" t="s">
        <v>778</v>
      </c>
      <c r="L341" s="251" t="s">
        <v>763</v>
      </c>
      <c r="M341" s="251"/>
      <c r="N341" s="244" t="s">
        <v>1980</v>
      </c>
      <c r="O341" s="251" t="str">
        <f>IFERROR(VLOOKUP(BDD[[#This Row],[SUBDPTO]],TABLAS!$B$4:$D$36,3,0)," ")</f>
        <v>MARIANO ALDEBARÁN</v>
      </c>
      <c r="P341" s="258"/>
      <c r="Q341" s="264"/>
      <c r="R341" s="244"/>
      <c r="S341" s="251"/>
      <c r="T341" s="251" t="s">
        <v>301</v>
      </c>
      <c r="U341" s="243">
        <f ca="1">VLOOKUP(BDD[[#This Row],[ANTIG]],DIASXANT18[#All],2)</f>
        <v>14</v>
      </c>
      <c r="V341" s="256">
        <f t="shared" si="22"/>
        <v>0.5</v>
      </c>
      <c r="W341" s="243">
        <f ca="1">BDD[[#This Row],[D.VAC.]]*BDD[[#This Row],[% P.V.]]</f>
        <v>7</v>
      </c>
      <c r="X341" s="243">
        <v>30</v>
      </c>
      <c r="Y341" s="257">
        <f ca="1">(365+BDD[[#This Row],[D.PAG.V.]]+BDD[[#This Row],[D.AG.]])/365</f>
        <v>1.1013698630136985</v>
      </c>
      <c r="Z341" s="243">
        <f ca="1">BDD[[#This Row],[SUE DIA]]*BDD[[#This Row],[FACTOR SDI]]</f>
        <v>273.32328767123283</v>
      </c>
      <c r="AA341" s="243">
        <f>BDD[[#This Row],[SUE DIA]]/9</f>
        <v>27.574074074074073</v>
      </c>
      <c r="AB341" s="251">
        <v>35501</v>
      </c>
      <c r="AC341" s="251" t="s">
        <v>1009</v>
      </c>
      <c r="AD341" s="251" t="s">
        <v>786</v>
      </c>
      <c r="AE341" s="252">
        <v>8260814898</v>
      </c>
      <c r="AF341" s="251" t="s">
        <v>1263</v>
      </c>
      <c r="AG341" s="251" t="s">
        <v>776</v>
      </c>
      <c r="AH341" s="251" t="s">
        <v>730</v>
      </c>
      <c r="AI341" s="243" t="s">
        <v>151</v>
      </c>
      <c r="AJ341" s="258" cm="1">
        <f t="array" aca="1" ref="AJ341" ca="1">DATE(YEAR(FECH.CONS[FECHA DE CONSULTA:]),MONTH(BDD[[#This Row],[FECHA NAC]]),DAY(BDD[[#This Row],[FECHA NAC]]))</f>
        <v>44632</v>
      </c>
      <c r="AK341" s="243">
        <v>10</v>
      </c>
      <c r="AL341" s="261" t="s">
        <v>311</v>
      </c>
      <c r="AM341" s="251" t="s">
        <v>1544</v>
      </c>
      <c r="AN341" s="251" t="s">
        <v>1551</v>
      </c>
      <c r="AO341" s="245">
        <v>97</v>
      </c>
      <c r="AP341" s="251">
        <f ca="1">INT((TODAY()-BDD[[#This Row],[FECHA NAC]])/365)</f>
        <v>25</v>
      </c>
      <c r="AQ341" s="251">
        <v>0</v>
      </c>
      <c r="AR341" s="251">
        <f ca="1">IF(BDD[[#This Row],[ANTIG]]=0,0,1)</f>
        <v>1</v>
      </c>
      <c r="AS341" s="251"/>
      <c r="AT341" s="251"/>
      <c r="AU341" s="251"/>
      <c r="AV341" s="251"/>
      <c r="AW341" s="251"/>
      <c r="AX341" s="251"/>
      <c r="AY341" s="251"/>
      <c r="AZ341" s="251">
        <f t="shared" ca="1" si="21"/>
        <v>514</v>
      </c>
    </row>
    <row r="342" spans="2:52" x14ac:dyDescent="0.25">
      <c r="B342" s="243">
        <v>520</v>
      </c>
      <c r="C342" s="262" t="s">
        <v>398</v>
      </c>
      <c r="D342" s="252">
        <v>7445</v>
      </c>
      <c r="E342" s="252">
        <f>(BDD[[#This Row],[SUE MENS]]/30)</f>
        <v>248.16666666666666</v>
      </c>
      <c r="F342" s="252">
        <f>BDD[[#This Row],[SUE MENS]]/2</f>
        <v>3722.5</v>
      </c>
      <c r="G342" s="319">
        <v>43379</v>
      </c>
      <c r="H342" s="243">
        <f ca="1">INT(_xlfn.DAYS(TODAY(),BDD[[#This Row],[FECHA ING.]])/365)</f>
        <v>3</v>
      </c>
      <c r="I342" s="251" t="str">
        <f>VLOOKUP(J342,TABLAS!$B$3:$G$49,2,FALSE)</f>
        <v>AUDITORÍA</v>
      </c>
      <c r="J342" s="198" t="s">
        <v>734</v>
      </c>
      <c r="K342" s="251" t="s">
        <v>778</v>
      </c>
      <c r="L342" s="251" t="s">
        <v>763</v>
      </c>
      <c r="M342" s="251"/>
      <c r="N342" s="253" t="s">
        <v>1763</v>
      </c>
      <c r="O342" s="251" t="str">
        <f>IFERROR(VLOOKUP(BDD[[#This Row],[SUBDPTO]],TABLAS!$B$4:$D$36,3,0)," ")</f>
        <v>MARCO AURELIO URBINO</v>
      </c>
      <c r="P342" s="258"/>
      <c r="Q342" s="264"/>
      <c r="R342" s="244"/>
      <c r="S342" s="251"/>
      <c r="T342" s="251" t="s">
        <v>811</v>
      </c>
      <c r="U342" s="243">
        <f ca="1">VLOOKUP(BDD[[#This Row],[ANTIG]],DIASXANT18[#All],2)</f>
        <v>14</v>
      </c>
      <c r="V342" s="256">
        <f t="shared" si="22"/>
        <v>0.5</v>
      </c>
      <c r="W342" s="243">
        <f ca="1">BDD[[#This Row],[D.VAC.]]*BDD[[#This Row],[% P.V.]]</f>
        <v>7</v>
      </c>
      <c r="X342" s="243">
        <v>30</v>
      </c>
      <c r="Y342" s="257">
        <f ca="1">(365+BDD[[#This Row],[D.PAG.V.]]+BDD[[#This Row],[D.AG.]])/365</f>
        <v>1.1013698630136985</v>
      </c>
      <c r="Z342" s="243">
        <f ca="1">BDD[[#This Row],[SUE DIA]]*BDD[[#This Row],[FACTOR SDI]]</f>
        <v>273.32328767123283</v>
      </c>
      <c r="AA342" s="243">
        <f>BDD[[#This Row],[SUE DIA]]/9</f>
        <v>27.574074074074073</v>
      </c>
      <c r="AB342" s="262">
        <v>34476</v>
      </c>
      <c r="AC342" s="251" t="s">
        <v>998</v>
      </c>
      <c r="AD342" s="251" t="s">
        <v>789</v>
      </c>
      <c r="AE342" s="252">
        <v>8304323642</v>
      </c>
      <c r="AF342" s="251" t="s">
        <v>1299</v>
      </c>
      <c r="AG342" s="251" t="s">
        <v>776</v>
      </c>
      <c r="AH342" s="251" t="s">
        <v>726</v>
      </c>
      <c r="AI342" s="243" t="s">
        <v>151</v>
      </c>
      <c r="AJ342" s="258" cm="1">
        <f t="array" aca="1" ref="AJ342" ca="1">DATE(YEAR(FECH.CONS[FECHA DE CONSULTA:]),MONTH(BDD[[#This Row],[FECHA NAC]]),DAY(BDD[[#This Row],[FECHA NAC]]))</f>
        <v>44703</v>
      </c>
      <c r="AK342" s="243">
        <v>10</v>
      </c>
      <c r="AL342" s="261" t="s">
        <v>325</v>
      </c>
      <c r="AM342" s="251" t="s">
        <v>1544</v>
      </c>
      <c r="AN342" s="251" t="s">
        <v>1551</v>
      </c>
      <c r="AO342" s="245">
        <v>60</v>
      </c>
      <c r="AP342" s="251">
        <f ca="1">INT((TODAY()-BDD[[#This Row],[FECHA NAC]])/365)</f>
        <v>28</v>
      </c>
      <c r="AQ342" s="251">
        <v>3</v>
      </c>
      <c r="AR342" s="251">
        <f ca="1">IF(BDD[[#This Row],[ANTIG]]=0,0,1)</f>
        <v>1</v>
      </c>
      <c r="AS342" s="251"/>
      <c r="AT342" s="251"/>
      <c r="AU342" s="251"/>
      <c r="AV342" s="251"/>
      <c r="AW342" s="251"/>
      <c r="AX342" s="251"/>
      <c r="AY342" s="251"/>
      <c r="AZ342" s="251">
        <f t="shared" ca="1" si="21"/>
        <v>727</v>
      </c>
    </row>
    <row r="343" spans="2:52" x14ac:dyDescent="0.25">
      <c r="B343" s="243">
        <v>521</v>
      </c>
      <c r="C343" s="251" t="s">
        <v>1620</v>
      </c>
      <c r="D343" s="252">
        <v>17750</v>
      </c>
      <c r="E343" s="252">
        <f>(BDD[[#This Row],[SUE MENS]]/30)</f>
        <v>591.66666666666663</v>
      </c>
      <c r="F343" s="252">
        <f>BDD[[#This Row],[SUE MENS]]/2</f>
        <v>8875</v>
      </c>
      <c r="G343" s="319">
        <v>43380</v>
      </c>
      <c r="H343" s="243">
        <f ca="1">INT(_xlfn.DAYS(TODAY(),BDD[[#This Row],[FECHA ING.]])/365)</f>
        <v>3</v>
      </c>
      <c r="I343" s="251" t="str">
        <f>VLOOKUP(J343,TABLAS!$B$3:$G$49,2,FALSE)</f>
        <v>TECNOLOGÍA</v>
      </c>
      <c r="J343" s="198" t="s">
        <v>750</v>
      </c>
      <c r="K343" s="251" t="s">
        <v>778</v>
      </c>
      <c r="L343" s="251" t="s">
        <v>763</v>
      </c>
      <c r="M343" s="274"/>
      <c r="N343" s="253" t="s">
        <v>1792</v>
      </c>
      <c r="O343" s="251" t="str">
        <f>IFERROR(VLOOKUP(BDD[[#This Row],[SUBDPTO]],TABLAS!$B$4:$D$36,3,0)," ")</f>
        <v>DENEB SANTIAGO ALTAIR VEGA</v>
      </c>
      <c r="P343" s="258">
        <f>BDD[[#This Row],[FECHA ING.]]+700</f>
        <v>44080</v>
      </c>
      <c r="Q343" s="254">
        <v>12425</v>
      </c>
      <c r="R343" s="251" t="s">
        <v>756</v>
      </c>
      <c r="S343" s="251"/>
      <c r="T343" s="251" t="s">
        <v>301</v>
      </c>
      <c r="U343" s="243">
        <f ca="1">VLOOKUP(BDD[[#This Row],[ANTIG]],DIASXANT18[#All],2)</f>
        <v>14</v>
      </c>
      <c r="V343" s="256">
        <f t="shared" si="22"/>
        <v>0.5</v>
      </c>
      <c r="W343" s="243">
        <f ca="1">BDD[[#This Row],[D.VAC.]]*BDD[[#This Row],[% P.V.]]</f>
        <v>7</v>
      </c>
      <c r="X343" s="243">
        <v>30</v>
      </c>
      <c r="Y343" s="257">
        <f ca="1">(365+BDD[[#This Row],[D.PAG.V.]]+BDD[[#This Row],[D.AG.]])/365</f>
        <v>1.1013698630136985</v>
      </c>
      <c r="Z343" s="243">
        <f ca="1">BDD[[#This Row],[SUE DIA]]*BDD[[#This Row],[FACTOR SDI]]</f>
        <v>651.64383561643831</v>
      </c>
      <c r="AA343" s="243">
        <f>BDD[[#This Row],[SUE DIA]]/9</f>
        <v>65.740740740740733</v>
      </c>
      <c r="AB343" s="251">
        <v>35459</v>
      </c>
      <c r="AC343" s="251" t="s">
        <v>1019</v>
      </c>
      <c r="AD343" s="251" t="s">
        <v>789</v>
      </c>
      <c r="AE343" s="252">
        <v>8588837042</v>
      </c>
      <c r="AF343" s="251" t="s">
        <v>1284</v>
      </c>
      <c r="AG343" s="251" t="s">
        <v>776</v>
      </c>
      <c r="AH343" s="251" t="s">
        <v>1555</v>
      </c>
      <c r="AI343" s="243" t="s">
        <v>151</v>
      </c>
      <c r="AJ343" s="258" cm="1">
        <f t="array" aca="1" ref="AJ343" ca="1">DATE(YEAR(FECH.CONS[FECHA DE CONSULTA:]),MONTH(BDD[[#This Row],[FECHA NAC]]),DAY(BDD[[#This Row],[FECHA NAC]]))</f>
        <v>44590</v>
      </c>
      <c r="AK343" s="243"/>
      <c r="AL343" s="261" t="s">
        <v>311</v>
      </c>
      <c r="AM343" s="251" t="s">
        <v>1547</v>
      </c>
      <c r="AN343" s="251" t="s">
        <v>1551</v>
      </c>
      <c r="AO343" s="245">
        <v>72</v>
      </c>
      <c r="AP343" s="251">
        <f ca="1">INT((TODAY()-BDD[[#This Row],[FECHA NAC]])/365)</f>
        <v>25</v>
      </c>
      <c r="AQ343" s="251">
        <v>3</v>
      </c>
      <c r="AR343" s="251">
        <f ca="1">IF(BDD[[#This Row],[ANTIG]]=0,0,1)</f>
        <v>1</v>
      </c>
      <c r="AS343" s="251"/>
      <c r="AT343" s="251"/>
      <c r="AU343" s="251"/>
      <c r="AV343" s="251"/>
      <c r="AW343" s="251"/>
      <c r="AX343" s="251"/>
      <c r="AY343" s="251"/>
      <c r="AZ343" s="251">
        <f t="shared" ca="1" si="21"/>
        <v>634</v>
      </c>
    </row>
    <row r="344" spans="2:52" x14ac:dyDescent="0.25">
      <c r="B344" s="246">
        <v>522</v>
      </c>
      <c r="C344" s="244" t="s">
        <v>1594</v>
      </c>
      <c r="D344" s="244">
        <v>6778</v>
      </c>
      <c r="E344" s="244">
        <f>(BDD[[#This Row],[SUE MENS]]/30)</f>
        <v>225.93333333333334</v>
      </c>
      <c r="F344" s="244">
        <f>BDD[[#This Row],[SUE MENS]]/2</f>
        <v>3389</v>
      </c>
      <c r="G344" s="320">
        <v>43403</v>
      </c>
      <c r="H344" s="244">
        <f ca="1">INT(_xlfn.DAYS(TODAY(),BDD[[#This Row],[FECHA ING.]])/365)</f>
        <v>3</v>
      </c>
      <c r="I344" s="251" t="str">
        <f>VLOOKUP(J344,TABLAS!$B$3:$G$49,2,FALSE)</f>
        <v>AUDITORÍA</v>
      </c>
      <c r="J344" s="244" t="s">
        <v>736</v>
      </c>
      <c r="K344" s="244" t="s">
        <v>778</v>
      </c>
      <c r="L344" s="244" t="s">
        <v>763</v>
      </c>
      <c r="M344" s="244">
        <v>0</v>
      </c>
      <c r="N344" s="253" t="s">
        <v>2176</v>
      </c>
      <c r="O344" s="244" t="str">
        <f>IFERROR(VLOOKUP(BDD[[#This Row],[SUBDPTO]],TABLAS!$B$4:$D$36,3,0)," ")</f>
        <v>MARCO AURELIO URBINO</v>
      </c>
      <c r="P344" s="268"/>
      <c r="Q344" s="244"/>
      <c r="R344" s="244"/>
      <c r="S344" s="244"/>
      <c r="T344" s="244" t="s">
        <v>811</v>
      </c>
      <c r="U344" s="265">
        <f ca="1">VLOOKUP(BDD[[#This Row],[ANTIG]],DIASXANT18[#All],2)</f>
        <v>14</v>
      </c>
      <c r="V344" s="266">
        <v>0.25</v>
      </c>
      <c r="W344" s="265">
        <f ca="1">BDD[[#This Row],[D.VAC.]]*BDD[[#This Row],[% P.V.]]</f>
        <v>3.5</v>
      </c>
      <c r="X344" s="265">
        <v>15</v>
      </c>
      <c r="Y344" s="267">
        <f ca="1">(365+BDD[[#This Row],[D.PAG.V.]]+BDD[[#This Row],[D.AG.]])/365</f>
        <v>1.0506849315068494</v>
      </c>
      <c r="Z344" s="265">
        <f ca="1">BDD[[#This Row],[SUE DIA]]*BDD[[#This Row],[FACTOR SDI]]</f>
        <v>237.38474885844749</v>
      </c>
      <c r="AA344" s="265">
        <f>BDD[[#This Row],[SUE DIA]]/9</f>
        <v>25.103703703703705</v>
      </c>
      <c r="AB344" s="244">
        <v>32803</v>
      </c>
      <c r="AC344" s="244" t="s">
        <v>1612</v>
      </c>
      <c r="AD344" s="244" t="s">
        <v>809</v>
      </c>
      <c r="AE344" s="244">
        <v>8574415263</v>
      </c>
      <c r="AF344" s="244" t="s">
        <v>1595</v>
      </c>
      <c r="AG344" s="244" t="s">
        <v>775</v>
      </c>
      <c r="AH344" s="244" t="s">
        <v>730</v>
      </c>
      <c r="AI344" s="244" t="s">
        <v>152</v>
      </c>
      <c r="AJ344" s="268" cm="1">
        <f t="array" aca="1" ref="AJ344" ca="1">DATE(YEAR(FECH.CONS[FECHA DE CONSULTA:]),MONTH(BDD[[#This Row],[FECHA NAC]]),DAY(BDD[[#This Row],[FECHA NAC]]))</f>
        <v>44856</v>
      </c>
      <c r="AK344" s="244">
        <v>3</v>
      </c>
      <c r="AL344" s="244" t="s">
        <v>311</v>
      </c>
      <c r="AM344" s="244" t="s">
        <v>1596</v>
      </c>
      <c r="AN344" s="244">
        <v>0</v>
      </c>
      <c r="AO344" s="244">
        <v>40</v>
      </c>
      <c r="AP344" s="244">
        <f ca="1">INT((TODAY()-BDD[[#This Row],[FECHA NAC]])/365)</f>
        <v>32</v>
      </c>
      <c r="AQ344" s="244">
        <v>2</v>
      </c>
      <c r="AR344" s="244">
        <f ca="1">IF(BDD[[#This Row],[ANTIG]]=0,0,1)</f>
        <v>1</v>
      </c>
      <c r="AS344" s="244"/>
      <c r="AT344" s="244"/>
      <c r="AU344" s="244"/>
      <c r="AV344" s="244"/>
      <c r="AW344" s="244"/>
      <c r="AX344" s="244"/>
      <c r="AY344" s="244"/>
      <c r="AZ344" s="244">
        <f t="shared" ca="1" si="21"/>
        <v>944</v>
      </c>
    </row>
    <row r="345" spans="2:52" x14ac:dyDescent="0.25">
      <c r="B345" s="243">
        <v>523</v>
      </c>
      <c r="C345" s="259" t="s">
        <v>677</v>
      </c>
      <c r="D345" s="263">
        <v>7445</v>
      </c>
      <c r="E345" s="252">
        <f>(BDD[[#This Row],[SUE MENS]]/30)</f>
        <v>248.16666666666666</v>
      </c>
      <c r="F345" s="252">
        <f>BDD[[#This Row],[SUE MENS]]/2</f>
        <v>3722.5</v>
      </c>
      <c r="G345" s="319">
        <v>43410</v>
      </c>
      <c r="H345" s="243">
        <f ca="1">INT(_xlfn.DAYS(TODAY(),BDD[[#This Row],[FECHA ING.]])/365)</f>
        <v>3</v>
      </c>
      <c r="I345" s="251" t="str">
        <f>VLOOKUP(J345,TABLAS!$B$3:$G$49,2,FALSE)</f>
        <v>CONTRATOS</v>
      </c>
      <c r="J345" s="198" t="s">
        <v>739</v>
      </c>
      <c r="K345" s="251" t="s">
        <v>778</v>
      </c>
      <c r="L345" s="251" t="s">
        <v>763</v>
      </c>
      <c r="M345" s="251"/>
      <c r="N345" s="253" t="s">
        <v>1838</v>
      </c>
      <c r="O345" s="251" t="str">
        <f>IFERROR(VLOOKUP(BDD[[#This Row],[SUBDPTO]],TABLAS!$B$4:$D$36,3,0)," ")</f>
        <v>IDALIA GARCÍA ESCRIVÁ</v>
      </c>
      <c r="P345" s="258"/>
      <c r="Q345" s="264"/>
      <c r="R345" s="244"/>
      <c r="S345" s="251"/>
      <c r="T345" s="251" t="s">
        <v>301</v>
      </c>
      <c r="U345" s="243">
        <f ca="1">VLOOKUP(BDD[[#This Row],[ANTIG]],DIASXANT18[#All],2)</f>
        <v>14</v>
      </c>
      <c r="V345" s="256">
        <f t="shared" ref="V345:V350" si="23">100/200</f>
        <v>0.5</v>
      </c>
      <c r="W345" s="243">
        <f ca="1">BDD[[#This Row],[D.VAC.]]*BDD[[#This Row],[% P.V.]]</f>
        <v>7</v>
      </c>
      <c r="X345" s="243">
        <v>30</v>
      </c>
      <c r="Y345" s="257">
        <f ca="1">(365+BDD[[#This Row],[D.PAG.V.]]+BDD[[#This Row],[D.AG.]])/365</f>
        <v>1.1013698630136985</v>
      </c>
      <c r="Z345" s="243">
        <f ca="1">BDD[[#This Row],[SUE DIA]]*BDD[[#This Row],[FACTOR SDI]]</f>
        <v>273.32328767123283</v>
      </c>
      <c r="AA345" s="243">
        <f>BDD[[#This Row],[SUE DIA]]/9</f>
        <v>27.574074074074073</v>
      </c>
      <c r="AB345" s="251">
        <v>34794</v>
      </c>
      <c r="AC345" s="251" t="s">
        <v>1004</v>
      </c>
      <c r="AD345" s="251" t="s">
        <v>810</v>
      </c>
      <c r="AE345" s="260">
        <v>7067123728</v>
      </c>
      <c r="AF345" s="251" t="s">
        <v>1503</v>
      </c>
      <c r="AG345" s="251" t="s">
        <v>773</v>
      </c>
      <c r="AH345" s="251" t="s">
        <v>727</v>
      </c>
      <c r="AI345" s="243" t="s">
        <v>151</v>
      </c>
      <c r="AJ345" s="258" cm="1">
        <f t="array" aca="1" ref="AJ345" ca="1">DATE(YEAR(FECH.CONS[FECHA DE CONSULTA:]),MONTH(BDD[[#This Row],[FECHA NAC]]),DAY(BDD[[#This Row],[FECHA NAC]]))</f>
        <v>44656</v>
      </c>
      <c r="AK345" s="243"/>
      <c r="AL345" s="261" t="s">
        <v>311</v>
      </c>
      <c r="AM345" s="251" t="s">
        <v>1538</v>
      </c>
      <c r="AN345" s="251" t="s">
        <v>1554</v>
      </c>
      <c r="AO345" s="245">
        <v>62</v>
      </c>
      <c r="AP345" s="251">
        <f ca="1">INT((TODAY()-BDD[[#This Row],[FECHA NAC]])/365)</f>
        <v>27</v>
      </c>
      <c r="AQ345" s="251">
        <v>2</v>
      </c>
      <c r="AR345" s="251">
        <f ca="1">IF(BDD[[#This Row],[ANTIG]]=0,0,1)</f>
        <v>1</v>
      </c>
      <c r="AS345" s="251"/>
      <c r="AT345" s="251"/>
      <c r="AU345" s="251"/>
      <c r="AV345" s="251"/>
      <c r="AW345" s="251"/>
      <c r="AX345" s="251"/>
      <c r="AY345" s="251"/>
      <c r="AZ345" s="251">
        <f t="shared" ca="1" si="21"/>
        <v>202</v>
      </c>
    </row>
    <row r="346" spans="2:52" x14ac:dyDescent="0.25">
      <c r="B346" s="243">
        <v>524</v>
      </c>
      <c r="C346" s="251" t="s">
        <v>435</v>
      </c>
      <c r="D346" s="252">
        <v>10860</v>
      </c>
      <c r="E346" s="252">
        <f>(BDD[[#This Row],[SUE MENS]]/30)</f>
        <v>362</v>
      </c>
      <c r="F346" s="252">
        <f>BDD[[#This Row],[SUE MENS]]/2</f>
        <v>5430</v>
      </c>
      <c r="G346" s="320">
        <v>43429</v>
      </c>
      <c r="H346" s="243">
        <f ca="1">INT(_xlfn.DAYS(TODAY(),BDD[[#This Row],[FECHA ING.]])/365)</f>
        <v>3</v>
      </c>
      <c r="I346" s="251" t="str">
        <f>VLOOKUP(J346,TABLAS!$B$3:$G$49,2,FALSE)</f>
        <v>AUDITORÍA</v>
      </c>
      <c r="J346" s="198" t="s">
        <v>735</v>
      </c>
      <c r="K346" s="251" t="s">
        <v>778</v>
      </c>
      <c r="L346" s="251" t="s">
        <v>763</v>
      </c>
      <c r="M346" s="251"/>
      <c r="N346" s="244" t="s">
        <v>2217</v>
      </c>
      <c r="O346" s="251" t="str">
        <f>IFERROR(VLOOKUP(BDD[[#This Row],[SUBDPTO]],TABLAS!$B$4:$D$36,3,0)," ")</f>
        <v>MARCO AURELIO URBINO</v>
      </c>
      <c r="P346" s="258">
        <f>BDD[[#This Row],[FECHA ING.]]+1000</f>
        <v>44429</v>
      </c>
      <c r="Q346" s="254">
        <v>8540</v>
      </c>
      <c r="R346" s="251" t="s">
        <v>742</v>
      </c>
      <c r="S346" s="244" t="s">
        <v>757</v>
      </c>
      <c r="T346" s="251" t="s">
        <v>811</v>
      </c>
      <c r="U346" s="243">
        <f ca="1">VLOOKUP(BDD[[#This Row],[ANTIG]],DIASXANT18[#All],2)</f>
        <v>14</v>
      </c>
      <c r="V346" s="256">
        <f t="shared" si="23"/>
        <v>0.5</v>
      </c>
      <c r="W346" s="243">
        <f ca="1">BDD[[#This Row],[D.VAC.]]*BDD[[#This Row],[% P.V.]]</f>
        <v>7</v>
      </c>
      <c r="X346" s="243">
        <v>30</v>
      </c>
      <c r="Y346" s="257">
        <f ca="1">(365+BDD[[#This Row],[D.PAG.V.]]+BDD[[#This Row],[D.AG.]])/365</f>
        <v>1.1013698630136985</v>
      </c>
      <c r="Z346" s="243">
        <f ca="1">BDD[[#This Row],[SUE DIA]]*BDD[[#This Row],[FACTOR SDI]]</f>
        <v>398.6958904109589</v>
      </c>
      <c r="AA346" s="243">
        <f>BDD[[#This Row],[SUE DIA]]/9</f>
        <v>40.222222222222221</v>
      </c>
      <c r="AB346" s="251">
        <v>31086</v>
      </c>
      <c r="AC346" s="251" t="s">
        <v>952</v>
      </c>
      <c r="AD346" s="251" t="s">
        <v>787</v>
      </c>
      <c r="AE346" s="252">
        <v>8115127929</v>
      </c>
      <c r="AF346" s="251" t="s">
        <v>1291</v>
      </c>
      <c r="AG346" s="251" t="s">
        <v>776</v>
      </c>
      <c r="AH346" s="251" t="s">
        <v>726</v>
      </c>
      <c r="AI346" s="243" t="s">
        <v>151</v>
      </c>
      <c r="AJ346" s="258" cm="1">
        <f t="array" aca="1" ref="AJ346" ca="1">DATE(YEAR(FECH.CONS[FECHA DE CONSULTA:]),MONTH(BDD[[#This Row],[FECHA NAC]]),DAY(BDD[[#This Row],[FECHA NAC]]))</f>
        <v>44600</v>
      </c>
      <c r="AK346" s="243"/>
      <c r="AL346" s="251" t="s">
        <v>311</v>
      </c>
      <c r="AM346" s="251" t="s">
        <v>1533</v>
      </c>
      <c r="AN346" s="251" t="s">
        <v>1551</v>
      </c>
      <c r="AO346" s="245">
        <v>77</v>
      </c>
      <c r="AP346" s="251">
        <f ca="1">INT((TODAY()-BDD[[#This Row],[FECHA NAC]])/365)</f>
        <v>37</v>
      </c>
      <c r="AQ346" s="251">
        <v>1</v>
      </c>
      <c r="AR346" s="251">
        <f ca="1">IF(BDD[[#This Row],[ANTIG]]=0,0,1)</f>
        <v>1</v>
      </c>
      <c r="AS346" s="251"/>
      <c r="AT346" s="251"/>
      <c r="AU346" s="251"/>
      <c r="AV346" s="251"/>
      <c r="AW346" s="251"/>
      <c r="AX346" s="251"/>
      <c r="AY346" s="251"/>
      <c r="AZ346" s="251">
        <f t="shared" ca="1" si="21"/>
        <v>964</v>
      </c>
    </row>
    <row r="347" spans="2:52" x14ac:dyDescent="0.25">
      <c r="B347" s="243">
        <v>525</v>
      </c>
      <c r="C347" s="259" t="s">
        <v>504</v>
      </c>
      <c r="D347" s="252">
        <v>10860</v>
      </c>
      <c r="E347" s="252">
        <f>(BDD[[#This Row],[SUE MENS]]/30)</f>
        <v>362</v>
      </c>
      <c r="F347" s="252">
        <f>BDD[[#This Row],[SUE MENS]]/2</f>
        <v>5430</v>
      </c>
      <c r="G347" s="319">
        <v>43436</v>
      </c>
      <c r="H347" s="243">
        <f ca="1">INT(_xlfn.DAYS(TODAY(),BDD[[#This Row],[FECHA ING.]])/365)</f>
        <v>3</v>
      </c>
      <c r="I347" s="251" t="str">
        <f>VLOOKUP(J347,TABLAS!$B$3:$G$49,2,FALSE)</f>
        <v>AUDITORÍA</v>
      </c>
      <c r="J347" s="198" t="s">
        <v>734</v>
      </c>
      <c r="K347" s="251" t="s">
        <v>778</v>
      </c>
      <c r="L347" s="251" t="s">
        <v>763</v>
      </c>
      <c r="M347" s="251"/>
      <c r="N347" s="253" t="s">
        <v>1951</v>
      </c>
      <c r="O347" s="251" t="str">
        <f>IFERROR(VLOOKUP(BDD[[#This Row],[SUBDPTO]],TABLAS!$B$4:$D$36,3,0)," ")</f>
        <v>MARCO AURELIO URBINO</v>
      </c>
      <c r="P347" s="258">
        <v>42253</v>
      </c>
      <c r="Q347" s="254">
        <v>6158.4000000000005</v>
      </c>
      <c r="R347" s="255" t="s">
        <v>741</v>
      </c>
      <c r="S347" s="255" t="s">
        <v>741</v>
      </c>
      <c r="T347" s="251" t="s">
        <v>811</v>
      </c>
      <c r="U347" s="243">
        <f ca="1">VLOOKUP(BDD[[#This Row],[ANTIG]],DIASXANT18[#All],2)</f>
        <v>14</v>
      </c>
      <c r="V347" s="256">
        <f t="shared" si="23"/>
        <v>0.5</v>
      </c>
      <c r="W347" s="243">
        <f ca="1">BDD[[#This Row],[D.VAC.]]*BDD[[#This Row],[% P.V.]]</f>
        <v>7</v>
      </c>
      <c r="X347" s="243">
        <v>30</v>
      </c>
      <c r="Y347" s="257">
        <f ca="1">(365+BDD[[#This Row],[D.PAG.V.]]+BDD[[#This Row],[D.AG.]])/365</f>
        <v>1.1013698630136985</v>
      </c>
      <c r="Z347" s="243">
        <f ca="1">BDD[[#This Row],[SUE DIA]]*BDD[[#This Row],[FACTOR SDI]]</f>
        <v>398.6958904109589</v>
      </c>
      <c r="AA347" s="243">
        <f>BDD[[#This Row],[SUE DIA]]/9</f>
        <v>40.222222222222221</v>
      </c>
      <c r="AB347" s="251">
        <v>35031</v>
      </c>
      <c r="AC347" s="251" t="s">
        <v>990</v>
      </c>
      <c r="AD347" s="251" t="s">
        <v>787</v>
      </c>
      <c r="AE347" s="260">
        <v>7231654987</v>
      </c>
      <c r="AF347" s="251" t="s">
        <v>1388</v>
      </c>
      <c r="AG347" s="251" t="s">
        <v>776</v>
      </c>
      <c r="AH347" s="251" t="s">
        <v>1555</v>
      </c>
      <c r="AI347" s="243" t="s">
        <v>152</v>
      </c>
      <c r="AJ347" s="258" cm="1">
        <f t="array" aca="1" ref="AJ347" ca="1">DATE(YEAR(FECH.CONS[FECHA DE CONSULTA:]),MONTH(BDD[[#This Row],[FECHA NAC]]),DAY(BDD[[#This Row],[FECHA NAC]]))</f>
        <v>44893</v>
      </c>
      <c r="AK347" s="243"/>
      <c r="AL347" s="261" t="s">
        <v>311</v>
      </c>
      <c r="AM347" s="251" t="s">
        <v>1537</v>
      </c>
      <c r="AN347" s="251" t="s">
        <v>1551</v>
      </c>
      <c r="AO347" s="245">
        <v>94</v>
      </c>
      <c r="AP347" s="251">
        <f ca="1">INT((TODAY()-BDD[[#This Row],[FECHA NAC]])/365)</f>
        <v>26</v>
      </c>
      <c r="AQ347" s="251">
        <v>2</v>
      </c>
      <c r="AR347" s="251">
        <f ca="1">IF(BDD[[#This Row],[ANTIG]]=0,0,1)</f>
        <v>1</v>
      </c>
      <c r="AS347" s="251"/>
      <c r="AT347" s="251"/>
      <c r="AU347" s="251"/>
      <c r="AV347" s="251"/>
      <c r="AW347" s="251"/>
      <c r="AX347" s="251"/>
      <c r="AY347" s="251"/>
      <c r="AZ347" s="251">
        <f t="shared" ca="1" si="21"/>
        <v>614</v>
      </c>
    </row>
    <row r="348" spans="2:52" x14ac:dyDescent="0.25">
      <c r="B348" s="243">
        <v>526</v>
      </c>
      <c r="C348" s="251" t="s">
        <v>157</v>
      </c>
      <c r="D348" s="252">
        <v>27150</v>
      </c>
      <c r="E348" s="252">
        <f>(BDD[[#This Row],[SUE MENS]]/30)</f>
        <v>905</v>
      </c>
      <c r="F348" s="252">
        <f>BDD[[#This Row],[SUE MENS]]/2</f>
        <v>13575</v>
      </c>
      <c r="G348" s="319">
        <v>43438</v>
      </c>
      <c r="H348" s="243">
        <f ca="1">INT(_xlfn.DAYS(TODAY(),BDD[[#This Row],[FECHA ING.]])/365)</f>
        <v>3</v>
      </c>
      <c r="I348" s="251" t="str">
        <f>VLOOKUP(J348,TABLAS!$B$3:$G$49,2,FALSE)</f>
        <v>DIRECCIÓN</v>
      </c>
      <c r="J348" s="198" t="s">
        <v>745</v>
      </c>
      <c r="K348" s="244" t="s">
        <v>761</v>
      </c>
      <c r="L348" s="251" t="s">
        <v>763</v>
      </c>
      <c r="M348" s="251">
        <v>1022</v>
      </c>
      <c r="N348" s="244" t="s">
        <v>1843</v>
      </c>
      <c r="O348" s="251" t="str">
        <f>IFERROR(VLOOKUP(BDD[[#This Row],[SUBDPTO]],TABLAS!$B$4:$D$36,3,0)," ")</f>
        <v>MARIANA RODRÍGUEZ GUTIERREZ</v>
      </c>
      <c r="P348" s="258"/>
      <c r="Q348" s="264"/>
      <c r="R348" s="244"/>
      <c r="S348" s="251"/>
      <c r="T348" s="251" t="s">
        <v>301</v>
      </c>
      <c r="U348" s="243">
        <f ca="1">VLOOKUP(BDD[[#This Row],[ANTIG]],DIASXANT18[#All],2)</f>
        <v>14</v>
      </c>
      <c r="V348" s="256">
        <f t="shared" si="23"/>
        <v>0.5</v>
      </c>
      <c r="W348" s="243">
        <f ca="1">BDD[[#This Row],[D.VAC.]]*BDD[[#This Row],[% P.V.]]</f>
        <v>7</v>
      </c>
      <c r="X348" s="243">
        <v>30</v>
      </c>
      <c r="Y348" s="257">
        <f ca="1">(365+BDD[[#This Row],[D.PAG.V.]]+BDD[[#This Row],[D.AG.]])/365</f>
        <v>1.1013698630136985</v>
      </c>
      <c r="Z348" s="243">
        <f ca="1">BDD[[#This Row],[SUE DIA]]*BDD[[#This Row],[FACTOR SDI]]</f>
        <v>996.73972602739718</v>
      </c>
      <c r="AA348" s="243">
        <f>BDD[[#This Row],[SUE DIA]]/9</f>
        <v>100.55555555555556</v>
      </c>
      <c r="AB348" s="251">
        <v>31760</v>
      </c>
      <c r="AC348" s="251" t="s">
        <v>948</v>
      </c>
      <c r="AD348" s="251" t="s">
        <v>789</v>
      </c>
      <c r="AE348" s="252">
        <v>8526267558</v>
      </c>
      <c r="AF348" s="251" t="s">
        <v>1171</v>
      </c>
      <c r="AG348" s="251" t="s">
        <v>776</v>
      </c>
      <c r="AH348" s="251" t="s">
        <v>727</v>
      </c>
      <c r="AI348" s="243" t="s">
        <v>151</v>
      </c>
      <c r="AJ348" s="258" cm="1">
        <f t="array" aca="1" ref="AJ348" ca="1">DATE(YEAR(FECH.CONS[FECHA DE CONSULTA:]),MONTH(BDD[[#This Row],[FECHA NAC]]),DAY(BDD[[#This Row],[FECHA NAC]]))</f>
        <v>44909</v>
      </c>
      <c r="AK348" s="243"/>
      <c r="AL348" s="261" t="s">
        <v>319</v>
      </c>
      <c r="AM348" s="251" t="s">
        <v>1535</v>
      </c>
      <c r="AN348" s="251" t="s">
        <v>1543</v>
      </c>
      <c r="AO348" s="245">
        <v>75</v>
      </c>
      <c r="AP348" s="251">
        <f ca="1">INT((TODAY()-BDD[[#This Row],[FECHA NAC]])/365)</f>
        <v>35</v>
      </c>
      <c r="AQ348" s="251">
        <v>1</v>
      </c>
      <c r="AR348" s="251">
        <f ca="1">IF(BDD[[#This Row],[ANTIG]]=0,0,1)</f>
        <v>1</v>
      </c>
      <c r="AS348" s="251"/>
      <c r="AT348" s="251"/>
      <c r="AU348" s="251"/>
      <c r="AV348" s="251"/>
      <c r="AW348" s="251"/>
      <c r="AX348" s="251"/>
      <c r="AY348" s="251"/>
      <c r="AZ348" s="251">
        <f t="shared" ca="1" si="21"/>
        <v>573</v>
      </c>
    </row>
    <row r="349" spans="2:52" x14ac:dyDescent="0.25">
      <c r="B349" s="243">
        <v>527</v>
      </c>
      <c r="C349" s="251" t="s">
        <v>236</v>
      </c>
      <c r="D349" s="252">
        <v>7950</v>
      </c>
      <c r="E349" s="252">
        <f>(BDD[[#This Row],[SUE MENS]]/30)</f>
        <v>265</v>
      </c>
      <c r="F349" s="252">
        <f>BDD[[#This Row],[SUE MENS]]/2</f>
        <v>3975</v>
      </c>
      <c r="G349" s="319">
        <v>43440</v>
      </c>
      <c r="H349" s="243">
        <f ca="1">INT(_xlfn.DAYS(TODAY(),BDD[[#This Row],[FECHA ING.]])/365)</f>
        <v>3</v>
      </c>
      <c r="I349" s="251" t="str">
        <f>VLOOKUP(J349,TABLAS!$B$3:$G$49,2,FALSE)</f>
        <v>TECNOLOGÍA</v>
      </c>
      <c r="J349" s="198" t="s">
        <v>751</v>
      </c>
      <c r="K349" s="251" t="s">
        <v>778</v>
      </c>
      <c r="L349" s="251" t="s">
        <v>763</v>
      </c>
      <c r="M349" s="251"/>
      <c r="N349" s="244" t="s">
        <v>2162</v>
      </c>
      <c r="O349" s="251" t="str">
        <f>IFERROR(VLOOKUP(BDD[[#This Row],[SUBDPTO]],TABLAS!$B$4:$D$36,3,0)," ")</f>
        <v>DENEB SANTIAGO ALTAIR VEGA</v>
      </c>
      <c r="P349" s="258"/>
      <c r="Q349" s="264"/>
      <c r="R349" s="244"/>
      <c r="S349" s="251"/>
      <c r="T349" s="251" t="s">
        <v>301</v>
      </c>
      <c r="U349" s="243">
        <f ca="1">VLOOKUP(BDD[[#This Row],[ANTIG]],DIASXANT18[#All],2)</f>
        <v>14</v>
      </c>
      <c r="V349" s="256">
        <f t="shared" si="23"/>
        <v>0.5</v>
      </c>
      <c r="W349" s="243">
        <f ca="1">BDD[[#This Row],[D.VAC.]]*BDD[[#This Row],[% P.V.]]</f>
        <v>7</v>
      </c>
      <c r="X349" s="243">
        <v>30</v>
      </c>
      <c r="Y349" s="257">
        <f ca="1">(365+BDD[[#This Row],[D.PAG.V.]]+BDD[[#This Row],[D.AG.]])/365</f>
        <v>1.1013698630136985</v>
      </c>
      <c r="Z349" s="243">
        <f ca="1">BDD[[#This Row],[SUE DIA]]*BDD[[#This Row],[FACTOR SDI]]</f>
        <v>291.86301369863014</v>
      </c>
      <c r="AA349" s="243">
        <f>BDD[[#This Row],[SUE DIA]]/9</f>
        <v>29.444444444444443</v>
      </c>
      <c r="AB349" s="251">
        <v>34701</v>
      </c>
      <c r="AC349" s="251" t="s">
        <v>1006</v>
      </c>
      <c r="AD349" s="251" t="s">
        <v>792</v>
      </c>
      <c r="AE349" s="252">
        <v>8855310488</v>
      </c>
      <c r="AF349" s="251" t="s">
        <v>1259</v>
      </c>
      <c r="AG349" s="251" t="s">
        <v>776</v>
      </c>
      <c r="AH349" s="251" t="s">
        <v>730</v>
      </c>
      <c r="AI349" s="243" t="s">
        <v>152</v>
      </c>
      <c r="AJ349" s="258" cm="1">
        <f t="array" aca="1" ref="AJ349" ca="1">DATE(YEAR(FECH.CONS[FECHA DE CONSULTA:]),MONTH(BDD[[#This Row],[FECHA NAC]]),DAY(BDD[[#This Row],[FECHA NAC]]))</f>
        <v>44563</v>
      </c>
      <c r="AK349" s="243">
        <v>8</v>
      </c>
      <c r="AL349" s="251" t="s">
        <v>311</v>
      </c>
      <c r="AM349" s="251" t="s">
        <v>1536</v>
      </c>
      <c r="AN349" s="251" t="s">
        <v>1551</v>
      </c>
      <c r="AO349" s="245">
        <v>58</v>
      </c>
      <c r="AP349" s="251">
        <f ca="1">INT((TODAY()-BDD[[#This Row],[FECHA NAC]])/365)</f>
        <v>27</v>
      </c>
      <c r="AQ349" s="251">
        <v>1</v>
      </c>
      <c r="AR349" s="251">
        <f ca="1">IF(BDD[[#This Row],[ANTIG]]=0,0,1)</f>
        <v>1</v>
      </c>
      <c r="AS349" s="251"/>
      <c r="AT349" s="251"/>
      <c r="AU349" s="251"/>
      <c r="AV349" s="251"/>
      <c r="AW349" s="251"/>
      <c r="AX349" s="251"/>
      <c r="AY349" s="251"/>
      <c r="AZ349" s="251">
        <f t="shared" ca="1" si="21"/>
        <v>296</v>
      </c>
    </row>
    <row r="350" spans="2:52" x14ac:dyDescent="0.25">
      <c r="B350" s="243">
        <v>528</v>
      </c>
      <c r="C350" s="259" t="s">
        <v>625</v>
      </c>
      <c r="D350" s="252">
        <v>9541</v>
      </c>
      <c r="E350" s="252">
        <f>(BDD[[#This Row],[SUE MENS]]/30)</f>
        <v>318.03333333333336</v>
      </c>
      <c r="F350" s="252">
        <f>BDD[[#This Row],[SUE MENS]]/2</f>
        <v>4770.5</v>
      </c>
      <c r="G350" s="319">
        <v>43448</v>
      </c>
      <c r="H350" s="243">
        <f ca="1">INT(_xlfn.DAYS(TODAY(),BDD[[#This Row],[FECHA ING.]])/365)</f>
        <v>3</v>
      </c>
      <c r="I350" s="251" t="str">
        <f>VLOOKUP(J350,TABLAS!$B$3:$G$49,2,FALSE)</f>
        <v>DIV INGENRIA</v>
      </c>
      <c r="J350" s="198" t="s">
        <v>744</v>
      </c>
      <c r="K350" s="251" t="s">
        <v>778</v>
      </c>
      <c r="L350" s="251" t="s">
        <v>763</v>
      </c>
      <c r="M350" s="251"/>
      <c r="N350" s="244" t="s">
        <v>2044</v>
      </c>
      <c r="O350" s="251" t="str">
        <f>IFERROR(VLOOKUP(BDD[[#This Row],[SUBDPTO]],TABLAS!$B$4:$D$36,3,0)," ")</f>
        <v>DIEGO HERRERA GIRÓN</v>
      </c>
      <c r="P350" s="258">
        <v>43563</v>
      </c>
      <c r="Q350" s="254">
        <v>6158.4000000000005</v>
      </c>
      <c r="R350" s="255" t="s">
        <v>756</v>
      </c>
      <c r="S350" s="255" t="s">
        <v>757</v>
      </c>
      <c r="T350" s="251" t="s">
        <v>811</v>
      </c>
      <c r="U350" s="243">
        <f ca="1">VLOOKUP(BDD[[#This Row],[ANTIG]],DIASXANT18[#All],2)</f>
        <v>14</v>
      </c>
      <c r="V350" s="256">
        <f t="shared" si="23"/>
        <v>0.5</v>
      </c>
      <c r="W350" s="243">
        <f ca="1">BDD[[#This Row],[D.VAC.]]*BDD[[#This Row],[% P.V.]]</f>
        <v>7</v>
      </c>
      <c r="X350" s="243">
        <v>30</v>
      </c>
      <c r="Y350" s="257">
        <f ca="1">(365+BDD[[#This Row],[D.PAG.V.]]+BDD[[#This Row],[D.AG.]])/365</f>
        <v>1.1013698630136985</v>
      </c>
      <c r="Z350" s="243">
        <f ca="1">BDD[[#This Row],[SUE DIA]]*BDD[[#This Row],[FACTOR SDI]]</f>
        <v>350.27232876712327</v>
      </c>
      <c r="AA350" s="243">
        <f>BDD[[#This Row],[SUE DIA]]/9</f>
        <v>35.337037037037042</v>
      </c>
      <c r="AB350" s="251">
        <v>31068</v>
      </c>
      <c r="AC350" s="251" t="s">
        <v>889</v>
      </c>
      <c r="AD350" s="251" t="s">
        <v>789</v>
      </c>
      <c r="AE350" s="260">
        <v>7644394434</v>
      </c>
      <c r="AF350" s="251" t="s">
        <v>1470</v>
      </c>
      <c r="AG350" s="251" t="s">
        <v>774</v>
      </c>
      <c r="AH350" s="251" t="s">
        <v>1555</v>
      </c>
      <c r="AI350" s="243" t="s">
        <v>151</v>
      </c>
      <c r="AJ350" s="258" cm="1">
        <f t="array" aca="1" ref="AJ350" ca="1">DATE(YEAR(FECH.CONS[FECHA DE CONSULTA:]),MONTH(BDD[[#This Row],[FECHA NAC]]),DAY(BDD[[#This Row],[FECHA NAC]]))</f>
        <v>44582</v>
      </c>
      <c r="AK350" s="243">
        <v>8</v>
      </c>
      <c r="AL350" s="261" t="s">
        <v>311</v>
      </c>
      <c r="AM350" s="251" t="s">
        <v>1538</v>
      </c>
      <c r="AN350" s="251" t="s">
        <v>1551</v>
      </c>
      <c r="AO350" s="245">
        <v>80</v>
      </c>
      <c r="AP350" s="251">
        <f ca="1">INT((TODAY()-BDD[[#This Row],[FECHA NAC]])/365)</f>
        <v>37</v>
      </c>
      <c r="AQ350" s="251">
        <v>3</v>
      </c>
      <c r="AR350" s="251">
        <f ca="1">IF(BDD[[#This Row],[ANTIG]]=0,0,1)</f>
        <v>1</v>
      </c>
      <c r="AS350" s="251"/>
      <c r="AT350" s="251"/>
      <c r="AU350" s="251"/>
      <c r="AV350" s="251"/>
      <c r="AW350" s="251"/>
      <c r="AX350" s="251"/>
      <c r="AY350" s="251"/>
      <c r="AZ350" s="251">
        <f t="shared" ca="1" si="21"/>
        <v>690</v>
      </c>
    </row>
    <row r="351" spans="2:52" x14ac:dyDescent="0.25">
      <c r="B351" s="243">
        <v>529</v>
      </c>
      <c r="C351" s="251" t="s">
        <v>192</v>
      </c>
      <c r="D351" s="244">
        <v>6778</v>
      </c>
      <c r="E351" s="252">
        <f>(BDD[[#This Row],[SUE MENS]]/30)</f>
        <v>225.93333333333334</v>
      </c>
      <c r="F351" s="252">
        <f>BDD[[#This Row],[SUE MENS]]/2</f>
        <v>3389</v>
      </c>
      <c r="G351" s="319">
        <v>43450</v>
      </c>
      <c r="H351" s="243">
        <f ca="1">INT(_xlfn.DAYS(TODAY(),BDD[[#This Row],[FECHA ING.]])/365)</f>
        <v>3</v>
      </c>
      <c r="I351" s="251" t="str">
        <f>VLOOKUP(J351,TABLAS!$B$3:$G$49,2,FALSE)</f>
        <v>TECNOLOGÍA</v>
      </c>
      <c r="J351" s="198" t="s">
        <v>750</v>
      </c>
      <c r="K351" s="251" t="s">
        <v>778</v>
      </c>
      <c r="L351" s="251" t="s">
        <v>763</v>
      </c>
      <c r="M351" s="251"/>
      <c r="N351" s="244" t="s">
        <v>1925</v>
      </c>
      <c r="O351" s="251" t="str">
        <f>IFERROR(VLOOKUP(BDD[[#This Row],[SUBDPTO]],TABLAS!$B$4:$D$36,3,0)," ")</f>
        <v>DENEB SANTIAGO ALTAIR VEGA</v>
      </c>
      <c r="P351" s="258"/>
      <c r="Q351" s="264"/>
      <c r="R351" s="244"/>
      <c r="S351" s="251"/>
      <c r="T351" s="251" t="s">
        <v>301</v>
      </c>
      <c r="U351" s="243">
        <f ca="1">VLOOKUP(BDD[[#This Row],[ANTIG]],DIASXANT18[#All],2)</f>
        <v>14</v>
      </c>
      <c r="V351" s="266">
        <v>0.25</v>
      </c>
      <c r="W351" s="243">
        <f ca="1">BDD[[#This Row],[D.VAC.]]*BDD[[#This Row],[% P.V.]]</f>
        <v>3.5</v>
      </c>
      <c r="X351" s="265">
        <v>15</v>
      </c>
      <c r="Y351" s="257">
        <f ca="1">(365+BDD[[#This Row],[D.PAG.V.]]+BDD[[#This Row],[D.AG.]])/365</f>
        <v>1.0506849315068494</v>
      </c>
      <c r="Z351" s="243">
        <f ca="1">BDD[[#This Row],[SUE DIA]]*BDD[[#This Row],[FACTOR SDI]]</f>
        <v>237.38474885844749</v>
      </c>
      <c r="AA351" s="243">
        <f>BDD[[#This Row],[SUE DIA]]/9</f>
        <v>25.103703703703705</v>
      </c>
      <c r="AB351" s="251">
        <v>33760</v>
      </c>
      <c r="AC351" s="251" t="s">
        <v>882</v>
      </c>
      <c r="AD351" s="251" t="s">
        <v>789</v>
      </c>
      <c r="AE351" s="252">
        <v>8439497821</v>
      </c>
      <c r="AF351" s="251" t="s">
        <v>1209</v>
      </c>
      <c r="AG351" s="251" t="s">
        <v>776</v>
      </c>
      <c r="AH351" s="251" t="s">
        <v>730</v>
      </c>
      <c r="AI351" s="243" t="s">
        <v>151</v>
      </c>
      <c r="AJ351" s="258" cm="1">
        <f t="array" aca="1" ref="AJ351" ca="1">DATE(YEAR(FECH.CONS[FECHA DE CONSULTA:]),MONTH(BDD[[#This Row],[FECHA NAC]]),DAY(BDD[[#This Row],[FECHA NAC]]))</f>
        <v>44717</v>
      </c>
      <c r="AK351" s="243">
        <v>7</v>
      </c>
      <c r="AL351" s="261" t="s">
        <v>321</v>
      </c>
      <c r="AM351" s="251" t="s">
        <v>1536</v>
      </c>
      <c r="AN351" s="251" t="s">
        <v>1551</v>
      </c>
      <c r="AO351" s="245">
        <v>34</v>
      </c>
      <c r="AP351" s="251">
        <f ca="1">INT((TODAY()-BDD[[#This Row],[FECHA NAC]])/365)</f>
        <v>30</v>
      </c>
      <c r="AQ351" s="251">
        <v>0</v>
      </c>
      <c r="AR351" s="251">
        <f ca="1">IF(BDD[[#This Row],[ANTIG]]=0,0,1)</f>
        <v>1</v>
      </c>
      <c r="AS351" s="251"/>
      <c r="AT351" s="251"/>
      <c r="AU351" s="251"/>
      <c r="AV351" s="251"/>
      <c r="AW351" s="251"/>
      <c r="AX351" s="251"/>
      <c r="AY351" s="251"/>
      <c r="AZ351" s="251">
        <f t="shared" ca="1" si="21"/>
        <v>724</v>
      </c>
    </row>
    <row r="352" spans="2:52" x14ac:dyDescent="0.25">
      <c r="B352" s="243">
        <v>530</v>
      </c>
      <c r="C352" s="251" t="s">
        <v>257</v>
      </c>
      <c r="D352" s="252">
        <v>27150</v>
      </c>
      <c r="E352" s="252">
        <f>(BDD[[#This Row],[SUE MENS]]/30)</f>
        <v>905</v>
      </c>
      <c r="F352" s="252">
        <f>BDD[[#This Row],[SUE MENS]]/2</f>
        <v>13575</v>
      </c>
      <c r="G352" s="320">
        <v>43452</v>
      </c>
      <c r="H352" s="243">
        <f ca="1">INT(_xlfn.DAYS(TODAY(),BDD[[#This Row],[FECHA ING.]])/365)</f>
        <v>3</v>
      </c>
      <c r="I352" s="251" t="str">
        <f>VLOOKUP(J352,TABLAS!$B$3:$G$49,2,FALSE)</f>
        <v>DIRECCIÓN</v>
      </c>
      <c r="J352" s="198" t="s">
        <v>746</v>
      </c>
      <c r="K352" s="244" t="s">
        <v>761</v>
      </c>
      <c r="L352" s="251" t="s">
        <v>763</v>
      </c>
      <c r="M352" s="251">
        <v>1016</v>
      </c>
      <c r="N352" s="244" t="s">
        <v>2134</v>
      </c>
      <c r="O352" s="251" t="str">
        <f>IFERROR(VLOOKUP(BDD[[#This Row],[SUBDPTO]],TABLAS!$B$4:$D$36,3,0)," ")</f>
        <v>MARIANA RODRÍGUEZ GUTIERREZ</v>
      </c>
      <c r="P352" s="258"/>
      <c r="Q352" s="264"/>
      <c r="R352" s="244"/>
      <c r="S352" s="251"/>
      <c r="T352" s="251" t="s">
        <v>301</v>
      </c>
      <c r="U352" s="243">
        <f ca="1">VLOOKUP(BDD[[#This Row],[ANTIG]],DIASXANT18[#All],2)</f>
        <v>14</v>
      </c>
      <c r="V352" s="256">
        <f t="shared" ref="V352:V359" si="24">100/200</f>
        <v>0.5</v>
      </c>
      <c r="W352" s="243">
        <f ca="1">BDD[[#This Row],[D.VAC.]]*BDD[[#This Row],[% P.V.]]</f>
        <v>7</v>
      </c>
      <c r="X352" s="243">
        <v>30</v>
      </c>
      <c r="Y352" s="257">
        <f ca="1">(365+BDD[[#This Row],[D.PAG.V.]]+BDD[[#This Row],[D.AG.]])/365</f>
        <v>1.1013698630136985</v>
      </c>
      <c r="Z352" s="243">
        <f ca="1">BDD[[#This Row],[SUE DIA]]*BDD[[#This Row],[FACTOR SDI]]</f>
        <v>996.73972602739718</v>
      </c>
      <c r="AA352" s="243">
        <f>BDD[[#This Row],[SUE DIA]]/9</f>
        <v>100.55555555555556</v>
      </c>
      <c r="AB352" s="251">
        <v>35995</v>
      </c>
      <c r="AC352" s="251" t="s">
        <v>950</v>
      </c>
      <c r="AD352" s="251" t="s">
        <v>786</v>
      </c>
      <c r="AE352" s="252">
        <v>8439886853</v>
      </c>
      <c r="AF352" s="251" t="s">
        <v>1173</v>
      </c>
      <c r="AG352" s="251" t="s">
        <v>776</v>
      </c>
      <c r="AH352" s="251" t="s">
        <v>727</v>
      </c>
      <c r="AI352" s="243" t="s">
        <v>151</v>
      </c>
      <c r="AJ352" s="258" cm="1">
        <f t="array" aca="1" ref="AJ352" ca="1">DATE(YEAR(FECH.CONS[FECHA DE CONSULTA:]),MONTH(BDD[[#This Row],[FECHA NAC]]),DAY(BDD[[#This Row],[FECHA NAC]]))</f>
        <v>44761</v>
      </c>
      <c r="AK352" s="243"/>
      <c r="AL352" s="251" t="s">
        <v>312</v>
      </c>
      <c r="AM352" s="251" t="s">
        <v>1540</v>
      </c>
      <c r="AN352" s="251" t="s">
        <v>162</v>
      </c>
      <c r="AO352" s="245">
        <v>77</v>
      </c>
      <c r="AP352" s="251">
        <f ca="1">INT((TODAY()-BDD[[#This Row],[FECHA NAC]])/365)</f>
        <v>24</v>
      </c>
      <c r="AQ352" s="251">
        <v>0</v>
      </c>
      <c r="AR352" s="251">
        <f ca="1">IF(BDD[[#This Row],[ANTIG]]=0,0,1)</f>
        <v>1</v>
      </c>
      <c r="AS352" s="251"/>
      <c r="AT352" s="251"/>
      <c r="AU352" s="251"/>
      <c r="AV352" s="251"/>
      <c r="AW352" s="251"/>
      <c r="AX352" s="251"/>
      <c r="AY352" s="251"/>
      <c r="AZ352" s="251">
        <f t="shared" ca="1" si="21"/>
        <v>925</v>
      </c>
    </row>
    <row r="353" spans="2:52" x14ac:dyDescent="0.25">
      <c r="B353" s="243">
        <v>531</v>
      </c>
      <c r="C353" s="259" t="s">
        <v>494</v>
      </c>
      <c r="D353" s="263">
        <v>7445</v>
      </c>
      <c r="E353" s="252">
        <f>(BDD[[#This Row],[SUE MENS]]/30)</f>
        <v>248.16666666666666</v>
      </c>
      <c r="F353" s="252">
        <f>BDD[[#This Row],[SUE MENS]]/2</f>
        <v>3722.5</v>
      </c>
      <c r="G353" s="319">
        <v>43463</v>
      </c>
      <c r="H353" s="243">
        <f ca="1">INT(_xlfn.DAYS(TODAY(),BDD[[#This Row],[FECHA ING.]])/365)</f>
        <v>3</v>
      </c>
      <c r="I353" s="251" t="str">
        <f>VLOOKUP(J353,TABLAS!$B$3:$G$49,2,FALSE)</f>
        <v>DIV INGENRIA</v>
      </c>
      <c r="J353" s="198" t="s">
        <v>756</v>
      </c>
      <c r="K353" s="251" t="s">
        <v>778</v>
      </c>
      <c r="L353" s="251" t="s">
        <v>763</v>
      </c>
      <c r="M353" s="251"/>
      <c r="N353" s="253" t="s">
        <v>2059</v>
      </c>
      <c r="O353" s="251" t="str">
        <f>IFERROR(VLOOKUP(BDD[[#This Row],[SUBDPTO]],TABLAS!$B$4:$D$36,3,0)," ")</f>
        <v>DIEGO HERRERA GIRÓN</v>
      </c>
      <c r="P353" s="258"/>
      <c r="Q353" s="264"/>
      <c r="R353" s="244"/>
      <c r="S353" s="251"/>
      <c r="T353" s="251" t="s">
        <v>811</v>
      </c>
      <c r="U353" s="243">
        <f ca="1">VLOOKUP(BDD[[#This Row],[ANTIG]],DIASXANT18[#All],2)</f>
        <v>14</v>
      </c>
      <c r="V353" s="256">
        <f t="shared" si="24"/>
        <v>0.5</v>
      </c>
      <c r="W353" s="243">
        <f ca="1">BDD[[#This Row],[D.VAC.]]*BDD[[#This Row],[% P.V.]]</f>
        <v>7</v>
      </c>
      <c r="X353" s="243">
        <v>30</v>
      </c>
      <c r="Y353" s="257">
        <f ca="1">(365+BDD[[#This Row],[D.PAG.V.]]+BDD[[#This Row],[D.AG.]])/365</f>
        <v>1.1013698630136985</v>
      </c>
      <c r="Z353" s="243">
        <f ca="1">BDD[[#This Row],[SUE DIA]]*BDD[[#This Row],[FACTOR SDI]]</f>
        <v>273.32328767123283</v>
      </c>
      <c r="AA353" s="243">
        <f>BDD[[#This Row],[SUE DIA]]/9</f>
        <v>27.574074074074073</v>
      </c>
      <c r="AB353" s="251">
        <v>28229</v>
      </c>
      <c r="AC353" s="251" t="s">
        <v>1026</v>
      </c>
      <c r="AD353" s="251" t="s">
        <v>787</v>
      </c>
      <c r="AE353" s="260">
        <f>3365989865</f>
        <v>3365989865</v>
      </c>
      <c r="AF353" s="251" t="s">
        <v>1380</v>
      </c>
      <c r="AG353" s="251" t="s">
        <v>776</v>
      </c>
      <c r="AH353" s="251" t="s">
        <v>730</v>
      </c>
      <c r="AI353" s="243" t="s">
        <v>151</v>
      </c>
      <c r="AJ353" s="258" cm="1">
        <f t="array" aca="1" ref="AJ353" ca="1">DATE(YEAR(FECH.CONS[FECHA DE CONSULTA:]),MONTH(BDD[[#This Row],[FECHA NAC]]),DAY(BDD[[#This Row],[FECHA NAC]]))</f>
        <v>44665</v>
      </c>
      <c r="AK353" s="243">
        <v>10</v>
      </c>
      <c r="AL353" s="261" t="s">
        <v>311</v>
      </c>
      <c r="AM353" s="251" t="s">
        <v>1546</v>
      </c>
      <c r="AN353" s="251" t="s">
        <v>1551</v>
      </c>
      <c r="AO353" s="245">
        <v>56</v>
      </c>
      <c r="AP353" s="251">
        <f ca="1">INT((TODAY()-BDD[[#This Row],[FECHA NAC]])/365)</f>
        <v>45</v>
      </c>
      <c r="AQ353" s="251">
        <v>0</v>
      </c>
      <c r="AR353" s="251">
        <f ca="1">IF(BDD[[#This Row],[ANTIG]]=0,0,1)</f>
        <v>1</v>
      </c>
      <c r="AS353" s="251"/>
      <c r="AT353" s="251"/>
      <c r="AU353" s="251"/>
      <c r="AV353" s="251"/>
      <c r="AW353" s="251"/>
      <c r="AX353" s="251"/>
      <c r="AY353" s="251"/>
      <c r="AZ353" s="251">
        <f t="shared" ca="1" si="21"/>
        <v>100</v>
      </c>
    </row>
    <row r="354" spans="2:52" x14ac:dyDescent="0.25">
      <c r="B354" s="243">
        <v>532</v>
      </c>
      <c r="C354" s="259" t="s">
        <v>497</v>
      </c>
      <c r="D354" s="252">
        <v>9541</v>
      </c>
      <c r="E354" s="252">
        <f>(BDD[[#This Row],[SUE MENS]]/30)</f>
        <v>318.03333333333336</v>
      </c>
      <c r="F354" s="252">
        <f>BDD[[#This Row],[SUE MENS]]/2</f>
        <v>4770.5</v>
      </c>
      <c r="G354" s="319">
        <v>43468</v>
      </c>
      <c r="H354" s="243">
        <f ca="1">INT(_xlfn.DAYS(TODAY(),BDD[[#This Row],[FECHA ING.]])/365)</f>
        <v>3</v>
      </c>
      <c r="I354" s="251" t="str">
        <f>VLOOKUP(J354,TABLAS!$B$3:$G$49,2,FALSE)</f>
        <v>FINANZAS</v>
      </c>
      <c r="J354" s="198" t="s">
        <v>747</v>
      </c>
      <c r="K354" s="251" t="s">
        <v>778</v>
      </c>
      <c r="L354" s="251" t="s">
        <v>763</v>
      </c>
      <c r="M354" s="251"/>
      <c r="N354" s="244" t="s">
        <v>2201</v>
      </c>
      <c r="O354" s="251" t="str">
        <f>IFERROR(VLOOKUP(BDD[[#This Row],[SUBDPTO]],TABLAS!$B$4:$D$36,3,0)," ")</f>
        <v>MARIANO ALDEBARÁN</v>
      </c>
      <c r="P354" s="258">
        <v>41804</v>
      </c>
      <c r="Q354" s="254">
        <v>6580</v>
      </c>
      <c r="R354" s="255" t="s">
        <v>758</v>
      </c>
      <c r="S354" s="255" t="s">
        <v>759</v>
      </c>
      <c r="T354" s="251" t="s">
        <v>811</v>
      </c>
      <c r="U354" s="243">
        <f ca="1">VLOOKUP(BDD[[#This Row],[ANTIG]],DIASXANT18[#All],2)</f>
        <v>14</v>
      </c>
      <c r="V354" s="256">
        <f t="shared" si="24"/>
        <v>0.5</v>
      </c>
      <c r="W354" s="243">
        <f ca="1">BDD[[#This Row],[D.VAC.]]*BDD[[#This Row],[% P.V.]]</f>
        <v>7</v>
      </c>
      <c r="X354" s="243">
        <v>30</v>
      </c>
      <c r="Y354" s="257">
        <f ca="1">(365+BDD[[#This Row],[D.PAG.V.]]+BDD[[#This Row],[D.AG.]])/365</f>
        <v>1.1013698630136985</v>
      </c>
      <c r="Z354" s="243">
        <f ca="1">BDD[[#This Row],[SUE DIA]]*BDD[[#This Row],[FACTOR SDI]]</f>
        <v>350.27232876712327</v>
      </c>
      <c r="AA354" s="243">
        <f>BDD[[#This Row],[SUE DIA]]/9</f>
        <v>35.337037037037042</v>
      </c>
      <c r="AB354" s="251">
        <v>34289</v>
      </c>
      <c r="AC354" s="251" t="s">
        <v>932</v>
      </c>
      <c r="AD354" s="251" t="s">
        <v>809</v>
      </c>
      <c r="AE354" s="260">
        <v>8165497522</v>
      </c>
      <c r="AF354" s="251" t="s">
        <v>1383</v>
      </c>
      <c r="AG354" s="251" t="s">
        <v>776</v>
      </c>
      <c r="AH354" s="251" t="s">
        <v>730</v>
      </c>
      <c r="AI354" s="243" t="s">
        <v>152</v>
      </c>
      <c r="AJ354" s="258" cm="1">
        <f t="array" aca="1" ref="AJ354" ca="1">DATE(YEAR(FECH.CONS[FECHA DE CONSULTA:]),MONTH(BDD[[#This Row],[FECHA NAC]]),DAY(BDD[[#This Row],[FECHA NAC]]))</f>
        <v>44881</v>
      </c>
      <c r="AK354" s="243">
        <v>7</v>
      </c>
      <c r="AL354" s="261" t="s">
        <v>311</v>
      </c>
      <c r="AM354" s="251" t="s">
        <v>1535</v>
      </c>
      <c r="AN354" s="251" t="s">
        <v>1551</v>
      </c>
      <c r="AO354" s="245">
        <v>77</v>
      </c>
      <c r="AP354" s="251">
        <f ca="1">INT((TODAY()-BDD[[#This Row],[FECHA NAC]])/365)</f>
        <v>28</v>
      </c>
      <c r="AQ354" s="251">
        <v>1</v>
      </c>
      <c r="AR354" s="251">
        <f ca="1">IF(BDD[[#This Row],[ANTIG]]=0,0,1)</f>
        <v>1</v>
      </c>
      <c r="AS354" s="251"/>
      <c r="AT354" s="251"/>
      <c r="AU354" s="251"/>
      <c r="AV354" s="251"/>
      <c r="AW354" s="251"/>
      <c r="AX354" s="251"/>
      <c r="AY354" s="251"/>
      <c r="AZ354" s="251">
        <f t="shared" ca="1" si="21"/>
        <v>114</v>
      </c>
    </row>
    <row r="355" spans="2:52" x14ac:dyDescent="0.25">
      <c r="B355" s="243">
        <v>533</v>
      </c>
      <c r="C355" s="259" t="s">
        <v>449</v>
      </c>
      <c r="D355" s="252">
        <v>9541</v>
      </c>
      <c r="E355" s="252">
        <f>(BDD[[#This Row],[SUE MENS]]/30)</f>
        <v>318.03333333333336</v>
      </c>
      <c r="F355" s="252">
        <f>BDD[[#This Row],[SUE MENS]]/2</f>
        <v>4770.5</v>
      </c>
      <c r="G355" s="319">
        <v>43482</v>
      </c>
      <c r="H355" s="243">
        <f ca="1">INT(_xlfn.DAYS(TODAY(),BDD[[#This Row],[FECHA ING.]])/365)</f>
        <v>3</v>
      </c>
      <c r="I355" s="251" t="str">
        <f>VLOOKUP(J355,TABLAS!$B$3:$G$49,2,FALSE)</f>
        <v>DIV ARQUIT</v>
      </c>
      <c r="J355" s="198" t="s">
        <v>740</v>
      </c>
      <c r="K355" s="251" t="s">
        <v>778</v>
      </c>
      <c r="L355" s="251" t="s">
        <v>763</v>
      </c>
      <c r="M355" s="251"/>
      <c r="N355" s="244" t="s">
        <v>1887</v>
      </c>
      <c r="O355" s="251" t="str">
        <f>IFERROR(VLOOKUP(BDD[[#This Row],[SUBDPTO]],TABLAS!$B$4:$D$36,3,0)," ")</f>
        <v>MÉRIDA ISELA MEDINA SALINAS</v>
      </c>
      <c r="P355" s="258">
        <v>43455</v>
      </c>
      <c r="Q355" s="254">
        <v>8400</v>
      </c>
      <c r="R355" s="255" t="s">
        <v>734</v>
      </c>
      <c r="S355" s="255" t="s">
        <v>735</v>
      </c>
      <c r="T355" s="251" t="s">
        <v>811</v>
      </c>
      <c r="U355" s="243">
        <f ca="1">VLOOKUP(BDD[[#This Row],[ANTIG]],DIASXANT18[#All],2)</f>
        <v>14</v>
      </c>
      <c r="V355" s="256">
        <f t="shared" si="24"/>
        <v>0.5</v>
      </c>
      <c r="W355" s="243">
        <f ca="1">BDD[[#This Row],[D.VAC.]]*BDD[[#This Row],[% P.V.]]</f>
        <v>7</v>
      </c>
      <c r="X355" s="243">
        <v>30</v>
      </c>
      <c r="Y355" s="257">
        <f ca="1">(365+BDD[[#This Row],[D.PAG.V.]]+BDD[[#This Row],[D.AG.]])/365</f>
        <v>1.1013698630136985</v>
      </c>
      <c r="Z355" s="243">
        <f ca="1">BDD[[#This Row],[SUE DIA]]*BDD[[#This Row],[FACTOR SDI]]</f>
        <v>350.27232876712327</v>
      </c>
      <c r="AA355" s="243">
        <f>BDD[[#This Row],[SUE DIA]]/9</f>
        <v>35.337037037037042</v>
      </c>
      <c r="AB355" s="251">
        <v>33089</v>
      </c>
      <c r="AC355" s="251" t="s">
        <v>1030</v>
      </c>
      <c r="AD355" s="251" t="s">
        <v>786</v>
      </c>
      <c r="AE355" s="260">
        <v>3396854412</v>
      </c>
      <c r="AF355" s="251" t="s">
        <v>1355</v>
      </c>
      <c r="AG355" s="251" t="s">
        <v>773</v>
      </c>
      <c r="AH355" s="251" t="s">
        <v>730</v>
      </c>
      <c r="AI355" s="243" t="s">
        <v>152</v>
      </c>
      <c r="AJ355" s="258" cm="1">
        <f t="array" aca="1" ref="AJ355" ca="1">DATE(YEAR(FECH.CONS[FECHA DE CONSULTA:]),MONTH(BDD[[#This Row],[FECHA NAC]]),DAY(BDD[[#This Row],[FECHA NAC]]))</f>
        <v>44777</v>
      </c>
      <c r="AK355" s="243">
        <v>7</v>
      </c>
      <c r="AL355" s="261" t="s">
        <v>311</v>
      </c>
      <c r="AM355" s="251" t="s">
        <v>1543</v>
      </c>
      <c r="AN355" s="251" t="s">
        <v>1551</v>
      </c>
      <c r="AO355" s="245">
        <v>74</v>
      </c>
      <c r="AP355" s="251">
        <f ca="1">INT((TODAY()-BDD[[#This Row],[FECHA NAC]])/365)</f>
        <v>31</v>
      </c>
      <c r="AQ355" s="251">
        <v>1</v>
      </c>
      <c r="AR355" s="251">
        <f ca="1">IF(BDD[[#This Row],[ANTIG]]=0,0,1)</f>
        <v>1</v>
      </c>
      <c r="AS355" s="251"/>
      <c r="AT355" s="251"/>
      <c r="AU355" s="251"/>
      <c r="AV355" s="251"/>
      <c r="AW355" s="251"/>
      <c r="AX355" s="251"/>
      <c r="AY355" s="251"/>
      <c r="AZ355" s="251">
        <f t="shared" ca="1" si="21"/>
        <v>583</v>
      </c>
    </row>
    <row r="356" spans="2:52" x14ac:dyDescent="0.25">
      <c r="B356" s="243">
        <v>535</v>
      </c>
      <c r="C356" s="262" t="s">
        <v>357</v>
      </c>
      <c r="D356" s="252">
        <v>9541</v>
      </c>
      <c r="E356" s="252">
        <f>(BDD[[#This Row],[SUE MENS]]/30)</f>
        <v>318.03333333333336</v>
      </c>
      <c r="F356" s="252">
        <f>BDD[[#This Row],[SUE MENS]]/2</f>
        <v>4770.5</v>
      </c>
      <c r="G356" s="319">
        <v>43484</v>
      </c>
      <c r="H356" s="243">
        <f ca="1">INT(_xlfn.DAYS(TODAY(),BDD[[#This Row],[FECHA ING.]])/365)</f>
        <v>3</v>
      </c>
      <c r="I356" s="251" t="str">
        <f>VLOOKUP(J356,TABLAS!$B$3:$G$49,2,FALSE)</f>
        <v>DIRECCIÓN</v>
      </c>
      <c r="J356" s="198" t="s">
        <v>759</v>
      </c>
      <c r="K356" s="251" t="s">
        <v>778</v>
      </c>
      <c r="L356" s="251" t="s">
        <v>763</v>
      </c>
      <c r="M356" s="251"/>
      <c r="N356" s="253" t="s">
        <v>1956</v>
      </c>
      <c r="O356" s="251" t="str">
        <f>IFERROR(VLOOKUP(BDD[[#This Row],[SUBDPTO]],TABLAS!$B$4:$D$36,3,0)," ")</f>
        <v>MARIANA RODRÍGUEZ GUTIERREZ</v>
      </c>
      <c r="P356" s="258">
        <v>43293</v>
      </c>
      <c r="Q356" s="254">
        <v>6160</v>
      </c>
      <c r="R356" s="261" t="s">
        <v>767</v>
      </c>
      <c r="S356" s="255" t="s">
        <v>743</v>
      </c>
      <c r="T356" s="251" t="s">
        <v>301</v>
      </c>
      <c r="U356" s="243">
        <f ca="1">VLOOKUP(BDD[[#This Row],[ANTIG]],DIASXANT18[#All],2)</f>
        <v>14</v>
      </c>
      <c r="V356" s="256">
        <f t="shared" si="24"/>
        <v>0.5</v>
      </c>
      <c r="W356" s="243">
        <f ca="1">BDD[[#This Row],[D.VAC.]]*BDD[[#This Row],[% P.V.]]</f>
        <v>7</v>
      </c>
      <c r="X356" s="243">
        <v>30</v>
      </c>
      <c r="Y356" s="257">
        <f ca="1">(365+BDD[[#This Row],[D.PAG.V.]]+BDD[[#This Row],[D.AG.]])/365</f>
        <v>1.1013698630136985</v>
      </c>
      <c r="Z356" s="243">
        <f ca="1">BDD[[#This Row],[SUE DIA]]*BDD[[#This Row],[FACTOR SDI]]</f>
        <v>350.27232876712327</v>
      </c>
      <c r="AA356" s="243">
        <f>BDD[[#This Row],[SUE DIA]]/9</f>
        <v>35.337037037037042</v>
      </c>
      <c r="AB356" s="262">
        <v>31106</v>
      </c>
      <c r="AC356" s="251" t="s">
        <v>1026</v>
      </c>
      <c r="AD356" s="251" t="s">
        <v>786</v>
      </c>
      <c r="AE356" s="252">
        <v>8350722363</v>
      </c>
      <c r="AF356" s="251" t="s">
        <v>1333</v>
      </c>
      <c r="AG356" s="251" t="s">
        <v>776</v>
      </c>
      <c r="AH356" s="251" t="s">
        <v>730</v>
      </c>
      <c r="AI356" s="243" t="s">
        <v>151</v>
      </c>
      <c r="AJ356" s="258" cm="1">
        <f t="array" aca="1" ref="AJ356" ca="1">DATE(YEAR(FECH.CONS[FECHA DE CONSULTA:]),MONTH(BDD[[#This Row],[FECHA NAC]]),DAY(BDD[[#This Row],[FECHA NAC]]))</f>
        <v>44620</v>
      </c>
      <c r="AK356" s="243">
        <v>6</v>
      </c>
      <c r="AL356" s="261" t="s">
        <v>312</v>
      </c>
      <c r="AM356" s="251" t="s">
        <v>1535</v>
      </c>
      <c r="AN356" s="251" t="s">
        <v>1551</v>
      </c>
      <c r="AO356" s="245">
        <v>75</v>
      </c>
      <c r="AP356" s="251">
        <f ca="1">INT((TODAY()-BDD[[#This Row],[FECHA NAC]])/365)</f>
        <v>37</v>
      </c>
      <c r="AQ356" s="251">
        <v>3</v>
      </c>
      <c r="AR356" s="251">
        <f ca="1">IF(BDD[[#This Row],[ANTIG]]=0,0,1)</f>
        <v>1</v>
      </c>
      <c r="AS356" s="251"/>
      <c r="AT356" s="251"/>
      <c r="AU356" s="251"/>
      <c r="AV356" s="251"/>
      <c r="AW356" s="251"/>
      <c r="AX356" s="251"/>
      <c r="AY356" s="251"/>
      <c r="AZ356" s="251">
        <f t="shared" ca="1" si="21"/>
        <v>671</v>
      </c>
    </row>
    <row r="357" spans="2:52" x14ac:dyDescent="0.25">
      <c r="B357" s="243">
        <v>536</v>
      </c>
      <c r="C357" s="259" t="s">
        <v>602</v>
      </c>
      <c r="D357" s="252">
        <v>7445</v>
      </c>
      <c r="E357" s="252">
        <f>(BDD[[#This Row],[SUE MENS]]/30)</f>
        <v>248.16666666666666</v>
      </c>
      <c r="F357" s="252">
        <f>BDD[[#This Row],[SUE MENS]]/2</f>
        <v>3722.5</v>
      </c>
      <c r="G357" s="319">
        <v>43485</v>
      </c>
      <c r="H357" s="243">
        <f ca="1">INT(_xlfn.DAYS(TODAY(),BDD[[#This Row],[FECHA ING.]])/365)</f>
        <v>3</v>
      </c>
      <c r="I357" s="251" t="str">
        <f>VLOOKUP(J357,TABLAS!$B$3:$G$49,2,FALSE)</f>
        <v>CONTABILIDAD</v>
      </c>
      <c r="J357" s="198" t="s">
        <v>737</v>
      </c>
      <c r="K357" s="251" t="s">
        <v>778</v>
      </c>
      <c r="L357" s="251" t="s">
        <v>763</v>
      </c>
      <c r="M357" s="251"/>
      <c r="N357" s="253" t="s">
        <v>1966</v>
      </c>
      <c r="O357" s="251" t="str">
        <f>IFERROR(VLOOKUP(BDD[[#This Row],[SUBDPTO]],TABLAS!$B$4:$D$36,3,0)," ")</f>
        <v>IRIE DALÍ ANTARES CORTÉS</v>
      </c>
      <c r="P357" s="258"/>
      <c r="Q357" s="264"/>
      <c r="R357" s="244"/>
      <c r="S357" s="251"/>
      <c r="T357" s="251" t="s">
        <v>811</v>
      </c>
      <c r="U357" s="243">
        <f ca="1">VLOOKUP(BDD[[#This Row],[ANTIG]],DIASXANT18[#All],2)</f>
        <v>14</v>
      </c>
      <c r="V357" s="256">
        <f t="shared" si="24"/>
        <v>0.5</v>
      </c>
      <c r="W357" s="243">
        <f ca="1">BDD[[#This Row],[D.VAC.]]*BDD[[#This Row],[% P.V.]]</f>
        <v>7</v>
      </c>
      <c r="X357" s="243">
        <v>30</v>
      </c>
      <c r="Y357" s="257">
        <f ca="1">(365+BDD[[#This Row],[D.PAG.V.]]+BDD[[#This Row],[D.AG.]])/365</f>
        <v>1.1013698630136985</v>
      </c>
      <c r="Z357" s="243">
        <f ca="1">BDD[[#This Row],[SUE DIA]]*BDD[[#This Row],[FACTOR SDI]]</f>
        <v>273.32328767123283</v>
      </c>
      <c r="AA357" s="243">
        <f>BDD[[#This Row],[SUE DIA]]/9</f>
        <v>27.574074074074073</v>
      </c>
      <c r="AB357" s="251">
        <v>31576</v>
      </c>
      <c r="AC357" s="251" t="s">
        <v>890</v>
      </c>
      <c r="AD357" s="251" t="s">
        <v>809</v>
      </c>
      <c r="AE357" s="260">
        <v>8209063939</v>
      </c>
      <c r="AF357" s="251" t="s">
        <v>1456</v>
      </c>
      <c r="AG357" s="251" t="s">
        <v>776</v>
      </c>
      <c r="AH357" s="251" t="s">
        <v>730</v>
      </c>
      <c r="AI357" s="243" t="s">
        <v>151</v>
      </c>
      <c r="AJ357" s="258" cm="1">
        <f t="array" aca="1" ref="AJ357" ca="1">DATE(YEAR(FECH.CONS[FECHA DE CONSULTA:]),MONTH(BDD[[#This Row],[FECHA NAC]]),DAY(BDD[[#This Row],[FECHA NAC]]))</f>
        <v>44725</v>
      </c>
      <c r="AK357" s="243">
        <v>9</v>
      </c>
      <c r="AL357" s="261" t="s">
        <v>311</v>
      </c>
      <c r="AM357" s="251" t="s">
        <v>1537</v>
      </c>
      <c r="AN357" s="251" t="s">
        <v>1551</v>
      </c>
      <c r="AO357" s="245">
        <v>61</v>
      </c>
      <c r="AP357" s="251">
        <f ca="1">INT((TODAY()-BDD[[#This Row],[FECHA NAC]])/365)</f>
        <v>36</v>
      </c>
      <c r="AQ357" s="251">
        <v>3</v>
      </c>
      <c r="AR357" s="251">
        <f ca="1">IF(BDD[[#This Row],[ANTIG]]=0,0,1)</f>
        <v>1</v>
      </c>
      <c r="AS357" s="251"/>
      <c r="AT357" s="251"/>
      <c r="AU357" s="251"/>
      <c r="AV357" s="251"/>
      <c r="AW357" s="251"/>
      <c r="AX357" s="251"/>
      <c r="AY357" s="251"/>
      <c r="AZ357" s="251">
        <f t="shared" ca="1" si="21"/>
        <v>522</v>
      </c>
    </row>
    <row r="358" spans="2:52" x14ac:dyDescent="0.25">
      <c r="B358" s="243">
        <v>537</v>
      </c>
      <c r="C358" s="251" t="s">
        <v>1662</v>
      </c>
      <c r="D358" s="252">
        <v>9450</v>
      </c>
      <c r="E358" s="252">
        <f>(BDD[[#This Row],[SUE MENS]]/30)</f>
        <v>315</v>
      </c>
      <c r="F358" s="252">
        <f>BDD[[#This Row],[SUE MENS]]/2</f>
        <v>4725</v>
      </c>
      <c r="G358" s="319">
        <v>43485</v>
      </c>
      <c r="H358" s="243">
        <f ca="1">INT(_xlfn.DAYS(TODAY(),BDD[[#This Row],[FECHA ING.]])/365)</f>
        <v>3</v>
      </c>
      <c r="I358" s="251" t="str">
        <f>VLOOKUP(J358,TABLAS!$B$3:$G$49,2,FALSE)</f>
        <v>CPTAL HUMANO</v>
      </c>
      <c r="J358" s="244" t="s">
        <v>767</v>
      </c>
      <c r="K358" s="251" t="s">
        <v>778</v>
      </c>
      <c r="L358" s="251" t="s">
        <v>763</v>
      </c>
      <c r="M358" s="251"/>
      <c r="N358" s="244" t="s">
        <v>2040</v>
      </c>
      <c r="O358" s="251" t="str">
        <f>IFERROR(VLOOKUP(BDD[[#This Row],[SUBDPTO]],TABLAS!$B$4:$D$36,3,0)," ")</f>
        <v>EMMA DARIELA GARCÍA LORCA</v>
      </c>
      <c r="P358" s="258">
        <f>BDD[[#This Row],[FECHA ING.]]+1000</f>
        <v>44485</v>
      </c>
      <c r="Q358" s="254">
        <v>6177.5</v>
      </c>
      <c r="R358" s="251" t="s">
        <v>746</v>
      </c>
      <c r="S358" s="251"/>
      <c r="T358" s="251" t="s">
        <v>301</v>
      </c>
      <c r="U358" s="243">
        <f ca="1">VLOOKUP(BDD[[#This Row],[ANTIG]],DIASXANT18[#All],2)</f>
        <v>14</v>
      </c>
      <c r="V358" s="256">
        <f t="shared" si="24"/>
        <v>0.5</v>
      </c>
      <c r="W358" s="243">
        <f ca="1">BDD[[#This Row],[D.VAC.]]*BDD[[#This Row],[% P.V.]]</f>
        <v>7</v>
      </c>
      <c r="X358" s="243">
        <v>30</v>
      </c>
      <c r="Y358" s="257">
        <f ca="1">(365+BDD[[#This Row],[D.PAG.V.]]+BDD[[#This Row],[D.AG.]])/365</f>
        <v>1.1013698630136985</v>
      </c>
      <c r="Z358" s="243">
        <f ca="1">BDD[[#This Row],[SUE DIA]]*BDD[[#This Row],[FACTOR SDI]]</f>
        <v>346.93150684931504</v>
      </c>
      <c r="AA358" s="243">
        <f>BDD[[#This Row],[SUE DIA]]/9</f>
        <v>35</v>
      </c>
      <c r="AB358" s="251">
        <v>35587</v>
      </c>
      <c r="AC358" s="251" t="s">
        <v>943</v>
      </c>
      <c r="AD358" s="251" t="s">
        <v>789</v>
      </c>
      <c r="AE358" s="252">
        <v>8933297370</v>
      </c>
      <c r="AF358" s="251" t="s">
        <v>1162</v>
      </c>
      <c r="AG358" s="251" t="s">
        <v>776</v>
      </c>
      <c r="AH358" s="251" t="s">
        <v>1555</v>
      </c>
      <c r="AI358" s="243" t="s">
        <v>152</v>
      </c>
      <c r="AJ358" s="258" cm="1">
        <f t="array" aca="1" ref="AJ358" ca="1">DATE(YEAR(FECH.CONS[FECHA DE CONSULTA:]),MONTH(BDD[[#This Row],[FECHA NAC]]),DAY(BDD[[#This Row],[FECHA NAC]]))</f>
        <v>44718</v>
      </c>
      <c r="AK358" s="243">
        <v>7</v>
      </c>
      <c r="AL358" s="261" t="s">
        <v>311</v>
      </c>
      <c r="AM358" s="251" t="s">
        <v>1545</v>
      </c>
      <c r="AN358" s="251" t="s">
        <v>1551</v>
      </c>
      <c r="AO358" s="245">
        <v>46</v>
      </c>
      <c r="AP358" s="251">
        <f ca="1">INT((TODAY()-BDD[[#This Row],[FECHA NAC]])/365)</f>
        <v>25</v>
      </c>
      <c r="AQ358" s="251">
        <v>2</v>
      </c>
      <c r="AR358" s="251">
        <f ca="1">IF(BDD[[#This Row],[ANTIG]]=0,0,1)</f>
        <v>1</v>
      </c>
      <c r="AS358" s="251"/>
      <c r="AT358" s="251"/>
      <c r="AU358" s="251"/>
      <c r="AV358" s="251"/>
      <c r="AW358" s="251"/>
      <c r="AX358" s="251"/>
      <c r="AY358" s="251"/>
      <c r="AZ358" s="251">
        <f t="shared" ca="1" si="21"/>
        <v>198</v>
      </c>
    </row>
    <row r="359" spans="2:52" x14ac:dyDescent="0.25">
      <c r="B359" s="243">
        <v>538</v>
      </c>
      <c r="C359" s="251" t="s">
        <v>175</v>
      </c>
      <c r="D359" s="263">
        <v>10350</v>
      </c>
      <c r="E359" s="252">
        <f>(BDD[[#This Row],[SUE MENS]]/30)</f>
        <v>345</v>
      </c>
      <c r="F359" s="252">
        <f>BDD[[#This Row],[SUE MENS]]/2</f>
        <v>5175</v>
      </c>
      <c r="G359" s="319">
        <v>43492</v>
      </c>
      <c r="H359" s="243">
        <f ca="1">INT(_xlfn.DAYS(TODAY(),BDD[[#This Row],[FECHA ING.]])/365)</f>
        <v>3</v>
      </c>
      <c r="I359" s="251" t="str">
        <f>VLOOKUP(J359,TABLAS!$B$3:$G$49,2,FALSE)</f>
        <v>DIV INGENRIA</v>
      </c>
      <c r="J359" s="198" t="s">
        <v>756</v>
      </c>
      <c r="K359" s="251" t="s">
        <v>778</v>
      </c>
      <c r="L359" s="251" t="s">
        <v>763</v>
      </c>
      <c r="M359" s="251"/>
      <c r="N359" s="244" t="s">
        <v>2067</v>
      </c>
      <c r="O359" s="251" t="str">
        <f>IFERROR(VLOOKUP(BDD[[#This Row],[SUBDPTO]],TABLAS!$B$4:$D$36,3,0)," ")</f>
        <v>DIEGO HERRERA GIRÓN</v>
      </c>
      <c r="P359" s="258"/>
      <c r="Q359" s="264"/>
      <c r="R359" s="244"/>
      <c r="S359" s="251"/>
      <c r="T359" s="251" t="s">
        <v>811</v>
      </c>
      <c r="U359" s="243">
        <f ca="1">VLOOKUP(BDD[[#This Row],[ANTIG]],DIASXANT18[#All],2)</f>
        <v>14</v>
      </c>
      <c r="V359" s="256">
        <f t="shared" si="24"/>
        <v>0.5</v>
      </c>
      <c r="W359" s="243">
        <f ca="1">BDD[[#This Row],[D.VAC.]]*BDD[[#This Row],[% P.V.]]</f>
        <v>7</v>
      </c>
      <c r="X359" s="243">
        <v>30</v>
      </c>
      <c r="Y359" s="257">
        <f ca="1">(365+BDD[[#This Row],[D.PAG.V.]]+BDD[[#This Row],[D.AG.]])/365</f>
        <v>1.1013698630136985</v>
      </c>
      <c r="Z359" s="243">
        <f ca="1">BDD[[#This Row],[SUE DIA]]*BDD[[#This Row],[FACTOR SDI]]</f>
        <v>379.97260273972597</v>
      </c>
      <c r="AA359" s="243">
        <f>BDD[[#This Row],[SUE DIA]]/9</f>
        <v>38.333333333333336</v>
      </c>
      <c r="AB359" s="251">
        <v>30223</v>
      </c>
      <c r="AC359" s="251" t="s">
        <v>961</v>
      </c>
      <c r="AD359" s="251" t="s">
        <v>789</v>
      </c>
      <c r="AE359" s="252">
        <v>8771900027</v>
      </c>
      <c r="AF359" s="251" t="s">
        <v>1185</v>
      </c>
      <c r="AG359" s="251" t="s">
        <v>773</v>
      </c>
      <c r="AH359" s="251" t="s">
        <v>1555</v>
      </c>
      <c r="AI359" s="243" t="s">
        <v>151</v>
      </c>
      <c r="AJ359" s="258" cm="1">
        <f t="array" aca="1" ref="AJ359" ca="1">DATE(YEAR(FECH.CONS[FECHA DE CONSULTA:]),MONTH(BDD[[#This Row],[FECHA NAC]]),DAY(BDD[[#This Row],[FECHA NAC]]))</f>
        <v>44833</v>
      </c>
      <c r="AK359" s="243">
        <v>9</v>
      </c>
      <c r="AL359" s="251" t="s">
        <v>311</v>
      </c>
      <c r="AM359" s="251" t="s">
        <v>1538</v>
      </c>
      <c r="AN359" s="251" t="s">
        <v>1551</v>
      </c>
      <c r="AO359" s="245">
        <v>47</v>
      </c>
      <c r="AP359" s="251">
        <f ca="1">INT((TODAY()-BDD[[#This Row],[FECHA NAC]])/365)</f>
        <v>39</v>
      </c>
      <c r="AQ359" s="251">
        <v>1</v>
      </c>
      <c r="AR359" s="251">
        <f ca="1">IF(BDD[[#This Row],[ANTIG]]=0,0,1)</f>
        <v>1</v>
      </c>
      <c r="AS359" s="251"/>
      <c r="AT359" s="251"/>
      <c r="AU359" s="251"/>
      <c r="AV359" s="251"/>
      <c r="AW359" s="251"/>
      <c r="AX359" s="251"/>
      <c r="AY359" s="251"/>
      <c r="AZ359" s="251">
        <f t="shared" ca="1" si="21"/>
        <v>221</v>
      </c>
    </row>
    <row r="360" spans="2:52" x14ac:dyDescent="0.25">
      <c r="B360" s="243">
        <v>541</v>
      </c>
      <c r="C360" s="259" t="s">
        <v>1632</v>
      </c>
      <c r="D360" s="244">
        <v>6778</v>
      </c>
      <c r="E360" s="252">
        <f>(BDD[[#This Row],[SUE MENS]]/30)</f>
        <v>225.93333333333334</v>
      </c>
      <c r="F360" s="252">
        <f>BDD[[#This Row],[SUE MENS]]/2</f>
        <v>3389</v>
      </c>
      <c r="G360" s="320">
        <v>43497</v>
      </c>
      <c r="H360" s="243">
        <f ca="1">INT(_xlfn.DAYS(TODAY(),BDD[[#This Row],[FECHA ING.]])/365)</f>
        <v>3</v>
      </c>
      <c r="I360" s="251" t="str">
        <f>VLOOKUP(J360,TABLAS!$B$3:$G$49,2,FALSE)</f>
        <v>DIV INGENRIA</v>
      </c>
      <c r="J360" s="198" t="s">
        <v>744</v>
      </c>
      <c r="K360" s="251" t="s">
        <v>778</v>
      </c>
      <c r="L360" s="251" t="s">
        <v>763</v>
      </c>
      <c r="M360" s="251"/>
      <c r="N360" s="253" t="s">
        <v>2010</v>
      </c>
      <c r="O360" s="251" t="str">
        <f>IFERROR(VLOOKUP(BDD[[#This Row],[SUBDPTO]],TABLAS!$B$4:$D$36,3,0)," ")</f>
        <v>DIEGO HERRERA GIRÓN</v>
      </c>
      <c r="P360" s="258"/>
      <c r="Q360" s="264"/>
      <c r="R360" s="244"/>
      <c r="S360" s="251"/>
      <c r="T360" s="251" t="s">
        <v>811</v>
      </c>
      <c r="U360" s="243">
        <f ca="1">VLOOKUP(BDD[[#This Row],[ANTIG]],DIASXANT18[#All],2)</f>
        <v>14</v>
      </c>
      <c r="V360" s="266">
        <v>0.25</v>
      </c>
      <c r="W360" s="243">
        <f ca="1">BDD[[#This Row],[D.VAC.]]*BDD[[#This Row],[% P.V.]]</f>
        <v>3.5</v>
      </c>
      <c r="X360" s="265">
        <v>15</v>
      </c>
      <c r="Y360" s="257">
        <f ca="1">(365+BDD[[#This Row],[D.PAG.V.]]+BDD[[#This Row],[D.AG.]])/365</f>
        <v>1.0506849315068494</v>
      </c>
      <c r="Z360" s="243">
        <f ca="1">BDD[[#This Row],[SUE DIA]]*BDD[[#This Row],[FACTOR SDI]]</f>
        <v>237.38474885844749</v>
      </c>
      <c r="AA360" s="243">
        <f>BDD[[#This Row],[SUE DIA]]/9</f>
        <v>25.103703703703705</v>
      </c>
      <c r="AB360" s="251">
        <v>29812</v>
      </c>
      <c r="AC360" s="251" t="s">
        <v>922</v>
      </c>
      <c r="AD360" s="251" t="s">
        <v>790</v>
      </c>
      <c r="AE360" s="260">
        <v>9877854212</v>
      </c>
      <c r="AF360" s="251" t="s">
        <v>1407</v>
      </c>
      <c r="AG360" s="251" t="s">
        <v>776</v>
      </c>
      <c r="AH360" s="251" t="s">
        <v>730</v>
      </c>
      <c r="AI360" s="243" t="s">
        <v>151</v>
      </c>
      <c r="AJ360" s="258" cm="1">
        <f t="array" aca="1" ref="AJ360" ca="1">DATE(YEAR(FECH.CONS[FECHA DE CONSULTA:]),MONTH(BDD[[#This Row],[FECHA NAC]]),DAY(BDD[[#This Row],[FECHA NAC]]))</f>
        <v>44787</v>
      </c>
      <c r="AK360" s="243">
        <v>5</v>
      </c>
      <c r="AL360" s="261" t="s">
        <v>322</v>
      </c>
      <c r="AM360" s="251" t="s">
        <v>1538</v>
      </c>
      <c r="AN360" s="251" t="s">
        <v>1551</v>
      </c>
      <c r="AO360" s="245">
        <v>88</v>
      </c>
      <c r="AP360" s="251">
        <f ca="1">INT((TODAY()-BDD[[#This Row],[FECHA NAC]])/365)</f>
        <v>40</v>
      </c>
      <c r="AQ360" s="251">
        <v>3</v>
      </c>
      <c r="AR360" s="251">
        <f ca="1">IF(BDD[[#This Row],[ANTIG]]=0,0,1)</f>
        <v>1</v>
      </c>
      <c r="AS360" s="251"/>
      <c r="AT360" s="251"/>
      <c r="AU360" s="251"/>
      <c r="AV360" s="251"/>
      <c r="AW360" s="251"/>
      <c r="AX360" s="251"/>
      <c r="AY360" s="251"/>
      <c r="AZ360" s="251">
        <f t="shared" ca="1" si="21"/>
        <v>862</v>
      </c>
    </row>
    <row r="361" spans="2:52" x14ac:dyDescent="0.25">
      <c r="B361" s="243">
        <v>544</v>
      </c>
      <c r="C361" s="259" t="s">
        <v>643</v>
      </c>
      <c r="D361" s="263">
        <v>7445</v>
      </c>
      <c r="E361" s="252">
        <f>(BDD[[#This Row],[SUE MENS]]/30)</f>
        <v>248.16666666666666</v>
      </c>
      <c r="F361" s="252">
        <f>BDD[[#This Row],[SUE MENS]]/2</f>
        <v>3722.5</v>
      </c>
      <c r="G361" s="319">
        <v>43499</v>
      </c>
      <c r="H361" s="243">
        <f ca="1">INT(_xlfn.DAYS(TODAY(),BDD[[#This Row],[FECHA ING.]])/365)</f>
        <v>3</v>
      </c>
      <c r="I361" s="251" t="str">
        <f>VLOOKUP(J361,TABLAS!$B$3:$G$49,2,FALSE)</f>
        <v>AUDITORÍA</v>
      </c>
      <c r="J361" s="198" t="s">
        <v>734</v>
      </c>
      <c r="K361" s="251" t="s">
        <v>778</v>
      </c>
      <c r="L361" s="251" t="s">
        <v>763</v>
      </c>
      <c r="M361" s="251"/>
      <c r="N361" s="253" t="s">
        <v>2027</v>
      </c>
      <c r="O361" s="251" t="str">
        <f>IFERROR(VLOOKUP(BDD[[#This Row],[SUBDPTO]],TABLAS!$B$4:$D$36,3,0)," ")</f>
        <v>MARCO AURELIO URBINO</v>
      </c>
      <c r="P361" s="258"/>
      <c r="Q361" s="264"/>
      <c r="R361" s="244"/>
      <c r="S361" s="251"/>
      <c r="T361" s="251" t="s">
        <v>811</v>
      </c>
      <c r="U361" s="243">
        <f ca="1">VLOOKUP(BDD[[#This Row],[ANTIG]],DIASXANT18[#All],2)</f>
        <v>14</v>
      </c>
      <c r="V361" s="256">
        <f t="shared" ref="V361:V368" si="25">100/200</f>
        <v>0.5</v>
      </c>
      <c r="W361" s="243">
        <f ca="1">BDD[[#This Row],[D.VAC.]]*BDD[[#This Row],[% P.V.]]</f>
        <v>7</v>
      </c>
      <c r="X361" s="243">
        <v>30</v>
      </c>
      <c r="Y361" s="257">
        <f ca="1">(365+BDD[[#This Row],[D.PAG.V.]]+BDD[[#This Row],[D.AG.]])/365</f>
        <v>1.1013698630136985</v>
      </c>
      <c r="Z361" s="243">
        <f ca="1">BDD[[#This Row],[SUE DIA]]*BDD[[#This Row],[FACTOR SDI]]</f>
        <v>273.32328767123283</v>
      </c>
      <c r="AA361" s="243">
        <f>BDD[[#This Row],[SUE DIA]]/9</f>
        <v>27.574074074074073</v>
      </c>
      <c r="AB361" s="251">
        <v>34350</v>
      </c>
      <c r="AC361" s="251" t="s">
        <v>1041</v>
      </c>
      <c r="AD361" s="251" t="s">
        <v>791</v>
      </c>
      <c r="AE361" s="260">
        <v>8199398017</v>
      </c>
      <c r="AF361" s="251" t="s">
        <v>1483</v>
      </c>
      <c r="AG361" s="251" t="s">
        <v>776</v>
      </c>
      <c r="AH361" s="251" t="s">
        <v>730</v>
      </c>
      <c r="AI361" s="243" t="s">
        <v>151</v>
      </c>
      <c r="AJ361" s="258" cm="1">
        <f t="array" aca="1" ref="AJ361" ca="1">DATE(YEAR(FECH.CONS[FECHA DE CONSULTA:]),MONTH(BDD[[#This Row],[FECHA NAC]]),DAY(BDD[[#This Row],[FECHA NAC]]))</f>
        <v>44577</v>
      </c>
      <c r="AK361" s="243">
        <v>5</v>
      </c>
      <c r="AL361" s="261" t="s">
        <v>321</v>
      </c>
      <c r="AM361" s="251" t="s">
        <v>1544</v>
      </c>
      <c r="AN361" s="251" t="s">
        <v>1551</v>
      </c>
      <c r="AO361" s="245">
        <v>75</v>
      </c>
      <c r="AP361" s="251">
        <f ca="1">INT((TODAY()-BDD[[#This Row],[FECHA NAC]])/365)</f>
        <v>28</v>
      </c>
      <c r="AQ361" s="251">
        <v>3</v>
      </c>
      <c r="AR361" s="251">
        <f ca="1">IF(BDD[[#This Row],[ANTIG]]=0,0,1)</f>
        <v>1</v>
      </c>
      <c r="AS361" s="251"/>
      <c r="AT361" s="251"/>
      <c r="AU361" s="251"/>
      <c r="AV361" s="251"/>
      <c r="AW361" s="251"/>
      <c r="AX361" s="251"/>
      <c r="AY361" s="251"/>
      <c r="AZ361" s="251">
        <f t="shared" ca="1" si="21"/>
        <v>872</v>
      </c>
    </row>
    <row r="362" spans="2:52" x14ac:dyDescent="0.25">
      <c r="B362" s="243">
        <v>545</v>
      </c>
      <c r="C362" s="259" t="s">
        <v>518</v>
      </c>
      <c r="D362" s="252">
        <v>9541</v>
      </c>
      <c r="E362" s="252">
        <f>(BDD[[#This Row],[SUE MENS]]/30)</f>
        <v>318.03333333333336</v>
      </c>
      <c r="F362" s="252">
        <f>BDD[[#This Row],[SUE MENS]]/2</f>
        <v>4770.5</v>
      </c>
      <c r="G362" s="320">
        <v>43501</v>
      </c>
      <c r="H362" s="243">
        <f ca="1">INT(_xlfn.DAYS(TODAY(),BDD[[#This Row],[FECHA ING.]])/365)</f>
        <v>3</v>
      </c>
      <c r="I362" s="251" t="str">
        <f>VLOOKUP(J362,TABLAS!$B$3:$G$49,2,FALSE)</f>
        <v>DIRECCIÓN</v>
      </c>
      <c r="J362" s="198" t="s">
        <v>759</v>
      </c>
      <c r="K362" s="251" t="s">
        <v>778</v>
      </c>
      <c r="L362" s="251" t="s">
        <v>763</v>
      </c>
      <c r="M362" s="251"/>
      <c r="N362" s="253" t="s">
        <v>1848</v>
      </c>
      <c r="O362" s="251" t="str">
        <f>IFERROR(VLOOKUP(BDD[[#This Row],[SUBDPTO]],TABLAS!$B$4:$D$36,3,0)," ")</f>
        <v>MARIANA RODRÍGUEZ GUTIERREZ</v>
      </c>
      <c r="P362" s="258">
        <v>42624</v>
      </c>
      <c r="Q362" s="254">
        <v>5088</v>
      </c>
      <c r="R362" s="255" t="s">
        <v>744</v>
      </c>
      <c r="S362" s="251"/>
      <c r="T362" s="251" t="s">
        <v>301</v>
      </c>
      <c r="U362" s="243">
        <f ca="1">VLOOKUP(BDD[[#This Row],[ANTIG]],DIASXANT18[#All],2)</f>
        <v>14</v>
      </c>
      <c r="V362" s="256">
        <f t="shared" si="25"/>
        <v>0.5</v>
      </c>
      <c r="W362" s="243">
        <f ca="1">BDD[[#This Row],[D.VAC.]]*BDD[[#This Row],[% P.V.]]</f>
        <v>7</v>
      </c>
      <c r="X362" s="243">
        <v>30</v>
      </c>
      <c r="Y362" s="257">
        <f ca="1">(365+BDD[[#This Row],[D.PAG.V.]]+BDD[[#This Row],[D.AG.]])/365</f>
        <v>1.1013698630136985</v>
      </c>
      <c r="Z362" s="243">
        <f ca="1">BDD[[#This Row],[SUE DIA]]*BDD[[#This Row],[FACTOR SDI]]</f>
        <v>350.27232876712327</v>
      </c>
      <c r="AA362" s="243">
        <f>BDD[[#This Row],[SUE DIA]]/9</f>
        <v>35.337037037037042</v>
      </c>
      <c r="AB362" s="251">
        <v>26755</v>
      </c>
      <c r="AC362" s="251" t="s">
        <v>1030</v>
      </c>
      <c r="AD362" s="251" t="s">
        <v>790</v>
      </c>
      <c r="AE362" s="260">
        <v>6549873213</v>
      </c>
      <c r="AF362" s="251" t="s">
        <v>1397</v>
      </c>
      <c r="AG362" s="251" t="s">
        <v>776</v>
      </c>
      <c r="AH362" s="251" t="s">
        <v>730</v>
      </c>
      <c r="AI362" s="243" t="s">
        <v>151</v>
      </c>
      <c r="AJ362" s="258" cm="1">
        <f t="array" aca="1" ref="AJ362" ca="1">DATE(YEAR(FECH.CONS[FECHA DE CONSULTA:]),MONTH(BDD[[#This Row],[FECHA NAC]]),DAY(BDD[[#This Row],[FECHA NAC]]))</f>
        <v>44652</v>
      </c>
      <c r="AK362" s="243">
        <v>6</v>
      </c>
      <c r="AL362" s="261" t="s">
        <v>311</v>
      </c>
      <c r="AM362" s="251" t="s">
        <v>1535</v>
      </c>
      <c r="AN362" s="251" t="s">
        <v>1551</v>
      </c>
      <c r="AO362" s="245">
        <v>100</v>
      </c>
      <c r="AP362" s="251">
        <f ca="1">INT((TODAY()-BDD[[#This Row],[FECHA NAC]])/365)</f>
        <v>49</v>
      </c>
      <c r="AQ362" s="251">
        <v>2</v>
      </c>
      <c r="AR362" s="251">
        <f ca="1">IF(BDD[[#This Row],[ANTIG]]=0,0,1)</f>
        <v>1</v>
      </c>
      <c r="AS362" s="251"/>
      <c r="AT362" s="251"/>
      <c r="AU362" s="251"/>
      <c r="AV362" s="251"/>
      <c r="AW362" s="251"/>
      <c r="AX362" s="251"/>
      <c r="AY362" s="251"/>
      <c r="AZ362" s="251">
        <f t="shared" ca="1" si="21"/>
        <v>680</v>
      </c>
    </row>
    <row r="363" spans="2:52" x14ac:dyDescent="0.25">
      <c r="B363" s="243">
        <v>546</v>
      </c>
      <c r="C363" s="259" t="s">
        <v>482</v>
      </c>
      <c r="D363" s="252">
        <v>9541</v>
      </c>
      <c r="E363" s="252">
        <f>(BDD[[#This Row],[SUE MENS]]/30)</f>
        <v>318.03333333333336</v>
      </c>
      <c r="F363" s="252">
        <f>BDD[[#This Row],[SUE MENS]]/2</f>
        <v>4770.5</v>
      </c>
      <c r="G363" s="319">
        <v>43511</v>
      </c>
      <c r="H363" s="243">
        <f ca="1">INT(_xlfn.DAYS(TODAY(),BDD[[#This Row],[FECHA ING.]])/365)</f>
        <v>3</v>
      </c>
      <c r="I363" s="251" t="str">
        <f>VLOOKUP(J363,TABLAS!$B$3:$G$49,2,FALSE)</f>
        <v>CONTRATOS</v>
      </c>
      <c r="J363" s="198" t="s">
        <v>738</v>
      </c>
      <c r="K363" s="251" t="s">
        <v>778</v>
      </c>
      <c r="L363" s="251" t="s">
        <v>763</v>
      </c>
      <c r="M363" s="251"/>
      <c r="N363" s="253" t="s">
        <v>1947</v>
      </c>
      <c r="O363" s="251" t="str">
        <f>IFERROR(VLOOKUP(BDD[[#This Row],[SUBDPTO]],TABLAS!$B$4:$D$36,3,0)," ")</f>
        <v>IDALIA GARCÍA ESCRIVÁ</v>
      </c>
      <c r="P363" s="258">
        <v>42283</v>
      </c>
      <c r="Q363" s="254">
        <v>5422.4000000000005</v>
      </c>
      <c r="R363" s="255" t="s">
        <v>746</v>
      </c>
      <c r="S363" s="261" t="s">
        <v>767</v>
      </c>
      <c r="T363" s="251" t="s">
        <v>301</v>
      </c>
      <c r="U363" s="243">
        <f ca="1">VLOOKUP(BDD[[#This Row],[ANTIG]],DIASXANT18[#All],2)</f>
        <v>14</v>
      </c>
      <c r="V363" s="256">
        <f t="shared" si="25"/>
        <v>0.5</v>
      </c>
      <c r="W363" s="243">
        <f ca="1">BDD[[#This Row],[D.VAC.]]*BDD[[#This Row],[% P.V.]]</f>
        <v>7</v>
      </c>
      <c r="X363" s="243">
        <v>30</v>
      </c>
      <c r="Y363" s="257">
        <f ca="1">(365+BDD[[#This Row],[D.PAG.V.]]+BDD[[#This Row],[D.AG.]])/365</f>
        <v>1.1013698630136985</v>
      </c>
      <c r="Z363" s="243">
        <f ca="1">BDD[[#This Row],[SUE DIA]]*BDD[[#This Row],[FACTOR SDI]]</f>
        <v>350.27232876712327</v>
      </c>
      <c r="AA363" s="243">
        <f>BDD[[#This Row],[SUE DIA]]/9</f>
        <v>35.337037037037042</v>
      </c>
      <c r="AB363" s="251">
        <v>27021</v>
      </c>
      <c r="AC363" s="251" t="s">
        <v>880</v>
      </c>
      <c r="AD363" s="251" t="s">
        <v>787</v>
      </c>
      <c r="AE363" s="260">
        <v>8165498732</v>
      </c>
      <c r="AF363" s="251" t="s">
        <v>1372</v>
      </c>
      <c r="AG363" s="251" t="s">
        <v>776</v>
      </c>
      <c r="AH363" s="251" t="s">
        <v>730</v>
      </c>
      <c r="AI363" s="243" t="s">
        <v>151</v>
      </c>
      <c r="AJ363" s="258" cm="1">
        <f t="array" aca="1" ref="AJ363" ca="1">DATE(YEAR(FECH.CONS[FECHA DE CONSULTA:]),MONTH(BDD[[#This Row],[FECHA NAC]]),DAY(BDD[[#This Row],[FECHA NAC]]))</f>
        <v>44918</v>
      </c>
      <c r="AK363" s="243">
        <v>8</v>
      </c>
      <c r="AL363" s="261" t="s">
        <v>328</v>
      </c>
      <c r="AM363" s="251" t="s">
        <v>1534</v>
      </c>
      <c r="AN363" s="251" t="s">
        <v>1551</v>
      </c>
      <c r="AO363" s="245">
        <v>95</v>
      </c>
      <c r="AP363" s="251">
        <f ca="1">INT((TODAY()-BDD[[#This Row],[FECHA NAC]])/365)</f>
        <v>48</v>
      </c>
      <c r="AQ363" s="251">
        <v>1</v>
      </c>
      <c r="AR363" s="251">
        <f ca="1">IF(BDD[[#This Row],[ANTIG]]=0,0,1)</f>
        <v>1</v>
      </c>
      <c r="AS363" s="251"/>
      <c r="AT363" s="251"/>
      <c r="AU363" s="251"/>
      <c r="AV363" s="251"/>
      <c r="AW363" s="251"/>
      <c r="AX363" s="251"/>
      <c r="AY363" s="251"/>
      <c r="AZ363" s="251">
        <f t="shared" ca="1" si="21"/>
        <v>355</v>
      </c>
    </row>
    <row r="364" spans="2:52" x14ac:dyDescent="0.25">
      <c r="B364" s="243">
        <v>548</v>
      </c>
      <c r="C364" s="259" t="s">
        <v>599</v>
      </c>
      <c r="D364" s="252">
        <v>9541</v>
      </c>
      <c r="E364" s="252">
        <f>(BDD[[#This Row],[SUE MENS]]/30)</f>
        <v>318.03333333333336</v>
      </c>
      <c r="F364" s="252">
        <f>BDD[[#This Row],[SUE MENS]]/2</f>
        <v>4770.5</v>
      </c>
      <c r="G364" s="319">
        <v>43512</v>
      </c>
      <c r="H364" s="243">
        <f ca="1">INT(_xlfn.DAYS(TODAY(),BDD[[#This Row],[FECHA ING.]])/365)</f>
        <v>3</v>
      </c>
      <c r="I364" s="251" t="str">
        <f>VLOOKUP(J364,TABLAS!$B$3:$G$49,2,FALSE)</f>
        <v>TECNOLOGÍA</v>
      </c>
      <c r="J364" s="198" t="s">
        <v>751</v>
      </c>
      <c r="K364" s="251" t="s">
        <v>778</v>
      </c>
      <c r="L364" s="251" t="s">
        <v>763</v>
      </c>
      <c r="M364" s="251"/>
      <c r="N364" s="244" t="s">
        <v>2079</v>
      </c>
      <c r="O364" s="251" t="str">
        <f>IFERROR(VLOOKUP(BDD[[#This Row],[SUBDPTO]],TABLAS!$B$4:$D$36,3,0)," ")</f>
        <v>DENEB SANTIAGO ALTAIR VEGA</v>
      </c>
      <c r="P364" s="258">
        <v>43338</v>
      </c>
      <c r="Q364" s="254">
        <v>6160</v>
      </c>
      <c r="R364" s="255" t="s">
        <v>734</v>
      </c>
      <c r="S364" s="255" t="s">
        <v>736</v>
      </c>
      <c r="T364" s="251" t="s">
        <v>301</v>
      </c>
      <c r="U364" s="243">
        <f ca="1">VLOOKUP(BDD[[#This Row],[ANTIG]],DIASXANT18[#All],2)</f>
        <v>14</v>
      </c>
      <c r="V364" s="256">
        <f t="shared" si="25"/>
        <v>0.5</v>
      </c>
      <c r="W364" s="243">
        <f ca="1">BDD[[#This Row],[D.VAC.]]*BDD[[#This Row],[% P.V.]]</f>
        <v>7</v>
      </c>
      <c r="X364" s="243">
        <v>30</v>
      </c>
      <c r="Y364" s="257">
        <f ca="1">(365+BDD[[#This Row],[D.PAG.V.]]+BDD[[#This Row],[D.AG.]])/365</f>
        <v>1.1013698630136985</v>
      </c>
      <c r="Z364" s="243">
        <f ca="1">BDD[[#This Row],[SUE DIA]]*BDD[[#This Row],[FACTOR SDI]]</f>
        <v>350.27232876712327</v>
      </c>
      <c r="AA364" s="243">
        <f>BDD[[#This Row],[SUE DIA]]/9</f>
        <v>35.337037037037042</v>
      </c>
      <c r="AB364" s="251">
        <v>32652</v>
      </c>
      <c r="AC364" s="251" t="s">
        <v>957</v>
      </c>
      <c r="AD364" s="251" t="s">
        <v>786</v>
      </c>
      <c r="AE364" s="260">
        <v>8210660763</v>
      </c>
      <c r="AF364" s="251" t="s">
        <v>1455</v>
      </c>
      <c r="AG364" s="251" t="s">
        <v>774</v>
      </c>
      <c r="AH364" s="251" t="s">
        <v>730</v>
      </c>
      <c r="AI364" s="243" t="s">
        <v>151</v>
      </c>
      <c r="AJ364" s="258" cm="1">
        <f t="array" aca="1" ref="AJ364" ca="1">DATE(YEAR(FECH.CONS[FECHA DE CONSULTA:]),MONTH(BDD[[#This Row],[FECHA NAC]]),DAY(BDD[[#This Row],[FECHA NAC]]))</f>
        <v>44705</v>
      </c>
      <c r="AK364" s="243">
        <v>9</v>
      </c>
      <c r="AL364" s="261" t="s">
        <v>312</v>
      </c>
      <c r="AM364" s="251" t="s">
        <v>1547</v>
      </c>
      <c r="AN364" s="251" t="s">
        <v>1551</v>
      </c>
      <c r="AO364" s="245">
        <v>93</v>
      </c>
      <c r="AP364" s="251">
        <f ca="1">INT((TODAY()-BDD[[#This Row],[FECHA NAC]])/365)</f>
        <v>33</v>
      </c>
      <c r="AQ364" s="251">
        <v>2</v>
      </c>
      <c r="AR364" s="251">
        <f ca="1">IF(BDD[[#This Row],[ANTIG]]=0,0,1)</f>
        <v>1</v>
      </c>
      <c r="AS364" s="251"/>
      <c r="AT364" s="251"/>
      <c r="AU364" s="251"/>
      <c r="AV364" s="251"/>
      <c r="AW364" s="251"/>
      <c r="AX364" s="251"/>
      <c r="AY364" s="251"/>
      <c r="AZ364" s="251">
        <f t="shared" ca="1" si="21"/>
        <v>187</v>
      </c>
    </row>
    <row r="365" spans="2:52" x14ac:dyDescent="0.25">
      <c r="B365" s="243">
        <v>551</v>
      </c>
      <c r="C365" s="259" t="s">
        <v>542</v>
      </c>
      <c r="D365" s="263">
        <v>7445</v>
      </c>
      <c r="E365" s="252">
        <f>(BDD[[#This Row],[SUE MENS]]/30)</f>
        <v>248.16666666666666</v>
      </c>
      <c r="F365" s="252">
        <f>BDD[[#This Row],[SUE MENS]]/2</f>
        <v>3722.5</v>
      </c>
      <c r="G365" s="319">
        <v>43515</v>
      </c>
      <c r="H365" s="243">
        <f ca="1">INT(_xlfn.DAYS(TODAY(),BDD[[#This Row],[FECHA ING.]])/365)</f>
        <v>3</v>
      </c>
      <c r="I365" s="251" t="str">
        <f>VLOOKUP(J365,TABLAS!$B$3:$G$49,2,FALSE)</f>
        <v>DIV INGENRIA</v>
      </c>
      <c r="J365" s="198" t="s">
        <v>756</v>
      </c>
      <c r="K365" s="251" t="s">
        <v>778</v>
      </c>
      <c r="L365" s="251" t="s">
        <v>763</v>
      </c>
      <c r="M365" s="251"/>
      <c r="N365" s="253" t="s">
        <v>1944</v>
      </c>
      <c r="O365" s="251" t="str">
        <f>IFERROR(VLOOKUP(BDD[[#This Row],[SUBDPTO]],TABLAS!$B$4:$D$36,3,0)," ")</f>
        <v>DIEGO HERRERA GIRÓN</v>
      </c>
      <c r="P365" s="258"/>
      <c r="Q365" s="264"/>
      <c r="R365" s="244"/>
      <c r="S365" s="251"/>
      <c r="T365" s="251" t="s">
        <v>811</v>
      </c>
      <c r="U365" s="243">
        <f ca="1">VLOOKUP(BDD[[#This Row],[ANTIG]],DIASXANT18[#All],2)</f>
        <v>14</v>
      </c>
      <c r="V365" s="256">
        <f t="shared" si="25"/>
        <v>0.5</v>
      </c>
      <c r="W365" s="243">
        <f ca="1">BDD[[#This Row],[D.VAC.]]*BDD[[#This Row],[% P.V.]]</f>
        <v>7</v>
      </c>
      <c r="X365" s="243">
        <v>30</v>
      </c>
      <c r="Y365" s="257">
        <f ca="1">(365+BDD[[#This Row],[D.PAG.V.]]+BDD[[#This Row],[D.AG.]])/365</f>
        <v>1.1013698630136985</v>
      </c>
      <c r="Z365" s="243">
        <f ca="1">BDD[[#This Row],[SUE DIA]]*BDD[[#This Row],[FACTOR SDI]]</f>
        <v>273.32328767123283</v>
      </c>
      <c r="AA365" s="243">
        <f>BDD[[#This Row],[SUE DIA]]/9</f>
        <v>27.574074074074073</v>
      </c>
      <c r="AB365" s="251">
        <v>26265</v>
      </c>
      <c r="AC365" s="251" t="s">
        <v>1057</v>
      </c>
      <c r="AD365" s="251" t="s">
        <v>789</v>
      </c>
      <c r="AE365" s="260">
        <v>9168687683</v>
      </c>
      <c r="AF365" s="251" t="s">
        <v>1411</v>
      </c>
      <c r="AG365" s="251" t="s">
        <v>773</v>
      </c>
      <c r="AH365" s="251" t="s">
        <v>1555</v>
      </c>
      <c r="AI365" s="243" t="s">
        <v>151</v>
      </c>
      <c r="AJ365" s="258" cm="1">
        <f t="array" aca="1" ref="AJ365" ca="1">DATE(YEAR(FECH.CONS[FECHA DE CONSULTA:]),MONTH(BDD[[#This Row],[FECHA NAC]]),DAY(BDD[[#This Row],[FECHA NAC]]))</f>
        <v>44893</v>
      </c>
      <c r="AK365" s="243"/>
      <c r="AL365" s="261" t="s">
        <v>326</v>
      </c>
      <c r="AM365" s="251" t="s">
        <v>1549</v>
      </c>
      <c r="AN365" s="251" t="s">
        <v>1551</v>
      </c>
      <c r="AO365" s="245">
        <v>37</v>
      </c>
      <c r="AP365" s="251">
        <f ca="1">INT((TODAY()-BDD[[#This Row],[FECHA NAC]])/365)</f>
        <v>50</v>
      </c>
      <c r="AQ365" s="251">
        <v>1</v>
      </c>
      <c r="AR365" s="251">
        <f ca="1">IF(BDD[[#This Row],[ANTIG]]=0,0,1)</f>
        <v>1</v>
      </c>
      <c r="AS365" s="251"/>
      <c r="AT365" s="251"/>
      <c r="AU365" s="251"/>
      <c r="AV365" s="251"/>
      <c r="AW365" s="251"/>
      <c r="AX365" s="251"/>
      <c r="AY365" s="251"/>
      <c r="AZ365" s="251">
        <f t="shared" ca="1" si="21"/>
        <v>642</v>
      </c>
    </row>
    <row r="366" spans="2:52" x14ac:dyDescent="0.25">
      <c r="B366" s="243">
        <v>552</v>
      </c>
      <c r="C366" s="259" t="s">
        <v>670</v>
      </c>
      <c r="D366" s="252">
        <v>9541</v>
      </c>
      <c r="E366" s="252">
        <f>(BDD[[#This Row],[SUE MENS]]/30)</f>
        <v>318.03333333333336</v>
      </c>
      <c r="F366" s="252">
        <f>BDD[[#This Row],[SUE MENS]]/2</f>
        <v>4770.5</v>
      </c>
      <c r="G366" s="319">
        <v>43517</v>
      </c>
      <c r="H366" s="243">
        <f ca="1">INT(_xlfn.DAYS(TODAY(),BDD[[#This Row],[FECHA ING.]])/365)</f>
        <v>3</v>
      </c>
      <c r="I366" s="251" t="str">
        <f>VLOOKUP(J366,TABLAS!$B$3:$G$49,2,FALSE)</f>
        <v>DIV ARQUIT</v>
      </c>
      <c r="J366" s="198" t="s">
        <v>741</v>
      </c>
      <c r="K366" s="251" t="s">
        <v>778</v>
      </c>
      <c r="L366" s="251" t="s">
        <v>763</v>
      </c>
      <c r="M366" s="251"/>
      <c r="N366" s="253" t="s">
        <v>1972</v>
      </c>
      <c r="O366" s="251" t="str">
        <f>IFERROR(VLOOKUP(BDD[[#This Row],[SUBDPTO]],TABLAS!$B$4:$D$36,3,0)," ")</f>
        <v>MÉRIDA ISELA MEDINA SALINAS</v>
      </c>
      <c r="P366" s="258">
        <v>42371</v>
      </c>
      <c r="Q366" s="254">
        <v>5422.4000000000005</v>
      </c>
      <c r="R366" s="255" t="s">
        <v>743</v>
      </c>
      <c r="S366" s="255" t="s">
        <v>768</v>
      </c>
      <c r="T366" s="251" t="s">
        <v>811</v>
      </c>
      <c r="U366" s="243">
        <f ca="1">VLOOKUP(BDD[[#This Row],[ANTIG]],DIASXANT18[#All],2)</f>
        <v>14</v>
      </c>
      <c r="V366" s="256">
        <f t="shared" si="25"/>
        <v>0.5</v>
      </c>
      <c r="W366" s="243">
        <f ca="1">BDD[[#This Row],[D.VAC.]]*BDD[[#This Row],[% P.V.]]</f>
        <v>7</v>
      </c>
      <c r="X366" s="243">
        <v>30</v>
      </c>
      <c r="Y366" s="257">
        <f ca="1">(365+BDD[[#This Row],[D.PAG.V.]]+BDD[[#This Row],[D.AG.]])/365</f>
        <v>1.1013698630136985</v>
      </c>
      <c r="Z366" s="243">
        <f ca="1">BDD[[#This Row],[SUE DIA]]*BDD[[#This Row],[FACTOR SDI]]</f>
        <v>350.27232876712327</v>
      </c>
      <c r="AA366" s="243">
        <f>BDD[[#This Row],[SUE DIA]]/9</f>
        <v>35.337037037037042</v>
      </c>
      <c r="AB366" s="251">
        <v>25707</v>
      </c>
      <c r="AC366" s="251" t="s">
        <v>1059</v>
      </c>
      <c r="AD366" s="251" t="s">
        <v>789</v>
      </c>
      <c r="AE366" s="260">
        <v>3267453419</v>
      </c>
      <c r="AF366" s="251" t="s">
        <v>1499</v>
      </c>
      <c r="AG366" s="251" t="s">
        <v>776</v>
      </c>
      <c r="AH366" s="251" t="s">
        <v>727</v>
      </c>
      <c r="AI366" s="243" t="s">
        <v>151</v>
      </c>
      <c r="AJ366" s="258" cm="1">
        <f t="array" aca="1" ref="AJ366" ca="1">DATE(YEAR(FECH.CONS[FECHA DE CONSULTA:]),MONTH(BDD[[#This Row],[FECHA NAC]]),DAY(BDD[[#This Row],[FECHA NAC]]))</f>
        <v>44700</v>
      </c>
      <c r="AK366" s="243"/>
      <c r="AL366" s="261" t="s">
        <v>311</v>
      </c>
      <c r="AM366" s="251" t="s">
        <v>1543</v>
      </c>
      <c r="AN366" s="251" t="s">
        <v>1543</v>
      </c>
      <c r="AO366" s="245">
        <v>83</v>
      </c>
      <c r="AP366" s="251">
        <f ca="1">INT((TODAY()-BDD[[#This Row],[FECHA NAC]])/365)</f>
        <v>52</v>
      </c>
      <c r="AQ366" s="251">
        <v>2</v>
      </c>
      <c r="AR366" s="251">
        <f ca="1">IF(BDD[[#This Row],[ANTIG]]=0,0,1)</f>
        <v>1</v>
      </c>
      <c r="AS366" s="251"/>
      <c r="AT366" s="251"/>
      <c r="AU366" s="251"/>
      <c r="AV366" s="251"/>
      <c r="AW366" s="251"/>
      <c r="AX366" s="251"/>
      <c r="AY366" s="251"/>
      <c r="AZ366" s="251">
        <f t="shared" ca="1" si="21"/>
        <v>994</v>
      </c>
    </row>
    <row r="367" spans="2:52" x14ac:dyDescent="0.25">
      <c r="B367" s="243">
        <v>553</v>
      </c>
      <c r="C367" s="259" t="s">
        <v>557</v>
      </c>
      <c r="D367" s="263">
        <v>7445</v>
      </c>
      <c r="E367" s="252">
        <f>(BDD[[#This Row],[SUE MENS]]/30)</f>
        <v>248.16666666666666</v>
      </c>
      <c r="F367" s="252">
        <f>BDD[[#This Row],[SUE MENS]]/2</f>
        <v>3722.5</v>
      </c>
      <c r="G367" s="319">
        <v>43518</v>
      </c>
      <c r="H367" s="243">
        <f ca="1">INT(_xlfn.DAYS(TODAY(),BDD[[#This Row],[FECHA ING.]])/365)</f>
        <v>3</v>
      </c>
      <c r="I367" s="251" t="str">
        <f>VLOOKUP(J367,TABLAS!$B$3:$G$49,2,FALSE)</f>
        <v>FINANZAS</v>
      </c>
      <c r="J367" s="198" t="s">
        <v>747</v>
      </c>
      <c r="K367" s="251" t="s">
        <v>778</v>
      </c>
      <c r="L367" s="251" t="s">
        <v>763</v>
      </c>
      <c r="M367" s="251"/>
      <c r="N367" s="253" t="s">
        <v>1953</v>
      </c>
      <c r="O367" s="251" t="str">
        <f>IFERROR(VLOOKUP(BDD[[#This Row],[SUBDPTO]],TABLAS!$B$4:$D$36,3,0)," ")</f>
        <v>MARIANO ALDEBARÁN</v>
      </c>
      <c r="P367" s="258">
        <v>43839</v>
      </c>
      <c r="Q367" s="254">
        <v>5422.4000000000005</v>
      </c>
      <c r="R367" s="255" t="s">
        <v>735</v>
      </c>
      <c r="S367" s="251"/>
      <c r="T367" s="251" t="s">
        <v>301</v>
      </c>
      <c r="U367" s="243">
        <f ca="1">VLOOKUP(BDD[[#This Row],[ANTIG]],DIASXANT18[#All],2)</f>
        <v>14</v>
      </c>
      <c r="V367" s="256">
        <f t="shared" si="25"/>
        <v>0.5</v>
      </c>
      <c r="W367" s="243">
        <f ca="1">BDD[[#This Row],[D.VAC.]]*BDD[[#This Row],[% P.V.]]</f>
        <v>7</v>
      </c>
      <c r="X367" s="243">
        <v>30</v>
      </c>
      <c r="Y367" s="257">
        <f ca="1">(365+BDD[[#This Row],[D.PAG.V.]]+BDD[[#This Row],[D.AG.]])/365</f>
        <v>1.1013698630136985</v>
      </c>
      <c r="Z367" s="243">
        <f ca="1">BDD[[#This Row],[SUE DIA]]*BDD[[#This Row],[FACTOR SDI]]</f>
        <v>273.32328767123283</v>
      </c>
      <c r="AA367" s="243">
        <f>BDD[[#This Row],[SUE DIA]]/9</f>
        <v>27.574074074074073</v>
      </c>
      <c r="AB367" s="251">
        <v>32399</v>
      </c>
      <c r="AC367" s="251" t="s">
        <v>940</v>
      </c>
      <c r="AD367" s="251" t="s">
        <v>786</v>
      </c>
      <c r="AE367" s="260">
        <v>5568984354</v>
      </c>
      <c r="AF367" s="251" t="s">
        <v>1421</v>
      </c>
      <c r="AG367" s="251" t="s">
        <v>776</v>
      </c>
      <c r="AH367" s="251" t="s">
        <v>730</v>
      </c>
      <c r="AI367" s="243" t="s">
        <v>151</v>
      </c>
      <c r="AJ367" s="258" cm="1">
        <f t="array" aca="1" ref="AJ367" ca="1">DATE(YEAR(FECH.CONS[FECHA DE CONSULTA:]),MONTH(BDD[[#This Row],[FECHA NAC]]),DAY(BDD[[#This Row],[FECHA NAC]]))</f>
        <v>44817</v>
      </c>
      <c r="AK367" s="243">
        <v>8</v>
      </c>
      <c r="AL367" s="261" t="s">
        <v>311</v>
      </c>
      <c r="AM367" s="251" t="s">
        <v>1534</v>
      </c>
      <c r="AN367" s="251" t="s">
        <v>1551</v>
      </c>
      <c r="AO367" s="245">
        <v>45</v>
      </c>
      <c r="AP367" s="251">
        <f ca="1">INT((TODAY()-BDD[[#This Row],[FECHA NAC]])/365)</f>
        <v>33</v>
      </c>
      <c r="AQ367" s="251">
        <v>1</v>
      </c>
      <c r="AR367" s="251">
        <f ca="1">IF(BDD[[#This Row],[ANTIG]]=0,0,1)</f>
        <v>1</v>
      </c>
      <c r="AS367" s="251"/>
      <c r="AT367" s="251"/>
      <c r="AU367" s="251"/>
      <c r="AV367" s="251"/>
      <c r="AW367" s="251"/>
      <c r="AX367" s="251"/>
      <c r="AY367" s="251"/>
      <c r="AZ367" s="251">
        <f t="shared" ca="1" si="21"/>
        <v>897</v>
      </c>
    </row>
    <row r="368" spans="2:52" x14ac:dyDescent="0.25">
      <c r="B368" s="243">
        <v>554</v>
      </c>
      <c r="C368" s="251" t="s">
        <v>184</v>
      </c>
      <c r="D368" s="252">
        <v>7950</v>
      </c>
      <c r="E368" s="252">
        <f>(BDD[[#This Row],[SUE MENS]]/30)</f>
        <v>265</v>
      </c>
      <c r="F368" s="252">
        <f>BDD[[#This Row],[SUE MENS]]/2</f>
        <v>3975</v>
      </c>
      <c r="G368" s="319">
        <v>43518</v>
      </c>
      <c r="H368" s="243">
        <f ca="1">INT(_xlfn.DAYS(TODAY(),BDD[[#This Row],[FECHA ING.]])/365)</f>
        <v>3</v>
      </c>
      <c r="I368" s="251" t="str">
        <f>VLOOKUP(J368,TABLAS!$B$3:$G$49,2,FALSE)</f>
        <v>AUDITORÍA</v>
      </c>
      <c r="J368" s="198" t="s">
        <v>736</v>
      </c>
      <c r="K368" s="251" t="s">
        <v>778</v>
      </c>
      <c r="L368" s="251" t="s">
        <v>763</v>
      </c>
      <c r="M368" s="251"/>
      <c r="N368" s="244" t="s">
        <v>2173</v>
      </c>
      <c r="O368" s="251" t="str">
        <f>IFERROR(VLOOKUP(BDD[[#This Row],[SUBDPTO]],TABLAS!$B$4:$D$36,3,0)," ")</f>
        <v>MARCO AURELIO URBINO</v>
      </c>
      <c r="P368" s="258">
        <v>43998</v>
      </c>
      <c r="Q368" s="254">
        <v>5956</v>
      </c>
      <c r="R368" s="255" t="s">
        <v>746</v>
      </c>
      <c r="S368" s="251"/>
      <c r="T368" s="251" t="s">
        <v>811</v>
      </c>
      <c r="U368" s="243">
        <f ca="1">VLOOKUP(BDD[[#This Row],[ANTIG]],DIASXANT18[#All],2)</f>
        <v>14</v>
      </c>
      <c r="V368" s="256">
        <f t="shared" si="25"/>
        <v>0.5</v>
      </c>
      <c r="W368" s="243">
        <f ca="1">BDD[[#This Row],[D.VAC.]]*BDD[[#This Row],[% P.V.]]</f>
        <v>7</v>
      </c>
      <c r="X368" s="243">
        <v>30</v>
      </c>
      <c r="Y368" s="257">
        <f ca="1">(365+BDD[[#This Row],[D.PAG.V.]]+BDD[[#This Row],[D.AG.]])/365</f>
        <v>1.1013698630136985</v>
      </c>
      <c r="Z368" s="243">
        <f ca="1">BDD[[#This Row],[SUE DIA]]*BDD[[#This Row],[FACTOR SDI]]</f>
        <v>291.86301369863014</v>
      </c>
      <c r="AA368" s="243">
        <f>BDD[[#This Row],[SUE DIA]]/9</f>
        <v>29.444444444444443</v>
      </c>
      <c r="AB368" s="251">
        <v>32476</v>
      </c>
      <c r="AC368" s="251" t="s">
        <v>970</v>
      </c>
      <c r="AD368" s="251" t="s">
        <v>787</v>
      </c>
      <c r="AE368" s="252">
        <v>8219380417</v>
      </c>
      <c r="AF368" s="251" t="s">
        <v>1199</v>
      </c>
      <c r="AG368" s="251" t="s">
        <v>776</v>
      </c>
      <c r="AH368" s="251" t="s">
        <v>730</v>
      </c>
      <c r="AI368" s="243" t="s">
        <v>151</v>
      </c>
      <c r="AJ368" s="258" cm="1">
        <f t="array" aca="1" ref="AJ368" ca="1">DATE(YEAR(FECH.CONS[FECHA DE CONSULTA:]),MONTH(BDD[[#This Row],[FECHA NAC]]),DAY(BDD[[#This Row],[FECHA NAC]]))</f>
        <v>44894</v>
      </c>
      <c r="AK368" s="243">
        <v>6</v>
      </c>
      <c r="AL368" s="251" t="s">
        <v>311</v>
      </c>
      <c r="AM368" s="251" t="s">
        <v>1535</v>
      </c>
      <c r="AN368" s="251" t="s">
        <v>1551</v>
      </c>
      <c r="AO368" s="245">
        <v>93</v>
      </c>
      <c r="AP368" s="251">
        <f ca="1">INT((TODAY()-BDD[[#This Row],[FECHA NAC]])/365)</f>
        <v>33</v>
      </c>
      <c r="AQ368" s="251">
        <v>1</v>
      </c>
      <c r="AR368" s="251">
        <f ca="1">IF(BDD[[#This Row],[ANTIG]]=0,0,1)</f>
        <v>1</v>
      </c>
      <c r="AS368" s="251"/>
      <c r="AT368" s="251"/>
      <c r="AU368" s="251"/>
      <c r="AV368" s="251"/>
      <c r="AW368" s="251"/>
      <c r="AX368" s="251"/>
      <c r="AY368" s="251"/>
      <c r="AZ368" s="251">
        <f t="shared" ca="1" si="21"/>
        <v>1000</v>
      </c>
    </row>
    <row r="369" spans="2:52" x14ac:dyDescent="0.25">
      <c r="B369" s="243">
        <v>555</v>
      </c>
      <c r="C369" s="262" t="s">
        <v>347</v>
      </c>
      <c r="D369" s="244">
        <v>6778</v>
      </c>
      <c r="E369" s="252">
        <f>(BDD[[#This Row],[SUE MENS]]/30)</f>
        <v>225.93333333333334</v>
      </c>
      <c r="F369" s="252">
        <f>BDD[[#This Row],[SUE MENS]]/2</f>
        <v>3389</v>
      </c>
      <c r="G369" s="320">
        <v>43526</v>
      </c>
      <c r="H369" s="243">
        <f ca="1">INT(_xlfn.DAYS(TODAY(),BDD[[#This Row],[FECHA ING.]])/365)</f>
        <v>3</v>
      </c>
      <c r="I369" s="251" t="str">
        <f>VLOOKUP(J369,TABLAS!$B$3:$G$49,2,FALSE)</f>
        <v>DIV ARQUIT</v>
      </c>
      <c r="J369" s="198" t="s">
        <v>740</v>
      </c>
      <c r="K369" s="251" t="s">
        <v>778</v>
      </c>
      <c r="L369" s="251" t="s">
        <v>763</v>
      </c>
      <c r="M369" s="251"/>
      <c r="N369" s="244" t="s">
        <v>1877</v>
      </c>
      <c r="O369" s="251" t="str">
        <f>IFERROR(VLOOKUP(BDD[[#This Row],[SUBDPTO]],TABLAS!$B$4:$D$36,3,0)," ")</f>
        <v>MÉRIDA ISELA MEDINA SALINAS</v>
      </c>
      <c r="P369" s="258"/>
      <c r="Q369" s="264"/>
      <c r="R369" s="244"/>
      <c r="S369" s="251"/>
      <c r="T369" s="251" t="s">
        <v>811</v>
      </c>
      <c r="U369" s="243">
        <f ca="1">VLOOKUP(BDD[[#This Row],[ANTIG]],DIASXANT18[#All],2)</f>
        <v>14</v>
      </c>
      <c r="V369" s="266">
        <v>0.25</v>
      </c>
      <c r="W369" s="243">
        <f ca="1">BDD[[#This Row],[D.VAC.]]*BDD[[#This Row],[% P.V.]]</f>
        <v>3.5</v>
      </c>
      <c r="X369" s="265">
        <v>15</v>
      </c>
      <c r="Y369" s="257">
        <f ca="1">(365+BDD[[#This Row],[D.PAG.V.]]+BDD[[#This Row],[D.AG.]])/365</f>
        <v>1.0506849315068494</v>
      </c>
      <c r="Z369" s="243">
        <f ca="1">BDD[[#This Row],[SUE DIA]]*BDD[[#This Row],[FACTOR SDI]]</f>
        <v>237.38474885844749</v>
      </c>
      <c r="AA369" s="243">
        <f>BDD[[#This Row],[SUE DIA]]/9</f>
        <v>25.103703703703705</v>
      </c>
      <c r="AB369" s="262">
        <v>32937</v>
      </c>
      <c r="AC369" s="251" t="s">
        <v>907</v>
      </c>
      <c r="AD369" s="251" t="s">
        <v>789</v>
      </c>
      <c r="AE369" s="252">
        <v>8405674305</v>
      </c>
      <c r="AF369" s="251" t="s">
        <v>1321</v>
      </c>
      <c r="AG369" s="251" t="s">
        <v>776</v>
      </c>
      <c r="AH369" s="251" t="s">
        <v>730</v>
      </c>
      <c r="AI369" s="243" t="s">
        <v>151</v>
      </c>
      <c r="AJ369" s="258" cm="1">
        <f t="array" aca="1" ref="AJ369" ca="1">DATE(YEAR(FECH.CONS[FECHA DE CONSULTA:]),MONTH(BDD[[#This Row],[FECHA NAC]]),DAY(BDD[[#This Row],[FECHA NAC]]))</f>
        <v>44625</v>
      </c>
      <c r="AK369" s="243">
        <v>10</v>
      </c>
      <c r="AL369" s="261" t="s">
        <v>311</v>
      </c>
      <c r="AM369" s="251" t="s">
        <v>1543</v>
      </c>
      <c r="AN369" s="251" t="s">
        <v>1551</v>
      </c>
      <c r="AO369" s="245">
        <v>97</v>
      </c>
      <c r="AP369" s="251">
        <f ca="1">INT((TODAY()-BDD[[#This Row],[FECHA NAC]])/365)</f>
        <v>32</v>
      </c>
      <c r="AQ369" s="251">
        <v>2</v>
      </c>
      <c r="AR369" s="251">
        <f ca="1">IF(BDD[[#This Row],[ANTIG]]=0,0,1)</f>
        <v>1</v>
      </c>
      <c r="AS369" s="251"/>
      <c r="AT369" s="251"/>
      <c r="AU369" s="251"/>
      <c r="AV369" s="251"/>
      <c r="AW369" s="251"/>
      <c r="AX369" s="251"/>
      <c r="AY369" s="251"/>
      <c r="AZ369" s="251">
        <f t="shared" ca="1" si="21"/>
        <v>725</v>
      </c>
    </row>
    <row r="370" spans="2:52" x14ac:dyDescent="0.25">
      <c r="B370" s="243">
        <v>556</v>
      </c>
      <c r="C370" s="251" t="s">
        <v>245</v>
      </c>
      <c r="D370" s="252">
        <v>8825</v>
      </c>
      <c r="E370" s="252">
        <f>(BDD[[#This Row],[SUE MENS]]/30)</f>
        <v>294.16666666666669</v>
      </c>
      <c r="F370" s="252">
        <f>BDD[[#This Row],[SUE MENS]]/2</f>
        <v>4412.5</v>
      </c>
      <c r="G370" s="320">
        <v>43546</v>
      </c>
      <c r="H370" s="243">
        <f ca="1">INT(_xlfn.DAYS(TODAY(),BDD[[#This Row],[FECHA ING.]])/365)</f>
        <v>3</v>
      </c>
      <c r="I370" s="251" t="str">
        <f>VLOOKUP(J370,TABLAS!$B$3:$G$49,2,FALSE)</f>
        <v>FINANZAS</v>
      </c>
      <c r="J370" s="198" t="s">
        <v>748</v>
      </c>
      <c r="K370" s="251" t="s">
        <v>778</v>
      </c>
      <c r="L370" s="251" t="s">
        <v>763</v>
      </c>
      <c r="M370" s="251"/>
      <c r="N370" s="244" t="s">
        <v>1871</v>
      </c>
      <c r="O370" s="251" t="str">
        <f>IFERROR(VLOOKUP(BDD[[#This Row],[SUBDPTO]],TABLAS!$B$4:$D$36,3,0)," ")</f>
        <v>MARIANO ALDEBARÁN</v>
      </c>
      <c r="P370" s="258"/>
      <c r="Q370" s="264"/>
      <c r="R370" s="244"/>
      <c r="S370" s="251"/>
      <c r="T370" s="251" t="s">
        <v>301</v>
      </c>
      <c r="U370" s="243">
        <f ca="1">VLOOKUP(BDD[[#This Row],[ANTIG]],DIASXANT18[#All],2)</f>
        <v>14</v>
      </c>
      <c r="V370" s="256">
        <f t="shared" ref="V370:V375" si="26">100/200</f>
        <v>0.5</v>
      </c>
      <c r="W370" s="243">
        <f ca="1">BDD[[#This Row],[D.VAC.]]*BDD[[#This Row],[% P.V.]]</f>
        <v>7</v>
      </c>
      <c r="X370" s="243">
        <v>30</v>
      </c>
      <c r="Y370" s="257">
        <f ca="1">(365+BDD[[#This Row],[D.PAG.V.]]+BDD[[#This Row],[D.AG.]])/365</f>
        <v>1.1013698630136985</v>
      </c>
      <c r="Z370" s="243">
        <f ca="1">BDD[[#This Row],[SUE DIA]]*BDD[[#This Row],[FACTOR SDI]]</f>
        <v>323.98630136986299</v>
      </c>
      <c r="AA370" s="243">
        <f>BDD[[#This Row],[SUE DIA]]/9</f>
        <v>32.68518518518519</v>
      </c>
      <c r="AB370" s="251">
        <v>30867</v>
      </c>
      <c r="AC370" s="251" t="s">
        <v>929</v>
      </c>
      <c r="AD370" s="251" t="s">
        <v>786</v>
      </c>
      <c r="AE370" s="252">
        <v>8247118905</v>
      </c>
      <c r="AF370" s="251" t="s">
        <v>1273</v>
      </c>
      <c r="AG370" s="251" t="s">
        <v>776</v>
      </c>
      <c r="AH370" s="251" t="s">
        <v>730</v>
      </c>
      <c r="AI370" s="243" t="s">
        <v>151</v>
      </c>
      <c r="AJ370" s="258" cm="1">
        <f t="array" aca="1" ref="AJ370" ca="1">DATE(YEAR(FECH.CONS[FECHA DE CONSULTA:]),MONTH(BDD[[#This Row],[FECHA NAC]]),DAY(BDD[[#This Row],[FECHA NAC]]))</f>
        <v>44746</v>
      </c>
      <c r="AK370" s="243">
        <v>10</v>
      </c>
      <c r="AL370" s="261" t="s">
        <v>311</v>
      </c>
      <c r="AM370" s="251" t="s">
        <v>1544</v>
      </c>
      <c r="AN370" s="251" t="s">
        <v>1551</v>
      </c>
      <c r="AO370" s="245">
        <v>92</v>
      </c>
      <c r="AP370" s="251">
        <f ca="1">INT((TODAY()-BDD[[#This Row],[FECHA NAC]])/365)</f>
        <v>38</v>
      </c>
      <c r="AQ370" s="251">
        <v>2</v>
      </c>
      <c r="AR370" s="251">
        <f ca="1">IF(BDD[[#This Row],[ANTIG]]=0,0,1)</f>
        <v>1</v>
      </c>
      <c r="AS370" s="251"/>
      <c r="AT370" s="251"/>
      <c r="AU370" s="251"/>
      <c r="AV370" s="251"/>
      <c r="AW370" s="251"/>
      <c r="AX370" s="251"/>
      <c r="AY370" s="251"/>
      <c r="AZ370" s="251">
        <f t="shared" ca="1" si="21"/>
        <v>640</v>
      </c>
    </row>
    <row r="371" spans="2:52" x14ac:dyDescent="0.25">
      <c r="B371" s="243">
        <v>558</v>
      </c>
      <c r="C371" s="259" t="s">
        <v>638</v>
      </c>
      <c r="D371" s="252">
        <v>9541</v>
      </c>
      <c r="E371" s="252">
        <f>(BDD[[#This Row],[SUE MENS]]/30)</f>
        <v>318.03333333333336</v>
      </c>
      <c r="F371" s="252">
        <f>BDD[[#This Row],[SUE MENS]]/2</f>
        <v>4770.5</v>
      </c>
      <c r="G371" s="319">
        <v>43555</v>
      </c>
      <c r="H371" s="243">
        <f ca="1">INT(_xlfn.DAYS(TODAY(),BDD[[#This Row],[FECHA ING.]])/365)</f>
        <v>3</v>
      </c>
      <c r="I371" s="251" t="str">
        <f>VLOOKUP(J371,TABLAS!$B$3:$G$49,2,FALSE)</f>
        <v>DIV INGENRIA</v>
      </c>
      <c r="J371" s="198" t="s">
        <v>743</v>
      </c>
      <c r="K371" s="251" t="s">
        <v>778</v>
      </c>
      <c r="L371" s="251" t="s">
        <v>763</v>
      </c>
      <c r="M371" s="251"/>
      <c r="N371" s="244" t="s">
        <v>2118</v>
      </c>
      <c r="O371" s="251" t="str">
        <f>IFERROR(VLOOKUP(BDD[[#This Row],[SUBDPTO]],TABLAS!$B$4:$D$36,3,0)," ")</f>
        <v>DIEGO HERRERA GIRÓN</v>
      </c>
      <c r="P371" s="258">
        <v>42739</v>
      </c>
      <c r="Q371" s="254">
        <v>3888</v>
      </c>
      <c r="R371" s="255" t="s">
        <v>743</v>
      </c>
      <c r="S371" s="255" t="s">
        <v>738</v>
      </c>
      <c r="T371" s="251" t="s">
        <v>811</v>
      </c>
      <c r="U371" s="243">
        <f ca="1">VLOOKUP(BDD[[#This Row],[ANTIG]],DIASXANT18[#All],2)</f>
        <v>14</v>
      </c>
      <c r="V371" s="256">
        <f t="shared" si="26"/>
        <v>0.5</v>
      </c>
      <c r="W371" s="243">
        <f ca="1">BDD[[#This Row],[D.VAC.]]*BDD[[#This Row],[% P.V.]]</f>
        <v>7</v>
      </c>
      <c r="X371" s="243">
        <v>30</v>
      </c>
      <c r="Y371" s="257">
        <f ca="1">(365+BDD[[#This Row],[D.PAG.V.]]+BDD[[#This Row],[D.AG.]])/365</f>
        <v>1.1013698630136985</v>
      </c>
      <c r="Z371" s="243">
        <f ca="1">BDD[[#This Row],[SUE DIA]]*BDD[[#This Row],[FACTOR SDI]]</f>
        <v>350.27232876712327</v>
      </c>
      <c r="AA371" s="243">
        <f>BDD[[#This Row],[SUE DIA]]/9</f>
        <v>35.337037037037042</v>
      </c>
      <c r="AB371" s="251">
        <v>36376</v>
      </c>
      <c r="AC371" s="251" t="s">
        <v>898</v>
      </c>
      <c r="AD371" s="251" t="s">
        <v>792</v>
      </c>
      <c r="AE371" s="260">
        <v>5580837538</v>
      </c>
      <c r="AF371" s="251" t="s">
        <v>1478</v>
      </c>
      <c r="AG371" s="251" t="s">
        <v>776</v>
      </c>
      <c r="AH371" s="251" t="s">
        <v>726</v>
      </c>
      <c r="AI371" s="243" t="s">
        <v>152</v>
      </c>
      <c r="AJ371" s="258" cm="1">
        <f t="array" aca="1" ref="AJ371" ca="1">DATE(YEAR(FECH.CONS[FECHA DE CONSULTA:]),MONTH(BDD[[#This Row],[FECHA NAC]]),DAY(BDD[[#This Row],[FECHA NAC]]))</f>
        <v>44777</v>
      </c>
      <c r="AK371" s="243"/>
      <c r="AL371" s="261" t="s">
        <v>311</v>
      </c>
      <c r="AM371" s="251" t="s">
        <v>1546</v>
      </c>
      <c r="AN371" s="251" t="s">
        <v>1551</v>
      </c>
      <c r="AO371" s="245">
        <v>95</v>
      </c>
      <c r="AP371" s="251">
        <f ca="1">INT((TODAY()-BDD[[#This Row],[FECHA NAC]])/365)</f>
        <v>22</v>
      </c>
      <c r="AQ371" s="251">
        <v>3</v>
      </c>
      <c r="AR371" s="251">
        <f ca="1">IF(BDD[[#This Row],[ANTIG]]=0,0,1)</f>
        <v>1</v>
      </c>
      <c r="AS371" s="251"/>
      <c r="AT371" s="251"/>
      <c r="AU371" s="251"/>
      <c r="AV371" s="251"/>
      <c r="AW371" s="251"/>
      <c r="AX371" s="251"/>
      <c r="AY371" s="251"/>
      <c r="AZ371" s="251">
        <f t="shared" ca="1" si="21"/>
        <v>681</v>
      </c>
    </row>
    <row r="372" spans="2:52" x14ac:dyDescent="0.25">
      <c r="B372" s="243">
        <v>559</v>
      </c>
      <c r="C372" s="262" t="s">
        <v>365</v>
      </c>
      <c r="D372" s="252">
        <v>7950</v>
      </c>
      <c r="E372" s="252">
        <f>(BDD[[#This Row],[SUE MENS]]/30)</f>
        <v>265</v>
      </c>
      <c r="F372" s="252">
        <f>BDD[[#This Row],[SUE MENS]]/2</f>
        <v>3975</v>
      </c>
      <c r="G372" s="320">
        <v>43555</v>
      </c>
      <c r="H372" s="243">
        <f ca="1">INT(_xlfn.DAYS(TODAY(),BDD[[#This Row],[FECHA ING.]])/365)</f>
        <v>3</v>
      </c>
      <c r="I372" s="251" t="str">
        <f>VLOOKUP(J372,TABLAS!$B$3:$G$49,2,FALSE)</f>
        <v>DIV ARQUIT</v>
      </c>
      <c r="J372" s="198" t="s">
        <v>740</v>
      </c>
      <c r="K372" s="251" t="s">
        <v>778</v>
      </c>
      <c r="L372" s="251" t="s">
        <v>763</v>
      </c>
      <c r="M372" s="251"/>
      <c r="N372" s="244" t="s">
        <v>1903</v>
      </c>
      <c r="O372" s="251" t="str">
        <f>IFERROR(VLOOKUP(BDD[[#This Row],[SUBDPTO]],TABLAS!$B$4:$D$36,3,0)," ")</f>
        <v>MÉRIDA ISELA MEDINA SALINAS</v>
      </c>
      <c r="P372" s="258">
        <v>43752</v>
      </c>
      <c r="Q372" s="254">
        <v>6158.4000000000005</v>
      </c>
      <c r="R372" s="255" t="s">
        <v>737</v>
      </c>
      <c r="S372" s="251"/>
      <c r="T372" s="251" t="s">
        <v>811</v>
      </c>
      <c r="U372" s="243">
        <f ca="1">VLOOKUP(BDD[[#This Row],[ANTIG]],DIASXANT18[#All],2)</f>
        <v>14</v>
      </c>
      <c r="V372" s="256">
        <f t="shared" si="26"/>
        <v>0.5</v>
      </c>
      <c r="W372" s="243">
        <f ca="1">BDD[[#This Row],[D.VAC.]]*BDD[[#This Row],[% P.V.]]</f>
        <v>7</v>
      </c>
      <c r="X372" s="243">
        <v>30</v>
      </c>
      <c r="Y372" s="257">
        <f ca="1">(365+BDD[[#This Row],[D.PAG.V.]]+BDD[[#This Row],[D.AG.]])/365</f>
        <v>1.1013698630136985</v>
      </c>
      <c r="Z372" s="243">
        <f ca="1">BDD[[#This Row],[SUE DIA]]*BDD[[#This Row],[FACTOR SDI]]</f>
        <v>291.86301369863014</v>
      </c>
      <c r="AA372" s="243">
        <f>BDD[[#This Row],[SUE DIA]]/9</f>
        <v>29.444444444444443</v>
      </c>
      <c r="AB372" s="262">
        <v>34808</v>
      </c>
      <c r="AC372" s="251" t="s">
        <v>916</v>
      </c>
      <c r="AD372" s="251" t="s">
        <v>787</v>
      </c>
      <c r="AE372" s="252">
        <v>8144190008</v>
      </c>
      <c r="AF372" s="251" t="s">
        <v>1343</v>
      </c>
      <c r="AG372" s="251" t="s">
        <v>773</v>
      </c>
      <c r="AH372" s="251" t="s">
        <v>730</v>
      </c>
      <c r="AI372" s="243" t="s">
        <v>151</v>
      </c>
      <c r="AJ372" s="258" cm="1">
        <f t="array" aca="1" ref="AJ372" ca="1">DATE(YEAR(FECH.CONS[FECHA DE CONSULTA:]),MONTH(BDD[[#This Row],[FECHA NAC]]),DAY(BDD[[#This Row],[FECHA NAC]]))</f>
        <v>44670</v>
      </c>
      <c r="AK372" s="243">
        <v>10</v>
      </c>
      <c r="AL372" s="261" t="s">
        <v>311</v>
      </c>
      <c r="AM372" s="251" t="s">
        <v>1543</v>
      </c>
      <c r="AN372" s="251" t="s">
        <v>1551</v>
      </c>
      <c r="AO372" s="245">
        <v>45</v>
      </c>
      <c r="AP372" s="251">
        <f ca="1">INT((TODAY()-BDD[[#This Row],[FECHA NAC]])/365)</f>
        <v>27</v>
      </c>
      <c r="AQ372" s="251">
        <v>2</v>
      </c>
      <c r="AR372" s="251">
        <f ca="1">IF(BDD[[#This Row],[ANTIG]]=0,0,1)</f>
        <v>1</v>
      </c>
      <c r="AS372" s="251"/>
      <c r="AT372" s="251"/>
      <c r="AU372" s="251"/>
      <c r="AV372" s="251"/>
      <c r="AW372" s="251"/>
      <c r="AX372" s="251"/>
      <c r="AY372" s="251"/>
      <c r="AZ372" s="251">
        <f t="shared" ca="1" si="21"/>
        <v>808</v>
      </c>
    </row>
    <row r="373" spans="2:52" x14ac:dyDescent="0.25">
      <c r="B373" s="243">
        <v>560</v>
      </c>
      <c r="C373" s="251" t="s">
        <v>405</v>
      </c>
      <c r="D373" s="252">
        <v>9541</v>
      </c>
      <c r="E373" s="252">
        <f>(BDD[[#This Row],[SUE MENS]]/30)</f>
        <v>318.03333333333336</v>
      </c>
      <c r="F373" s="252">
        <f>BDD[[#This Row],[SUE MENS]]/2</f>
        <v>4770.5</v>
      </c>
      <c r="G373" s="319">
        <v>43579</v>
      </c>
      <c r="H373" s="243">
        <f ca="1">INT(_xlfn.DAYS(TODAY(),BDD[[#This Row],[FECHA ING.]])/365)</f>
        <v>3</v>
      </c>
      <c r="I373" s="251" t="str">
        <f>VLOOKUP(J373,TABLAS!$B$3:$G$49,2,FALSE)</f>
        <v>FINANZAS</v>
      </c>
      <c r="J373" s="198" t="s">
        <v>757</v>
      </c>
      <c r="K373" s="251" t="s">
        <v>778</v>
      </c>
      <c r="L373" s="251" t="s">
        <v>763</v>
      </c>
      <c r="M373" s="251"/>
      <c r="N373" s="244" t="s">
        <v>2088</v>
      </c>
      <c r="O373" s="251" t="str">
        <f>IFERROR(VLOOKUP(BDD[[#This Row],[SUBDPTO]],TABLAS!$B$4:$D$36,3,0)," ")</f>
        <v>MARIANO ALDEBARÁN</v>
      </c>
      <c r="P373" s="258">
        <v>43768</v>
      </c>
      <c r="Q373" s="264">
        <f>D362*0.8</f>
        <v>7632.8</v>
      </c>
      <c r="R373" s="255" t="s">
        <v>738</v>
      </c>
      <c r="S373" s="251"/>
      <c r="T373" s="251" t="s">
        <v>301</v>
      </c>
      <c r="U373" s="243">
        <f ca="1">VLOOKUP(BDD[[#This Row],[ANTIG]],DIASXANT18[#All],2)</f>
        <v>14</v>
      </c>
      <c r="V373" s="256">
        <f t="shared" si="26"/>
        <v>0.5</v>
      </c>
      <c r="W373" s="243">
        <f ca="1">BDD[[#This Row],[D.VAC.]]*BDD[[#This Row],[% P.V.]]</f>
        <v>7</v>
      </c>
      <c r="X373" s="243">
        <v>30</v>
      </c>
      <c r="Y373" s="257">
        <f ca="1">(365+BDD[[#This Row],[D.PAG.V.]]+BDD[[#This Row],[D.AG.]])/365</f>
        <v>1.1013698630136985</v>
      </c>
      <c r="Z373" s="243">
        <f ca="1">BDD[[#This Row],[SUE DIA]]*BDD[[#This Row],[FACTOR SDI]]</f>
        <v>350.27232876712327</v>
      </c>
      <c r="AA373" s="243">
        <f>BDD[[#This Row],[SUE DIA]]/9</f>
        <v>35.337037037037042</v>
      </c>
      <c r="AB373" s="251">
        <v>34494</v>
      </c>
      <c r="AC373" s="251" t="s">
        <v>990</v>
      </c>
      <c r="AD373" s="251" t="s">
        <v>787</v>
      </c>
      <c r="AE373" s="252">
        <v>8998879179</v>
      </c>
      <c r="AF373" s="251" t="s">
        <v>1251</v>
      </c>
      <c r="AG373" s="251" t="s">
        <v>776</v>
      </c>
      <c r="AH373" s="251" t="s">
        <v>1555</v>
      </c>
      <c r="AI373" s="243" t="s">
        <v>153</v>
      </c>
      <c r="AJ373" s="258" cm="1">
        <f t="array" aca="1" ref="AJ373" ca="1">DATE(YEAR(FECH.CONS[FECHA DE CONSULTA:]),MONTH(BDD[[#This Row],[FECHA NAC]]),DAY(BDD[[#This Row],[FECHA NAC]]))</f>
        <v>44721</v>
      </c>
      <c r="AK373" s="243"/>
      <c r="AL373" s="251" t="s">
        <v>315</v>
      </c>
      <c r="AM373" s="251" t="s">
        <v>1544</v>
      </c>
      <c r="AN373" s="251" t="s">
        <v>1551</v>
      </c>
      <c r="AO373" s="245">
        <v>56</v>
      </c>
      <c r="AP373" s="251">
        <f ca="1">INT((TODAY()-BDD[[#This Row],[FECHA NAC]])/365)</f>
        <v>28</v>
      </c>
      <c r="AQ373" s="251">
        <v>0</v>
      </c>
      <c r="AR373" s="251">
        <f ca="1">IF(BDD[[#This Row],[ANTIG]]=0,0,1)</f>
        <v>1</v>
      </c>
      <c r="AS373" s="251"/>
      <c r="AT373" s="251"/>
      <c r="AU373" s="251"/>
      <c r="AV373" s="251"/>
      <c r="AW373" s="251"/>
      <c r="AX373" s="251"/>
      <c r="AY373" s="251"/>
      <c r="AZ373" s="251">
        <f t="shared" ca="1" si="21"/>
        <v>292</v>
      </c>
    </row>
    <row r="374" spans="2:52" x14ac:dyDescent="0.25">
      <c r="B374" s="243">
        <v>561</v>
      </c>
      <c r="C374" s="259" t="s">
        <v>574</v>
      </c>
      <c r="D374" s="252">
        <v>9450</v>
      </c>
      <c r="E374" s="252">
        <f>(BDD[[#This Row],[SUE MENS]]/30)</f>
        <v>315</v>
      </c>
      <c r="F374" s="252">
        <f>BDD[[#This Row],[SUE MENS]]/2</f>
        <v>4725</v>
      </c>
      <c r="G374" s="320">
        <v>43581</v>
      </c>
      <c r="H374" s="243">
        <f ca="1">INT(_xlfn.DAYS(TODAY(),BDD[[#This Row],[FECHA ING.]])/365)</f>
        <v>3</v>
      </c>
      <c r="I374" s="251" t="str">
        <f>VLOOKUP(J374,TABLAS!$B$3:$G$49,2,FALSE)</f>
        <v>TECNOLOGÍA</v>
      </c>
      <c r="J374" s="198" t="s">
        <v>751</v>
      </c>
      <c r="K374" s="251" t="s">
        <v>778</v>
      </c>
      <c r="L374" s="251" t="s">
        <v>763</v>
      </c>
      <c r="M374" s="251"/>
      <c r="N374" s="253" t="s">
        <v>2148</v>
      </c>
      <c r="O374" s="251" t="str">
        <f>IFERROR(VLOOKUP(BDD[[#This Row],[SUBDPTO]],TABLAS!$B$4:$D$36,3,0)," ")</f>
        <v>DENEB SANTIAGO ALTAIR VEGA</v>
      </c>
      <c r="P374" s="258">
        <v>43633</v>
      </c>
      <c r="Q374" s="254">
        <v>6580</v>
      </c>
      <c r="R374" s="255" t="s">
        <v>734</v>
      </c>
      <c r="S374" s="251"/>
      <c r="T374" s="251" t="s">
        <v>811</v>
      </c>
      <c r="U374" s="243">
        <f ca="1">VLOOKUP(BDD[[#This Row],[ANTIG]],DIASXANT18[#All],2)</f>
        <v>14</v>
      </c>
      <c r="V374" s="256">
        <f t="shared" si="26"/>
        <v>0.5</v>
      </c>
      <c r="W374" s="243">
        <f ca="1">BDD[[#This Row],[D.VAC.]]*BDD[[#This Row],[% P.V.]]</f>
        <v>7</v>
      </c>
      <c r="X374" s="243">
        <v>30</v>
      </c>
      <c r="Y374" s="257">
        <f ca="1">(365+BDD[[#This Row],[D.PAG.V.]]+BDD[[#This Row],[D.AG.]])/365</f>
        <v>1.1013698630136985</v>
      </c>
      <c r="Z374" s="243">
        <f ca="1">BDD[[#This Row],[SUE DIA]]*BDD[[#This Row],[FACTOR SDI]]</f>
        <v>346.93150684931504</v>
      </c>
      <c r="AA374" s="243">
        <f>BDD[[#This Row],[SUE DIA]]/9</f>
        <v>35</v>
      </c>
      <c r="AB374" s="251">
        <v>34935</v>
      </c>
      <c r="AC374" s="251" t="s">
        <v>1052</v>
      </c>
      <c r="AD374" s="251" t="s">
        <v>810</v>
      </c>
      <c r="AE374" s="260">
        <v>7876853405</v>
      </c>
      <c r="AF374" s="251" t="s">
        <v>1435</v>
      </c>
      <c r="AG374" s="251" t="s">
        <v>774</v>
      </c>
      <c r="AH374" s="251" t="s">
        <v>730</v>
      </c>
      <c r="AI374" s="243" t="s">
        <v>151</v>
      </c>
      <c r="AJ374" s="258" cm="1">
        <f t="array" aca="1" ref="AJ374" ca="1">DATE(YEAR(FECH.CONS[FECHA DE CONSULTA:]),MONTH(BDD[[#This Row],[FECHA NAC]]),DAY(BDD[[#This Row],[FECHA NAC]]))</f>
        <v>44797</v>
      </c>
      <c r="AK374" s="243">
        <v>9</v>
      </c>
      <c r="AL374" s="261" t="s">
        <v>311</v>
      </c>
      <c r="AM374" s="251" t="s">
        <v>1536</v>
      </c>
      <c r="AN374" s="251" t="s">
        <v>1551</v>
      </c>
      <c r="AO374" s="245">
        <v>53</v>
      </c>
      <c r="AP374" s="251">
        <f ca="1">INT((TODAY()-BDD[[#This Row],[FECHA NAC]])/365)</f>
        <v>26</v>
      </c>
      <c r="AQ374" s="251">
        <v>2</v>
      </c>
      <c r="AR374" s="251">
        <f ca="1">IF(BDD[[#This Row],[ANTIG]]=0,0,1)</f>
        <v>1</v>
      </c>
      <c r="AS374" s="251"/>
      <c r="AT374" s="251"/>
      <c r="AU374" s="251"/>
      <c r="AV374" s="251"/>
      <c r="AW374" s="251"/>
      <c r="AX374" s="251"/>
      <c r="AY374" s="251"/>
      <c r="AZ374" s="251">
        <f t="shared" ca="1" si="21"/>
        <v>829</v>
      </c>
    </row>
    <row r="375" spans="2:52" x14ac:dyDescent="0.25">
      <c r="B375" s="243">
        <v>562</v>
      </c>
      <c r="C375" s="251" t="s">
        <v>404</v>
      </c>
      <c r="D375" s="252">
        <v>27150</v>
      </c>
      <c r="E375" s="252">
        <f>(BDD[[#This Row],[SUE MENS]]/30)</f>
        <v>905</v>
      </c>
      <c r="F375" s="252">
        <f>BDD[[#This Row],[SUE MENS]]/2</f>
        <v>13575</v>
      </c>
      <c r="G375" s="319">
        <v>43582</v>
      </c>
      <c r="H375" s="243">
        <f ca="1">INT(_xlfn.DAYS(TODAY(),BDD[[#This Row],[FECHA ING.]])/365)</f>
        <v>3</v>
      </c>
      <c r="I375" s="251" t="str">
        <f>VLOOKUP(J375,TABLAS!$B$3:$G$49,2,FALSE)</f>
        <v>DIV ARQUIT</v>
      </c>
      <c r="J375" s="198" t="s">
        <v>741</v>
      </c>
      <c r="K375" s="244" t="s">
        <v>761</v>
      </c>
      <c r="L375" s="251" t="s">
        <v>763</v>
      </c>
      <c r="M375" s="251">
        <v>1019</v>
      </c>
      <c r="N375" s="244" t="s">
        <v>2087</v>
      </c>
      <c r="O375" s="251" t="str">
        <f>IFERROR(VLOOKUP(BDD[[#This Row],[SUBDPTO]],TABLAS!$B$4:$D$36,3,0)," ")</f>
        <v>MÉRIDA ISELA MEDINA SALINAS</v>
      </c>
      <c r="P375" s="258">
        <v>42694</v>
      </c>
      <c r="Q375" s="254">
        <v>20850</v>
      </c>
      <c r="R375" s="251" t="s">
        <v>746</v>
      </c>
      <c r="S375" s="244" t="s">
        <v>768</v>
      </c>
      <c r="T375" s="251" t="s">
        <v>811</v>
      </c>
      <c r="U375" s="243">
        <f ca="1">VLOOKUP(BDD[[#This Row],[ANTIG]],DIASXANT18[#All],2)</f>
        <v>14</v>
      </c>
      <c r="V375" s="256">
        <f t="shared" si="26"/>
        <v>0.5</v>
      </c>
      <c r="W375" s="243">
        <f ca="1">BDD[[#This Row],[D.VAC.]]*BDD[[#This Row],[% P.V.]]</f>
        <v>7</v>
      </c>
      <c r="X375" s="243">
        <v>30</v>
      </c>
      <c r="Y375" s="257">
        <f ca="1">(365+BDD[[#This Row],[D.PAG.V.]]+BDD[[#This Row],[D.AG.]])/365</f>
        <v>1.1013698630136985</v>
      </c>
      <c r="Z375" s="243">
        <f ca="1">BDD[[#This Row],[SUE DIA]]*BDD[[#This Row],[FACTOR SDI]]</f>
        <v>996.73972602739718</v>
      </c>
      <c r="AA375" s="243">
        <f>BDD[[#This Row],[SUE DIA]]/9</f>
        <v>100.55555555555556</v>
      </c>
      <c r="AB375" s="251">
        <v>35586</v>
      </c>
      <c r="AC375" s="251" t="s">
        <v>933</v>
      </c>
      <c r="AD375" s="251" t="s">
        <v>809</v>
      </c>
      <c r="AE375" s="252">
        <v>8906249221</v>
      </c>
      <c r="AF375" s="251" t="s">
        <v>1163</v>
      </c>
      <c r="AG375" s="251" t="s">
        <v>774</v>
      </c>
      <c r="AH375" s="251" t="s">
        <v>1555</v>
      </c>
      <c r="AI375" s="243" t="s">
        <v>152</v>
      </c>
      <c r="AJ375" s="258" cm="1">
        <f t="array" aca="1" ref="AJ375" ca="1">DATE(YEAR(FECH.CONS[FECHA DE CONSULTA:]),MONTH(BDD[[#This Row],[FECHA NAC]]),DAY(BDD[[#This Row],[FECHA NAC]]))</f>
        <v>44717</v>
      </c>
      <c r="AK375" s="243">
        <v>10</v>
      </c>
      <c r="AL375" s="251" t="s">
        <v>311</v>
      </c>
      <c r="AM375" s="251" t="s">
        <v>1543</v>
      </c>
      <c r="AN375" s="251" t="s">
        <v>1551</v>
      </c>
      <c r="AO375" s="245">
        <v>65</v>
      </c>
      <c r="AP375" s="251">
        <f ca="1">INT((TODAY()-BDD[[#This Row],[FECHA NAC]])/365)</f>
        <v>25</v>
      </c>
      <c r="AQ375" s="251">
        <v>2</v>
      </c>
      <c r="AR375" s="251">
        <f ca="1">IF(BDD[[#This Row],[ANTIG]]=0,0,1)</f>
        <v>1</v>
      </c>
      <c r="AS375" s="251"/>
      <c r="AT375" s="251"/>
      <c r="AU375" s="251"/>
      <c r="AV375" s="251"/>
      <c r="AW375" s="251"/>
      <c r="AX375" s="251"/>
      <c r="AY375" s="251"/>
      <c r="AZ375" s="251">
        <f t="shared" ca="1" si="21"/>
        <v>817</v>
      </c>
    </row>
    <row r="376" spans="2:52" x14ac:dyDescent="0.25">
      <c r="B376" s="243">
        <v>563</v>
      </c>
      <c r="C376" s="259" t="s">
        <v>1647</v>
      </c>
      <c r="D376" s="244">
        <v>6778</v>
      </c>
      <c r="E376" s="252">
        <f>(BDD[[#This Row],[SUE MENS]]/30)</f>
        <v>225.93333333333334</v>
      </c>
      <c r="F376" s="252">
        <f>BDD[[#This Row],[SUE MENS]]/2</f>
        <v>3389</v>
      </c>
      <c r="G376" s="320">
        <v>43587</v>
      </c>
      <c r="H376" s="243">
        <f ca="1">INT(_xlfn.DAYS(TODAY(),BDD[[#This Row],[FECHA ING.]])/365)</f>
        <v>3</v>
      </c>
      <c r="I376" s="251" t="str">
        <f>VLOOKUP(J376,TABLAS!$B$3:$G$49,2,FALSE)</f>
        <v>DIV INGENRIA</v>
      </c>
      <c r="J376" s="198" t="s">
        <v>743</v>
      </c>
      <c r="K376" s="251" t="s">
        <v>778</v>
      </c>
      <c r="L376" s="251" t="s">
        <v>763</v>
      </c>
      <c r="M376" s="251"/>
      <c r="N376" s="277" t="s">
        <v>2091</v>
      </c>
      <c r="O376" s="251" t="str">
        <f>IFERROR(VLOOKUP(BDD[[#This Row],[SUBDPTO]],TABLAS!$B$4:$D$36,3,0)," ")</f>
        <v>DIEGO HERRERA GIRÓN</v>
      </c>
      <c r="P376" s="258"/>
      <c r="Q376" s="264"/>
      <c r="R376" s="244"/>
      <c r="S376" s="251"/>
      <c r="T376" s="251" t="s">
        <v>811</v>
      </c>
      <c r="U376" s="243">
        <f ca="1">VLOOKUP(BDD[[#This Row],[ANTIG]],DIASXANT18[#All],2)</f>
        <v>14</v>
      </c>
      <c r="V376" s="266">
        <v>0.25</v>
      </c>
      <c r="W376" s="243">
        <f ca="1">BDD[[#This Row],[D.VAC.]]*BDD[[#This Row],[% P.V.]]</f>
        <v>3.5</v>
      </c>
      <c r="X376" s="265">
        <v>15</v>
      </c>
      <c r="Y376" s="257">
        <f ca="1">(365+BDD[[#This Row],[D.PAG.V.]]+BDD[[#This Row],[D.AG.]])/365</f>
        <v>1.0506849315068494</v>
      </c>
      <c r="Z376" s="243">
        <f ca="1">BDD[[#This Row],[SUE DIA]]*BDD[[#This Row],[FACTOR SDI]]</f>
        <v>237.38474885844749</v>
      </c>
      <c r="AA376" s="243">
        <f>BDD[[#This Row],[SUE DIA]]/9</f>
        <v>25.103703703703705</v>
      </c>
      <c r="AB376" s="251">
        <v>27814</v>
      </c>
      <c r="AC376" s="251" t="s">
        <v>987</v>
      </c>
      <c r="AD376" s="251" t="s">
        <v>789</v>
      </c>
      <c r="AE376" s="260">
        <v>8208865741</v>
      </c>
      <c r="AF376" s="251" t="s">
        <v>1508</v>
      </c>
      <c r="AG376" s="251" t="s">
        <v>776</v>
      </c>
      <c r="AH376" s="251" t="s">
        <v>730</v>
      </c>
      <c r="AI376" s="243" t="s">
        <v>151</v>
      </c>
      <c r="AJ376" s="258" cm="1">
        <f t="array" aca="1" ref="AJ376" ca="1">DATE(YEAR(FECH.CONS[FECHA DE CONSULTA:]),MONTH(BDD[[#This Row],[FECHA NAC]]),DAY(BDD[[#This Row],[FECHA NAC]]))</f>
        <v>44616</v>
      </c>
      <c r="AK376" s="243">
        <v>5</v>
      </c>
      <c r="AL376" s="261" t="s">
        <v>311</v>
      </c>
      <c r="AM376" s="251" t="s">
        <v>1538</v>
      </c>
      <c r="AN376" s="251" t="s">
        <v>1551</v>
      </c>
      <c r="AO376" s="245">
        <v>38</v>
      </c>
      <c r="AP376" s="251">
        <f ca="1">INT((TODAY()-BDD[[#This Row],[FECHA NAC]])/365)</f>
        <v>46</v>
      </c>
      <c r="AQ376" s="251">
        <v>0</v>
      </c>
      <c r="AR376" s="251">
        <f ca="1">IF(BDD[[#This Row],[ANTIG]]=0,0,1)</f>
        <v>1</v>
      </c>
      <c r="AS376" s="251"/>
      <c r="AT376" s="251"/>
      <c r="AU376" s="251"/>
      <c r="AV376" s="251"/>
      <c r="AW376" s="251"/>
      <c r="AX376" s="251"/>
      <c r="AY376" s="251"/>
      <c r="AZ376" s="251">
        <f t="shared" ca="1" si="21"/>
        <v>272</v>
      </c>
    </row>
    <row r="377" spans="2:52" x14ac:dyDescent="0.25">
      <c r="B377" s="243">
        <v>564</v>
      </c>
      <c r="C377" s="251" t="s">
        <v>237</v>
      </c>
      <c r="D377" s="252">
        <v>7445</v>
      </c>
      <c r="E377" s="252">
        <f>(BDD[[#This Row],[SUE MENS]]/30)</f>
        <v>248.16666666666666</v>
      </c>
      <c r="F377" s="252">
        <f>BDD[[#This Row],[SUE MENS]]/2</f>
        <v>3722.5</v>
      </c>
      <c r="G377" s="319">
        <v>43595</v>
      </c>
      <c r="H377" s="243">
        <f ca="1">INT(_xlfn.DAYS(TODAY(),BDD[[#This Row],[FECHA ING.]])/365)</f>
        <v>3</v>
      </c>
      <c r="I377" s="251" t="str">
        <f>VLOOKUP(J377,TABLAS!$B$3:$G$49,2,FALSE)</f>
        <v>AUDITORÍA</v>
      </c>
      <c r="J377" s="198" t="s">
        <v>734</v>
      </c>
      <c r="K377" s="251" t="s">
        <v>778</v>
      </c>
      <c r="L377" s="251" t="s">
        <v>763</v>
      </c>
      <c r="M377" s="251"/>
      <c r="N377" s="244" t="s">
        <v>2038</v>
      </c>
      <c r="O377" s="251" t="str">
        <f>IFERROR(VLOOKUP(BDD[[#This Row],[SUBDPTO]],TABLAS!$B$4:$D$36,3,0)," ")</f>
        <v>MARCO AURELIO URBINO</v>
      </c>
      <c r="P377" s="258"/>
      <c r="Q377" s="264"/>
      <c r="R377" s="244"/>
      <c r="S377" s="251"/>
      <c r="T377" s="251" t="s">
        <v>811</v>
      </c>
      <c r="U377" s="243">
        <f ca="1">VLOOKUP(BDD[[#This Row],[ANTIG]],DIASXANT18[#All],2)</f>
        <v>14</v>
      </c>
      <c r="V377" s="256">
        <f>100/200</f>
        <v>0.5</v>
      </c>
      <c r="W377" s="243">
        <f ca="1">BDD[[#This Row],[D.VAC.]]*BDD[[#This Row],[% P.V.]]</f>
        <v>7</v>
      </c>
      <c r="X377" s="243">
        <v>30</v>
      </c>
      <c r="Y377" s="257">
        <f ca="1">(365+BDD[[#This Row],[D.PAG.V.]]+BDD[[#This Row],[D.AG.]])/365</f>
        <v>1.1013698630136985</v>
      </c>
      <c r="Z377" s="243">
        <f ca="1">BDD[[#This Row],[SUE DIA]]*BDD[[#This Row],[FACTOR SDI]]</f>
        <v>273.32328767123283</v>
      </c>
      <c r="AA377" s="243">
        <f>BDD[[#This Row],[SUE DIA]]/9</f>
        <v>27.574074074074073</v>
      </c>
      <c r="AB377" s="251">
        <v>35832</v>
      </c>
      <c r="AC377" s="251" t="s">
        <v>1008</v>
      </c>
      <c r="AD377" s="251" t="s">
        <v>789</v>
      </c>
      <c r="AE377" s="252">
        <v>8695464821</v>
      </c>
      <c r="AF377" s="251" t="s">
        <v>1261</v>
      </c>
      <c r="AG377" s="251" t="s">
        <v>774</v>
      </c>
      <c r="AH377" s="251" t="s">
        <v>1555</v>
      </c>
      <c r="AI377" s="243" t="s">
        <v>151</v>
      </c>
      <c r="AJ377" s="258" cm="1">
        <f t="array" aca="1" ref="AJ377" ca="1">DATE(YEAR(FECH.CONS[FECHA DE CONSULTA:]),MONTH(BDD[[#This Row],[FECHA NAC]]),DAY(BDD[[#This Row],[FECHA NAC]]))</f>
        <v>44598</v>
      </c>
      <c r="AK377" s="243">
        <v>7</v>
      </c>
      <c r="AL377" s="261" t="s">
        <v>311</v>
      </c>
      <c r="AM377" s="251" t="s">
        <v>1535</v>
      </c>
      <c r="AN377" s="251" t="s">
        <v>1551</v>
      </c>
      <c r="AO377" s="245">
        <v>74</v>
      </c>
      <c r="AP377" s="251">
        <f ca="1">INT((TODAY()-BDD[[#This Row],[FECHA NAC]])/365)</f>
        <v>24</v>
      </c>
      <c r="AQ377" s="251">
        <v>2</v>
      </c>
      <c r="AR377" s="251">
        <f ca="1">IF(BDD[[#This Row],[ANTIG]]=0,0,1)</f>
        <v>1</v>
      </c>
      <c r="AS377" s="251"/>
      <c r="AT377" s="251"/>
      <c r="AU377" s="251"/>
      <c r="AV377" s="251"/>
      <c r="AW377" s="251"/>
      <c r="AX377" s="251"/>
      <c r="AY377" s="251"/>
      <c r="AZ377" s="251">
        <f t="shared" ca="1" si="21"/>
        <v>272</v>
      </c>
    </row>
    <row r="378" spans="2:52" x14ac:dyDescent="0.25">
      <c r="B378" s="243">
        <v>568</v>
      </c>
      <c r="C378" s="251" t="s">
        <v>214</v>
      </c>
      <c r="D378" s="252">
        <v>9541</v>
      </c>
      <c r="E378" s="252">
        <f>(BDD[[#This Row],[SUE MENS]]/30)</f>
        <v>318.03333333333336</v>
      </c>
      <c r="F378" s="252">
        <f>BDD[[#This Row],[SUE MENS]]/2</f>
        <v>4770.5</v>
      </c>
      <c r="G378" s="320">
        <v>43597</v>
      </c>
      <c r="H378" s="243">
        <f ca="1">INT(_xlfn.DAYS(TODAY(),BDD[[#This Row],[FECHA ING.]])/365)</f>
        <v>3</v>
      </c>
      <c r="I378" s="251" t="str">
        <f>VLOOKUP(J378,TABLAS!$B$3:$G$49,2,FALSE)</f>
        <v>FINANZAS</v>
      </c>
      <c r="J378" s="198" t="s">
        <v>747</v>
      </c>
      <c r="K378" s="251" t="s">
        <v>778</v>
      </c>
      <c r="L378" s="251" t="s">
        <v>763</v>
      </c>
      <c r="M378" s="251"/>
      <c r="N378" s="244" t="s">
        <v>1816</v>
      </c>
      <c r="O378" s="251" t="str">
        <f>IFERROR(VLOOKUP(BDD[[#This Row],[SUBDPTO]],TABLAS!$B$4:$D$36,3,0)," ")</f>
        <v>MARIANO ALDEBARÁN</v>
      </c>
      <c r="P378" s="258">
        <f>BDD[[#This Row],[FECHA ING.]]+900</f>
        <v>44497</v>
      </c>
      <c r="Q378" s="254">
        <v>5390</v>
      </c>
      <c r="R378" s="251" t="s">
        <v>743</v>
      </c>
      <c r="S378" s="251"/>
      <c r="T378" s="251" t="s">
        <v>301</v>
      </c>
      <c r="U378" s="243">
        <f ca="1">VLOOKUP(BDD[[#This Row],[ANTIG]],DIASXANT18[#All],2)</f>
        <v>14</v>
      </c>
      <c r="V378" s="256">
        <f>100/200</f>
        <v>0.5</v>
      </c>
      <c r="W378" s="243">
        <f ca="1">BDD[[#This Row],[D.VAC.]]*BDD[[#This Row],[% P.V.]]</f>
        <v>7</v>
      </c>
      <c r="X378" s="243">
        <v>30</v>
      </c>
      <c r="Y378" s="257">
        <f ca="1">(365+BDD[[#This Row],[D.PAG.V.]]+BDD[[#This Row],[D.AG.]])/365</f>
        <v>1.1013698630136985</v>
      </c>
      <c r="Z378" s="243">
        <f ca="1">BDD[[#This Row],[SUE DIA]]*BDD[[#This Row],[FACTOR SDI]]</f>
        <v>350.27232876712327</v>
      </c>
      <c r="AA378" s="243">
        <f>BDD[[#This Row],[SUE DIA]]/9</f>
        <v>35.337037037037042</v>
      </c>
      <c r="AB378" s="251">
        <v>35559</v>
      </c>
      <c r="AC378" s="251" t="s">
        <v>935</v>
      </c>
      <c r="AD378" s="251" t="s">
        <v>790</v>
      </c>
      <c r="AE378" s="252">
        <v>8874623482</v>
      </c>
      <c r="AF378" s="251" t="s">
        <v>1234</v>
      </c>
      <c r="AG378" s="251" t="s">
        <v>776</v>
      </c>
      <c r="AH378" s="251" t="s">
        <v>1555</v>
      </c>
      <c r="AI378" s="243" t="s">
        <v>152</v>
      </c>
      <c r="AJ378" s="258" cm="1">
        <f t="array" aca="1" ref="AJ378" ca="1">DATE(YEAR(FECH.CONS[FECHA DE CONSULTA:]),MONTH(BDD[[#This Row],[FECHA NAC]]),DAY(BDD[[#This Row],[FECHA NAC]]))</f>
        <v>44690</v>
      </c>
      <c r="AK378" s="276"/>
      <c r="AL378" s="261" t="s">
        <v>311</v>
      </c>
      <c r="AM378" s="251" t="s">
        <v>1533</v>
      </c>
      <c r="AN378" s="251" t="s">
        <v>1551</v>
      </c>
      <c r="AO378" s="245">
        <v>81</v>
      </c>
      <c r="AP378" s="251">
        <f ca="1">INT((TODAY()-BDD[[#This Row],[FECHA NAC]])/365)</f>
        <v>25</v>
      </c>
      <c r="AQ378" s="251">
        <v>2</v>
      </c>
      <c r="AR378" s="251">
        <f ca="1">IF(BDD[[#This Row],[ANTIG]]=0,0,1)</f>
        <v>1</v>
      </c>
      <c r="AS378" s="251"/>
      <c r="AT378" s="251"/>
      <c r="AU378" s="251"/>
      <c r="AV378" s="251"/>
      <c r="AW378" s="251"/>
      <c r="AX378" s="251"/>
      <c r="AY378" s="251"/>
      <c r="AZ378" s="251">
        <f t="shared" ca="1" si="21"/>
        <v>932</v>
      </c>
    </row>
    <row r="379" spans="2:52" x14ac:dyDescent="0.25">
      <c r="B379" s="243">
        <v>569</v>
      </c>
      <c r="C379" s="251" t="s">
        <v>194</v>
      </c>
      <c r="D379" s="252">
        <v>9541</v>
      </c>
      <c r="E379" s="252">
        <f>(BDD[[#This Row],[SUE MENS]]/30)</f>
        <v>318.03333333333336</v>
      </c>
      <c r="F379" s="252">
        <f>BDD[[#This Row],[SUE MENS]]/2</f>
        <v>4770.5</v>
      </c>
      <c r="G379" s="319">
        <v>43608</v>
      </c>
      <c r="H379" s="243">
        <f ca="1">INT(_xlfn.DAYS(TODAY(),BDD[[#This Row],[FECHA ING.]])/365)</f>
        <v>3</v>
      </c>
      <c r="I379" s="251" t="str">
        <f>VLOOKUP(J379,TABLAS!$B$3:$G$49,2,FALSE)</f>
        <v>CPTAL HUMANO</v>
      </c>
      <c r="J379" s="198" t="s">
        <v>758</v>
      </c>
      <c r="K379" s="251" t="s">
        <v>778</v>
      </c>
      <c r="L379" s="251" t="s">
        <v>763</v>
      </c>
      <c r="M379" s="251"/>
      <c r="N379" s="244" t="s">
        <v>1833</v>
      </c>
      <c r="O379" s="251" t="str">
        <f>IFERROR(VLOOKUP(BDD[[#This Row],[SUBDPTO]],TABLAS!$B$4:$D$36,3,0)," ")</f>
        <v>EMMA DARIELA GARCÍA LORCA</v>
      </c>
      <c r="P379" s="258">
        <v>42959</v>
      </c>
      <c r="Q379" s="254">
        <v>5088</v>
      </c>
      <c r="R379" s="255" t="s">
        <v>756</v>
      </c>
      <c r="S379" s="251"/>
      <c r="T379" s="251" t="s">
        <v>811</v>
      </c>
      <c r="U379" s="243">
        <f ca="1">VLOOKUP(BDD[[#This Row],[ANTIG]],DIASXANT18[#All],2)</f>
        <v>14</v>
      </c>
      <c r="V379" s="256">
        <f>100/200</f>
        <v>0.5</v>
      </c>
      <c r="W379" s="243">
        <f ca="1">BDD[[#This Row],[D.VAC.]]*BDD[[#This Row],[% P.V.]]</f>
        <v>7</v>
      </c>
      <c r="X379" s="243">
        <v>30</v>
      </c>
      <c r="Y379" s="257">
        <f ca="1">(365+BDD[[#This Row],[D.PAG.V.]]+BDD[[#This Row],[D.AG.]])/365</f>
        <v>1.1013698630136985</v>
      </c>
      <c r="Z379" s="243">
        <f ca="1">BDD[[#This Row],[SUE DIA]]*BDD[[#This Row],[FACTOR SDI]]</f>
        <v>350.27232876712327</v>
      </c>
      <c r="AA379" s="243">
        <f>BDD[[#This Row],[SUE DIA]]/9</f>
        <v>35.337037037037042</v>
      </c>
      <c r="AB379" s="251">
        <v>30729</v>
      </c>
      <c r="AC379" s="251" t="s">
        <v>975</v>
      </c>
      <c r="AD379" s="251" t="s">
        <v>791</v>
      </c>
      <c r="AE379" s="252">
        <v>8930217582</v>
      </c>
      <c r="AF379" s="251" t="s">
        <v>1211</v>
      </c>
      <c r="AG379" s="251" t="s">
        <v>773</v>
      </c>
      <c r="AH379" s="251" t="s">
        <v>730</v>
      </c>
      <c r="AI379" s="243" t="s">
        <v>152</v>
      </c>
      <c r="AJ379" s="258" cm="1">
        <f t="array" aca="1" ref="AJ379" ca="1">DATE(YEAR(FECH.CONS[FECHA DE CONSULTA:]),MONTH(BDD[[#This Row],[FECHA NAC]]),DAY(BDD[[#This Row],[FECHA NAC]]))</f>
        <v>44609</v>
      </c>
      <c r="AK379" s="243">
        <v>10</v>
      </c>
      <c r="AL379" s="261" t="s">
        <v>311</v>
      </c>
      <c r="AM379" s="251" t="s">
        <v>1535</v>
      </c>
      <c r="AN379" s="251" t="s">
        <v>1551</v>
      </c>
      <c r="AO379" s="245">
        <v>97</v>
      </c>
      <c r="AP379" s="251">
        <f ca="1">INT((TODAY()-BDD[[#This Row],[FECHA NAC]])/365)</f>
        <v>38</v>
      </c>
      <c r="AQ379" s="251">
        <v>1</v>
      </c>
      <c r="AR379" s="251">
        <f ca="1">IF(BDD[[#This Row],[ANTIG]]=0,0,1)</f>
        <v>1</v>
      </c>
      <c r="AS379" s="251"/>
      <c r="AT379" s="251"/>
      <c r="AU379" s="251"/>
      <c r="AV379" s="251"/>
      <c r="AW379" s="251"/>
      <c r="AX379" s="251"/>
      <c r="AY379" s="251"/>
      <c r="AZ379" s="251">
        <f t="shared" ca="1" si="21"/>
        <v>888</v>
      </c>
    </row>
    <row r="380" spans="2:52" x14ac:dyDescent="0.25">
      <c r="B380" s="243">
        <v>571</v>
      </c>
      <c r="C380" s="259" t="s">
        <v>486</v>
      </c>
      <c r="D380" s="252">
        <v>7950</v>
      </c>
      <c r="E380" s="252">
        <f>(BDD[[#This Row],[SUE MENS]]/30)</f>
        <v>265</v>
      </c>
      <c r="F380" s="252">
        <f>BDD[[#This Row],[SUE MENS]]/2</f>
        <v>3975</v>
      </c>
      <c r="G380" s="319">
        <v>43609</v>
      </c>
      <c r="H380" s="243">
        <f ca="1">INT(_xlfn.DAYS(TODAY(),BDD[[#This Row],[FECHA ING.]])/365)</f>
        <v>3</v>
      </c>
      <c r="I380" s="251" t="str">
        <f>VLOOKUP(J380,TABLAS!$B$3:$G$49,2,FALSE)</f>
        <v>DIRECCIÓN</v>
      </c>
      <c r="J380" s="198" t="s">
        <v>746</v>
      </c>
      <c r="K380" s="251" t="s">
        <v>778</v>
      </c>
      <c r="L380" s="251" t="s">
        <v>763</v>
      </c>
      <c r="M380" s="251"/>
      <c r="N380" s="253" t="s">
        <v>1904</v>
      </c>
      <c r="O380" s="251" t="str">
        <f>IFERROR(VLOOKUP(BDD[[#This Row],[SUBDPTO]],TABLAS!$B$4:$D$36,3,0)," ")</f>
        <v>MARIANA RODRÍGUEZ GUTIERREZ</v>
      </c>
      <c r="P380" s="258">
        <v>43789</v>
      </c>
      <c r="Q380" s="254">
        <v>6158.4000000000005</v>
      </c>
      <c r="R380" s="255" t="s">
        <v>736</v>
      </c>
      <c r="S380" s="251"/>
      <c r="T380" s="251" t="s">
        <v>301</v>
      </c>
      <c r="U380" s="243">
        <f ca="1">VLOOKUP(BDD[[#This Row],[ANTIG]],DIASXANT18[#All],2)</f>
        <v>14</v>
      </c>
      <c r="V380" s="256">
        <f>100/200</f>
        <v>0.5</v>
      </c>
      <c r="W380" s="243">
        <f ca="1">BDD[[#This Row],[D.VAC.]]*BDD[[#This Row],[% P.V.]]</f>
        <v>7</v>
      </c>
      <c r="X380" s="243">
        <v>30</v>
      </c>
      <c r="Y380" s="257">
        <f ca="1">(365+BDD[[#This Row],[D.PAG.V.]]+BDD[[#This Row],[D.AG.]])/365</f>
        <v>1.1013698630136985</v>
      </c>
      <c r="Z380" s="243">
        <f ca="1">BDD[[#This Row],[SUE DIA]]*BDD[[#This Row],[FACTOR SDI]]</f>
        <v>291.86301369863014</v>
      </c>
      <c r="AA380" s="243">
        <f>BDD[[#This Row],[SUE DIA]]/9</f>
        <v>29.444444444444443</v>
      </c>
      <c r="AB380" s="251">
        <v>27298</v>
      </c>
      <c r="AC380" s="251" t="s">
        <v>937</v>
      </c>
      <c r="AD380" s="251" t="s">
        <v>790</v>
      </c>
      <c r="AE380" s="260">
        <v>5552160909</v>
      </c>
      <c r="AF380" s="251" t="s">
        <v>1375</v>
      </c>
      <c r="AG380" s="251" t="s">
        <v>776</v>
      </c>
      <c r="AH380" s="251" t="s">
        <v>730</v>
      </c>
      <c r="AI380" s="243" t="s">
        <v>153</v>
      </c>
      <c r="AJ380" s="258" cm="1">
        <f t="array" aca="1" ref="AJ380" ca="1">DATE(YEAR(FECH.CONS[FECHA DE CONSULTA:]),MONTH(BDD[[#This Row],[FECHA NAC]]),DAY(BDD[[#This Row],[FECHA NAC]]))</f>
        <v>44830</v>
      </c>
      <c r="AK380" s="243">
        <v>7</v>
      </c>
      <c r="AL380" s="261" t="s">
        <v>312</v>
      </c>
      <c r="AM380" s="251" t="s">
        <v>1541</v>
      </c>
      <c r="AN380" s="251" t="s">
        <v>1551</v>
      </c>
      <c r="AO380" s="245">
        <v>86</v>
      </c>
      <c r="AP380" s="251">
        <f ca="1">INT((TODAY()-BDD[[#This Row],[FECHA NAC]])/365)</f>
        <v>47</v>
      </c>
      <c r="AQ380" s="251">
        <v>3</v>
      </c>
      <c r="AR380" s="251">
        <f ca="1">IF(BDD[[#This Row],[ANTIG]]=0,0,1)</f>
        <v>1</v>
      </c>
      <c r="AS380" s="251"/>
      <c r="AT380" s="251"/>
      <c r="AU380" s="251"/>
      <c r="AV380" s="251"/>
      <c r="AW380" s="251"/>
      <c r="AX380" s="251"/>
      <c r="AY380" s="251"/>
      <c r="AZ380" s="251">
        <f t="shared" ca="1" si="21"/>
        <v>401</v>
      </c>
    </row>
    <row r="381" spans="2:52" x14ac:dyDescent="0.25">
      <c r="B381" s="243">
        <v>572</v>
      </c>
      <c r="C381" s="251" t="s">
        <v>1668</v>
      </c>
      <c r="D381" s="252">
        <v>7950</v>
      </c>
      <c r="E381" s="252">
        <f>(BDD[[#This Row],[SUE MENS]]/30)</f>
        <v>265</v>
      </c>
      <c r="F381" s="252">
        <f>BDD[[#This Row],[SUE MENS]]/2</f>
        <v>3975</v>
      </c>
      <c r="G381" s="319">
        <v>43615</v>
      </c>
      <c r="H381" s="243">
        <f ca="1">INT(_xlfn.DAYS(TODAY(),BDD[[#This Row],[FECHA ING.]])/365)</f>
        <v>3</v>
      </c>
      <c r="I381" s="251" t="str">
        <f>VLOOKUP(J381,TABLAS!$B$3:$G$49,2,FALSE)</f>
        <v>AUDITORÍA</v>
      </c>
      <c r="J381" s="198" t="s">
        <v>736</v>
      </c>
      <c r="K381" s="251" t="s">
        <v>778</v>
      </c>
      <c r="L381" s="251" t="s">
        <v>763</v>
      </c>
      <c r="M381" s="251"/>
      <c r="N381" s="244" t="s">
        <v>2225</v>
      </c>
      <c r="O381" s="251" t="str">
        <f>IFERROR(VLOOKUP(BDD[[#This Row],[SUBDPTO]],TABLAS!$B$4:$D$36,3,0)," ")</f>
        <v>MARCO AURELIO URBINO</v>
      </c>
      <c r="P381" s="258">
        <v>44021</v>
      </c>
      <c r="Q381" s="254">
        <v>5956</v>
      </c>
      <c r="R381" s="255" t="s">
        <v>759</v>
      </c>
      <c r="S381" s="251"/>
      <c r="T381" s="251" t="s">
        <v>811</v>
      </c>
      <c r="U381" s="243">
        <f ca="1">VLOOKUP(BDD[[#This Row],[ANTIG]],DIASXANT18[#All],2)</f>
        <v>14</v>
      </c>
      <c r="V381" s="256">
        <f>100/200</f>
        <v>0.5</v>
      </c>
      <c r="W381" s="243">
        <f ca="1">BDD[[#This Row],[D.VAC.]]*BDD[[#This Row],[% P.V.]]</f>
        <v>7</v>
      </c>
      <c r="X381" s="243">
        <v>30</v>
      </c>
      <c r="Y381" s="257">
        <f ca="1">(365+BDD[[#This Row],[D.PAG.V.]]+BDD[[#This Row],[D.AG.]])/365</f>
        <v>1.1013698630136985</v>
      </c>
      <c r="Z381" s="243">
        <f ca="1">BDD[[#This Row],[SUE DIA]]*BDD[[#This Row],[FACTOR SDI]]</f>
        <v>291.86301369863014</v>
      </c>
      <c r="AA381" s="243">
        <f>BDD[[#This Row],[SUE DIA]]/9</f>
        <v>29.444444444444443</v>
      </c>
      <c r="AB381" s="251">
        <v>30136</v>
      </c>
      <c r="AC381" s="251" t="s">
        <v>1023</v>
      </c>
      <c r="AD381" s="251" t="s">
        <v>789</v>
      </c>
      <c r="AE381" s="252">
        <v>8288380016</v>
      </c>
      <c r="AF381" s="251" t="s">
        <v>1289</v>
      </c>
      <c r="AG381" s="251" t="s">
        <v>776</v>
      </c>
      <c r="AH381" s="251" t="s">
        <v>730</v>
      </c>
      <c r="AI381" s="243" t="s">
        <v>151</v>
      </c>
      <c r="AJ381" s="258" cm="1">
        <f t="array" aca="1" ref="AJ381" ca="1">DATE(YEAR(FECH.CONS[FECHA DE CONSULTA:]),MONTH(BDD[[#This Row],[FECHA NAC]]),DAY(BDD[[#This Row],[FECHA NAC]]))</f>
        <v>44746</v>
      </c>
      <c r="AK381" s="243">
        <v>9</v>
      </c>
      <c r="AL381" s="251" t="s">
        <v>311</v>
      </c>
      <c r="AM381" s="251" t="s">
        <v>1535</v>
      </c>
      <c r="AN381" s="251" t="s">
        <v>1551</v>
      </c>
      <c r="AO381" s="245">
        <v>62</v>
      </c>
      <c r="AP381" s="251">
        <f ca="1">INT((TODAY()-BDD[[#This Row],[FECHA NAC]])/365)</f>
        <v>40</v>
      </c>
      <c r="AQ381" s="251">
        <v>0</v>
      </c>
      <c r="AR381" s="251">
        <f ca="1">IF(BDD[[#This Row],[ANTIG]]=0,0,1)</f>
        <v>1</v>
      </c>
      <c r="AS381" s="251"/>
      <c r="AT381" s="251"/>
      <c r="AU381" s="251"/>
      <c r="AV381" s="251"/>
      <c r="AW381" s="251"/>
      <c r="AX381" s="251"/>
      <c r="AY381" s="251"/>
      <c r="AZ381" s="251">
        <f t="shared" ca="1" si="21"/>
        <v>679</v>
      </c>
    </row>
    <row r="382" spans="2:52" x14ac:dyDescent="0.25">
      <c r="B382" s="243">
        <v>574</v>
      </c>
      <c r="C382" s="251" t="s">
        <v>248</v>
      </c>
      <c r="D382" s="244">
        <v>6778</v>
      </c>
      <c r="E382" s="252">
        <f>(BDD[[#This Row],[SUE MENS]]/30)</f>
        <v>225.93333333333334</v>
      </c>
      <c r="F382" s="252">
        <f>BDD[[#This Row],[SUE MENS]]/2</f>
        <v>3389</v>
      </c>
      <c r="G382" s="320">
        <v>43623</v>
      </c>
      <c r="H382" s="243">
        <f ca="1">INT(_xlfn.DAYS(TODAY(),BDD[[#This Row],[FECHA ING.]])/365)</f>
        <v>3</v>
      </c>
      <c r="I382" s="251" t="str">
        <f>VLOOKUP(J382,TABLAS!$B$3:$G$49,2,FALSE)</f>
        <v>CONTABILIDAD</v>
      </c>
      <c r="J382" s="198" t="s">
        <v>737</v>
      </c>
      <c r="K382" s="251" t="s">
        <v>778</v>
      </c>
      <c r="L382" s="251" t="s">
        <v>763</v>
      </c>
      <c r="M382" s="251"/>
      <c r="N382" s="244" t="s">
        <v>2029</v>
      </c>
      <c r="O382" s="251" t="str">
        <f>IFERROR(VLOOKUP(BDD[[#This Row],[SUBDPTO]],TABLAS!$B$4:$D$36,3,0)," ")</f>
        <v>IRIE DALÍ ANTARES CORTÉS</v>
      </c>
      <c r="P382" s="258"/>
      <c r="Q382" s="264"/>
      <c r="R382" s="244"/>
      <c r="S382" s="251"/>
      <c r="T382" s="251" t="s">
        <v>301</v>
      </c>
      <c r="U382" s="243">
        <f ca="1">VLOOKUP(BDD[[#This Row],[ANTIG]],DIASXANT18[#All],2)</f>
        <v>14</v>
      </c>
      <c r="V382" s="266">
        <v>0.25</v>
      </c>
      <c r="W382" s="243">
        <f ca="1">BDD[[#This Row],[D.VAC.]]*BDD[[#This Row],[% P.V.]]</f>
        <v>3.5</v>
      </c>
      <c r="X382" s="265">
        <v>15</v>
      </c>
      <c r="Y382" s="257">
        <f ca="1">(365+BDD[[#This Row],[D.PAG.V.]]+BDD[[#This Row],[D.AG.]])/365</f>
        <v>1.0506849315068494</v>
      </c>
      <c r="Z382" s="243">
        <f ca="1">BDD[[#This Row],[SUE DIA]]*BDD[[#This Row],[FACTOR SDI]]</f>
        <v>237.38474885844749</v>
      </c>
      <c r="AA382" s="243">
        <f>BDD[[#This Row],[SUE DIA]]/9</f>
        <v>25.103703703703705</v>
      </c>
      <c r="AB382" s="251">
        <v>32803</v>
      </c>
      <c r="AC382" s="251" t="s">
        <v>931</v>
      </c>
      <c r="AD382" s="251" t="s">
        <v>791</v>
      </c>
      <c r="AE382" s="252">
        <v>8436705886</v>
      </c>
      <c r="AF382" s="251" t="s">
        <v>1277</v>
      </c>
      <c r="AG382" s="251" t="s">
        <v>776</v>
      </c>
      <c r="AH382" s="251" t="s">
        <v>730</v>
      </c>
      <c r="AI382" s="243" t="s">
        <v>151</v>
      </c>
      <c r="AJ382" s="258" cm="1">
        <f t="array" aca="1" ref="AJ382" ca="1">DATE(YEAR(FECH.CONS[FECHA DE CONSULTA:]),MONTH(BDD[[#This Row],[FECHA NAC]]),DAY(BDD[[#This Row],[FECHA NAC]]))</f>
        <v>44856</v>
      </c>
      <c r="AK382" s="243">
        <v>7</v>
      </c>
      <c r="AL382" s="261" t="s">
        <v>322</v>
      </c>
      <c r="AM382" s="251" t="s">
        <v>1535</v>
      </c>
      <c r="AN382" s="251" t="s">
        <v>1551</v>
      </c>
      <c r="AO382" s="245">
        <v>72</v>
      </c>
      <c r="AP382" s="251">
        <f ca="1">INT((TODAY()-BDD[[#This Row],[FECHA NAC]])/365)</f>
        <v>32</v>
      </c>
      <c r="AQ382" s="251">
        <v>3</v>
      </c>
      <c r="AR382" s="251">
        <f ca="1">IF(BDD[[#This Row],[ANTIG]]=0,0,1)</f>
        <v>1</v>
      </c>
      <c r="AS382" s="251"/>
      <c r="AT382" s="251"/>
      <c r="AU382" s="251"/>
      <c r="AV382" s="251"/>
      <c r="AW382" s="251"/>
      <c r="AX382" s="251"/>
      <c r="AY382" s="251"/>
      <c r="AZ382" s="251">
        <f t="shared" ca="1" si="21"/>
        <v>857</v>
      </c>
    </row>
    <row r="383" spans="2:52" x14ac:dyDescent="0.25">
      <c r="B383" s="243">
        <v>576</v>
      </c>
      <c r="C383" s="251" t="s">
        <v>238</v>
      </c>
      <c r="D383" s="252">
        <v>9541</v>
      </c>
      <c r="E383" s="252">
        <f>(BDD[[#This Row],[SUE MENS]]/30)</f>
        <v>318.03333333333336</v>
      </c>
      <c r="F383" s="252">
        <f>BDD[[#This Row],[SUE MENS]]/2</f>
        <v>4770.5</v>
      </c>
      <c r="G383" s="320">
        <v>43624</v>
      </c>
      <c r="H383" s="243">
        <f ca="1">INT(_xlfn.DAYS(TODAY(),BDD[[#This Row],[FECHA ING.]])/365)</f>
        <v>3</v>
      </c>
      <c r="I383" s="251" t="str">
        <f>VLOOKUP(J383,TABLAS!$B$3:$G$49,2,FALSE)</f>
        <v>AUDITORÍA</v>
      </c>
      <c r="J383" s="198" t="s">
        <v>735</v>
      </c>
      <c r="K383" s="251" t="s">
        <v>778</v>
      </c>
      <c r="L383" s="251" t="s">
        <v>763</v>
      </c>
      <c r="M383" s="251"/>
      <c r="N383" s="244" t="s">
        <v>2055</v>
      </c>
      <c r="O383" s="251" t="str">
        <f>IFERROR(VLOOKUP(BDD[[#This Row],[SUBDPTO]],TABLAS!$B$4:$D$36,3,0)," ")</f>
        <v>MARCO AURELIO URBINO</v>
      </c>
      <c r="P383" s="258">
        <v>44046</v>
      </c>
      <c r="Q383" s="254">
        <v>7632</v>
      </c>
      <c r="R383" s="255" t="s">
        <v>737</v>
      </c>
      <c r="S383" s="251"/>
      <c r="T383" s="251" t="s">
        <v>811</v>
      </c>
      <c r="U383" s="243">
        <f ca="1">VLOOKUP(BDD[[#This Row],[ANTIG]],DIASXANT18[#All],2)</f>
        <v>14</v>
      </c>
      <c r="V383" s="256">
        <f t="shared" ref="V383:V396" si="27">100/200</f>
        <v>0.5</v>
      </c>
      <c r="W383" s="243">
        <f ca="1">BDD[[#This Row],[D.VAC.]]*BDD[[#This Row],[% P.V.]]</f>
        <v>7</v>
      </c>
      <c r="X383" s="243">
        <v>30</v>
      </c>
      <c r="Y383" s="257">
        <f ca="1">(365+BDD[[#This Row],[D.PAG.V.]]+BDD[[#This Row],[D.AG.]])/365</f>
        <v>1.1013698630136985</v>
      </c>
      <c r="Z383" s="243">
        <f ca="1">BDD[[#This Row],[SUE DIA]]*BDD[[#This Row],[FACTOR SDI]]</f>
        <v>350.27232876712327</v>
      </c>
      <c r="AA383" s="243">
        <f>BDD[[#This Row],[SUE DIA]]/9</f>
        <v>35.337037037037042</v>
      </c>
      <c r="AB383" s="251">
        <v>33928</v>
      </c>
      <c r="AC383" s="251" t="s">
        <v>1010</v>
      </c>
      <c r="AD383" s="251" t="s">
        <v>787</v>
      </c>
      <c r="AE383" s="252">
        <v>8375010100</v>
      </c>
      <c r="AF383" s="251" t="s">
        <v>1264</v>
      </c>
      <c r="AG383" s="251" t="s">
        <v>776</v>
      </c>
      <c r="AH383" s="251" t="s">
        <v>1555</v>
      </c>
      <c r="AI383" s="243" t="s">
        <v>151</v>
      </c>
      <c r="AJ383" s="258" cm="1">
        <f t="array" aca="1" ref="AJ383" ca="1">DATE(YEAR(FECH.CONS[FECHA DE CONSULTA:]),MONTH(BDD[[#This Row],[FECHA NAC]]),DAY(BDD[[#This Row],[FECHA NAC]]))</f>
        <v>44885</v>
      </c>
      <c r="AK383" s="243">
        <v>8</v>
      </c>
      <c r="AL383" s="251" t="s">
        <v>311</v>
      </c>
      <c r="AM383" s="251" t="s">
        <v>1535</v>
      </c>
      <c r="AN383" s="251" t="s">
        <v>1551</v>
      </c>
      <c r="AO383" s="245">
        <v>50</v>
      </c>
      <c r="AP383" s="251">
        <f ca="1">INT((TODAY()-BDD[[#This Row],[FECHA NAC]])/365)</f>
        <v>29</v>
      </c>
      <c r="AQ383" s="251">
        <v>1</v>
      </c>
      <c r="AR383" s="251">
        <f ca="1">IF(BDD[[#This Row],[ANTIG]]=0,0,1)</f>
        <v>1</v>
      </c>
      <c r="AS383" s="251"/>
      <c r="AT383" s="251"/>
      <c r="AU383" s="251"/>
      <c r="AV383" s="251"/>
      <c r="AW383" s="251"/>
      <c r="AX383" s="251"/>
      <c r="AY383" s="251"/>
      <c r="AZ383" s="251">
        <f t="shared" ca="1" si="21"/>
        <v>696</v>
      </c>
    </row>
    <row r="384" spans="2:52" x14ac:dyDescent="0.25">
      <c r="B384" s="243">
        <v>577</v>
      </c>
      <c r="C384" s="259" t="s">
        <v>488</v>
      </c>
      <c r="D384" s="252">
        <v>7950</v>
      </c>
      <c r="E384" s="252">
        <f>(BDD[[#This Row],[SUE MENS]]/30)</f>
        <v>265</v>
      </c>
      <c r="F384" s="252">
        <f>BDD[[#This Row],[SUE MENS]]/2</f>
        <v>3975</v>
      </c>
      <c r="G384" s="319">
        <v>43625</v>
      </c>
      <c r="H384" s="243">
        <f ca="1">INT(_xlfn.DAYS(TODAY(),BDD[[#This Row],[FECHA ING.]])/365)</f>
        <v>3</v>
      </c>
      <c r="I384" s="251" t="str">
        <f>VLOOKUP(J384,TABLAS!$B$3:$G$49,2,FALSE)</f>
        <v>FINANZAS</v>
      </c>
      <c r="J384" s="198" t="s">
        <v>748</v>
      </c>
      <c r="K384" s="251" t="s">
        <v>778</v>
      </c>
      <c r="L384" s="251" t="s">
        <v>763</v>
      </c>
      <c r="M384" s="251"/>
      <c r="N384" s="244" t="s">
        <v>2200</v>
      </c>
      <c r="O384" s="251" t="str">
        <f>IFERROR(VLOOKUP(BDD[[#This Row],[SUBDPTO]],TABLAS!$B$4:$D$36,3,0)," ")</f>
        <v>MARIANO ALDEBARÁN</v>
      </c>
      <c r="P384" s="258">
        <v>43449</v>
      </c>
      <c r="Q384" s="264">
        <f>D373*0.8</f>
        <v>7632.8</v>
      </c>
      <c r="R384" s="255" t="s">
        <v>737</v>
      </c>
      <c r="S384" s="251"/>
      <c r="T384" s="251" t="s">
        <v>301</v>
      </c>
      <c r="U384" s="243">
        <f ca="1">VLOOKUP(BDD[[#This Row],[ANTIG]],DIASXANT18[#All],2)</f>
        <v>14</v>
      </c>
      <c r="V384" s="256">
        <f t="shared" si="27"/>
        <v>0.5</v>
      </c>
      <c r="W384" s="243">
        <f ca="1">BDD[[#This Row],[D.VAC.]]*BDD[[#This Row],[% P.V.]]</f>
        <v>7</v>
      </c>
      <c r="X384" s="243">
        <v>30</v>
      </c>
      <c r="Y384" s="257">
        <f ca="1">(365+BDD[[#This Row],[D.PAG.V.]]+BDD[[#This Row],[D.AG.]])/365</f>
        <v>1.1013698630136985</v>
      </c>
      <c r="Z384" s="243">
        <f ca="1">BDD[[#This Row],[SUE DIA]]*BDD[[#This Row],[FACTOR SDI]]</f>
        <v>291.86301369863014</v>
      </c>
      <c r="AA384" s="243">
        <f>BDD[[#This Row],[SUE DIA]]/9</f>
        <v>29.444444444444443</v>
      </c>
      <c r="AB384" s="251">
        <v>26873</v>
      </c>
      <c r="AC384" s="251" t="s">
        <v>904</v>
      </c>
      <c r="AD384" s="251" t="s">
        <v>791</v>
      </c>
      <c r="AE384" s="260">
        <v>5549687133</v>
      </c>
      <c r="AF384" s="251" t="s">
        <v>1377</v>
      </c>
      <c r="AG384" s="251" t="s">
        <v>773</v>
      </c>
      <c r="AH384" s="251" t="s">
        <v>730</v>
      </c>
      <c r="AI384" s="243" t="s">
        <v>151</v>
      </c>
      <c r="AJ384" s="258" cm="1">
        <f t="array" aca="1" ref="AJ384" ca="1">DATE(YEAR(FECH.CONS[FECHA DE CONSULTA:]),MONTH(BDD[[#This Row],[FECHA NAC]]),DAY(BDD[[#This Row],[FECHA NAC]]))</f>
        <v>44770</v>
      </c>
      <c r="AK384" s="243">
        <v>10</v>
      </c>
      <c r="AL384" s="261" t="s">
        <v>311</v>
      </c>
      <c r="AM384" s="251" t="s">
        <v>1541</v>
      </c>
      <c r="AN384" s="251" t="s">
        <v>1551</v>
      </c>
      <c r="AO384" s="245">
        <v>79</v>
      </c>
      <c r="AP384" s="251">
        <f ca="1">INT((TODAY()-BDD[[#This Row],[FECHA NAC]])/365)</f>
        <v>49</v>
      </c>
      <c r="AQ384" s="251">
        <v>3</v>
      </c>
      <c r="AR384" s="251">
        <f ca="1">IF(BDD[[#This Row],[ANTIG]]=0,0,1)</f>
        <v>1</v>
      </c>
      <c r="AS384" s="251"/>
      <c r="AT384" s="251"/>
      <c r="AU384" s="251"/>
      <c r="AV384" s="251"/>
      <c r="AW384" s="251"/>
      <c r="AX384" s="251"/>
      <c r="AY384" s="251"/>
      <c r="AZ384" s="251">
        <f t="shared" ca="1" si="21"/>
        <v>524</v>
      </c>
    </row>
    <row r="385" spans="2:52" x14ac:dyDescent="0.25">
      <c r="B385" s="243">
        <v>579</v>
      </c>
      <c r="C385" s="259" t="s">
        <v>451</v>
      </c>
      <c r="D385" s="252">
        <v>10860</v>
      </c>
      <c r="E385" s="252">
        <f>(BDD[[#This Row],[SUE MENS]]/30)</f>
        <v>362</v>
      </c>
      <c r="F385" s="252">
        <f>BDD[[#This Row],[SUE MENS]]/2</f>
        <v>5430</v>
      </c>
      <c r="G385" s="319">
        <v>43639</v>
      </c>
      <c r="H385" s="243">
        <f ca="1">INT(_xlfn.DAYS(TODAY(),BDD[[#This Row],[FECHA ING.]])/365)</f>
        <v>3</v>
      </c>
      <c r="I385" s="251" t="str">
        <f>VLOOKUP(J385,TABLAS!$B$3:$G$49,2,FALSE)</f>
        <v>DIV ARQUIT</v>
      </c>
      <c r="J385" s="198" t="s">
        <v>741</v>
      </c>
      <c r="K385" s="251" t="s">
        <v>778</v>
      </c>
      <c r="L385" s="251" t="s">
        <v>763</v>
      </c>
      <c r="M385" s="251"/>
      <c r="N385" s="244" t="s">
        <v>1773</v>
      </c>
      <c r="O385" s="251" t="str">
        <f>IFERROR(VLOOKUP(BDD[[#This Row],[SUBDPTO]],TABLAS!$B$4:$D$36,3,0)," ")</f>
        <v>MÉRIDA ISELA MEDINA SALINAS</v>
      </c>
      <c r="P385" s="258">
        <v>41772</v>
      </c>
      <c r="Q385" s="254">
        <v>5422.4000000000005</v>
      </c>
      <c r="R385" s="255" t="s">
        <v>756</v>
      </c>
      <c r="S385" s="255" t="s">
        <v>737</v>
      </c>
      <c r="T385" s="251" t="s">
        <v>811</v>
      </c>
      <c r="U385" s="243">
        <f ca="1">VLOOKUP(BDD[[#This Row],[ANTIG]],DIASXANT18[#All],2)</f>
        <v>14</v>
      </c>
      <c r="V385" s="256">
        <f t="shared" si="27"/>
        <v>0.5</v>
      </c>
      <c r="W385" s="243">
        <f ca="1">BDD[[#This Row],[D.VAC.]]*BDD[[#This Row],[% P.V.]]</f>
        <v>7</v>
      </c>
      <c r="X385" s="243">
        <v>30</v>
      </c>
      <c r="Y385" s="257">
        <f ca="1">(365+BDD[[#This Row],[D.PAG.V.]]+BDD[[#This Row],[D.AG.]])/365</f>
        <v>1.1013698630136985</v>
      </c>
      <c r="Z385" s="243">
        <f ca="1">BDD[[#This Row],[SUE DIA]]*BDD[[#This Row],[FACTOR SDI]]</f>
        <v>398.6958904109589</v>
      </c>
      <c r="AA385" s="243">
        <f>BDD[[#This Row],[SUE DIA]]/9</f>
        <v>40.222222222222221</v>
      </c>
      <c r="AB385" s="251">
        <v>30535</v>
      </c>
      <c r="AC385" s="251" t="s">
        <v>970</v>
      </c>
      <c r="AD385" s="251" t="s">
        <v>792</v>
      </c>
      <c r="AE385" s="260">
        <v>7256497975</v>
      </c>
      <c r="AF385" s="251" t="s">
        <v>1357</v>
      </c>
      <c r="AG385" s="251" t="s">
        <v>773</v>
      </c>
      <c r="AH385" s="251" t="s">
        <v>730</v>
      </c>
      <c r="AI385" s="243" t="s">
        <v>151</v>
      </c>
      <c r="AJ385" s="258" cm="1">
        <f t="array" aca="1" ref="AJ385" ca="1">DATE(YEAR(FECH.CONS[FECHA DE CONSULTA:]),MONTH(BDD[[#This Row],[FECHA NAC]]),DAY(BDD[[#This Row],[FECHA NAC]]))</f>
        <v>44780</v>
      </c>
      <c r="AK385" s="243">
        <v>9</v>
      </c>
      <c r="AL385" s="261" t="s">
        <v>312</v>
      </c>
      <c r="AM385" s="251" t="s">
        <v>1538</v>
      </c>
      <c r="AN385" s="251" t="s">
        <v>1551</v>
      </c>
      <c r="AO385" s="245">
        <v>76</v>
      </c>
      <c r="AP385" s="251">
        <f ca="1">INT((TODAY()-BDD[[#This Row],[FECHA NAC]])/365)</f>
        <v>38</v>
      </c>
      <c r="AQ385" s="251">
        <v>1</v>
      </c>
      <c r="AR385" s="251">
        <f ca="1">IF(BDD[[#This Row],[ANTIG]]=0,0,1)</f>
        <v>1</v>
      </c>
      <c r="AS385" s="251"/>
      <c r="AT385" s="251"/>
      <c r="AU385" s="251"/>
      <c r="AV385" s="251"/>
      <c r="AW385" s="251"/>
      <c r="AX385" s="251"/>
      <c r="AY385" s="251"/>
      <c r="AZ385" s="251">
        <f t="shared" ca="1" si="21"/>
        <v>220</v>
      </c>
    </row>
    <row r="386" spans="2:52" x14ac:dyDescent="0.25">
      <c r="B386" s="243">
        <v>580</v>
      </c>
      <c r="C386" s="251" t="s">
        <v>426</v>
      </c>
      <c r="D386" s="252">
        <v>7950</v>
      </c>
      <c r="E386" s="252">
        <f>(BDD[[#This Row],[SUE MENS]]/30)</f>
        <v>265</v>
      </c>
      <c r="F386" s="252">
        <f>BDD[[#This Row],[SUE MENS]]/2</f>
        <v>3975</v>
      </c>
      <c r="G386" s="319">
        <v>43644</v>
      </c>
      <c r="H386" s="243">
        <f ca="1">INT(_xlfn.DAYS(TODAY(),BDD[[#This Row],[FECHA ING.]])/365)</f>
        <v>3</v>
      </c>
      <c r="I386" s="251" t="str">
        <f>VLOOKUP(J386,TABLAS!$B$3:$G$49,2,FALSE)</f>
        <v>DIV INGENRIA</v>
      </c>
      <c r="J386" s="198" t="s">
        <v>743</v>
      </c>
      <c r="K386" s="251" t="s">
        <v>778</v>
      </c>
      <c r="L386" s="251" t="s">
        <v>763</v>
      </c>
      <c r="M386" s="251"/>
      <c r="N386" s="244" t="s">
        <v>2179</v>
      </c>
      <c r="O386" s="251" t="str">
        <f>IFERROR(VLOOKUP(BDD[[#This Row],[SUBDPTO]],TABLAS!$B$4:$D$36,3,0)," ")</f>
        <v>DIEGO HERRERA GIRÓN</v>
      </c>
      <c r="P386" s="258">
        <v>43132</v>
      </c>
      <c r="Q386" s="254">
        <v>5956</v>
      </c>
      <c r="R386" s="255" t="s">
        <v>746</v>
      </c>
      <c r="S386" s="251"/>
      <c r="T386" s="251" t="s">
        <v>811</v>
      </c>
      <c r="U386" s="243">
        <f ca="1">VLOOKUP(BDD[[#This Row],[ANTIG]],DIASXANT18[#All],2)</f>
        <v>14</v>
      </c>
      <c r="V386" s="256">
        <f t="shared" si="27"/>
        <v>0.5</v>
      </c>
      <c r="W386" s="243">
        <f ca="1">BDD[[#This Row],[D.VAC.]]*BDD[[#This Row],[% P.V.]]</f>
        <v>7</v>
      </c>
      <c r="X386" s="243">
        <v>30</v>
      </c>
      <c r="Y386" s="257">
        <f ca="1">(365+BDD[[#This Row],[D.PAG.V.]]+BDD[[#This Row],[D.AG.]])/365</f>
        <v>1.1013698630136985</v>
      </c>
      <c r="Z386" s="243">
        <f ca="1">BDD[[#This Row],[SUE DIA]]*BDD[[#This Row],[FACTOR SDI]]</f>
        <v>291.86301369863014</v>
      </c>
      <c r="AA386" s="243">
        <f>BDD[[#This Row],[SUE DIA]]/9</f>
        <v>29.444444444444443</v>
      </c>
      <c r="AB386" s="251">
        <v>31091</v>
      </c>
      <c r="AC386" s="251" t="s">
        <v>943</v>
      </c>
      <c r="AD386" s="251" t="s">
        <v>792</v>
      </c>
      <c r="AE386" s="252">
        <v>8796843318</v>
      </c>
      <c r="AF386" s="251" t="s">
        <v>1248</v>
      </c>
      <c r="AG386" s="251" t="s">
        <v>776</v>
      </c>
      <c r="AH386" s="251" t="s">
        <v>730</v>
      </c>
      <c r="AI386" s="243" t="s">
        <v>151</v>
      </c>
      <c r="AJ386" s="258" cm="1">
        <f t="array" aca="1" ref="AJ386" ca="1">DATE(YEAR(FECH.CONS[FECHA DE CONSULTA:]),MONTH(BDD[[#This Row],[FECHA NAC]]),DAY(BDD[[#This Row],[FECHA NAC]]))</f>
        <v>44605</v>
      </c>
      <c r="AK386" s="243">
        <v>9</v>
      </c>
      <c r="AL386" s="251" t="s">
        <v>311</v>
      </c>
      <c r="AM386" s="251" t="s">
        <v>1538</v>
      </c>
      <c r="AN386" s="251" t="s">
        <v>1551</v>
      </c>
      <c r="AO386" s="245">
        <v>61</v>
      </c>
      <c r="AP386" s="251">
        <f ca="1">INT((TODAY()-BDD[[#This Row],[FECHA NAC]])/365)</f>
        <v>37</v>
      </c>
      <c r="AQ386" s="251">
        <v>0</v>
      </c>
      <c r="AR386" s="251">
        <f ca="1">IF(BDD[[#This Row],[ANTIG]]=0,0,1)</f>
        <v>1</v>
      </c>
      <c r="AS386" s="251"/>
      <c r="AT386" s="251"/>
      <c r="AU386" s="251"/>
      <c r="AV386" s="251"/>
      <c r="AW386" s="251"/>
      <c r="AX386" s="251"/>
      <c r="AY386" s="251"/>
      <c r="AZ386" s="251">
        <f t="shared" ca="1" si="21"/>
        <v>322</v>
      </c>
    </row>
    <row r="387" spans="2:52" x14ac:dyDescent="0.25">
      <c r="B387" s="243">
        <v>581</v>
      </c>
      <c r="C387" s="259" t="s">
        <v>640</v>
      </c>
      <c r="D387" s="252">
        <v>9450</v>
      </c>
      <c r="E387" s="252">
        <f>(BDD[[#This Row],[SUE MENS]]/30)</f>
        <v>315</v>
      </c>
      <c r="F387" s="252">
        <f>BDD[[#This Row],[SUE MENS]]/2</f>
        <v>4725</v>
      </c>
      <c r="G387" s="319">
        <v>43653</v>
      </c>
      <c r="H387" s="243">
        <f ca="1">INT(_xlfn.DAYS(TODAY(),BDD[[#This Row],[FECHA ING.]])/365)</f>
        <v>3</v>
      </c>
      <c r="I387" s="251" t="str">
        <f>VLOOKUP(J387,TABLAS!$B$3:$G$49,2,FALSE)</f>
        <v>DIV ARQUIT</v>
      </c>
      <c r="J387" s="198" t="s">
        <v>740</v>
      </c>
      <c r="K387" s="251" t="s">
        <v>778</v>
      </c>
      <c r="L387" s="251" t="s">
        <v>763</v>
      </c>
      <c r="M387" s="251"/>
      <c r="N387" s="253" t="s">
        <v>2123</v>
      </c>
      <c r="O387" s="251" t="str">
        <f>IFERROR(VLOOKUP(BDD[[#This Row],[SUBDPTO]],TABLAS!$B$4:$D$36,3,0)," ")</f>
        <v>MÉRIDA ISELA MEDINA SALINAS</v>
      </c>
      <c r="P387" s="258">
        <v>43501</v>
      </c>
      <c r="Q387" s="254">
        <v>5088</v>
      </c>
      <c r="R387" s="255" t="s">
        <v>735</v>
      </c>
      <c r="S387" s="251"/>
      <c r="T387" s="251" t="s">
        <v>811</v>
      </c>
      <c r="U387" s="243">
        <f ca="1">VLOOKUP(BDD[[#This Row],[ANTIG]],DIASXANT18[#All],2)</f>
        <v>14</v>
      </c>
      <c r="V387" s="256">
        <f t="shared" si="27"/>
        <v>0.5</v>
      </c>
      <c r="W387" s="243">
        <f ca="1">BDD[[#This Row],[D.VAC.]]*BDD[[#This Row],[% P.V.]]</f>
        <v>7</v>
      </c>
      <c r="X387" s="243">
        <v>30</v>
      </c>
      <c r="Y387" s="257">
        <f ca="1">(365+BDD[[#This Row],[D.PAG.V.]]+BDD[[#This Row],[D.AG.]])/365</f>
        <v>1.1013698630136985</v>
      </c>
      <c r="Z387" s="243">
        <f ca="1">BDD[[#This Row],[SUE DIA]]*BDD[[#This Row],[FACTOR SDI]]</f>
        <v>346.93150684931504</v>
      </c>
      <c r="AA387" s="243">
        <f>BDD[[#This Row],[SUE DIA]]/9</f>
        <v>35</v>
      </c>
      <c r="AB387" s="251">
        <v>36368</v>
      </c>
      <c r="AC387" s="251" t="s">
        <v>1070</v>
      </c>
      <c r="AD387" s="251" t="s">
        <v>789</v>
      </c>
      <c r="AE387" s="260">
        <v>8200994840</v>
      </c>
      <c r="AF387" s="251" t="s">
        <v>1480</v>
      </c>
      <c r="AG387" s="251" t="s">
        <v>776</v>
      </c>
      <c r="AH387" s="251" t="s">
        <v>730</v>
      </c>
      <c r="AI387" s="243" t="s">
        <v>151</v>
      </c>
      <c r="AJ387" s="258" cm="1">
        <f t="array" aca="1" ref="AJ387" ca="1">DATE(YEAR(FECH.CONS[FECHA DE CONSULTA:]),MONTH(BDD[[#This Row],[FECHA NAC]]),DAY(BDD[[#This Row],[FECHA NAC]]))</f>
        <v>44769</v>
      </c>
      <c r="AK387" s="243">
        <v>7</v>
      </c>
      <c r="AL387" s="261" t="s">
        <v>311</v>
      </c>
      <c r="AM387" s="251" t="s">
        <v>1543</v>
      </c>
      <c r="AN387" s="251" t="s">
        <v>1551</v>
      </c>
      <c r="AO387" s="245">
        <v>92</v>
      </c>
      <c r="AP387" s="251">
        <f ca="1">INT((TODAY()-BDD[[#This Row],[FECHA NAC]])/365)</f>
        <v>22</v>
      </c>
      <c r="AQ387" s="251">
        <v>0</v>
      </c>
      <c r="AR387" s="251">
        <f ca="1">IF(BDD[[#This Row],[ANTIG]]=0,0,1)</f>
        <v>1</v>
      </c>
      <c r="AS387" s="251"/>
      <c r="AT387" s="251"/>
      <c r="AU387" s="251"/>
      <c r="AV387" s="251"/>
      <c r="AW387" s="251"/>
      <c r="AX387" s="251"/>
      <c r="AY387" s="251"/>
      <c r="AZ387" s="251">
        <f t="shared" ca="1" si="21"/>
        <v>428</v>
      </c>
    </row>
    <row r="388" spans="2:52" x14ac:dyDescent="0.25">
      <c r="B388" s="243">
        <v>584</v>
      </c>
      <c r="C388" s="251" t="s">
        <v>193</v>
      </c>
      <c r="D388" s="252">
        <v>8825</v>
      </c>
      <c r="E388" s="252">
        <f>(BDD[[#This Row],[SUE MENS]]/30)</f>
        <v>294.16666666666669</v>
      </c>
      <c r="F388" s="252">
        <f>BDD[[#This Row],[SUE MENS]]/2</f>
        <v>4412.5</v>
      </c>
      <c r="G388" s="319">
        <v>43656</v>
      </c>
      <c r="H388" s="243">
        <f ca="1">INT(_xlfn.DAYS(TODAY(),BDD[[#This Row],[FECHA ING.]])/365)</f>
        <v>3</v>
      </c>
      <c r="I388" s="251" t="str">
        <f>VLOOKUP(J388,TABLAS!$B$3:$G$49,2,FALSE)</f>
        <v>DIRECCIÓN</v>
      </c>
      <c r="J388" s="198" t="s">
        <v>759</v>
      </c>
      <c r="K388" s="251" t="s">
        <v>778</v>
      </c>
      <c r="L388" s="251" t="s">
        <v>763</v>
      </c>
      <c r="M388" s="251"/>
      <c r="N388" s="244" t="s">
        <v>1812</v>
      </c>
      <c r="O388" s="251" t="str">
        <f>IFERROR(VLOOKUP(BDD[[#This Row],[SUBDPTO]],TABLAS!$B$4:$D$36,3,0)," ")</f>
        <v>MARIANA RODRÍGUEZ GUTIERREZ</v>
      </c>
      <c r="P388" s="258">
        <v>43567</v>
      </c>
      <c r="Q388" s="254">
        <v>6160</v>
      </c>
      <c r="R388" s="255" t="s">
        <v>740</v>
      </c>
      <c r="S388" s="251"/>
      <c r="T388" s="251" t="s">
        <v>301</v>
      </c>
      <c r="U388" s="243">
        <f ca="1">VLOOKUP(BDD[[#This Row],[ANTIG]],DIASXANT18[#All],2)</f>
        <v>14</v>
      </c>
      <c r="V388" s="256">
        <f t="shared" si="27"/>
        <v>0.5</v>
      </c>
      <c r="W388" s="243">
        <f ca="1">BDD[[#This Row],[D.VAC.]]*BDD[[#This Row],[% P.V.]]</f>
        <v>7</v>
      </c>
      <c r="X388" s="243">
        <v>30</v>
      </c>
      <c r="Y388" s="257">
        <f ca="1">(365+BDD[[#This Row],[D.PAG.V.]]+BDD[[#This Row],[D.AG.]])/365</f>
        <v>1.1013698630136985</v>
      </c>
      <c r="Z388" s="243">
        <f ca="1">BDD[[#This Row],[SUE DIA]]*BDD[[#This Row],[FACTOR SDI]]</f>
        <v>323.98630136986299</v>
      </c>
      <c r="AA388" s="243">
        <f>BDD[[#This Row],[SUE DIA]]/9</f>
        <v>32.68518518518519</v>
      </c>
      <c r="AB388" s="251">
        <v>29738</v>
      </c>
      <c r="AC388" s="251" t="s">
        <v>896</v>
      </c>
      <c r="AD388" s="251" t="s">
        <v>809</v>
      </c>
      <c r="AE388" s="252">
        <v>8371502374</v>
      </c>
      <c r="AF388" s="251" t="s">
        <v>1210</v>
      </c>
      <c r="AG388" s="251" t="s">
        <v>773</v>
      </c>
      <c r="AH388" s="251" t="s">
        <v>1555</v>
      </c>
      <c r="AI388" s="243" t="s">
        <v>151</v>
      </c>
      <c r="AJ388" s="258" cm="1">
        <f t="array" aca="1" ref="AJ388" ca="1">DATE(YEAR(FECH.CONS[FECHA DE CONSULTA:]),MONTH(BDD[[#This Row],[FECHA NAC]]),DAY(BDD[[#This Row],[FECHA NAC]]))</f>
        <v>44713</v>
      </c>
      <c r="AK388" s="243"/>
      <c r="AL388" s="261" t="s">
        <v>318</v>
      </c>
      <c r="AM388" s="251" t="s">
        <v>1544</v>
      </c>
      <c r="AN388" s="251" t="s">
        <v>1551</v>
      </c>
      <c r="AO388" s="245">
        <v>66</v>
      </c>
      <c r="AP388" s="251">
        <f ca="1">INT((TODAY()-BDD[[#This Row],[FECHA NAC]])/365)</f>
        <v>41</v>
      </c>
      <c r="AQ388" s="251">
        <v>0</v>
      </c>
      <c r="AR388" s="251">
        <f ca="1">IF(BDD[[#This Row],[ANTIG]]=0,0,1)</f>
        <v>1</v>
      </c>
      <c r="AS388" s="251"/>
      <c r="AT388" s="251"/>
      <c r="AU388" s="251"/>
      <c r="AV388" s="251"/>
      <c r="AW388" s="251"/>
      <c r="AX388" s="251"/>
      <c r="AY388" s="251"/>
      <c r="AZ388" s="251">
        <f t="shared" ca="1" si="21"/>
        <v>493</v>
      </c>
    </row>
    <row r="389" spans="2:52" x14ac:dyDescent="0.25">
      <c r="B389" s="243">
        <v>585</v>
      </c>
      <c r="C389" s="251" t="s">
        <v>430</v>
      </c>
      <c r="D389" s="252">
        <v>7950</v>
      </c>
      <c r="E389" s="252">
        <f>(BDD[[#This Row],[SUE MENS]]/30)</f>
        <v>265</v>
      </c>
      <c r="F389" s="252">
        <f>BDD[[#This Row],[SUE MENS]]/2</f>
        <v>3975</v>
      </c>
      <c r="G389" s="320">
        <v>43662</v>
      </c>
      <c r="H389" s="243">
        <f ca="1">INT(_xlfn.DAYS(TODAY(),BDD[[#This Row],[FECHA ING.]])/365)</f>
        <v>3</v>
      </c>
      <c r="I389" s="251" t="str">
        <f>VLOOKUP(J389,TABLAS!$B$3:$G$49,2,FALSE)</f>
        <v>AUDITORÍA</v>
      </c>
      <c r="J389" s="198" t="s">
        <v>735</v>
      </c>
      <c r="K389" s="251" t="s">
        <v>778</v>
      </c>
      <c r="L389" s="251" t="s">
        <v>763</v>
      </c>
      <c r="M389" s="251"/>
      <c r="N389" s="244" t="s">
        <v>2195</v>
      </c>
      <c r="O389" s="251" t="str">
        <f>IFERROR(VLOOKUP(BDD[[#This Row],[SUBDPTO]],TABLAS!$B$4:$D$36,3,0)," ")</f>
        <v>MARCO AURELIO URBINO</v>
      </c>
      <c r="P389" s="258"/>
      <c r="Q389" s="264"/>
      <c r="R389" s="244"/>
      <c r="S389" s="251"/>
      <c r="T389" s="251" t="s">
        <v>811</v>
      </c>
      <c r="U389" s="243">
        <f ca="1">VLOOKUP(BDD[[#This Row],[ANTIG]],DIASXANT18[#All],2)</f>
        <v>14</v>
      </c>
      <c r="V389" s="256">
        <f t="shared" si="27"/>
        <v>0.5</v>
      </c>
      <c r="W389" s="243">
        <f ca="1">BDD[[#This Row],[D.VAC.]]*BDD[[#This Row],[% P.V.]]</f>
        <v>7</v>
      </c>
      <c r="X389" s="243">
        <v>30</v>
      </c>
      <c r="Y389" s="257">
        <f ca="1">(365+BDD[[#This Row],[D.PAG.V.]]+BDD[[#This Row],[D.AG.]])/365</f>
        <v>1.1013698630136985</v>
      </c>
      <c r="Z389" s="243">
        <f ca="1">BDD[[#This Row],[SUE DIA]]*BDD[[#This Row],[FACTOR SDI]]</f>
        <v>291.86301369863014</v>
      </c>
      <c r="AA389" s="243">
        <f>BDD[[#This Row],[SUE DIA]]/9</f>
        <v>29.444444444444443</v>
      </c>
      <c r="AB389" s="251">
        <v>31517</v>
      </c>
      <c r="AC389" s="251" t="s">
        <v>998</v>
      </c>
      <c r="AD389" s="251" t="s">
        <v>791</v>
      </c>
      <c r="AE389" s="252">
        <v>5548795348</v>
      </c>
      <c r="AF389" s="251" t="s">
        <v>1243</v>
      </c>
      <c r="AG389" s="251" t="s">
        <v>776</v>
      </c>
      <c r="AH389" s="251" t="s">
        <v>730</v>
      </c>
      <c r="AI389" s="243" t="s">
        <v>151</v>
      </c>
      <c r="AJ389" s="258" cm="1">
        <f t="array" aca="1" ref="AJ389" ca="1">DATE(YEAR(FECH.CONS[FECHA DE CONSULTA:]),MONTH(BDD[[#This Row],[FECHA NAC]]),DAY(BDD[[#This Row],[FECHA NAC]]))</f>
        <v>44666</v>
      </c>
      <c r="AK389" s="243">
        <v>10</v>
      </c>
      <c r="AL389" s="251" t="s">
        <v>321</v>
      </c>
      <c r="AM389" s="251" t="s">
        <v>1537</v>
      </c>
      <c r="AN389" s="251" t="s">
        <v>1551</v>
      </c>
      <c r="AO389" s="245">
        <v>82</v>
      </c>
      <c r="AP389" s="251">
        <f ca="1">INT((TODAY()-BDD[[#This Row],[FECHA NAC]])/365)</f>
        <v>36</v>
      </c>
      <c r="AQ389" s="251">
        <v>3</v>
      </c>
      <c r="AR389" s="251">
        <f ca="1">IF(BDD[[#This Row],[ANTIG]]=0,0,1)</f>
        <v>1</v>
      </c>
      <c r="AS389" s="251"/>
      <c r="AT389" s="251"/>
      <c r="AU389" s="251"/>
      <c r="AV389" s="251"/>
      <c r="AW389" s="251"/>
      <c r="AX389" s="251"/>
      <c r="AY389" s="251"/>
      <c r="AZ389" s="251">
        <f t="shared" ca="1" si="21"/>
        <v>975</v>
      </c>
    </row>
    <row r="390" spans="2:52" x14ac:dyDescent="0.25">
      <c r="B390" s="243">
        <v>586</v>
      </c>
      <c r="C390" s="259" t="s">
        <v>510</v>
      </c>
      <c r="D390" s="263">
        <v>7445</v>
      </c>
      <c r="E390" s="252">
        <f>(BDD[[#This Row],[SUE MENS]]/30)</f>
        <v>248.16666666666666</v>
      </c>
      <c r="F390" s="252">
        <f>BDD[[#This Row],[SUE MENS]]/2</f>
        <v>3722.5</v>
      </c>
      <c r="G390" s="319">
        <v>43668</v>
      </c>
      <c r="H390" s="243">
        <f ca="1">INT(_xlfn.DAYS(TODAY(),BDD[[#This Row],[FECHA ING.]])/365)</f>
        <v>2</v>
      </c>
      <c r="I390" s="251" t="str">
        <f>VLOOKUP(J390,TABLAS!$B$3:$G$49,2,FALSE)</f>
        <v>DIV ARQUIT</v>
      </c>
      <c r="J390" s="198" t="s">
        <v>740</v>
      </c>
      <c r="K390" s="251" t="s">
        <v>778</v>
      </c>
      <c r="L390" s="251" t="s">
        <v>763</v>
      </c>
      <c r="M390" s="251"/>
      <c r="N390" s="253" t="s">
        <v>1905</v>
      </c>
      <c r="O390" s="251" t="str">
        <f>IFERROR(VLOOKUP(BDD[[#This Row],[SUBDPTO]],TABLAS!$B$4:$D$36,3,0)," ")</f>
        <v>MÉRIDA ISELA MEDINA SALINAS</v>
      </c>
      <c r="P390" s="258"/>
      <c r="Q390" s="264"/>
      <c r="R390" s="244"/>
      <c r="S390" s="251"/>
      <c r="T390" s="251" t="s">
        <v>811</v>
      </c>
      <c r="U390" s="243">
        <f ca="1">VLOOKUP(BDD[[#This Row],[ANTIG]],DIASXANT18[#All],2)</f>
        <v>10</v>
      </c>
      <c r="V390" s="256">
        <f t="shared" si="27"/>
        <v>0.5</v>
      </c>
      <c r="W390" s="243">
        <f ca="1">BDD[[#This Row],[D.VAC.]]*BDD[[#This Row],[% P.V.]]</f>
        <v>5</v>
      </c>
      <c r="X390" s="243">
        <v>30</v>
      </c>
      <c r="Y390" s="257">
        <f ca="1">(365+BDD[[#This Row],[D.PAG.V.]]+BDD[[#This Row],[D.AG.]])/365</f>
        <v>1.095890410958904</v>
      </c>
      <c r="Z390" s="243">
        <f ca="1">BDD[[#This Row],[SUE DIA]]*BDD[[#This Row],[FACTOR SDI]]</f>
        <v>271.96347031963467</v>
      </c>
      <c r="AA390" s="243">
        <f>BDD[[#This Row],[SUE DIA]]/9</f>
        <v>27.574074074074073</v>
      </c>
      <c r="AB390" s="251">
        <v>28072</v>
      </c>
      <c r="AC390" s="251" t="s">
        <v>1049</v>
      </c>
      <c r="AD390" s="251" t="s">
        <v>809</v>
      </c>
      <c r="AE390" s="260">
        <v>5552336897</v>
      </c>
      <c r="AF390" s="251" t="s">
        <v>1391</v>
      </c>
      <c r="AG390" s="251" t="s">
        <v>776</v>
      </c>
      <c r="AH390" s="251" t="s">
        <v>730</v>
      </c>
      <c r="AI390" s="243" t="s">
        <v>151</v>
      </c>
      <c r="AJ390" s="258" cm="1">
        <f t="array" aca="1" ref="AJ390" ca="1">DATE(YEAR(FECH.CONS[FECHA DE CONSULTA:]),MONTH(BDD[[#This Row],[FECHA NAC]]),DAY(BDD[[#This Row],[FECHA NAC]]))</f>
        <v>44873</v>
      </c>
      <c r="AK390" s="243">
        <v>8</v>
      </c>
      <c r="AL390" s="261" t="s">
        <v>311</v>
      </c>
      <c r="AM390" s="251" t="s">
        <v>1543</v>
      </c>
      <c r="AN390" s="251" t="s">
        <v>1551</v>
      </c>
      <c r="AO390" s="245">
        <v>42</v>
      </c>
      <c r="AP390" s="251">
        <f ca="1">INT((TODAY()-BDD[[#This Row],[FECHA NAC]])/365)</f>
        <v>45</v>
      </c>
      <c r="AQ390" s="251">
        <v>2</v>
      </c>
      <c r="AR390" s="251">
        <f ca="1">IF(BDD[[#This Row],[ANTIG]]=0,0,1)</f>
        <v>1</v>
      </c>
      <c r="AS390" s="251"/>
      <c r="AT390" s="251"/>
      <c r="AU390" s="251"/>
      <c r="AV390" s="251"/>
      <c r="AW390" s="251"/>
      <c r="AX390" s="251"/>
      <c r="AY390" s="251"/>
      <c r="AZ390" s="251">
        <f t="shared" ca="1" si="21"/>
        <v>254</v>
      </c>
    </row>
    <row r="391" spans="2:52" x14ac:dyDescent="0.25">
      <c r="B391" s="243">
        <v>587</v>
      </c>
      <c r="C391" s="251" t="s">
        <v>248</v>
      </c>
      <c r="D391" s="252">
        <v>7445</v>
      </c>
      <c r="E391" s="252">
        <f>(BDD[[#This Row],[SUE MENS]]/30)</f>
        <v>248.16666666666666</v>
      </c>
      <c r="F391" s="252">
        <f>BDD[[#This Row],[SUE MENS]]/2</f>
        <v>3722.5</v>
      </c>
      <c r="G391" s="319">
        <v>43670</v>
      </c>
      <c r="H391" s="243">
        <f ca="1">INT(_xlfn.DAYS(TODAY(),BDD[[#This Row],[FECHA ING.]])/365)</f>
        <v>2</v>
      </c>
      <c r="I391" s="251" t="str">
        <f>VLOOKUP(J391,TABLAS!$B$3:$G$49,2,FALSE)</f>
        <v>DIV INGENRIA</v>
      </c>
      <c r="J391" s="198" t="s">
        <v>744</v>
      </c>
      <c r="K391" s="251" t="s">
        <v>778</v>
      </c>
      <c r="L391" s="251" t="s">
        <v>763</v>
      </c>
      <c r="M391" s="251"/>
      <c r="N391" s="244" t="s">
        <v>2029</v>
      </c>
      <c r="O391" s="251" t="str">
        <f>IFERROR(VLOOKUP(BDD[[#This Row],[SUBDPTO]],TABLAS!$B$4:$D$36,3,0)," ")</f>
        <v>DIEGO HERRERA GIRÓN</v>
      </c>
      <c r="P391" s="258"/>
      <c r="Q391" s="264"/>
      <c r="R391" s="244"/>
      <c r="S391" s="251"/>
      <c r="T391" s="251" t="s">
        <v>811</v>
      </c>
      <c r="U391" s="243">
        <f ca="1">VLOOKUP(BDD[[#This Row],[ANTIG]],DIASXANT18[#All],2)</f>
        <v>10</v>
      </c>
      <c r="V391" s="256">
        <f t="shared" si="27"/>
        <v>0.5</v>
      </c>
      <c r="W391" s="243">
        <f ca="1">BDD[[#This Row],[D.VAC.]]*BDD[[#This Row],[% P.V.]]</f>
        <v>5</v>
      </c>
      <c r="X391" s="243">
        <v>30</v>
      </c>
      <c r="Y391" s="257">
        <f ca="1">(365+BDD[[#This Row],[D.PAG.V.]]+BDD[[#This Row],[D.AG.]])/365</f>
        <v>1.095890410958904</v>
      </c>
      <c r="Z391" s="243">
        <f ca="1">BDD[[#This Row],[SUE DIA]]*BDD[[#This Row],[FACTOR SDI]]</f>
        <v>271.96347031963467</v>
      </c>
      <c r="AA391" s="243">
        <f>BDD[[#This Row],[SUE DIA]]/9</f>
        <v>27.574074074074073</v>
      </c>
      <c r="AB391" s="251">
        <v>35792</v>
      </c>
      <c r="AC391" s="251" t="s">
        <v>906</v>
      </c>
      <c r="AD391" s="251" t="s">
        <v>789</v>
      </c>
      <c r="AE391" s="252">
        <v>7968565321</v>
      </c>
      <c r="AF391" s="251" t="s">
        <v>1277</v>
      </c>
      <c r="AG391" s="251" t="s">
        <v>776</v>
      </c>
      <c r="AH391" s="251" t="s">
        <v>730</v>
      </c>
      <c r="AI391" s="243" t="s">
        <v>151</v>
      </c>
      <c r="AJ391" s="258" cm="1">
        <f t="array" aca="1" ref="AJ391" ca="1">DATE(YEAR(FECH.CONS[FECHA DE CONSULTA:]),MONTH(BDD[[#This Row],[FECHA NAC]]),DAY(BDD[[#This Row],[FECHA NAC]]))</f>
        <v>44923</v>
      </c>
      <c r="AK391" s="243">
        <v>6</v>
      </c>
      <c r="AL391" s="261" t="s">
        <v>311</v>
      </c>
      <c r="AM391" s="251" t="s">
        <v>1538</v>
      </c>
      <c r="AN391" s="251" t="s">
        <v>1551</v>
      </c>
      <c r="AO391" s="245">
        <v>47</v>
      </c>
      <c r="AP391" s="251">
        <f ca="1">INT((TODAY()-BDD[[#This Row],[FECHA NAC]])/365)</f>
        <v>24</v>
      </c>
      <c r="AQ391" s="251">
        <v>1</v>
      </c>
      <c r="AR391" s="251">
        <f ca="1">IF(BDD[[#This Row],[ANTIG]]=0,0,1)</f>
        <v>1</v>
      </c>
      <c r="AS391" s="251"/>
      <c r="AT391" s="251"/>
      <c r="AU391" s="251"/>
      <c r="AV391" s="251"/>
      <c r="AW391" s="251"/>
      <c r="AX391" s="251"/>
      <c r="AY391" s="251"/>
      <c r="AZ391" s="251">
        <f t="shared" ca="1" si="21"/>
        <v>38</v>
      </c>
    </row>
    <row r="392" spans="2:52" x14ac:dyDescent="0.25">
      <c r="B392" s="243">
        <v>588</v>
      </c>
      <c r="C392" s="259" t="s">
        <v>633</v>
      </c>
      <c r="D392" s="252">
        <v>9450</v>
      </c>
      <c r="E392" s="252">
        <f>(BDD[[#This Row],[SUE MENS]]/30)</f>
        <v>315</v>
      </c>
      <c r="F392" s="252">
        <f>BDD[[#This Row],[SUE MENS]]/2</f>
        <v>4725</v>
      </c>
      <c r="G392" s="319">
        <v>43672</v>
      </c>
      <c r="H392" s="243">
        <f ca="1">INT(_xlfn.DAYS(TODAY(),BDD[[#This Row],[FECHA ING.]])/365)</f>
        <v>2</v>
      </c>
      <c r="I392" s="251" t="str">
        <f>VLOOKUP(J392,TABLAS!$B$3:$G$49,2,FALSE)</f>
        <v>DIV INGENRIA</v>
      </c>
      <c r="J392" s="198" t="s">
        <v>743</v>
      </c>
      <c r="K392" s="251" t="s">
        <v>778</v>
      </c>
      <c r="L392" s="251" t="s">
        <v>763</v>
      </c>
      <c r="M392" s="251"/>
      <c r="N392" s="253" t="s">
        <v>1982</v>
      </c>
      <c r="O392" s="251" t="str">
        <f>IFERROR(VLOOKUP(BDD[[#This Row],[SUBDPTO]],TABLAS!$B$4:$D$36,3,0)," ")</f>
        <v>DIEGO HERRERA GIRÓN</v>
      </c>
      <c r="P392" s="258"/>
      <c r="Q392" s="264"/>
      <c r="R392" s="244"/>
      <c r="S392" s="251"/>
      <c r="T392" s="251" t="s">
        <v>811</v>
      </c>
      <c r="U392" s="243">
        <f ca="1">VLOOKUP(BDD[[#This Row],[ANTIG]],DIASXANT18[#All],2)</f>
        <v>10</v>
      </c>
      <c r="V392" s="256">
        <f t="shared" si="27"/>
        <v>0.5</v>
      </c>
      <c r="W392" s="243">
        <f ca="1">BDD[[#This Row],[D.VAC.]]*BDD[[#This Row],[% P.V.]]</f>
        <v>5</v>
      </c>
      <c r="X392" s="243">
        <v>30</v>
      </c>
      <c r="Y392" s="257">
        <f ca="1">(365+BDD[[#This Row],[D.PAG.V.]]+BDD[[#This Row],[D.AG.]])/365</f>
        <v>1.095890410958904</v>
      </c>
      <c r="Z392" s="243">
        <f ca="1">BDD[[#This Row],[SUE DIA]]*BDD[[#This Row],[FACTOR SDI]]</f>
        <v>345.20547945205476</v>
      </c>
      <c r="AA392" s="243">
        <f>BDD[[#This Row],[SUE DIA]]/9</f>
        <v>35</v>
      </c>
      <c r="AB392" s="251">
        <v>25677</v>
      </c>
      <c r="AC392" s="251" t="s">
        <v>925</v>
      </c>
      <c r="AD392" s="251" t="s">
        <v>789</v>
      </c>
      <c r="AE392" s="260">
        <v>5077841938</v>
      </c>
      <c r="AF392" s="251" t="s">
        <v>1474</v>
      </c>
      <c r="AG392" s="251" t="s">
        <v>776</v>
      </c>
      <c r="AH392" s="251" t="s">
        <v>730</v>
      </c>
      <c r="AI392" s="243" t="s">
        <v>151</v>
      </c>
      <c r="AJ392" s="258" cm="1">
        <f t="array" aca="1" ref="AJ392" ca="1">DATE(YEAR(FECH.CONS[FECHA DE CONSULTA:]),MONTH(BDD[[#This Row],[FECHA NAC]]),DAY(BDD[[#This Row],[FECHA NAC]]))</f>
        <v>44670</v>
      </c>
      <c r="AK392" s="243">
        <v>10</v>
      </c>
      <c r="AL392" s="261" t="s">
        <v>311</v>
      </c>
      <c r="AM392" s="251" t="s">
        <v>1546</v>
      </c>
      <c r="AN392" s="251" t="s">
        <v>1551</v>
      </c>
      <c r="AO392" s="245">
        <v>31</v>
      </c>
      <c r="AP392" s="251">
        <f ca="1">INT((TODAY()-BDD[[#This Row],[FECHA NAC]])/365)</f>
        <v>52</v>
      </c>
      <c r="AQ392" s="251">
        <v>2</v>
      </c>
      <c r="AR392" s="251">
        <f ca="1">IF(BDD[[#This Row],[ANTIG]]=0,0,1)</f>
        <v>1</v>
      </c>
      <c r="AS392" s="251"/>
      <c r="AT392" s="251"/>
      <c r="AU392" s="251"/>
      <c r="AV392" s="251"/>
      <c r="AW392" s="251"/>
      <c r="AX392" s="251"/>
      <c r="AY392" s="251"/>
      <c r="AZ392" s="251">
        <f t="shared" ca="1" si="21"/>
        <v>945</v>
      </c>
    </row>
    <row r="393" spans="2:52" x14ac:dyDescent="0.25">
      <c r="B393" s="243">
        <v>589</v>
      </c>
      <c r="C393" s="259" t="s">
        <v>561</v>
      </c>
      <c r="D393" s="252">
        <v>7950</v>
      </c>
      <c r="E393" s="252">
        <f>(BDD[[#This Row],[SUE MENS]]/30)</f>
        <v>265</v>
      </c>
      <c r="F393" s="252">
        <f>BDD[[#This Row],[SUE MENS]]/2</f>
        <v>3975</v>
      </c>
      <c r="G393" s="319">
        <v>43673</v>
      </c>
      <c r="H393" s="243">
        <f ca="1">INT(_xlfn.DAYS(TODAY(),BDD[[#This Row],[FECHA ING.]])/365)</f>
        <v>2</v>
      </c>
      <c r="I393" s="251" t="str">
        <f>VLOOKUP(J393,TABLAS!$B$3:$G$49,2,FALSE)</f>
        <v>DIRECCIÓN</v>
      </c>
      <c r="J393" s="198" t="s">
        <v>759</v>
      </c>
      <c r="K393" s="251" t="s">
        <v>778</v>
      </c>
      <c r="L393" s="251" t="s">
        <v>763</v>
      </c>
      <c r="M393" s="251"/>
      <c r="N393" s="244" t="s">
        <v>1940</v>
      </c>
      <c r="O393" s="251" t="str">
        <f>IFERROR(VLOOKUP(BDD[[#This Row],[SUBDPTO]],TABLAS!$B$4:$D$36,3,0)," ")</f>
        <v>MARIANA RODRÍGUEZ GUTIERREZ</v>
      </c>
      <c r="P393" s="258">
        <v>44096</v>
      </c>
      <c r="Q393" s="254">
        <v>5956</v>
      </c>
      <c r="R393" s="255" t="s">
        <v>751</v>
      </c>
      <c r="S393" s="251"/>
      <c r="T393" s="251" t="s">
        <v>811</v>
      </c>
      <c r="U393" s="243">
        <f ca="1">VLOOKUP(BDD[[#This Row],[ANTIG]],DIASXANT18[#All],2)</f>
        <v>10</v>
      </c>
      <c r="V393" s="256">
        <f t="shared" si="27"/>
        <v>0.5</v>
      </c>
      <c r="W393" s="243">
        <f ca="1">BDD[[#This Row],[D.VAC.]]*BDD[[#This Row],[% P.V.]]</f>
        <v>5</v>
      </c>
      <c r="X393" s="243">
        <v>30</v>
      </c>
      <c r="Y393" s="257">
        <f ca="1">(365+BDD[[#This Row],[D.PAG.V.]]+BDD[[#This Row],[D.AG.]])/365</f>
        <v>1.095890410958904</v>
      </c>
      <c r="Z393" s="243">
        <f ca="1">BDD[[#This Row],[SUE DIA]]*BDD[[#This Row],[FACTOR SDI]]</f>
        <v>290.41095890410958</v>
      </c>
      <c r="AA393" s="243">
        <f>BDD[[#This Row],[SUE DIA]]/9</f>
        <v>29.444444444444443</v>
      </c>
      <c r="AB393" s="251">
        <v>27033</v>
      </c>
      <c r="AC393" s="251" t="s">
        <v>938</v>
      </c>
      <c r="AD393" s="251" t="s">
        <v>810</v>
      </c>
      <c r="AE393" s="260">
        <v>8209274560</v>
      </c>
      <c r="AF393" s="251" t="s">
        <v>1426</v>
      </c>
      <c r="AG393" s="251" t="s">
        <v>773</v>
      </c>
      <c r="AH393" s="251" t="s">
        <v>730</v>
      </c>
      <c r="AI393" s="243" t="s">
        <v>151</v>
      </c>
      <c r="AJ393" s="258" cm="1">
        <f t="array" aca="1" ref="AJ393" ca="1">DATE(YEAR(FECH.CONS[FECHA DE CONSULTA:]),MONTH(BDD[[#This Row],[FECHA NAC]]),DAY(BDD[[#This Row],[FECHA NAC]]))</f>
        <v>44565</v>
      </c>
      <c r="AK393" s="243">
        <v>6</v>
      </c>
      <c r="AL393" s="261" t="s">
        <v>311</v>
      </c>
      <c r="AM393" s="251" t="s">
        <v>1544</v>
      </c>
      <c r="AN393" s="251" t="s">
        <v>1551</v>
      </c>
      <c r="AO393" s="245">
        <v>74</v>
      </c>
      <c r="AP393" s="251">
        <f ca="1">INT((TODAY()-BDD[[#This Row],[FECHA NAC]])/365)</f>
        <v>48</v>
      </c>
      <c r="AQ393" s="251">
        <v>3</v>
      </c>
      <c r="AR393" s="251">
        <f ca="1">IF(BDD[[#This Row],[ANTIG]]=0,0,1)</f>
        <v>1</v>
      </c>
      <c r="AS393" s="251"/>
      <c r="AT393" s="251"/>
      <c r="AU393" s="251"/>
      <c r="AV393" s="251"/>
      <c r="AW393" s="251"/>
      <c r="AX393" s="251"/>
      <c r="AY393" s="251"/>
      <c r="AZ393" s="251">
        <f t="shared" ref="AZ393:AZ456" ca="1" si="28">RANDBETWEEN(1,1000)</f>
        <v>686</v>
      </c>
    </row>
    <row r="394" spans="2:52" x14ac:dyDescent="0.25">
      <c r="B394" s="243">
        <v>590</v>
      </c>
      <c r="C394" s="251" t="s">
        <v>259</v>
      </c>
      <c r="D394" s="252">
        <v>27150</v>
      </c>
      <c r="E394" s="252">
        <f>(BDD[[#This Row],[SUE MENS]]/30)</f>
        <v>905</v>
      </c>
      <c r="F394" s="252">
        <f>BDD[[#This Row],[SUE MENS]]/2</f>
        <v>13575</v>
      </c>
      <c r="G394" s="319">
        <v>43676</v>
      </c>
      <c r="H394" s="243">
        <f ca="1">INT(_xlfn.DAYS(TODAY(),BDD[[#This Row],[FECHA ING.]])/365)</f>
        <v>2</v>
      </c>
      <c r="I394" s="251" t="str">
        <f>VLOOKUP(J394,TABLAS!$B$3:$G$49,2,FALSE)</f>
        <v>DIRECCIÓN</v>
      </c>
      <c r="J394" s="198" t="s">
        <v>759</v>
      </c>
      <c r="K394" s="244" t="s">
        <v>778</v>
      </c>
      <c r="L394" s="251" t="s">
        <v>763</v>
      </c>
      <c r="M394" s="251">
        <v>1026</v>
      </c>
      <c r="N394" s="253" t="s">
        <v>2106</v>
      </c>
      <c r="O394" s="251" t="str">
        <f>IFERROR(VLOOKUP(BDD[[#This Row],[SUBDPTO]],TABLAS!$B$4:$D$36,3,0)," ")</f>
        <v>MARIANA RODRÍGUEZ GUTIERREZ</v>
      </c>
      <c r="P394" s="258"/>
      <c r="Q394" s="264"/>
      <c r="R394" s="244"/>
      <c r="S394" s="251"/>
      <c r="T394" s="251" t="s">
        <v>301</v>
      </c>
      <c r="U394" s="243">
        <f ca="1">VLOOKUP(BDD[[#This Row],[ANTIG]],DIASXANT18[#All],2)</f>
        <v>10</v>
      </c>
      <c r="V394" s="256">
        <f t="shared" si="27"/>
        <v>0.5</v>
      </c>
      <c r="W394" s="243">
        <f ca="1">BDD[[#This Row],[D.VAC.]]*BDD[[#This Row],[% P.V.]]</f>
        <v>5</v>
      </c>
      <c r="X394" s="243">
        <v>30</v>
      </c>
      <c r="Y394" s="257">
        <f ca="1">(365+BDD[[#This Row],[D.PAG.V.]]+BDD[[#This Row],[D.AG.]])/365</f>
        <v>1.095890410958904</v>
      </c>
      <c r="Z394" s="243">
        <f ca="1">BDD[[#This Row],[SUE DIA]]*BDD[[#This Row],[FACTOR SDI]]</f>
        <v>991.78082191780811</v>
      </c>
      <c r="AA394" s="243">
        <f>BDD[[#This Row],[SUE DIA]]/9</f>
        <v>100.55555555555556</v>
      </c>
      <c r="AB394" s="251">
        <v>33703</v>
      </c>
      <c r="AC394" s="251" t="s">
        <v>893</v>
      </c>
      <c r="AD394" s="251" t="s">
        <v>790</v>
      </c>
      <c r="AE394" s="252">
        <v>8435877530</v>
      </c>
      <c r="AF394" s="251" t="s">
        <v>1208</v>
      </c>
      <c r="AG394" s="251" t="s">
        <v>773</v>
      </c>
      <c r="AH394" s="251" t="s">
        <v>1555</v>
      </c>
      <c r="AI394" s="243" t="s">
        <v>151</v>
      </c>
      <c r="AJ394" s="258" cm="1">
        <f t="array" aca="1" ref="AJ394" ca="1">DATE(YEAR(FECH.CONS[FECHA DE CONSULTA:]),MONTH(BDD[[#This Row],[FECHA NAC]]),DAY(BDD[[#This Row],[FECHA NAC]]))</f>
        <v>44660</v>
      </c>
      <c r="AK394" s="243"/>
      <c r="AL394" s="251" t="s">
        <v>311</v>
      </c>
      <c r="AM394" s="251" t="s">
        <v>1535</v>
      </c>
      <c r="AN394" s="251" t="s">
        <v>1551</v>
      </c>
      <c r="AO394" s="245">
        <v>97</v>
      </c>
      <c r="AP394" s="251">
        <f ca="1">INT((TODAY()-BDD[[#This Row],[FECHA NAC]])/365)</f>
        <v>30</v>
      </c>
      <c r="AQ394" s="251">
        <v>1</v>
      </c>
      <c r="AR394" s="251">
        <f ca="1">IF(BDD[[#This Row],[ANTIG]]=0,0,1)</f>
        <v>1</v>
      </c>
      <c r="AS394" s="251"/>
      <c r="AT394" s="251"/>
      <c r="AU394" s="251"/>
      <c r="AV394" s="251"/>
      <c r="AW394" s="251"/>
      <c r="AX394" s="251"/>
      <c r="AY394" s="251"/>
      <c r="AZ394" s="251">
        <f t="shared" ca="1" si="28"/>
        <v>176</v>
      </c>
    </row>
    <row r="395" spans="2:52" x14ac:dyDescent="0.25">
      <c r="B395" s="243">
        <v>591</v>
      </c>
      <c r="C395" s="262" t="s">
        <v>344</v>
      </c>
      <c r="D395" s="252">
        <v>9541</v>
      </c>
      <c r="E395" s="252">
        <f>(BDD[[#This Row],[SUE MENS]]/30)</f>
        <v>318.03333333333336</v>
      </c>
      <c r="F395" s="252">
        <f>BDD[[#This Row],[SUE MENS]]/2</f>
        <v>4770.5</v>
      </c>
      <c r="G395" s="320">
        <v>43690</v>
      </c>
      <c r="H395" s="243">
        <f ca="1">INT(_xlfn.DAYS(TODAY(),BDD[[#This Row],[FECHA ING.]])/365)</f>
        <v>2</v>
      </c>
      <c r="I395" s="251" t="str">
        <f>VLOOKUP(J395,TABLAS!$B$3:$G$49,2,FALSE)</f>
        <v>CONTABILIDAD</v>
      </c>
      <c r="J395" s="198" t="s">
        <v>742</v>
      </c>
      <c r="K395" s="251" t="s">
        <v>778</v>
      </c>
      <c r="L395" s="251" t="s">
        <v>763</v>
      </c>
      <c r="M395" s="251"/>
      <c r="N395" s="253" t="s">
        <v>1810</v>
      </c>
      <c r="O395" s="251" t="str">
        <f>IFERROR(VLOOKUP(BDD[[#This Row],[SUBDPTO]],TABLAS!$B$4:$D$36,3,0)," ")</f>
        <v>IRIE DALÍ ANTARES CORTÉS</v>
      </c>
      <c r="P395" s="258">
        <v>43896</v>
      </c>
      <c r="Q395" s="254">
        <v>6580</v>
      </c>
      <c r="R395" s="255" t="s">
        <v>734</v>
      </c>
      <c r="S395" s="261" t="s">
        <v>767</v>
      </c>
      <c r="T395" s="251" t="s">
        <v>811</v>
      </c>
      <c r="U395" s="243">
        <f ca="1">VLOOKUP(BDD[[#This Row],[ANTIG]],DIASXANT18[#All],2)</f>
        <v>10</v>
      </c>
      <c r="V395" s="256">
        <f t="shared" si="27"/>
        <v>0.5</v>
      </c>
      <c r="W395" s="243">
        <f ca="1">BDD[[#This Row],[D.VAC.]]*BDD[[#This Row],[% P.V.]]</f>
        <v>5</v>
      </c>
      <c r="X395" s="243">
        <v>30</v>
      </c>
      <c r="Y395" s="257">
        <f ca="1">(365+BDD[[#This Row],[D.PAG.V.]]+BDD[[#This Row],[D.AG.]])/365</f>
        <v>1.095890410958904</v>
      </c>
      <c r="Z395" s="243">
        <f ca="1">BDD[[#This Row],[SUE DIA]]*BDD[[#This Row],[FACTOR SDI]]</f>
        <v>348.52968036529683</v>
      </c>
      <c r="AA395" s="243">
        <f>BDD[[#This Row],[SUE DIA]]/9</f>
        <v>35.337037037037042</v>
      </c>
      <c r="AB395" s="262">
        <v>31625</v>
      </c>
      <c r="AC395" s="251" t="s">
        <v>897</v>
      </c>
      <c r="AD395" s="251" t="s">
        <v>809</v>
      </c>
      <c r="AE395" s="252">
        <v>8130407449</v>
      </c>
      <c r="AF395" s="251" t="s">
        <v>1315</v>
      </c>
      <c r="AG395" s="251" t="s">
        <v>776</v>
      </c>
      <c r="AH395" s="251" t="s">
        <v>730</v>
      </c>
      <c r="AI395" s="243" t="s">
        <v>151</v>
      </c>
      <c r="AJ395" s="258" cm="1">
        <f t="array" aca="1" ref="AJ395" ca="1">DATE(YEAR(FECH.CONS[FECHA DE CONSULTA:]),MONTH(BDD[[#This Row],[FECHA NAC]]),DAY(BDD[[#This Row],[FECHA NAC]]))</f>
        <v>44774</v>
      </c>
      <c r="AK395" s="243">
        <v>4</v>
      </c>
      <c r="AL395" s="261" t="s">
        <v>311</v>
      </c>
      <c r="AM395" s="251" t="s">
        <v>1538</v>
      </c>
      <c r="AN395" s="251" t="s">
        <v>1551</v>
      </c>
      <c r="AO395" s="245">
        <v>57</v>
      </c>
      <c r="AP395" s="251">
        <f ca="1">INT((TODAY()-BDD[[#This Row],[FECHA NAC]])/365)</f>
        <v>35</v>
      </c>
      <c r="AQ395" s="251">
        <v>2</v>
      </c>
      <c r="AR395" s="251">
        <f ca="1">IF(BDD[[#This Row],[ANTIG]]=0,0,1)</f>
        <v>1</v>
      </c>
      <c r="AS395" s="251"/>
      <c r="AT395" s="251"/>
      <c r="AU395" s="251"/>
      <c r="AV395" s="251"/>
      <c r="AW395" s="251"/>
      <c r="AX395" s="251"/>
      <c r="AY395" s="251"/>
      <c r="AZ395" s="251">
        <f t="shared" ca="1" si="28"/>
        <v>398</v>
      </c>
    </row>
    <row r="396" spans="2:52" x14ac:dyDescent="0.25">
      <c r="B396" s="243">
        <v>594</v>
      </c>
      <c r="C396" s="259" t="s">
        <v>646</v>
      </c>
      <c r="D396" s="263">
        <v>10350</v>
      </c>
      <c r="E396" s="252">
        <f>(BDD[[#This Row],[SUE MENS]]/30)</f>
        <v>345</v>
      </c>
      <c r="F396" s="252">
        <f>BDD[[#This Row],[SUE MENS]]/2</f>
        <v>5175</v>
      </c>
      <c r="G396" s="320">
        <v>43700</v>
      </c>
      <c r="H396" s="243">
        <f ca="1">INT(_xlfn.DAYS(TODAY(),BDD[[#This Row],[FECHA ING.]])/365)</f>
        <v>2</v>
      </c>
      <c r="I396" s="251" t="str">
        <f>VLOOKUP(J396,TABLAS!$B$3:$G$49,2,FALSE)</f>
        <v>TECNOLOGÍA</v>
      </c>
      <c r="J396" s="198" t="s">
        <v>750</v>
      </c>
      <c r="K396" s="251" t="s">
        <v>778</v>
      </c>
      <c r="L396" s="251" t="s">
        <v>763</v>
      </c>
      <c r="M396" s="251"/>
      <c r="N396" s="253" t="s">
        <v>2182</v>
      </c>
      <c r="O396" s="251" t="str">
        <f>IFERROR(VLOOKUP(BDD[[#This Row],[SUBDPTO]],TABLAS!$B$4:$D$36,3,0)," ")</f>
        <v>DENEB SANTIAGO ALTAIR VEGA</v>
      </c>
      <c r="P396" s="258">
        <v>42467</v>
      </c>
      <c r="Q396" s="254">
        <v>51360</v>
      </c>
      <c r="R396" s="255" t="s">
        <v>743</v>
      </c>
      <c r="S396" s="255" t="s">
        <v>736</v>
      </c>
      <c r="T396" s="251" t="s">
        <v>301</v>
      </c>
      <c r="U396" s="243">
        <f ca="1">VLOOKUP(BDD[[#This Row],[ANTIG]],DIASXANT18[#All],2)</f>
        <v>10</v>
      </c>
      <c r="V396" s="256">
        <f t="shared" si="27"/>
        <v>0.5</v>
      </c>
      <c r="W396" s="243">
        <f ca="1">BDD[[#This Row],[D.VAC.]]*BDD[[#This Row],[% P.V.]]</f>
        <v>5</v>
      </c>
      <c r="X396" s="243">
        <v>30</v>
      </c>
      <c r="Y396" s="257">
        <f ca="1">(365+BDD[[#This Row],[D.PAG.V.]]+BDD[[#This Row],[D.AG.]])/365</f>
        <v>1.095890410958904</v>
      </c>
      <c r="Z396" s="243">
        <f ca="1">BDD[[#This Row],[SUE DIA]]*BDD[[#This Row],[FACTOR SDI]]</f>
        <v>378.08219178082192</v>
      </c>
      <c r="AA396" s="243">
        <f>BDD[[#This Row],[SUE DIA]]/9</f>
        <v>38.333333333333336</v>
      </c>
      <c r="AB396" s="251">
        <v>35900</v>
      </c>
      <c r="AC396" s="251" t="s">
        <v>946</v>
      </c>
      <c r="AD396" s="251" t="s">
        <v>809</v>
      </c>
      <c r="AE396" s="260">
        <v>8197268919</v>
      </c>
      <c r="AF396" s="251" t="s">
        <v>1486</v>
      </c>
      <c r="AG396" s="251" t="s">
        <v>773</v>
      </c>
      <c r="AH396" s="251" t="s">
        <v>1555</v>
      </c>
      <c r="AI396" s="243" t="s">
        <v>151</v>
      </c>
      <c r="AJ396" s="258" cm="1">
        <f t="array" aca="1" ref="AJ396" ca="1">DATE(YEAR(FECH.CONS[FECHA DE CONSULTA:]),MONTH(BDD[[#This Row],[FECHA NAC]]),DAY(BDD[[#This Row],[FECHA NAC]]))</f>
        <v>44666</v>
      </c>
      <c r="AK396" s="243"/>
      <c r="AL396" s="261" t="s">
        <v>312</v>
      </c>
      <c r="AM396" s="251" t="s">
        <v>1547</v>
      </c>
      <c r="AN396" s="251" t="s">
        <v>1551</v>
      </c>
      <c r="AO396" s="245">
        <v>91</v>
      </c>
      <c r="AP396" s="251">
        <f ca="1">INT((TODAY()-BDD[[#This Row],[FECHA NAC]])/365)</f>
        <v>24</v>
      </c>
      <c r="AQ396" s="251">
        <v>2</v>
      </c>
      <c r="AR396" s="251">
        <f ca="1">IF(BDD[[#This Row],[ANTIG]]=0,0,1)</f>
        <v>1</v>
      </c>
      <c r="AS396" s="251"/>
      <c r="AT396" s="251"/>
      <c r="AU396" s="251"/>
      <c r="AV396" s="251"/>
      <c r="AW396" s="251"/>
      <c r="AX396" s="251"/>
      <c r="AY396" s="251"/>
      <c r="AZ396" s="251">
        <f t="shared" ca="1" si="28"/>
        <v>560</v>
      </c>
    </row>
    <row r="397" spans="2:52" x14ac:dyDescent="0.25">
      <c r="B397" s="243">
        <v>595</v>
      </c>
      <c r="C397" s="259" t="s">
        <v>610</v>
      </c>
      <c r="D397" s="244">
        <v>6778</v>
      </c>
      <c r="E397" s="252">
        <f>(BDD[[#This Row],[SUE MENS]]/30)</f>
        <v>225.93333333333334</v>
      </c>
      <c r="F397" s="252">
        <f>BDD[[#This Row],[SUE MENS]]/2</f>
        <v>3389</v>
      </c>
      <c r="G397" s="319">
        <v>43708</v>
      </c>
      <c r="H397" s="243">
        <f ca="1">INT(_xlfn.DAYS(TODAY(),BDD[[#This Row],[FECHA ING.]])/365)</f>
        <v>2</v>
      </c>
      <c r="I397" s="251" t="str">
        <f>VLOOKUP(J397,TABLAS!$B$3:$G$49,2,FALSE)</f>
        <v>DIV INGENRIA</v>
      </c>
      <c r="J397" s="198" t="s">
        <v>743</v>
      </c>
      <c r="K397" s="251" t="s">
        <v>778</v>
      </c>
      <c r="L397" s="251" t="s">
        <v>763</v>
      </c>
      <c r="M397" s="251"/>
      <c r="N397" s="253" t="s">
        <v>1808</v>
      </c>
      <c r="O397" s="251" t="str">
        <f>IFERROR(VLOOKUP(BDD[[#This Row],[SUBDPTO]],TABLAS!$B$4:$D$36,3,0)," ")</f>
        <v>DIEGO HERRERA GIRÓN</v>
      </c>
      <c r="P397" s="258"/>
      <c r="Q397" s="264"/>
      <c r="R397" s="244"/>
      <c r="S397" s="251"/>
      <c r="T397" s="251" t="s">
        <v>811</v>
      </c>
      <c r="U397" s="243">
        <f ca="1">VLOOKUP(BDD[[#This Row],[ANTIG]],DIASXANT18[#All],2)</f>
        <v>10</v>
      </c>
      <c r="V397" s="266">
        <v>0.25</v>
      </c>
      <c r="W397" s="243">
        <f ca="1">BDD[[#This Row],[D.VAC.]]*BDD[[#This Row],[% P.V.]]</f>
        <v>2.5</v>
      </c>
      <c r="X397" s="265">
        <v>15</v>
      </c>
      <c r="Y397" s="257">
        <f ca="1">(365+BDD[[#This Row],[D.PAG.V.]]+BDD[[#This Row],[D.AG.]])/365</f>
        <v>1.047945205479452</v>
      </c>
      <c r="Z397" s="243">
        <f ca="1">BDD[[#This Row],[SUE DIA]]*BDD[[#This Row],[FACTOR SDI]]</f>
        <v>236.76575342465753</v>
      </c>
      <c r="AA397" s="243">
        <f>BDD[[#This Row],[SUE DIA]]/9</f>
        <v>25.103703703703705</v>
      </c>
      <c r="AB397" s="251">
        <v>35486</v>
      </c>
      <c r="AC397" s="251" t="s">
        <v>1043</v>
      </c>
      <c r="AD397" s="251" t="s">
        <v>789</v>
      </c>
      <c r="AE397" s="260">
        <v>8204805744</v>
      </c>
      <c r="AF397" s="251" t="s">
        <v>1460</v>
      </c>
      <c r="AG397" s="251" t="s">
        <v>776</v>
      </c>
      <c r="AH397" s="251" t="s">
        <v>1555</v>
      </c>
      <c r="AI397" s="243" t="s">
        <v>151</v>
      </c>
      <c r="AJ397" s="258" cm="1">
        <f t="array" aca="1" ref="AJ397" ca="1">DATE(YEAR(FECH.CONS[FECHA DE CONSULTA:]),MONTH(BDD[[#This Row],[FECHA NAC]]),DAY(BDD[[#This Row],[FECHA NAC]]))</f>
        <v>44617</v>
      </c>
      <c r="AK397" s="243"/>
      <c r="AL397" s="261" t="s">
        <v>311</v>
      </c>
      <c r="AM397" s="251" t="s">
        <v>1546</v>
      </c>
      <c r="AN397" s="251" t="s">
        <v>1551</v>
      </c>
      <c r="AO397" s="245">
        <v>51</v>
      </c>
      <c r="AP397" s="251">
        <f ca="1">INT((TODAY()-BDD[[#This Row],[FECHA NAC]])/365)</f>
        <v>25</v>
      </c>
      <c r="AQ397" s="251">
        <v>0</v>
      </c>
      <c r="AR397" s="251">
        <f ca="1">IF(BDD[[#This Row],[ANTIG]]=0,0,1)</f>
        <v>1</v>
      </c>
      <c r="AS397" s="251"/>
      <c r="AT397" s="251"/>
      <c r="AU397" s="251"/>
      <c r="AV397" s="251"/>
      <c r="AW397" s="251"/>
      <c r="AX397" s="251"/>
      <c r="AY397" s="251"/>
      <c r="AZ397" s="251">
        <f t="shared" ca="1" si="28"/>
        <v>686</v>
      </c>
    </row>
    <row r="398" spans="2:52" x14ac:dyDescent="0.25">
      <c r="B398" s="243">
        <v>597</v>
      </c>
      <c r="C398" s="251" t="s">
        <v>1651</v>
      </c>
      <c r="D398" s="263">
        <v>7445</v>
      </c>
      <c r="E398" s="252">
        <f>(BDD[[#This Row],[SUE MENS]]/30)</f>
        <v>248.16666666666666</v>
      </c>
      <c r="F398" s="252">
        <f>BDD[[#This Row],[SUE MENS]]/2</f>
        <v>3722.5</v>
      </c>
      <c r="G398" s="320">
        <v>43716</v>
      </c>
      <c r="H398" s="243">
        <f ca="1">INT(_xlfn.DAYS(TODAY(),BDD[[#This Row],[FECHA ING.]])/365)</f>
        <v>2</v>
      </c>
      <c r="I398" s="251" t="str">
        <f>VLOOKUP(J398,TABLAS!$B$3:$G$49,2,FALSE)</f>
        <v>DIRECCIÓN</v>
      </c>
      <c r="J398" s="198" t="s">
        <v>745</v>
      </c>
      <c r="K398" s="251" t="s">
        <v>778</v>
      </c>
      <c r="L398" s="251" t="s">
        <v>763</v>
      </c>
      <c r="M398" s="251"/>
      <c r="N398" s="253" t="s">
        <v>2096</v>
      </c>
      <c r="O398" s="251" t="str">
        <f>IFERROR(VLOOKUP(BDD[[#This Row],[SUBDPTO]],TABLAS!$B$4:$D$36,3,0)," ")</f>
        <v>MARIANA RODRÍGUEZ GUTIERREZ</v>
      </c>
      <c r="P398" s="258"/>
      <c r="Q398" s="264"/>
      <c r="R398" s="244"/>
      <c r="S398" s="251"/>
      <c r="T398" s="251" t="s">
        <v>301</v>
      </c>
      <c r="U398" s="243">
        <f ca="1">VLOOKUP(BDD[[#This Row],[ANTIG]],DIASXANT18[#All],2)</f>
        <v>10</v>
      </c>
      <c r="V398" s="256">
        <f t="shared" ref="V398:V413" si="29">100/200</f>
        <v>0.5</v>
      </c>
      <c r="W398" s="243">
        <f ca="1">BDD[[#This Row],[D.VAC.]]*BDD[[#This Row],[% P.V.]]</f>
        <v>5</v>
      </c>
      <c r="X398" s="243">
        <v>30</v>
      </c>
      <c r="Y398" s="257">
        <f ca="1">(365+BDD[[#This Row],[D.PAG.V.]]+BDD[[#This Row],[D.AG.]])/365</f>
        <v>1.095890410958904</v>
      </c>
      <c r="Z398" s="243">
        <f ca="1">BDD[[#This Row],[SUE DIA]]*BDD[[#This Row],[FACTOR SDI]]</f>
        <v>271.96347031963467</v>
      </c>
      <c r="AA398" s="243">
        <f>BDD[[#This Row],[SUE DIA]]/9</f>
        <v>27.574074074074073</v>
      </c>
      <c r="AB398" s="251">
        <v>34904</v>
      </c>
      <c r="AC398" s="251" t="s">
        <v>991</v>
      </c>
      <c r="AD398" s="251" t="s">
        <v>791</v>
      </c>
      <c r="AE398" s="252">
        <v>8636278802</v>
      </c>
      <c r="AF398" s="251" t="s">
        <v>1236</v>
      </c>
      <c r="AG398" s="251" t="s">
        <v>773</v>
      </c>
      <c r="AH398" s="251" t="s">
        <v>730</v>
      </c>
      <c r="AI398" s="243" t="s">
        <v>151</v>
      </c>
      <c r="AJ398" s="258" cm="1">
        <f t="array" aca="1" ref="AJ398" ca="1">DATE(YEAR(FECH.CONS[FECHA DE CONSULTA:]),MONTH(BDD[[#This Row],[FECHA NAC]]),DAY(BDD[[#This Row],[FECHA NAC]]))</f>
        <v>44766</v>
      </c>
      <c r="AK398" s="243">
        <v>10</v>
      </c>
      <c r="AL398" s="251" t="s">
        <v>311</v>
      </c>
      <c r="AM398" s="251" t="s">
        <v>1535</v>
      </c>
      <c r="AN398" s="251" t="s">
        <v>1551</v>
      </c>
      <c r="AO398" s="245">
        <v>87</v>
      </c>
      <c r="AP398" s="251">
        <f ca="1">INT((TODAY()-BDD[[#This Row],[FECHA NAC]])/365)</f>
        <v>27</v>
      </c>
      <c r="AQ398" s="251">
        <v>0</v>
      </c>
      <c r="AR398" s="251">
        <f ca="1">IF(BDD[[#This Row],[ANTIG]]=0,0,1)</f>
        <v>1</v>
      </c>
      <c r="AS398" s="251"/>
      <c r="AT398" s="251"/>
      <c r="AU398" s="251"/>
      <c r="AV398" s="251"/>
      <c r="AW398" s="251"/>
      <c r="AX398" s="251"/>
      <c r="AY398" s="251"/>
      <c r="AZ398" s="251">
        <f t="shared" ca="1" si="28"/>
        <v>713</v>
      </c>
    </row>
    <row r="399" spans="2:52" x14ac:dyDescent="0.25">
      <c r="B399" s="243">
        <v>598</v>
      </c>
      <c r="C399" s="259" t="s">
        <v>567</v>
      </c>
      <c r="D399" s="252">
        <v>10860</v>
      </c>
      <c r="E399" s="252">
        <f>(BDD[[#This Row],[SUE MENS]]/30)</f>
        <v>362</v>
      </c>
      <c r="F399" s="252">
        <f>BDD[[#This Row],[SUE MENS]]/2</f>
        <v>5430</v>
      </c>
      <c r="G399" s="319">
        <v>43723</v>
      </c>
      <c r="H399" s="243">
        <f ca="1">INT(_xlfn.DAYS(TODAY(),BDD[[#This Row],[FECHA ING.]])/365)</f>
        <v>2</v>
      </c>
      <c r="I399" s="251" t="str">
        <f>VLOOKUP(J399,TABLAS!$B$3:$G$49,2,FALSE)</f>
        <v>DIRECCIÓN</v>
      </c>
      <c r="J399" s="198" t="s">
        <v>746</v>
      </c>
      <c r="K399" s="251" t="s">
        <v>778</v>
      </c>
      <c r="L399" s="251" t="s">
        <v>763</v>
      </c>
      <c r="M399" s="251"/>
      <c r="N399" s="244" t="s">
        <v>1939</v>
      </c>
      <c r="O399" s="251" t="str">
        <f>IFERROR(VLOOKUP(BDD[[#This Row],[SUBDPTO]],TABLAS!$B$4:$D$36,3,0)," ")</f>
        <v>MARIANA RODRÍGUEZ GUTIERREZ</v>
      </c>
      <c r="P399" s="258">
        <v>41147</v>
      </c>
      <c r="Q399" s="254">
        <v>5088</v>
      </c>
      <c r="R399" s="255" t="s">
        <v>743</v>
      </c>
      <c r="S399" s="255" t="s">
        <v>739</v>
      </c>
      <c r="T399" s="251" t="s">
        <v>301</v>
      </c>
      <c r="U399" s="243">
        <f ca="1">VLOOKUP(BDD[[#This Row],[ANTIG]],DIASXANT18[#All],2)</f>
        <v>10</v>
      </c>
      <c r="V399" s="256">
        <f t="shared" si="29"/>
        <v>0.5</v>
      </c>
      <c r="W399" s="243">
        <f ca="1">BDD[[#This Row],[D.VAC.]]*BDD[[#This Row],[% P.V.]]</f>
        <v>5</v>
      </c>
      <c r="X399" s="243">
        <v>30</v>
      </c>
      <c r="Y399" s="257">
        <f ca="1">(365+BDD[[#This Row],[D.PAG.V.]]+BDD[[#This Row],[D.AG.]])/365</f>
        <v>1.095890410958904</v>
      </c>
      <c r="Z399" s="243">
        <f ca="1">BDD[[#This Row],[SUE DIA]]*BDD[[#This Row],[FACTOR SDI]]</f>
        <v>396.71232876712327</v>
      </c>
      <c r="AA399" s="243">
        <f>BDD[[#This Row],[SUE DIA]]/9</f>
        <v>40.222222222222221</v>
      </c>
      <c r="AB399" s="251">
        <v>33239</v>
      </c>
      <c r="AC399" s="251" t="s">
        <v>882</v>
      </c>
      <c r="AD399" s="251" t="s">
        <v>787</v>
      </c>
      <c r="AE399" s="260">
        <v>8205016364</v>
      </c>
      <c r="AF399" s="251" t="s">
        <v>1432</v>
      </c>
      <c r="AG399" s="251" t="s">
        <v>776</v>
      </c>
      <c r="AH399" s="251" t="s">
        <v>730</v>
      </c>
      <c r="AI399" s="243" t="s">
        <v>152</v>
      </c>
      <c r="AJ399" s="258" cm="1">
        <f t="array" aca="1" ref="AJ399" ca="1">DATE(YEAR(FECH.CONS[FECHA DE CONSULTA:]),MONTH(BDD[[#This Row],[FECHA NAC]]),DAY(BDD[[#This Row],[FECHA NAC]]))</f>
        <v>44562</v>
      </c>
      <c r="AK399" s="243">
        <v>7</v>
      </c>
      <c r="AL399" s="261" t="s">
        <v>311</v>
      </c>
      <c r="AM399" s="251" t="s">
        <v>1544</v>
      </c>
      <c r="AN399" s="251" t="s">
        <v>1551</v>
      </c>
      <c r="AO399" s="245">
        <v>44</v>
      </c>
      <c r="AP399" s="251">
        <f ca="1">INT((TODAY()-BDD[[#This Row],[FECHA NAC]])/365)</f>
        <v>31</v>
      </c>
      <c r="AQ399" s="251">
        <v>1</v>
      </c>
      <c r="AR399" s="251">
        <f ca="1">IF(BDD[[#This Row],[ANTIG]]=0,0,1)</f>
        <v>1</v>
      </c>
      <c r="AS399" s="251"/>
      <c r="AT399" s="251"/>
      <c r="AU399" s="251"/>
      <c r="AV399" s="251"/>
      <c r="AW399" s="251"/>
      <c r="AX399" s="251"/>
      <c r="AY399" s="251"/>
      <c r="AZ399" s="251">
        <f t="shared" ca="1" si="28"/>
        <v>245</v>
      </c>
    </row>
    <row r="400" spans="2:52" x14ac:dyDescent="0.25">
      <c r="B400" s="243">
        <v>599</v>
      </c>
      <c r="C400" s="259" t="s">
        <v>481</v>
      </c>
      <c r="D400" s="252">
        <v>10860</v>
      </c>
      <c r="E400" s="252">
        <f>(BDD[[#This Row],[SUE MENS]]/30)</f>
        <v>362</v>
      </c>
      <c r="F400" s="252">
        <f>BDD[[#This Row],[SUE MENS]]/2</f>
        <v>5430</v>
      </c>
      <c r="G400" s="320">
        <v>43728</v>
      </c>
      <c r="H400" s="243">
        <f ca="1">INT(_xlfn.DAYS(TODAY(),BDD[[#This Row],[FECHA ING.]])/365)</f>
        <v>2</v>
      </c>
      <c r="I400" s="251" t="str">
        <f>VLOOKUP(J400,TABLAS!$B$3:$G$49,2,FALSE)</f>
        <v>FINANZAS</v>
      </c>
      <c r="J400" s="198" t="s">
        <v>757</v>
      </c>
      <c r="K400" s="251" t="s">
        <v>778</v>
      </c>
      <c r="L400" s="251" t="s">
        <v>763</v>
      </c>
      <c r="M400" s="251"/>
      <c r="N400" s="244" t="s">
        <v>1985</v>
      </c>
      <c r="O400" s="251" t="str">
        <f>IFERROR(VLOOKUP(BDD[[#This Row],[SUBDPTO]],TABLAS!$B$4:$D$36,3,0)," ")</f>
        <v>MARIANO ALDEBARÁN</v>
      </c>
      <c r="P400" s="258">
        <v>42006</v>
      </c>
      <c r="Q400" s="254">
        <v>5422.4000000000005</v>
      </c>
      <c r="R400" s="255" t="s">
        <v>759</v>
      </c>
      <c r="S400" s="255" t="s">
        <v>740</v>
      </c>
      <c r="T400" s="251" t="s">
        <v>301</v>
      </c>
      <c r="U400" s="243">
        <f ca="1">VLOOKUP(BDD[[#This Row],[ANTIG]],DIASXANT18[#All],2)</f>
        <v>10</v>
      </c>
      <c r="V400" s="256">
        <f t="shared" si="29"/>
        <v>0.5</v>
      </c>
      <c r="W400" s="243">
        <f ca="1">BDD[[#This Row],[D.VAC.]]*BDD[[#This Row],[% P.V.]]</f>
        <v>5</v>
      </c>
      <c r="X400" s="243">
        <v>30</v>
      </c>
      <c r="Y400" s="257">
        <f ca="1">(365+BDD[[#This Row],[D.PAG.V.]]+BDD[[#This Row],[D.AG.]])/365</f>
        <v>1.095890410958904</v>
      </c>
      <c r="Z400" s="243">
        <f ca="1">BDD[[#This Row],[SUE DIA]]*BDD[[#This Row],[FACTOR SDI]]</f>
        <v>396.71232876712327</v>
      </c>
      <c r="AA400" s="243">
        <f>BDD[[#This Row],[SUE DIA]]/9</f>
        <v>40.222222222222221</v>
      </c>
      <c r="AB400" s="251">
        <v>30825</v>
      </c>
      <c r="AC400" s="251" t="s">
        <v>879</v>
      </c>
      <c r="AD400" s="251" t="s">
        <v>786</v>
      </c>
      <c r="AE400" s="260">
        <v>2225987413</v>
      </c>
      <c r="AF400" s="251" t="s">
        <v>1371</v>
      </c>
      <c r="AG400" s="251" t="s">
        <v>776</v>
      </c>
      <c r="AH400" s="251" t="s">
        <v>727</v>
      </c>
      <c r="AI400" s="243" t="s">
        <v>151</v>
      </c>
      <c r="AJ400" s="258" cm="1">
        <f t="array" aca="1" ref="AJ400" ca="1">DATE(YEAR(FECH.CONS[FECHA DE CONSULTA:]),MONTH(BDD[[#This Row],[FECHA NAC]]),DAY(BDD[[#This Row],[FECHA NAC]]))</f>
        <v>44704</v>
      </c>
      <c r="AK400" s="243"/>
      <c r="AL400" s="261" t="s">
        <v>311</v>
      </c>
      <c r="AM400" s="251" t="s">
        <v>1540</v>
      </c>
      <c r="AN400" s="251" t="s">
        <v>162</v>
      </c>
      <c r="AO400" s="245">
        <v>43</v>
      </c>
      <c r="AP400" s="251">
        <f ca="1">INT((TODAY()-BDD[[#This Row],[FECHA NAC]])/365)</f>
        <v>38</v>
      </c>
      <c r="AQ400" s="251">
        <v>3</v>
      </c>
      <c r="AR400" s="251">
        <f ca="1">IF(BDD[[#This Row],[ANTIG]]=0,0,1)</f>
        <v>1</v>
      </c>
      <c r="AS400" s="251"/>
      <c r="AT400" s="251"/>
      <c r="AU400" s="251"/>
      <c r="AV400" s="251"/>
      <c r="AW400" s="251"/>
      <c r="AX400" s="251"/>
      <c r="AY400" s="251"/>
      <c r="AZ400" s="251">
        <f t="shared" ca="1" si="28"/>
        <v>177</v>
      </c>
    </row>
    <row r="401" spans="2:52" x14ac:dyDescent="0.25">
      <c r="B401" s="243">
        <v>601</v>
      </c>
      <c r="C401" s="259" t="s">
        <v>489</v>
      </c>
      <c r="D401" s="263">
        <v>10350</v>
      </c>
      <c r="E401" s="252">
        <f>(BDD[[#This Row],[SUE MENS]]/30)</f>
        <v>345</v>
      </c>
      <c r="F401" s="252">
        <f>BDD[[#This Row],[SUE MENS]]/2</f>
        <v>5175</v>
      </c>
      <c r="G401" s="320">
        <v>43731</v>
      </c>
      <c r="H401" s="243">
        <f ca="1">INT(_xlfn.DAYS(TODAY(),BDD[[#This Row],[FECHA ING.]])/365)</f>
        <v>2</v>
      </c>
      <c r="I401" s="251" t="str">
        <f>VLOOKUP(J401,TABLAS!$B$3:$G$49,2,FALSE)</f>
        <v>DIV ARQUIT</v>
      </c>
      <c r="J401" s="198" t="s">
        <v>741</v>
      </c>
      <c r="K401" s="251" t="s">
        <v>778</v>
      </c>
      <c r="L401" s="251" t="s">
        <v>763</v>
      </c>
      <c r="M401" s="251"/>
      <c r="N401" s="253" t="s">
        <v>2103</v>
      </c>
      <c r="O401" s="251" t="str">
        <f>IFERROR(VLOOKUP(BDD[[#This Row],[SUBDPTO]],TABLAS!$B$4:$D$36,3,0)," ")</f>
        <v>MÉRIDA ISELA MEDINA SALINAS</v>
      </c>
      <c r="P401" s="258">
        <v>43090</v>
      </c>
      <c r="Q401" s="254">
        <v>7520</v>
      </c>
      <c r="R401" s="255" t="s">
        <v>743</v>
      </c>
      <c r="S401" s="251"/>
      <c r="T401" s="251" t="s">
        <v>811</v>
      </c>
      <c r="U401" s="243">
        <f ca="1">VLOOKUP(BDD[[#This Row],[ANTIG]],DIASXANT18[#All],2)</f>
        <v>10</v>
      </c>
      <c r="V401" s="256">
        <f t="shared" si="29"/>
        <v>0.5</v>
      </c>
      <c r="W401" s="243">
        <f ca="1">BDD[[#This Row],[D.VAC.]]*BDD[[#This Row],[% P.V.]]</f>
        <v>5</v>
      </c>
      <c r="X401" s="243">
        <v>30</v>
      </c>
      <c r="Y401" s="257">
        <f ca="1">(365+BDD[[#This Row],[D.PAG.V.]]+BDD[[#This Row],[D.AG.]])/365</f>
        <v>1.095890410958904</v>
      </c>
      <c r="Z401" s="243">
        <f ca="1">BDD[[#This Row],[SUE DIA]]*BDD[[#This Row],[FACTOR SDI]]</f>
        <v>378.08219178082192</v>
      </c>
      <c r="AA401" s="243">
        <f>BDD[[#This Row],[SUE DIA]]/9</f>
        <v>38.333333333333336</v>
      </c>
      <c r="AB401" s="251">
        <v>30860</v>
      </c>
      <c r="AC401" s="251" t="s">
        <v>924</v>
      </c>
      <c r="AD401" s="251" t="s">
        <v>786</v>
      </c>
      <c r="AE401" s="260">
        <v>9865465465</v>
      </c>
      <c r="AF401" s="251" t="s">
        <v>1378</v>
      </c>
      <c r="AG401" s="251" t="s">
        <v>777</v>
      </c>
      <c r="AH401" s="251" t="s">
        <v>1555</v>
      </c>
      <c r="AI401" s="243" t="s">
        <v>151</v>
      </c>
      <c r="AJ401" s="258" cm="1">
        <f t="array" aca="1" ref="AJ401" ca="1">DATE(YEAR(FECH.CONS[FECHA DE CONSULTA:]),MONTH(BDD[[#This Row],[FECHA NAC]]),DAY(BDD[[#This Row],[FECHA NAC]]))</f>
        <v>44739</v>
      </c>
      <c r="AK401" s="243"/>
      <c r="AL401" s="261" t="s">
        <v>311</v>
      </c>
      <c r="AM401" s="251" t="s">
        <v>1543</v>
      </c>
      <c r="AN401" s="251" t="s">
        <v>1551</v>
      </c>
      <c r="AO401" s="245">
        <v>51</v>
      </c>
      <c r="AP401" s="251">
        <f ca="1">INT((TODAY()-BDD[[#This Row],[FECHA NAC]])/365)</f>
        <v>38</v>
      </c>
      <c r="AQ401" s="251">
        <v>2</v>
      </c>
      <c r="AR401" s="251">
        <f ca="1">IF(BDD[[#This Row],[ANTIG]]=0,0,1)</f>
        <v>1</v>
      </c>
      <c r="AS401" s="251"/>
      <c r="AT401" s="251"/>
      <c r="AU401" s="251"/>
      <c r="AV401" s="251"/>
      <c r="AW401" s="251"/>
      <c r="AX401" s="251"/>
      <c r="AY401" s="251"/>
      <c r="AZ401" s="251">
        <f t="shared" ca="1" si="28"/>
        <v>85</v>
      </c>
    </row>
    <row r="402" spans="2:52" x14ac:dyDescent="0.25">
      <c r="B402" s="243">
        <v>602</v>
      </c>
      <c r="C402" s="251" t="s">
        <v>246</v>
      </c>
      <c r="D402" s="263">
        <v>7445</v>
      </c>
      <c r="E402" s="252">
        <f>(BDD[[#This Row],[SUE MENS]]/30)</f>
        <v>248.16666666666666</v>
      </c>
      <c r="F402" s="252">
        <f>BDD[[#This Row],[SUE MENS]]/2</f>
        <v>3722.5</v>
      </c>
      <c r="G402" s="319">
        <v>43733</v>
      </c>
      <c r="H402" s="243">
        <f ca="1">INT(_xlfn.DAYS(TODAY(),BDD[[#This Row],[FECHA ING.]])/365)</f>
        <v>2</v>
      </c>
      <c r="I402" s="251" t="str">
        <f>VLOOKUP(J402,TABLAS!$B$3:$G$49,2,FALSE)</f>
        <v>CONTABILIDAD</v>
      </c>
      <c r="J402" s="198" t="s">
        <v>737</v>
      </c>
      <c r="K402" s="251" t="s">
        <v>778</v>
      </c>
      <c r="L402" s="251" t="s">
        <v>763</v>
      </c>
      <c r="M402" s="251"/>
      <c r="N402" s="244" t="s">
        <v>1817</v>
      </c>
      <c r="O402" s="251" t="str">
        <f>IFERROR(VLOOKUP(BDD[[#This Row],[SUBDPTO]],TABLAS!$B$4:$D$36,3,0)," ")</f>
        <v>IRIE DALÍ ANTARES CORTÉS</v>
      </c>
      <c r="P402" s="258"/>
      <c r="Q402" s="264"/>
      <c r="R402" s="244"/>
      <c r="S402" s="251"/>
      <c r="T402" s="251" t="s">
        <v>811</v>
      </c>
      <c r="U402" s="243">
        <f ca="1">VLOOKUP(BDD[[#This Row],[ANTIG]],DIASXANT18[#All],2)</f>
        <v>10</v>
      </c>
      <c r="V402" s="256">
        <f t="shared" si="29"/>
        <v>0.5</v>
      </c>
      <c r="W402" s="243">
        <f ca="1">BDD[[#This Row],[D.VAC.]]*BDD[[#This Row],[% P.V.]]</f>
        <v>5</v>
      </c>
      <c r="X402" s="243">
        <v>30</v>
      </c>
      <c r="Y402" s="257">
        <f ca="1">(365+BDD[[#This Row],[D.PAG.V.]]+BDD[[#This Row],[D.AG.]])/365</f>
        <v>1.095890410958904</v>
      </c>
      <c r="Z402" s="243">
        <f ca="1">BDD[[#This Row],[SUE DIA]]*BDD[[#This Row],[FACTOR SDI]]</f>
        <v>271.96347031963467</v>
      </c>
      <c r="AA402" s="243">
        <f>BDD[[#This Row],[SUE DIA]]/9</f>
        <v>27.574074074074073</v>
      </c>
      <c r="AB402" s="251">
        <v>29506</v>
      </c>
      <c r="AC402" s="251" t="s">
        <v>1013</v>
      </c>
      <c r="AD402" s="251" t="s">
        <v>787</v>
      </c>
      <c r="AE402" s="252">
        <v>8780125230</v>
      </c>
      <c r="AF402" s="251" t="s">
        <v>1274</v>
      </c>
      <c r="AG402" s="251" t="s">
        <v>773</v>
      </c>
      <c r="AH402" s="251" t="s">
        <v>730</v>
      </c>
      <c r="AI402" s="243" t="s">
        <v>151</v>
      </c>
      <c r="AJ402" s="258" cm="1">
        <f t="array" aca="1" ref="AJ402" ca="1">DATE(YEAR(FECH.CONS[FECHA DE CONSULTA:]),MONTH(BDD[[#This Row],[FECHA NAC]]),DAY(BDD[[#This Row],[FECHA NAC]]))</f>
        <v>44846</v>
      </c>
      <c r="AK402" s="243">
        <v>6</v>
      </c>
      <c r="AL402" s="261" t="s">
        <v>322</v>
      </c>
      <c r="AM402" s="251" t="s">
        <v>1535</v>
      </c>
      <c r="AN402" s="251" t="s">
        <v>1551</v>
      </c>
      <c r="AO402" s="245">
        <v>79</v>
      </c>
      <c r="AP402" s="251">
        <f ca="1">INT((TODAY()-BDD[[#This Row],[FECHA NAC]])/365)</f>
        <v>41</v>
      </c>
      <c r="AQ402" s="251">
        <v>2</v>
      </c>
      <c r="AR402" s="251">
        <f ca="1">IF(BDD[[#This Row],[ANTIG]]=0,0,1)</f>
        <v>1</v>
      </c>
      <c r="AS402" s="251"/>
      <c r="AT402" s="251"/>
      <c r="AU402" s="251"/>
      <c r="AV402" s="251"/>
      <c r="AW402" s="251"/>
      <c r="AX402" s="251"/>
      <c r="AY402" s="251"/>
      <c r="AZ402" s="251">
        <f t="shared" ca="1" si="28"/>
        <v>190</v>
      </c>
    </row>
    <row r="403" spans="2:52" x14ac:dyDescent="0.25">
      <c r="B403" s="243">
        <v>603</v>
      </c>
      <c r="C403" s="259" t="s">
        <v>828</v>
      </c>
      <c r="D403" s="252">
        <v>9541</v>
      </c>
      <c r="E403" s="252">
        <f>(BDD[[#This Row],[SUE MENS]]/30)</f>
        <v>318.03333333333336</v>
      </c>
      <c r="F403" s="252">
        <f>BDD[[#This Row],[SUE MENS]]/2</f>
        <v>4770.5</v>
      </c>
      <c r="G403" s="320">
        <v>43738</v>
      </c>
      <c r="H403" s="243">
        <f ca="1">INT(_xlfn.DAYS(TODAY(),BDD[[#This Row],[FECHA ING.]])/365)</f>
        <v>2</v>
      </c>
      <c r="I403" s="251" t="str">
        <f>VLOOKUP(J403,TABLAS!$B$3:$G$49,2,FALSE)</f>
        <v>DIV INGENRIA</v>
      </c>
      <c r="J403" s="198" t="s">
        <v>743</v>
      </c>
      <c r="K403" s="251" t="s">
        <v>778</v>
      </c>
      <c r="L403" s="251" t="s">
        <v>763</v>
      </c>
      <c r="M403" s="251"/>
      <c r="N403" s="253" t="s">
        <v>1888</v>
      </c>
      <c r="O403" s="251" t="str">
        <f>IFERROR(VLOOKUP(BDD[[#This Row],[SUBDPTO]],TABLAS!$B$4:$D$36,3,0)," ")</f>
        <v>DIEGO HERRERA GIRÓN</v>
      </c>
      <c r="P403" s="258">
        <v>42549</v>
      </c>
      <c r="Q403" s="254">
        <v>5422.4000000000005</v>
      </c>
      <c r="R403" s="255" t="s">
        <v>748</v>
      </c>
      <c r="S403" s="255" t="s">
        <v>736</v>
      </c>
      <c r="T403" s="251" t="s">
        <v>811</v>
      </c>
      <c r="U403" s="243">
        <f ca="1">VLOOKUP(BDD[[#This Row],[ANTIG]],DIASXANT18[#All],2)</f>
        <v>10</v>
      </c>
      <c r="V403" s="256">
        <f t="shared" si="29"/>
        <v>0.5</v>
      </c>
      <c r="W403" s="243">
        <f ca="1">BDD[[#This Row],[D.VAC.]]*BDD[[#This Row],[% P.V.]]</f>
        <v>5</v>
      </c>
      <c r="X403" s="243">
        <v>30</v>
      </c>
      <c r="Y403" s="257">
        <f ca="1">(365+BDD[[#This Row],[D.PAG.V.]]+BDD[[#This Row],[D.AG.]])/365</f>
        <v>1.095890410958904</v>
      </c>
      <c r="Z403" s="243">
        <f ca="1">BDD[[#This Row],[SUE DIA]]*BDD[[#This Row],[FACTOR SDI]]</f>
        <v>348.52968036529683</v>
      </c>
      <c r="AA403" s="243">
        <f>BDD[[#This Row],[SUE DIA]]/9</f>
        <v>35.337037037037042</v>
      </c>
      <c r="AB403" s="251">
        <v>27947</v>
      </c>
      <c r="AC403" s="251" t="s">
        <v>1050</v>
      </c>
      <c r="AD403" s="251" t="s">
        <v>791</v>
      </c>
      <c r="AE403" s="260">
        <v>5552316487</v>
      </c>
      <c r="AF403" s="251" t="s">
        <v>1394</v>
      </c>
      <c r="AG403" s="251" t="s">
        <v>777</v>
      </c>
      <c r="AH403" s="251" t="s">
        <v>730</v>
      </c>
      <c r="AI403" s="243" t="s">
        <v>151</v>
      </c>
      <c r="AJ403" s="258" cm="1">
        <f t="array" aca="1" ref="AJ403" ca="1">DATE(YEAR(FECH.CONS[FECHA DE CONSULTA:]),MONTH(BDD[[#This Row],[FECHA NAC]]),DAY(BDD[[#This Row],[FECHA NAC]]))</f>
        <v>44748</v>
      </c>
      <c r="AK403" s="243">
        <v>5</v>
      </c>
      <c r="AL403" s="261" t="s">
        <v>311</v>
      </c>
      <c r="AM403" s="251" t="s">
        <v>1546</v>
      </c>
      <c r="AN403" s="251" t="s">
        <v>1551</v>
      </c>
      <c r="AO403" s="245">
        <v>87</v>
      </c>
      <c r="AP403" s="251">
        <f ca="1">INT((TODAY()-BDD[[#This Row],[FECHA NAC]])/365)</f>
        <v>46</v>
      </c>
      <c r="AQ403" s="251">
        <v>3</v>
      </c>
      <c r="AR403" s="251">
        <f ca="1">IF(BDD[[#This Row],[ANTIG]]=0,0,1)</f>
        <v>1</v>
      </c>
      <c r="AS403" s="251"/>
      <c r="AT403" s="251"/>
      <c r="AU403" s="251"/>
      <c r="AV403" s="251"/>
      <c r="AW403" s="251"/>
      <c r="AX403" s="251"/>
      <c r="AY403" s="251"/>
      <c r="AZ403" s="251">
        <f t="shared" ca="1" si="28"/>
        <v>612</v>
      </c>
    </row>
    <row r="404" spans="2:52" x14ac:dyDescent="0.25">
      <c r="B404" s="243">
        <v>605</v>
      </c>
      <c r="C404" s="259" t="s">
        <v>534</v>
      </c>
      <c r="D404" s="252">
        <v>9541</v>
      </c>
      <c r="E404" s="252">
        <f>(BDD[[#This Row],[SUE MENS]]/30)</f>
        <v>318.03333333333336</v>
      </c>
      <c r="F404" s="252">
        <f>BDD[[#This Row],[SUE MENS]]/2</f>
        <v>4770.5</v>
      </c>
      <c r="G404" s="320">
        <v>43754</v>
      </c>
      <c r="H404" s="243">
        <f ca="1">INT(_xlfn.DAYS(TODAY(),BDD[[#This Row],[FECHA ING.]])/365)</f>
        <v>2</v>
      </c>
      <c r="I404" s="251" t="str">
        <f>VLOOKUP(J404,TABLAS!$B$3:$G$49,2,FALSE)</f>
        <v>DIV INGENRIA</v>
      </c>
      <c r="J404" s="198" t="s">
        <v>743</v>
      </c>
      <c r="K404" s="251" t="s">
        <v>778</v>
      </c>
      <c r="L404" s="251" t="s">
        <v>763</v>
      </c>
      <c r="M404" s="251"/>
      <c r="N404" s="253" t="s">
        <v>1935</v>
      </c>
      <c r="O404" s="251" t="str">
        <f>IFERROR(VLOOKUP(BDD[[#This Row],[SUBDPTO]],TABLAS!$B$4:$D$36,3,0)," ")</f>
        <v>DIEGO HERRERA GIRÓN</v>
      </c>
      <c r="P404" s="258">
        <v>41922</v>
      </c>
      <c r="Q404" s="254">
        <v>5422.4000000000005</v>
      </c>
      <c r="R404" s="255" t="s">
        <v>734</v>
      </c>
      <c r="S404" s="255" t="s">
        <v>734</v>
      </c>
      <c r="T404" s="251" t="s">
        <v>811</v>
      </c>
      <c r="U404" s="243">
        <f ca="1">VLOOKUP(BDD[[#This Row],[ANTIG]],DIASXANT18[#All],2)</f>
        <v>10</v>
      </c>
      <c r="V404" s="256">
        <f t="shared" si="29"/>
        <v>0.5</v>
      </c>
      <c r="W404" s="243">
        <f ca="1">BDD[[#This Row],[D.VAC.]]*BDD[[#This Row],[% P.V.]]</f>
        <v>5</v>
      </c>
      <c r="X404" s="243">
        <v>30</v>
      </c>
      <c r="Y404" s="257">
        <f ca="1">(365+BDD[[#This Row],[D.PAG.V.]]+BDD[[#This Row],[D.AG.]])/365</f>
        <v>1.095890410958904</v>
      </c>
      <c r="Z404" s="243">
        <f ca="1">BDD[[#This Row],[SUE DIA]]*BDD[[#This Row],[FACTOR SDI]]</f>
        <v>348.52968036529683</v>
      </c>
      <c r="AA404" s="243">
        <f>BDD[[#This Row],[SUE DIA]]/9</f>
        <v>35.337037037037042</v>
      </c>
      <c r="AB404" s="251">
        <v>27432</v>
      </c>
      <c r="AC404" s="251" t="s">
        <v>1019</v>
      </c>
      <c r="AD404" s="251" t="s">
        <v>793</v>
      </c>
      <c r="AE404" s="260">
        <v>5682739482</v>
      </c>
      <c r="AF404" s="251" t="s">
        <v>1404</v>
      </c>
      <c r="AG404" s="251" t="s">
        <v>776</v>
      </c>
      <c r="AH404" s="251" t="s">
        <v>730</v>
      </c>
      <c r="AI404" s="243" t="s">
        <v>151</v>
      </c>
      <c r="AJ404" s="258" cm="1">
        <f t="array" aca="1" ref="AJ404" ca="1">DATE(YEAR(FECH.CONS[FECHA DE CONSULTA:]),MONTH(BDD[[#This Row],[FECHA NAC]]),DAY(BDD[[#This Row],[FECHA NAC]]))</f>
        <v>44599</v>
      </c>
      <c r="AK404" s="243">
        <v>5</v>
      </c>
      <c r="AL404" s="261" t="s">
        <v>311</v>
      </c>
      <c r="AM404" s="251" t="s">
        <v>1538</v>
      </c>
      <c r="AN404" s="251" t="s">
        <v>1551</v>
      </c>
      <c r="AO404" s="245">
        <v>92</v>
      </c>
      <c r="AP404" s="251">
        <f ca="1">INT((TODAY()-BDD[[#This Row],[FECHA NAC]])/365)</f>
        <v>47</v>
      </c>
      <c r="AQ404" s="251">
        <v>0</v>
      </c>
      <c r="AR404" s="251">
        <f ca="1">IF(BDD[[#This Row],[ANTIG]]=0,0,1)</f>
        <v>1</v>
      </c>
      <c r="AS404" s="251"/>
      <c r="AT404" s="251"/>
      <c r="AU404" s="251"/>
      <c r="AV404" s="251"/>
      <c r="AW404" s="251"/>
      <c r="AX404" s="251"/>
      <c r="AY404" s="251"/>
      <c r="AZ404" s="251">
        <f t="shared" ca="1" si="28"/>
        <v>582</v>
      </c>
    </row>
    <row r="405" spans="2:52" x14ac:dyDescent="0.25">
      <c r="B405" s="243">
        <v>606</v>
      </c>
      <c r="C405" s="259" t="s">
        <v>575</v>
      </c>
      <c r="D405" s="252">
        <v>9541</v>
      </c>
      <c r="E405" s="252">
        <f>(BDD[[#This Row],[SUE MENS]]/30)</f>
        <v>318.03333333333336</v>
      </c>
      <c r="F405" s="252">
        <f>BDD[[#This Row],[SUE MENS]]/2</f>
        <v>4770.5</v>
      </c>
      <c r="G405" s="320">
        <v>43758</v>
      </c>
      <c r="H405" s="243">
        <f ca="1">INT(_xlfn.DAYS(TODAY(),BDD[[#This Row],[FECHA ING.]])/365)</f>
        <v>2</v>
      </c>
      <c r="I405" s="251" t="str">
        <f>VLOOKUP(J405,TABLAS!$B$3:$G$49,2,FALSE)</f>
        <v>DIV ARQUIT</v>
      </c>
      <c r="J405" s="198" t="s">
        <v>740</v>
      </c>
      <c r="K405" s="251" t="s">
        <v>778</v>
      </c>
      <c r="L405" s="251" t="s">
        <v>763</v>
      </c>
      <c r="M405" s="251"/>
      <c r="N405" s="253" t="s">
        <v>1968</v>
      </c>
      <c r="O405" s="251" t="str">
        <f>IFERROR(VLOOKUP(BDD[[#This Row],[SUBDPTO]],TABLAS!$B$4:$D$36,3,0)," ")</f>
        <v>MÉRIDA ISELA MEDINA SALINAS</v>
      </c>
      <c r="P405" s="258">
        <v>42008</v>
      </c>
      <c r="Q405" s="254">
        <v>5088</v>
      </c>
      <c r="R405" s="255" t="s">
        <v>734</v>
      </c>
      <c r="S405" s="255" t="s">
        <v>741</v>
      </c>
      <c r="T405" s="251" t="s">
        <v>811</v>
      </c>
      <c r="U405" s="243">
        <f ca="1">VLOOKUP(BDD[[#This Row],[ANTIG]],DIASXANT18[#All],2)</f>
        <v>10</v>
      </c>
      <c r="V405" s="256">
        <f t="shared" si="29"/>
        <v>0.5</v>
      </c>
      <c r="W405" s="243">
        <f ca="1">BDD[[#This Row],[D.VAC.]]*BDD[[#This Row],[% P.V.]]</f>
        <v>5</v>
      </c>
      <c r="X405" s="243">
        <v>30</v>
      </c>
      <c r="Y405" s="257">
        <f ca="1">(365+BDD[[#This Row],[D.PAG.V.]]+BDD[[#This Row],[D.AG.]])/365</f>
        <v>1.095890410958904</v>
      </c>
      <c r="Z405" s="243">
        <f ca="1">BDD[[#This Row],[SUE DIA]]*BDD[[#This Row],[FACTOR SDI]]</f>
        <v>348.52968036529683</v>
      </c>
      <c r="AA405" s="243">
        <f>BDD[[#This Row],[SUE DIA]]/9</f>
        <v>35.337037037037042</v>
      </c>
      <c r="AB405" s="251">
        <v>25732</v>
      </c>
      <c r="AC405" s="251" t="s">
        <v>911</v>
      </c>
      <c r="AD405" s="251" t="s">
        <v>790</v>
      </c>
      <c r="AE405" s="260">
        <v>6726321060</v>
      </c>
      <c r="AF405" s="251" t="s">
        <v>1436</v>
      </c>
      <c r="AG405" s="251" t="s">
        <v>776</v>
      </c>
      <c r="AH405" s="251" t="s">
        <v>730</v>
      </c>
      <c r="AI405" s="243" t="s">
        <v>151</v>
      </c>
      <c r="AJ405" s="258" cm="1">
        <f t="array" aca="1" ref="AJ405" ca="1">DATE(YEAR(FECH.CONS[FECHA DE CONSULTA:]),MONTH(BDD[[#This Row],[FECHA NAC]]),DAY(BDD[[#This Row],[FECHA NAC]]))</f>
        <v>44725</v>
      </c>
      <c r="AK405" s="243">
        <v>6</v>
      </c>
      <c r="AL405" s="261" t="s">
        <v>316</v>
      </c>
      <c r="AM405" s="251" t="s">
        <v>1543</v>
      </c>
      <c r="AN405" s="251" t="s">
        <v>1551</v>
      </c>
      <c r="AO405" s="245">
        <v>65</v>
      </c>
      <c r="AP405" s="251">
        <f ca="1">INT((TODAY()-BDD[[#This Row],[FECHA NAC]])/365)</f>
        <v>52</v>
      </c>
      <c r="AQ405" s="251">
        <v>2</v>
      </c>
      <c r="AR405" s="251">
        <f ca="1">IF(BDD[[#This Row],[ANTIG]]=0,0,1)</f>
        <v>1</v>
      </c>
      <c r="AS405" s="251"/>
      <c r="AT405" s="251"/>
      <c r="AU405" s="251"/>
      <c r="AV405" s="251"/>
      <c r="AW405" s="251"/>
      <c r="AX405" s="251"/>
      <c r="AY405" s="251"/>
      <c r="AZ405" s="251">
        <f t="shared" ca="1" si="28"/>
        <v>658</v>
      </c>
    </row>
    <row r="406" spans="2:52" x14ac:dyDescent="0.25">
      <c r="B406" s="243">
        <v>608</v>
      </c>
      <c r="C406" s="262" t="s">
        <v>334</v>
      </c>
      <c r="D406" s="252">
        <v>9450</v>
      </c>
      <c r="E406" s="252">
        <f>(BDD[[#This Row],[SUE MENS]]/30)</f>
        <v>315</v>
      </c>
      <c r="F406" s="252">
        <f>BDD[[#This Row],[SUE MENS]]/2</f>
        <v>4725</v>
      </c>
      <c r="G406" s="319">
        <v>43764</v>
      </c>
      <c r="H406" s="243">
        <f ca="1">INT(_xlfn.DAYS(TODAY(),BDD[[#This Row],[FECHA ING.]])/365)</f>
        <v>2</v>
      </c>
      <c r="I406" s="251" t="str">
        <f>VLOOKUP(J406,TABLAS!$B$3:$G$49,2,FALSE)</f>
        <v>AUDITORÍA</v>
      </c>
      <c r="J406" s="198" t="s">
        <v>735</v>
      </c>
      <c r="K406" s="251" t="s">
        <v>778</v>
      </c>
      <c r="L406" s="251" t="s">
        <v>763</v>
      </c>
      <c r="M406" s="251"/>
      <c r="N406" s="244" t="s">
        <v>2054</v>
      </c>
      <c r="O406" s="251" t="str">
        <f>IFERROR(VLOOKUP(BDD[[#This Row],[SUBDPTO]],TABLAS!$B$4:$D$36,3,0)," ")</f>
        <v>MARCO AURELIO URBINO</v>
      </c>
      <c r="P406" s="258">
        <v>43442</v>
      </c>
      <c r="Q406" s="254">
        <v>5088</v>
      </c>
      <c r="R406" s="255" t="s">
        <v>739</v>
      </c>
      <c r="S406" s="251"/>
      <c r="T406" s="251" t="s">
        <v>811</v>
      </c>
      <c r="U406" s="243">
        <f ca="1">VLOOKUP(BDD[[#This Row],[ANTIG]],DIASXANT18[#All],2)</f>
        <v>10</v>
      </c>
      <c r="V406" s="256">
        <f t="shared" si="29"/>
        <v>0.5</v>
      </c>
      <c r="W406" s="243">
        <f ca="1">BDD[[#This Row],[D.VAC.]]*BDD[[#This Row],[% P.V.]]</f>
        <v>5</v>
      </c>
      <c r="X406" s="243">
        <v>30</v>
      </c>
      <c r="Y406" s="257">
        <f ca="1">(365+BDD[[#This Row],[D.PAG.V.]]+BDD[[#This Row],[D.AG.]])/365</f>
        <v>1.095890410958904</v>
      </c>
      <c r="Z406" s="243">
        <f ca="1">BDD[[#This Row],[SUE DIA]]*BDD[[#This Row],[FACTOR SDI]]</f>
        <v>345.20547945205476</v>
      </c>
      <c r="AA406" s="243">
        <f>BDD[[#This Row],[SUE DIA]]/9</f>
        <v>35</v>
      </c>
      <c r="AB406" s="262">
        <v>29922</v>
      </c>
      <c r="AC406" s="251" t="s">
        <v>975</v>
      </c>
      <c r="AD406" s="251" t="s">
        <v>791</v>
      </c>
      <c r="AE406" s="252">
        <v>8499439589</v>
      </c>
      <c r="AF406" s="251" t="s">
        <v>1301</v>
      </c>
      <c r="AG406" s="251" t="s">
        <v>776</v>
      </c>
      <c r="AH406" s="251" t="s">
        <v>730</v>
      </c>
      <c r="AI406" s="243" t="s">
        <v>151</v>
      </c>
      <c r="AJ406" s="258" cm="1">
        <f t="array" aca="1" ref="AJ406" ca="1">DATE(YEAR(FECH.CONS[FECHA DE CONSULTA:]),MONTH(BDD[[#This Row],[FECHA NAC]]),DAY(BDD[[#This Row],[FECHA NAC]]))</f>
        <v>44897</v>
      </c>
      <c r="AK406" s="243">
        <v>9</v>
      </c>
      <c r="AL406" s="251" t="s">
        <v>312</v>
      </c>
      <c r="AM406" s="251" t="s">
        <v>1544</v>
      </c>
      <c r="AN406" s="251" t="s">
        <v>1551</v>
      </c>
      <c r="AO406" s="245">
        <v>81</v>
      </c>
      <c r="AP406" s="251">
        <f ca="1">INT((TODAY()-BDD[[#This Row],[FECHA NAC]])/365)</f>
        <v>40</v>
      </c>
      <c r="AQ406" s="251">
        <v>2</v>
      </c>
      <c r="AR406" s="251">
        <f ca="1">IF(BDD[[#This Row],[ANTIG]]=0,0,1)</f>
        <v>1</v>
      </c>
      <c r="AS406" s="251"/>
      <c r="AT406" s="251"/>
      <c r="AU406" s="251"/>
      <c r="AV406" s="251"/>
      <c r="AW406" s="251"/>
      <c r="AX406" s="251"/>
      <c r="AY406" s="251"/>
      <c r="AZ406" s="251">
        <f t="shared" ca="1" si="28"/>
        <v>119</v>
      </c>
    </row>
    <row r="407" spans="2:52" x14ac:dyDescent="0.25">
      <c r="B407" s="243">
        <v>609</v>
      </c>
      <c r="C407" s="262" t="s">
        <v>122</v>
      </c>
      <c r="D407" s="252">
        <v>8825</v>
      </c>
      <c r="E407" s="252">
        <f>(BDD[[#This Row],[SUE MENS]]/30)</f>
        <v>294.16666666666669</v>
      </c>
      <c r="F407" s="252">
        <f>BDD[[#This Row],[SUE MENS]]/2</f>
        <v>4412.5</v>
      </c>
      <c r="G407" s="320">
        <v>43771</v>
      </c>
      <c r="H407" s="243">
        <f ca="1">INT(_xlfn.DAYS(TODAY(),BDD[[#This Row],[FECHA ING.]])/365)</f>
        <v>2</v>
      </c>
      <c r="I407" s="251" t="str">
        <f>VLOOKUP(J407,TABLAS!$B$3:$G$49,2,FALSE)</f>
        <v>TECNOLOGÍA</v>
      </c>
      <c r="J407" s="198" t="s">
        <v>751</v>
      </c>
      <c r="K407" s="251" t="s">
        <v>778</v>
      </c>
      <c r="L407" s="251" t="s">
        <v>763</v>
      </c>
      <c r="M407" s="251"/>
      <c r="N407" s="253" t="s">
        <v>2075</v>
      </c>
      <c r="O407" s="251" t="str">
        <f>IFERROR(VLOOKUP(BDD[[#This Row],[SUBDPTO]],TABLAS!$B$4:$D$36,3,0)," ")</f>
        <v>DENEB SANTIAGO ALTAIR VEGA</v>
      </c>
      <c r="P407" s="258">
        <v>43408</v>
      </c>
      <c r="Q407" s="254">
        <v>6158.4000000000005</v>
      </c>
      <c r="R407" s="255" t="s">
        <v>736</v>
      </c>
      <c r="S407" s="251"/>
      <c r="T407" s="251" t="s">
        <v>301</v>
      </c>
      <c r="U407" s="243">
        <f ca="1">VLOOKUP(BDD[[#This Row],[ANTIG]],DIASXANT18[#All],2)</f>
        <v>10</v>
      </c>
      <c r="V407" s="256">
        <f t="shared" si="29"/>
        <v>0.5</v>
      </c>
      <c r="W407" s="243">
        <f ca="1">BDD[[#This Row],[D.VAC.]]*BDD[[#This Row],[% P.V.]]</f>
        <v>5</v>
      </c>
      <c r="X407" s="243">
        <v>30</v>
      </c>
      <c r="Y407" s="257">
        <f ca="1">(365+BDD[[#This Row],[D.PAG.V.]]+BDD[[#This Row],[D.AG.]])/365</f>
        <v>1.095890410958904</v>
      </c>
      <c r="Z407" s="243">
        <f ca="1">BDD[[#This Row],[SUE DIA]]*BDD[[#This Row],[FACTOR SDI]]</f>
        <v>322.3744292237443</v>
      </c>
      <c r="AA407" s="243">
        <f>BDD[[#This Row],[SUE DIA]]/9</f>
        <v>32.68518518518519</v>
      </c>
      <c r="AB407" s="262">
        <v>35941</v>
      </c>
      <c r="AC407" s="251" t="s">
        <v>1037</v>
      </c>
      <c r="AD407" s="251" t="s">
        <v>787</v>
      </c>
      <c r="AE407" s="252">
        <v>8057563964.5</v>
      </c>
      <c r="AF407" s="251" t="s">
        <v>1345</v>
      </c>
      <c r="AG407" s="251" t="s">
        <v>776</v>
      </c>
      <c r="AH407" s="251" t="s">
        <v>726</v>
      </c>
      <c r="AI407" s="243" t="s">
        <v>151</v>
      </c>
      <c r="AJ407" s="258" cm="1">
        <f t="array" aca="1" ref="AJ407" ca="1">DATE(YEAR(FECH.CONS[FECHA DE CONSULTA:]),MONTH(BDD[[#This Row],[FECHA NAC]]),DAY(BDD[[#This Row],[FECHA NAC]]))</f>
        <v>44707</v>
      </c>
      <c r="AK407" s="243">
        <v>9</v>
      </c>
      <c r="AL407" s="251" t="s">
        <v>311</v>
      </c>
      <c r="AM407" s="251" t="s">
        <v>1547</v>
      </c>
      <c r="AN407" s="251" t="s">
        <v>1551</v>
      </c>
      <c r="AO407" s="245">
        <v>53</v>
      </c>
      <c r="AP407" s="251">
        <f ca="1">INT((TODAY()-BDD[[#This Row],[FECHA NAC]])/365)</f>
        <v>24</v>
      </c>
      <c r="AQ407" s="251">
        <v>2</v>
      </c>
      <c r="AR407" s="251">
        <f ca="1">IF(BDD[[#This Row],[ANTIG]]=0,0,1)</f>
        <v>1</v>
      </c>
      <c r="AS407" s="251"/>
      <c r="AT407" s="251"/>
      <c r="AU407" s="251"/>
      <c r="AV407" s="251"/>
      <c r="AW407" s="251"/>
      <c r="AX407" s="251"/>
      <c r="AY407" s="251"/>
      <c r="AZ407" s="251">
        <f t="shared" ca="1" si="28"/>
        <v>235</v>
      </c>
    </row>
    <row r="408" spans="2:52" x14ac:dyDescent="0.25">
      <c r="B408" s="243">
        <v>611</v>
      </c>
      <c r="C408" s="262" t="s">
        <v>124</v>
      </c>
      <c r="D408" s="252">
        <v>9541</v>
      </c>
      <c r="E408" s="252">
        <f>(BDD[[#This Row],[SUE MENS]]/30)</f>
        <v>318.03333333333336</v>
      </c>
      <c r="F408" s="252">
        <f>BDD[[#This Row],[SUE MENS]]/2</f>
        <v>4770.5</v>
      </c>
      <c r="G408" s="319">
        <v>43772</v>
      </c>
      <c r="H408" s="243">
        <f ca="1">INT(_xlfn.DAYS(TODAY(),BDD[[#This Row],[FECHA ING.]])/365)</f>
        <v>2</v>
      </c>
      <c r="I408" s="251" t="str">
        <f>VLOOKUP(J408,TABLAS!$B$3:$G$49,2,FALSE)</f>
        <v>DIV ARQUIT</v>
      </c>
      <c r="J408" s="198" t="s">
        <v>740</v>
      </c>
      <c r="K408" s="251" t="s">
        <v>778</v>
      </c>
      <c r="L408" s="251" t="s">
        <v>763</v>
      </c>
      <c r="M408" s="251"/>
      <c r="N408" s="244" t="s">
        <v>2187</v>
      </c>
      <c r="O408" s="251" t="str">
        <f>IFERROR(VLOOKUP(BDD[[#This Row],[SUBDPTO]],TABLAS!$B$4:$D$36,3,0)," ")</f>
        <v>MÉRIDA ISELA MEDINA SALINAS</v>
      </c>
      <c r="P408" s="258">
        <v>43992</v>
      </c>
      <c r="Q408" s="254">
        <v>7600</v>
      </c>
      <c r="R408" s="255" t="s">
        <v>746</v>
      </c>
      <c r="S408" s="251"/>
      <c r="T408" s="251" t="s">
        <v>811</v>
      </c>
      <c r="U408" s="243">
        <f ca="1">VLOOKUP(BDD[[#This Row],[ANTIG]],DIASXANT18[#All],2)</f>
        <v>10</v>
      </c>
      <c r="V408" s="256">
        <f t="shared" si="29"/>
        <v>0.5</v>
      </c>
      <c r="W408" s="243">
        <f ca="1">BDD[[#This Row],[D.VAC.]]*BDD[[#This Row],[% P.V.]]</f>
        <v>5</v>
      </c>
      <c r="X408" s="243">
        <v>30</v>
      </c>
      <c r="Y408" s="257">
        <f ca="1">(365+BDD[[#This Row],[D.PAG.V.]]+BDD[[#This Row],[D.AG.]])/365</f>
        <v>1.095890410958904</v>
      </c>
      <c r="Z408" s="243">
        <f ca="1">BDD[[#This Row],[SUE DIA]]*BDD[[#This Row],[FACTOR SDI]]</f>
        <v>348.52968036529683</v>
      </c>
      <c r="AA408" s="243">
        <f>BDD[[#This Row],[SUE DIA]]/9</f>
        <v>35.337037037037042</v>
      </c>
      <c r="AB408" s="262">
        <v>29346</v>
      </c>
      <c r="AC408" s="251" t="s">
        <v>892</v>
      </c>
      <c r="AD408" s="251" t="s">
        <v>789</v>
      </c>
      <c r="AE408" s="252">
        <v>8260727105</v>
      </c>
      <c r="AF408" s="251" t="s">
        <v>1335</v>
      </c>
      <c r="AG408" s="251" t="s">
        <v>773</v>
      </c>
      <c r="AH408" s="251" t="s">
        <v>730</v>
      </c>
      <c r="AI408" s="243" t="s">
        <v>151</v>
      </c>
      <c r="AJ408" s="258" cm="1">
        <f t="array" aca="1" ref="AJ408" ca="1">DATE(YEAR(FECH.CONS[FECHA DE CONSULTA:]),MONTH(BDD[[#This Row],[FECHA NAC]]),DAY(BDD[[#This Row],[FECHA NAC]]))</f>
        <v>44686</v>
      </c>
      <c r="AK408" s="243">
        <v>10</v>
      </c>
      <c r="AL408" s="251" t="s">
        <v>311</v>
      </c>
      <c r="AM408" s="251" t="s">
        <v>1542</v>
      </c>
      <c r="AN408" s="251" t="s">
        <v>1551</v>
      </c>
      <c r="AO408" s="245">
        <v>98</v>
      </c>
      <c r="AP408" s="251">
        <f ca="1">INT((TODAY()-BDD[[#This Row],[FECHA NAC]])/365)</f>
        <v>42</v>
      </c>
      <c r="AQ408" s="251">
        <v>1</v>
      </c>
      <c r="AR408" s="251">
        <f ca="1">IF(BDD[[#This Row],[ANTIG]]=0,0,1)</f>
        <v>1</v>
      </c>
      <c r="AS408" s="251"/>
      <c r="AT408" s="251"/>
      <c r="AU408" s="251"/>
      <c r="AV408" s="251"/>
      <c r="AW408" s="251"/>
      <c r="AX408" s="251"/>
      <c r="AY408" s="251"/>
      <c r="AZ408" s="251">
        <f t="shared" ca="1" si="28"/>
        <v>293</v>
      </c>
    </row>
    <row r="409" spans="2:52" x14ac:dyDescent="0.25">
      <c r="B409" s="243">
        <v>613</v>
      </c>
      <c r="C409" s="251" t="s">
        <v>278</v>
      </c>
      <c r="D409" s="263">
        <v>10350</v>
      </c>
      <c r="E409" s="252">
        <f>(BDD[[#This Row],[SUE MENS]]/30)</f>
        <v>345</v>
      </c>
      <c r="F409" s="252">
        <f>BDD[[#This Row],[SUE MENS]]/2</f>
        <v>5175</v>
      </c>
      <c r="G409" s="319">
        <v>43775</v>
      </c>
      <c r="H409" s="243">
        <f ca="1">INT(_xlfn.DAYS(TODAY(),BDD[[#This Row],[FECHA ING.]])/365)</f>
        <v>2</v>
      </c>
      <c r="I409" s="251" t="str">
        <f>VLOOKUP(J409,TABLAS!$B$3:$G$49,2,FALSE)</f>
        <v>FINANZAS</v>
      </c>
      <c r="J409" s="198" t="s">
        <v>748</v>
      </c>
      <c r="K409" s="251" t="s">
        <v>778</v>
      </c>
      <c r="L409" s="251" t="s">
        <v>763</v>
      </c>
      <c r="M409" s="251"/>
      <c r="N409" s="244" t="s">
        <v>1882</v>
      </c>
      <c r="O409" s="251" t="str">
        <f>IFERROR(VLOOKUP(BDD[[#This Row],[SUBDPTO]],TABLAS!$B$4:$D$36,3,0)," ")</f>
        <v>MARIANO ALDEBARÁN</v>
      </c>
      <c r="P409" s="258">
        <f>BDD[[#This Row],[FECHA ING.]]+500</f>
        <v>44275</v>
      </c>
      <c r="Q409" s="254">
        <v>7209.9999999999991</v>
      </c>
      <c r="R409" s="251" t="s">
        <v>756</v>
      </c>
      <c r="S409" s="251"/>
      <c r="T409" s="251" t="s">
        <v>301</v>
      </c>
      <c r="U409" s="243">
        <f ca="1">VLOOKUP(BDD[[#This Row],[ANTIG]],DIASXANT18[#All],2)</f>
        <v>10</v>
      </c>
      <c r="V409" s="256">
        <f t="shared" si="29"/>
        <v>0.5</v>
      </c>
      <c r="W409" s="243">
        <f ca="1">BDD[[#This Row],[D.VAC.]]*BDD[[#This Row],[% P.V.]]</f>
        <v>5</v>
      </c>
      <c r="X409" s="243">
        <v>30</v>
      </c>
      <c r="Y409" s="257">
        <f ca="1">(365+BDD[[#This Row],[D.PAG.V.]]+BDD[[#This Row],[D.AG.]])/365</f>
        <v>1.095890410958904</v>
      </c>
      <c r="Z409" s="243">
        <f ca="1">BDD[[#This Row],[SUE DIA]]*BDD[[#This Row],[FACTOR SDI]]</f>
        <v>378.08219178082192</v>
      </c>
      <c r="AA409" s="243">
        <f>BDD[[#This Row],[SUE DIA]]/9</f>
        <v>38.333333333333336</v>
      </c>
      <c r="AB409" s="251">
        <v>33909</v>
      </c>
      <c r="AC409" s="251" t="s">
        <v>1025</v>
      </c>
      <c r="AD409" s="251" t="s">
        <v>786</v>
      </c>
      <c r="AE409" s="252">
        <v>9663217485</v>
      </c>
      <c r="AF409" s="251" t="s">
        <v>1293</v>
      </c>
      <c r="AG409" s="251" t="s">
        <v>776</v>
      </c>
      <c r="AH409" s="251" t="s">
        <v>1555</v>
      </c>
      <c r="AI409" s="243" t="s">
        <v>153</v>
      </c>
      <c r="AJ409" s="258" cm="1">
        <f t="array" aca="1" ref="AJ409" ca="1">DATE(YEAR(FECH.CONS[FECHA DE CONSULTA:]),MONTH(BDD[[#This Row],[FECHA NAC]]),DAY(BDD[[#This Row],[FECHA NAC]]))</f>
        <v>44866</v>
      </c>
      <c r="AK409" s="243"/>
      <c r="AL409" s="261" t="s">
        <v>311</v>
      </c>
      <c r="AM409" s="251" t="s">
        <v>1535</v>
      </c>
      <c r="AN409" s="251" t="s">
        <v>1551</v>
      </c>
      <c r="AO409" s="245">
        <v>71</v>
      </c>
      <c r="AP409" s="251">
        <f ca="1">INT((TODAY()-BDD[[#This Row],[FECHA NAC]])/365)</f>
        <v>29</v>
      </c>
      <c r="AQ409" s="251">
        <v>1</v>
      </c>
      <c r="AR409" s="251">
        <f ca="1">IF(BDD[[#This Row],[ANTIG]]=0,0,1)</f>
        <v>1</v>
      </c>
      <c r="AS409" s="251"/>
      <c r="AT409" s="251"/>
      <c r="AU409" s="251"/>
      <c r="AV409" s="251"/>
      <c r="AW409" s="251"/>
      <c r="AX409" s="251"/>
      <c r="AY409" s="251"/>
      <c r="AZ409" s="251">
        <f t="shared" ca="1" si="28"/>
        <v>607</v>
      </c>
    </row>
    <row r="410" spans="2:52" x14ac:dyDescent="0.25">
      <c r="B410" s="243">
        <v>614</v>
      </c>
      <c r="C410" s="251" t="s">
        <v>224</v>
      </c>
      <c r="D410" s="252">
        <v>9450</v>
      </c>
      <c r="E410" s="252">
        <f>(BDD[[#This Row],[SUE MENS]]/30)</f>
        <v>315</v>
      </c>
      <c r="F410" s="252">
        <f>BDD[[#This Row],[SUE MENS]]/2</f>
        <v>4725</v>
      </c>
      <c r="G410" s="319">
        <v>43778</v>
      </c>
      <c r="H410" s="243">
        <f ca="1">INT(_xlfn.DAYS(TODAY(),BDD[[#This Row],[FECHA ING.]])/365)</f>
        <v>2</v>
      </c>
      <c r="I410" s="251" t="str">
        <f>VLOOKUP(J410,TABLAS!$B$3:$G$49,2,FALSE)</f>
        <v>AUDITORÍA</v>
      </c>
      <c r="J410" s="198" t="s">
        <v>734</v>
      </c>
      <c r="K410" s="251" t="s">
        <v>778</v>
      </c>
      <c r="L410" s="251" t="s">
        <v>763</v>
      </c>
      <c r="M410" s="251"/>
      <c r="N410" s="244" t="s">
        <v>1946</v>
      </c>
      <c r="O410" s="251" t="str">
        <f>IFERROR(VLOOKUP(BDD[[#This Row],[SUBDPTO]],TABLAS!$B$4:$D$36,3,0)," ")</f>
        <v>MARCO AURELIO URBINO</v>
      </c>
      <c r="P410" s="258">
        <v>43758</v>
      </c>
      <c r="Q410" s="254">
        <v>6640</v>
      </c>
      <c r="R410" s="255" t="s">
        <v>768</v>
      </c>
      <c r="S410" s="251"/>
      <c r="T410" s="251" t="s">
        <v>811</v>
      </c>
      <c r="U410" s="243">
        <f ca="1">VLOOKUP(BDD[[#This Row],[ANTIG]],DIASXANT18[#All],2)</f>
        <v>10</v>
      </c>
      <c r="V410" s="256">
        <f t="shared" si="29"/>
        <v>0.5</v>
      </c>
      <c r="W410" s="243">
        <f ca="1">BDD[[#This Row],[D.VAC.]]*BDD[[#This Row],[% P.V.]]</f>
        <v>5</v>
      </c>
      <c r="X410" s="243">
        <v>30</v>
      </c>
      <c r="Y410" s="257">
        <f ca="1">(365+BDD[[#This Row],[D.PAG.V.]]+BDD[[#This Row],[D.AG.]])/365</f>
        <v>1.095890410958904</v>
      </c>
      <c r="Z410" s="243">
        <f ca="1">BDD[[#This Row],[SUE DIA]]*BDD[[#This Row],[FACTOR SDI]]</f>
        <v>345.20547945205476</v>
      </c>
      <c r="AA410" s="243">
        <f>BDD[[#This Row],[SUE DIA]]/9</f>
        <v>35</v>
      </c>
      <c r="AB410" s="251">
        <v>32833</v>
      </c>
      <c r="AC410" s="251" t="s">
        <v>993</v>
      </c>
      <c r="AD410" s="251" t="s">
        <v>786</v>
      </c>
      <c r="AE410" s="252">
        <v>8357792145</v>
      </c>
      <c r="AF410" s="251" t="s">
        <v>1242</v>
      </c>
      <c r="AG410" s="251" t="s">
        <v>774</v>
      </c>
      <c r="AH410" s="251" t="s">
        <v>1555</v>
      </c>
      <c r="AI410" s="243" t="s">
        <v>151</v>
      </c>
      <c r="AJ410" s="258" cm="1">
        <f t="array" aca="1" ref="AJ410" ca="1">DATE(YEAR(FECH.CONS[FECHA DE CONSULTA:]),MONTH(BDD[[#This Row],[FECHA NAC]]),DAY(BDD[[#This Row],[FECHA NAC]]))</f>
        <v>44886</v>
      </c>
      <c r="AK410" s="243"/>
      <c r="AL410" s="261" t="s">
        <v>311</v>
      </c>
      <c r="AM410" s="251" t="s">
        <v>1544</v>
      </c>
      <c r="AN410" s="251" t="s">
        <v>1551</v>
      </c>
      <c r="AO410" s="245">
        <v>99</v>
      </c>
      <c r="AP410" s="251">
        <f ca="1">INT((TODAY()-BDD[[#This Row],[FECHA NAC]])/365)</f>
        <v>32</v>
      </c>
      <c r="AQ410" s="251">
        <v>3</v>
      </c>
      <c r="AR410" s="251">
        <f ca="1">IF(BDD[[#This Row],[ANTIG]]=0,0,1)</f>
        <v>1</v>
      </c>
      <c r="AS410" s="251"/>
      <c r="AT410" s="251"/>
      <c r="AU410" s="251"/>
      <c r="AV410" s="251"/>
      <c r="AW410" s="251"/>
      <c r="AX410" s="251"/>
      <c r="AY410" s="251"/>
      <c r="AZ410" s="251">
        <f t="shared" ca="1" si="28"/>
        <v>951</v>
      </c>
    </row>
    <row r="411" spans="2:52" x14ac:dyDescent="0.25">
      <c r="B411" s="243">
        <v>615</v>
      </c>
      <c r="C411" s="259" t="s">
        <v>1648</v>
      </c>
      <c r="D411" s="252">
        <v>9541</v>
      </c>
      <c r="E411" s="252">
        <f>(BDD[[#This Row],[SUE MENS]]/30)</f>
        <v>318.03333333333336</v>
      </c>
      <c r="F411" s="252">
        <f>BDD[[#This Row],[SUE MENS]]/2</f>
        <v>4770.5</v>
      </c>
      <c r="G411" s="319">
        <v>43778</v>
      </c>
      <c r="H411" s="243">
        <f ca="1">INT(_xlfn.DAYS(TODAY(),BDD[[#This Row],[FECHA ING.]])/365)</f>
        <v>2</v>
      </c>
      <c r="I411" s="251" t="str">
        <f>VLOOKUP(J411,TABLAS!$B$3:$G$49,2,FALSE)</f>
        <v>DIV INGENRIA</v>
      </c>
      <c r="J411" s="198" t="s">
        <v>744</v>
      </c>
      <c r="K411" s="251" t="s">
        <v>778</v>
      </c>
      <c r="L411" s="251" t="s">
        <v>763</v>
      </c>
      <c r="M411" s="251"/>
      <c r="N411" s="277" t="s">
        <v>2092</v>
      </c>
      <c r="O411" s="251" t="str">
        <f>IFERROR(VLOOKUP(BDD[[#This Row],[SUBDPTO]],TABLAS!$B$4:$D$36,3,0)," ")</f>
        <v>DIEGO HERRERA GIRÓN</v>
      </c>
      <c r="P411" s="258">
        <v>42026</v>
      </c>
      <c r="Q411" s="254">
        <v>5088</v>
      </c>
      <c r="R411" s="255" t="s">
        <v>737</v>
      </c>
      <c r="S411" s="255" t="s">
        <v>745</v>
      </c>
      <c r="T411" s="251" t="s">
        <v>811</v>
      </c>
      <c r="U411" s="243">
        <f ca="1">VLOOKUP(BDD[[#This Row],[ANTIG]],DIASXANT18[#All],2)</f>
        <v>10</v>
      </c>
      <c r="V411" s="256">
        <f t="shared" si="29"/>
        <v>0.5</v>
      </c>
      <c r="W411" s="243">
        <f ca="1">BDD[[#This Row],[D.VAC.]]*BDD[[#This Row],[% P.V.]]</f>
        <v>5</v>
      </c>
      <c r="X411" s="243">
        <v>30</v>
      </c>
      <c r="Y411" s="257">
        <f ca="1">(365+BDD[[#This Row],[D.PAG.V.]]+BDD[[#This Row],[D.AG.]])/365</f>
        <v>1.095890410958904</v>
      </c>
      <c r="Z411" s="243">
        <f ca="1">BDD[[#This Row],[SUE DIA]]*BDD[[#This Row],[FACTOR SDI]]</f>
        <v>348.52968036529683</v>
      </c>
      <c r="AA411" s="243">
        <f>BDD[[#This Row],[SUE DIA]]/9</f>
        <v>35.337037037037042</v>
      </c>
      <c r="AB411" s="251">
        <v>34294</v>
      </c>
      <c r="AC411" s="251" t="s">
        <v>868</v>
      </c>
      <c r="AD411" s="251" t="s">
        <v>791</v>
      </c>
      <c r="AE411" s="260">
        <v>8210251944</v>
      </c>
      <c r="AF411" s="251" t="s">
        <v>1531</v>
      </c>
      <c r="AG411" s="251" t="s">
        <v>776</v>
      </c>
      <c r="AH411" s="251" t="s">
        <v>730</v>
      </c>
      <c r="AI411" s="243" t="s">
        <v>151</v>
      </c>
      <c r="AJ411" s="258" cm="1">
        <f t="array" aca="1" ref="AJ411" ca="1">DATE(YEAR(FECH.CONS[FECHA DE CONSULTA:]),MONTH(BDD[[#This Row],[FECHA NAC]]),DAY(BDD[[#This Row],[FECHA NAC]]))</f>
        <v>44886</v>
      </c>
      <c r="AK411" s="243">
        <v>6</v>
      </c>
      <c r="AL411" s="261" t="s">
        <v>311</v>
      </c>
      <c r="AM411" s="251" t="s">
        <v>1538</v>
      </c>
      <c r="AN411" s="251" t="s">
        <v>1551</v>
      </c>
      <c r="AO411" s="245">
        <v>75</v>
      </c>
      <c r="AP411" s="251">
        <f ca="1">INT((TODAY()-BDD[[#This Row],[FECHA NAC]])/365)</f>
        <v>28</v>
      </c>
      <c r="AQ411" s="251">
        <v>0</v>
      </c>
      <c r="AR411" s="251">
        <f ca="1">IF(BDD[[#This Row],[ANTIG]]=0,0,1)</f>
        <v>1</v>
      </c>
      <c r="AS411" s="251"/>
      <c r="AT411" s="251"/>
      <c r="AU411" s="251"/>
      <c r="AV411" s="251"/>
      <c r="AW411" s="251"/>
      <c r="AX411" s="251"/>
      <c r="AY411" s="251"/>
      <c r="AZ411" s="251">
        <f t="shared" ca="1" si="28"/>
        <v>543</v>
      </c>
    </row>
    <row r="412" spans="2:52" x14ac:dyDescent="0.25">
      <c r="B412" s="243">
        <v>616</v>
      </c>
      <c r="C412" s="262" t="s">
        <v>362</v>
      </c>
      <c r="D412" s="263">
        <v>7445</v>
      </c>
      <c r="E412" s="252">
        <f>(BDD[[#This Row],[SUE MENS]]/30)</f>
        <v>248.16666666666666</v>
      </c>
      <c r="F412" s="252">
        <f>BDD[[#This Row],[SUE MENS]]/2</f>
        <v>3722.5</v>
      </c>
      <c r="G412" s="319">
        <v>43782</v>
      </c>
      <c r="H412" s="243">
        <f ca="1">INT(_xlfn.DAYS(TODAY(),BDD[[#This Row],[FECHA ING.]])/365)</f>
        <v>2</v>
      </c>
      <c r="I412" s="251" t="str">
        <f>VLOOKUP(J412,TABLAS!$B$3:$G$49,2,FALSE)</f>
        <v>DIV INGENRIA</v>
      </c>
      <c r="J412" s="198" t="s">
        <v>756</v>
      </c>
      <c r="K412" s="251" t="s">
        <v>778</v>
      </c>
      <c r="L412" s="251" t="s">
        <v>763</v>
      </c>
      <c r="M412" s="251"/>
      <c r="N412" s="244" t="s">
        <v>1984</v>
      </c>
      <c r="O412" s="251" t="str">
        <f>IFERROR(VLOOKUP(BDD[[#This Row],[SUBDPTO]],TABLAS!$B$4:$D$36,3,0)," ")</f>
        <v>DIEGO HERRERA GIRÓN</v>
      </c>
      <c r="P412" s="258">
        <v>43749</v>
      </c>
      <c r="Q412" s="264">
        <f>D401*0.8</f>
        <v>8280</v>
      </c>
      <c r="R412" s="255" t="s">
        <v>735</v>
      </c>
      <c r="S412" s="251"/>
      <c r="T412" s="251" t="s">
        <v>811</v>
      </c>
      <c r="U412" s="243">
        <f ca="1">VLOOKUP(BDD[[#This Row],[ANTIG]],DIASXANT18[#All],2)</f>
        <v>10</v>
      </c>
      <c r="V412" s="256">
        <f t="shared" si="29"/>
        <v>0.5</v>
      </c>
      <c r="W412" s="243">
        <f ca="1">BDD[[#This Row],[D.VAC.]]*BDD[[#This Row],[% P.V.]]</f>
        <v>5</v>
      </c>
      <c r="X412" s="243">
        <v>30</v>
      </c>
      <c r="Y412" s="257">
        <f ca="1">(365+BDD[[#This Row],[D.PAG.V.]]+BDD[[#This Row],[D.AG.]])/365</f>
        <v>1.095890410958904</v>
      </c>
      <c r="Z412" s="243">
        <f ca="1">BDD[[#This Row],[SUE DIA]]*BDD[[#This Row],[FACTOR SDI]]</f>
        <v>271.96347031963467</v>
      </c>
      <c r="AA412" s="243">
        <f>BDD[[#This Row],[SUE DIA]]/9</f>
        <v>27.574074074074073</v>
      </c>
      <c r="AB412" s="262">
        <v>35605</v>
      </c>
      <c r="AC412" s="251" t="s">
        <v>906</v>
      </c>
      <c r="AD412" s="251" t="s">
        <v>809</v>
      </c>
      <c r="AE412" s="252">
        <v>8117793252</v>
      </c>
      <c r="AF412" s="251" t="s">
        <v>1340</v>
      </c>
      <c r="AG412" s="251" t="s">
        <v>776</v>
      </c>
      <c r="AH412" s="251" t="s">
        <v>730</v>
      </c>
      <c r="AI412" s="243" t="s">
        <v>151</v>
      </c>
      <c r="AJ412" s="258" cm="1">
        <f t="array" aca="1" ref="AJ412" ca="1">DATE(YEAR(FECH.CONS[FECHA DE CONSULTA:]),MONTH(BDD[[#This Row],[FECHA NAC]]),DAY(BDD[[#This Row],[FECHA NAC]]))</f>
        <v>44736</v>
      </c>
      <c r="AK412" s="243">
        <v>6</v>
      </c>
      <c r="AL412" s="261" t="s">
        <v>311</v>
      </c>
      <c r="AM412" s="251" t="s">
        <v>1538</v>
      </c>
      <c r="AN412" s="251" t="s">
        <v>1551</v>
      </c>
      <c r="AO412" s="245">
        <v>89</v>
      </c>
      <c r="AP412" s="251">
        <f ca="1">INT((TODAY()-BDD[[#This Row],[FECHA NAC]])/365)</f>
        <v>25</v>
      </c>
      <c r="AQ412" s="251">
        <v>2</v>
      </c>
      <c r="AR412" s="251">
        <f ca="1">IF(BDD[[#This Row],[ANTIG]]=0,0,1)</f>
        <v>1</v>
      </c>
      <c r="AS412" s="251"/>
      <c r="AT412" s="251"/>
      <c r="AU412" s="251"/>
      <c r="AV412" s="251"/>
      <c r="AW412" s="251"/>
      <c r="AX412" s="251"/>
      <c r="AY412" s="251"/>
      <c r="AZ412" s="251">
        <f t="shared" ca="1" si="28"/>
        <v>914</v>
      </c>
    </row>
    <row r="413" spans="2:52" x14ac:dyDescent="0.25">
      <c r="B413" s="243">
        <v>618</v>
      </c>
      <c r="C413" s="262" t="s">
        <v>342</v>
      </c>
      <c r="D413" s="252">
        <v>7445</v>
      </c>
      <c r="E413" s="252">
        <f>(BDD[[#This Row],[SUE MENS]]/30)</f>
        <v>248.16666666666666</v>
      </c>
      <c r="F413" s="252">
        <f>BDD[[#This Row],[SUE MENS]]/2</f>
        <v>3722.5</v>
      </c>
      <c r="G413" s="319">
        <v>43788</v>
      </c>
      <c r="H413" s="243">
        <f ca="1">INT(_xlfn.DAYS(TODAY(),BDD[[#This Row],[FECHA ING.]])/365)</f>
        <v>2</v>
      </c>
      <c r="I413" s="251" t="str">
        <f>VLOOKUP(J413,TABLAS!$B$3:$G$49,2,FALSE)</f>
        <v>AUDITORÍA</v>
      </c>
      <c r="J413" s="198" t="s">
        <v>734</v>
      </c>
      <c r="K413" s="251" t="s">
        <v>778</v>
      </c>
      <c r="L413" s="251" t="s">
        <v>763</v>
      </c>
      <c r="M413" s="251"/>
      <c r="N413" s="253" t="s">
        <v>1820</v>
      </c>
      <c r="O413" s="251" t="str">
        <f>IFERROR(VLOOKUP(BDD[[#This Row],[SUBDPTO]],TABLAS!$B$4:$D$36,3,0)," ")</f>
        <v>MARCO AURELIO URBINO</v>
      </c>
      <c r="P413" s="258"/>
      <c r="Q413" s="264"/>
      <c r="R413" s="244"/>
      <c r="S413" s="251"/>
      <c r="T413" s="251" t="s">
        <v>811</v>
      </c>
      <c r="U413" s="243">
        <f ca="1">VLOOKUP(BDD[[#This Row],[ANTIG]],DIASXANT18[#All],2)</f>
        <v>10</v>
      </c>
      <c r="V413" s="256">
        <f t="shared" si="29"/>
        <v>0.5</v>
      </c>
      <c r="W413" s="243">
        <f ca="1">BDD[[#This Row],[D.VAC.]]*BDD[[#This Row],[% P.V.]]</f>
        <v>5</v>
      </c>
      <c r="X413" s="243">
        <v>30</v>
      </c>
      <c r="Y413" s="257">
        <f ca="1">(365+BDD[[#This Row],[D.PAG.V.]]+BDD[[#This Row],[D.AG.]])/365</f>
        <v>1.095890410958904</v>
      </c>
      <c r="Z413" s="243">
        <f ca="1">BDD[[#This Row],[SUE DIA]]*BDD[[#This Row],[FACTOR SDI]]</f>
        <v>271.96347031963467</v>
      </c>
      <c r="AA413" s="243">
        <f>BDD[[#This Row],[SUE DIA]]/9</f>
        <v>27.574074074074073</v>
      </c>
      <c r="AB413" s="262">
        <v>29649</v>
      </c>
      <c r="AC413" s="251" t="s">
        <v>1027</v>
      </c>
      <c r="AD413" s="251" t="s">
        <v>789</v>
      </c>
      <c r="AE413" s="252">
        <v>8310474498</v>
      </c>
      <c r="AF413" s="251" t="s">
        <v>1310</v>
      </c>
      <c r="AG413" s="251" t="s">
        <v>776</v>
      </c>
      <c r="AH413" s="251" t="s">
        <v>730</v>
      </c>
      <c r="AI413" s="243" t="s">
        <v>151</v>
      </c>
      <c r="AJ413" s="258" cm="1">
        <f t="array" aca="1" ref="AJ413" ca="1">DATE(YEAR(FECH.CONS[FECHA DE CONSULTA:]),MONTH(BDD[[#This Row],[FECHA NAC]]),DAY(BDD[[#This Row],[FECHA NAC]]))</f>
        <v>44624</v>
      </c>
      <c r="AK413" s="243">
        <v>10</v>
      </c>
      <c r="AL413" s="261" t="s">
        <v>311</v>
      </c>
      <c r="AM413" s="251" t="s">
        <v>1545</v>
      </c>
      <c r="AN413" s="251" t="s">
        <v>1551</v>
      </c>
      <c r="AO413" s="245">
        <v>92</v>
      </c>
      <c r="AP413" s="251">
        <f ca="1">INT((TODAY()-BDD[[#This Row],[FECHA NAC]])/365)</f>
        <v>41</v>
      </c>
      <c r="AQ413" s="251">
        <v>3</v>
      </c>
      <c r="AR413" s="251">
        <f ca="1">IF(BDD[[#This Row],[ANTIG]]=0,0,1)</f>
        <v>1</v>
      </c>
      <c r="AS413" s="251"/>
      <c r="AT413" s="251"/>
      <c r="AU413" s="251"/>
      <c r="AV413" s="251"/>
      <c r="AW413" s="251"/>
      <c r="AX413" s="251"/>
      <c r="AY413" s="251"/>
      <c r="AZ413" s="251">
        <f t="shared" ca="1" si="28"/>
        <v>628</v>
      </c>
    </row>
    <row r="414" spans="2:52" x14ac:dyDescent="0.25">
      <c r="B414" s="243">
        <v>619</v>
      </c>
      <c r="C414" s="259" t="s">
        <v>696</v>
      </c>
      <c r="D414" s="244">
        <v>6778</v>
      </c>
      <c r="E414" s="252">
        <f>(BDD[[#This Row],[SUE MENS]]/30)</f>
        <v>225.93333333333334</v>
      </c>
      <c r="F414" s="252">
        <f>BDD[[#This Row],[SUE MENS]]/2</f>
        <v>3389</v>
      </c>
      <c r="G414" s="319">
        <v>43792</v>
      </c>
      <c r="H414" s="243">
        <f ca="1">INT(_xlfn.DAYS(TODAY(),BDD[[#This Row],[FECHA ING.]])/365)</f>
        <v>2</v>
      </c>
      <c r="I414" s="251" t="str">
        <f>VLOOKUP(J414,TABLAS!$B$3:$G$49,2,FALSE)</f>
        <v>DIRECCIÓN</v>
      </c>
      <c r="J414" s="198" t="s">
        <v>759</v>
      </c>
      <c r="K414" s="251" t="s">
        <v>778</v>
      </c>
      <c r="L414" s="251" t="s">
        <v>763</v>
      </c>
      <c r="M414" s="251"/>
      <c r="N414" s="253" t="s">
        <v>1859</v>
      </c>
      <c r="O414" s="251" t="str">
        <f>IFERROR(VLOOKUP(BDD[[#This Row],[SUBDPTO]],TABLAS!$B$4:$D$36,3,0)," ")</f>
        <v>MARIANA RODRÍGUEZ GUTIERREZ</v>
      </c>
      <c r="P414" s="258"/>
      <c r="Q414" s="264"/>
      <c r="R414" s="244"/>
      <c r="S414" s="251"/>
      <c r="T414" s="251" t="s">
        <v>811</v>
      </c>
      <c r="U414" s="243">
        <f ca="1">VLOOKUP(BDD[[#This Row],[ANTIG]],DIASXANT18[#All],2)</f>
        <v>10</v>
      </c>
      <c r="V414" s="266">
        <v>0.25</v>
      </c>
      <c r="W414" s="243">
        <f ca="1">BDD[[#This Row],[D.VAC.]]*BDD[[#This Row],[% P.V.]]</f>
        <v>2.5</v>
      </c>
      <c r="X414" s="265">
        <v>15</v>
      </c>
      <c r="Y414" s="257">
        <f ca="1">(365+BDD[[#This Row],[D.PAG.V.]]+BDD[[#This Row],[D.AG.]])/365</f>
        <v>1.047945205479452</v>
      </c>
      <c r="Z414" s="243">
        <f ca="1">BDD[[#This Row],[SUE DIA]]*BDD[[#This Row],[FACTOR SDI]]</f>
        <v>236.76575342465753</v>
      </c>
      <c r="AA414" s="243">
        <f>BDD[[#This Row],[SUE DIA]]/9</f>
        <v>25.103703703703705</v>
      </c>
      <c r="AB414" s="251">
        <v>29715</v>
      </c>
      <c r="AC414" s="251" t="s">
        <v>990</v>
      </c>
      <c r="AD414" s="251" t="s">
        <v>790</v>
      </c>
      <c r="AE414" s="260">
        <v>7181591594</v>
      </c>
      <c r="AF414" s="251" t="s">
        <v>1513</v>
      </c>
      <c r="AG414" s="251" t="s">
        <v>776</v>
      </c>
      <c r="AH414" s="251" t="s">
        <v>730</v>
      </c>
      <c r="AI414" s="243" t="s">
        <v>151</v>
      </c>
      <c r="AJ414" s="258" cm="1">
        <f t="array" aca="1" ref="AJ414" ca="1">DATE(YEAR(FECH.CONS[FECHA DE CONSULTA:]),MONTH(BDD[[#This Row],[FECHA NAC]]),DAY(BDD[[#This Row],[FECHA NAC]]))</f>
        <v>44690</v>
      </c>
      <c r="AK414" s="243">
        <v>6</v>
      </c>
      <c r="AL414" s="261" t="s">
        <v>311</v>
      </c>
      <c r="AM414" s="251" t="s">
        <v>1537</v>
      </c>
      <c r="AN414" s="251" t="s">
        <v>1551</v>
      </c>
      <c r="AO414" s="245">
        <v>75</v>
      </c>
      <c r="AP414" s="251">
        <f ca="1">INT((TODAY()-BDD[[#This Row],[FECHA NAC]])/365)</f>
        <v>41</v>
      </c>
      <c r="AQ414" s="251">
        <v>1</v>
      </c>
      <c r="AR414" s="251">
        <f ca="1">IF(BDD[[#This Row],[ANTIG]]=0,0,1)</f>
        <v>1</v>
      </c>
      <c r="AS414" s="251"/>
      <c r="AT414" s="251"/>
      <c r="AU414" s="251"/>
      <c r="AV414" s="251"/>
      <c r="AW414" s="251"/>
      <c r="AX414" s="251"/>
      <c r="AY414" s="251"/>
      <c r="AZ414" s="251">
        <f t="shared" ca="1" si="28"/>
        <v>639</v>
      </c>
    </row>
    <row r="415" spans="2:52" x14ac:dyDescent="0.25">
      <c r="B415" s="243">
        <v>621</v>
      </c>
      <c r="C415" s="251" t="s">
        <v>198</v>
      </c>
      <c r="D415" s="252">
        <v>9450</v>
      </c>
      <c r="E415" s="252">
        <f>(BDD[[#This Row],[SUE MENS]]/30)</f>
        <v>315</v>
      </c>
      <c r="F415" s="252">
        <f>BDD[[#This Row],[SUE MENS]]/2</f>
        <v>4725</v>
      </c>
      <c r="G415" s="319">
        <v>43795</v>
      </c>
      <c r="H415" s="243">
        <f ca="1">INT(_xlfn.DAYS(TODAY(),BDD[[#This Row],[FECHA ING.]])/365)</f>
        <v>2</v>
      </c>
      <c r="I415" s="251" t="str">
        <f>VLOOKUP(J415,TABLAS!$B$3:$G$49,2,FALSE)</f>
        <v>DIV INGENRIA</v>
      </c>
      <c r="J415" s="198" t="s">
        <v>744</v>
      </c>
      <c r="K415" s="251" t="s">
        <v>778</v>
      </c>
      <c r="L415" s="251" t="s">
        <v>763</v>
      </c>
      <c r="M415" s="251"/>
      <c r="N415" s="244" t="s">
        <v>1927</v>
      </c>
      <c r="O415" s="251" t="str">
        <f>IFERROR(VLOOKUP(BDD[[#This Row],[SUBDPTO]],TABLAS!$B$4:$D$36,3,0)," ")</f>
        <v>DIEGO HERRERA GIRÓN</v>
      </c>
      <c r="P415" s="258">
        <f>BDD[[#This Row],[FECHA ING.]]+500</f>
        <v>44295</v>
      </c>
      <c r="Q415" s="254">
        <v>5211.5</v>
      </c>
      <c r="R415" s="251" t="s">
        <v>853</v>
      </c>
      <c r="S415" s="244" t="s">
        <v>746</v>
      </c>
      <c r="T415" s="251" t="s">
        <v>811</v>
      </c>
      <c r="U415" s="243">
        <f ca="1">VLOOKUP(BDD[[#This Row],[ANTIG]],DIASXANT18[#All],2)</f>
        <v>10</v>
      </c>
      <c r="V415" s="256">
        <f>100/200</f>
        <v>0.5</v>
      </c>
      <c r="W415" s="243">
        <f ca="1">BDD[[#This Row],[D.VAC.]]*BDD[[#This Row],[% P.V.]]</f>
        <v>5</v>
      </c>
      <c r="X415" s="243">
        <v>30</v>
      </c>
      <c r="Y415" s="257">
        <f ca="1">(365+BDD[[#This Row],[D.PAG.V.]]+BDD[[#This Row],[D.AG.]])/365</f>
        <v>1.095890410958904</v>
      </c>
      <c r="Z415" s="243">
        <f ca="1">BDD[[#This Row],[SUE DIA]]*BDD[[#This Row],[FACTOR SDI]]</f>
        <v>345.20547945205476</v>
      </c>
      <c r="AA415" s="243">
        <f>BDD[[#This Row],[SUE DIA]]/9</f>
        <v>35</v>
      </c>
      <c r="AB415" s="251">
        <v>34088</v>
      </c>
      <c r="AC415" s="251" t="s">
        <v>944</v>
      </c>
      <c r="AD415" s="251" t="s">
        <v>790</v>
      </c>
      <c r="AE415" s="252">
        <v>8551445125</v>
      </c>
      <c r="AF415" s="251" t="s">
        <v>1082</v>
      </c>
      <c r="AG415" s="251" t="s">
        <v>776</v>
      </c>
      <c r="AH415" s="251" t="s">
        <v>730</v>
      </c>
      <c r="AI415" s="243" t="s">
        <v>151</v>
      </c>
      <c r="AJ415" s="258" cm="1">
        <f t="array" aca="1" ref="AJ415" ca="1">DATE(YEAR(FECH.CONS[FECHA DE CONSULTA:]),MONTH(BDD[[#This Row],[FECHA NAC]]),DAY(BDD[[#This Row],[FECHA NAC]]))</f>
        <v>44680</v>
      </c>
      <c r="AK415" s="243">
        <v>6</v>
      </c>
      <c r="AL415" s="261" t="s">
        <v>311</v>
      </c>
      <c r="AM415" s="251" t="s">
        <v>1538</v>
      </c>
      <c r="AN415" s="251" t="s">
        <v>1551</v>
      </c>
      <c r="AO415" s="245">
        <v>93</v>
      </c>
      <c r="AP415" s="251">
        <f ca="1">INT((TODAY()-BDD[[#This Row],[FECHA NAC]])/365)</f>
        <v>29</v>
      </c>
      <c r="AQ415" s="251">
        <v>1</v>
      </c>
      <c r="AR415" s="251">
        <f ca="1">IF(BDD[[#This Row],[ANTIG]]=0,0,1)</f>
        <v>1</v>
      </c>
      <c r="AS415" s="251"/>
      <c r="AT415" s="251"/>
      <c r="AU415" s="251"/>
      <c r="AV415" s="251"/>
      <c r="AW415" s="251"/>
      <c r="AX415" s="251"/>
      <c r="AY415" s="251"/>
      <c r="AZ415" s="251">
        <f t="shared" ca="1" si="28"/>
        <v>793</v>
      </c>
    </row>
    <row r="416" spans="2:52" x14ac:dyDescent="0.25">
      <c r="B416" s="243">
        <v>625</v>
      </c>
      <c r="C416" s="259" t="s">
        <v>1625</v>
      </c>
      <c r="D416" s="252">
        <v>10860</v>
      </c>
      <c r="E416" s="252">
        <f>(BDD[[#This Row],[SUE MENS]]/30)</f>
        <v>362</v>
      </c>
      <c r="F416" s="252">
        <f>BDD[[#This Row],[SUE MENS]]/2</f>
        <v>5430</v>
      </c>
      <c r="G416" s="319">
        <v>43800</v>
      </c>
      <c r="H416" s="243">
        <f ca="1">INT(_xlfn.DAYS(TODAY(),BDD[[#This Row],[FECHA ING.]])/365)</f>
        <v>2</v>
      </c>
      <c r="I416" s="251" t="str">
        <f>VLOOKUP(J416,TABLAS!$B$3:$G$49,2,FALSE)</f>
        <v>DIV ARQUIT</v>
      </c>
      <c r="J416" s="198" t="s">
        <v>741</v>
      </c>
      <c r="K416" s="251" t="s">
        <v>778</v>
      </c>
      <c r="L416" s="251" t="s">
        <v>763</v>
      </c>
      <c r="M416" s="251"/>
      <c r="N416" s="253" t="s">
        <v>2000</v>
      </c>
      <c r="O416" s="251" t="str">
        <f>IFERROR(VLOOKUP(BDD[[#This Row],[SUBDPTO]],TABLAS!$B$4:$D$36,3,0)," ")</f>
        <v>MÉRIDA ISELA MEDINA SALINAS</v>
      </c>
      <c r="P416" s="258">
        <v>41200</v>
      </c>
      <c r="Q416" s="254">
        <v>5422.4000000000005</v>
      </c>
      <c r="R416" s="255" t="s">
        <v>737</v>
      </c>
      <c r="S416" s="255" t="s">
        <v>748</v>
      </c>
      <c r="T416" s="251" t="s">
        <v>811</v>
      </c>
      <c r="U416" s="243">
        <f ca="1">VLOOKUP(BDD[[#This Row],[ANTIG]],DIASXANT18[#All],2)</f>
        <v>10</v>
      </c>
      <c r="V416" s="256">
        <f>100/200</f>
        <v>0.5</v>
      </c>
      <c r="W416" s="243">
        <f ca="1">BDD[[#This Row],[D.VAC.]]*BDD[[#This Row],[% P.V.]]</f>
        <v>5</v>
      </c>
      <c r="X416" s="243">
        <v>30</v>
      </c>
      <c r="Y416" s="257">
        <f ca="1">(365+BDD[[#This Row],[D.PAG.V.]]+BDD[[#This Row],[D.AG.]])/365</f>
        <v>1.095890410958904</v>
      </c>
      <c r="Z416" s="243">
        <f ca="1">BDD[[#This Row],[SUE DIA]]*BDD[[#This Row],[FACTOR SDI]]</f>
        <v>396.71232876712327</v>
      </c>
      <c r="AA416" s="243">
        <f>BDD[[#This Row],[SUE DIA]]/9</f>
        <v>40.222222222222221</v>
      </c>
      <c r="AB416" s="251">
        <v>25738</v>
      </c>
      <c r="AC416" s="251" t="s">
        <v>1044</v>
      </c>
      <c r="AD416" s="251" t="s">
        <v>789</v>
      </c>
      <c r="AE416" s="260">
        <v>7246545120</v>
      </c>
      <c r="AF416" s="251" t="s">
        <v>1392</v>
      </c>
      <c r="AG416" s="251" t="s">
        <v>776</v>
      </c>
      <c r="AH416" s="251" t="s">
        <v>1555</v>
      </c>
      <c r="AI416" s="243" t="s">
        <v>152</v>
      </c>
      <c r="AJ416" s="258" cm="1">
        <f t="array" aca="1" ref="AJ416" ca="1">DATE(YEAR(FECH.CONS[FECHA DE CONSULTA:]),MONTH(BDD[[#This Row],[FECHA NAC]]),DAY(BDD[[#This Row],[FECHA NAC]]))</f>
        <v>44731</v>
      </c>
      <c r="AK416" s="243"/>
      <c r="AL416" s="261" t="s">
        <v>311</v>
      </c>
      <c r="AM416" s="251" t="s">
        <v>1543</v>
      </c>
      <c r="AN416" s="251" t="s">
        <v>1551</v>
      </c>
      <c r="AO416" s="245">
        <v>39</v>
      </c>
      <c r="AP416" s="251">
        <f ca="1">INT((TODAY()-BDD[[#This Row],[FECHA NAC]])/365)</f>
        <v>52</v>
      </c>
      <c r="AQ416" s="251">
        <v>2</v>
      </c>
      <c r="AR416" s="251">
        <f ca="1">IF(BDD[[#This Row],[ANTIG]]=0,0,1)</f>
        <v>1</v>
      </c>
      <c r="AS416" s="251"/>
      <c r="AT416" s="251"/>
      <c r="AU416" s="251"/>
      <c r="AV416" s="251"/>
      <c r="AW416" s="251"/>
      <c r="AX416" s="251"/>
      <c r="AY416" s="251"/>
      <c r="AZ416" s="251">
        <f t="shared" ca="1" si="28"/>
        <v>964</v>
      </c>
    </row>
    <row r="417" spans="2:52" x14ac:dyDescent="0.25">
      <c r="B417" s="243">
        <v>626</v>
      </c>
      <c r="C417" s="251" t="s">
        <v>147</v>
      </c>
      <c r="D417" s="252">
        <v>27150</v>
      </c>
      <c r="E417" s="252">
        <f>(BDD[[#This Row],[SUE MENS]]/30)</f>
        <v>905</v>
      </c>
      <c r="F417" s="252">
        <f>BDD[[#This Row],[SUE MENS]]/2</f>
        <v>13575</v>
      </c>
      <c r="G417" s="319">
        <v>43804</v>
      </c>
      <c r="H417" s="243">
        <f ca="1">INT(_xlfn.DAYS(TODAY(),BDD[[#This Row],[FECHA ING.]])/365)</f>
        <v>2</v>
      </c>
      <c r="I417" s="251" t="str">
        <f>VLOOKUP(J417,TABLAS!$B$3:$G$49,2,FALSE)</f>
        <v>DIV INGENRIA</v>
      </c>
      <c r="J417" s="198" t="s">
        <v>756</v>
      </c>
      <c r="K417" s="244" t="s">
        <v>761</v>
      </c>
      <c r="L417" s="251" t="s">
        <v>763</v>
      </c>
      <c r="M417" s="251">
        <v>1020</v>
      </c>
      <c r="N417" s="244" t="s">
        <v>1915</v>
      </c>
      <c r="O417" s="251" t="str">
        <f>IFERROR(VLOOKUP(BDD[[#This Row],[SUBDPTO]],TABLAS!$B$4:$D$36,3,0)," ")</f>
        <v>DIEGO HERRERA GIRÓN</v>
      </c>
      <c r="P417" s="258">
        <f>BDD[[#This Row],[FECHA ING.]]+700</f>
        <v>44504</v>
      </c>
      <c r="Q417" s="254">
        <v>20880</v>
      </c>
      <c r="R417" s="251" t="s">
        <v>748</v>
      </c>
      <c r="S417" s="244" t="s">
        <v>735</v>
      </c>
      <c r="T417" s="251" t="s">
        <v>811</v>
      </c>
      <c r="U417" s="243">
        <f ca="1">VLOOKUP(BDD[[#This Row],[ANTIG]],DIASXANT18[#All],2)</f>
        <v>10</v>
      </c>
      <c r="V417" s="256">
        <f>100/200</f>
        <v>0.5</v>
      </c>
      <c r="W417" s="243">
        <f ca="1">BDD[[#This Row],[D.VAC.]]*BDD[[#This Row],[% P.V.]]</f>
        <v>5</v>
      </c>
      <c r="X417" s="243">
        <v>30</v>
      </c>
      <c r="Y417" s="257">
        <f ca="1">(365+BDD[[#This Row],[D.PAG.V.]]+BDD[[#This Row],[D.AG.]])/365</f>
        <v>1.095890410958904</v>
      </c>
      <c r="Z417" s="243">
        <f ca="1">BDD[[#This Row],[SUE DIA]]*BDD[[#This Row],[FACTOR SDI]]</f>
        <v>991.78082191780811</v>
      </c>
      <c r="AA417" s="243">
        <f>BDD[[#This Row],[SUE DIA]]/9</f>
        <v>100.55555555555556</v>
      </c>
      <c r="AB417" s="251">
        <v>33046</v>
      </c>
      <c r="AC417" s="251" t="s">
        <v>945</v>
      </c>
      <c r="AD417" s="251" t="s">
        <v>791</v>
      </c>
      <c r="AE417" s="252">
        <v>8660989971</v>
      </c>
      <c r="AF417" s="251" t="s">
        <v>1166</v>
      </c>
      <c r="AG417" s="251" t="s">
        <v>776</v>
      </c>
      <c r="AH417" s="251" t="s">
        <v>1555</v>
      </c>
      <c r="AI417" s="243" t="s">
        <v>151</v>
      </c>
      <c r="AJ417" s="258" cm="1">
        <f t="array" aca="1" ref="AJ417" ca="1">DATE(YEAR(FECH.CONS[FECHA DE CONSULTA:]),MONTH(BDD[[#This Row],[FECHA NAC]]),DAY(BDD[[#This Row],[FECHA NAC]]))</f>
        <v>44734</v>
      </c>
      <c r="AK417" s="243"/>
      <c r="AL417" s="261" t="s">
        <v>311</v>
      </c>
      <c r="AM417" s="251" t="s">
        <v>1538</v>
      </c>
      <c r="AN417" s="251" t="s">
        <v>1551</v>
      </c>
      <c r="AO417" s="245">
        <v>80</v>
      </c>
      <c r="AP417" s="251">
        <f ca="1">INT((TODAY()-BDD[[#This Row],[FECHA NAC]])/365)</f>
        <v>32</v>
      </c>
      <c r="AQ417" s="251">
        <v>1</v>
      </c>
      <c r="AR417" s="251">
        <f ca="1">IF(BDD[[#This Row],[ANTIG]]=0,0,1)</f>
        <v>1</v>
      </c>
      <c r="AS417" s="251"/>
      <c r="AT417" s="251"/>
      <c r="AU417" s="251"/>
      <c r="AV417" s="251"/>
      <c r="AW417" s="251"/>
      <c r="AX417" s="251"/>
      <c r="AY417" s="251"/>
      <c r="AZ417" s="251">
        <f t="shared" ca="1" si="28"/>
        <v>36</v>
      </c>
    </row>
    <row r="418" spans="2:52" x14ac:dyDescent="0.25">
      <c r="B418" s="243">
        <v>628</v>
      </c>
      <c r="C418" s="259" t="s">
        <v>525</v>
      </c>
      <c r="D418" s="252">
        <v>9541</v>
      </c>
      <c r="E418" s="252">
        <f>(BDD[[#This Row],[SUE MENS]]/30)</f>
        <v>318.03333333333336</v>
      </c>
      <c r="F418" s="252">
        <f>BDD[[#This Row],[SUE MENS]]/2</f>
        <v>4770.5</v>
      </c>
      <c r="G418" s="320">
        <v>43809</v>
      </c>
      <c r="H418" s="243">
        <f ca="1">INT(_xlfn.DAYS(TODAY(),BDD[[#This Row],[FECHA ING.]])/365)</f>
        <v>2</v>
      </c>
      <c r="I418" s="251" t="str">
        <f>VLOOKUP(J418,TABLAS!$B$3:$G$49,2,FALSE)</f>
        <v>DIV ARQUIT</v>
      </c>
      <c r="J418" s="198" t="s">
        <v>740</v>
      </c>
      <c r="K418" s="251" t="s">
        <v>778</v>
      </c>
      <c r="L418" s="251" t="s">
        <v>763</v>
      </c>
      <c r="M418" s="251"/>
      <c r="N418" s="253" t="s">
        <v>1932</v>
      </c>
      <c r="O418" s="251" t="str">
        <f>IFERROR(VLOOKUP(BDD[[#This Row],[SUBDPTO]],TABLAS!$B$4:$D$36,3,0)," ")</f>
        <v>MÉRIDA ISELA MEDINA SALINAS</v>
      </c>
      <c r="P418" s="258">
        <v>42062</v>
      </c>
      <c r="Q418" s="254">
        <v>5956</v>
      </c>
      <c r="R418" s="255" t="s">
        <v>745</v>
      </c>
      <c r="S418" s="255" t="s">
        <v>758</v>
      </c>
      <c r="T418" s="251" t="s">
        <v>811</v>
      </c>
      <c r="U418" s="243">
        <f ca="1">VLOOKUP(BDD[[#This Row],[ANTIG]],DIASXANT18[#All],2)</f>
        <v>10</v>
      </c>
      <c r="V418" s="256">
        <f>100/200</f>
        <v>0.5</v>
      </c>
      <c r="W418" s="243">
        <f ca="1">BDD[[#This Row],[D.VAC.]]*BDD[[#This Row],[% P.V.]]</f>
        <v>5</v>
      </c>
      <c r="X418" s="243">
        <v>30</v>
      </c>
      <c r="Y418" s="257">
        <f ca="1">(365+BDD[[#This Row],[D.PAG.V.]]+BDD[[#This Row],[D.AG.]])/365</f>
        <v>1.095890410958904</v>
      </c>
      <c r="Z418" s="243">
        <f ca="1">BDD[[#This Row],[SUE DIA]]*BDD[[#This Row],[FACTOR SDI]]</f>
        <v>348.52968036529683</v>
      </c>
      <c r="AA418" s="243">
        <f>BDD[[#This Row],[SUE DIA]]/9</f>
        <v>35.337037037037042</v>
      </c>
      <c r="AB418" s="251">
        <v>32031</v>
      </c>
      <c r="AC418" s="251" t="s">
        <v>1005</v>
      </c>
      <c r="AD418" s="251" t="s">
        <v>790</v>
      </c>
      <c r="AE418" s="260">
        <v>8197210755</v>
      </c>
      <c r="AF418" s="251" t="s">
        <v>1400</v>
      </c>
      <c r="AG418" s="251" t="s">
        <v>776</v>
      </c>
      <c r="AH418" s="251" t="s">
        <v>730</v>
      </c>
      <c r="AI418" s="243" t="s">
        <v>151</v>
      </c>
      <c r="AJ418" s="258" cm="1">
        <f t="array" aca="1" ref="AJ418" ca="1">DATE(YEAR(FECH.CONS[FECHA DE CONSULTA:]),MONTH(BDD[[#This Row],[FECHA NAC]]),DAY(BDD[[#This Row],[FECHA NAC]]))</f>
        <v>44815</v>
      </c>
      <c r="AK418" s="243">
        <v>7</v>
      </c>
      <c r="AL418" s="261" t="s">
        <v>326</v>
      </c>
      <c r="AM418" s="251" t="s">
        <v>1543</v>
      </c>
      <c r="AN418" s="251" t="s">
        <v>1551</v>
      </c>
      <c r="AO418" s="245">
        <v>51</v>
      </c>
      <c r="AP418" s="251">
        <f ca="1">INT((TODAY()-BDD[[#This Row],[FECHA NAC]])/365)</f>
        <v>34</v>
      </c>
      <c r="AQ418" s="251">
        <v>1</v>
      </c>
      <c r="AR418" s="251">
        <f ca="1">IF(BDD[[#This Row],[ANTIG]]=0,0,1)</f>
        <v>1</v>
      </c>
      <c r="AS418" s="251"/>
      <c r="AT418" s="251"/>
      <c r="AU418" s="251"/>
      <c r="AV418" s="251"/>
      <c r="AW418" s="251"/>
      <c r="AX418" s="251"/>
      <c r="AY418" s="251"/>
      <c r="AZ418" s="251">
        <f t="shared" ca="1" si="28"/>
        <v>882</v>
      </c>
    </row>
    <row r="419" spans="2:52" x14ac:dyDescent="0.25">
      <c r="B419" s="243">
        <v>629</v>
      </c>
      <c r="C419" s="251" t="s">
        <v>277</v>
      </c>
      <c r="D419" s="252">
        <v>9450</v>
      </c>
      <c r="E419" s="252">
        <f>(BDD[[#This Row],[SUE MENS]]/30)</f>
        <v>315</v>
      </c>
      <c r="F419" s="252">
        <f>BDD[[#This Row],[SUE MENS]]/2</f>
        <v>4725</v>
      </c>
      <c r="G419" s="319">
        <v>43823</v>
      </c>
      <c r="H419" s="243">
        <f ca="1">INT(_xlfn.DAYS(TODAY(),BDD[[#This Row],[FECHA ING.]])/365)</f>
        <v>2</v>
      </c>
      <c r="I419" s="251" t="str">
        <f>VLOOKUP(J419,TABLAS!$B$3:$G$49,2,FALSE)</f>
        <v>AUDITORÍA</v>
      </c>
      <c r="J419" s="198" t="s">
        <v>736</v>
      </c>
      <c r="K419" s="251" t="s">
        <v>778</v>
      </c>
      <c r="L419" s="251" t="s">
        <v>763</v>
      </c>
      <c r="M419" s="251"/>
      <c r="N419" s="253" t="s">
        <v>2126</v>
      </c>
      <c r="O419" s="251" t="str">
        <f>IFERROR(VLOOKUP(BDD[[#This Row],[SUBDPTO]],TABLAS!$B$4:$D$36,3,0)," ")</f>
        <v>MARCO AURELIO URBINO</v>
      </c>
      <c r="P419" s="258"/>
      <c r="Q419" s="264"/>
      <c r="R419" s="244"/>
      <c r="S419" s="251"/>
      <c r="T419" s="251" t="s">
        <v>811</v>
      </c>
      <c r="U419" s="243">
        <f ca="1">VLOOKUP(BDD[[#This Row],[ANTIG]],DIASXANT18[#All],2)</f>
        <v>10</v>
      </c>
      <c r="V419" s="256">
        <f>100/200</f>
        <v>0.5</v>
      </c>
      <c r="W419" s="243">
        <f ca="1">BDD[[#This Row],[D.VAC.]]*BDD[[#This Row],[% P.V.]]</f>
        <v>5</v>
      </c>
      <c r="X419" s="243">
        <v>30</v>
      </c>
      <c r="Y419" s="257">
        <f ca="1">(365+BDD[[#This Row],[D.PAG.V.]]+BDD[[#This Row],[D.AG.]])/365</f>
        <v>1.095890410958904</v>
      </c>
      <c r="Z419" s="243">
        <f ca="1">BDD[[#This Row],[SUE DIA]]*BDD[[#This Row],[FACTOR SDI]]</f>
        <v>345.20547945205476</v>
      </c>
      <c r="AA419" s="243">
        <f>BDD[[#This Row],[SUE DIA]]/9</f>
        <v>35</v>
      </c>
      <c r="AB419" s="251">
        <v>34945</v>
      </c>
      <c r="AC419" s="251" t="s">
        <v>965</v>
      </c>
      <c r="AD419" s="251" t="s">
        <v>789</v>
      </c>
      <c r="AE419" s="252">
        <v>8112592975</v>
      </c>
      <c r="AF419" s="251" t="s">
        <v>1292</v>
      </c>
      <c r="AG419" s="251" t="s">
        <v>773</v>
      </c>
      <c r="AH419" s="251" t="s">
        <v>726</v>
      </c>
      <c r="AI419" s="243" t="s">
        <v>151</v>
      </c>
      <c r="AJ419" s="258" cm="1">
        <f t="array" aca="1" ref="AJ419" ca="1">DATE(YEAR(FECH.CONS[FECHA DE CONSULTA:]),MONTH(BDD[[#This Row],[FECHA NAC]]),DAY(BDD[[#This Row],[FECHA NAC]]))</f>
        <v>44807</v>
      </c>
      <c r="AK419" s="243"/>
      <c r="AL419" s="251" t="s">
        <v>311</v>
      </c>
      <c r="AM419" s="251" t="s">
        <v>1535</v>
      </c>
      <c r="AN419" s="251" t="s">
        <v>1551</v>
      </c>
      <c r="AO419" s="245">
        <v>43</v>
      </c>
      <c r="AP419" s="251">
        <f ca="1">INT((TODAY()-BDD[[#This Row],[FECHA NAC]])/365)</f>
        <v>26</v>
      </c>
      <c r="AQ419" s="251">
        <v>3</v>
      </c>
      <c r="AR419" s="251">
        <f ca="1">IF(BDD[[#This Row],[ANTIG]]=0,0,1)</f>
        <v>1</v>
      </c>
      <c r="AS419" s="251"/>
      <c r="AT419" s="251"/>
      <c r="AU419" s="251"/>
      <c r="AV419" s="251"/>
      <c r="AW419" s="251"/>
      <c r="AX419" s="251"/>
      <c r="AY419" s="251"/>
      <c r="AZ419" s="251">
        <f t="shared" ca="1" si="28"/>
        <v>571</v>
      </c>
    </row>
    <row r="420" spans="2:52" x14ac:dyDescent="0.25">
      <c r="B420" s="243">
        <v>631</v>
      </c>
      <c r="C420" s="259" t="s">
        <v>609</v>
      </c>
      <c r="D420" s="244">
        <v>6778</v>
      </c>
      <c r="E420" s="252">
        <f>(BDD[[#This Row],[SUE MENS]]/30)</f>
        <v>225.93333333333334</v>
      </c>
      <c r="F420" s="252">
        <f>BDD[[#This Row],[SUE MENS]]/2</f>
        <v>3389</v>
      </c>
      <c r="G420" s="319">
        <v>43825</v>
      </c>
      <c r="H420" s="243">
        <f ca="1">INT(_xlfn.DAYS(TODAY(),BDD[[#This Row],[FECHA ING.]])/365)</f>
        <v>2</v>
      </c>
      <c r="I420" s="251" t="str">
        <f>VLOOKUP(J420,TABLAS!$B$3:$G$49,2,FALSE)</f>
        <v>DIV INGENRIA</v>
      </c>
      <c r="J420" s="198" t="s">
        <v>743</v>
      </c>
      <c r="K420" s="251" t="s">
        <v>778</v>
      </c>
      <c r="L420" s="251" t="s">
        <v>763</v>
      </c>
      <c r="M420" s="251"/>
      <c r="N420" s="253" t="s">
        <v>2163</v>
      </c>
      <c r="O420" s="251" t="str">
        <f>IFERROR(VLOOKUP(BDD[[#This Row],[SUBDPTO]],TABLAS!$B$4:$D$36,3,0)," ")</f>
        <v>DIEGO HERRERA GIRÓN</v>
      </c>
      <c r="P420" s="258"/>
      <c r="Q420" s="264"/>
      <c r="R420" s="244"/>
      <c r="S420" s="251"/>
      <c r="T420" s="251" t="s">
        <v>811</v>
      </c>
      <c r="U420" s="243">
        <f ca="1">VLOOKUP(BDD[[#This Row],[ANTIG]],DIASXANT18[#All],2)</f>
        <v>10</v>
      </c>
      <c r="V420" s="266">
        <v>0.25</v>
      </c>
      <c r="W420" s="243">
        <f ca="1">BDD[[#This Row],[D.VAC.]]*BDD[[#This Row],[% P.V.]]</f>
        <v>2.5</v>
      </c>
      <c r="X420" s="265">
        <v>15</v>
      </c>
      <c r="Y420" s="257">
        <f ca="1">(365+BDD[[#This Row],[D.PAG.V.]]+BDD[[#This Row],[D.AG.]])/365</f>
        <v>1.047945205479452</v>
      </c>
      <c r="Z420" s="243">
        <f ca="1">BDD[[#This Row],[SUE DIA]]*BDD[[#This Row],[FACTOR SDI]]</f>
        <v>236.76575342465753</v>
      </c>
      <c r="AA420" s="243">
        <f>BDD[[#This Row],[SUE DIA]]/9</f>
        <v>25.103703703703705</v>
      </c>
      <c r="AB420" s="251">
        <v>28108</v>
      </c>
      <c r="AC420" s="251" t="s">
        <v>873</v>
      </c>
      <c r="AD420" s="251" t="s">
        <v>792</v>
      </c>
      <c r="AE420" s="260">
        <v>8205338018</v>
      </c>
      <c r="AF420" s="251" t="s">
        <v>1459</v>
      </c>
      <c r="AG420" s="251" t="s">
        <v>776</v>
      </c>
      <c r="AH420" s="251" t="s">
        <v>730</v>
      </c>
      <c r="AI420" s="243" t="s">
        <v>151</v>
      </c>
      <c r="AJ420" s="258" cm="1">
        <f t="array" aca="1" ref="AJ420" ca="1">DATE(YEAR(FECH.CONS[FECHA DE CONSULTA:]),MONTH(BDD[[#This Row],[FECHA NAC]]),DAY(BDD[[#This Row],[FECHA NAC]]))</f>
        <v>44909</v>
      </c>
      <c r="AK420" s="243">
        <v>10</v>
      </c>
      <c r="AL420" s="261" t="s">
        <v>311</v>
      </c>
      <c r="AM420" s="251" t="s">
        <v>1538</v>
      </c>
      <c r="AN420" s="251" t="s">
        <v>1551</v>
      </c>
      <c r="AO420" s="245">
        <v>74</v>
      </c>
      <c r="AP420" s="251">
        <f ca="1">INT((TODAY()-BDD[[#This Row],[FECHA NAC]])/365)</f>
        <v>45</v>
      </c>
      <c r="AQ420" s="251">
        <v>3</v>
      </c>
      <c r="AR420" s="251">
        <f ca="1">IF(BDD[[#This Row],[ANTIG]]=0,0,1)</f>
        <v>1</v>
      </c>
      <c r="AS420" s="251"/>
      <c r="AT420" s="251"/>
      <c r="AU420" s="251"/>
      <c r="AV420" s="251"/>
      <c r="AW420" s="251"/>
      <c r="AX420" s="251"/>
      <c r="AY420" s="251"/>
      <c r="AZ420" s="251">
        <f t="shared" ca="1" si="28"/>
        <v>602</v>
      </c>
    </row>
    <row r="421" spans="2:52" x14ac:dyDescent="0.25">
      <c r="B421" s="243">
        <v>632</v>
      </c>
      <c r="C421" s="251" t="s">
        <v>195</v>
      </c>
      <c r="D421" s="252">
        <v>9450</v>
      </c>
      <c r="E421" s="252">
        <f>(BDD[[#This Row],[SUE MENS]]/30)</f>
        <v>315</v>
      </c>
      <c r="F421" s="252">
        <f>BDD[[#This Row],[SUE MENS]]/2</f>
        <v>4725</v>
      </c>
      <c r="G421" s="319">
        <v>43826</v>
      </c>
      <c r="H421" s="243">
        <f ca="1">INT(_xlfn.DAYS(TODAY(),BDD[[#This Row],[FECHA ING.]])/365)</f>
        <v>2</v>
      </c>
      <c r="I421" s="251" t="str">
        <f>VLOOKUP(J421,TABLAS!$B$3:$G$49,2,FALSE)</f>
        <v>DIV ARQUIT</v>
      </c>
      <c r="J421" s="198" t="s">
        <v>741</v>
      </c>
      <c r="K421" s="251" t="s">
        <v>778</v>
      </c>
      <c r="L421" s="251" t="s">
        <v>763</v>
      </c>
      <c r="M421" s="251"/>
      <c r="N421" s="244" t="s">
        <v>2030</v>
      </c>
      <c r="O421" s="251" t="str">
        <f>IFERROR(VLOOKUP(BDD[[#This Row],[SUBDPTO]],TABLAS!$B$4:$D$36,3,0)," ")</f>
        <v>MÉRIDA ISELA MEDINA SALINAS</v>
      </c>
      <c r="P421" s="258"/>
      <c r="Q421" s="264"/>
      <c r="R421" s="244"/>
      <c r="S421" s="251"/>
      <c r="T421" s="251" t="s">
        <v>811</v>
      </c>
      <c r="U421" s="243">
        <f ca="1">VLOOKUP(BDD[[#This Row],[ANTIG]],DIASXANT18[#All],2)</f>
        <v>10</v>
      </c>
      <c r="V421" s="256">
        <f>100/200</f>
        <v>0.5</v>
      </c>
      <c r="W421" s="243">
        <f ca="1">BDD[[#This Row],[D.VAC.]]*BDD[[#This Row],[% P.V.]]</f>
        <v>5</v>
      </c>
      <c r="X421" s="243">
        <v>30</v>
      </c>
      <c r="Y421" s="257">
        <f ca="1">(365+BDD[[#This Row],[D.PAG.V.]]+BDD[[#This Row],[D.AG.]])/365</f>
        <v>1.095890410958904</v>
      </c>
      <c r="Z421" s="243">
        <f ca="1">BDD[[#This Row],[SUE DIA]]*BDD[[#This Row],[FACTOR SDI]]</f>
        <v>345.20547945205476</v>
      </c>
      <c r="AA421" s="243">
        <f>BDD[[#This Row],[SUE DIA]]/9</f>
        <v>35</v>
      </c>
      <c r="AB421" s="251">
        <v>33070</v>
      </c>
      <c r="AC421" s="251" t="s">
        <v>893</v>
      </c>
      <c r="AD421" s="251" t="s">
        <v>786</v>
      </c>
      <c r="AE421" s="252">
        <v>8825135014</v>
      </c>
      <c r="AF421" s="251" t="s">
        <v>1125</v>
      </c>
      <c r="AG421" s="251" t="s">
        <v>776</v>
      </c>
      <c r="AH421" s="251" t="s">
        <v>1555</v>
      </c>
      <c r="AI421" s="243" t="s">
        <v>151</v>
      </c>
      <c r="AJ421" s="258" cm="1">
        <f t="array" aca="1" ref="AJ421" ca="1">DATE(YEAR(FECH.CONS[FECHA DE CONSULTA:]),MONTH(BDD[[#This Row],[FECHA NAC]]),DAY(BDD[[#This Row],[FECHA NAC]]))</f>
        <v>44758</v>
      </c>
      <c r="AK421" s="243"/>
      <c r="AL421" s="261" t="s">
        <v>315</v>
      </c>
      <c r="AM421" s="251" t="s">
        <v>1543</v>
      </c>
      <c r="AN421" s="251" t="s">
        <v>1551</v>
      </c>
      <c r="AO421" s="245">
        <v>67</v>
      </c>
      <c r="AP421" s="251">
        <f ca="1">INT((TODAY()-BDD[[#This Row],[FECHA NAC]])/365)</f>
        <v>32</v>
      </c>
      <c r="AQ421" s="251">
        <v>2</v>
      </c>
      <c r="AR421" s="251">
        <f ca="1">IF(BDD[[#This Row],[ANTIG]]=0,0,1)</f>
        <v>1</v>
      </c>
      <c r="AS421" s="251"/>
      <c r="AT421" s="251"/>
      <c r="AU421" s="251"/>
      <c r="AV421" s="251"/>
      <c r="AW421" s="251"/>
      <c r="AX421" s="251"/>
      <c r="AY421" s="251"/>
      <c r="AZ421" s="251">
        <f t="shared" ca="1" si="28"/>
        <v>638</v>
      </c>
    </row>
    <row r="422" spans="2:52" x14ac:dyDescent="0.25">
      <c r="B422" s="243">
        <v>634</v>
      </c>
      <c r="C422" s="262" t="s">
        <v>332</v>
      </c>
      <c r="D422" s="263">
        <v>7445</v>
      </c>
      <c r="E422" s="252">
        <f>(BDD[[#This Row],[SUE MENS]]/30)</f>
        <v>248.16666666666666</v>
      </c>
      <c r="F422" s="252">
        <f>BDD[[#This Row],[SUE MENS]]/2</f>
        <v>3722.5</v>
      </c>
      <c r="G422" s="319">
        <v>43827</v>
      </c>
      <c r="H422" s="243">
        <f ca="1">INT(_xlfn.DAYS(TODAY(),BDD[[#This Row],[FECHA ING.]])/365)</f>
        <v>2</v>
      </c>
      <c r="I422" s="251" t="str">
        <f>VLOOKUP(J422,TABLAS!$B$3:$G$49,2,FALSE)</f>
        <v>AUDITORÍA</v>
      </c>
      <c r="J422" s="198" t="s">
        <v>734</v>
      </c>
      <c r="K422" s="251" t="s">
        <v>778</v>
      </c>
      <c r="L422" s="251" t="s">
        <v>763</v>
      </c>
      <c r="M422" s="251"/>
      <c r="N422" s="244" t="s">
        <v>1883</v>
      </c>
      <c r="O422" s="251" t="str">
        <f>IFERROR(VLOOKUP(BDD[[#This Row],[SUBDPTO]],TABLAS!$B$4:$D$36,3,0)," ")</f>
        <v>MARCO AURELIO URBINO</v>
      </c>
      <c r="P422" s="258"/>
      <c r="Q422" s="264"/>
      <c r="R422" s="244"/>
      <c r="S422" s="251"/>
      <c r="T422" s="251" t="s">
        <v>811</v>
      </c>
      <c r="U422" s="243">
        <f ca="1">VLOOKUP(BDD[[#This Row],[ANTIG]],DIASXANT18[#All],2)</f>
        <v>10</v>
      </c>
      <c r="V422" s="256">
        <f>100/200</f>
        <v>0.5</v>
      </c>
      <c r="W422" s="243">
        <f ca="1">BDD[[#This Row],[D.VAC.]]*BDD[[#This Row],[% P.V.]]</f>
        <v>5</v>
      </c>
      <c r="X422" s="243">
        <v>30</v>
      </c>
      <c r="Y422" s="257">
        <f ca="1">(365+BDD[[#This Row],[D.PAG.V.]]+BDD[[#This Row],[D.AG.]])/365</f>
        <v>1.095890410958904</v>
      </c>
      <c r="Z422" s="243">
        <f ca="1">BDD[[#This Row],[SUE DIA]]*BDD[[#This Row],[FACTOR SDI]]</f>
        <v>271.96347031963467</v>
      </c>
      <c r="AA422" s="243">
        <f>BDD[[#This Row],[SUE DIA]]/9</f>
        <v>27.574074074074073</v>
      </c>
      <c r="AB422" s="262">
        <v>30318</v>
      </c>
      <c r="AC422" s="251" t="s">
        <v>877</v>
      </c>
      <c r="AD422" s="251" t="s">
        <v>790</v>
      </c>
      <c r="AE422" s="252">
        <v>8234306266</v>
      </c>
      <c r="AF422" s="251" t="s">
        <v>1298</v>
      </c>
      <c r="AG422" s="251" t="s">
        <v>773</v>
      </c>
      <c r="AH422" s="251" t="s">
        <v>730</v>
      </c>
      <c r="AI422" s="243" t="s">
        <v>152</v>
      </c>
      <c r="AJ422" s="258" cm="1">
        <f t="array" aca="1" ref="AJ422" ca="1">DATE(YEAR(FECH.CONS[FECHA DE CONSULTA:]),MONTH(BDD[[#This Row],[FECHA NAC]]),DAY(BDD[[#This Row],[FECHA NAC]]))</f>
        <v>44563</v>
      </c>
      <c r="AK422" s="243">
        <v>9</v>
      </c>
      <c r="AL422" s="261" t="s">
        <v>316</v>
      </c>
      <c r="AM422" s="251" t="s">
        <v>1540</v>
      </c>
      <c r="AN422" s="251" t="s">
        <v>1551</v>
      </c>
      <c r="AO422" s="245">
        <v>45</v>
      </c>
      <c r="AP422" s="251">
        <f ca="1">INT((TODAY()-BDD[[#This Row],[FECHA NAC]])/365)</f>
        <v>39</v>
      </c>
      <c r="AQ422" s="251">
        <v>3</v>
      </c>
      <c r="AR422" s="251">
        <f ca="1">IF(BDD[[#This Row],[ANTIG]]=0,0,1)</f>
        <v>1</v>
      </c>
      <c r="AS422" s="251"/>
      <c r="AT422" s="251"/>
      <c r="AU422" s="251"/>
      <c r="AV422" s="251"/>
      <c r="AW422" s="251"/>
      <c r="AX422" s="251"/>
      <c r="AY422" s="251"/>
      <c r="AZ422" s="251">
        <f t="shared" ca="1" si="28"/>
        <v>245</v>
      </c>
    </row>
    <row r="423" spans="2:52" x14ac:dyDescent="0.25">
      <c r="B423" s="243">
        <v>635</v>
      </c>
      <c r="C423" s="251" t="s">
        <v>220</v>
      </c>
      <c r="D423" s="252">
        <v>9450</v>
      </c>
      <c r="E423" s="252">
        <f>(BDD[[#This Row],[SUE MENS]]/30)</f>
        <v>315</v>
      </c>
      <c r="F423" s="252">
        <f>BDD[[#This Row],[SUE MENS]]/2</f>
        <v>4725</v>
      </c>
      <c r="G423" s="319">
        <v>43830</v>
      </c>
      <c r="H423" s="243">
        <f ca="1">INT(_xlfn.DAYS(TODAY(),BDD[[#This Row],[FECHA ING.]])/365)</f>
        <v>2</v>
      </c>
      <c r="I423" s="251" t="str">
        <f>VLOOKUP(J423,TABLAS!$B$3:$G$49,2,FALSE)</f>
        <v>TECNOLOGÍA</v>
      </c>
      <c r="J423" s="198" t="s">
        <v>751</v>
      </c>
      <c r="K423" s="251" t="s">
        <v>778</v>
      </c>
      <c r="L423" s="251" t="s">
        <v>763</v>
      </c>
      <c r="M423" s="251"/>
      <c r="N423" s="244" t="s">
        <v>1778</v>
      </c>
      <c r="O423" s="251" t="str">
        <f>IFERROR(VLOOKUP(BDD[[#This Row],[SUBDPTO]],TABLAS!$B$4:$D$36,3,0)," ")</f>
        <v>DENEB SANTIAGO ALTAIR VEGA</v>
      </c>
      <c r="P423" s="258">
        <v>43226</v>
      </c>
      <c r="Q423" s="254">
        <v>5200</v>
      </c>
      <c r="R423" s="255" t="s">
        <v>748</v>
      </c>
      <c r="S423" s="255" t="s">
        <v>747</v>
      </c>
      <c r="T423" s="251" t="s">
        <v>301</v>
      </c>
      <c r="U423" s="243">
        <f ca="1">VLOOKUP(BDD[[#This Row],[ANTIG]],DIASXANT18[#All],2)</f>
        <v>10</v>
      </c>
      <c r="V423" s="256">
        <f>100/200</f>
        <v>0.5</v>
      </c>
      <c r="W423" s="243">
        <f ca="1">BDD[[#This Row],[D.VAC.]]*BDD[[#This Row],[% P.V.]]</f>
        <v>5</v>
      </c>
      <c r="X423" s="243">
        <v>30</v>
      </c>
      <c r="Y423" s="257">
        <f ca="1">(365+BDD[[#This Row],[D.PAG.V.]]+BDD[[#This Row],[D.AG.]])/365</f>
        <v>1.095890410958904</v>
      </c>
      <c r="Z423" s="243">
        <f ca="1">BDD[[#This Row],[SUE DIA]]*BDD[[#This Row],[FACTOR SDI]]</f>
        <v>345.20547945205476</v>
      </c>
      <c r="AA423" s="243">
        <f>BDD[[#This Row],[SUE DIA]]/9</f>
        <v>35</v>
      </c>
      <c r="AB423" s="251">
        <v>29431</v>
      </c>
      <c r="AC423" s="251" t="s">
        <v>997</v>
      </c>
      <c r="AD423" s="251" t="s">
        <v>787</v>
      </c>
      <c r="AE423" s="252">
        <v>5598996351</v>
      </c>
      <c r="AF423" s="251" t="s">
        <v>1170</v>
      </c>
      <c r="AG423" s="251" t="s">
        <v>776</v>
      </c>
      <c r="AH423" s="251" t="s">
        <v>730</v>
      </c>
      <c r="AI423" s="243" t="s">
        <v>151</v>
      </c>
      <c r="AJ423" s="258" cm="1">
        <f t="array" aca="1" ref="AJ423" ca="1">DATE(YEAR(FECH.CONS[FECHA DE CONSULTA:]),MONTH(BDD[[#This Row],[FECHA NAC]]),DAY(BDD[[#This Row],[FECHA NAC]]))</f>
        <v>44771</v>
      </c>
      <c r="AK423" s="243">
        <v>6</v>
      </c>
      <c r="AL423" s="261" t="s">
        <v>316</v>
      </c>
      <c r="AM423" s="251" t="s">
        <v>1547</v>
      </c>
      <c r="AN423" s="251" t="s">
        <v>1551</v>
      </c>
      <c r="AO423" s="245">
        <v>49</v>
      </c>
      <c r="AP423" s="251">
        <f ca="1">INT((TODAY()-BDD[[#This Row],[FECHA NAC]])/365)</f>
        <v>41</v>
      </c>
      <c r="AQ423" s="251">
        <v>0</v>
      </c>
      <c r="AR423" s="251">
        <f ca="1">IF(BDD[[#This Row],[ANTIG]]=0,0,1)</f>
        <v>1</v>
      </c>
      <c r="AS423" s="251"/>
      <c r="AT423" s="251"/>
      <c r="AU423" s="251"/>
      <c r="AV423" s="251"/>
      <c r="AW423" s="251"/>
      <c r="AX423" s="251"/>
      <c r="AY423" s="251"/>
      <c r="AZ423" s="251">
        <f t="shared" ca="1" si="28"/>
        <v>108</v>
      </c>
    </row>
    <row r="424" spans="2:52" x14ac:dyDescent="0.25">
      <c r="B424" s="243">
        <v>636</v>
      </c>
      <c r="C424" s="262" t="s">
        <v>335</v>
      </c>
      <c r="D424" s="252">
        <v>9541</v>
      </c>
      <c r="E424" s="252">
        <f>(BDD[[#This Row],[SUE MENS]]/30)</f>
        <v>318.03333333333336</v>
      </c>
      <c r="F424" s="252">
        <f>BDD[[#This Row],[SUE MENS]]/2</f>
        <v>4770.5</v>
      </c>
      <c r="G424" s="320">
        <v>43836</v>
      </c>
      <c r="H424" s="243">
        <f ca="1">INT(_xlfn.DAYS(TODAY(),BDD[[#This Row],[FECHA ING.]])/365)</f>
        <v>2</v>
      </c>
      <c r="I424" s="251" t="str">
        <f>VLOOKUP(J424,TABLAS!$B$3:$G$49,2,FALSE)</f>
        <v>CPTAL HUMANO</v>
      </c>
      <c r="J424" s="198" t="s">
        <v>758</v>
      </c>
      <c r="K424" s="251" t="s">
        <v>778</v>
      </c>
      <c r="L424" s="251" t="s">
        <v>763</v>
      </c>
      <c r="M424" s="251"/>
      <c r="N424" s="244" t="s">
        <v>1873</v>
      </c>
      <c r="O424" s="251" t="str">
        <f>IFERROR(VLOOKUP(BDD[[#This Row],[SUBDPTO]],TABLAS!$B$4:$D$36,3,0)," ")</f>
        <v>EMMA DARIELA GARCÍA LORCA</v>
      </c>
      <c r="P424" s="258">
        <v>42590</v>
      </c>
      <c r="Q424" s="254">
        <v>5200</v>
      </c>
      <c r="R424" s="255" t="s">
        <v>735</v>
      </c>
      <c r="S424" s="251"/>
      <c r="T424" s="251" t="s">
        <v>811</v>
      </c>
      <c r="U424" s="243">
        <f ca="1">VLOOKUP(BDD[[#This Row],[ANTIG]],DIASXANT18[#All],2)</f>
        <v>10</v>
      </c>
      <c r="V424" s="256">
        <f>100/200</f>
        <v>0.5</v>
      </c>
      <c r="W424" s="243">
        <f ca="1">BDD[[#This Row],[D.VAC.]]*BDD[[#This Row],[% P.V.]]</f>
        <v>5</v>
      </c>
      <c r="X424" s="243">
        <v>30</v>
      </c>
      <c r="Y424" s="257">
        <f ca="1">(365+BDD[[#This Row],[D.PAG.V.]]+BDD[[#This Row],[D.AG.]])/365</f>
        <v>1.095890410958904</v>
      </c>
      <c r="Z424" s="243">
        <f ca="1">BDD[[#This Row],[SUE DIA]]*BDD[[#This Row],[FACTOR SDI]]</f>
        <v>348.52968036529683</v>
      </c>
      <c r="AA424" s="243">
        <f>BDD[[#This Row],[SUE DIA]]/9</f>
        <v>35.337037037037042</v>
      </c>
      <c r="AB424" s="262">
        <v>31788</v>
      </c>
      <c r="AC424" s="251" t="s">
        <v>999</v>
      </c>
      <c r="AD424" s="251" t="s">
        <v>786</v>
      </c>
      <c r="AE424" s="252">
        <v>8457874650</v>
      </c>
      <c r="AF424" s="251" t="s">
        <v>1302</v>
      </c>
      <c r="AG424" s="251" t="s">
        <v>773</v>
      </c>
      <c r="AH424" s="251" t="s">
        <v>1555</v>
      </c>
      <c r="AI424" s="243" t="s">
        <v>151</v>
      </c>
      <c r="AJ424" s="258" cm="1">
        <f t="array" aca="1" ref="AJ424" ca="1">DATE(YEAR(FECH.CONS[FECHA DE CONSULTA:]),MONTH(BDD[[#This Row],[FECHA NAC]]),DAY(BDD[[#This Row],[FECHA NAC]]))</f>
        <v>44572</v>
      </c>
      <c r="AK424" s="243"/>
      <c r="AL424" s="261" t="s">
        <v>311</v>
      </c>
      <c r="AM424" s="251" t="s">
        <v>1534</v>
      </c>
      <c r="AN424" s="251" t="s">
        <v>1551</v>
      </c>
      <c r="AO424" s="245">
        <v>46</v>
      </c>
      <c r="AP424" s="251">
        <f ca="1">INT((TODAY()-BDD[[#This Row],[FECHA NAC]])/365)</f>
        <v>35</v>
      </c>
      <c r="AQ424" s="251">
        <v>2</v>
      </c>
      <c r="AR424" s="251">
        <f ca="1">IF(BDD[[#This Row],[ANTIG]]=0,0,1)</f>
        <v>1</v>
      </c>
      <c r="AS424" s="251"/>
      <c r="AT424" s="251"/>
      <c r="AU424" s="251"/>
      <c r="AV424" s="251"/>
      <c r="AW424" s="251"/>
      <c r="AX424" s="251"/>
      <c r="AY424" s="251"/>
      <c r="AZ424" s="251">
        <f t="shared" ca="1" si="28"/>
        <v>449</v>
      </c>
    </row>
    <row r="425" spans="2:52" x14ac:dyDescent="0.25">
      <c r="B425" s="243">
        <v>638</v>
      </c>
      <c r="C425" s="259" t="s">
        <v>543</v>
      </c>
      <c r="D425" s="263">
        <v>7445</v>
      </c>
      <c r="E425" s="252">
        <f>(BDD[[#This Row],[SUE MENS]]/30)</f>
        <v>248.16666666666666</v>
      </c>
      <c r="F425" s="252">
        <f>BDD[[#This Row],[SUE MENS]]/2</f>
        <v>3722.5</v>
      </c>
      <c r="G425" s="319">
        <v>43889</v>
      </c>
      <c r="H425" s="243">
        <f ca="1">INT(_xlfn.DAYS(TODAY(),BDD[[#This Row],[FECHA ING.]])/365)</f>
        <v>2</v>
      </c>
      <c r="I425" s="251" t="str">
        <f>VLOOKUP(J425,TABLAS!$B$3:$G$49,2,FALSE)</f>
        <v>DIRECCIÓN</v>
      </c>
      <c r="J425" s="198" t="s">
        <v>746</v>
      </c>
      <c r="K425" s="251" t="s">
        <v>778</v>
      </c>
      <c r="L425" s="251" t="s">
        <v>763</v>
      </c>
      <c r="M425" s="251"/>
      <c r="N425" s="253" t="s">
        <v>2072</v>
      </c>
      <c r="O425" s="251" t="str">
        <f>IFERROR(VLOOKUP(BDD[[#This Row],[SUBDPTO]],TABLAS!$B$4:$D$36,3,0)," ")</f>
        <v>MARIANA RODRÍGUEZ GUTIERREZ</v>
      </c>
      <c r="P425" s="258"/>
      <c r="Q425" s="264"/>
      <c r="R425" s="244"/>
      <c r="S425" s="251"/>
      <c r="T425" s="251" t="s">
        <v>811</v>
      </c>
      <c r="U425" s="243">
        <f ca="1">VLOOKUP(BDD[[#This Row],[ANTIG]],DIASXANT18[#All],2)</f>
        <v>10</v>
      </c>
      <c r="V425" s="266">
        <v>0.25</v>
      </c>
      <c r="W425" s="243">
        <f ca="1">BDD[[#This Row],[D.VAC.]]*BDD[[#This Row],[% P.V.]]</f>
        <v>2.5</v>
      </c>
      <c r="X425" s="265">
        <v>15</v>
      </c>
      <c r="Y425" s="257">
        <f ca="1">(365+BDD[[#This Row],[D.PAG.V.]]+BDD[[#This Row],[D.AG.]])/365</f>
        <v>1.047945205479452</v>
      </c>
      <c r="Z425" s="243">
        <f ca="1">BDD[[#This Row],[SUE DIA]]*BDD[[#This Row],[FACTOR SDI]]</f>
        <v>260.06506849315065</v>
      </c>
      <c r="AA425" s="243">
        <f>BDD[[#This Row],[SUE DIA]]/9</f>
        <v>27.574074074074073</v>
      </c>
      <c r="AB425" s="251">
        <v>29496</v>
      </c>
      <c r="AC425" s="251" t="s">
        <v>1058</v>
      </c>
      <c r="AD425" s="251" t="s">
        <v>790</v>
      </c>
      <c r="AE425" s="260">
        <v>8978651352</v>
      </c>
      <c r="AF425" s="251" t="s">
        <v>1412</v>
      </c>
      <c r="AG425" s="251" t="s">
        <v>776</v>
      </c>
      <c r="AH425" s="251" t="s">
        <v>1555</v>
      </c>
      <c r="AI425" s="243" t="s">
        <v>151</v>
      </c>
      <c r="AJ425" s="258" cm="1">
        <f t="array" aca="1" ref="AJ425" ca="1">DATE(YEAR(FECH.CONS[FECHA DE CONSULTA:]),MONTH(BDD[[#This Row],[FECHA NAC]]),DAY(BDD[[#This Row],[FECHA NAC]]))</f>
        <v>44836</v>
      </c>
      <c r="AK425" s="243"/>
      <c r="AL425" s="261" t="s">
        <v>311</v>
      </c>
      <c r="AM425" s="251" t="s">
        <v>1545</v>
      </c>
      <c r="AN425" s="251" t="s">
        <v>1551</v>
      </c>
      <c r="AO425" s="245">
        <v>85</v>
      </c>
      <c r="AP425" s="251">
        <f ca="1">INT((TODAY()-BDD[[#This Row],[FECHA NAC]])/365)</f>
        <v>41</v>
      </c>
      <c r="AQ425" s="251">
        <v>0</v>
      </c>
      <c r="AR425" s="251">
        <f ca="1">IF(BDD[[#This Row],[ANTIG]]=0,0,1)</f>
        <v>1</v>
      </c>
      <c r="AS425" s="251"/>
      <c r="AT425" s="251"/>
      <c r="AU425" s="251"/>
      <c r="AV425" s="251"/>
      <c r="AW425" s="251"/>
      <c r="AX425" s="251"/>
      <c r="AY425" s="251"/>
      <c r="AZ425" s="251">
        <f t="shared" ca="1" si="28"/>
        <v>504</v>
      </c>
    </row>
    <row r="426" spans="2:52" x14ac:dyDescent="0.25">
      <c r="B426" s="243">
        <v>639</v>
      </c>
      <c r="C426" s="251" t="s">
        <v>271</v>
      </c>
      <c r="D426" s="263">
        <v>7445</v>
      </c>
      <c r="E426" s="252">
        <f>(BDD[[#This Row],[SUE MENS]]/30)</f>
        <v>248.16666666666666</v>
      </c>
      <c r="F426" s="252">
        <f>BDD[[#This Row],[SUE MENS]]/2</f>
        <v>3722.5</v>
      </c>
      <c r="G426" s="320">
        <v>43900</v>
      </c>
      <c r="H426" s="243">
        <f ca="1">INT(_xlfn.DAYS(TODAY(),BDD[[#This Row],[FECHA ING.]])/365)</f>
        <v>2</v>
      </c>
      <c r="I426" s="251" t="str">
        <f>VLOOKUP(J426,TABLAS!$B$3:$G$49,2,FALSE)</f>
        <v>AUDITORÍA</v>
      </c>
      <c r="J426" s="198" t="s">
        <v>735</v>
      </c>
      <c r="K426" s="251" t="s">
        <v>778</v>
      </c>
      <c r="L426" s="251" t="s">
        <v>763</v>
      </c>
      <c r="M426" s="251"/>
      <c r="N426" s="253" t="s">
        <v>1921</v>
      </c>
      <c r="O426" s="251" t="str">
        <f>IFERROR(VLOOKUP(BDD[[#This Row],[SUBDPTO]],TABLAS!$B$4:$D$36,3,0)," ")</f>
        <v>MARCO AURELIO URBINO</v>
      </c>
      <c r="P426" s="258"/>
      <c r="Q426" s="264"/>
      <c r="R426" s="244"/>
      <c r="S426" s="251"/>
      <c r="T426" s="251" t="s">
        <v>811</v>
      </c>
      <c r="U426" s="243">
        <f ca="1">VLOOKUP(BDD[[#This Row],[ANTIG]],DIASXANT18[#All],2)</f>
        <v>10</v>
      </c>
      <c r="V426" s="256">
        <f t="shared" ref="V426:V431" si="30">100/200</f>
        <v>0.5</v>
      </c>
      <c r="W426" s="243">
        <f ca="1">BDD[[#This Row],[D.VAC.]]*BDD[[#This Row],[% P.V.]]</f>
        <v>5</v>
      </c>
      <c r="X426" s="243">
        <v>30</v>
      </c>
      <c r="Y426" s="257">
        <f ca="1">(365+BDD[[#This Row],[D.PAG.V.]]+BDD[[#This Row],[D.AG.]])/365</f>
        <v>1.095890410958904</v>
      </c>
      <c r="Z426" s="243">
        <f ca="1">BDD[[#This Row],[SUE DIA]]*BDD[[#This Row],[FACTOR SDI]]</f>
        <v>271.96347031963467</v>
      </c>
      <c r="AA426" s="243">
        <f>BDD[[#This Row],[SUE DIA]]/9</f>
        <v>27.574074074074073</v>
      </c>
      <c r="AB426" s="251">
        <v>30841</v>
      </c>
      <c r="AC426" s="251" t="s">
        <v>1021</v>
      </c>
      <c r="AD426" s="251" t="s">
        <v>787</v>
      </c>
      <c r="AE426" s="252">
        <v>8235586504</v>
      </c>
      <c r="AF426" s="251" t="s">
        <v>1287</v>
      </c>
      <c r="AG426" s="251" t="s">
        <v>776</v>
      </c>
      <c r="AH426" s="251" t="s">
        <v>730</v>
      </c>
      <c r="AI426" s="243" t="s">
        <v>151</v>
      </c>
      <c r="AJ426" s="258" cm="1">
        <f t="array" aca="1" ref="AJ426" ca="1">DATE(YEAR(FECH.CONS[FECHA DE CONSULTA:]),MONTH(BDD[[#This Row],[FECHA NAC]]),DAY(BDD[[#This Row],[FECHA NAC]]))</f>
        <v>44720</v>
      </c>
      <c r="AK426" s="243">
        <v>7</v>
      </c>
      <c r="AL426" s="261" t="s">
        <v>311</v>
      </c>
      <c r="AM426" s="251" t="s">
        <v>1537</v>
      </c>
      <c r="AN426" s="251" t="s">
        <v>1551</v>
      </c>
      <c r="AO426" s="245">
        <v>91</v>
      </c>
      <c r="AP426" s="251">
        <f ca="1">INT((TODAY()-BDD[[#This Row],[FECHA NAC]])/365)</f>
        <v>38</v>
      </c>
      <c r="AQ426" s="251">
        <v>3</v>
      </c>
      <c r="AR426" s="251">
        <f ca="1">IF(BDD[[#This Row],[ANTIG]]=0,0,1)</f>
        <v>1</v>
      </c>
      <c r="AS426" s="251"/>
      <c r="AT426" s="251"/>
      <c r="AU426" s="251"/>
      <c r="AV426" s="251"/>
      <c r="AW426" s="251"/>
      <c r="AX426" s="251"/>
      <c r="AY426" s="251"/>
      <c r="AZ426" s="251">
        <f t="shared" ca="1" si="28"/>
        <v>479</v>
      </c>
    </row>
    <row r="427" spans="2:52" x14ac:dyDescent="0.25">
      <c r="B427" s="243">
        <v>642</v>
      </c>
      <c r="C427" s="262" t="s">
        <v>339</v>
      </c>
      <c r="D427" s="252">
        <v>7445</v>
      </c>
      <c r="E427" s="252">
        <f>(BDD[[#This Row],[SUE MENS]]/30)</f>
        <v>248.16666666666666</v>
      </c>
      <c r="F427" s="252">
        <f>BDD[[#This Row],[SUE MENS]]/2</f>
        <v>3722.5</v>
      </c>
      <c r="G427" s="319">
        <v>43907</v>
      </c>
      <c r="H427" s="243">
        <f ca="1">INT(_xlfn.DAYS(TODAY(),BDD[[#This Row],[FECHA ING.]])/365)</f>
        <v>2</v>
      </c>
      <c r="I427" s="251" t="str">
        <f>VLOOKUP(J427,TABLAS!$B$3:$G$49,2,FALSE)</f>
        <v>DIRECCIÓN</v>
      </c>
      <c r="J427" s="198" t="s">
        <v>746</v>
      </c>
      <c r="K427" s="251" t="s">
        <v>778</v>
      </c>
      <c r="L427" s="251" t="s">
        <v>763</v>
      </c>
      <c r="M427" s="251"/>
      <c r="N427" s="253" t="s">
        <v>2144</v>
      </c>
      <c r="O427" s="251" t="str">
        <f>IFERROR(VLOOKUP(BDD[[#This Row],[SUBDPTO]],TABLAS!$B$4:$D$36,3,0)," ")</f>
        <v>MARIANA RODRÍGUEZ GUTIERREZ</v>
      </c>
      <c r="P427" s="258"/>
      <c r="Q427" s="264"/>
      <c r="R427" s="244"/>
      <c r="S427" s="251"/>
      <c r="T427" s="251" t="s">
        <v>301</v>
      </c>
      <c r="U427" s="243">
        <f ca="1">VLOOKUP(BDD[[#This Row],[ANTIG]],DIASXANT18[#All],2)</f>
        <v>10</v>
      </c>
      <c r="V427" s="256">
        <f t="shared" si="30"/>
        <v>0.5</v>
      </c>
      <c r="W427" s="243">
        <f ca="1">BDD[[#This Row],[D.VAC.]]*BDD[[#This Row],[% P.V.]]</f>
        <v>5</v>
      </c>
      <c r="X427" s="243">
        <v>30</v>
      </c>
      <c r="Y427" s="257">
        <f ca="1">(365+BDD[[#This Row],[D.PAG.V.]]+BDD[[#This Row],[D.AG.]])/365</f>
        <v>1.095890410958904</v>
      </c>
      <c r="Z427" s="243">
        <f ca="1">BDD[[#This Row],[SUE DIA]]*BDD[[#This Row],[FACTOR SDI]]</f>
        <v>271.96347031963467</v>
      </c>
      <c r="AA427" s="243">
        <f>BDD[[#This Row],[SUE DIA]]/9</f>
        <v>27.574074074074073</v>
      </c>
      <c r="AB427" s="262">
        <v>31577</v>
      </c>
      <c r="AC427" s="251" t="s">
        <v>932</v>
      </c>
      <c r="AD427" s="251" t="s">
        <v>786</v>
      </c>
      <c r="AE427" s="252">
        <v>8093962961</v>
      </c>
      <c r="AF427" s="251" t="s">
        <v>1307</v>
      </c>
      <c r="AG427" s="251" t="s">
        <v>773</v>
      </c>
      <c r="AH427" s="251" t="s">
        <v>727</v>
      </c>
      <c r="AI427" s="243" t="s">
        <v>151</v>
      </c>
      <c r="AJ427" s="258" cm="1">
        <f t="array" aca="1" ref="AJ427" ca="1">DATE(YEAR(FECH.CONS[FECHA DE CONSULTA:]),MONTH(BDD[[#This Row],[FECHA NAC]]),DAY(BDD[[#This Row],[FECHA NAC]]))</f>
        <v>44726</v>
      </c>
      <c r="AK427" s="243"/>
      <c r="AL427" s="251" t="s">
        <v>312</v>
      </c>
      <c r="AM427" s="251" t="s">
        <v>1541</v>
      </c>
      <c r="AN427" s="251" t="s">
        <v>1553</v>
      </c>
      <c r="AO427" s="245">
        <v>45</v>
      </c>
      <c r="AP427" s="251">
        <f ca="1">INT((TODAY()-BDD[[#This Row],[FECHA NAC]])/365)</f>
        <v>36</v>
      </c>
      <c r="AQ427" s="251">
        <v>3</v>
      </c>
      <c r="AR427" s="251">
        <f ca="1">IF(BDD[[#This Row],[ANTIG]]=0,0,1)</f>
        <v>1</v>
      </c>
      <c r="AS427" s="251"/>
      <c r="AT427" s="251"/>
      <c r="AU427" s="251"/>
      <c r="AV427" s="251"/>
      <c r="AW427" s="251"/>
      <c r="AX427" s="251"/>
      <c r="AY427" s="251"/>
      <c r="AZ427" s="251">
        <f t="shared" ca="1" si="28"/>
        <v>97</v>
      </c>
    </row>
    <row r="428" spans="2:52" x14ac:dyDescent="0.25">
      <c r="B428" s="243">
        <v>643</v>
      </c>
      <c r="C428" s="251" t="s">
        <v>191</v>
      </c>
      <c r="D428" s="263">
        <v>7445</v>
      </c>
      <c r="E428" s="252">
        <f>(BDD[[#This Row],[SUE MENS]]/30)</f>
        <v>248.16666666666666</v>
      </c>
      <c r="F428" s="252">
        <f>BDD[[#This Row],[SUE MENS]]/2</f>
        <v>3722.5</v>
      </c>
      <c r="G428" s="320">
        <v>43914</v>
      </c>
      <c r="H428" s="243">
        <f ca="1">INT(_xlfn.DAYS(TODAY(),BDD[[#This Row],[FECHA ING.]])/365)</f>
        <v>2</v>
      </c>
      <c r="I428" s="251" t="str">
        <f>VLOOKUP(J428,TABLAS!$B$3:$G$49,2,FALSE)</f>
        <v>DIRECCIÓN</v>
      </c>
      <c r="J428" s="198" t="s">
        <v>759</v>
      </c>
      <c r="K428" s="251" t="s">
        <v>778</v>
      </c>
      <c r="L428" s="251" t="s">
        <v>763</v>
      </c>
      <c r="M428" s="251"/>
      <c r="N428" s="244" t="s">
        <v>1802</v>
      </c>
      <c r="O428" s="251" t="str">
        <f>IFERROR(VLOOKUP(BDD[[#This Row],[SUBDPTO]],TABLAS!$B$4:$D$36,3,0)," ")</f>
        <v>MARIANA RODRÍGUEZ GUTIERREZ</v>
      </c>
      <c r="P428" s="258"/>
      <c r="Q428" s="264"/>
      <c r="R428" s="244"/>
      <c r="S428" s="251"/>
      <c r="T428" s="251" t="s">
        <v>811</v>
      </c>
      <c r="U428" s="243">
        <f ca="1">VLOOKUP(BDD[[#This Row],[ANTIG]],DIASXANT18[#All],2)</f>
        <v>10</v>
      </c>
      <c r="V428" s="256">
        <f t="shared" si="30"/>
        <v>0.5</v>
      </c>
      <c r="W428" s="243">
        <f ca="1">BDD[[#This Row],[D.VAC.]]*BDD[[#This Row],[% P.V.]]</f>
        <v>5</v>
      </c>
      <c r="X428" s="243">
        <v>30</v>
      </c>
      <c r="Y428" s="257">
        <f ca="1">(365+BDD[[#This Row],[D.PAG.V.]]+BDD[[#This Row],[D.AG.]])/365</f>
        <v>1.095890410958904</v>
      </c>
      <c r="Z428" s="243">
        <f ca="1">BDD[[#This Row],[SUE DIA]]*BDD[[#This Row],[FACTOR SDI]]</f>
        <v>271.96347031963467</v>
      </c>
      <c r="AA428" s="243">
        <f>BDD[[#This Row],[SUE DIA]]/9</f>
        <v>27.574074074074073</v>
      </c>
      <c r="AB428" s="251">
        <v>29491</v>
      </c>
      <c r="AC428" s="251" t="s">
        <v>924</v>
      </c>
      <c r="AD428" s="251" t="s">
        <v>810</v>
      </c>
      <c r="AE428" s="252">
        <v>8388710356</v>
      </c>
      <c r="AF428" s="251" t="s">
        <v>1207</v>
      </c>
      <c r="AG428" s="251" t="s">
        <v>773</v>
      </c>
      <c r="AH428" s="251" t="s">
        <v>730</v>
      </c>
      <c r="AI428" s="243" t="s">
        <v>151</v>
      </c>
      <c r="AJ428" s="258" cm="1">
        <f t="array" aca="1" ref="AJ428" ca="1">DATE(YEAR(FECH.CONS[FECHA DE CONSULTA:]),MONTH(BDD[[#This Row],[FECHA NAC]]),DAY(BDD[[#This Row],[FECHA NAC]]))</f>
        <v>44831</v>
      </c>
      <c r="AK428" s="243">
        <v>10</v>
      </c>
      <c r="AL428" s="261" t="s">
        <v>311</v>
      </c>
      <c r="AM428" s="251" t="s">
        <v>1534</v>
      </c>
      <c r="AN428" s="251" t="s">
        <v>1551</v>
      </c>
      <c r="AO428" s="245">
        <v>59</v>
      </c>
      <c r="AP428" s="251">
        <f ca="1">INT((TODAY()-BDD[[#This Row],[FECHA NAC]])/365)</f>
        <v>41</v>
      </c>
      <c r="AQ428" s="251">
        <v>3</v>
      </c>
      <c r="AR428" s="251">
        <f ca="1">IF(BDD[[#This Row],[ANTIG]]=0,0,1)</f>
        <v>1</v>
      </c>
      <c r="AS428" s="251"/>
      <c r="AT428" s="251"/>
      <c r="AU428" s="251"/>
      <c r="AV428" s="251"/>
      <c r="AW428" s="251"/>
      <c r="AX428" s="251"/>
      <c r="AY428" s="251"/>
      <c r="AZ428" s="251">
        <f t="shared" ca="1" si="28"/>
        <v>609</v>
      </c>
    </row>
    <row r="429" spans="2:52" x14ac:dyDescent="0.25">
      <c r="B429" s="243">
        <v>644</v>
      </c>
      <c r="C429" s="259" t="s">
        <v>647</v>
      </c>
      <c r="D429" s="252">
        <v>9541</v>
      </c>
      <c r="E429" s="252">
        <f>(BDD[[#This Row],[SUE MENS]]/30)</f>
        <v>318.03333333333336</v>
      </c>
      <c r="F429" s="252">
        <f>BDD[[#This Row],[SUE MENS]]/2</f>
        <v>4770.5</v>
      </c>
      <c r="G429" s="319">
        <v>43922</v>
      </c>
      <c r="H429" s="243">
        <f ca="1">INT(_xlfn.DAYS(TODAY(),BDD[[#This Row],[FECHA ING.]])/365)</f>
        <v>2</v>
      </c>
      <c r="I429" s="251" t="str">
        <f>VLOOKUP(J429,TABLAS!$B$3:$G$49,2,FALSE)</f>
        <v>DIV INGENRIA</v>
      </c>
      <c r="J429" s="198" t="s">
        <v>744</v>
      </c>
      <c r="K429" s="251" t="s">
        <v>778</v>
      </c>
      <c r="L429" s="251" t="s">
        <v>763</v>
      </c>
      <c r="M429" s="251"/>
      <c r="N429" s="253" t="s">
        <v>2131</v>
      </c>
      <c r="O429" s="251" t="str">
        <f>IFERROR(VLOOKUP(BDD[[#This Row],[SUBDPTO]],TABLAS!$B$4:$D$36,3,0)," ")</f>
        <v>DIEGO HERRERA GIRÓN</v>
      </c>
      <c r="P429" s="258">
        <v>42546</v>
      </c>
      <c r="Q429" s="254">
        <v>14160</v>
      </c>
      <c r="R429" s="255" t="s">
        <v>736</v>
      </c>
      <c r="S429" s="255" t="s">
        <v>768</v>
      </c>
      <c r="T429" s="251" t="s">
        <v>811</v>
      </c>
      <c r="U429" s="243">
        <f ca="1">VLOOKUP(BDD[[#This Row],[ANTIG]],DIASXANT18[#All],2)</f>
        <v>10</v>
      </c>
      <c r="V429" s="256">
        <f t="shared" si="30"/>
        <v>0.5</v>
      </c>
      <c r="W429" s="243">
        <f ca="1">BDD[[#This Row],[D.VAC.]]*BDD[[#This Row],[% P.V.]]</f>
        <v>5</v>
      </c>
      <c r="X429" s="243">
        <v>30</v>
      </c>
      <c r="Y429" s="257">
        <f ca="1">(365+BDD[[#This Row],[D.PAG.V.]]+BDD[[#This Row],[D.AG.]])/365</f>
        <v>1.095890410958904</v>
      </c>
      <c r="Z429" s="243">
        <f ca="1">BDD[[#This Row],[SUE DIA]]*BDD[[#This Row],[FACTOR SDI]]</f>
        <v>348.52968036529683</v>
      </c>
      <c r="AA429" s="243">
        <f>BDD[[#This Row],[SUE DIA]]/9</f>
        <v>35.337037037037042</v>
      </c>
      <c r="AB429" s="251">
        <v>34756</v>
      </c>
      <c r="AC429" s="251" t="s">
        <v>911</v>
      </c>
      <c r="AD429" s="251" t="s">
        <v>789</v>
      </c>
      <c r="AE429" s="260">
        <v>8196736645</v>
      </c>
      <c r="AF429" s="251" t="s">
        <v>1487</v>
      </c>
      <c r="AG429" s="251" t="s">
        <v>776</v>
      </c>
      <c r="AH429" s="251" t="s">
        <v>1555</v>
      </c>
      <c r="AI429" s="243" t="s">
        <v>151</v>
      </c>
      <c r="AJ429" s="258" cm="1">
        <f t="array" aca="1" ref="AJ429" ca="1">DATE(YEAR(FECH.CONS[FECHA DE CONSULTA:]),MONTH(BDD[[#This Row],[FECHA NAC]]),DAY(BDD[[#This Row],[FECHA NAC]]))</f>
        <v>44618</v>
      </c>
      <c r="AK429" s="243"/>
      <c r="AL429" s="261" t="s">
        <v>311</v>
      </c>
      <c r="AM429" s="251" t="s">
        <v>1538</v>
      </c>
      <c r="AN429" s="251" t="s">
        <v>1551</v>
      </c>
      <c r="AO429" s="245">
        <v>30</v>
      </c>
      <c r="AP429" s="251">
        <f ca="1">INT((TODAY()-BDD[[#This Row],[FECHA NAC]])/365)</f>
        <v>27</v>
      </c>
      <c r="AQ429" s="251">
        <v>1</v>
      </c>
      <c r="AR429" s="251">
        <f ca="1">IF(BDD[[#This Row],[ANTIG]]=0,0,1)</f>
        <v>1</v>
      </c>
      <c r="AS429" s="251"/>
      <c r="AT429" s="251"/>
      <c r="AU429" s="251"/>
      <c r="AV429" s="251"/>
      <c r="AW429" s="251"/>
      <c r="AX429" s="251"/>
      <c r="AY429" s="251"/>
      <c r="AZ429" s="251">
        <f t="shared" ca="1" si="28"/>
        <v>364</v>
      </c>
    </row>
    <row r="430" spans="2:52" x14ac:dyDescent="0.25">
      <c r="B430" s="243">
        <v>647</v>
      </c>
      <c r="C430" s="259" t="s">
        <v>537</v>
      </c>
      <c r="D430" s="252">
        <v>10860</v>
      </c>
      <c r="E430" s="252">
        <f>(BDD[[#This Row],[SUE MENS]]/30)</f>
        <v>362</v>
      </c>
      <c r="F430" s="252">
        <f>BDD[[#This Row],[SUE MENS]]/2</f>
        <v>5430</v>
      </c>
      <c r="G430" s="319">
        <v>43923</v>
      </c>
      <c r="H430" s="243">
        <f ca="1">INT(_xlfn.DAYS(TODAY(),BDD[[#This Row],[FECHA ING.]])/365)</f>
        <v>2</v>
      </c>
      <c r="I430" s="251" t="str">
        <f>VLOOKUP(J430,TABLAS!$B$3:$G$49,2,FALSE)</f>
        <v>DIV ARQUIT</v>
      </c>
      <c r="J430" s="198" t="s">
        <v>741</v>
      </c>
      <c r="K430" s="251" t="s">
        <v>778</v>
      </c>
      <c r="L430" s="251" t="s">
        <v>763</v>
      </c>
      <c r="M430" s="251"/>
      <c r="N430" s="253" t="s">
        <v>1828</v>
      </c>
      <c r="O430" s="251" t="str">
        <f>IFERROR(VLOOKUP(BDD[[#This Row],[SUBDPTO]],TABLAS!$B$4:$D$36,3,0)," ")</f>
        <v>MÉRIDA ISELA MEDINA SALINAS</v>
      </c>
      <c r="P430" s="258">
        <v>43722</v>
      </c>
      <c r="Q430" s="254">
        <v>9760</v>
      </c>
      <c r="R430" s="255" t="s">
        <v>743</v>
      </c>
      <c r="S430" s="251"/>
      <c r="T430" s="251" t="s">
        <v>811</v>
      </c>
      <c r="U430" s="243">
        <f ca="1">VLOOKUP(BDD[[#This Row],[ANTIG]],DIASXANT18[#All],2)</f>
        <v>10</v>
      </c>
      <c r="V430" s="256">
        <f t="shared" si="30"/>
        <v>0.5</v>
      </c>
      <c r="W430" s="243">
        <f ca="1">BDD[[#This Row],[D.VAC.]]*BDD[[#This Row],[% P.V.]]</f>
        <v>5</v>
      </c>
      <c r="X430" s="243">
        <v>30</v>
      </c>
      <c r="Y430" s="257">
        <f ca="1">(365+BDD[[#This Row],[D.PAG.V.]]+BDD[[#This Row],[D.AG.]])/365</f>
        <v>1.095890410958904</v>
      </c>
      <c r="Z430" s="243">
        <f ca="1">BDD[[#This Row],[SUE DIA]]*BDD[[#This Row],[FACTOR SDI]]</f>
        <v>396.71232876712327</v>
      </c>
      <c r="AA430" s="243">
        <f>BDD[[#This Row],[SUE DIA]]/9</f>
        <v>40.222222222222221</v>
      </c>
      <c r="AB430" s="251">
        <v>28025</v>
      </c>
      <c r="AC430" s="251" t="s">
        <v>929</v>
      </c>
      <c r="AD430" s="251" t="s">
        <v>789</v>
      </c>
      <c r="AE430" s="260">
        <v>7865321875</v>
      </c>
      <c r="AF430" s="251" t="s">
        <v>1408</v>
      </c>
      <c r="AG430" s="251" t="s">
        <v>776</v>
      </c>
      <c r="AH430" s="251" t="s">
        <v>730</v>
      </c>
      <c r="AI430" s="243" t="s">
        <v>152</v>
      </c>
      <c r="AJ430" s="258" cm="1">
        <f t="array" aca="1" ref="AJ430" ca="1">DATE(YEAR(FECH.CONS[FECHA DE CONSULTA:]),MONTH(BDD[[#This Row],[FECHA NAC]]),DAY(BDD[[#This Row],[FECHA NAC]]))</f>
        <v>44826</v>
      </c>
      <c r="AK430" s="243">
        <v>6</v>
      </c>
      <c r="AL430" s="261" t="s">
        <v>314</v>
      </c>
      <c r="AM430" s="251" t="s">
        <v>1543</v>
      </c>
      <c r="AN430" s="251" t="s">
        <v>1551</v>
      </c>
      <c r="AO430" s="245">
        <v>56</v>
      </c>
      <c r="AP430" s="251">
        <f ca="1">INT((TODAY()-BDD[[#This Row],[FECHA NAC]])/365)</f>
        <v>45</v>
      </c>
      <c r="AQ430" s="251">
        <v>1</v>
      </c>
      <c r="AR430" s="251">
        <f ca="1">IF(BDD[[#This Row],[ANTIG]]=0,0,1)</f>
        <v>1</v>
      </c>
      <c r="AS430" s="251"/>
      <c r="AT430" s="251"/>
      <c r="AU430" s="251"/>
      <c r="AV430" s="251"/>
      <c r="AW430" s="251"/>
      <c r="AX430" s="251"/>
      <c r="AY430" s="251"/>
      <c r="AZ430" s="251">
        <f t="shared" ca="1" si="28"/>
        <v>5</v>
      </c>
    </row>
    <row r="431" spans="2:52" x14ac:dyDescent="0.25">
      <c r="B431" s="243">
        <v>648</v>
      </c>
      <c r="C431" s="251" t="s">
        <v>252</v>
      </c>
      <c r="D431" s="252">
        <v>9450</v>
      </c>
      <c r="E431" s="252">
        <f>(BDD[[#This Row],[SUE MENS]]/30)</f>
        <v>315</v>
      </c>
      <c r="F431" s="252">
        <f>BDD[[#This Row],[SUE MENS]]/2</f>
        <v>4725</v>
      </c>
      <c r="G431" s="320">
        <v>43929</v>
      </c>
      <c r="H431" s="243">
        <f ca="1">INT(_xlfn.DAYS(TODAY(),BDD[[#This Row],[FECHA ING.]])/365)</f>
        <v>2</v>
      </c>
      <c r="I431" s="251" t="str">
        <f>VLOOKUP(J431,TABLAS!$B$3:$G$49,2,FALSE)</f>
        <v>DIV INGENRIA</v>
      </c>
      <c r="J431" s="198" t="s">
        <v>743</v>
      </c>
      <c r="K431" s="251" t="s">
        <v>778</v>
      </c>
      <c r="L431" s="251" t="s">
        <v>763</v>
      </c>
      <c r="M431" s="251"/>
      <c r="N431" s="244" t="s">
        <v>1782</v>
      </c>
      <c r="O431" s="251" t="str">
        <f>IFERROR(VLOOKUP(BDD[[#This Row],[SUBDPTO]],TABLAS!$B$4:$D$36,3,0)," ")</f>
        <v>DIEGO HERRERA GIRÓN</v>
      </c>
      <c r="P431" s="258">
        <v>42708</v>
      </c>
      <c r="Q431" s="254">
        <v>5422.4000000000005</v>
      </c>
      <c r="R431" s="255" t="s">
        <v>740</v>
      </c>
      <c r="S431" s="251"/>
      <c r="T431" s="251" t="s">
        <v>811</v>
      </c>
      <c r="U431" s="243">
        <f ca="1">VLOOKUP(BDD[[#This Row],[ANTIG]],DIASXANT18[#All],2)</f>
        <v>10</v>
      </c>
      <c r="V431" s="256">
        <f t="shared" si="30"/>
        <v>0.5</v>
      </c>
      <c r="W431" s="243">
        <f ca="1">BDD[[#This Row],[D.VAC.]]*BDD[[#This Row],[% P.V.]]</f>
        <v>5</v>
      </c>
      <c r="X431" s="243">
        <v>30</v>
      </c>
      <c r="Y431" s="257">
        <f ca="1">(365+BDD[[#This Row],[D.PAG.V.]]+BDD[[#This Row],[D.AG.]])/365</f>
        <v>1.095890410958904</v>
      </c>
      <c r="Z431" s="243">
        <f ca="1">BDD[[#This Row],[SUE DIA]]*BDD[[#This Row],[FACTOR SDI]]</f>
        <v>345.20547945205476</v>
      </c>
      <c r="AA431" s="243">
        <f>BDD[[#This Row],[SUE DIA]]/9</f>
        <v>35</v>
      </c>
      <c r="AB431" s="251">
        <v>35750</v>
      </c>
      <c r="AC431" s="251" t="s">
        <v>1016</v>
      </c>
      <c r="AD431" s="251" t="s">
        <v>791</v>
      </c>
      <c r="AE431" s="252">
        <v>8726034355</v>
      </c>
      <c r="AF431" s="251" t="s">
        <v>1170</v>
      </c>
      <c r="AG431" s="251" t="s">
        <v>776</v>
      </c>
      <c r="AH431" s="251" t="s">
        <v>730</v>
      </c>
      <c r="AI431" s="243" t="s">
        <v>151</v>
      </c>
      <c r="AJ431" s="258" cm="1">
        <f t="array" aca="1" ref="AJ431" ca="1">DATE(YEAR(FECH.CONS[FECHA DE CONSULTA:]),MONTH(BDD[[#This Row],[FECHA NAC]]),DAY(BDD[[#This Row],[FECHA NAC]]))</f>
        <v>44881</v>
      </c>
      <c r="AK431" s="243">
        <v>6</v>
      </c>
      <c r="AL431" s="261" t="s">
        <v>311</v>
      </c>
      <c r="AM431" s="251" t="s">
        <v>1538</v>
      </c>
      <c r="AN431" s="251" t="s">
        <v>1551</v>
      </c>
      <c r="AO431" s="245">
        <v>75</v>
      </c>
      <c r="AP431" s="251">
        <f ca="1">INT((TODAY()-BDD[[#This Row],[FECHA NAC]])/365)</f>
        <v>24</v>
      </c>
      <c r="AQ431" s="251">
        <v>0</v>
      </c>
      <c r="AR431" s="251">
        <f ca="1">IF(BDD[[#This Row],[ANTIG]]=0,0,1)</f>
        <v>1</v>
      </c>
      <c r="AS431" s="251"/>
      <c r="AT431" s="251"/>
      <c r="AU431" s="251"/>
      <c r="AV431" s="251"/>
      <c r="AW431" s="251"/>
      <c r="AX431" s="251"/>
      <c r="AY431" s="251"/>
      <c r="AZ431" s="251">
        <f t="shared" ca="1" si="28"/>
        <v>981</v>
      </c>
    </row>
    <row r="432" spans="2:52" x14ac:dyDescent="0.25">
      <c r="B432" s="246">
        <v>649</v>
      </c>
      <c r="C432" s="244" t="s">
        <v>1564</v>
      </c>
      <c r="D432" s="244">
        <v>6778</v>
      </c>
      <c r="E432" s="244">
        <f>(BDD[[#This Row],[SUE MENS]]/30)</f>
        <v>225.93333333333334</v>
      </c>
      <c r="F432" s="244">
        <f>BDD[[#This Row],[SUE MENS]]/2</f>
        <v>3389</v>
      </c>
      <c r="G432" s="319">
        <v>43930</v>
      </c>
      <c r="H432" s="244">
        <f ca="1">INT(_xlfn.DAYS(TODAY(),BDD[[#This Row],[FECHA ING.]])/365)</f>
        <v>2</v>
      </c>
      <c r="I432" s="251" t="str">
        <f>VLOOKUP(J432,TABLAS!$B$3:$G$49,2,FALSE)</f>
        <v>DIRECCIÓN</v>
      </c>
      <c r="J432" s="244" t="s">
        <v>759</v>
      </c>
      <c r="K432" s="244" t="s">
        <v>778</v>
      </c>
      <c r="L432" s="244" t="s">
        <v>763</v>
      </c>
      <c r="M432" s="244"/>
      <c r="N432" s="253" t="s">
        <v>2108</v>
      </c>
      <c r="O432" s="244" t="str">
        <f>IFERROR(VLOOKUP(BDD[[#This Row],[SUBDPTO]],TABLAS!$B$4:$D$36,3,0)," ")</f>
        <v>MARIANA RODRÍGUEZ GUTIERREZ</v>
      </c>
      <c r="P432" s="268"/>
      <c r="Q432" s="244"/>
      <c r="R432" s="244"/>
      <c r="S432" s="244"/>
      <c r="T432" s="244" t="s">
        <v>811</v>
      </c>
      <c r="U432" s="265">
        <f ca="1">VLOOKUP(BDD[[#This Row],[ANTIG]],DIASXANT18[#All],2)</f>
        <v>10</v>
      </c>
      <c r="V432" s="266">
        <v>0.25</v>
      </c>
      <c r="W432" s="265">
        <f ca="1">BDD[[#This Row],[D.VAC.]]*BDD[[#This Row],[% P.V.]]</f>
        <v>2.5</v>
      </c>
      <c r="X432" s="265">
        <v>15</v>
      </c>
      <c r="Y432" s="267">
        <f ca="1">(365+BDD[[#This Row],[D.PAG.V.]]+BDD[[#This Row],[D.AG.]])/365</f>
        <v>1.047945205479452</v>
      </c>
      <c r="Z432" s="265">
        <f ca="1">BDD[[#This Row],[SUE DIA]]*BDD[[#This Row],[FACTOR SDI]]</f>
        <v>236.76575342465753</v>
      </c>
      <c r="AA432" s="265">
        <f>BDD[[#This Row],[SUE DIA]]/9</f>
        <v>25.103703703703705</v>
      </c>
      <c r="AB432" s="244">
        <v>34744</v>
      </c>
      <c r="AC432" s="244" t="s">
        <v>1610</v>
      </c>
      <c r="AD432" s="244" t="s">
        <v>810</v>
      </c>
      <c r="AE432" s="244">
        <v>9945781236</v>
      </c>
      <c r="AF432" s="244" t="s">
        <v>1565</v>
      </c>
      <c r="AG432" s="244" t="s">
        <v>774</v>
      </c>
      <c r="AH432" s="244" t="s">
        <v>1555</v>
      </c>
      <c r="AI432" s="244" t="s">
        <v>152</v>
      </c>
      <c r="AJ432" s="268" cm="1">
        <f t="array" aca="1" ref="AJ432" ca="1">DATE(YEAR(FECH.CONS[FECHA DE CONSULTA:]),MONTH(BDD[[#This Row],[FECHA NAC]]),DAY(BDD[[#This Row],[FECHA NAC]]))</f>
        <v>44606</v>
      </c>
      <c r="AK432" s="244">
        <v>0</v>
      </c>
      <c r="AL432" s="244" t="s">
        <v>323</v>
      </c>
      <c r="AM432" s="244" t="s">
        <v>159</v>
      </c>
      <c r="AN432" s="244">
        <v>0</v>
      </c>
      <c r="AO432" s="244">
        <v>95</v>
      </c>
      <c r="AP432" s="244">
        <f ca="1">INT((TODAY()-BDD[[#This Row],[FECHA NAC]])/365)</f>
        <v>27</v>
      </c>
      <c r="AQ432" s="244">
        <v>3</v>
      </c>
      <c r="AR432" s="244">
        <f ca="1">IF(BDD[[#This Row],[ANTIG]]=0,0,1)</f>
        <v>1</v>
      </c>
      <c r="AS432" s="244"/>
      <c r="AT432" s="244"/>
      <c r="AU432" s="244"/>
      <c r="AV432" s="244"/>
      <c r="AW432" s="244"/>
      <c r="AX432" s="244"/>
      <c r="AY432" s="244"/>
      <c r="AZ432" s="244">
        <f t="shared" ca="1" si="28"/>
        <v>576</v>
      </c>
    </row>
    <row r="433" spans="2:52" x14ac:dyDescent="0.25">
      <c r="B433" s="243">
        <v>650</v>
      </c>
      <c r="C433" s="251" t="s">
        <v>242</v>
      </c>
      <c r="D433" s="252">
        <v>9541</v>
      </c>
      <c r="E433" s="252">
        <f>(BDD[[#This Row],[SUE MENS]]/30)</f>
        <v>318.03333333333336</v>
      </c>
      <c r="F433" s="252">
        <f>BDD[[#This Row],[SUE MENS]]/2</f>
        <v>4770.5</v>
      </c>
      <c r="G433" s="320">
        <v>43933</v>
      </c>
      <c r="H433" s="243">
        <f ca="1">INT(_xlfn.DAYS(TODAY(),BDD[[#This Row],[FECHA ING.]])/365)</f>
        <v>2</v>
      </c>
      <c r="I433" s="251" t="str">
        <f>VLOOKUP(J433,TABLAS!$B$3:$G$49,2,FALSE)</f>
        <v>AUDITORÍA</v>
      </c>
      <c r="J433" s="198" t="s">
        <v>734</v>
      </c>
      <c r="K433" s="251" t="s">
        <v>778</v>
      </c>
      <c r="L433" s="251" t="s">
        <v>763</v>
      </c>
      <c r="M433" s="251"/>
      <c r="N433" s="244" t="s">
        <v>2051</v>
      </c>
      <c r="O433" s="251" t="str">
        <f>IFERROR(VLOOKUP(BDD[[#This Row],[SUBDPTO]],TABLAS!$B$4:$D$36,3,0)," ")</f>
        <v>MARCO AURELIO URBINO</v>
      </c>
      <c r="P433" s="258">
        <v>43319</v>
      </c>
      <c r="Q433" s="254">
        <v>3888</v>
      </c>
      <c r="R433" s="255" t="s">
        <v>745</v>
      </c>
      <c r="S433" s="251"/>
      <c r="T433" s="251" t="s">
        <v>811</v>
      </c>
      <c r="U433" s="243">
        <f ca="1">VLOOKUP(BDD[[#This Row],[ANTIG]],DIASXANT18[#All],2)</f>
        <v>10</v>
      </c>
      <c r="V433" s="256">
        <f t="shared" ref="V433:V451" si="31">100/200</f>
        <v>0.5</v>
      </c>
      <c r="W433" s="243">
        <f ca="1">BDD[[#This Row],[D.VAC.]]*BDD[[#This Row],[% P.V.]]</f>
        <v>5</v>
      </c>
      <c r="X433" s="243">
        <v>30</v>
      </c>
      <c r="Y433" s="257">
        <f ca="1">(365+BDD[[#This Row],[D.PAG.V.]]+BDD[[#This Row],[D.AG.]])/365</f>
        <v>1.095890410958904</v>
      </c>
      <c r="Z433" s="243">
        <f ca="1">BDD[[#This Row],[SUE DIA]]*BDD[[#This Row],[FACTOR SDI]]</f>
        <v>348.52968036529683</v>
      </c>
      <c r="AA433" s="243">
        <f>BDD[[#This Row],[SUE DIA]]/9</f>
        <v>35.337037037037042</v>
      </c>
      <c r="AB433" s="251">
        <v>31724</v>
      </c>
      <c r="AC433" s="251" t="s">
        <v>881</v>
      </c>
      <c r="AD433" s="251" t="s">
        <v>790</v>
      </c>
      <c r="AE433" s="252">
        <v>8811348610</v>
      </c>
      <c r="AF433" s="251" t="s">
        <v>1269</v>
      </c>
      <c r="AG433" s="251" t="s">
        <v>773</v>
      </c>
      <c r="AH433" s="251" t="s">
        <v>730</v>
      </c>
      <c r="AI433" s="243" t="s">
        <v>151</v>
      </c>
      <c r="AJ433" s="258" cm="1">
        <f t="array" aca="1" ref="AJ433" ca="1">DATE(YEAR(FECH.CONS[FECHA DE CONSULTA:]),MONTH(BDD[[#This Row],[FECHA NAC]]),DAY(BDD[[#This Row],[FECHA NAC]]))</f>
        <v>44873</v>
      </c>
      <c r="AK433" s="243">
        <v>8</v>
      </c>
      <c r="AL433" s="251" t="s">
        <v>311</v>
      </c>
      <c r="AM433" s="251" t="s">
        <v>1535</v>
      </c>
      <c r="AN433" s="251" t="s">
        <v>1551</v>
      </c>
      <c r="AO433" s="245">
        <v>34</v>
      </c>
      <c r="AP433" s="251">
        <f ca="1">INT((TODAY()-BDD[[#This Row],[FECHA NAC]])/365)</f>
        <v>35</v>
      </c>
      <c r="AQ433" s="251">
        <v>0</v>
      </c>
      <c r="AR433" s="251">
        <f ca="1">IF(BDD[[#This Row],[ANTIG]]=0,0,1)</f>
        <v>1</v>
      </c>
      <c r="AS433" s="251"/>
      <c r="AT433" s="251"/>
      <c r="AU433" s="251"/>
      <c r="AV433" s="251"/>
      <c r="AW433" s="251"/>
      <c r="AX433" s="251"/>
      <c r="AY433" s="251"/>
      <c r="AZ433" s="251">
        <f t="shared" ca="1" si="28"/>
        <v>254</v>
      </c>
    </row>
    <row r="434" spans="2:52" x14ac:dyDescent="0.25">
      <c r="B434" s="243">
        <v>651</v>
      </c>
      <c r="C434" s="259" t="s">
        <v>584</v>
      </c>
      <c r="D434" s="252">
        <v>10860</v>
      </c>
      <c r="E434" s="252">
        <f>(BDD[[#This Row],[SUE MENS]]/30)</f>
        <v>362</v>
      </c>
      <c r="F434" s="252">
        <f>BDD[[#This Row],[SUE MENS]]/2</f>
        <v>5430</v>
      </c>
      <c r="G434" s="320">
        <v>43939</v>
      </c>
      <c r="H434" s="243">
        <f ca="1">INT(_xlfn.DAYS(TODAY(),BDD[[#This Row],[FECHA ING.]])/365)</f>
        <v>2</v>
      </c>
      <c r="I434" s="251" t="str">
        <f>VLOOKUP(J434,TABLAS!$B$3:$G$49,2,FALSE)</f>
        <v>DIRECCIÓN</v>
      </c>
      <c r="J434" s="198" t="s">
        <v>759</v>
      </c>
      <c r="K434" s="251" t="s">
        <v>778</v>
      </c>
      <c r="L434" s="251" t="s">
        <v>763</v>
      </c>
      <c r="M434" s="251"/>
      <c r="N434" s="244" t="s">
        <v>1884</v>
      </c>
      <c r="O434" s="251" t="str">
        <f>IFERROR(VLOOKUP(BDD[[#This Row],[SUBDPTO]],TABLAS!$B$4:$D$36,3,0)," ")</f>
        <v>MARIANA RODRÍGUEZ GUTIERREZ</v>
      </c>
      <c r="P434" s="258">
        <v>40760</v>
      </c>
      <c r="Q434" s="254">
        <v>5422.4000000000005</v>
      </c>
      <c r="R434" s="261" t="s">
        <v>745</v>
      </c>
      <c r="S434" s="255" t="s">
        <v>740</v>
      </c>
      <c r="T434" s="251" t="s">
        <v>811</v>
      </c>
      <c r="U434" s="243">
        <f ca="1">VLOOKUP(BDD[[#This Row],[ANTIG]],DIASXANT18[#All],2)</f>
        <v>10</v>
      </c>
      <c r="V434" s="256">
        <f t="shared" si="31"/>
        <v>0.5</v>
      </c>
      <c r="W434" s="243">
        <f ca="1">BDD[[#This Row],[D.VAC.]]*BDD[[#This Row],[% P.V.]]</f>
        <v>5</v>
      </c>
      <c r="X434" s="243">
        <v>30</v>
      </c>
      <c r="Y434" s="257">
        <f ca="1">(365+BDD[[#This Row],[D.PAG.V.]]+BDD[[#This Row],[D.AG.]])/365</f>
        <v>1.095890410958904</v>
      </c>
      <c r="Z434" s="243">
        <f ca="1">BDD[[#This Row],[SUE DIA]]*BDD[[#This Row],[FACTOR SDI]]</f>
        <v>396.71232876712327</v>
      </c>
      <c r="AA434" s="243">
        <f>BDD[[#This Row],[SUE DIA]]/9</f>
        <v>40.222222222222221</v>
      </c>
      <c r="AB434" s="251">
        <v>31379</v>
      </c>
      <c r="AC434" s="251" t="s">
        <v>1033</v>
      </c>
      <c r="AD434" s="251" t="s">
        <v>787</v>
      </c>
      <c r="AE434" s="260">
        <v>5434641798</v>
      </c>
      <c r="AF434" s="251" t="s">
        <v>1444</v>
      </c>
      <c r="AG434" s="251" t="s">
        <v>776</v>
      </c>
      <c r="AH434" s="251" t="s">
        <v>730</v>
      </c>
      <c r="AI434" s="243" t="s">
        <v>151</v>
      </c>
      <c r="AJ434" s="258" cm="1">
        <f t="array" aca="1" ref="AJ434" ca="1">DATE(YEAR(FECH.CONS[FECHA DE CONSULTA:]),MONTH(BDD[[#This Row],[FECHA NAC]]),DAY(BDD[[#This Row],[FECHA NAC]]))</f>
        <v>44893</v>
      </c>
      <c r="AK434" s="243">
        <v>6</v>
      </c>
      <c r="AL434" s="261" t="s">
        <v>311</v>
      </c>
      <c r="AM434" s="251" t="s">
        <v>1535</v>
      </c>
      <c r="AN434" s="251" t="s">
        <v>1551</v>
      </c>
      <c r="AO434" s="245">
        <v>82</v>
      </c>
      <c r="AP434" s="251">
        <f ca="1">INT((TODAY()-BDD[[#This Row],[FECHA NAC]])/365)</f>
        <v>36</v>
      </c>
      <c r="AQ434" s="251">
        <v>1</v>
      </c>
      <c r="AR434" s="251">
        <f ca="1">IF(BDD[[#This Row],[ANTIG]]=0,0,1)</f>
        <v>1</v>
      </c>
      <c r="AS434" s="251"/>
      <c r="AT434" s="251"/>
      <c r="AU434" s="251"/>
      <c r="AV434" s="251"/>
      <c r="AW434" s="251"/>
      <c r="AX434" s="251"/>
      <c r="AY434" s="251"/>
      <c r="AZ434" s="251">
        <f t="shared" ca="1" si="28"/>
        <v>430</v>
      </c>
    </row>
    <row r="435" spans="2:52" x14ac:dyDescent="0.25">
      <c r="B435" s="243">
        <v>652</v>
      </c>
      <c r="C435" s="251" t="s">
        <v>432</v>
      </c>
      <c r="D435" s="252">
        <v>8825</v>
      </c>
      <c r="E435" s="252">
        <f>(BDD[[#This Row],[SUE MENS]]/30)</f>
        <v>294.16666666666669</v>
      </c>
      <c r="F435" s="252">
        <f>BDD[[#This Row],[SUE MENS]]/2</f>
        <v>4412.5</v>
      </c>
      <c r="G435" s="320">
        <v>43939</v>
      </c>
      <c r="H435" s="243">
        <f ca="1">INT(_xlfn.DAYS(TODAY(),BDD[[#This Row],[FECHA ING.]])/365)</f>
        <v>2</v>
      </c>
      <c r="I435" s="251" t="str">
        <f>VLOOKUP(J435,TABLAS!$B$3:$G$49,2,FALSE)</f>
        <v>DIV INGENRIA</v>
      </c>
      <c r="J435" s="198" t="s">
        <v>744</v>
      </c>
      <c r="K435" s="251" t="s">
        <v>778</v>
      </c>
      <c r="L435" s="251" t="s">
        <v>763</v>
      </c>
      <c r="M435" s="251"/>
      <c r="N435" s="244" t="s">
        <v>2199</v>
      </c>
      <c r="O435" s="251" t="str">
        <f>IFERROR(VLOOKUP(BDD[[#This Row],[SUBDPTO]],TABLAS!$B$4:$D$36,3,0)," ")</f>
        <v>DIEGO HERRERA GIRÓN</v>
      </c>
      <c r="P435" s="258">
        <v>43573</v>
      </c>
      <c r="Q435" s="254">
        <v>6240</v>
      </c>
      <c r="R435" s="255" t="s">
        <v>748</v>
      </c>
      <c r="S435" s="251"/>
      <c r="T435" s="251" t="s">
        <v>811</v>
      </c>
      <c r="U435" s="243">
        <f ca="1">VLOOKUP(BDD[[#This Row],[ANTIG]],DIASXANT18[#All],2)</f>
        <v>10</v>
      </c>
      <c r="V435" s="256">
        <f t="shared" si="31"/>
        <v>0.5</v>
      </c>
      <c r="W435" s="243">
        <f ca="1">BDD[[#This Row],[D.VAC.]]*BDD[[#This Row],[% P.V.]]</f>
        <v>5</v>
      </c>
      <c r="X435" s="243">
        <v>30</v>
      </c>
      <c r="Y435" s="257">
        <f ca="1">(365+BDD[[#This Row],[D.PAG.V.]]+BDD[[#This Row],[D.AG.]])/365</f>
        <v>1.095890410958904</v>
      </c>
      <c r="Z435" s="243">
        <f ca="1">BDD[[#This Row],[SUE DIA]]*BDD[[#This Row],[FACTOR SDI]]</f>
        <v>322.3744292237443</v>
      </c>
      <c r="AA435" s="243">
        <f>BDD[[#This Row],[SUE DIA]]/9</f>
        <v>32.68518518518519</v>
      </c>
      <c r="AB435" s="251">
        <v>31281</v>
      </c>
      <c r="AC435" s="251" t="s">
        <v>1020</v>
      </c>
      <c r="AD435" s="251" t="s">
        <v>809</v>
      </c>
      <c r="AE435" s="252">
        <v>8980247894</v>
      </c>
      <c r="AF435" s="251" t="s">
        <v>1285</v>
      </c>
      <c r="AG435" s="251" t="s">
        <v>776</v>
      </c>
      <c r="AH435" s="251" t="s">
        <v>1555</v>
      </c>
      <c r="AI435" s="243" t="s">
        <v>153</v>
      </c>
      <c r="AJ435" s="258" cm="1">
        <f t="array" aca="1" ref="AJ435" ca="1">DATE(YEAR(FECH.CONS[FECHA DE CONSULTA:]),MONTH(BDD[[#This Row],[FECHA NAC]]),DAY(BDD[[#This Row],[FECHA NAC]]))</f>
        <v>44795</v>
      </c>
      <c r="AK435" s="243"/>
      <c r="AL435" s="251" t="s">
        <v>315</v>
      </c>
      <c r="AM435" s="251" t="s">
        <v>1549</v>
      </c>
      <c r="AN435" s="251" t="s">
        <v>1551</v>
      </c>
      <c r="AO435" s="245">
        <v>51</v>
      </c>
      <c r="AP435" s="251">
        <f ca="1">INT((TODAY()-BDD[[#This Row],[FECHA NAC]])/365)</f>
        <v>36</v>
      </c>
      <c r="AQ435" s="251">
        <v>1</v>
      </c>
      <c r="AR435" s="251">
        <f ca="1">IF(BDD[[#This Row],[ANTIG]]=0,0,1)</f>
        <v>1</v>
      </c>
      <c r="AS435" s="251"/>
      <c r="AT435" s="251"/>
      <c r="AU435" s="251"/>
      <c r="AV435" s="251"/>
      <c r="AW435" s="251"/>
      <c r="AX435" s="251"/>
      <c r="AY435" s="251"/>
      <c r="AZ435" s="251">
        <f t="shared" ca="1" si="28"/>
        <v>275</v>
      </c>
    </row>
    <row r="436" spans="2:52" x14ac:dyDescent="0.25">
      <c r="B436" s="243">
        <v>653</v>
      </c>
      <c r="C436" s="259" t="s">
        <v>585</v>
      </c>
      <c r="D436" s="252">
        <v>8825</v>
      </c>
      <c r="E436" s="252">
        <f>(BDD[[#This Row],[SUE MENS]]/30)</f>
        <v>294.16666666666669</v>
      </c>
      <c r="F436" s="252">
        <f>BDD[[#This Row],[SUE MENS]]/2</f>
        <v>4412.5</v>
      </c>
      <c r="G436" s="319">
        <v>43941</v>
      </c>
      <c r="H436" s="243">
        <f ca="1">INT(_xlfn.DAYS(TODAY(),BDD[[#This Row],[FECHA ING.]])/365)</f>
        <v>2</v>
      </c>
      <c r="I436" s="251" t="str">
        <f>VLOOKUP(J436,TABLAS!$B$3:$G$49,2,FALSE)</f>
        <v>DIV ARQUIT</v>
      </c>
      <c r="J436" s="198" t="s">
        <v>740</v>
      </c>
      <c r="K436" s="251" t="s">
        <v>778</v>
      </c>
      <c r="L436" s="251" t="s">
        <v>763</v>
      </c>
      <c r="M436" s="251"/>
      <c r="N436" s="244" t="s">
        <v>1914</v>
      </c>
      <c r="O436" s="251" t="str">
        <f>IFERROR(VLOOKUP(BDD[[#This Row],[SUBDPTO]],TABLAS!$B$4:$D$36,3,0)," ")</f>
        <v>MÉRIDA ISELA MEDINA SALINAS</v>
      </c>
      <c r="P436" s="258"/>
      <c r="Q436" s="264"/>
      <c r="R436" s="244"/>
      <c r="S436" s="251"/>
      <c r="T436" s="251" t="s">
        <v>811</v>
      </c>
      <c r="U436" s="243">
        <f ca="1">VLOOKUP(BDD[[#This Row],[ANTIG]],DIASXANT18[#All],2)</f>
        <v>10</v>
      </c>
      <c r="V436" s="256">
        <f t="shared" si="31"/>
        <v>0.5</v>
      </c>
      <c r="W436" s="243">
        <f ca="1">BDD[[#This Row],[D.VAC.]]*BDD[[#This Row],[% P.V.]]</f>
        <v>5</v>
      </c>
      <c r="X436" s="243">
        <v>30</v>
      </c>
      <c r="Y436" s="257">
        <f ca="1">(365+BDD[[#This Row],[D.PAG.V.]]+BDD[[#This Row],[D.AG.]])/365</f>
        <v>1.095890410958904</v>
      </c>
      <c r="Z436" s="243">
        <f ca="1">BDD[[#This Row],[SUE DIA]]*BDD[[#This Row],[FACTOR SDI]]</f>
        <v>322.3744292237443</v>
      </c>
      <c r="AA436" s="243">
        <f>BDD[[#This Row],[SUE DIA]]/9</f>
        <v>32.68518518518519</v>
      </c>
      <c r="AB436" s="251">
        <v>32445</v>
      </c>
      <c r="AC436" s="251" t="s">
        <v>1031</v>
      </c>
      <c r="AD436" s="251" t="s">
        <v>791</v>
      </c>
      <c r="AE436" s="260">
        <v>4318074576</v>
      </c>
      <c r="AF436" s="251" t="s">
        <v>1445</v>
      </c>
      <c r="AG436" s="251" t="s">
        <v>774</v>
      </c>
      <c r="AH436" s="251" t="s">
        <v>725</v>
      </c>
      <c r="AI436" s="243" t="s">
        <v>151</v>
      </c>
      <c r="AJ436" s="258" cm="1">
        <f t="array" aca="1" ref="AJ436" ca="1">DATE(YEAR(FECH.CONS[FECHA DE CONSULTA:]),MONTH(BDD[[#This Row],[FECHA NAC]]),DAY(BDD[[#This Row],[FECHA NAC]]))</f>
        <v>44863</v>
      </c>
      <c r="AK436" s="243"/>
      <c r="AL436" s="261" t="s">
        <v>323</v>
      </c>
      <c r="AM436" s="251" t="s">
        <v>1543</v>
      </c>
      <c r="AN436" s="251" t="s">
        <v>1551</v>
      </c>
      <c r="AO436" s="245">
        <v>61</v>
      </c>
      <c r="AP436" s="251">
        <f ca="1">INT((TODAY()-BDD[[#This Row],[FECHA NAC]])/365)</f>
        <v>33</v>
      </c>
      <c r="AQ436" s="251">
        <v>2</v>
      </c>
      <c r="AR436" s="251">
        <f ca="1">IF(BDD[[#This Row],[ANTIG]]=0,0,1)</f>
        <v>1</v>
      </c>
      <c r="AS436" s="251"/>
      <c r="AT436" s="251"/>
      <c r="AU436" s="251"/>
      <c r="AV436" s="251"/>
      <c r="AW436" s="251"/>
      <c r="AX436" s="251"/>
      <c r="AY436" s="251"/>
      <c r="AZ436" s="251">
        <f t="shared" ca="1" si="28"/>
        <v>884</v>
      </c>
    </row>
    <row r="437" spans="2:52" x14ac:dyDescent="0.25">
      <c r="B437" s="243">
        <v>654</v>
      </c>
      <c r="C437" s="251" t="s">
        <v>189</v>
      </c>
      <c r="D437" s="252">
        <v>7445</v>
      </c>
      <c r="E437" s="252">
        <f>(BDD[[#This Row],[SUE MENS]]/30)</f>
        <v>248.16666666666666</v>
      </c>
      <c r="F437" s="252">
        <f>BDD[[#This Row],[SUE MENS]]/2</f>
        <v>3722.5</v>
      </c>
      <c r="G437" s="319">
        <v>43945</v>
      </c>
      <c r="H437" s="243">
        <f ca="1">INT(_xlfn.DAYS(TODAY(),BDD[[#This Row],[FECHA ING.]])/365)</f>
        <v>2</v>
      </c>
      <c r="I437" s="251" t="str">
        <f>VLOOKUP(J437,TABLAS!$B$3:$G$49,2,FALSE)</f>
        <v>DIV ARQUIT</v>
      </c>
      <c r="J437" s="198" t="s">
        <v>740</v>
      </c>
      <c r="K437" s="251" t="s">
        <v>778</v>
      </c>
      <c r="L437" s="251" t="s">
        <v>763</v>
      </c>
      <c r="M437" s="251"/>
      <c r="N437" s="253" t="s">
        <v>1920</v>
      </c>
      <c r="O437" s="251" t="str">
        <f>IFERROR(VLOOKUP(BDD[[#This Row],[SUBDPTO]],TABLAS!$B$4:$D$36,3,0)," ")</f>
        <v>MÉRIDA ISELA MEDINA SALINAS</v>
      </c>
      <c r="P437" s="258">
        <v>44356</v>
      </c>
      <c r="Q437" s="264" t="e">
        <f>#REF!*0.8</f>
        <v>#REF!</v>
      </c>
      <c r="R437" s="255" t="s">
        <v>735</v>
      </c>
      <c r="S437" s="251"/>
      <c r="T437" s="251" t="s">
        <v>811</v>
      </c>
      <c r="U437" s="243">
        <f ca="1">VLOOKUP(BDD[[#This Row],[ANTIG]],DIASXANT18[#All],2)</f>
        <v>10</v>
      </c>
      <c r="V437" s="256">
        <f t="shared" si="31"/>
        <v>0.5</v>
      </c>
      <c r="W437" s="243">
        <f ca="1">BDD[[#This Row],[D.VAC.]]*BDD[[#This Row],[% P.V.]]</f>
        <v>5</v>
      </c>
      <c r="X437" s="243">
        <v>30</v>
      </c>
      <c r="Y437" s="257">
        <f ca="1">(365+BDD[[#This Row],[D.PAG.V.]]+BDD[[#This Row],[D.AG.]])/365</f>
        <v>1.095890410958904</v>
      </c>
      <c r="Z437" s="243">
        <f ca="1">BDD[[#This Row],[SUE DIA]]*BDD[[#This Row],[FACTOR SDI]]</f>
        <v>271.96347031963467</v>
      </c>
      <c r="AA437" s="243">
        <f>BDD[[#This Row],[SUE DIA]]/9</f>
        <v>27.574074074074073</v>
      </c>
      <c r="AB437" s="251">
        <v>34835</v>
      </c>
      <c r="AC437" s="251" t="s">
        <v>974</v>
      </c>
      <c r="AD437" s="251" t="s">
        <v>789</v>
      </c>
      <c r="AE437" s="252">
        <v>8580949341</v>
      </c>
      <c r="AF437" s="251" t="s">
        <v>1205</v>
      </c>
      <c r="AG437" s="251" t="s">
        <v>776</v>
      </c>
      <c r="AH437" s="251" t="s">
        <v>726</v>
      </c>
      <c r="AI437" s="243" t="s">
        <v>151</v>
      </c>
      <c r="AJ437" s="258" cm="1">
        <f t="array" aca="1" ref="AJ437" ca="1">DATE(YEAR(FECH.CONS[FECHA DE CONSULTA:]),MONTH(BDD[[#This Row],[FECHA NAC]]),DAY(BDD[[#This Row],[FECHA NAC]]))</f>
        <v>44697</v>
      </c>
      <c r="AK437" s="243"/>
      <c r="AL437" s="261" t="s">
        <v>316</v>
      </c>
      <c r="AM437" s="251" t="s">
        <v>1543</v>
      </c>
      <c r="AN437" s="251" t="s">
        <v>1551</v>
      </c>
      <c r="AO437" s="245">
        <v>92</v>
      </c>
      <c r="AP437" s="251">
        <f ca="1">INT((TODAY()-BDD[[#This Row],[FECHA NAC]])/365)</f>
        <v>27</v>
      </c>
      <c r="AQ437" s="251">
        <v>1</v>
      </c>
      <c r="AR437" s="251">
        <f ca="1">IF(BDD[[#This Row],[ANTIG]]=0,0,1)</f>
        <v>1</v>
      </c>
      <c r="AS437" s="251"/>
      <c r="AT437" s="251"/>
      <c r="AU437" s="251"/>
      <c r="AV437" s="251"/>
      <c r="AW437" s="251"/>
      <c r="AX437" s="251"/>
      <c r="AY437" s="251"/>
      <c r="AZ437" s="251">
        <f t="shared" ca="1" si="28"/>
        <v>807</v>
      </c>
    </row>
    <row r="438" spans="2:52" x14ac:dyDescent="0.25">
      <c r="B438" s="243">
        <v>657</v>
      </c>
      <c r="C438" s="262" t="s">
        <v>331</v>
      </c>
      <c r="D438" s="263">
        <v>7445</v>
      </c>
      <c r="E438" s="252">
        <f>(BDD[[#This Row],[SUE MENS]]/30)</f>
        <v>248.16666666666666</v>
      </c>
      <c r="F438" s="252">
        <f>BDD[[#This Row],[SUE MENS]]/2</f>
        <v>3722.5</v>
      </c>
      <c r="G438" s="320">
        <v>43964</v>
      </c>
      <c r="H438" s="243">
        <f ca="1">INT(_xlfn.DAYS(TODAY(),BDD[[#This Row],[FECHA ING.]])/365)</f>
        <v>2</v>
      </c>
      <c r="I438" s="251" t="str">
        <f>VLOOKUP(J438,TABLAS!$B$3:$G$49,2,FALSE)</f>
        <v>DIRECCIÓN</v>
      </c>
      <c r="J438" s="198" t="s">
        <v>745</v>
      </c>
      <c r="K438" s="251" t="s">
        <v>778</v>
      </c>
      <c r="L438" s="251" t="s">
        <v>763</v>
      </c>
      <c r="M438" s="251"/>
      <c r="N438" s="244" t="s">
        <v>2001</v>
      </c>
      <c r="O438" s="251" t="str">
        <f>IFERROR(VLOOKUP(BDD[[#This Row],[SUBDPTO]],TABLAS!$B$4:$D$36,3,0)," ")</f>
        <v>MARIANA RODRÍGUEZ GUTIERREZ</v>
      </c>
      <c r="P438" s="258">
        <v>43793</v>
      </c>
      <c r="Q438" s="254">
        <v>5088</v>
      </c>
      <c r="R438" s="255" t="s">
        <v>736</v>
      </c>
      <c r="S438" s="251"/>
      <c r="T438" s="251" t="s">
        <v>811</v>
      </c>
      <c r="U438" s="243">
        <f ca="1">VLOOKUP(BDD[[#This Row],[ANTIG]],DIASXANT18[#All],2)</f>
        <v>10</v>
      </c>
      <c r="V438" s="256">
        <f t="shared" si="31"/>
        <v>0.5</v>
      </c>
      <c r="W438" s="243">
        <f ca="1">BDD[[#This Row],[D.VAC.]]*BDD[[#This Row],[% P.V.]]</f>
        <v>5</v>
      </c>
      <c r="X438" s="243">
        <v>30</v>
      </c>
      <c r="Y438" s="257">
        <f ca="1">(365+BDD[[#This Row],[D.PAG.V.]]+BDD[[#This Row],[D.AG.]])/365</f>
        <v>1.095890410958904</v>
      </c>
      <c r="Z438" s="243">
        <f ca="1">BDD[[#This Row],[SUE DIA]]*BDD[[#This Row],[FACTOR SDI]]</f>
        <v>271.96347031963467</v>
      </c>
      <c r="AA438" s="243">
        <f>BDD[[#This Row],[SUE DIA]]/9</f>
        <v>27.574074074074073</v>
      </c>
      <c r="AB438" s="262">
        <v>32304</v>
      </c>
      <c r="AC438" s="251" t="s">
        <v>951</v>
      </c>
      <c r="AD438" s="251" t="s">
        <v>810</v>
      </c>
      <c r="AE438" s="252">
        <v>8398421659</v>
      </c>
      <c r="AF438" s="251" t="s">
        <v>1297</v>
      </c>
      <c r="AG438" s="251" t="s">
        <v>776</v>
      </c>
      <c r="AH438" s="251" t="s">
        <v>730</v>
      </c>
      <c r="AI438" s="243" t="s">
        <v>152</v>
      </c>
      <c r="AJ438" s="258" cm="1">
        <f t="array" aca="1" ref="AJ438" ca="1">DATE(YEAR(FECH.CONS[FECHA DE CONSULTA:]),MONTH(BDD[[#This Row],[FECHA NAC]]),DAY(BDD[[#This Row],[FECHA NAC]]))</f>
        <v>44722</v>
      </c>
      <c r="AK438" s="243">
        <v>7</v>
      </c>
      <c r="AL438" s="261" t="s">
        <v>311</v>
      </c>
      <c r="AM438" s="251" t="s">
        <v>1533</v>
      </c>
      <c r="AN438" s="251" t="s">
        <v>1551</v>
      </c>
      <c r="AO438" s="245">
        <v>60</v>
      </c>
      <c r="AP438" s="251">
        <f ca="1">INT((TODAY()-BDD[[#This Row],[FECHA NAC]])/365)</f>
        <v>34</v>
      </c>
      <c r="AQ438" s="251">
        <v>1</v>
      </c>
      <c r="AR438" s="251">
        <f ca="1">IF(BDD[[#This Row],[ANTIG]]=0,0,1)</f>
        <v>1</v>
      </c>
      <c r="AS438" s="251"/>
      <c r="AT438" s="251"/>
      <c r="AU438" s="251"/>
      <c r="AV438" s="251"/>
      <c r="AW438" s="251"/>
      <c r="AX438" s="251"/>
      <c r="AY438" s="251"/>
      <c r="AZ438" s="251">
        <f t="shared" ca="1" si="28"/>
        <v>732</v>
      </c>
    </row>
    <row r="439" spans="2:52" x14ac:dyDescent="0.25">
      <c r="B439" s="243">
        <v>658</v>
      </c>
      <c r="C439" s="259" t="s">
        <v>613</v>
      </c>
      <c r="D439" s="263">
        <v>7445</v>
      </c>
      <c r="E439" s="252">
        <f>(BDD[[#This Row],[SUE MENS]]/30)</f>
        <v>248.16666666666666</v>
      </c>
      <c r="F439" s="252">
        <f>BDD[[#This Row],[SUE MENS]]/2</f>
        <v>3722.5</v>
      </c>
      <c r="G439" s="319">
        <v>43965</v>
      </c>
      <c r="H439" s="243">
        <f ca="1">INT(_xlfn.DAYS(TODAY(),BDD[[#This Row],[FECHA ING.]])/365)</f>
        <v>2</v>
      </c>
      <c r="I439" s="251" t="str">
        <f>VLOOKUP(J439,TABLAS!$B$3:$G$49,2,FALSE)</f>
        <v>DIRECCIÓN</v>
      </c>
      <c r="J439" s="198" t="s">
        <v>746</v>
      </c>
      <c r="K439" s="251" t="s">
        <v>778</v>
      </c>
      <c r="L439" s="251" t="s">
        <v>763</v>
      </c>
      <c r="M439" s="251"/>
      <c r="N439" s="253" t="s">
        <v>1758</v>
      </c>
      <c r="O439" s="251" t="str">
        <f>IFERROR(VLOOKUP(BDD[[#This Row],[SUBDPTO]],TABLAS!$B$4:$D$36,3,0)," ")</f>
        <v>MARIANA RODRÍGUEZ GUTIERREZ</v>
      </c>
      <c r="P439" s="258">
        <v>43999</v>
      </c>
      <c r="Q439" s="254">
        <v>5422.4000000000005</v>
      </c>
      <c r="R439" s="255" t="s">
        <v>746</v>
      </c>
      <c r="S439" s="251"/>
      <c r="T439" s="251" t="s">
        <v>301</v>
      </c>
      <c r="U439" s="243">
        <f ca="1">VLOOKUP(BDD[[#This Row],[ANTIG]],DIASXANT18[#All],2)</f>
        <v>10</v>
      </c>
      <c r="V439" s="256">
        <f t="shared" si="31"/>
        <v>0.5</v>
      </c>
      <c r="W439" s="243">
        <f ca="1">BDD[[#This Row],[D.VAC.]]*BDD[[#This Row],[% P.V.]]</f>
        <v>5</v>
      </c>
      <c r="X439" s="243">
        <v>30</v>
      </c>
      <c r="Y439" s="257">
        <f ca="1">(365+BDD[[#This Row],[D.PAG.V.]]+BDD[[#This Row],[D.AG.]])/365</f>
        <v>1.095890410958904</v>
      </c>
      <c r="Z439" s="243">
        <f ca="1">BDD[[#This Row],[SUE DIA]]*BDD[[#This Row],[FACTOR SDI]]</f>
        <v>271.96347031963467</v>
      </c>
      <c r="AA439" s="243">
        <f>BDD[[#This Row],[SUE DIA]]/9</f>
        <v>27.574074074074073</v>
      </c>
      <c r="AB439" s="251">
        <v>32618</v>
      </c>
      <c r="AC439" s="251" t="s">
        <v>929</v>
      </c>
      <c r="AD439" s="251" t="s">
        <v>787</v>
      </c>
      <c r="AE439" s="260">
        <v>7181789792</v>
      </c>
      <c r="AF439" s="251" t="s">
        <v>1462</v>
      </c>
      <c r="AG439" s="251" t="s">
        <v>776</v>
      </c>
      <c r="AH439" s="251" t="s">
        <v>1555</v>
      </c>
      <c r="AI439" s="243" t="s">
        <v>153</v>
      </c>
      <c r="AJ439" s="258" cm="1">
        <f t="array" aca="1" ref="AJ439" ca="1">DATE(YEAR(FECH.CONS[FECHA DE CONSULTA:]),MONTH(BDD[[#This Row],[FECHA NAC]]),DAY(BDD[[#This Row],[FECHA NAC]]))</f>
        <v>44671</v>
      </c>
      <c r="AK439" s="243"/>
      <c r="AL439" s="261" t="s">
        <v>311</v>
      </c>
      <c r="AM439" s="251" t="s">
        <v>1535</v>
      </c>
      <c r="AN439" s="251" t="s">
        <v>1551</v>
      </c>
      <c r="AO439" s="245">
        <v>62</v>
      </c>
      <c r="AP439" s="251">
        <f ca="1">INT((TODAY()-BDD[[#This Row],[FECHA NAC]])/365)</f>
        <v>33</v>
      </c>
      <c r="AQ439" s="251">
        <v>1</v>
      </c>
      <c r="AR439" s="251">
        <f ca="1">IF(BDD[[#This Row],[ANTIG]]=0,0,1)</f>
        <v>1</v>
      </c>
      <c r="AS439" s="251"/>
      <c r="AT439" s="251"/>
      <c r="AU439" s="251"/>
      <c r="AV439" s="251"/>
      <c r="AW439" s="251"/>
      <c r="AX439" s="251"/>
      <c r="AY439" s="251"/>
      <c r="AZ439" s="251">
        <f t="shared" ca="1" si="28"/>
        <v>496</v>
      </c>
    </row>
    <row r="440" spans="2:52" x14ac:dyDescent="0.25">
      <c r="B440" s="243">
        <v>659</v>
      </c>
      <c r="C440" s="259" t="s">
        <v>672</v>
      </c>
      <c r="D440" s="252">
        <v>9541</v>
      </c>
      <c r="E440" s="252">
        <f>(BDD[[#This Row],[SUE MENS]]/30)</f>
        <v>318.03333333333336</v>
      </c>
      <c r="F440" s="252">
        <f>BDD[[#This Row],[SUE MENS]]/2</f>
        <v>4770.5</v>
      </c>
      <c r="G440" s="319">
        <v>43965</v>
      </c>
      <c r="H440" s="243">
        <f ca="1">INT(_xlfn.DAYS(TODAY(),BDD[[#This Row],[FECHA ING.]])/365)</f>
        <v>2</v>
      </c>
      <c r="I440" s="251" t="str">
        <f>VLOOKUP(J440,TABLAS!$B$3:$G$49,2,FALSE)</f>
        <v>DIV INGENRIA</v>
      </c>
      <c r="J440" s="198" t="s">
        <v>743</v>
      </c>
      <c r="K440" s="251" t="s">
        <v>778</v>
      </c>
      <c r="L440" s="251" t="s">
        <v>763</v>
      </c>
      <c r="M440" s="251"/>
      <c r="N440" s="244" t="s">
        <v>2224</v>
      </c>
      <c r="O440" s="251" t="str">
        <f>IFERROR(VLOOKUP(BDD[[#This Row],[SUBDPTO]],TABLAS!$B$4:$D$36,3,0)," ")</f>
        <v>DIEGO HERRERA GIRÓN</v>
      </c>
      <c r="P440" s="258">
        <v>42957</v>
      </c>
      <c r="Q440" s="254">
        <v>7560</v>
      </c>
      <c r="R440" s="255" t="s">
        <v>736</v>
      </c>
      <c r="S440" s="255" t="s">
        <v>736</v>
      </c>
      <c r="T440" s="251" t="s">
        <v>811</v>
      </c>
      <c r="U440" s="243">
        <f ca="1">VLOOKUP(BDD[[#This Row],[ANTIG]],DIASXANT18[#All],2)</f>
        <v>10</v>
      </c>
      <c r="V440" s="256">
        <f t="shared" si="31"/>
        <v>0.5</v>
      </c>
      <c r="W440" s="243">
        <f ca="1">BDD[[#This Row],[D.VAC.]]*BDD[[#This Row],[% P.V.]]</f>
        <v>5</v>
      </c>
      <c r="X440" s="243">
        <v>30</v>
      </c>
      <c r="Y440" s="257">
        <f ca="1">(365+BDD[[#This Row],[D.PAG.V.]]+BDD[[#This Row],[D.AG.]])/365</f>
        <v>1.095890410958904</v>
      </c>
      <c r="Z440" s="243">
        <f ca="1">BDD[[#This Row],[SUE DIA]]*BDD[[#This Row],[FACTOR SDI]]</f>
        <v>348.52968036529683</v>
      </c>
      <c r="AA440" s="243">
        <f>BDD[[#This Row],[SUE DIA]]/9</f>
        <v>35.337037037037042</v>
      </c>
      <c r="AB440" s="251">
        <v>33330</v>
      </c>
      <c r="AC440" s="251" t="s">
        <v>1074</v>
      </c>
      <c r="AD440" s="251" t="s">
        <v>786</v>
      </c>
      <c r="AE440" s="260">
        <v>2099977119</v>
      </c>
      <c r="AF440" s="251" t="s">
        <v>1501</v>
      </c>
      <c r="AG440" s="251" t="s">
        <v>773</v>
      </c>
      <c r="AH440" s="251" t="s">
        <v>727</v>
      </c>
      <c r="AI440" s="243" t="s">
        <v>151</v>
      </c>
      <c r="AJ440" s="258" cm="1">
        <f t="array" aca="1" ref="AJ440" ca="1">DATE(YEAR(FECH.CONS[FECHA DE CONSULTA:]),MONTH(BDD[[#This Row],[FECHA NAC]]),DAY(BDD[[#This Row],[FECHA NAC]]))</f>
        <v>44653</v>
      </c>
      <c r="AK440" s="243"/>
      <c r="AL440" s="261" t="s">
        <v>326</v>
      </c>
      <c r="AM440" s="251" t="s">
        <v>1549</v>
      </c>
      <c r="AN440" s="251" t="s">
        <v>1554</v>
      </c>
      <c r="AO440" s="245">
        <v>67</v>
      </c>
      <c r="AP440" s="251">
        <f ca="1">INT((TODAY()-BDD[[#This Row],[FECHA NAC]])/365)</f>
        <v>31</v>
      </c>
      <c r="AQ440" s="251">
        <v>3</v>
      </c>
      <c r="AR440" s="251">
        <f ca="1">IF(BDD[[#This Row],[ANTIG]]=0,0,1)</f>
        <v>1</v>
      </c>
      <c r="AS440" s="251"/>
      <c r="AT440" s="251"/>
      <c r="AU440" s="251"/>
      <c r="AV440" s="251"/>
      <c r="AW440" s="251"/>
      <c r="AX440" s="251"/>
      <c r="AY440" s="251"/>
      <c r="AZ440" s="251">
        <f t="shared" ca="1" si="28"/>
        <v>552</v>
      </c>
    </row>
    <row r="441" spans="2:52" x14ac:dyDescent="0.25">
      <c r="B441" s="243">
        <v>663</v>
      </c>
      <c r="C441" s="259" t="s">
        <v>639</v>
      </c>
      <c r="D441" s="252">
        <v>8825</v>
      </c>
      <c r="E441" s="252">
        <f>(BDD[[#This Row],[SUE MENS]]/30)</f>
        <v>294.16666666666669</v>
      </c>
      <c r="F441" s="252">
        <f>BDD[[#This Row],[SUE MENS]]/2</f>
        <v>4412.5</v>
      </c>
      <c r="G441" s="319">
        <v>43965</v>
      </c>
      <c r="H441" s="243">
        <f ca="1">INT(_xlfn.DAYS(TODAY(),BDD[[#This Row],[FECHA ING.]])/365)</f>
        <v>2</v>
      </c>
      <c r="I441" s="251" t="str">
        <f>VLOOKUP(J441,TABLAS!$B$3:$G$49,2,FALSE)</f>
        <v>DIV INGENRIA</v>
      </c>
      <c r="J441" s="198" t="s">
        <v>744</v>
      </c>
      <c r="K441" s="251" t="s">
        <v>778</v>
      </c>
      <c r="L441" s="251" t="s">
        <v>763</v>
      </c>
      <c r="M441" s="251"/>
      <c r="N441" s="253" t="s">
        <v>2057</v>
      </c>
      <c r="O441" s="251" t="str">
        <f>IFERROR(VLOOKUP(BDD[[#This Row],[SUBDPTO]],TABLAS!$B$4:$D$36,3,0)," ")</f>
        <v>DIEGO HERRERA GIRÓN</v>
      </c>
      <c r="P441" s="258"/>
      <c r="Q441" s="264"/>
      <c r="R441" s="244"/>
      <c r="S441" s="251"/>
      <c r="T441" s="251" t="s">
        <v>811</v>
      </c>
      <c r="U441" s="243">
        <f ca="1">VLOOKUP(BDD[[#This Row],[ANTIG]],DIASXANT18[#All],2)</f>
        <v>10</v>
      </c>
      <c r="V441" s="256">
        <f t="shared" si="31"/>
        <v>0.5</v>
      </c>
      <c r="W441" s="243">
        <f ca="1">BDD[[#This Row],[D.VAC.]]*BDD[[#This Row],[% P.V.]]</f>
        <v>5</v>
      </c>
      <c r="X441" s="243">
        <v>30</v>
      </c>
      <c r="Y441" s="257">
        <f ca="1">(365+BDD[[#This Row],[D.PAG.V.]]+BDD[[#This Row],[D.AG.]])/365</f>
        <v>1.095890410958904</v>
      </c>
      <c r="Z441" s="243">
        <f ca="1">BDD[[#This Row],[SUE DIA]]*BDD[[#This Row],[FACTOR SDI]]</f>
        <v>322.3744292237443</v>
      </c>
      <c r="AA441" s="243">
        <f>BDD[[#This Row],[SUE DIA]]/9</f>
        <v>32.68518518518519</v>
      </c>
      <c r="AB441" s="251">
        <v>30829</v>
      </c>
      <c r="AC441" s="251" t="s">
        <v>876</v>
      </c>
      <c r="AD441" s="251" t="s">
        <v>787</v>
      </c>
      <c r="AE441" s="260">
        <v>5609990347</v>
      </c>
      <c r="AF441" s="251" t="s">
        <v>1479</v>
      </c>
      <c r="AG441" s="251" t="s">
        <v>776</v>
      </c>
      <c r="AH441" s="251" t="s">
        <v>1555</v>
      </c>
      <c r="AI441" s="243" t="s">
        <v>151</v>
      </c>
      <c r="AJ441" s="258" cm="1">
        <f t="array" aca="1" ref="AJ441" ca="1">DATE(YEAR(FECH.CONS[FECHA DE CONSULTA:]),MONTH(BDD[[#This Row],[FECHA NAC]]),DAY(BDD[[#This Row],[FECHA NAC]]))</f>
        <v>44708</v>
      </c>
      <c r="AK441" s="243"/>
      <c r="AL441" s="261" t="s">
        <v>311</v>
      </c>
      <c r="AM441" s="251" t="s">
        <v>1538</v>
      </c>
      <c r="AN441" s="251" t="s">
        <v>1551</v>
      </c>
      <c r="AO441" s="245">
        <v>43</v>
      </c>
      <c r="AP441" s="251">
        <f ca="1">INT((TODAY()-BDD[[#This Row],[FECHA NAC]])/365)</f>
        <v>38</v>
      </c>
      <c r="AQ441" s="251">
        <v>1</v>
      </c>
      <c r="AR441" s="251">
        <f ca="1">IF(BDD[[#This Row],[ANTIG]]=0,0,1)</f>
        <v>1</v>
      </c>
      <c r="AS441" s="251"/>
      <c r="AT441" s="251"/>
      <c r="AU441" s="251"/>
      <c r="AV441" s="251"/>
      <c r="AW441" s="251"/>
      <c r="AX441" s="251"/>
      <c r="AY441" s="251"/>
      <c r="AZ441" s="251">
        <f t="shared" ca="1" si="28"/>
        <v>274</v>
      </c>
    </row>
    <row r="442" spans="2:52" x14ac:dyDescent="0.25">
      <c r="B442" s="243">
        <v>664</v>
      </c>
      <c r="C442" s="251" t="s">
        <v>1664</v>
      </c>
      <c r="D442" s="252">
        <v>9541</v>
      </c>
      <c r="E442" s="252">
        <f>(BDD[[#This Row],[SUE MENS]]/30)</f>
        <v>318.03333333333336</v>
      </c>
      <c r="F442" s="252">
        <f>BDD[[#This Row],[SUE MENS]]/2</f>
        <v>4770.5</v>
      </c>
      <c r="G442" s="319">
        <v>43968</v>
      </c>
      <c r="H442" s="243">
        <f ca="1">INT(_xlfn.DAYS(TODAY(),BDD[[#This Row],[FECHA ING.]])/365)</f>
        <v>2</v>
      </c>
      <c r="I442" s="251" t="str">
        <f>VLOOKUP(J442,TABLAS!$B$3:$G$49,2,FALSE)</f>
        <v>CONTABILIDAD</v>
      </c>
      <c r="J442" s="198" t="s">
        <v>737</v>
      </c>
      <c r="K442" s="251" t="s">
        <v>778</v>
      </c>
      <c r="L442" s="251" t="s">
        <v>763</v>
      </c>
      <c r="M442" s="251"/>
      <c r="N442" s="253" t="s">
        <v>2074</v>
      </c>
      <c r="O442" s="251" t="str">
        <f>IFERROR(VLOOKUP(BDD[[#This Row],[SUBDPTO]],TABLAS!$B$4:$D$36,3,0)," ")</f>
        <v>IRIE DALÍ ANTARES CORTÉS</v>
      </c>
      <c r="P442" s="258">
        <f>BDD[[#This Row],[FECHA ING.]]+1000</f>
        <v>44968</v>
      </c>
      <c r="Q442" s="254">
        <v>6678</v>
      </c>
      <c r="R442" s="251" t="s">
        <v>734</v>
      </c>
      <c r="S442" s="251"/>
      <c r="T442" s="251" t="s">
        <v>301</v>
      </c>
      <c r="U442" s="243">
        <f ca="1">VLOOKUP(BDD[[#This Row],[ANTIG]],DIASXANT18[#All],2)</f>
        <v>10</v>
      </c>
      <c r="V442" s="256">
        <f t="shared" si="31"/>
        <v>0.5</v>
      </c>
      <c r="W442" s="243">
        <f ca="1">BDD[[#This Row],[D.VAC.]]*BDD[[#This Row],[% P.V.]]</f>
        <v>5</v>
      </c>
      <c r="X442" s="243">
        <v>30</v>
      </c>
      <c r="Y442" s="257">
        <f ca="1">(365+BDD[[#This Row],[D.PAG.V.]]+BDD[[#This Row],[D.AG.]])/365</f>
        <v>1.095890410958904</v>
      </c>
      <c r="Z442" s="243">
        <f ca="1">BDD[[#This Row],[SUE DIA]]*BDD[[#This Row],[FACTOR SDI]]</f>
        <v>348.52968036529683</v>
      </c>
      <c r="AA442" s="243">
        <f>BDD[[#This Row],[SUE DIA]]/9</f>
        <v>35.337037037037042</v>
      </c>
      <c r="AB442" s="251">
        <v>34634</v>
      </c>
      <c r="AC442" s="251" t="s">
        <v>932</v>
      </c>
      <c r="AD442" s="251" t="s">
        <v>810</v>
      </c>
      <c r="AE442" s="252">
        <v>8815094829</v>
      </c>
      <c r="AF442" s="251" t="s">
        <v>1244</v>
      </c>
      <c r="AG442" s="251" t="s">
        <v>773</v>
      </c>
      <c r="AH442" s="251" t="s">
        <v>1555</v>
      </c>
      <c r="AI442" s="243" t="s">
        <v>151</v>
      </c>
      <c r="AJ442" s="258" cm="1">
        <f t="array" aca="1" ref="AJ442" ca="1">DATE(YEAR(FECH.CONS[FECHA DE CONSULTA:]),MONTH(BDD[[#This Row],[FECHA NAC]]),DAY(BDD[[#This Row],[FECHA NAC]]))</f>
        <v>44861</v>
      </c>
      <c r="AK442" s="243">
        <v>9</v>
      </c>
      <c r="AL442" s="251" t="s">
        <v>311</v>
      </c>
      <c r="AM442" s="251" t="s">
        <v>1533</v>
      </c>
      <c r="AN442" s="251" t="s">
        <v>1551</v>
      </c>
      <c r="AO442" s="245">
        <v>100</v>
      </c>
      <c r="AP442" s="251">
        <f ca="1">INT((TODAY()-BDD[[#This Row],[FECHA NAC]])/365)</f>
        <v>27</v>
      </c>
      <c r="AQ442" s="251">
        <v>2</v>
      </c>
      <c r="AR442" s="251">
        <f ca="1">IF(BDD[[#This Row],[ANTIG]]=0,0,1)</f>
        <v>1</v>
      </c>
      <c r="AS442" s="251"/>
      <c r="AT442" s="251"/>
      <c r="AU442" s="251"/>
      <c r="AV442" s="251"/>
      <c r="AW442" s="251"/>
      <c r="AX442" s="251"/>
      <c r="AY442" s="251"/>
      <c r="AZ442" s="251">
        <f t="shared" ca="1" si="28"/>
        <v>597</v>
      </c>
    </row>
    <row r="443" spans="2:52" x14ac:dyDescent="0.25">
      <c r="B443" s="243">
        <v>665</v>
      </c>
      <c r="C443" s="259" t="s">
        <v>535</v>
      </c>
      <c r="D443" s="252">
        <v>9541</v>
      </c>
      <c r="E443" s="252">
        <f>(BDD[[#This Row],[SUE MENS]]/30)</f>
        <v>318.03333333333336</v>
      </c>
      <c r="F443" s="252">
        <f>BDD[[#This Row],[SUE MENS]]/2</f>
        <v>4770.5</v>
      </c>
      <c r="G443" s="319">
        <v>44003</v>
      </c>
      <c r="H443" s="243">
        <f ca="1">INT(_xlfn.DAYS(TODAY(),BDD[[#This Row],[FECHA ING.]])/365)</f>
        <v>2</v>
      </c>
      <c r="I443" s="251" t="str">
        <f>VLOOKUP(J443,TABLAS!$B$3:$G$49,2,FALSE)</f>
        <v>CONTABILIDAD</v>
      </c>
      <c r="J443" s="198" t="s">
        <v>737</v>
      </c>
      <c r="K443" s="251" t="s">
        <v>778</v>
      </c>
      <c r="L443" s="251" t="s">
        <v>763</v>
      </c>
      <c r="M443" s="251"/>
      <c r="N443" s="253" t="s">
        <v>1933</v>
      </c>
      <c r="O443" s="251" t="str">
        <f>IFERROR(VLOOKUP(BDD[[#This Row],[SUBDPTO]],TABLAS!$B$4:$D$36,3,0)," ")</f>
        <v>IRIE DALÍ ANTARES CORTÉS</v>
      </c>
      <c r="P443" s="258">
        <v>42727</v>
      </c>
      <c r="Q443" s="254">
        <v>5088</v>
      </c>
      <c r="R443" s="255" t="s">
        <v>736</v>
      </c>
      <c r="S443" s="251"/>
      <c r="T443" s="251" t="s">
        <v>301</v>
      </c>
      <c r="U443" s="243">
        <f ca="1">VLOOKUP(BDD[[#This Row],[ANTIG]],DIASXANT18[#All],2)</f>
        <v>10</v>
      </c>
      <c r="V443" s="256">
        <f t="shared" si="31"/>
        <v>0.5</v>
      </c>
      <c r="W443" s="243">
        <f ca="1">BDD[[#This Row],[D.VAC.]]*BDD[[#This Row],[% P.V.]]</f>
        <v>5</v>
      </c>
      <c r="X443" s="243">
        <v>30</v>
      </c>
      <c r="Y443" s="257">
        <f ca="1">(365+BDD[[#This Row],[D.PAG.V.]]+BDD[[#This Row],[D.AG.]])/365</f>
        <v>1.095890410958904</v>
      </c>
      <c r="Z443" s="243">
        <f ca="1">BDD[[#This Row],[SUE DIA]]*BDD[[#This Row],[FACTOR SDI]]</f>
        <v>348.52968036529683</v>
      </c>
      <c r="AA443" s="243">
        <f>BDD[[#This Row],[SUE DIA]]/9</f>
        <v>35.337037037037042</v>
      </c>
      <c r="AB443" s="251">
        <v>29134</v>
      </c>
      <c r="AC443" s="251" t="s">
        <v>1056</v>
      </c>
      <c r="AD443" s="251" t="s">
        <v>789</v>
      </c>
      <c r="AE443" s="260">
        <v>7169936608</v>
      </c>
      <c r="AF443" s="251" t="s">
        <v>1405</v>
      </c>
      <c r="AG443" s="251" t="s">
        <v>776</v>
      </c>
      <c r="AH443" s="251" t="s">
        <v>730</v>
      </c>
      <c r="AI443" s="243" t="s">
        <v>151</v>
      </c>
      <c r="AJ443" s="258" cm="1">
        <f t="array" aca="1" ref="AJ443" ca="1">DATE(YEAR(FECH.CONS[FECHA DE CONSULTA:]),MONTH(BDD[[#This Row],[FECHA NAC]]),DAY(BDD[[#This Row],[FECHA NAC]]))</f>
        <v>44840</v>
      </c>
      <c r="AK443" s="243">
        <v>9</v>
      </c>
      <c r="AL443" s="261" t="s">
        <v>311</v>
      </c>
      <c r="AM443" s="251" t="s">
        <v>1535</v>
      </c>
      <c r="AN443" s="251" t="s">
        <v>1551</v>
      </c>
      <c r="AO443" s="245">
        <v>93</v>
      </c>
      <c r="AP443" s="251">
        <f ca="1">INT((TODAY()-BDD[[#This Row],[FECHA NAC]])/365)</f>
        <v>42</v>
      </c>
      <c r="AQ443" s="251">
        <v>2</v>
      </c>
      <c r="AR443" s="251">
        <f ca="1">IF(BDD[[#This Row],[ANTIG]]=0,0,1)</f>
        <v>1</v>
      </c>
      <c r="AS443" s="251"/>
      <c r="AT443" s="251"/>
      <c r="AU443" s="251"/>
      <c r="AV443" s="251"/>
      <c r="AW443" s="251"/>
      <c r="AX443" s="251"/>
      <c r="AY443" s="251"/>
      <c r="AZ443" s="251">
        <f t="shared" ca="1" si="28"/>
        <v>439</v>
      </c>
    </row>
    <row r="444" spans="2:52" x14ac:dyDescent="0.25">
      <c r="B444" s="243">
        <v>666</v>
      </c>
      <c r="C444" s="259" t="s">
        <v>495</v>
      </c>
      <c r="D444" s="252">
        <v>9541</v>
      </c>
      <c r="E444" s="252">
        <f>(BDD[[#This Row],[SUE MENS]]/30)</f>
        <v>318.03333333333336</v>
      </c>
      <c r="F444" s="252">
        <f>BDD[[#This Row],[SUE MENS]]/2</f>
        <v>4770.5</v>
      </c>
      <c r="G444" s="319">
        <v>44011</v>
      </c>
      <c r="H444" s="243">
        <f ca="1">INT(_xlfn.DAYS(TODAY(),BDD[[#This Row],[FECHA ING.]])/365)</f>
        <v>2</v>
      </c>
      <c r="I444" s="251" t="str">
        <f>VLOOKUP(J444,TABLAS!$B$3:$G$49,2,FALSE)</f>
        <v>DIRECCIÓN</v>
      </c>
      <c r="J444" s="198" t="s">
        <v>759</v>
      </c>
      <c r="K444" s="251" t="s">
        <v>778</v>
      </c>
      <c r="L444" s="251" t="s">
        <v>763</v>
      </c>
      <c r="M444" s="251"/>
      <c r="N444" s="244" t="s">
        <v>2053</v>
      </c>
      <c r="O444" s="251" t="str">
        <f>IFERROR(VLOOKUP(BDD[[#This Row],[SUBDPTO]],TABLAS!$B$4:$D$36,3,0)," ")</f>
        <v>MARIANA RODRÍGUEZ GUTIERREZ</v>
      </c>
      <c r="P444" s="258">
        <v>43686</v>
      </c>
      <c r="Q444" s="254">
        <v>3888</v>
      </c>
      <c r="R444" s="255" t="s">
        <v>740</v>
      </c>
      <c r="S444" s="255" t="s">
        <v>746</v>
      </c>
      <c r="T444" s="251" t="s">
        <v>811</v>
      </c>
      <c r="U444" s="243">
        <f ca="1">VLOOKUP(BDD[[#This Row],[ANTIG]],DIASXANT18[#All],2)</f>
        <v>10</v>
      </c>
      <c r="V444" s="256">
        <f t="shared" si="31"/>
        <v>0.5</v>
      </c>
      <c r="W444" s="243">
        <f ca="1">BDD[[#This Row],[D.VAC.]]*BDD[[#This Row],[% P.V.]]</f>
        <v>5</v>
      </c>
      <c r="X444" s="243">
        <v>30</v>
      </c>
      <c r="Y444" s="257">
        <f ca="1">(365+BDD[[#This Row],[D.PAG.V.]]+BDD[[#This Row],[D.AG.]])/365</f>
        <v>1.095890410958904</v>
      </c>
      <c r="Z444" s="243">
        <f ca="1">BDD[[#This Row],[SUE DIA]]*BDD[[#This Row],[FACTOR SDI]]</f>
        <v>348.52968036529683</v>
      </c>
      <c r="AA444" s="243">
        <f>BDD[[#This Row],[SUE DIA]]/9</f>
        <v>35.337037037037042</v>
      </c>
      <c r="AB444" s="251">
        <v>31556</v>
      </c>
      <c r="AC444" s="251" t="s">
        <v>987</v>
      </c>
      <c r="AD444" s="251" t="s">
        <v>793</v>
      </c>
      <c r="AE444" s="260">
        <v>2268984875</v>
      </c>
      <c r="AF444" s="251" t="s">
        <v>1381</v>
      </c>
      <c r="AG444" s="251" t="s">
        <v>776</v>
      </c>
      <c r="AH444" s="251" t="s">
        <v>730</v>
      </c>
      <c r="AI444" s="243" t="s">
        <v>152</v>
      </c>
      <c r="AJ444" s="258" cm="1">
        <f t="array" aca="1" ref="AJ444" ca="1">DATE(YEAR(FECH.CONS[FECHA DE CONSULTA:]),MONTH(BDD[[#This Row],[FECHA NAC]]),DAY(BDD[[#This Row],[FECHA NAC]]))</f>
        <v>44705</v>
      </c>
      <c r="AK444" s="243">
        <v>6</v>
      </c>
      <c r="AL444" s="261" t="s">
        <v>319</v>
      </c>
      <c r="AM444" s="251" t="s">
        <v>1534</v>
      </c>
      <c r="AN444" s="251" t="s">
        <v>1551</v>
      </c>
      <c r="AO444" s="245">
        <v>77</v>
      </c>
      <c r="AP444" s="251">
        <f ca="1">INT((TODAY()-BDD[[#This Row],[FECHA NAC]])/365)</f>
        <v>36</v>
      </c>
      <c r="AQ444" s="251">
        <v>3</v>
      </c>
      <c r="AR444" s="251">
        <f ca="1">IF(BDD[[#This Row],[ANTIG]]=0,0,1)</f>
        <v>1</v>
      </c>
      <c r="AS444" s="251"/>
      <c r="AT444" s="251"/>
      <c r="AU444" s="251"/>
      <c r="AV444" s="251"/>
      <c r="AW444" s="251"/>
      <c r="AX444" s="251"/>
      <c r="AY444" s="251"/>
      <c r="AZ444" s="251">
        <f t="shared" ca="1" si="28"/>
        <v>851</v>
      </c>
    </row>
    <row r="445" spans="2:52" x14ac:dyDescent="0.25">
      <c r="B445" s="243">
        <v>667</v>
      </c>
      <c r="C445" s="259" t="s">
        <v>1619</v>
      </c>
      <c r="D445" s="252">
        <v>10860</v>
      </c>
      <c r="E445" s="252">
        <f>(BDD[[#This Row],[SUE MENS]]/30)</f>
        <v>362</v>
      </c>
      <c r="F445" s="252">
        <f>BDD[[#This Row],[SUE MENS]]/2</f>
        <v>5430</v>
      </c>
      <c r="G445" s="319">
        <v>44036</v>
      </c>
      <c r="H445" s="243">
        <f ca="1">INT(_xlfn.DAYS(TODAY(),BDD[[#This Row],[FECHA ING.]])/365)</f>
        <v>1</v>
      </c>
      <c r="I445" s="251" t="str">
        <f>VLOOKUP(J445,TABLAS!$B$3:$G$49,2,FALSE)</f>
        <v>DIV INGENRIA</v>
      </c>
      <c r="J445" s="198" t="s">
        <v>756</v>
      </c>
      <c r="K445" s="251" t="s">
        <v>778</v>
      </c>
      <c r="L445" s="251" t="s">
        <v>763</v>
      </c>
      <c r="M445" s="251"/>
      <c r="N445" s="253" t="s">
        <v>1790</v>
      </c>
      <c r="O445" s="251" t="str">
        <f>IFERROR(VLOOKUP(BDD[[#This Row],[SUBDPTO]],TABLAS!$B$4:$D$36,3,0)," ")</f>
        <v>DIEGO HERRERA GIRÓN</v>
      </c>
      <c r="P445" s="258"/>
      <c r="Q445" s="254">
        <v>18560</v>
      </c>
      <c r="R445" s="244"/>
      <c r="S445" s="251"/>
      <c r="T445" s="251" t="s">
        <v>811</v>
      </c>
      <c r="U445" s="243">
        <f ca="1">VLOOKUP(BDD[[#This Row],[ANTIG]],DIASXANT18[#All],2)</f>
        <v>10</v>
      </c>
      <c r="V445" s="256">
        <f t="shared" si="31"/>
        <v>0.5</v>
      </c>
      <c r="W445" s="243">
        <f ca="1">BDD[[#This Row],[D.VAC.]]*BDD[[#This Row],[% P.V.]]</f>
        <v>5</v>
      </c>
      <c r="X445" s="243">
        <v>30</v>
      </c>
      <c r="Y445" s="257">
        <f ca="1">(365+BDD[[#This Row],[D.PAG.V.]]+BDD[[#This Row],[D.AG.]])/365</f>
        <v>1.095890410958904</v>
      </c>
      <c r="Z445" s="243">
        <f ca="1">BDD[[#This Row],[SUE DIA]]*BDD[[#This Row],[FACTOR SDI]]</f>
        <v>396.71232876712327</v>
      </c>
      <c r="AA445" s="243">
        <f>BDD[[#This Row],[SUE DIA]]/9</f>
        <v>40.222222222222221</v>
      </c>
      <c r="AB445" s="251">
        <v>35875</v>
      </c>
      <c r="AC445" s="251" t="s">
        <v>894</v>
      </c>
      <c r="AD445" s="251" t="s">
        <v>787</v>
      </c>
      <c r="AE445" s="260">
        <v>2356764461</v>
      </c>
      <c r="AF445" s="251" t="s">
        <v>1410</v>
      </c>
      <c r="AG445" s="251" t="s">
        <v>773</v>
      </c>
      <c r="AH445" s="251" t="s">
        <v>730</v>
      </c>
      <c r="AI445" s="243" t="s">
        <v>151</v>
      </c>
      <c r="AJ445" s="258" cm="1">
        <f t="array" aca="1" ref="AJ445" ca="1">DATE(YEAR(FECH.CONS[FECHA DE CONSULTA:]),MONTH(BDD[[#This Row],[FECHA NAC]]),DAY(BDD[[#This Row],[FECHA NAC]]))</f>
        <v>44641</v>
      </c>
      <c r="AK445" s="243">
        <v>7</v>
      </c>
      <c r="AL445" s="261" t="s">
        <v>314</v>
      </c>
      <c r="AM445" s="251" t="s">
        <v>1538</v>
      </c>
      <c r="AN445" s="251" t="s">
        <v>1551</v>
      </c>
      <c r="AO445" s="245">
        <v>89</v>
      </c>
      <c r="AP445" s="251">
        <f ca="1">INT((TODAY()-BDD[[#This Row],[FECHA NAC]])/365)</f>
        <v>24</v>
      </c>
      <c r="AQ445" s="251">
        <v>2</v>
      </c>
      <c r="AR445" s="251">
        <f ca="1">IF(BDD[[#This Row],[ANTIG]]=0,0,1)</f>
        <v>1</v>
      </c>
      <c r="AS445" s="251"/>
      <c r="AT445" s="251"/>
      <c r="AU445" s="251"/>
      <c r="AV445" s="251"/>
      <c r="AW445" s="251"/>
      <c r="AX445" s="251"/>
      <c r="AY445" s="251"/>
      <c r="AZ445" s="251">
        <f t="shared" ca="1" si="28"/>
        <v>141</v>
      </c>
    </row>
    <row r="446" spans="2:52" x14ac:dyDescent="0.25">
      <c r="B446" s="243">
        <v>669</v>
      </c>
      <c r="C446" s="259" t="s">
        <v>612</v>
      </c>
      <c r="D446" s="263">
        <v>7445</v>
      </c>
      <c r="E446" s="252">
        <f>(BDD[[#This Row],[SUE MENS]]/30)</f>
        <v>248.16666666666666</v>
      </c>
      <c r="F446" s="252">
        <f>BDD[[#This Row],[SUE MENS]]/2</f>
        <v>3722.5</v>
      </c>
      <c r="G446" s="320">
        <v>44039</v>
      </c>
      <c r="H446" s="243">
        <f ca="1">INT(_xlfn.DAYS(TODAY(),BDD[[#This Row],[FECHA ING.]])/365)</f>
        <v>1</v>
      </c>
      <c r="I446" s="251" t="str">
        <f>VLOOKUP(J446,TABLAS!$B$3:$G$49,2,FALSE)</f>
        <v>FINANZAS</v>
      </c>
      <c r="J446" s="198" t="s">
        <v>757</v>
      </c>
      <c r="K446" s="251" t="s">
        <v>778</v>
      </c>
      <c r="L446" s="251" t="s">
        <v>763</v>
      </c>
      <c r="M446" s="251"/>
      <c r="N446" s="253" t="s">
        <v>1849</v>
      </c>
      <c r="O446" s="251" t="str">
        <f>IFERROR(VLOOKUP(BDD[[#This Row],[SUBDPTO]],TABLAS!$B$4:$D$36,3,0)," ")</f>
        <v>MARIANO ALDEBARÁN</v>
      </c>
      <c r="P446" s="258">
        <v>43633</v>
      </c>
      <c r="Q446" s="264">
        <f>D435*0.8</f>
        <v>7060</v>
      </c>
      <c r="R446" s="255" t="s">
        <v>759</v>
      </c>
      <c r="S446" s="251"/>
      <c r="T446" s="251" t="s">
        <v>301</v>
      </c>
      <c r="U446" s="243">
        <f ca="1">VLOOKUP(BDD[[#This Row],[ANTIG]],DIASXANT18[#All],2)</f>
        <v>10</v>
      </c>
      <c r="V446" s="256">
        <f t="shared" si="31"/>
        <v>0.5</v>
      </c>
      <c r="W446" s="243">
        <f ca="1">BDD[[#This Row],[D.VAC.]]*BDD[[#This Row],[% P.V.]]</f>
        <v>5</v>
      </c>
      <c r="X446" s="243">
        <v>30</v>
      </c>
      <c r="Y446" s="257">
        <f ca="1">(365+BDD[[#This Row],[D.PAG.V.]]+BDD[[#This Row],[D.AG.]])/365</f>
        <v>1.095890410958904</v>
      </c>
      <c r="Z446" s="243">
        <f ca="1">BDD[[#This Row],[SUE DIA]]*BDD[[#This Row],[FACTOR SDI]]</f>
        <v>271.96347031963467</v>
      </c>
      <c r="AA446" s="243">
        <f>BDD[[#This Row],[SUE DIA]]/9</f>
        <v>27.574074074074073</v>
      </c>
      <c r="AB446" s="251">
        <v>34661</v>
      </c>
      <c r="AC446" s="251" t="s">
        <v>923</v>
      </c>
      <c r="AD446" s="251" t="s">
        <v>786</v>
      </c>
      <c r="AE446" s="260">
        <v>5694592666</v>
      </c>
      <c r="AF446" s="251" t="s">
        <v>1461</v>
      </c>
      <c r="AG446" s="251" t="s">
        <v>776</v>
      </c>
      <c r="AH446" s="251" t="s">
        <v>1555</v>
      </c>
      <c r="AI446" s="243" t="s">
        <v>151</v>
      </c>
      <c r="AJ446" s="258" cm="1">
        <f t="array" aca="1" ref="AJ446" ca="1">DATE(YEAR(FECH.CONS[FECHA DE CONSULTA:]),MONTH(BDD[[#This Row],[FECHA NAC]]),DAY(BDD[[#This Row],[FECHA NAC]]))</f>
        <v>44888</v>
      </c>
      <c r="AK446" s="243"/>
      <c r="AL446" s="261" t="s">
        <v>311</v>
      </c>
      <c r="AM446" s="251" t="s">
        <v>1535</v>
      </c>
      <c r="AN446" s="251" t="s">
        <v>1551</v>
      </c>
      <c r="AO446" s="245">
        <v>60</v>
      </c>
      <c r="AP446" s="251">
        <f ca="1">INT((TODAY()-BDD[[#This Row],[FECHA NAC]])/365)</f>
        <v>27</v>
      </c>
      <c r="AQ446" s="251">
        <v>3</v>
      </c>
      <c r="AR446" s="251">
        <f ca="1">IF(BDD[[#This Row],[ANTIG]]=0,0,1)</f>
        <v>1</v>
      </c>
      <c r="AS446" s="251"/>
      <c r="AT446" s="251"/>
      <c r="AU446" s="251"/>
      <c r="AV446" s="251"/>
      <c r="AW446" s="251"/>
      <c r="AX446" s="251"/>
      <c r="AY446" s="251"/>
      <c r="AZ446" s="251">
        <f t="shared" ca="1" si="28"/>
        <v>86</v>
      </c>
    </row>
    <row r="447" spans="2:52" x14ac:dyDescent="0.25">
      <c r="B447" s="243">
        <v>670</v>
      </c>
      <c r="C447" s="259" t="s">
        <v>493</v>
      </c>
      <c r="D447" s="263">
        <v>10350</v>
      </c>
      <c r="E447" s="252">
        <f>(BDD[[#This Row],[SUE MENS]]/30)</f>
        <v>345</v>
      </c>
      <c r="F447" s="252">
        <f>BDD[[#This Row],[SUE MENS]]/2</f>
        <v>5175</v>
      </c>
      <c r="G447" s="319">
        <v>44049</v>
      </c>
      <c r="H447" s="243">
        <f ca="1">INT(_xlfn.DAYS(TODAY(),BDD[[#This Row],[FECHA ING.]])/365)</f>
        <v>1</v>
      </c>
      <c r="I447" s="251" t="str">
        <f>VLOOKUP(J447,TABLAS!$B$3:$G$49,2,FALSE)</f>
        <v>DIRECCIÓN</v>
      </c>
      <c r="J447" s="198" t="s">
        <v>759</v>
      </c>
      <c r="K447" s="251" t="s">
        <v>778</v>
      </c>
      <c r="L447" s="251" t="s">
        <v>763</v>
      </c>
      <c r="M447" s="251"/>
      <c r="N447" s="244" t="s">
        <v>1777</v>
      </c>
      <c r="O447" s="251" t="str">
        <f>IFERROR(VLOOKUP(BDD[[#This Row],[SUBDPTO]],TABLAS!$B$4:$D$36,3,0)," ")</f>
        <v>MARIANA RODRÍGUEZ GUTIERREZ</v>
      </c>
      <c r="P447" s="258">
        <v>41639</v>
      </c>
      <c r="Q447" s="254">
        <v>6158.4000000000005</v>
      </c>
      <c r="R447" s="255" t="s">
        <v>744</v>
      </c>
      <c r="S447" s="255" t="s">
        <v>741</v>
      </c>
      <c r="T447" s="251" t="s">
        <v>811</v>
      </c>
      <c r="U447" s="243">
        <f ca="1">VLOOKUP(BDD[[#This Row],[ANTIG]],DIASXANT18[#All],2)</f>
        <v>10</v>
      </c>
      <c r="V447" s="256">
        <f t="shared" si="31"/>
        <v>0.5</v>
      </c>
      <c r="W447" s="243">
        <f ca="1">BDD[[#This Row],[D.VAC.]]*BDD[[#This Row],[% P.V.]]</f>
        <v>5</v>
      </c>
      <c r="X447" s="243">
        <v>30</v>
      </c>
      <c r="Y447" s="257">
        <f ca="1">(365+BDD[[#This Row],[D.PAG.V.]]+BDD[[#This Row],[D.AG.]])/365</f>
        <v>1.095890410958904</v>
      </c>
      <c r="Z447" s="243">
        <f ca="1">BDD[[#This Row],[SUE DIA]]*BDD[[#This Row],[FACTOR SDI]]</f>
        <v>378.08219178082192</v>
      </c>
      <c r="AA447" s="243">
        <f>BDD[[#This Row],[SUE DIA]]/9</f>
        <v>38.333333333333336</v>
      </c>
      <c r="AB447" s="251">
        <v>33988</v>
      </c>
      <c r="AC447" s="251" t="s">
        <v>1046</v>
      </c>
      <c r="AD447" s="251" t="s">
        <v>786</v>
      </c>
      <c r="AE447" s="260">
        <v>8995201557</v>
      </c>
      <c r="AF447" s="251" t="s">
        <v>1379</v>
      </c>
      <c r="AG447" s="251" t="s">
        <v>773</v>
      </c>
      <c r="AH447" s="251" t="s">
        <v>730</v>
      </c>
      <c r="AI447" s="243" t="s">
        <v>153</v>
      </c>
      <c r="AJ447" s="258" cm="1">
        <f t="array" aca="1" ref="AJ447" ca="1">DATE(YEAR(FECH.CONS[FECHA DE CONSULTA:]),MONTH(BDD[[#This Row],[FECHA NAC]]),DAY(BDD[[#This Row],[FECHA NAC]]))</f>
        <v>44580</v>
      </c>
      <c r="AK447" s="243">
        <v>6</v>
      </c>
      <c r="AL447" s="261" t="s">
        <v>311</v>
      </c>
      <c r="AM447" s="251" t="s">
        <v>1544</v>
      </c>
      <c r="AN447" s="251" t="s">
        <v>1551</v>
      </c>
      <c r="AO447" s="271">
        <v>73</v>
      </c>
      <c r="AP447" s="251">
        <f ca="1">INT((TODAY()-BDD[[#This Row],[FECHA NAC]])/365)</f>
        <v>29</v>
      </c>
      <c r="AQ447" s="251">
        <v>1</v>
      </c>
      <c r="AR447" s="251">
        <f ca="1">IF(BDD[[#This Row],[ANTIG]]=0,0,1)</f>
        <v>1</v>
      </c>
      <c r="AS447" s="251"/>
      <c r="AT447" s="251"/>
      <c r="AU447" s="251"/>
      <c r="AV447" s="251"/>
      <c r="AW447" s="251"/>
      <c r="AX447" s="251"/>
      <c r="AY447" s="251"/>
      <c r="AZ447" s="251">
        <f t="shared" ca="1" si="28"/>
        <v>424</v>
      </c>
    </row>
    <row r="448" spans="2:52" x14ac:dyDescent="0.25">
      <c r="B448" s="243">
        <v>671</v>
      </c>
      <c r="C448" s="251" t="s">
        <v>168</v>
      </c>
      <c r="D448" s="263">
        <v>7445</v>
      </c>
      <c r="E448" s="252">
        <f>(BDD[[#This Row],[SUE MENS]]/30)</f>
        <v>248.16666666666666</v>
      </c>
      <c r="F448" s="252">
        <f>BDD[[#This Row],[SUE MENS]]/2</f>
        <v>3722.5</v>
      </c>
      <c r="G448" s="319">
        <v>44050</v>
      </c>
      <c r="H448" s="243">
        <f ca="1">INT(_xlfn.DAYS(TODAY(),BDD[[#This Row],[FECHA ING.]])/365)</f>
        <v>1</v>
      </c>
      <c r="I448" s="251" t="str">
        <f>VLOOKUP(J448,TABLAS!$B$3:$G$49,2,FALSE)</f>
        <v>AUDITORÍA</v>
      </c>
      <c r="J448" s="198" t="s">
        <v>736</v>
      </c>
      <c r="K448" s="251" t="s">
        <v>778</v>
      </c>
      <c r="L448" s="251" t="s">
        <v>763</v>
      </c>
      <c r="M448" s="251"/>
      <c r="N448" s="244" t="s">
        <v>1878</v>
      </c>
      <c r="O448" s="251" t="str">
        <f>IFERROR(VLOOKUP(BDD[[#This Row],[SUBDPTO]],TABLAS!$B$4:$D$36,3,0)," ")</f>
        <v>MARCO AURELIO URBINO</v>
      </c>
      <c r="P448" s="258"/>
      <c r="Q448" s="264"/>
      <c r="R448" s="244"/>
      <c r="S448" s="251"/>
      <c r="T448" s="251" t="s">
        <v>811</v>
      </c>
      <c r="U448" s="243">
        <f ca="1">VLOOKUP(BDD[[#This Row],[ANTIG]],DIASXANT18[#All],2)</f>
        <v>10</v>
      </c>
      <c r="V448" s="256">
        <f t="shared" si="31"/>
        <v>0.5</v>
      </c>
      <c r="W448" s="243">
        <f ca="1">BDD[[#This Row],[D.VAC.]]*BDD[[#This Row],[% P.V.]]</f>
        <v>5</v>
      </c>
      <c r="X448" s="243">
        <v>30</v>
      </c>
      <c r="Y448" s="257">
        <f ca="1">(365+BDD[[#This Row],[D.PAG.V.]]+BDD[[#This Row],[D.AG.]])/365</f>
        <v>1.095890410958904</v>
      </c>
      <c r="Z448" s="243">
        <f ca="1">BDD[[#This Row],[SUE DIA]]*BDD[[#This Row],[FACTOR SDI]]</f>
        <v>271.96347031963467</v>
      </c>
      <c r="AA448" s="243">
        <f>BDD[[#This Row],[SUE DIA]]/9</f>
        <v>27.574074074074073</v>
      </c>
      <c r="AB448" s="251">
        <v>34219</v>
      </c>
      <c r="AC448" s="251" t="s">
        <v>952</v>
      </c>
      <c r="AD448" s="251" t="s">
        <v>793</v>
      </c>
      <c r="AE448" s="252">
        <v>7498999685</v>
      </c>
      <c r="AF448" s="251" t="s">
        <v>1175</v>
      </c>
      <c r="AG448" s="251" t="s">
        <v>776</v>
      </c>
      <c r="AH448" s="251" t="s">
        <v>730</v>
      </c>
      <c r="AI448" s="243" t="s">
        <v>151</v>
      </c>
      <c r="AJ448" s="258" cm="1">
        <f t="array" aca="1" ref="AJ448" ca="1">DATE(YEAR(FECH.CONS[FECHA DE CONSULTA:]),MONTH(BDD[[#This Row],[FECHA NAC]]),DAY(BDD[[#This Row],[FECHA NAC]]))</f>
        <v>44811</v>
      </c>
      <c r="AK448" s="243">
        <v>9</v>
      </c>
      <c r="AL448" s="261" t="s">
        <v>323</v>
      </c>
      <c r="AM448" s="251" t="s">
        <v>1534</v>
      </c>
      <c r="AN448" s="251" t="s">
        <v>1551</v>
      </c>
      <c r="AO448" s="245">
        <v>59</v>
      </c>
      <c r="AP448" s="251">
        <f ca="1">INT((TODAY()-BDD[[#This Row],[FECHA NAC]])/365)</f>
        <v>28</v>
      </c>
      <c r="AQ448" s="251">
        <v>1</v>
      </c>
      <c r="AR448" s="251">
        <f ca="1">IF(BDD[[#This Row],[ANTIG]]=0,0,1)</f>
        <v>1</v>
      </c>
      <c r="AS448" s="251"/>
      <c r="AT448" s="251"/>
      <c r="AU448" s="251"/>
      <c r="AV448" s="251"/>
      <c r="AW448" s="251"/>
      <c r="AX448" s="251"/>
      <c r="AY448" s="251"/>
      <c r="AZ448" s="251">
        <f t="shared" ca="1" si="28"/>
        <v>586</v>
      </c>
    </row>
    <row r="449" spans="2:52" x14ac:dyDescent="0.25">
      <c r="B449" s="243">
        <v>673</v>
      </c>
      <c r="C449" s="262" t="s">
        <v>333</v>
      </c>
      <c r="D449" s="263">
        <v>7445</v>
      </c>
      <c r="E449" s="252">
        <f>(BDD[[#This Row],[SUE MENS]]/30)</f>
        <v>248.16666666666666</v>
      </c>
      <c r="F449" s="252">
        <f>BDD[[#This Row],[SUE MENS]]/2</f>
        <v>3722.5</v>
      </c>
      <c r="G449" s="320">
        <v>44059</v>
      </c>
      <c r="H449" s="243">
        <f ca="1">INT(_xlfn.DAYS(TODAY(),BDD[[#This Row],[FECHA ING.]])/365)</f>
        <v>1</v>
      </c>
      <c r="I449" s="251" t="str">
        <f>VLOOKUP(J449,TABLAS!$B$3:$G$49,2,FALSE)</f>
        <v>DIV ARQUIT</v>
      </c>
      <c r="J449" s="198" t="s">
        <v>741</v>
      </c>
      <c r="K449" s="251" t="s">
        <v>778</v>
      </c>
      <c r="L449" s="251" t="s">
        <v>763</v>
      </c>
      <c r="M449" s="251"/>
      <c r="N449" s="244" t="s">
        <v>1759</v>
      </c>
      <c r="O449" s="251" t="str">
        <f>IFERROR(VLOOKUP(BDD[[#This Row],[SUBDPTO]],TABLAS!$B$4:$D$36,3,0)," ")</f>
        <v>MÉRIDA ISELA MEDINA SALINAS</v>
      </c>
      <c r="P449" s="258"/>
      <c r="Q449" s="264"/>
      <c r="R449" s="244"/>
      <c r="S449" s="251"/>
      <c r="T449" s="251" t="s">
        <v>811</v>
      </c>
      <c r="U449" s="243">
        <f ca="1">VLOOKUP(BDD[[#This Row],[ANTIG]],DIASXANT18[#All],2)</f>
        <v>10</v>
      </c>
      <c r="V449" s="256">
        <f t="shared" si="31"/>
        <v>0.5</v>
      </c>
      <c r="W449" s="243">
        <f ca="1">BDD[[#This Row],[D.VAC.]]*BDD[[#This Row],[% P.V.]]</f>
        <v>5</v>
      </c>
      <c r="X449" s="243">
        <v>30</v>
      </c>
      <c r="Y449" s="257">
        <f ca="1">(365+BDD[[#This Row],[D.PAG.V.]]+BDD[[#This Row],[D.AG.]])/365</f>
        <v>1.095890410958904</v>
      </c>
      <c r="Z449" s="243">
        <f ca="1">BDD[[#This Row],[SUE DIA]]*BDD[[#This Row],[FACTOR SDI]]</f>
        <v>271.96347031963467</v>
      </c>
      <c r="AA449" s="243">
        <f>BDD[[#This Row],[SUE DIA]]/9</f>
        <v>27.574074074074073</v>
      </c>
      <c r="AB449" s="262">
        <v>29880</v>
      </c>
      <c r="AC449" s="251" t="s">
        <v>998</v>
      </c>
      <c r="AD449" s="251" t="s">
        <v>809</v>
      </c>
      <c r="AE449" s="252">
        <v>6773949834</v>
      </c>
      <c r="AF449" s="251" t="s">
        <v>1300</v>
      </c>
      <c r="AG449" s="251" t="s">
        <v>774</v>
      </c>
      <c r="AH449" s="251" t="s">
        <v>1555</v>
      </c>
      <c r="AI449" s="243" t="s">
        <v>151</v>
      </c>
      <c r="AJ449" s="258" cm="1">
        <f t="array" aca="1" ref="AJ449" ca="1">DATE(YEAR(FECH.CONS[FECHA DE CONSULTA:]),MONTH(BDD[[#This Row],[FECHA NAC]]),DAY(BDD[[#This Row],[FECHA NAC]]))</f>
        <v>44855</v>
      </c>
      <c r="AK449" s="243"/>
      <c r="AL449" s="261" t="s">
        <v>313</v>
      </c>
      <c r="AM449" s="251" t="s">
        <v>1541</v>
      </c>
      <c r="AN449" s="251" t="s">
        <v>1551</v>
      </c>
      <c r="AO449" s="245">
        <v>75</v>
      </c>
      <c r="AP449" s="251">
        <f ca="1">INT((TODAY()-BDD[[#This Row],[FECHA NAC]])/365)</f>
        <v>40</v>
      </c>
      <c r="AQ449" s="251">
        <v>1</v>
      </c>
      <c r="AR449" s="251">
        <f ca="1">IF(BDD[[#This Row],[ANTIG]]=0,0,1)</f>
        <v>1</v>
      </c>
      <c r="AS449" s="251"/>
      <c r="AT449" s="251"/>
      <c r="AU449" s="251"/>
      <c r="AV449" s="251"/>
      <c r="AW449" s="251"/>
      <c r="AX449" s="251"/>
      <c r="AY449" s="251"/>
      <c r="AZ449" s="251">
        <f t="shared" ca="1" si="28"/>
        <v>713</v>
      </c>
    </row>
    <row r="450" spans="2:52" x14ac:dyDescent="0.25">
      <c r="B450" s="243">
        <v>674</v>
      </c>
      <c r="C450" s="259" t="s">
        <v>1649</v>
      </c>
      <c r="D450" s="252">
        <v>7950</v>
      </c>
      <c r="E450" s="252">
        <f>(BDD[[#This Row],[SUE MENS]]/30)</f>
        <v>265</v>
      </c>
      <c r="F450" s="252">
        <f>BDD[[#This Row],[SUE MENS]]/2</f>
        <v>3975</v>
      </c>
      <c r="G450" s="319">
        <v>44079</v>
      </c>
      <c r="H450" s="243">
        <f ca="1">INT(_xlfn.DAYS(TODAY(),BDD[[#This Row],[FECHA ING.]])/365)</f>
        <v>1</v>
      </c>
      <c r="I450" s="251" t="str">
        <f>VLOOKUP(J450,TABLAS!$B$3:$G$49,2,FALSE)</f>
        <v>TECNOLOGÍA</v>
      </c>
      <c r="J450" s="198" t="s">
        <v>751</v>
      </c>
      <c r="K450" s="251" t="s">
        <v>778</v>
      </c>
      <c r="L450" s="251" t="s">
        <v>763</v>
      </c>
      <c r="M450" s="251"/>
      <c r="N450" s="253" t="s">
        <v>2094</v>
      </c>
      <c r="O450" s="251" t="str">
        <f>IFERROR(VLOOKUP(BDD[[#This Row],[SUBDPTO]],TABLAS!$B$4:$D$36,3,0)," ")</f>
        <v>DENEB SANTIAGO ALTAIR VEGA</v>
      </c>
      <c r="P450" s="258">
        <v>44109</v>
      </c>
      <c r="Q450" s="254">
        <v>5956</v>
      </c>
      <c r="R450" s="255" t="s">
        <v>743</v>
      </c>
      <c r="S450" s="251"/>
      <c r="T450" s="251" t="s">
        <v>811</v>
      </c>
      <c r="U450" s="243">
        <f ca="1">VLOOKUP(BDD[[#This Row],[ANTIG]],DIASXANT18[#All],2)</f>
        <v>10</v>
      </c>
      <c r="V450" s="256">
        <f t="shared" si="31"/>
        <v>0.5</v>
      </c>
      <c r="W450" s="243">
        <f ca="1">BDD[[#This Row],[D.VAC.]]*BDD[[#This Row],[% P.V.]]</f>
        <v>5</v>
      </c>
      <c r="X450" s="243">
        <v>30</v>
      </c>
      <c r="Y450" s="257">
        <f ca="1">(365+BDD[[#This Row],[D.PAG.V.]]+BDD[[#This Row],[D.AG.]])/365</f>
        <v>1.095890410958904</v>
      </c>
      <c r="Z450" s="243">
        <f ca="1">BDD[[#This Row],[SUE DIA]]*BDD[[#This Row],[FACTOR SDI]]</f>
        <v>290.41095890410958</v>
      </c>
      <c r="AA450" s="243">
        <f>BDD[[#This Row],[SUE DIA]]/9</f>
        <v>29.444444444444443</v>
      </c>
      <c r="AB450" s="251">
        <v>31495</v>
      </c>
      <c r="AC450" s="251" t="s">
        <v>1009</v>
      </c>
      <c r="AD450" s="251" t="s">
        <v>790</v>
      </c>
      <c r="AE450" s="260">
        <v>8208742285</v>
      </c>
      <c r="AF450" s="251" t="s">
        <v>1427</v>
      </c>
      <c r="AG450" s="251" t="s">
        <v>773</v>
      </c>
      <c r="AH450" s="251" t="s">
        <v>1555</v>
      </c>
      <c r="AI450" s="243" t="s">
        <v>151</v>
      </c>
      <c r="AJ450" s="258" cm="1">
        <f t="array" aca="1" ref="AJ450" ca="1">DATE(YEAR(FECH.CONS[FECHA DE CONSULTA:]),MONTH(BDD[[#This Row],[FECHA NAC]]),DAY(BDD[[#This Row],[FECHA NAC]]))</f>
        <v>44644</v>
      </c>
      <c r="AK450" s="243"/>
      <c r="AL450" s="261" t="s">
        <v>312</v>
      </c>
      <c r="AM450" s="251" t="s">
        <v>1547</v>
      </c>
      <c r="AN450" s="251" t="s">
        <v>1551</v>
      </c>
      <c r="AO450" s="245">
        <v>51</v>
      </c>
      <c r="AP450" s="251">
        <f ca="1">INT((TODAY()-BDD[[#This Row],[FECHA NAC]])/365)</f>
        <v>36</v>
      </c>
      <c r="AQ450" s="251">
        <v>3</v>
      </c>
      <c r="AR450" s="251">
        <f ca="1">IF(BDD[[#This Row],[ANTIG]]=0,0,1)</f>
        <v>1</v>
      </c>
      <c r="AS450" s="251"/>
      <c r="AT450" s="251"/>
      <c r="AU450" s="251"/>
      <c r="AV450" s="251"/>
      <c r="AW450" s="251"/>
      <c r="AX450" s="251"/>
      <c r="AY450" s="251"/>
      <c r="AZ450" s="251">
        <f t="shared" ca="1" si="28"/>
        <v>442</v>
      </c>
    </row>
    <row r="451" spans="2:52" x14ac:dyDescent="0.25">
      <c r="B451" s="243">
        <v>675</v>
      </c>
      <c r="C451" s="262" t="s">
        <v>355</v>
      </c>
      <c r="D451" s="252">
        <v>9450</v>
      </c>
      <c r="E451" s="252">
        <f>(BDD[[#This Row],[SUE MENS]]/30)</f>
        <v>315</v>
      </c>
      <c r="F451" s="252">
        <f>BDD[[#This Row],[SUE MENS]]/2</f>
        <v>4725</v>
      </c>
      <c r="G451" s="319">
        <v>44081</v>
      </c>
      <c r="H451" s="243">
        <f ca="1">INT(_xlfn.DAYS(TODAY(),BDD[[#This Row],[FECHA ING.]])/365)</f>
        <v>1</v>
      </c>
      <c r="I451" s="251" t="str">
        <f>VLOOKUP(J451,TABLAS!$B$3:$G$49,2,FALSE)</f>
        <v>CPTAL HUMANO</v>
      </c>
      <c r="J451" s="198" t="s">
        <v>758</v>
      </c>
      <c r="K451" s="251" t="s">
        <v>778</v>
      </c>
      <c r="L451" s="251" t="s">
        <v>763</v>
      </c>
      <c r="M451" s="251"/>
      <c r="N451" s="244" t="s">
        <v>2145</v>
      </c>
      <c r="O451" s="251" t="str">
        <f>IFERROR(VLOOKUP(BDD[[#This Row],[SUBDPTO]],TABLAS!$B$4:$D$36,3,0)," ")</f>
        <v>EMMA DARIELA GARCÍA LORCA</v>
      </c>
      <c r="P451" s="258">
        <v>42851</v>
      </c>
      <c r="Q451" s="254">
        <v>6158.4000000000005</v>
      </c>
      <c r="R451" s="255" t="s">
        <v>740</v>
      </c>
      <c r="S451" s="251"/>
      <c r="T451" s="251" t="s">
        <v>301</v>
      </c>
      <c r="U451" s="243">
        <f ca="1">VLOOKUP(BDD[[#This Row],[ANTIG]],DIASXANT18[#All],2)</f>
        <v>10</v>
      </c>
      <c r="V451" s="256">
        <f t="shared" si="31"/>
        <v>0.5</v>
      </c>
      <c r="W451" s="243">
        <f ca="1">BDD[[#This Row],[D.VAC.]]*BDD[[#This Row],[% P.V.]]</f>
        <v>5</v>
      </c>
      <c r="X451" s="243">
        <v>30</v>
      </c>
      <c r="Y451" s="257">
        <f ca="1">(365+BDD[[#This Row],[D.PAG.V.]]+BDD[[#This Row],[D.AG.]])/365</f>
        <v>1.095890410958904</v>
      </c>
      <c r="Z451" s="243">
        <f ca="1">BDD[[#This Row],[SUE DIA]]*BDD[[#This Row],[FACTOR SDI]]</f>
        <v>345.20547945205476</v>
      </c>
      <c r="AA451" s="243">
        <f>BDD[[#This Row],[SUE DIA]]/9</f>
        <v>35</v>
      </c>
      <c r="AB451" s="262">
        <v>33640</v>
      </c>
      <c r="AC451" s="251" t="s">
        <v>1033</v>
      </c>
      <c r="AD451" s="251" t="s">
        <v>792</v>
      </c>
      <c r="AE451" s="252">
        <v>7984282660.5</v>
      </c>
      <c r="AF451" s="251" t="s">
        <v>1329</v>
      </c>
      <c r="AG451" s="251" t="s">
        <v>776</v>
      </c>
      <c r="AH451" s="251" t="s">
        <v>730</v>
      </c>
      <c r="AI451" s="243" t="s">
        <v>151</v>
      </c>
      <c r="AJ451" s="258" cm="1">
        <f t="array" aca="1" ref="AJ451" ca="1">DATE(YEAR(FECH.CONS[FECHA DE CONSULTA:]),MONTH(BDD[[#This Row],[FECHA NAC]]),DAY(BDD[[#This Row],[FECHA NAC]]))</f>
        <v>44598</v>
      </c>
      <c r="AK451" s="243">
        <v>10</v>
      </c>
      <c r="AL451" s="251" t="s">
        <v>311</v>
      </c>
      <c r="AM451" s="251" t="s">
        <v>1544</v>
      </c>
      <c r="AN451" s="251" t="s">
        <v>1551</v>
      </c>
      <c r="AO451" s="245">
        <v>90</v>
      </c>
      <c r="AP451" s="251">
        <f ca="1">INT((TODAY()-BDD[[#This Row],[FECHA NAC]])/365)</f>
        <v>30</v>
      </c>
      <c r="AQ451" s="251">
        <v>0</v>
      </c>
      <c r="AR451" s="251">
        <f ca="1">IF(BDD[[#This Row],[ANTIG]]=0,0,1)</f>
        <v>1</v>
      </c>
      <c r="AS451" s="251"/>
      <c r="AT451" s="251"/>
      <c r="AU451" s="251"/>
      <c r="AV451" s="251"/>
      <c r="AW451" s="251"/>
      <c r="AX451" s="251"/>
      <c r="AY451" s="251"/>
      <c r="AZ451" s="251">
        <f t="shared" ca="1" si="28"/>
        <v>477</v>
      </c>
    </row>
    <row r="452" spans="2:52" x14ac:dyDescent="0.25">
      <c r="B452" s="243">
        <v>677</v>
      </c>
      <c r="C452" s="259" t="s">
        <v>544</v>
      </c>
      <c r="D452" s="244">
        <v>6778</v>
      </c>
      <c r="E452" s="252">
        <f>(BDD[[#This Row],[SUE MENS]]/30)</f>
        <v>225.93333333333334</v>
      </c>
      <c r="F452" s="252">
        <f>BDD[[#This Row],[SUE MENS]]/2</f>
        <v>3389</v>
      </c>
      <c r="G452" s="319">
        <v>44084</v>
      </c>
      <c r="H452" s="243">
        <f ca="1">INT(_xlfn.DAYS(TODAY(),BDD[[#This Row],[FECHA ING.]])/365)</f>
        <v>1</v>
      </c>
      <c r="I452" s="251" t="str">
        <f>VLOOKUP(J452,TABLAS!$B$3:$G$49,2,FALSE)</f>
        <v>DIV ARQUIT</v>
      </c>
      <c r="J452" s="198" t="s">
        <v>740</v>
      </c>
      <c r="K452" s="251" t="s">
        <v>778</v>
      </c>
      <c r="L452" s="251" t="s">
        <v>763</v>
      </c>
      <c r="M452" s="251"/>
      <c r="N452" s="253" t="s">
        <v>1941</v>
      </c>
      <c r="O452" s="251" t="str">
        <f>IFERROR(VLOOKUP(BDD[[#This Row],[SUBDPTO]],TABLAS!$B$4:$D$36,3,0)," ")</f>
        <v>MÉRIDA ISELA MEDINA SALINAS</v>
      </c>
      <c r="P452" s="258"/>
      <c r="Q452" s="264"/>
      <c r="R452" s="244"/>
      <c r="S452" s="251"/>
      <c r="T452" s="251" t="s">
        <v>811</v>
      </c>
      <c r="U452" s="243">
        <f ca="1">VLOOKUP(BDD[[#This Row],[ANTIG]],DIASXANT18[#All],2)</f>
        <v>10</v>
      </c>
      <c r="V452" s="266">
        <v>0.25</v>
      </c>
      <c r="W452" s="243">
        <f ca="1">BDD[[#This Row],[D.VAC.]]*BDD[[#This Row],[% P.V.]]</f>
        <v>2.5</v>
      </c>
      <c r="X452" s="265">
        <v>15</v>
      </c>
      <c r="Y452" s="257">
        <f ca="1">(365+BDD[[#This Row],[D.PAG.V.]]+BDD[[#This Row],[D.AG.]])/365</f>
        <v>1.047945205479452</v>
      </c>
      <c r="Z452" s="243">
        <f ca="1">BDD[[#This Row],[SUE DIA]]*BDD[[#This Row],[FACTOR SDI]]</f>
        <v>236.76575342465753</v>
      </c>
      <c r="AA452" s="243">
        <f>BDD[[#This Row],[SUE DIA]]/9</f>
        <v>25.103703703703705</v>
      </c>
      <c r="AB452" s="251">
        <v>34495</v>
      </c>
      <c r="AC452" s="251" t="s">
        <v>1002</v>
      </c>
      <c r="AD452" s="251" t="s">
        <v>786</v>
      </c>
      <c r="AE452" s="260">
        <v>9865325412</v>
      </c>
      <c r="AF452" s="251" t="s">
        <v>1413</v>
      </c>
      <c r="AG452" s="251" t="s">
        <v>776</v>
      </c>
      <c r="AH452" s="251" t="s">
        <v>730</v>
      </c>
      <c r="AI452" s="243" t="s">
        <v>151</v>
      </c>
      <c r="AJ452" s="258" cm="1">
        <f t="array" aca="1" ref="AJ452" ca="1">DATE(YEAR(FECH.CONS[FECHA DE CONSULTA:]),MONTH(BDD[[#This Row],[FECHA NAC]]),DAY(BDD[[#This Row],[FECHA NAC]]))</f>
        <v>44722</v>
      </c>
      <c r="AK452" s="243">
        <v>7</v>
      </c>
      <c r="AL452" s="261" t="s">
        <v>311</v>
      </c>
      <c r="AM452" s="251" t="s">
        <v>1543</v>
      </c>
      <c r="AN452" s="251" t="s">
        <v>1551</v>
      </c>
      <c r="AO452" s="245">
        <v>93</v>
      </c>
      <c r="AP452" s="251">
        <f ca="1">INT((TODAY()-BDD[[#This Row],[FECHA NAC]])/365)</f>
        <v>28</v>
      </c>
      <c r="AQ452" s="251">
        <v>0</v>
      </c>
      <c r="AR452" s="251">
        <f ca="1">IF(BDD[[#This Row],[ANTIG]]=0,0,1)</f>
        <v>1</v>
      </c>
      <c r="AS452" s="251"/>
      <c r="AT452" s="251"/>
      <c r="AU452" s="251"/>
      <c r="AV452" s="251"/>
      <c r="AW452" s="251"/>
      <c r="AX452" s="251"/>
      <c r="AY452" s="251"/>
      <c r="AZ452" s="251">
        <f t="shared" ca="1" si="28"/>
        <v>230</v>
      </c>
    </row>
    <row r="453" spans="2:52" x14ac:dyDescent="0.25">
      <c r="B453" s="243">
        <v>678</v>
      </c>
      <c r="C453" s="262" t="s">
        <v>337</v>
      </c>
      <c r="D453" s="263">
        <v>7445</v>
      </c>
      <c r="E453" s="252">
        <f>(BDD[[#This Row],[SUE MENS]]/30)</f>
        <v>248.16666666666666</v>
      </c>
      <c r="F453" s="252">
        <f>BDD[[#This Row],[SUE MENS]]/2</f>
        <v>3722.5</v>
      </c>
      <c r="G453" s="319">
        <v>44086</v>
      </c>
      <c r="H453" s="243">
        <f ca="1">INT(_xlfn.DAYS(TODAY(),BDD[[#This Row],[FECHA ING.]])/365)</f>
        <v>1</v>
      </c>
      <c r="I453" s="251" t="str">
        <f>VLOOKUP(J453,TABLAS!$B$3:$G$49,2,FALSE)</f>
        <v>AUDITORÍA</v>
      </c>
      <c r="J453" s="198" t="s">
        <v>735</v>
      </c>
      <c r="K453" s="251" t="s">
        <v>778</v>
      </c>
      <c r="L453" s="251" t="s">
        <v>763</v>
      </c>
      <c r="M453" s="251"/>
      <c r="N453" s="244" t="s">
        <v>1893</v>
      </c>
      <c r="O453" s="251" t="str">
        <f>IFERROR(VLOOKUP(BDD[[#This Row],[SUBDPTO]],TABLAS!$B$4:$D$36,3,0)," ")</f>
        <v>MARCO AURELIO URBINO</v>
      </c>
      <c r="P453" s="258">
        <v>43896</v>
      </c>
      <c r="Q453" s="254">
        <v>5088</v>
      </c>
      <c r="R453" s="255" t="s">
        <v>744</v>
      </c>
      <c r="S453" s="251"/>
      <c r="T453" s="251" t="s">
        <v>811</v>
      </c>
      <c r="U453" s="243">
        <f ca="1">VLOOKUP(BDD[[#This Row],[ANTIG]],DIASXANT18[#All],2)</f>
        <v>10</v>
      </c>
      <c r="V453" s="256">
        <f t="shared" ref="V453:V459" si="32">100/200</f>
        <v>0.5</v>
      </c>
      <c r="W453" s="243">
        <f ca="1">BDD[[#This Row],[D.VAC.]]*BDD[[#This Row],[% P.V.]]</f>
        <v>5</v>
      </c>
      <c r="X453" s="243">
        <v>30</v>
      </c>
      <c r="Y453" s="257">
        <f ca="1">(365+BDD[[#This Row],[D.PAG.V.]]+BDD[[#This Row],[D.AG.]])/365</f>
        <v>1.095890410958904</v>
      </c>
      <c r="Z453" s="243">
        <f ca="1">BDD[[#This Row],[SUE DIA]]*BDD[[#This Row],[FACTOR SDI]]</f>
        <v>271.96347031963467</v>
      </c>
      <c r="AA453" s="243">
        <f>BDD[[#This Row],[SUE DIA]]/9</f>
        <v>27.574074074074073</v>
      </c>
      <c r="AB453" s="262">
        <v>31570</v>
      </c>
      <c r="AC453" s="251" t="s">
        <v>911</v>
      </c>
      <c r="AD453" s="251" t="s">
        <v>789</v>
      </c>
      <c r="AE453" s="252">
        <v>7444830871</v>
      </c>
      <c r="AF453" s="251" t="s">
        <v>1305</v>
      </c>
      <c r="AG453" s="251" t="s">
        <v>776</v>
      </c>
      <c r="AH453" s="251" t="s">
        <v>727</v>
      </c>
      <c r="AI453" s="243" t="s">
        <v>151</v>
      </c>
      <c r="AJ453" s="258" cm="1">
        <f t="array" aca="1" ref="AJ453" ca="1">DATE(YEAR(FECH.CONS[FECHA DE CONSULTA:]),MONTH(BDD[[#This Row],[FECHA NAC]]),DAY(BDD[[#This Row],[FECHA NAC]]))</f>
        <v>44719</v>
      </c>
      <c r="AK453" s="243"/>
      <c r="AL453" s="261" t="s">
        <v>325</v>
      </c>
      <c r="AM453" s="251" t="s">
        <v>1544</v>
      </c>
      <c r="AN453" s="251" t="s">
        <v>162</v>
      </c>
      <c r="AO453" s="245">
        <v>100</v>
      </c>
      <c r="AP453" s="251">
        <f ca="1">INT((TODAY()-BDD[[#This Row],[FECHA NAC]])/365)</f>
        <v>36</v>
      </c>
      <c r="AQ453" s="251">
        <v>0</v>
      </c>
      <c r="AR453" s="251">
        <f ca="1">IF(BDD[[#This Row],[ANTIG]]=0,0,1)</f>
        <v>1</v>
      </c>
      <c r="AS453" s="251"/>
      <c r="AT453" s="251"/>
      <c r="AU453" s="251"/>
      <c r="AV453" s="251"/>
      <c r="AW453" s="251"/>
      <c r="AX453" s="251"/>
      <c r="AY453" s="251"/>
      <c r="AZ453" s="251">
        <f t="shared" ca="1" si="28"/>
        <v>704</v>
      </c>
    </row>
    <row r="454" spans="2:52" x14ac:dyDescent="0.25">
      <c r="B454" s="243">
        <v>679</v>
      </c>
      <c r="C454" s="251" t="s">
        <v>181</v>
      </c>
      <c r="D454" s="252">
        <v>7950</v>
      </c>
      <c r="E454" s="252">
        <f>(BDD[[#This Row],[SUE MENS]]/30)</f>
        <v>265</v>
      </c>
      <c r="F454" s="252">
        <f>BDD[[#This Row],[SUE MENS]]/2</f>
        <v>3975</v>
      </c>
      <c r="G454" s="320">
        <v>44089</v>
      </c>
      <c r="H454" s="243">
        <f ca="1">INT(_xlfn.DAYS(TODAY(),BDD[[#This Row],[FECHA ING.]])/365)</f>
        <v>1</v>
      </c>
      <c r="I454" s="251" t="str">
        <f>VLOOKUP(J454,TABLAS!$B$3:$G$49,2,FALSE)</f>
        <v>DIV INGENRIA</v>
      </c>
      <c r="J454" s="198" t="s">
        <v>756</v>
      </c>
      <c r="K454" s="251" t="s">
        <v>778</v>
      </c>
      <c r="L454" s="251" t="s">
        <v>763</v>
      </c>
      <c r="M454" s="251"/>
      <c r="N454" s="244" t="s">
        <v>1891</v>
      </c>
      <c r="O454" s="251" t="str">
        <f>IFERROR(VLOOKUP(BDD[[#This Row],[SUBDPTO]],TABLAS!$B$4:$D$36,3,0)," ")</f>
        <v>DIEGO HERRERA GIRÓN</v>
      </c>
      <c r="P454" s="258">
        <v>43149</v>
      </c>
      <c r="Q454" s="254">
        <v>5956</v>
      </c>
      <c r="R454" s="255" t="s">
        <v>751</v>
      </c>
      <c r="S454" s="251"/>
      <c r="T454" s="251" t="s">
        <v>811</v>
      </c>
      <c r="U454" s="243">
        <f ca="1">VLOOKUP(BDD[[#This Row],[ANTIG]],DIASXANT18[#All],2)</f>
        <v>10</v>
      </c>
      <c r="V454" s="256">
        <f t="shared" si="32"/>
        <v>0.5</v>
      </c>
      <c r="W454" s="243">
        <f ca="1">BDD[[#This Row],[D.VAC.]]*BDD[[#This Row],[% P.V.]]</f>
        <v>5</v>
      </c>
      <c r="X454" s="243">
        <v>30</v>
      </c>
      <c r="Y454" s="257">
        <f ca="1">(365+BDD[[#This Row],[D.PAG.V.]]+BDD[[#This Row],[D.AG.]])/365</f>
        <v>1.095890410958904</v>
      </c>
      <c r="Z454" s="243">
        <f ca="1">BDD[[#This Row],[SUE DIA]]*BDD[[#This Row],[FACTOR SDI]]</f>
        <v>290.41095890410958</v>
      </c>
      <c r="AA454" s="243">
        <f>BDD[[#This Row],[SUE DIA]]/9</f>
        <v>29.444444444444443</v>
      </c>
      <c r="AB454" s="251">
        <v>30708</v>
      </c>
      <c r="AC454" s="251" t="s">
        <v>923</v>
      </c>
      <c r="AD454" s="251" t="s">
        <v>791</v>
      </c>
      <c r="AE454" s="252">
        <v>8669516101</v>
      </c>
      <c r="AF454" s="251" t="s">
        <v>1196</v>
      </c>
      <c r="AG454" s="251" t="s">
        <v>773</v>
      </c>
      <c r="AH454" s="251" t="s">
        <v>730</v>
      </c>
      <c r="AI454" s="243" t="s">
        <v>151</v>
      </c>
      <c r="AJ454" s="258" cm="1">
        <f t="array" aca="1" ref="AJ454" ca="1">DATE(YEAR(FECH.CONS[FECHA DE CONSULTA:]),MONTH(BDD[[#This Row],[FECHA NAC]]),DAY(BDD[[#This Row],[FECHA NAC]]))</f>
        <v>44588</v>
      </c>
      <c r="AK454" s="243">
        <v>10</v>
      </c>
      <c r="AL454" s="261" t="s">
        <v>315</v>
      </c>
      <c r="AM454" s="251" t="s">
        <v>1538</v>
      </c>
      <c r="AN454" s="251" t="s">
        <v>1551</v>
      </c>
      <c r="AO454" s="245">
        <v>51</v>
      </c>
      <c r="AP454" s="251">
        <f ca="1">INT((TODAY()-BDD[[#This Row],[FECHA NAC]])/365)</f>
        <v>38</v>
      </c>
      <c r="AQ454" s="251">
        <v>0</v>
      </c>
      <c r="AR454" s="251">
        <f ca="1">IF(BDD[[#This Row],[ANTIG]]=0,0,1)</f>
        <v>1</v>
      </c>
      <c r="AS454" s="251"/>
      <c r="AT454" s="251"/>
      <c r="AU454" s="251"/>
      <c r="AV454" s="251"/>
      <c r="AW454" s="251"/>
      <c r="AX454" s="251"/>
      <c r="AY454" s="251"/>
      <c r="AZ454" s="251">
        <f t="shared" ca="1" si="28"/>
        <v>366</v>
      </c>
    </row>
    <row r="455" spans="2:52" x14ac:dyDescent="0.25">
      <c r="B455" s="243">
        <v>680</v>
      </c>
      <c r="C455" s="251" t="s">
        <v>244</v>
      </c>
      <c r="D455" s="263">
        <v>7445</v>
      </c>
      <c r="E455" s="252">
        <f>(BDD[[#This Row],[SUE MENS]]/30)</f>
        <v>248.16666666666666</v>
      </c>
      <c r="F455" s="252">
        <f>BDD[[#This Row],[SUE MENS]]/2</f>
        <v>3722.5</v>
      </c>
      <c r="G455" s="320">
        <v>44147</v>
      </c>
      <c r="H455" s="243">
        <f ca="1">INT(_xlfn.DAYS(TODAY(),BDD[[#This Row],[FECHA ING.]])/365)</f>
        <v>1</v>
      </c>
      <c r="I455" s="251" t="str">
        <f>VLOOKUP(J455,TABLAS!$B$3:$G$49,2,FALSE)</f>
        <v>DIV INGENRIA</v>
      </c>
      <c r="J455" s="198" t="s">
        <v>743</v>
      </c>
      <c r="K455" s="251" t="s">
        <v>778</v>
      </c>
      <c r="L455" s="251" t="s">
        <v>763</v>
      </c>
      <c r="M455" s="251"/>
      <c r="N455" s="253" t="s">
        <v>1756</v>
      </c>
      <c r="O455" s="251" t="str">
        <f>IFERROR(VLOOKUP(BDD[[#This Row],[SUBDPTO]],TABLAS!$B$4:$D$36,3,0)," ")</f>
        <v>DIEGO HERRERA GIRÓN</v>
      </c>
      <c r="P455" s="258"/>
      <c r="Q455" s="264"/>
      <c r="R455" s="244"/>
      <c r="S455" s="251"/>
      <c r="T455" s="251" t="s">
        <v>811</v>
      </c>
      <c r="U455" s="243">
        <f ca="1">VLOOKUP(BDD[[#This Row],[ANTIG]],DIASXANT18[#All],2)</f>
        <v>10</v>
      </c>
      <c r="V455" s="256">
        <f t="shared" si="32"/>
        <v>0.5</v>
      </c>
      <c r="W455" s="243">
        <f ca="1">BDD[[#This Row],[D.VAC.]]*BDD[[#This Row],[% P.V.]]</f>
        <v>5</v>
      </c>
      <c r="X455" s="243">
        <v>30</v>
      </c>
      <c r="Y455" s="257">
        <f ca="1">(365+BDD[[#This Row],[D.PAG.V.]]+BDD[[#This Row],[D.AG.]])/365</f>
        <v>1.095890410958904</v>
      </c>
      <c r="Z455" s="243">
        <f ca="1">BDD[[#This Row],[SUE DIA]]*BDD[[#This Row],[FACTOR SDI]]</f>
        <v>271.96347031963467</v>
      </c>
      <c r="AA455" s="243">
        <f>BDD[[#This Row],[SUE DIA]]/9</f>
        <v>27.574074074074073</v>
      </c>
      <c r="AB455" s="251">
        <v>30675</v>
      </c>
      <c r="AC455" s="251" t="s">
        <v>936</v>
      </c>
      <c r="AD455" s="251" t="s">
        <v>809</v>
      </c>
      <c r="AE455" s="252">
        <v>8688903116</v>
      </c>
      <c r="AF455" s="251" t="s">
        <v>1271</v>
      </c>
      <c r="AG455" s="251" t="s">
        <v>776</v>
      </c>
      <c r="AH455" s="251" t="s">
        <v>730</v>
      </c>
      <c r="AI455" s="243" t="s">
        <v>151</v>
      </c>
      <c r="AJ455" s="258" cm="1">
        <f t="array" aca="1" ref="AJ455" ca="1">DATE(YEAR(FECH.CONS[FECHA DE CONSULTA:]),MONTH(BDD[[#This Row],[FECHA NAC]]),DAY(BDD[[#This Row],[FECHA NAC]]))</f>
        <v>44920</v>
      </c>
      <c r="AK455" s="243">
        <v>9</v>
      </c>
      <c r="AL455" s="261" t="s">
        <v>311</v>
      </c>
      <c r="AM455" s="251" t="s">
        <v>1549</v>
      </c>
      <c r="AN455" s="251" t="s">
        <v>1551</v>
      </c>
      <c r="AO455" s="245">
        <v>49</v>
      </c>
      <c r="AP455" s="251">
        <f ca="1">INT((TODAY()-BDD[[#This Row],[FECHA NAC]])/365)</f>
        <v>38</v>
      </c>
      <c r="AQ455" s="251">
        <v>1</v>
      </c>
      <c r="AR455" s="251">
        <f ca="1">IF(BDD[[#This Row],[ANTIG]]=0,0,1)</f>
        <v>1</v>
      </c>
      <c r="AS455" s="251"/>
      <c r="AT455" s="251"/>
      <c r="AU455" s="251"/>
      <c r="AV455" s="251"/>
      <c r="AW455" s="251"/>
      <c r="AX455" s="251"/>
      <c r="AY455" s="251"/>
      <c r="AZ455" s="251">
        <f t="shared" ca="1" si="28"/>
        <v>33</v>
      </c>
    </row>
    <row r="456" spans="2:52" x14ac:dyDescent="0.25">
      <c r="B456" s="243">
        <v>682</v>
      </c>
      <c r="C456" s="251" t="s">
        <v>272</v>
      </c>
      <c r="D456" s="252">
        <v>9450</v>
      </c>
      <c r="E456" s="252">
        <f>(BDD[[#This Row],[SUE MENS]]/30)</f>
        <v>315</v>
      </c>
      <c r="F456" s="252">
        <f>BDD[[#This Row],[SUE MENS]]/2</f>
        <v>4725</v>
      </c>
      <c r="G456" s="319">
        <v>44160</v>
      </c>
      <c r="H456" s="243">
        <f ca="1">INT(_xlfn.DAYS(TODAY(),BDD[[#This Row],[FECHA ING.]])/365)</f>
        <v>1</v>
      </c>
      <c r="I456" s="251" t="str">
        <f>VLOOKUP(J456,TABLAS!$B$3:$G$49,2,FALSE)</f>
        <v>DIRECCIÓN</v>
      </c>
      <c r="J456" s="198" t="s">
        <v>745</v>
      </c>
      <c r="K456" s="251" t="s">
        <v>778</v>
      </c>
      <c r="L456" s="251" t="s">
        <v>763</v>
      </c>
      <c r="M456" s="251"/>
      <c r="N456" s="244" t="s">
        <v>1837</v>
      </c>
      <c r="O456" s="251" t="str">
        <f>IFERROR(VLOOKUP(BDD[[#This Row],[SUBDPTO]],TABLAS!$B$4:$D$36,3,0)," ")</f>
        <v>MARIANA RODRÍGUEZ GUTIERREZ</v>
      </c>
      <c r="P456" s="258"/>
      <c r="Q456" s="264"/>
      <c r="R456" s="244"/>
      <c r="S456" s="251"/>
      <c r="T456" s="251" t="s">
        <v>811</v>
      </c>
      <c r="U456" s="243">
        <f ca="1">VLOOKUP(BDD[[#This Row],[ANTIG]],DIASXANT18[#All],2)</f>
        <v>10</v>
      </c>
      <c r="V456" s="256">
        <f t="shared" si="32"/>
        <v>0.5</v>
      </c>
      <c r="W456" s="243">
        <f ca="1">BDD[[#This Row],[D.VAC.]]*BDD[[#This Row],[% P.V.]]</f>
        <v>5</v>
      </c>
      <c r="X456" s="243">
        <v>30</v>
      </c>
      <c r="Y456" s="257">
        <f ca="1">(365+BDD[[#This Row],[D.PAG.V.]]+BDD[[#This Row],[D.AG.]])/365</f>
        <v>1.095890410958904</v>
      </c>
      <c r="Z456" s="243">
        <f ca="1">BDD[[#This Row],[SUE DIA]]*BDD[[#This Row],[FACTOR SDI]]</f>
        <v>345.20547945205476</v>
      </c>
      <c r="AA456" s="243">
        <f>BDD[[#This Row],[SUE DIA]]/9</f>
        <v>35</v>
      </c>
      <c r="AB456" s="251">
        <v>29343</v>
      </c>
      <c r="AC456" s="251" t="s">
        <v>1022</v>
      </c>
      <c r="AD456" s="251" t="s">
        <v>792</v>
      </c>
      <c r="AE456" s="252">
        <v>8922818922</v>
      </c>
      <c r="AF456" s="251" t="s">
        <v>1136</v>
      </c>
      <c r="AG456" s="251" t="s">
        <v>773</v>
      </c>
      <c r="AH456" s="251" t="s">
        <v>1555</v>
      </c>
      <c r="AI456" s="243" t="s">
        <v>152</v>
      </c>
      <c r="AJ456" s="258" cm="1">
        <f t="array" aca="1" ref="AJ456" ca="1">DATE(YEAR(FECH.CONS[FECHA DE CONSULTA:]),MONTH(BDD[[#This Row],[FECHA NAC]]),DAY(BDD[[#This Row],[FECHA NAC]]))</f>
        <v>44683</v>
      </c>
      <c r="AK456" s="243"/>
      <c r="AL456" s="261" t="s">
        <v>315</v>
      </c>
      <c r="AM456" s="251" t="s">
        <v>1544</v>
      </c>
      <c r="AN456" s="251" t="s">
        <v>1551</v>
      </c>
      <c r="AO456" s="245">
        <v>71</v>
      </c>
      <c r="AP456" s="251">
        <f ca="1">INT((TODAY()-BDD[[#This Row],[FECHA NAC]])/365)</f>
        <v>42</v>
      </c>
      <c r="AQ456" s="251">
        <v>1</v>
      </c>
      <c r="AR456" s="251">
        <f ca="1">IF(BDD[[#This Row],[ANTIG]]=0,0,1)</f>
        <v>1</v>
      </c>
      <c r="AS456" s="251"/>
      <c r="AT456" s="251"/>
      <c r="AU456" s="251"/>
      <c r="AV456" s="251"/>
      <c r="AW456" s="251"/>
      <c r="AX456" s="251"/>
      <c r="AY456" s="251"/>
      <c r="AZ456" s="251">
        <f t="shared" ca="1" si="28"/>
        <v>582</v>
      </c>
    </row>
    <row r="457" spans="2:52" x14ac:dyDescent="0.25">
      <c r="B457" s="243">
        <v>683</v>
      </c>
      <c r="C457" s="262" t="s">
        <v>364</v>
      </c>
      <c r="D457" s="252">
        <v>7950</v>
      </c>
      <c r="E457" s="252">
        <f>(BDD[[#This Row],[SUE MENS]]/30)</f>
        <v>265</v>
      </c>
      <c r="F457" s="252">
        <f>BDD[[#This Row],[SUE MENS]]/2</f>
        <v>3975</v>
      </c>
      <c r="G457" s="319">
        <v>44161</v>
      </c>
      <c r="H457" s="243">
        <f ca="1">INT(_xlfn.DAYS(TODAY(),BDD[[#This Row],[FECHA ING.]])/365)</f>
        <v>1</v>
      </c>
      <c r="I457" s="251" t="str">
        <f>VLOOKUP(J457,TABLAS!$B$3:$G$49,2,FALSE)</f>
        <v>DIV ARQUIT</v>
      </c>
      <c r="J457" s="198" t="s">
        <v>740</v>
      </c>
      <c r="K457" s="251" t="s">
        <v>778</v>
      </c>
      <c r="L457" s="251" t="s">
        <v>763</v>
      </c>
      <c r="M457" s="251"/>
      <c r="N457" s="244" t="s">
        <v>1978</v>
      </c>
      <c r="O457" s="251" t="str">
        <f>IFERROR(VLOOKUP(BDD[[#This Row],[SUBDPTO]],TABLAS!$B$4:$D$36,3,0)," ")</f>
        <v>MÉRIDA ISELA MEDINA SALINAS</v>
      </c>
      <c r="P457" s="258">
        <v>43506</v>
      </c>
      <c r="Q457" s="254">
        <v>6158.4000000000005</v>
      </c>
      <c r="R457" s="255" t="s">
        <v>745</v>
      </c>
      <c r="S457" s="251"/>
      <c r="T457" s="251" t="s">
        <v>811</v>
      </c>
      <c r="U457" s="243">
        <f ca="1">VLOOKUP(BDD[[#This Row],[ANTIG]],DIASXANT18[#All],2)</f>
        <v>10</v>
      </c>
      <c r="V457" s="256">
        <f t="shared" si="32"/>
        <v>0.5</v>
      </c>
      <c r="W457" s="243">
        <f ca="1">BDD[[#This Row],[D.VAC.]]*BDD[[#This Row],[% P.V.]]</f>
        <v>5</v>
      </c>
      <c r="X457" s="243">
        <v>30</v>
      </c>
      <c r="Y457" s="257">
        <f ca="1">(365+BDD[[#This Row],[D.PAG.V.]]+BDD[[#This Row],[D.AG.]])/365</f>
        <v>1.095890410958904</v>
      </c>
      <c r="Z457" s="243">
        <f ca="1">BDD[[#This Row],[SUE DIA]]*BDD[[#This Row],[FACTOR SDI]]</f>
        <v>290.41095890410958</v>
      </c>
      <c r="AA457" s="243">
        <f>BDD[[#This Row],[SUE DIA]]/9</f>
        <v>29.444444444444443</v>
      </c>
      <c r="AB457" s="262">
        <v>34807</v>
      </c>
      <c r="AC457" s="251" t="s">
        <v>966</v>
      </c>
      <c r="AD457" s="251" t="s">
        <v>786</v>
      </c>
      <c r="AE457" s="252">
        <v>8422204182</v>
      </c>
      <c r="AF457" s="251" t="s">
        <v>1342</v>
      </c>
      <c r="AG457" s="251" t="s">
        <v>776</v>
      </c>
      <c r="AH457" s="251" t="s">
        <v>730</v>
      </c>
      <c r="AI457" s="243" t="s">
        <v>151</v>
      </c>
      <c r="AJ457" s="258" cm="1">
        <f t="array" aca="1" ref="AJ457" ca="1">DATE(YEAR(FECH.CONS[FECHA DE CONSULTA:]),MONTH(BDD[[#This Row],[FECHA NAC]]),DAY(BDD[[#This Row],[FECHA NAC]]))</f>
        <v>44669</v>
      </c>
      <c r="AK457" s="243">
        <v>7</v>
      </c>
      <c r="AL457" s="261" t="s">
        <v>311</v>
      </c>
      <c r="AM457" s="251" t="s">
        <v>1543</v>
      </c>
      <c r="AN457" s="251" t="s">
        <v>1551</v>
      </c>
      <c r="AO457" s="245">
        <v>69</v>
      </c>
      <c r="AP457" s="251">
        <f ca="1">INT((TODAY()-BDD[[#This Row],[FECHA NAC]])/365)</f>
        <v>27</v>
      </c>
      <c r="AQ457" s="251">
        <v>1</v>
      </c>
      <c r="AR457" s="251">
        <f ca="1">IF(BDD[[#This Row],[ANTIG]]=0,0,1)</f>
        <v>1</v>
      </c>
      <c r="AS457" s="251"/>
      <c r="AT457" s="251"/>
      <c r="AU457" s="251"/>
      <c r="AV457" s="251"/>
      <c r="AW457" s="251"/>
      <c r="AX457" s="251"/>
      <c r="AY457" s="251"/>
      <c r="AZ457" s="251">
        <f t="shared" ref="AZ457:AZ498" ca="1" si="33">RANDBETWEEN(1,1000)</f>
        <v>285</v>
      </c>
    </row>
    <row r="458" spans="2:52" x14ac:dyDescent="0.25">
      <c r="B458" s="243">
        <v>684</v>
      </c>
      <c r="C458" s="259" t="s">
        <v>823</v>
      </c>
      <c r="D458" s="252">
        <v>8825</v>
      </c>
      <c r="E458" s="252">
        <f>(BDD[[#This Row],[SUE MENS]]/30)</f>
        <v>294.16666666666669</v>
      </c>
      <c r="F458" s="252">
        <f>BDD[[#This Row],[SUE MENS]]/2</f>
        <v>4412.5</v>
      </c>
      <c r="G458" s="320">
        <v>44165</v>
      </c>
      <c r="H458" s="243">
        <f ca="1">INT(_xlfn.DAYS(TODAY(),BDD[[#This Row],[FECHA ING.]])/365)</f>
        <v>1</v>
      </c>
      <c r="I458" s="251" t="str">
        <f>VLOOKUP(J458,TABLAS!$B$3:$G$49,2,FALSE)</f>
        <v>DIV INGENRIA</v>
      </c>
      <c r="J458" s="198" t="s">
        <v>743</v>
      </c>
      <c r="K458" s="251" t="s">
        <v>778</v>
      </c>
      <c r="L458" s="251" t="s">
        <v>763</v>
      </c>
      <c r="M458" s="251"/>
      <c r="N458" s="244" t="s">
        <v>2109</v>
      </c>
      <c r="O458" s="251" t="str">
        <f>IFERROR(VLOOKUP(BDD[[#This Row],[SUBDPTO]],TABLAS!$B$4:$D$36,3,0)," ")</f>
        <v>DIEGO HERRERA GIRÓN</v>
      </c>
      <c r="P458" s="258">
        <v>43936</v>
      </c>
      <c r="Q458" s="254">
        <v>6160</v>
      </c>
      <c r="R458" s="255" t="s">
        <v>741</v>
      </c>
      <c r="S458" s="251"/>
      <c r="T458" s="251" t="s">
        <v>811</v>
      </c>
      <c r="U458" s="243">
        <f ca="1">VLOOKUP(BDD[[#This Row],[ANTIG]],DIASXANT18[#All],2)</f>
        <v>10</v>
      </c>
      <c r="V458" s="256">
        <f t="shared" si="32"/>
        <v>0.5</v>
      </c>
      <c r="W458" s="243">
        <f ca="1">BDD[[#This Row],[D.VAC.]]*BDD[[#This Row],[% P.V.]]</f>
        <v>5</v>
      </c>
      <c r="X458" s="243">
        <v>30</v>
      </c>
      <c r="Y458" s="257">
        <f ca="1">(365+BDD[[#This Row],[D.PAG.V.]]+BDD[[#This Row],[D.AG.]])/365</f>
        <v>1.095890410958904</v>
      </c>
      <c r="Z458" s="243">
        <f ca="1">BDD[[#This Row],[SUE DIA]]*BDD[[#This Row],[FACTOR SDI]]</f>
        <v>322.3744292237443</v>
      </c>
      <c r="AA458" s="243">
        <f>BDD[[#This Row],[SUE DIA]]/9</f>
        <v>32.68518518518519</v>
      </c>
      <c r="AB458" s="251">
        <v>27733</v>
      </c>
      <c r="AC458" s="251" t="s">
        <v>1054</v>
      </c>
      <c r="AD458" s="251" t="s">
        <v>791</v>
      </c>
      <c r="AE458" s="260">
        <v>8196678481</v>
      </c>
      <c r="AF458" s="251" t="s">
        <v>1401</v>
      </c>
      <c r="AG458" s="251" t="s">
        <v>776</v>
      </c>
      <c r="AH458" s="251" t="s">
        <v>1555</v>
      </c>
      <c r="AI458" s="243" t="s">
        <v>151</v>
      </c>
      <c r="AJ458" s="258" cm="1">
        <f t="array" aca="1" ref="AJ458" ca="1">DATE(YEAR(FECH.CONS[FECHA DE CONSULTA:]),MONTH(BDD[[#This Row],[FECHA NAC]]),DAY(BDD[[#This Row],[FECHA NAC]]))</f>
        <v>44900</v>
      </c>
      <c r="AK458" s="243"/>
      <c r="AL458" s="261" t="s">
        <v>326</v>
      </c>
      <c r="AM458" s="251" t="s">
        <v>1538</v>
      </c>
      <c r="AN458" s="251" t="s">
        <v>1551</v>
      </c>
      <c r="AO458" s="245">
        <v>62</v>
      </c>
      <c r="AP458" s="251">
        <f ca="1">INT((TODAY()-BDD[[#This Row],[FECHA NAC]])/365)</f>
        <v>46</v>
      </c>
      <c r="AQ458" s="251">
        <v>3</v>
      </c>
      <c r="AR458" s="251">
        <f ca="1">IF(BDD[[#This Row],[ANTIG]]=0,0,1)</f>
        <v>1</v>
      </c>
      <c r="AS458" s="251"/>
      <c r="AT458" s="251"/>
      <c r="AU458" s="251"/>
      <c r="AV458" s="251"/>
      <c r="AW458" s="251"/>
      <c r="AX458" s="251"/>
      <c r="AY458" s="251"/>
      <c r="AZ458" s="251">
        <f t="shared" ca="1" si="33"/>
        <v>1000</v>
      </c>
    </row>
    <row r="459" spans="2:52" x14ac:dyDescent="0.25">
      <c r="B459" s="243">
        <v>688</v>
      </c>
      <c r="C459" s="259" t="s">
        <v>546</v>
      </c>
      <c r="D459" s="263">
        <v>10350</v>
      </c>
      <c r="E459" s="252">
        <f>(BDD[[#This Row],[SUE MENS]]/30)</f>
        <v>345</v>
      </c>
      <c r="F459" s="252">
        <f>BDD[[#This Row],[SUE MENS]]/2</f>
        <v>5175</v>
      </c>
      <c r="G459" s="320">
        <v>44166</v>
      </c>
      <c r="H459" s="243">
        <f ca="1">INT(_xlfn.DAYS(TODAY(),BDD[[#This Row],[FECHA ING.]])/365)</f>
        <v>1</v>
      </c>
      <c r="I459" s="251" t="str">
        <f>VLOOKUP(J459,TABLAS!$B$3:$G$49,2,FALSE)</f>
        <v>TECNOLOGÍA</v>
      </c>
      <c r="J459" s="198" t="s">
        <v>751</v>
      </c>
      <c r="K459" s="251" t="s">
        <v>778</v>
      </c>
      <c r="L459" s="251" t="s">
        <v>763</v>
      </c>
      <c r="M459" s="251"/>
      <c r="N459" s="253" t="s">
        <v>2156</v>
      </c>
      <c r="O459" s="251" t="str">
        <f>IFERROR(VLOOKUP(BDD[[#This Row],[SUBDPTO]],TABLAS!$B$4:$D$36,3,0)," ")</f>
        <v>DENEB SANTIAGO ALTAIR VEGA</v>
      </c>
      <c r="P459" s="258">
        <v>41175</v>
      </c>
      <c r="Q459" s="254">
        <v>10816</v>
      </c>
      <c r="R459" s="255" t="s">
        <v>740</v>
      </c>
      <c r="S459" s="255" t="s">
        <v>757</v>
      </c>
      <c r="T459" s="251" t="s">
        <v>301</v>
      </c>
      <c r="U459" s="243">
        <f ca="1">VLOOKUP(BDD[[#This Row],[ANTIG]],DIASXANT18[#All],2)</f>
        <v>10</v>
      </c>
      <c r="V459" s="256">
        <f t="shared" si="32"/>
        <v>0.5</v>
      </c>
      <c r="W459" s="243">
        <f ca="1">BDD[[#This Row],[D.VAC.]]*BDD[[#This Row],[% P.V.]]</f>
        <v>5</v>
      </c>
      <c r="X459" s="243">
        <v>30</v>
      </c>
      <c r="Y459" s="257">
        <f ca="1">(365+BDD[[#This Row],[D.PAG.V.]]+BDD[[#This Row],[D.AG.]])/365</f>
        <v>1.095890410958904</v>
      </c>
      <c r="Z459" s="243">
        <f ca="1">BDD[[#This Row],[SUE DIA]]*BDD[[#This Row],[FACTOR SDI]]</f>
        <v>378.08219178082192</v>
      </c>
      <c r="AA459" s="243">
        <f>BDD[[#This Row],[SUE DIA]]/9</f>
        <v>38.333333333333336</v>
      </c>
      <c r="AB459" s="251">
        <v>29888</v>
      </c>
      <c r="AC459" s="251" t="s">
        <v>885</v>
      </c>
      <c r="AD459" s="251" t="s">
        <v>789</v>
      </c>
      <c r="AE459" s="260">
        <v>5423110268</v>
      </c>
      <c r="AF459" s="251" t="s">
        <v>1415</v>
      </c>
      <c r="AG459" s="251" t="s">
        <v>774</v>
      </c>
      <c r="AH459" s="251" t="s">
        <v>730</v>
      </c>
      <c r="AI459" s="243" t="s">
        <v>152</v>
      </c>
      <c r="AJ459" s="258" cm="1">
        <f t="array" aca="1" ref="AJ459" ca="1">DATE(YEAR(FECH.CONS[FECHA DE CONSULTA:]),MONTH(BDD[[#This Row],[FECHA NAC]]),DAY(BDD[[#This Row],[FECHA NAC]]))</f>
        <v>44863</v>
      </c>
      <c r="AK459" s="243">
        <v>9</v>
      </c>
      <c r="AL459" s="261" t="s">
        <v>312</v>
      </c>
      <c r="AM459" s="251" t="s">
        <v>1547</v>
      </c>
      <c r="AN459" s="251" t="s">
        <v>1551</v>
      </c>
      <c r="AO459" s="245">
        <v>99</v>
      </c>
      <c r="AP459" s="251">
        <f ca="1">INT((TODAY()-BDD[[#This Row],[FECHA NAC]])/365)</f>
        <v>40</v>
      </c>
      <c r="AQ459" s="251">
        <v>0</v>
      </c>
      <c r="AR459" s="251">
        <f ca="1">IF(BDD[[#This Row],[ANTIG]]=0,0,1)</f>
        <v>1</v>
      </c>
      <c r="AS459" s="251"/>
      <c r="AT459" s="251"/>
      <c r="AU459" s="251"/>
      <c r="AV459" s="251"/>
      <c r="AW459" s="251"/>
      <c r="AX459" s="251"/>
      <c r="AY459" s="251"/>
      <c r="AZ459" s="251">
        <f t="shared" ca="1" si="33"/>
        <v>711</v>
      </c>
    </row>
    <row r="460" spans="2:52" x14ac:dyDescent="0.25">
      <c r="B460" s="243">
        <v>689</v>
      </c>
      <c r="C460" s="259" t="s">
        <v>597</v>
      </c>
      <c r="D460" s="244">
        <v>6778</v>
      </c>
      <c r="E460" s="252">
        <f>(BDD[[#This Row],[SUE MENS]]/30)</f>
        <v>225.93333333333334</v>
      </c>
      <c r="F460" s="252">
        <f>BDD[[#This Row],[SUE MENS]]/2</f>
        <v>3389</v>
      </c>
      <c r="G460" s="319">
        <v>44171</v>
      </c>
      <c r="H460" s="243">
        <f ca="1">INT(_xlfn.DAYS(TODAY(),BDD[[#This Row],[FECHA ING.]])/365)</f>
        <v>1</v>
      </c>
      <c r="I460" s="251" t="str">
        <f>VLOOKUP(J460,TABLAS!$B$3:$G$49,2,FALSE)</f>
        <v>DIRECCIÓN</v>
      </c>
      <c r="J460" s="198" t="s">
        <v>759</v>
      </c>
      <c r="K460" s="251" t="s">
        <v>778</v>
      </c>
      <c r="L460" s="251" t="s">
        <v>763</v>
      </c>
      <c r="M460" s="251"/>
      <c r="N460" s="253" t="s">
        <v>1769</v>
      </c>
      <c r="O460" s="251" t="str">
        <f>IFERROR(VLOOKUP(BDD[[#This Row],[SUBDPTO]],TABLAS!$B$4:$D$36,3,0)," ")</f>
        <v>MARIANA RODRÍGUEZ GUTIERREZ</v>
      </c>
      <c r="P460" s="258"/>
      <c r="Q460" s="264"/>
      <c r="R460" s="244"/>
      <c r="S460" s="251"/>
      <c r="T460" s="251" t="s">
        <v>811</v>
      </c>
      <c r="U460" s="243">
        <f ca="1">VLOOKUP(BDD[[#This Row],[ANTIG]],DIASXANT18[#All],2)</f>
        <v>10</v>
      </c>
      <c r="V460" s="266">
        <v>0.25</v>
      </c>
      <c r="W460" s="243">
        <f ca="1">BDD[[#This Row],[D.VAC.]]*BDD[[#This Row],[% P.V.]]</f>
        <v>2.5</v>
      </c>
      <c r="X460" s="265">
        <v>15</v>
      </c>
      <c r="Y460" s="257">
        <f ca="1">(365+BDD[[#This Row],[D.PAG.V.]]+BDD[[#This Row],[D.AG.]])/365</f>
        <v>1.047945205479452</v>
      </c>
      <c r="Z460" s="243">
        <f ca="1">BDD[[#This Row],[SUE DIA]]*BDD[[#This Row],[FACTOR SDI]]</f>
        <v>236.76575342465753</v>
      </c>
      <c r="AA460" s="243">
        <f>BDD[[#This Row],[SUE DIA]]/9</f>
        <v>25.103703703703705</v>
      </c>
      <c r="AB460" s="251">
        <v>29404</v>
      </c>
      <c r="AC460" s="251" t="s">
        <v>1029</v>
      </c>
      <c r="AD460" s="251" t="s">
        <v>789</v>
      </c>
      <c r="AE460" s="260">
        <v>5609668693</v>
      </c>
      <c r="AF460" s="251" t="s">
        <v>1454</v>
      </c>
      <c r="AG460" s="251" t="s">
        <v>773</v>
      </c>
      <c r="AH460" s="251" t="s">
        <v>730</v>
      </c>
      <c r="AI460" s="243" t="s">
        <v>151</v>
      </c>
      <c r="AJ460" s="258" cm="1">
        <f t="array" aca="1" ref="AJ460" ca="1">DATE(YEAR(FECH.CONS[FECHA DE CONSULTA:]),MONTH(BDD[[#This Row],[FECHA NAC]]),DAY(BDD[[#This Row],[FECHA NAC]]))</f>
        <v>44744</v>
      </c>
      <c r="AK460" s="243">
        <v>7</v>
      </c>
      <c r="AL460" s="261" t="s">
        <v>311</v>
      </c>
      <c r="AM460" s="251" t="s">
        <v>1534</v>
      </c>
      <c r="AN460" s="251" t="s">
        <v>1551</v>
      </c>
      <c r="AO460" s="245">
        <v>49</v>
      </c>
      <c r="AP460" s="251">
        <f ca="1">INT((TODAY()-BDD[[#This Row],[FECHA NAC]])/365)</f>
        <v>42</v>
      </c>
      <c r="AQ460" s="251">
        <v>1</v>
      </c>
      <c r="AR460" s="251">
        <f ca="1">IF(BDD[[#This Row],[ANTIG]]=0,0,1)</f>
        <v>1</v>
      </c>
      <c r="AS460" s="251"/>
      <c r="AT460" s="251"/>
      <c r="AU460" s="251"/>
      <c r="AV460" s="251"/>
      <c r="AW460" s="251"/>
      <c r="AX460" s="251"/>
      <c r="AY460" s="251"/>
      <c r="AZ460" s="251">
        <f t="shared" ca="1" si="33"/>
        <v>6</v>
      </c>
    </row>
    <row r="461" spans="2:52" x14ac:dyDescent="0.25">
      <c r="B461" s="243">
        <v>690</v>
      </c>
      <c r="C461" s="251" t="s">
        <v>396</v>
      </c>
      <c r="D461" s="263">
        <v>7445</v>
      </c>
      <c r="E461" s="252">
        <f>(BDD[[#This Row],[SUE MENS]]/30)</f>
        <v>248.16666666666666</v>
      </c>
      <c r="F461" s="252">
        <f>BDD[[#This Row],[SUE MENS]]/2</f>
        <v>3722.5</v>
      </c>
      <c r="G461" s="319">
        <v>44171</v>
      </c>
      <c r="H461" s="243">
        <f ca="1">INT(_xlfn.DAYS(TODAY(),BDD[[#This Row],[FECHA ING.]])/365)</f>
        <v>1</v>
      </c>
      <c r="I461" s="251" t="str">
        <f>VLOOKUP(J461,TABLAS!$B$3:$G$49,2,FALSE)</f>
        <v>CPTAL HUMANO</v>
      </c>
      <c r="J461" s="244" t="s">
        <v>767</v>
      </c>
      <c r="K461" s="251" t="s">
        <v>778</v>
      </c>
      <c r="L461" s="251" t="s">
        <v>763</v>
      </c>
      <c r="M461" s="251"/>
      <c r="N461" s="244" t="s">
        <v>2125</v>
      </c>
      <c r="O461" s="251" t="str">
        <f>IFERROR(VLOOKUP(BDD[[#This Row],[SUBDPTO]],TABLAS!$B$4:$D$36,3,0)," ")</f>
        <v>EMMA DARIELA GARCÍA LORCA</v>
      </c>
      <c r="P461" s="258"/>
      <c r="Q461" s="264"/>
      <c r="R461" s="244"/>
      <c r="S461" s="251"/>
      <c r="T461" s="251" t="s">
        <v>811</v>
      </c>
      <c r="U461" s="243">
        <f ca="1">VLOOKUP(BDD[[#This Row],[ANTIG]],DIASXANT18[#All],2)</f>
        <v>10</v>
      </c>
      <c r="V461" s="256">
        <f t="shared" ref="V461:V471" si="34">100/200</f>
        <v>0.5</v>
      </c>
      <c r="W461" s="243">
        <f ca="1">BDD[[#This Row],[D.VAC.]]*BDD[[#This Row],[% P.V.]]</f>
        <v>5</v>
      </c>
      <c r="X461" s="243">
        <v>30</v>
      </c>
      <c r="Y461" s="257">
        <f ca="1">(365+BDD[[#This Row],[D.PAG.V.]]+BDD[[#This Row],[D.AG.]])/365</f>
        <v>1.095890410958904</v>
      </c>
      <c r="Z461" s="243">
        <f ca="1">BDD[[#This Row],[SUE DIA]]*BDD[[#This Row],[FACTOR SDI]]</f>
        <v>271.96347031963467</v>
      </c>
      <c r="AA461" s="243">
        <f>BDD[[#This Row],[SUE DIA]]/9</f>
        <v>27.574074074074073</v>
      </c>
      <c r="AB461" s="251">
        <v>35865</v>
      </c>
      <c r="AC461" s="251" t="s">
        <v>976</v>
      </c>
      <c r="AD461" s="251" t="s">
        <v>787</v>
      </c>
      <c r="AE461" s="252">
        <v>8240681821</v>
      </c>
      <c r="AF461" s="251" t="s">
        <v>1212</v>
      </c>
      <c r="AG461" s="251" t="s">
        <v>776</v>
      </c>
      <c r="AH461" s="251" t="s">
        <v>730</v>
      </c>
      <c r="AI461" s="243" t="s">
        <v>151</v>
      </c>
      <c r="AJ461" s="258" cm="1">
        <f t="array" aca="1" ref="AJ461" ca="1">DATE(YEAR(FECH.CONS[FECHA DE CONSULTA:]),MONTH(BDD[[#This Row],[FECHA NAC]]),DAY(BDD[[#This Row],[FECHA NAC]]))</f>
        <v>44631</v>
      </c>
      <c r="AK461" s="243">
        <v>9</v>
      </c>
      <c r="AL461" s="251" t="s">
        <v>311</v>
      </c>
      <c r="AM461" s="251" t="s">
        <v>1540</v>
      </c>
      <c r="AN461" s="251" t="s">
        <v>162</v>
      </c>
      <c r="AO461" s="245">
        <v>54</v>
      </c>
      <c r="AP461" s="251">
        <f ca="1">INT((TODAY()-BDD[[#This Row],[FECHA NAC]])/365)</f>
        <v>24</v>
      </c>
      <c r="AQ461" s="251">
        <v>0</v>
      </c>
      <c r="AR461" s="251">
        <f ca="1">IF(BDD[[#This Row],[ANTIG]]=0,0,1)</f>
        <v>1</v>
      </c>
      <c r="AS461" s="251"/>
      <c r="AT461" s="251"/>
      <c r="AU461" s="251"/>
      <c r="AV461" s="251"/>
      <c r="AW461" s="251"/>
      <c r="AX461" s="251"/>
      <c r="AY461" s="251"/>
      <c r="AZ461" s="251">
        <f t="shared" ca="1" si="33"/>
        <v>748</v>
      </c>
    </row>
    <row r="462" spans="2:52" x14ac:dyDescent="0.25">
      <c r="B462" s="243">
        <v>691</v>
      </c>
      <c r="C462" s="259" t="s">
        <v>453</v>
      </c>
      <c r="D462" s="252">
        <v>9450</v>
      </c>
      <c r="E462" s="252">
        <f>(BDD[[#This Row],[SUE MENS]]/30)</f>
        <v>315</v>
      </c>
      <c r="F462" s="252">
        <f>BDD[[#This Row],[SUE MENS]]/2</f>
        <v>4725</v>
      </c>
      <c r="G462" s="320">
        <v>44171</v>
      </c>
      <c r="H462" s="243">
        <f ca="1">INT(_xlfn.DAYS(TODAY(),BDD[[#This Row],[FECHA ING.]])/365)</f>
        <v>1</v>
      </c>
      <c r="I462" s="251" t="str">
        <f>VLOOKUP(J462,TABLAS!$B$3:$G$49,2,FALSE)</f>
        <v>TECNOLOGÍA</v>
      </c>
      <c r="J462" s="198" t="s">
        <v>750</v>
      </c>
      <c r="K462" s="251" t="s">
        <v>778</v>
      </c>
      <c r="L462" s="251" t="s">
        <v>763</v>
      </c>
      <c r="M462" s="251"/>
      <c r="N462" s="244" t="s">
        <v>2024</v>
      </c>
      <c r="O462" s="251" t="str">
        <f>IFERROR(VLOOKUP(BDD[[#This Row],[SUBDPTO]],TABLAS!$B$4:$D$36,3,0)," ")</f>
        <v>DENEB SANTIAGO ALTAIR VEGA</v>
      </c>
      <c r="P462" s="258">
        <v>43197</v>
      </c>
      <c r="Q462" s="254">
        <v>5422.4000000000005</v>
      </c>
      <c r="R462" s="255" t="s">
        <v>745</v>
      </c>
      <c r="S462" s="251"/>
      <c r="T462" s="251" t="s">
        <v>811</v>
      </c>
      <c r="U462" s="243">
        <f ca="1">VLOOKUP(BDD[[#This Row],[ANTIG]],DIASXANT18[#All],2)</f>
        <v>10</v>
      </c>
      <c r="V462" s="256">
        <f t="shared" si="34"/>
        <v>0.5</v>
      </c>
      <c r="W462" s="243">
        <f ca="1">BDD[[#This Row],[D.VAC.]]*BDD[[#This Row],[% P.V.]]</f>
        <v>5</v>
      </c>
      <c r="X462" s="243">
        <v>30</v>
      </c>
      <c r="Y462" s="257">
        <f ca="1">(365+BDD[[#This Row],[D.PAG.V.]]+BDD[[#This Row],[D.AG.]])/365</f>
        <v>1.095890410958904</v>
      </c>
      <c r="Z462" s="243">
        <f ca="1">BDD[[#This Row],[SUE DIA]]*BDD[[#This Row],[FACTOR SDI]]</f>
        <v>345.20547945205476</v>
      </c>
      <c r="AA462" s="243">
        <f>BDD[[#This Row],[SUE DIA]]/9</f>
        <v>35</v>
      </c>
      <c r="AB462" s="251">
        <v>27616</v>
      </c>
      <c r="AC462" s="251" t="s">
        <v>1034</v>
      </c>
      <c r="AD462" s="251" t="s">
        <v>789</v>
      </c>
      <c r="AE462" s="260">
        <v>8110246875</v>
      </c>
      <c r="AF462" s="251" t="s">
        <v>1358</v>
      </c>
      <c r="AG462" s="251" t="s">
        <v>776</v>
      </c>
      <c r="AH462" s="251" t="s">
        <v>727</v>
      </c>
      <c r="AI462" s="243" t="s">
        <v>152</v>
      </c>
      <c r="AJ462" s="258" cm="1">
        <f t="array" aca="1" ref="AJ462" ca="1">DATE(YEAR(FECH.CONS[FECHA DE CONSULTA:]),MONTH(BDD[[#This Row],[FECHA NAC]]),DAY(BDD[[#This Row],[FECHA NAC]]))</f>
        <v>44783</v>
      </c>
      <c r="AK462" s="243">
        <v>6</v>
      </c>
      <c r="AL462" s="261" t="s">
        <v>311</v>
      </c>
      <c r="AM462" s="251" t="s">
        <v>1547</v>
      </c>
      <c r="AN462" s="251" t="s">
        <v>1554</v>
      </c>
      <c r="AO462" s="245">
        <v>79</v>
      </c>
      <c r="AP462" s="251">
        <f ca="1">INT((TODAY()-BDD[[#This Row],[FECHA NAC]])/365)</f>
        <v>46</v>
      </c>
      <c r="AQ462" s="251">
        <v>1</v>
      </c>
      <c r="AR462" s="251">
        <f ca="1">IF(BDD[[#This Row],[ANTIG]]=0,0,1)</f>
        <v>1</v>
      </c>
      <c r="AS462" s="251"/>
      <c r="AT462" s="251"/>
      <c r="AU462" s="251"/>
      <c r="AV462" s="251"/>
      <c r="AW462" s="251"/>
      <c r="AX462" s="251"/>
      <c r="AY462" s="251"/>
      <c r="AZ462" s="251">
        <f t="shared" ca="1" si="33"/>
        <v>499</v>
      </c>
    </row>
    <row r="463" spans="2:52" x14ac:dyDescent="0.25">
      <c r="B463" s="243">
        <v>692</v>
      </c>
      <c r="C463" s="259" t="s">
        <v>554</v>
      </c>
      <c r="D463" s="263">
        <v>7445</v>
      </c>
      <c r="E463" s="252">
        <f>(BDD[[#This Row],[SUE MENS]]/30)</f>
        <v>248.16666666666666</v>
      </c>
      <c r="F463" s="252">
        <f>BDD[[#This Row],[SUE MENS]]/2</f>
        <v>3722.5</v>
      </c>
      <c r="G463" s="319">
        <v>44172</v>
      </c>
      <c r="H463" s="243">
        <f ca="1">INT(_xlfn.DAYS(TODAY(),BDD[[#This Row],[FECHA ING.]])/365)</f>
        <v>1</v>
      </c>
      <c r="I463" s="251" t="str">
        <f>VLOOKUP(J463,TABLAS!$B$3:$G$49,2,FALSE)</f>
        <v>DIRECCIÓN</v>
      </c>
      <c r="J463" s="198" t="s">
        <v>746</v>
      </c>
      <c r="K463" s="251" t="s">
        <v>778</v>
      </c>
      <c r="L463" s="251" t="s">
        <v>763</v>
      </c>
      <c r="M463" s="251"/>
      <c r="N463" s="253" t="s">
        <v>1775</v>
      </c>
      <c r="O463" s="251" t="str">
        <f>IFERROR(VLOOKUP(BDD[[#This Row],[SUBDPTO]],TABLAS!$B$4:$D$36,3,0)," ")</f>
        <v>MARIANA RODRÍGUEZ GUTIERREZ</v>
      </c>
      <c r="P463" s="258"/>
      <c r="Q463" s="264"/>
      <c r="R463" s="244"/>
      <c r="S463" s="251"/>
      <c r="T463" s="251" t="s">
        <v>811</v>
      </c>
      <c r="U463" s="243">
        <f ca="1">VLOOKUP(BDD[[#This Row],[ANTIG]],DIASXANT18[#All],2)</f>
        <v>10</v>
      </c>
      <c r="V463" s="256">
        <f t="shared" si="34"/>
        <v>0.5</v>
      </c>
      <c r="W463" s="243">
        <f ca="1">BDD[[#This Row],[D.VAC.]]*BDD[[#This Row],[% P.V.]]</f>
        <v>5</v>
      </c>
      <c r="X463" s="243">
        <v>30</v>
      </c>
      <c r="Y463" s="257">
        <f ca="1">(365+BDD[[#This Row],[D.PAG.V.]]+BDD[[#This Row],[D.AG.]])/365</f>
        <v>1.095890410958904</v>
      </c>
      <c r="Z463" s="243">
        <f ca="1">BDD[[#This Row],[SUE DIA]]*BDD[[#This Row],[FACTOR SDI]]</f>
        <v>271.96347031963467</v>
      </c>
      <c r="AA463" s="243">
        <f>BDD[[#This Row],[SUE DIA]]/9</f>
        <v>27.574074074074073</v>
      </c>
      <c r="AB463" s="251">
        <v>35551</v>
      </c>
      <c r="AC463" s="251" t="s">
        <v>952</v>
      </c>
      <c r="AD463" s="251" t="s">
        <v>787</v>
      </c>
      <c r="AE463" s="260">
        <v>7065468741</v>
      </c>
      <c r="AF463" s="251" t="s">
        <v>1418</v>
      </c>
      <c r="AG463" s="251" t="s">
        <v>776</v>
      </c>
      <c r="AH463" s="251" t="s">
        <v>730</v>
      </c>
      <c r="AI463" s="243" t="s">
        <v>151</v>
      </c>
      <c r="AJ463" s="258" cm="1">
        <f t="array" aca="1" ref="AJ463" ca="1">DATE(YEAR(FECH.CONS[FECHA DE CONSULTA:]),MONTH(BDD[[#This Row],[FECHA NAC]]),DAY(BDD[[#This Row],[FECHA NAC]]))</f>
        <v>44682</v>
      </c>
      <c r="AK463" s="243">
        <v>9</v>
      </c>
      <c r="AL463" s="261" t="s">
        <v>311</v>
      </c>
      <c r="AM463" s="251" t="s">
        <v>1534</v>
      </c>
      <c r="AN463" s="251" t="s">
        <v>1551</v>
      </c>
      <c r="AO463" s="245">
        <v>56</v>
      </c>
      <c r="AP463" s="251">
        <f ca="1">INT((TODAY()-BDD[[#This Row],[FECHA NAC]])/365)</f>
        <v>25</v>
      </c>
      <c r="AQ463" s="251">
        <v>0</v>
      </c>
      <c r="AR463" s="251">
        <f ca="1">IF(BDD[[#This Row],[ANTIG]]=0,0,1)</f>
        <v>1</v>
      </c>
      <c r="AS463" s="251"/>
      <c r="AT463" s="251"/>
      <c r="AU463" s="251"/>
      <c r="AV463" s="251"/>
      <c r="AW463" s="251"/>
      <c r="AX463" s="251"/>
      <c r="AY463" s="251"/>
      <c r="AZ463" s="251">
        <f t="shared" ca="1" si="33"/>
        <v>803</v>
      </c>
    </row>
    <row r="464" spans="2:52" x14ac:dyDescent="0.25">
      <c r="B464" s="243">
        <v>693</v>
      </c>
      <c r="C464" s="259" t="s">
        <v>1644</v>
      </c>
      <c r="D464" s="252">
        <v>9541</v>
      </c>
      <c r="E464" s="252">
        <f>(BDD[[#This Row],[SUE MENS]]/30)</f>
        <v>318.03333333333336</v>
      </c>
      <c r="F464" s="252">
        <f>BDD[[#This Row],[SUE MENS]]/2</f>
        <v>4770.5</v>
      </c>
      <c r="G464" s="319">
        <v>44173</v>
      </c>
      <c r="H464" s="243">
        <f ca="1">INT(_xlfn.DAYS(TODAY(),BDD[[#This Row],[FECHA ING.]])/365)</f>
        <v>1</v>
      </c>
      <c r="I464" s="251" t="str">
        <f>VLOOKUP(J464,TABLAS!$B$3:$G$49,2,FALSE)</f>
        <v>DIV INGENRIA</v>
      </c>
      <c r="J464" s="198" t="s">
        <v>744</v>
      </c>
      <c r="K464" s="251" t="s">
        <v>778</v>
      </c>
      <c r="L464" s="251" t="s">
        <v>763</v>
      </c>
      <c r="M464" s="251"/>
      <c r="N464" s="277" t="s">
        <v>2086</v>
      </c>
      <c r="O464" s="251" t="str">
        <f>IFERROR(VLOOKUP(BDD[[#This Row],[SUBDPTO]],TABLAS!$B$4:$D$36,3,0)," ")</f>
        <v>DIEGO HERRERA GIRÓN</v>
      </c>
      <c r="P464" s="258">
        <v>41661</v>
      </c>
      <c r="Q464" s="254">
        <v>5088</v>
      </c>
      <c r="R464" s="255" t="s">
        <v>759</v>
      </c>
      <c r="S464" s="255" t="s">
        <v>740</v>
      </c>
      <c r="T464" s="251" t="s">
        <v>811</v>
      </c>
      <c r="U464" s="243">
        <f ca="1">VLOOKUP(BDD[[#This Row],[ANTIG]],DIASXANT18[#All],2)</f>
        <v>10</v>
      </c>
      <c r="V464" s="256">
        <f t="shared" si="34"/>
        <v>0.5</v>
      </c>
      <c r="W464" s="243">
        <f ca="1">BDD[[#This Row],[D.VAC.]]*BDD[[#This Row],[% P.V.]]</f>
        <v>5</v>
      </c>
      <c r="X464" s="243">
        <v>30</v>
      </c>
      <c r="Y464" s="257">
        <f ca="1">(365+BDD[[#This Row],[D.PAG.V.]]+BDD[[#This Row],[D.AG.]])/365</f>
        <v>1.095890410958904</v>
      </c>
      <c r="Z464" s="243">
        <f ca="1">BDD[[#This Row],[SUE DIA]]*BDD[[#This Row],[FACTOR SDI]]</f>
        <v>348.52968036529683</v>
      </c>
      <c r="AA464" s="243">
        <f>BDD[[#This Row],[SUE DIA]]/9</f>
        <v>35.337037037037042</v>
      </c>
      <c r="AB464" s="251">
        <v>28906</v>
      </c>
      <c r="AC464" s="251" t="s">
        <v>955</v>
      </c>
      <c r="AD464" s="251" t="s">
        <v>790</v>
      </c>
      <c r="AE464" s="260">
        <v>2154879865</v>
      </c>
      <c r="AF464" s="251" t="s">
        <v>1416</v>
      </c>
      <c r="AG464" s="251" t="s">
        <v>773</v>
      </c>
      <c r="AH464" s="251" t="s">
        <v>730</v>
      </c>
      <c r="AI464" s="243" t="s">
        <v>151</v>
      </c>
      <c r="AJ464" s="258" cm="1">
        <f t="array" aca="1" ref="AJ464" ca="1">DATE(YEAR(FECH.CONS[FECHA DE CONSULTA:]),MONTH(BDD[[#This Row],[FECHA NAC]]),DAY(BDD[[#This Row],[FECHA NAC]]))</f>
        <v>44612</v>
      </c>
      <c r="AK464" s="243">
        <v>5</v>
      </c>
      <c r="AL464" s="261" t="s">
        <v>311</v>
      </c>
      <c r="AM464" s="251" t="s">
        <v>1538</v>
      </c>
      <c r="AN464" s="251" t="s">
        <v>1551</v>
      </c>
      <c r="AO464" s="245">
        <v>68</v>
      </c>
      <c r="AP464" s="251">
        <f ca="1">INT((TODAY()-BDD[[#This Row],[FECHA NAC]])/365)</f>
        <v>43</v>
      </c>
      <c r="AQ464" s="251">
        <v>2</v>
      </c>
      <c r="AR464" s="251">
        <f ca="1">IF(BDD[[#This Row],[ANTIG]]=0,0,1)</f>
        <v>1</v>
      </c>
      <c r="AS464" s="251"/>
      <c r="AT464" s="251"/>
      <c r="AU464" s="251"/>
      <c r="AV464" s="251"/>
      <c r="AW464" s="251"/>
      <c r="AX464" s="251"/>
      <c r="AY464" s="251"/>
      <c r="AZ464" s="251">
        <f t="shared" ca="1" si="33"/>
        <v>783</v>
      </c>
    </row>
    <row r="465" spans="2:52" x14ac:dyDescent="0.25">
      <c r="B465" s="243">
        <v>694</v>
      </c>
      <c r="C465" s="251" t="s">
        <v>158</v>
      </c>
      <c r="D465" s="252">
        <v>7445</v>
      </c>
      <c r="E465" s="252">
        <f>(BDD[[#This Row],[SUE MENS]]/30)</f>
        <v>248.16666666666666</v>
      </c>
      <c r="F465" s="252">
        <f>BDD[[#This Row],[SUE MENS]]/2</f>
        <v>3722.5</v>
      </c>
      <c r="G465" s="319">
        <v>44173</v>
      </c>
      <c r="H465" s="243">
        <f ca="1">INT(_xlfn.DAYS(TODAY(),BDD[[#This Row],[FECHA ING.]])/365)</f>
        <v>1</v>
      </c>
      <c r="I465" s="251" t="str">
        <f>VLOOKUP(J465,TABLAS!$B$3:$G$49,2,FALSE)</f>
        <v>AUDITORÍA</v>
      </c>
      <c r="J465" s="198" t="s">
        <v>736</v>
      </c>
      <c r="K465" s="251" t="s">
        <v>778</v>
      </c>
      <c r="L465" s="251" t="s">
        <v>763</v>
      </c>
      <c r="M465" s="251"/>
      <c r="N465" s="244" t="s">
        <v>2214</v>
      </c>
      <c r="O465" s="251" t="str">
        <f>IFERROR(VLOOKUP(BDD[[#This Row],[SUBDPTO]],TABLAS!$B$4:$D$36,3,0)," ")</f>
        <v>MARCO AURELIO URBINO</v>
      </c>
      <c r="P465" s="258"/>
      <c r="Q465" s="264"/>
      <c r="R465" s="244"/>
      <c r="S465" s="251"/>
      <c r="T465" s="251" t="s">
        <v>811</v>
      </c>
      <c r="U465" s="243">
        <f ca="1">VLOOKUP(BDD[[#This Row],[ANTIG]],DIASXANT18[#All],2)</f>
        <v>10</v>
      </c>
      <c r="V465" s="256">
        <f t="shared" si="34"/>
        <v>0.5</v>
      </c>
      <c r="W465" s="243">
        <f ca="1">BDD[[#This Row],[D.VAC.]]*BDD[[#This Row],[% P.V.]]</f>
        <v>5</v>
      </c>
      <c r="X465" s="243">
        <v>30</v>
      </c>
      <c r="Y465" s="257">
        <f ca="1">(365+BDD[[#This Row],[D.PAG.V.]]+BDD[[#This Row],[D.AG.]])/365</f>
        <v>1.095890410958904</v>
      </c>
      <c r="Z465" s="243">
        <f ca="1">BDD[[#This Row],[SUE DIA]]*BDD[[#This Row],[FACTOR SDI]]</f>
        <v>271.96347031963467</v>
      </c>
      <c r="AA465" s="243">
        <f>BDD[[#This Row],[SUE DIA]]/9</f>
        <v>27.574074074074073</v>
      </c>
      <c r="AB465" s="251">
        <v>31576</v>
      </c>
      <c r="AC465" s="251" t="s">
        <v>949</v>
      </c>
      <c r="AD465" s="251" t="s">
        <v>790</v>
      </c>
      <c r="AE465" s="252">
        <v>8340397709</v>
      </c>
      <c r="AF465" s="251" t="s">
        <v>1172</v>
      </c>
      <c r="AG465" s="251" t="s">
        <v>776</v>
      </c>
      <c r="AH465" s="251" t="s">
        <v>730</v>
      </c>
      <c r="AI465" s="243" t="s">
        <v>151</v>
      </c>
      <c r="AJ465" s="258" cm="1">
        <f t="array" aca="1" ref="AJ465" ca="1">DATE(YEAR(FECH.CONS[FECHA DE CONSULTA:]),MONTH(BDD[[#This Row],[FECHA NAC]]),DAY(BDD[[#This Row],[FECHA NAC]]))</f>
        <v>44725</v>
      </c>
      <c r="AK465" s="243">
        <v>6</v>
      </c>
      <c r="AL465" s="251" t="s">
        <v>311</v>
      </c>
      <c r="AM465" s="251" t="s">
        <v>1544</v>
      </c>
      <c r="AN465" s="251" t="s">
        <v>1551</v>
      </c>
      <c r="AO465" s="245">
        <v>79</v>
      </c>
      <c r="AP465" s="251">
        <f ca="1">INT((TODAY()-BDD[[#This Row],[FECHA NAC]])/365)</f>
        <v>36</v>
      </c>
      <c r="AQ465" s="251">
        <v>1</v>
      </c>
      <c r="AR465" s="251">
        <f ca="1">IF(BDD[[#This Row],[ANTIG]]=0,0,1)</f>
        <v>1</v>
      </c>
      <c r="AS465" s="251"/>
      <c r="AT465" s="251"/>
      <c r="AU465" s="251"/>
      <c r="AV465" s="251"/>
      <c r="AW465" s="251"/>
      <c r="AX465" s="251"/>
      <c r="AY465" s="251"/>
      <c r="AZ465" s="251">
        <f t="shared" ca="1" si="33"/>
        <v>351</v>
      </c>
    </row>
    <row r="466" spans="2:52" x14ac:dyDescent="0.25">
      <c r="B466" s="243">
        <v>695</v>
      </c>
      <c r="C466" s="259" t="s">
        <v>487</v>
      </c>
      <c r="D466" s="252">
        <v>9541</v>
      </c>
      <c r="E466" s="252">
        <f>(BDD[[#This Row],[SUE MENS]]/30)</f>
        <v>318.03333333333336</v>
      </c>
      <c r="F466" s="252">
        <f>BDD[[#This Row],[SUE MENS]]/2</f>
        <v>4770.5</v>
      </c>
      <c r="G466" s="319">
        <v>44175</v>
      </c>
      <c r="H466" s="243">
        <f ca="1">INT(_xlfn.DAYS(TODAY(),BDD[[#This Row],[FECHA ING.]])/365)</f>
        <v>1</v>
      </c>
      <c r="I466" s="251" t="str">
        <f>VLOOKUP(J466,TABLAS!$B$3:$G$49,2,FALSE)</f>
        <v>DIRECCIÓN</v>
      </c>
      <c r="J466" s="198" t="s">
        <v>746</v>
      </c>
      <c r="K466" s="251" t="s">
        <v>778</v>
      </c>
      <c r="L466" s="251" t="s">
        <v>763</v>
      </c>
      <c r="M466" s="251"/>
      <c r="N466" s="244" t="s">
        <v>2175</v>
      </c>
      <c r="O466" s="251" t="str">
        <f>IFERROR(VLOOKUP(BDD[[#This Row],[SUBDPTO]],TABLAS!$B$4:$D$36,3,0)," ")</f>
        <v>MARIANA RODRÍGUEZ GUTIERREZ</v>
      </c>
      <c r="P466" s="258">
        <v>43061</v>
      </c>
      <c r="Q466" s="254">
        <v>5200</v>
      </c>
      <c r="R466" s="255" t="s">
        <v>759</v>
      </c>
      <c r="S466" s="251"/>
      <c r="T466" s="251" t="s">
        <v>301</v>
      </c>
      <c r="U466" s="243">
        <f ca="1">VLOOKUP(BDD[[#This Row],[ANTIG]],DIASXANT18[#All],2)</f>
        <v>10</v>
      </c>
      <c r="V466" s="256">
        <f t="shared" si="34"/>
        <v>0.5</v>
      </c>
      <c r="W466" s="243">
        <f ca="1">BDD[[#This Row],[D.VAC.]]*BDD[[#This Row],[% P.V.]]</f>
        <v>5</v>
      </c>
      <c r="X466" s="243">
        <v>30</v>
      </c>
      <c r="Y466" s="257">
        <f ca="1">(365+BDD[[#This Row],[D.PAG.V.]]+BDD[[#This Row],[D.AG.]])/365</f>
        <v>1.095890410958904</v>
      </c>
      <c r="Z466" s="243">
        <f ca="1">BDD[[#This Row],[SUE DIA]]*BDD[[#This Row],[FACTOR SDI]]</f>
        <v>348.52968036529683</v>
      </c>
      <c r="AA466" s="243">
        <f>BDD[[#This Row],[SUE DIA]]/9</f>
        <v>35.337037037037042</v>
      </c>
      <c r="AB466" s="251">
        <v>35685</v>
      </c>
      <c r="AC466" s="251" t="s">
        <v>994</v>
      </c>
      <c r="AD466" s="251" t="s">
        <v>789</v>
      </c>
      <c r="AE466" s="260">
        <v>4915661259</v>
      </c>
      <c r="AF466" s="251" t="s">
        <v>1376</v>
      </c>
      <c r="AG466" s="251" t="s">
        <v>776</v>
      </c>
      <c r="AH466" s="251" t="s">
        <v>730</v>
      </c>
      <c r="AI466" s="243" t="s">
        <v>151</v>
      </c>
      <c r="AJ466" s="258" cm="1">
        <f t="array" aca="1" ref="AJ466" ca="1">DATE(YEAR(FECH.CONS[FECHA DE CONSULTA:]),MONTH(BDD[[#This Row],[FECHA NAC]]),DAY(BDD[[#This Row],[FECHA NAC]]))</f>
        <v>44816</v>
      </c>
      <c r="AK466" s="243">
        <v>7</v>
      </c>
      <c r="AL466" s="261" t="s">
        <v>311</v>
      </c>
      <c r="AM466" s="251" t="s">
        <v>1534</v>
      </c>
      <c r="AN466" s="251" t="s">
        <v>1551</v>
      </c>
      <c r="AO466" s="245">
        <v>35</v>
      </c>
      <c r="AP466" s="251">
        <f ca="1">INT((TODAY()-BDD[[#This Row],[FECHA NAC]])/365)</f>
        <v>24</v>
      </c>
      <c r="AQ466" s="251">
        <v>1</v>
      </c>
      <c r="AR466" s="251">
        <f ca="1">IF(BDD[[#This Row],[ANTIG]]=0,0,1)</f>
        <v>1</v>
      </c>
      <c r="AS466" s="251"/>
      <c r="AT466" s="251"/>
      <c r="AU466" s="251"/>
      <c r="AV466" s="251"/>
      <c r="AW466" s="251"/>
      <c r="AX466" s="251"/>
      <c r="AY466" s="251"/>
      <c r="AZ466" s="251">
        <f t="shared" ca="1" si="33"/>
        <v>43</v>
      </c>
    </row>
    <row r="467" spans="2:52" x14ac:dyDescent="0.25">
      <c r="B467" s="243">
        <v>697</v>
      </c>
      <c r="C467" s="262" t="s">
        <v>1655</v>
      </c>
      <c r="D467" s="252">
        <v>9450</v>
      </c>
      <c r="E467" s="252">
        <f>(BDD[[#This Row],[SUE MENS]]/30)</f>
        <v>315</v>
      </c>
      <c r="F467" s="252">
        <f>BDD[[#This Row],[SUE MENS]]/2</f>
        <v>4725</v>
      </c>
      <c r="G467" s="319">
        <v>44176</v>
      </c>
      <c r="H467" s="243">
        <f ca="1">INT(_xlfn.DAYS(TODAY(),BDD[[#This Row],[FECHA ING.]])/365)</f>
        <v>1</v>
      </c>
      <c r="I467" s="251" t="str">
        <f>VLOOKUP(J467,TABLAS!$B$3:$G$49,2,FALSE)</f>
        <v>DIV INGENRIA</v>
      </c>
      <c r="J467" s="198" t="s">
        <v>756</v>
      </c>
      <c r="K467" s="251" t="s">
        <v>778</v>
      </c>
      <c r="L467" s="251" t="s">
        <v>763</v>
      </c>
      <c r="M467" s="251"/>
      <c r="N467" s="244" t="s">
        <v>1854</v>
      </c>
      <c r="O467" s="251" t="str">
        <f>IFERROR(VLOOKUP(BDD[[#This Row],[SUBDPTO]],TABLAS!$B$4:$D$36,3,0)," ")</f>
        <v>DIEGO HERRERA GIRÓN</v>
      </c>
      <c r="P467" s="258">
        <v>43217</v>
      </c>
      <c r="Q467" s="254">
        <v>7600</v>
      </c>
      <c r="R467" s="255" t="s">
        <v>758</v>
      </c>
      <c r="S467" s="251"/>
      <c r="T467" s="251" t="s">
        <v>811</v>
      </c>
      <c r="U467" s="243">
        <f ca="1">VLOOKUP(BDD[[#This Row],[ANTIG]],DIASXANT18[#All],2)</f>
        <v>10</v>
      </c>
      <c r="V467" s="256">
        <f t="shared" si="34"/>
        <v>0.5</v>
      </c>
      <c r="W467" s="243">
        <f ca="1">BDD[[#This Row],[D.VAC.]]*BDD[[#This Row],[% P.V.]]</f>
        <v>5</v>
      </c>
      <c r="X467" s="243">
        <v>30</v>
      </c>
      <c r="Y467" s="257">
        <f ca="1">(365+BDD[[#This Row],[D.PAG.V.]]+BDD[[#This Row],[D.AG.]])/365</f>
        <v>1.095890410958904</v>
      </c>
      <c r="Z467" s="243">
        <f ca="1">BDD[[#This Row],[SUE DIA]]*BDD[[#This Row],[FACTOR SDI]]</f>
        <v>345.20547945205476</v>
      </c>
      <c r="AA467" s="243">
        <f>BDD[[#This Row],[SUE DIA]]/9</f>
        <v>35</v>
      </c>
      <c r="AB467" s="262">
        <v>36101</v>
      </c>
      <c r="AC467" s="251" t="s">
        <v>1028</v>
      </c>
      <c r="AD467" s="251" t="s">
        <v>789</v>
      </c>
      <c r="AE467" s="252">
        <v>8173144594</v>
      </c>
      <c r="AF467" s="251" t="s">
        <v>1339</v>
      </c>
      <c r="AG467" s="251" t="s">
        <v>774</v>
      </c>
      <c r="AH467" s="251" t="s">
        <v>730</v>
      </c>
      <c r="AI467" s="243" t="s">
        <v>151</v>
      </c>
      <c r="AJ467" s="258" cm="1">
        <f t="array" aca="1" ref="AJ467" ca="1">DATE(YEAR(FECH.CONS[FECHA DE CONSULTA:]),MONTH(BDD[[#This Row],[FECHA NAC]]),DAY(BDD[[#This Row],[FECHA NAC]]))</f>
        <v>44867</v>
      </c>
      <c r="AK467" s="243">
        <v>7</v>
      </c>
      <c r="AL467" s="261" t="s">
        <v>311</v>
      </c>
      <c r="AM467" s="251" t="s">
        <v>1538</v>
      </c>
      <c r="AN467" s="251" t="s">
        <v>1551</v>
      </c>
      <c r="AO467" s="245">
        <v>62</v>
      </c>
      <c r="AP467" s="251">
        <f ca="1">INT((TODAY()-BDD[[#This Row],[FECHA NAC]])/365)</f>
        <v>23</v>
      </c>
      <c r="AQ467" s="251">
        <v>1</v>
      </c>
      <c r="AR467" s="251">
        <f ca="1">IF(BDD[[#This Row],[ANTIG]]=0,0,1)</f>
        <v>1</v>
      </c>
      <c r="AS467" s="251"/>
      <c r="AT467" s="251"/>
      <c r="AU467" s="251"/>
      <c r="AV467" s="251"/>
      <c r="AW467" s="251"/>
      <c r="AX467" s="251"/>
      <c r="AY467" s="251"/>
      <c r="AZ467" s="251">
        <f t="shared" ca="1" si="33"/>
        <v>578</v>
      </c>
    </row>
    <row r="468" spans="2:52" x14ac:dyDescent="0.25">
      <c r="B468" s="243">
        <v>701</v>
      </c>
      <c r="C468" s="259" t="s">
        <v>634</v>
      </c>
      <c r="D468" s="263">
        <v>7445</v>
      </c>
      <c r="E468" s="252">
        <f>(BDD[[#This Row],[SUE MENS]]/30)</f>
        <v>248.16666666666666</v>
      </c>
      <c r="F468" s="252">
        <f>BDD[[#This Row],[SUE MENS]]/2</f>
        <v>3722.5</v>
      </c>
      <c r="G468" s="320">
        <v>44176</v>
      </c>
      <c r="H468" s="243">
        <f ca="1">INT(_xlfn.DAYS(TODAY(),BDD[[#This Row],[FECHA ING.]])/365)</f>
        <v>1</v>
      </c>
      <c r="I468" s="251" t="str">
        <f>VLOOKUP(J468,TABLAS!$B$3:$G$49,2,FALSE)</f>
        <v>CONTABILIDAD</v>
      </c>
      <c r="J468" s="198" t="s">
        <v>737</v>
      </c>
      <c r="K468" s="251" t="s">
        <v>778</v>
      </c>
      <c r="L468" s="251" t="s">
        <v>763</v>
      </c>
      <c r="M468" s="251"/>
      <c r="N468" s="253" t="s">
        <v>2099</v>
      </c>
      <c r="O468" s="251" t="str">
        <f>IFERROR(VLOOKUP(BDD[[#This Row],[SUBDPTO]],TABLAS!$B$4:$D$36,3,0)," ")</f>
        <v>IRIE DALÍ ANTARES CORTÉS</v>
      </c>
      <c r="P468" s="258"/>
      <c r="Q468" s="264"/>
      <c r="R468" s="244"/>
      <c r="S468" s="251"/>
      <c r="T468" s="251" t="s">
        <v>811</v>
      </c>
      <c r="U468" s="243">
        <f ca="1">VLOOKUP(BDD[[#This Row],[ANTIG]],DIASXANT18[#All],2)</f>
        <v>10</v>
      </c>
      <c r="V468" s="256">
        <f t="shared" si="34"/>
        <v>0.5</v>
      </c>
      <c r="W468" s="243">
        <f ca="1">BDD[[#This Row],[D.VAC.]]*BDD[[#This Row],[% P.V.]]</f>
        <v>5</v>
      </c>
      <c r="X468" s="243">
        <v>30</v>
      </c>
      <c r="Y468" s="257">
        <f ca="1">(365+BDD[[#This Row],[D.PAG.V.]]+BDD[[#This Row],[D.AG.]])/365</f>
        <v>1.095890410958904</v>
      </c>
      <c r="Z468" s="243">
        <f ca="1">BDD[[#This Row],[SUE DIA]]*BDD[[#This Row],[FACTOR SDI]]</f>
        <v>271.96347031963467</v>
      </c>
      <c r="AA468" s="243">
        <f>BDD[[#This Row],[SUE DIA]]/9</f>
        <v>27.574074074074073</v>
      </c>
      <c r="AB468" s="251">
        <v>35612</v>
      </c>
      <c r="AC468" s="251" t="s">
        <v>1069</v>
      </c>
      <c r="AD468" s="251" t="s">
        <v>809</v>
      </c>
      <c r="AE468" s="260">
        <v>6044508058</v>
      </c>
      <c r="AF468" s="251" t="s">
        <v>1475</v>
      </c>
      <c r="AG468" s="251" t="s">
        <v>776</v>
      </c>
      <c r="AH468" s="251" t="s">
        <v>730</v>
      </c>
      <c r="AI468" s="243" t="s">
        <v>151</v>
      </c>
      <c r="AJ468" s="258" cm="1">
        <f t="array" aca="1" ref="AJ468" ca="1">DATE(YEAR(FECH.CONS[FECHA DE CONSULTA:]),MONTH(BDD[[#This Row],[FECHA NAC]]),DAY(BDD[[#This Row],[FECHA NAC]]))</f>
        <v>44743</v>
      </c>
      <c r="AK468" s="243">
        <v>9</v>
      </c>
      <c r="AL468" s="261" t="s">
        <v>311</v>
      </c>
      <c r="AM468" s="251" t="s">
        <v>1540</v>
      </c>
      <c r="AN468" s="251" t="s">
        <v>1551</v>
      </c>
      <c r="AO468" s="245">
        <v>41</v>
      </c>
      <c r="AP468" s="251">
        <f ca="1">INT((TODAY()-BDD[[#This Row],[FECHA NAC]])/365)</f>
        <v>25</v>
      </c>
      <c r="AQ468" s="251">
        <v>2</v>
      </c>
      <c r="AR468" s="251">
        <f ca="1">IF(BDD[[#This Row],[ANTIG]]=0,0,1)</f>
        <v>1</v>
      </c>
      <c r="AS468" s="251"/>
      <c r="AT468" s="251"/>
      <c r="AU468" s="251"/>
      <c r="AV468" s="251"/>
      <c r="AW468" s="251"/>
      <c r="AX468" s="251"/>
      <c r="AY468" s="251"/>
      <c r="AZ468" s="251">
        <f t="shared" ca="1" si="33"/>
        <v>103</v>
      </c>
    </row>
    <row r="469" spans="2:52" x14ac:dyDescent="0.25">
      <c r="B469" s="243">
        <v>702</v>
      </c>
      <c r="C469" s="251" t="s">
        <v>424</v>
      </c>
      <c r="D469" s="252">
        <v>10860</v>
      </c>
      <c r="E469" s="252">
        <f>(BDD[[#This Row],[SUE MENS]]/30)</f>
        <v>362</v>
      </c>
      <c r="F469" s="252">
        <f>BDD[[#This Row],[SUE MENS]]/2</f>
        <v>5430</v>
      </c>
      <c r="G469" s="322">
        <v>44208</v>
      </c>
      <c r="H469" s="243">
        <f ca="1">INT(_xlfn.DAYS(TODAY(),BDD[[#This Row],[FECHA ING.]])/365)</f>
        <v>1</v>
      </c>
      <c r="I469" s="251" t="str">
        <f>VLOOKUP(J469,TABLAS!$B$3:$G$49,2,FALSE)</f>
        <v>DIV ARQUIT</v>
      </c>
      <c r="J469" s="198" t="s">
        <v>740</v>
      </c>
      <c r="K469" s="251" t="s">
        <v>778</v>
      </c>
      <c r="L469" s="251" t="s">
        <v>763</v>
      </c>
      <c r="M469" s="251"/>
      <c r="N469" s="244" t="s">
        <v>2164</v>
      </c>
      <c r="O469" s="251" t="str">
        <f>IFERROR(VLOOKUP(BDD[[#This Row],[SUBDPTO]],TABLAS!$B$4:$D$36,3,0)," ")</f>
        <v>MÉRIDA ISELA MEDINA SALINAS</v>
      </c>
      <c r="P469" s="258">
        <f>BDD[[#This Row],[FECHA ING.]]+1000</f>
        <v>45208</v>
      </c>
      <c r="Q469" s="254">
        <v>8105.9999999999991</v>
      </c>
      <c r="R469" s="251" t="s">
        <v>743</v>
      </c>
      <c r="S469" s="251"/>
      <c r="T469" s="251" t="s">
        <v>811</v>
      </c>
      <c r="U469" s="243">
        <f ca="1">VLOOKUP(BDD[[#This Row],[ANTIG]],DIASXANT18[#All],2)</f>
        <v>10</v>
      </c>
      <c r="V469" s="256">
        <f t="shared" si="34"/>
        <v>0.5</v>
      </c>
      <c r="W469" s="243">
        <f ca="1">BDD[[#This Row],[D.VAC.]]*BDD[[#This Row],[% P.V.]]</f>
        <v>5</v>
      </c>
      <c r="X469" s="243">
        <v>30</v>
      </c>
      <c r="Y469" s="257">
        <f ca="1">(365+BDD[[#This Row],[D.PAG.V.]]+BDD[[#This Row],[D.AG.]])/365</f>
        <v>1.095890410958904</v>
      </c>
      <c r="Z469" s="243">
        <f ca="1">BDD[[#This Row],[SUE DIA]]*BDD[[#This Row],[FACTOR SDI]]</f>
        <v>396.71232876712327</v>
      </c>
      <c r="AA469" s="243">
        <f>BDD[[#This Row],[SUE DIA]]/9</f>
        <v>40.222222222222221</v>
      </c>
      <c r="AB469" s="251">
        <v>29777</v>
      </c>
      <c r="AC469" s="251" t="s">
        <v>967</v>
      </c>
      <c r="AD469" s="251" t="s">
        <v>789</v>
      </c>
      <c r="AE469" s="252">
        <v>8721027616</v>
      </c>
      <c r="AF469" s="251" t="s">
        <v>1231</v>
      </c>
      <c r="AG469" s="251" t="s">
        <v>776</v>
      </c>
      <c r="AH469" s="251" t="s">
        <v>730</v>
      </c>
      <c r="AI469" s="243" t="s">
        <v>151</v>
      </c>
      <c r="AJ469" s="258" cm="1">
        <f t="array" aca="1" ref="AJ469" ca="1">DATE(YEAR(FECH.CONS[FECHA DE CONSULTA:]),MONTH(BDD[[#This Row],[FECHA NAC]]),DAY(BDD[[#This Row],[FECHA NAC]]))</f>
        <v>44752</v>
      </c>
      <c r="AK469" s="243">
        <v>8</v>
      </c>
      <c r="AL469" s="251" t="s">
        <v>311</v>
      </c>
      <c r="AM469" s="251" t="s">
        <v>1543</v>
      </c>
      <c r="AN469" s="251" t="s">
        <v>1551</v>
      </c>
      <c r="AO469" s="245">
        <v>50</v>
      </c>
      <c r="AP469" s="251">
        <f ca="1">INT((TODAY()-BDD[[#This Row],[FECHA NAC]])/365)</f>
        <v>41</v>
      </c>
      <c r="AQ469" s="251">
        <v>1</v>
      </c>
      <c r="AR469" s="251">
        <f ca="1">IF(BDD[[#This Row],[ANTIG]]=0,0,1)</f>
        <v>1</v>
      </c>
      <c r="AS469" s="251"/>
      <c r="AT469" s="251"/>
      <c r="AU469" s="251"/>
      <c r="AV469" s="251"/>
      <c r="AW469" s="251"/>
      <c r="AX469" s="251"/>
      <c r="AY469" s="251"/>
      <c r="AZ469" s="251">
        <f t="shared" ca="1" si="33"/>
        <v>194</v>
      </c>
    </row>
    <row r="470" spans="2:52" x14ac:dyDescent="0.25">
      <c r="B470" s="243">
        <v>703</v>
      </c>
      <c r="C470" s="259" t="s">
        <v>607</v>
      </c>
      <c r="D470" s="252">
        <v>10860</v>
      </c>
      <c r="E470" s="252">
        <f>(BDD[[#This Row],[SUE MENS]]/30)</f>
        <v>362</v>
      </c>
      <c r="F470" s="252">
        <f>BDD[[#This Row],[SUE MENS]]/2</f>
        <v>5430</v>
      </c>
      <c r="G470" s="320">
        <v>44241</v>
      </c>
      <c r="H470" s="243">
        <f ca="1">INT(_xlfn.DAYS(TODAY(),BDD[[#This Row],[FECHA ING.]])/365)</f>
        <v>1</v>
      </c>
      <c r="I470" s="251" t="str">
        <f>VLOOKUP(J470,TABLAS!$B$3:$G$49,2,FALSE)</f>
        <v>DIRECCIÓN</v>
      </c>
      <c r="J470" s="198" t="s">
        <v>745</v>
      </c>
      <c r="K470" s="251" t="s">
        <v>778</v>
      </c>
      <c r="L470" s="251" t="s">
        <v>763</v>
      </c>
      <c r="M470" s="251"/>
      <c r="N470" s="244" t="s">
        <v>2229</v>
      </c>
      <c r="O470" s="251" t="str">
        <f>IFERROR(VLOOKUP(BDD[[#This Row],[SUBDPTO]],TABLAS!$B$4:$D$36,3,0)," ")</f>
        <v>MARIANA RODRÍGUEZ GUTIERREZ</v>
      </c>
      <c r="P470" s="258">
        <v>41533</v>
      </c>
      <c r="Q470" s="254">
        <v>5422.4000000000005</v>
      </c>
      <c r="R470" s="255" t="s">
        <v>750</v>
      </c>
      <c r="S470" s="255" t="s">
        <v>759</v>
      </c>
      <c r="T470" s="251" t="s">
        <v>301</v>
      </c>
      <c r="U470" s="243">
        <f ca="1">VLOOKUP(BDD[[#This Row],[ANTIG]],DIASXANT18[#All],2)</f>
        <v>10</v>
      </c>
      <c r="V470" s="256">
        <f t="shared" si="34"/>
        <v>0.5</v>
      </c>
      <c r="W470" s="243">
        <f ca="1">BDD[[#This Row],[D.VAC.]]*BDD[[#This Row],[% P.V.]]</f>
        <v>5</v>
      </c>
      <c r="X470" s="243">
        <v>30</v>
      </c>
      <c r="Y470" s="257">
        <f ca="1">(365+BDD[[#This Row],[D.PAG.V.]]+BDD[[#This Row],[D.AG.]])/365</f>
        <v>1.095890410958904</v>
      </c>
      <c r="Z470" s="243">
        <f ca="1">BDD[[#This Row],[SUE DIA]]*BDD[[#This Row],[FACTOR SDI]]</f>
        <v>396.71232876712327</v>
      </c>
      <c r="AA470" s="243">
        <f>BDD[[#This Row],[SUE DIA]]/9</f>
        <v>40.222222222222221</v>
      </c>
      <c r="AB470" s="251">
        <v>32461</v>
      </c>
      <c r="AC470" s="251" t="s">
        <v>933</v>
      </c>
      <c r="AD470" s="251" t="s">
        <v>786</v>
      </c>
      <c r="AE470" s="260">
        <v>8206402564</v>
      </c>
      <c r="AF470" s="251" t="s">
        <v>1457</v>
      </c>
      <c r="AG470" s="251" t="s">
        <v>774</v>
      </c>
      <c r="AH470" s="251" t="s">
        <v>1555</v>
      </c>
      <c r="AI470" s="243" t="s">
        <v>151</v>
      </c>
      <c r="AJ470" s="258" cm="1">
        <f t="array" aca="1" ref="AJ470" ca="1">DATE(YEAR(FECH.CONS[FECHA DE CONSULTA:]),MONTH(BDD[[#This Row],[FECHA NAC]]),DAY(BDD[[#This Row],[FECHA NAC]]))</f>
        <v>44879</v>
      </c>
      <c r="AK470" s="243"/>
      <c r="AL470" s="261" t="s">
        <v>311</v>
      </c>
      <c r="AM470" s="251" t="s">
        <v>1535</v>
      </c>
      <c r="AN470" s="251" t="s">
        <v>1551</v>
      </c>
      <c r="AO470" s="245">
        <v>62</v>
      </c>
      <c r="AP470" s="251">
        <f ca="1">INT((TODAY()-BDD[[#This Row],[FECHA NAC]])/365)</f>
        <v>33</v>
      </c>
      <c r="AQ470" s="251">
        <v>0</v>
      </c>
      <c r="AR470" s="251">
        <f ca="1">IF(BDD[[#This Row],[ANTIG]]=0,0,1)</f>
        <v>1</v>
      </c>
      <c r="AS470" s="251"/>
      <c r="AT470" s="251"/>
      <c r="AU470" s="251"/>
      <c r="AV470" s="251"/>
      <c r="AW470" s="251"/>
      <c r="AX470" s="251"/>
      <c r="AY470" s="251"/>
      <c r="AZ470" s="251">
        <f t="shared" ca="1" si="33"/>
        <v>694</v>
      </c>
    </row>
    <row r="471" spans="2:52" x14ac:dyDescent="0.25">
      <c r="B471" s="243">
        <v>704</v>
      </c>
      <c r="C471" s="251" t="s">
        <v>410</v>
      </c>
      <c r="D471" s="252">
        <v>9450</v>
      </c>
      <c r="E471" s="252">
        <f>(BDD[[#This Row],[SUE MENS]]/30)</f>
        <v>315</v>
      </c>
      <c r="F471" s="252">
        <f>BDD[[#This Row],[SUE MENS]]/2</f>
        <v>4725</v>
      </c>
      <c r="G471" s="320">
        <v>44247</v>
      </c>
      <c r="H471" s="243">
        <f ca="1">INT(_xlfn.DAYS(TODAY(),BDD[[#This Row],[FECHA ING.]])/365)</f>
        <v>1</v>
      </c>
      <c r="I471" s="251" t="str">
        <f>VLOOKUP(J471,TABLAS!$B$3:$G$49,2,FALSE)</f>
        <v>AUDITORÍA</v>
      </c>
      <c r="J471" s="198" t="s">
        <v>736</v>
      </c>
      <c r="K471" s="251" t="s">
        <v>778</v>
      </c>
      <c r="L471" s="251" t="s">
        <v>763</v>
      </c>
      <c r="M471" s="251"/>
      <c r="N471" s="244" t="s">
        <v>2120</v>
      </c>
      <c r="O471" s="251" t="str">
        <f>IFERROR(VLOOKUP(BDD[[#This Row],[SUBDPTO]],TABLAS!$B$4:$D$36,3,0)," ")</f>
        <v>MARCO AURELIO URBINO</v>
      </c>
      <c r="P471" s="258">
        <f>BDD[[#This Row],[FECHA ING.]]+700</f>
        <v>44947</v>
      </c>
      <c r="Q471" s="254">
        <v>6177.5</v>
      </c>
      <c r="R471" s="251" t="s">
        <v>852</v>
      </c>
      <c r="S471" s="251"/>
      <c r="T471" s="251" t="s">
        <v>811</v>
      </c>
      <c r="U471" s="243">
        <f ca="1">VLOOKUP(BDD[[#This Row],[ANTIG]],DIASXANT18[#All],2)</f>
        <v>10</v>
      </c>
      <c r="V471" s="256">
        <f t="shared" si="34"/>
        <v>0.5</v>
      </c>
      <c r="W471" s="243">
        <f ca="1">BDD[[#This Row],[D.VAC.]]*BDD[[#This Row],[% P.V.]]</f>
        <v>5</v>
      </c>
      <c r="X471" s="243">
        <v>30</v>
      </c>
      <c r="Y471" s="257">
        <f ca="1">(365+BDD[[#This Row],[D.PAG.V.]]+BDD[[#This Row],[D.AG.]])/365</f>
        <v>1.095890410958904</v>
      </c>
      <c r="Z471" s="243">
        <f ca="1">BDD[[#This Row],[SUE DIA]]*BDD[[#This Row],[FACTOR SDI]]</f>
        <v>345.20547945205476</v>
      </c>
      <c r="AA471" s="243">
        <f>BDD[[#This Row],[SUE DIA]]/9</f>
        <v>35</v>
      </c>
      <c r="AB471" s="251">
        <v>33125</v>
      </c>
      <c r="AC471" s="251" t="s">
        <v>967</v>
      </c>
      <c r="AD471" s="251" t="s">
        <v>790</v>
      </c>
      <c r="AE471" s="252">
        <v>8598759411</v>
      </c>
      <c r="AF471" s="251" t="s">
        <v>1193</v>
      </c>
      <c r="AG471" s="251" t="s">
        <v>773</v>
      </c>
      <c r="AH471" s="251" t="s">
        <v>730</v>
      </c>
      <c r="AI471" s="243" t="s">
        <v>151</v>
      </c>
      <c r="AJ471" s="258" cm="1">
        <f t="array" aca="1" ref="AJ471" ca="1">DATE(YEAR(FECH.CONS[FECHA DE CONSULTA:]),MONTH(BDD[[#This Row],[FECHA NAC]]),DAY(BDD[[#This Row],[FECHA NAC]]))</f>
        <v>44813</v>
      </c>
      <c r="AK471" s="243">
        <v>6</v>
      </c>
      <c r="AL471" s="251" t="s">
        <v>311</v>
      </c>
      <c r="AM471" s="251" t="s">
        <v>1544</v>
      </c>
      <c r="AN471" s="251" t="s">
        <v>1551</v>
      </c>
      <c r="AO471" s="245">
        <v>54</v>
      </c>
      <c r="AP471" s="251">
        <f ca="1">INT((TODAY()-BDD[[#This Row],[FECHA NAC]])/365)</f>
        <v>31</v>
      </c>
      <c r="AQ471" s="251">
        <v>3</v>
      </c>
      <c r="AR471" s="251">
        <f ca="1">IF(BDD[[#This Row],[ANTIG]]=0,0,1)</f>
        <v>1</v>
      </c>
      <c r="AS471" s="251"/>
      <c r="AT471" s="251"/>
      <c r="AU471" s="251"/>
      <c r="AV471" s="251"/>
      <c r="AW471" s="251"/>
      <c r="AX471" s="251"/>
      <c r="AY471" s="251"/>
      <c r="AZ471" s="251">
        <f t="shared" ca="1" si="33"/>
        <v>282</v>
      </c>
    </row>
    <row r="472" spans="2:52" x14ac:dyDescent="0.25">
      <c r="B472" s="243">
        <v>705</v>
      </c>
      <c r="C472" s="262" t="s">
        <v>368</v>
      </c>
      <c r="D472" s="244">
        <v>6778</v>
      </c>
      <c r="E472" s="252">
        <f>(BDD[[#This Row],[SUE MENS]]/30)</f>
        <v>225.93333333333334</v>
      </c>
      <c r="F472" s="252">
        <f>BDD[[#This Row],[SUE MENS]]/2</f>
        <v>3389</v>
      </c>
      <c r="G472" s="320">
        <v>44277</v>
      </c>
      <c r="H472" s="243">
        <f ca="1">INT(_xlfn.DAYS(TODAY(),BDD[[#This Row],[FECHA ING.]])/365)</f>
        <v>1</v>
      </c>
      <c r="I472" s="251" t="str">
        <f>VLOOKUP(J472,TABLAS!$B$3:$G$49,2,FALSE)</f>
        <v>CPTAL HUMANO</v>
      </c>
      <c r="J472" s="198" t="s">
        <v>758</v>
      </c>
      <c r="K472" s="251" t="s">
        <v>778</v>
      </c>
      <c r="L472" s="251" t="s">
        <v>763</v>
      </c>
      <c r="M472" s="251"/>
      <c r="N472" s="244" t="s">
        <v>2221</v>
      </c>
      <c r="O472" s="251" t="str">
        <f>IFERROR(VLOOKUP(BDD[[#This Row],[SUBDPTO]],TABLAS!$B$4:$D$36,3,0)," ")</f>
        <v>EMMA DARIELA GARCÍA LORCA</v>
      </c>
      <c r="P472" s="258"/>
      <c r="Q472" s="264"/>
      <c r="R472" s="244"/>
      <c r="S472" s="251"/>
      <c r="T472" s="251" t="s">
        <v>301</v>
      </c>
      <c r="U472" s="243">
        <f ca="1">VLOOKUP(BDD[[#This Row],[ANTIG]],DIASXANT18[#All],2)</f>
        <v>10</v>
      </c>
      <c r="V472" s="266">
        <v>0.25</v>
      </c>
      <c r="W472" s="243">
        <f ca="1">BDD[[#This Row],[D.VAC.]]*BDD[[#This Row],[% P.V.]]</f>
        <v>2.5</v>
      </c>
      <c r="X472" s="265">
        <v>15</v>
      </c>
      <c r="Y472" s="257">
        <f ca="1">(365+BDD[[#This Row],[D.PAG.V.]]+BDD[[#This Row],[D.AG.]])/365</f>
        <v>1.047945205479452</v>
      </c>
      <c r="Z472" s="243">
        <f ca="1">BDD[[#This Row],[SUE DIA]]*BDD[[#This Row],[FACTOR SDI]]</f>
        <v>236.76575342465753</v>
      </c>
      <c r="AA472" s="243">
        <f>BDD[[#This Row],[SUE DIA]]/9</f>
        <v>25.103703703703705</v>
      </c>
      <c r="AB472" s="251">
        <v>29995</v>
      </c>
      <c r="AC472" s="251" t="s">
        <v>1039</v>
      </c>
      <c r="AD472" s="251" t="s">
        <v>810</v>
      </c>
      <c r="AE472" s="252">
        <v>5682739482</v>
      </c>
      <c r="AF472" s="251" t="s">
        <v>1348</v>
      </c>
      <c r="AG472" s="251" t="s">
        <v>773</v>
      </c>
      <c r="AH472" s="251" t="s">
        <v>1555</v>
      </c>
      <c r="AI472" s="243" t="s">
        <v>151</v>
      </c>
      <c r="AJ472" s="258" cm="1">
        <f t="array" aca="1" ref="AJ472" ca="1">DATE(YEAR(FECH.CONS[FECHA DE CONSULTA:]),MONTH(BDD[[#This Row],[FECHA NAC]]),DAY(BDD[[#This Row],[FECHA NAC]]))</f>
        <v>44605</v>
      </c>
      <c r="AK472" s="243"/>
      <c r="AL472" s="251" t="s">
        <v>311</v>
      </c>
      <c r="AM472" s="251" t="s">
        <v>1535</v>
      </c>
      <c r="AN472" s="251" t="s">
        <v>1551</v>
      </c>
      <c r="AO472" s="245">
        <v>67</v>
      </c>
      <c r="AP472" s="251">
        <f ca="1">INT((TODAY()-BDD[[#This Row],[FECHA NAC]])/365)</f>
        <v>40</v>
      </c>
      <c r="AQ472" s="251">
        <v>3</v>
      </c>
      <c r="AR472" s="251">
        <f ca="1">IF(BDD[[#This Row],[ANTIG]]=0,0,1)</f>
        <v>1</v>
      </c>
      <c r="AS472" s="251"/>
      <c r="AT472" s="251"/>
      <c r="AU472" s="251"/>
      <c r="AV472" s="251"/>
      <c r="AW472" s="251"/>
      <c r="AX472" s="251"/>
      <c r="AY472" s="251"/>
      <c r="AZ472" s="251">
        <f t="shared" ca="1" si="33"/>
        <v>267</v>
      </c>
    </row>
    <row r="473" spans="2:52" x14ac:dyDescent="0.25">
      <c r="B473" s="243">
        <v>708</v>
      </c>
      <c r="C473" s="251" t="s">
        <v>206</v>
      </c>
      <c r="D473" s="252">
        <v>9541</v>
      </c>
      <c r="E473" s="252">
        <f>(BDD[[#This Row],[SUE MENS]]/30)</f>
        <v>318.03333333333336</v>
      </c>
      <c r="F473" s="252">
        <f>BDD[[#This Row],[SUE MENS]]/2</f>
        <v>4770.5</v>
      </c>
      <c r="G473" s="320">
        <v>44289</v>
      </c>
      <c r="H473" s="243">
        <f ca="1">INT(_xlfn.DAYS(TODAY(),BDD[[#This Row],[FECHA ING.]])/365)</f>
        <v>1</v>
      </c>
      <c r="I473" s="251" t="str">
        <f>VLOOKUP(J473,TABLAS!$B$3:$G$49,2,FALSE)</f>
        <v>DIV ARQUIT</v>
      </c>
      <c r="J473" s="198" t="s">
        <v>740</v>
      </c>
      <c r="K473" s="251" t="s">
        <v>778</v>
      </c>
      <c r="L473" s="251" t="s">
        <v>763</v>
      </c>
      <c r="M473" s="251"/>
      <c r="N473" s="244" t="s">
        <v>1979</v>
      </c>
      <c r="O473" s="251" t="str">
        <f>IFERROR(VLOOKUP(BDD[[#This Row],[SUBDPTO]],TABLAS!$B$4:$D$36,3,0)," ")</f>
        <v>MÉRIDA ISELA MEDINA SALINAS</v>
      </c>
      <c r="P473" s="258">
        <f>BDD[[#This Row],[FECHA ING.]]+1000</f>
        <v>45289</v>
      </c>
      <c r="Q473" s="254">
        <v>5211.5</v>
      </c>
      <c r="R473" s="251" t="s">
        <v>756</v>
      </c>
      <c r="S473" s="251"/>
      <c r="T473" s="251" t="s">
        <v>811</v>
      </c>
      <c r="U473" s="243">
        <f ca="1">VLOOKUP(BDD[[#This Row],[ANTIG]],DIASXANT18[#All],2)</f>
        <v>10</v>
      </c>
      <c r="V473" s="256">
        <f t="shared" ref="V473:V482" si="35">100/200</f>
        <v>0.5</v>
      </c>
      <c r="W473" s="243">
        <f ca="1">BDD[[#This Row],[D.VAC.]]*BDD[[#This Row],[% P.V.]]</f>
        <v>5</v>
      </c>
      <c r="X473" s="243">
        <v>30</v>
      </c>
      <c r="Y473" s="257">
        <f ca="1">(365+BDD[[#This Row],[D.PAG.V.]]+BDD[[#This Row],[D.AG.]])/365</f>
        <v>1.095890410958904</v>
      </c>
      <c r="Z473" s="243">
        <f ca="1">BDD[[#This Row],[SUE DIA]]*BDD[[#This Row],[FACTOR SDI]]</f>
        <v>348.52968036529683</v>
      </c>
      <c r="AA473" s="243">
        <f>BDD[[#This Row],[SUE DIA]]/9</f>
        <v>35.337037037037042</v>
      </c>
      <c r="AB473" s="251">
        <v>29588</v>
      </c>
      <c r="AC473" s="251" t="s">
        <v>944</v>
      </c>
      <c r="AD473" s="251" t="s">
        <v>789</v>
      </c>
      <c r="AE473" s="252">
        <v>8775769770</v>
      </c>
      <c r="AF473" s="251" t="s">
        <v>1221</v>
      </c>
      <c r="AG473" s="251" t="s">
        <v>776</v>
      </c>
      <c r="AH473" s="251" t="s">
        <v>726</v>
      </c>
      <c r="AI473" s="243" t="s">
        <v>151</v>
      </c>
      <c r="AJ473" s="258" cm="1">
        <f t="array" aca="1" ref="AJ473" ca="1">DATE(YEAR(FECH.CONS[FECHA DE CONSULTA:]),MONTH(BDD[[#This Row],[FECHA NAC]]),DAY(BDD[[#This Row],[FECHA NAC]]))</f>
        <v>44563</v>
      </c>
      <c r="AK473" s="243"/>
      <c r="AL473" s="261" t="s">
        <v>311</v>
      </c>
      <c r="AM473" s="251" t="s">
        <v>1543</v>
      </c>
      <c r="AN473" s="251" t="s">
        <v>1551</v>
      </c>
      <c r="AO473" s="245">
        <v>77</v>
      </c>
      <c r="AP473" s="251">
        <f ca="1">INT((TODAY()-BDD[[#This Row],[FECHA NAC]])/365)</f>
        <v>41</v>
      </c>
      <c r="AQ473" s="251">
        <v>1</v>
      </c>
      <c r="AR473" s="251">
        <f ca="1">IF(BDD[[#This Row],[ANTIG]]=0,0,1)</f>
        <v>1</v>
      </c>
      <c r="AS473" s="251"/>
      <c r="AT473" s="251"/>
      <c r="AU473" s="251"/>
      <c r="AV473" s="251"/>
      <c r="AW473" s="251"/>
      <c r="AX473" s="251"/>
      <c r="AY473" s="251"/>
      <c r="AZ473" s="251">
        <f t="shared" ca="1" si="33"/>
        <v>144</v>
      </c>
    </row>
    <row r="474" spans="2:52" x14ac:dyDescent="0.25">
      <c r="B474" s="243">
        <v>709</v>
      </c>
      <c r="C474" s="259" t="s">
        <v>685</v>
      </c>
      <c r="D474" s="263">
        <v>10350</v>
      </c>
      <c r="E474" s="252">
        <f>(BDD[[#This Row],[SUE MENS]]/30)</f>
        <v>345</v>
      </c>
      <c r="F474" s="252">
        <f>BDD[[#This Row],[SUE MENS]]/2</f>
        <v>5175</v>
      </c>
      <c r="G474" s="320">
        <v>44307</v>
      </c>
      <c r="H474" s="243">
        <f ca="1">INT(_xlfn.DAYS(TODAY(),BDD[[#This Row],[FECHA ING.]])/365)</f>
        <v>1</v>
      </c>
      <c r="I474" s="251" t="str">
        <f>VLOOKUP(J474,TABLAS!$B$3:$G$49,2,FALSE)</f>
        <v>DIV ARQUIT</v>
      </c>
      <c r="J474" s="198" t="s">
        <v>740</v>
      </c>
      <c r="K474" s="251" t="s">
        <v>778</v>
      </c>
      <c r="L474" s="251" t="s">
        <v>763</v>
      </c>
      <c r="M474" s="251"/>
      <c r="N474" s="253" t="s">
        <v>2058</v>
      </c>
      <c r="O474" s="251" t="str">
        <f>IFERROR(VLOOKUP(BDD[[#This Row],[SUBDPTO]],TABLAS!$B$4:$D$36,3,0)," ")</f>
        <v>MÉRIDA ISELA MEDINA SALINAS</v>
      </c>
      <c r="P474" s="258">
        <v>41405</v>
      </c>
      <c r="Q474" s="254">
        <v>5422.4000000000005</v>
      </c>
      <c r="R474" s="255" t="s">
        <v>756</v>
      </c>
      <c r="S474" s="255" t="s">
        <v>751</v>
      </c>
      <c r="T474" s="251" t="s">
        <v>811</v>
      </c>
      <c r="U474" s="243">
        <f ca="1">VLOOKUP(BDD[[#This Row],[ANTIG]],DIASXANT18[#All],2)</f>
        <v>10</v>
      </c>
      <c r="V474" s="256">
        <f t="shared" si="35"/>
        <v>0.5</v>
      </c>
      <c r="W474" s="243">
        <f ca="1">BDD[[#This Row],[D.VAC.]]*BDD[[#This Row],[% P.V.]]</f>
        <v>5</v>
      </c>
      <c r="X474" s="243">
        <v>30</v>
      </c>
      <c r="Y474" s="257">
        <f ca="1">(365+BDD[[#This Row],[D.PAG.V.]]+BDD[[#This Row],[D.AG.]])/365</f>
        <v>1.095890410958904</v>
      </c>
      <c r="Z474" s="243">
        <f ca="1">BDD[[#This Row],[SUE DIA]]*BDD[[#This Row],[FACTOR SDI]]</f>
        <v>378.08219178082192</v>
      </c>
      <c r="AA474" s="243">
        <f>BDD[[#This Row],[SUE DIA]]/9</f>
        <v>38.333333333333336</v>
      </c>
      <c r="AB474" s="251">
        <v>35477</v>
      </c>
      <c r="AC474" s="251" t="s">
        <v>1058</v>
      </c>
      <c r="AD474" s="251" t="s">
        <v>787</v>
      </c>
      <c r="AE474" s="260">
        <v>8209398016</v>
      </c>
      <c r="AF474" s="251" t="s">
        <v>1507</v>
      </c>
      <c r="AG474" s="251" t="s">
        <v>776</v>
      </c>
      <c r="AH474" s="251" t="s">
        <v>730</v>
      </c>
      <c r="AI474" s="243" t="s">
        <v>151</v>
      </c>
      <c r="AJ474" s="258" cm="1">
        <f t="array" aca="1" ref="AJ474" ca="1">DATE(YEAR(FECH.CONS[FECHA DE CONSULTA:]),MONTH(BDD[[#This Row],[FECHA NAC]]),DAY(BDD[[#This Row],[FECHA NAC]]))</f>
        <v>44608</v>
      </c>
      <c r="AK474" s="243">
        <v>8</v>
      </c>
      <c r="AL474" s="261" t="s">
        <v>314</v>
      </c>
      <c r="AM474" s="251" t="s">
        <v>1543</v>
      </c>
      <c r="AN474" s="251" t="s">
        <v>1551</v>
      </c>
      <c r="AO474" s="245">
        <v>51</v>
      </c>
      <c r="AP474" s="251">
        <f ca="1">INT((TODAY()-BDD[[#This Row],[FECHA NAC]])/365)</f>
        <v>25</v>
      </c>
      <c r="AQ474" s="251">
        <v>1</v>
      </c>
      <c r="AR474" s="251">
        <f ca="1">IF(BDD[[#This Row],[ANTIG]]=0,0,1)</f>
        <v>1</v>
      </c>
      <c r="AS474" s="251"/>
      <c r="AT474" s="251"/>
      <c r="AU474" s="251"/>
      <c r="AV474" s="251"/>
      <c r="AW474" s="251"/>
      <c r="AX474" s="251"/>
      <c r="AY474" s="251"/>
      <c r="AZ474" s="251">
        <f t="shared" ca="1" si="33"/>
        <v>995</v>
      </c>
    </row>
    <row r="475" spans="2:52" x14ac:dyDescent="0.25">
      <c r="B475" s="243">
        <v>710</v>
      </c>
      <c r="C475" s="259" t="s">
        <v>695</v>
      </c>
      <c r="D475" s="252">
        <v>9450</v>
      </c>
      <c r="E475" s="252">
        <f>(BDD[[#This Row],[SUE MENS]]/30)</f>
        <v>315</v>
      </c>
      <c r="F475" s="252">
        <f>BDD[[#This Row],[SUE MENS]]/2</f>
        <v>4725</v>
      </c>
      <c r="G475" s="320">
        <v>44321</v>
      </c>
      <c r="H475" s="243">
        <f ca="1">INT(_xlfn.DAYS(TODAY(),BDD[[#This Row],[FECHA ING.]])/365)</f>
        <v>1</v>
      </c>
      <c r="I475" s="251" t="str">
        <f>VLOOKUP(J475,TABLAS!$B$3:$G$49,2,FALSE)</f>
        <v>CONTABILIDAD</v>
      </c>
      <c r="J475" s="198" t="s">
        <v>737</v>
      </c>
      <c r="K475" s="251" t="s">
        <v>778</v>
      </c>
      <c r="L475" s="251" t="s">
        <v>763</v>
      </c>
      <c r="M475" s="251"/>
      <c r="N475" s="253" t="s">
        <v>1786</v>
      </c>
      <c r="O475" s="251" t="str">
        <f>IFERROR(VLOOKUP(BDD[[#This Row],[SUBDPTO]],TABLAS!$B$4:$D$36,3,0)," ")</f>
        <v>IRIE DALÍ ANTARES CORTÉS</v>
      </c>
      <c r="P475" s="258"/>
      <c r="Q475" s="264"/>
      <c r="R475" s="244"/>
      <c r="S475" s="251"/>
      <c r="T475" s="251" t="s">
        <v>811</v>
      </c>
      <c r="U475" s="243">
        <f ca="1">VLOOKUP(BDD[[#This Row],[ANTIG]],DIASXANT18[#All],2)</f>
        <v>10</v>
      </c>
      <c r="V475" s="256">
        <f t="shared" si="35"/>
        <v>0.5</v>
      </c>
      <c r="W475" s="243">
        <f ca="1">BDD[[#This Row],[D.VAC.]]*BDD[[#This Row],[% P.V.]]</f>
        <v>5</v>
      </c>
      <c r="X475" s="243">
        <v>30</v>
      </c>
      <c r="Y475" s="257">
        <f ca="1">(365+BDD[[#This Row],[D.PAG.V.]]+BDD[[#This Row],[D.AG.]])/365</f>
        <v>1.095890410958904</v>
      </c>
      <c r="Z475" s="243">
        <f ca="1">BDD[[#This Row],[SUE DIA]]*BDD[[#This Row],[FACTOR SDI]]</f>
        <v>345.20547945205476</v>
      </c>
      <c r="AA475" s="243">
        <f>BDD[[#This Row],[SUE DIA]]/9</f>
        <v>35</v>
      </c>
      <c r="AB475" s="251">
        <v>26628</v>
      </c>
      <c r="AC475" s="251" t="s">
        <v>1076</v>
      </c>
      <c r="AD475" s="251" t="s">
        <v>789</v>
      </c>
      <c r="AE475" s="260">
        <v>5694394468</v>
      </c>
      <c r="AF475" s="251" t="s">
        <v>1512</v>
      </c>
      <c r="AG475" s="251" t="s">
        <v>774</v>
      </c>
      <c r="AH475" s="251" t="s">
        <v>730</v>
      </c>
      <c r="AI475" s="243" t="s">
        <v>151</v>
      </c>
      <c r="AJ475" s="258" cm="1">
        <f t="array" aca="1" ref="AJ475" ca="1">DATE(YEAR(FECH.CONS[FECHA DE CONSULTA:]),MONTH(BDD[[#This Row],[FECHA NAC]]),DAY(BDD[[#This Row],[FECHA NAC]]))</f>
        <v>44890</v>
      </c>
      <c r="AK475" s="243">
        <v>8</v>
      </c>
      <c r="AL475" s="261" t="s">
        <v>311</v>
      </c>
      <c r="AM475" s="251" t="s">
        <v>1533</v>
      </c>
      <c r="AN475" s="251" t="s">
        <v>1551</v>
      </c>
      <c r="AO475" s="245">
        <v>86</v>
      </c>
      <c r="AP475" s="251">
        <f ca="1">INT((TODAY()-BDD[[#This Row],[FECHA NAC]])/365)</f>
        <v>49</v>
      </c>
      <c r="AQ475" s="251">
        <v>3</v>
      </c>
      <c r="AR475" s="251">
        <f ca="1">IF(BDD[[#This Row],[ANTIG]]=0,0,1)</f>
        <v>1</v>
      </c>
      <c r="AS475" s="251"/>
      <c r="AT475" s="251"/>
      <c r="AU475" s="251"/>
      <c r="AV475" s="251"/>
      <c r="AW475" s="251"/>
      <c r="AX475" s="251"/>
      <c r="AY475" s="251"/>
      <c r="AZ475" s="251">
        <f t="shared" ca="1" si="33"/>
        <v>412</v>
      </c>
    </row>
    <row r="476" spans="2:52" x14ac:dyDescent="0.25">
      <c r="B476" s="243">
        <v>711</v>
      </c>
      <c r="C476" s="259" t="s">
        <v>568</v>
      </c>
      <c r="D476" s="252">
        <v>9450</v>
      </c>
      <c r="E476" s="252">
        <f>(BDD[[#This Row],[SUE MENS]]/30)</f>
        <v>315</v>
      </c>
      <c r="F476" s="252">
        <f>BDD[[#This Row],[SUE MENS]]/2</f>
        <v>4725</v>
      </c>
      <c r="G476" s="320">
        <v>44340</v>
      </c>
      <c r="H476" s="243">
        <f ca="1">INT(_xlfn.DAYS(TODAY(),BDD[[#This Row],[FECHA ING.]])/365)</f>
        <v>1</v>
      </c>
      <c r="I476" s="251" t="str">
        <f>VLOOKUP(J476,TABLAS!$B$3:$G$49,2,FALSE)</f>
        <v>DIV INGENRIA</v>
      </c>
      <c r="J476" s="198" t="s">
        <v>744</v>
      </c>
      <c r="K476" s="251" t="s">
        <v>778</v>
      </c>
      <c r="L476" s="251" t="s">
        <v>763</v>
      </c>
      <c r="M476" s="251"/>
      <c r="N476" s="244" t="s">
        <v>2216</v>
      </c>
      <c r="O476" s="251" t="str">
        <f>IFERROR(VLOOKUP(BDD[[#This Row],[SUBDPTO]],TABLAS!$B$4:$D$36,3,0)," ")</f>
        <v>DIEGO HERRERA GIRÓN</v>
      </c>
      <c r="P476" s="258"/>
      <c r="Q476" s="264"/>
      <c r="R476" s="244"/>
      <c r="S476" s="251"/>
      <c r="T476" s="251" t="s">
        <v>811</v>
      </c>
      <c r="U476" s="243">
        <f ca="1">VLOOKUP(BDD[[#This Row],[ANTIG]],DIASXANT18[#All],2)</f>
        <v>10</v>
      </c>
      <c r="V476" s="256">
        <f t="shared" si="35"/>
        <v>0.5</v>
      </c>
      <c r="W476" s="243">
        <f ca="1">BDD[[#This Row],[D.VAC.]]*BDD[[#This Row],[% P.V.]]</f>
        <v>5</v>
      </c>
      <c r="X476" s="243">
        <v>30</v>
      </c>
      <c r="Y476" s="257">
        <f ca="1">(365+BDD[[#This Row],[D.PAG.V.]]+BDD[[#This Row],[D.AG.]])/365</f>
        <v>1.095890410958904</v>
      </c>
      <c r="Z476" s="243">
        <f ca="1">BDD[[#This Row],[SUE DIA]]*BDD[[#This Row],[FACTOR SDI]]</f>
        <v>345.20547945205476</v>
      </c>
      <c r="AA476" s="243">
        <f>BDD[[#This Row],[SUE DIA]]/9</f>
        <v>35</v>
      </c>
      <c r="AB476" s="251">
        <v>31838</v>
      </c>
      <c r="AC476" s="251" t="s">
        <v>1008</v>
      </c>
      <c r="AD476" s="251" t="s">
        <v>789</v>
      </c>
      <c r="AE476" s="260">
        <v>8204484090</v>
      </c>
      <c r="AF476" s="251" t="s">
        <v>1433</v>
      </c>
      <c r="AG476" s="251" t="s">
        <v>776</v>
      </c>
      <c r="AH476" s="251" t="s">
        <v>730</v>
      </c>
      <c r="AI476" s="243" t="s">
        <v>151</v>
      </c>
      <c r="AJ476" s="258" cm="1">
        <f t="array" aca="1" ref="AJ476" ca="1">DATE(YEAR(FECH.CONS[FECHA DE CONSULTA:]),MONTH(BDD[[#This Row],[FECHA NAC]]),DAY(BDD[[#This Row],[FECHA NAC]]))</f>
        <v>44622</v>
      </c>
      <c r="AK476" s="243">
        <v>6</v>
      </c>
      <c r="AL476" s="261" t="s">
        <v>316</v>
      </c>
      <c r="AM476" s="251" t="s">
        <v>1549</v>
      </c>
      <c r="AN476" s="251" t="s">
        <v>1551</v>
      </c>
      <c r="AO476" s="245">
        <v>54</v>
      </c>
      <c r="AP476" s="251">
        <f ca="1">INT((TODAY()-BDD[[#This Row],[FECHA NAC]])/365)</f>
        <v>35</v>
      </c>
      <c r="AQ476" s="251">
        <v>1</v>
      </c>
      <c r="AR476" s="251">
        <f ca="1">IF(BDD[[#This Row],[ANTIG]]=0,0,1)</f>
        <v>1</v>
      </c>
      <c r="AS476" s="251"/>
      <c r="AT476" s="251"/>
      <c r="AU476" s="251"/>
      <c r="AV476" s="251"/>
      <c r="AW476" s="251"/>
      <c r="AX476" s="251"/>
      <c r="AY476" s="251"/>
      <c r="AZ476" s="251">
        <f t="shared" ca="1" si="33"/>
        <v>305</v>
      </c>
    </row>
    <row r="477" spans="2:52" x14ac:dyDescent="0.25">
      <c r="B477" s="243">
        <v>712</v>
      </c>
      <c r="C477" s="251" t="s">
        <v>155</v>
      </c>
      <c r="D477" s="252">
        <v>27150</v>
      </c>
      <c r="E477" s="252">
        <f>(BDD[[#This Row],[SUE MENS]]/30)</f>
        <v>905</v>
      </c>
      <c r="F477" s="252">
        <f>BDD[[#This Row],[SUE MENS]]/2</f>
        <v>13575</v>
      </c>
      <c r="G477" s="319">
        <v>44341</v>
      </c>
      <c r="H477" s="243">
        <f ca="1">INT(_xlfn.DAYS(TODAY(),BDD[[#This Row],[FECHA ING.]])/365)</f>
        <v>1</v>
      </c>
      <c r="I477" s="251" t="str">
        <f>VLOOKUP(J477,TABLAS!$B$3:$G$49,2,FALSE)</f>
        <v>DIV INGENRIA</v>
      </c>
      <c r="J477" s="198" t="s">
        <v>744</v>
      </c>
      <c r="K477" s="244" t="s">
        <v>761</v>
      </c>
      <c r="L477" s="251" t="s">
        <v>763</v>
      </c>
      <c r="M477" s="251">
        <v>1024</v>
      </c>
      <c r="N477" s="244" t="s">
        <v>1855</v>
      </c>
      <c r="O477" s="251" t="str">
        <f>IFERROR(VLOOKUP(BDD[[#This Row],[SUBDPTO]],TABLAS!$B$4:$D$36,3,0)," ")</f>
        <v>DIEGO HERRERA GIRÓN</v>
      </c>
      <c r="P477" s="258">
        <v>42977</v>
      </c>
      <c r="Q477" s="254">
        <v>19500</v>
      </c>
      <c r="R477" s="251" t="s">
        <v>852</v>
      </c>
      <c r="S477" s="244" t="s">
        <v>844</v>
      </c>
      <c r="T477" s="251" t="s">
        <v>811</v>
      </c>
      <c r="U477" s="243">
        <f ca="1">VLOOKUP(BDD[[#This Row],[ANTIG]],DIASXANT18[#All],2)</f>
        <v>10</v>
      </c>
      <c r="V477" s="256">
        <f t="shared" si="35"/>
        <v>0.5</v>
      </c>
      <c r="W477" s="243">
        <f ca="1">BDD[[#This Row],[D.VAC.]]*BDD[[#This Row],[% P.V.]]</f>
        <v>5</v>
      </c>
      <c r="X477" s="243">
        <v>30</v>
      </c>
      <c r="Y477" s="257">
        <f ca="1">(365+BDD[[#This Row],[D.PAG.V.]]+BDD[[#This Row],[D.AG.]])/365</f>
        <v>1.095890410958904</v>
      </c>
      <c r="Z477" s="243">
        <f ca="1">BDD[[#This Row],[SUE DIA]]*BDD[[#This Row],[FACTOR SDI]]</f>
        <v>991.78082191780811</v>
      </c>
      <c r="AA477" s="243">
        <f>BDD[[#This Row],[SUE DIA]]/9</f>
        <v>100.55555555555556</v>
      </c>
      <c r="AB477" s="251">
        <v>34490</v>
      </c>
      <c r="AC477" s="251" t="s">
        <v>944</v>
      </c>
      <c r="AD477" s="251" t="s">
        <v>792</v>
      </c>
      <c r="AE477" s="252">
        <v>8630938324</v>
      </c>
      <c r="AF477" s="251" t="s">
        <v>1169</v>
      </c>
      <c r="AG477" s="251" t="s">
        <v>773</v>
      </c>
      <c r="AH477" s="251" t="s">
        <v>1555</v>
      </c>
      <c r="AI477" s="243" t="s">
        <v>151</v>
      </c>
      <c r="AJ477" s="258" cm="1">
        <f t="array" aca="1" ref="AJ477" ca="1">DATE(YEAR(FECH.CONS[FECHA DE CONSULTA:]),MONTH(BDD[[#This Row],[FECHA NAC]]),DAY(BDD[[#This Row],[FECHA NAC]]))</f>
        <v>44717</v>
      </c>
      <c r="AK477" s="243"/>
      <c r="AL477" s="261" t="s">
        <v>311</v>
      </c>
      <c r="AM477" s="251" t="s">
        <v>1546</v>
      </c>
      <c r="AN477" s="251" t="s">
        <v>1551</v>
      </c>
      <c r="AO477" s="245">
        <v>37</v>
      </c>
      <c r="AP477" s="251">
        <f ca="1">INT((TODAY()-BDD[[#This Row],[FECHA NAC]])/365)</f>
        <v>28</v>
      </c>
      <c r="AQ477" s="251">
        <v>0</v>
      </c>
      <c r="AR477" s="251">
        <f ca="1">IF(BDD[[#This Row],[ANTIG]]=0,0,1)</f>
        <v>1</v>
      </c>
      <c r="AS477" s="251"/>
      <c r="AT477" s="251"/>
      <c r="AU477" s="251"/>
      <c r="AV477" s="251"/>
      <c r="AW477" s="251"/>
      <c r="AX477" s="251"/>
      <c r="AY477" s="251"/>
      <c r="AZ477" s="251">
        <f t="shared" ca="1" si="33"/>
        <v>165</v>
      </c>
    </row>
    <row r="478" spans="2:52" x14ac:dyDescent="0.25">
      <c r="B478" s="243">
        <v>713</v>
      </c>
      <c r="C478" s="262" t="s">
        <v>349</v>
      </c>
      <c r="D478" s="263">
        <v>7445</v>
      </c>
      <c r="E478" s="252">
        <f>(BDD[[#This Row],[SUE MENS]]/30)</f>
        <v>248.16666666666666</v>
      </c>
      <c r="F478" s="252">
        <f>BDD[[#This Row],[SUE MENS]]/2</f>
        <v>3722.5</v>
      </c>
      <c r="G478" s="320">
        <v>44348</v>
      </c>
      <c r="H478" s="243">
        <f ca="1">INT(_xlfn.DAYS(TODAY(),BDD[[#This Row],[FECHA ING.]])/365)</f>
        <v>1</v>
      </c>
      <c r="I478" s="251" t="str">
        <f>VLOOKUP(J478,TABLAS!$B$3:$G$49,2,FALSE)</f>
        <v>AUDITORÍA</v>
      </c>
      <c r="J478" s="198" t="s">
        <v>735</v>
      </c>
      <c r="K478" s="251" t="s">
        <v>778</v>
      </c>
      <c r="L478" s="251" t="s">
        <v>763</v>
      </c>
      <c r="M478" s="251"/>
      <c r="N478" s="244" t="s">
        <v>1858</v>
      </c>
      <c r="O478" s="251" t="str">
        <f>IFERROR(VLOOKUP(BDD[[#This Row],[SUBDPTO]],TABLAS!$B$4:$D$36,3,0)," ")</f>
        <v>MARCO AURELIO URBINO</v>
      </c>
      <c r="P478" s="258"/>
      <c r="Q478" s="264"/>
      <c r="R478" s="244"/>
      <c r="S478" s="251"/>
      <c r="T478" s="251" t="s">
        <v>811</v>
      </c>
      <c r="U478" s="243">
        <f ca="1">VLOOKUP(BDD[[#This Row],[ANTIG]],DIASXANT18[#All],2)</f>
        <v>10</v>
      </c>
      <c r="V478" s="256">
        <f t="shared" si="35"/>
        <v>0.5</v>
      </c>
      <c r="W478" s="243">
        <f ca="1">BDD[[#This Row],[D.VAC.]]*BDD[[#This Row],[% P.V.]]</f>
        <v>5</v>
      </c>
      <c r="X478" s="243">
        <v>30</v>
      </c>
      <c r="Y478" s="257">
        <f ca="1">(365+BDD[[#This Row],[D.PAG.V.]]+BDD[[#This Row],[D.AG.]])/365</f>
        <v>1.095890410958904</v>
      </c>
      <c r="Z478" s="243">
        <f ca="1">BDD[[#This Row],[SUE DIA]]*BDD[[#This Row],[FACTOR SDI]]</f>
        <v>271.96347031963467</v>
      </c>
      <c r="AA478" s="243">
        <f>BDD[[#This Row],[SUE DIA]]/9</f>
        <v>27.574074074074073</v>
      </c>
      <c r="AB478" s="262">
        <v>31197</v>
      </c>
      <c r="AC478" s="251" t="s">
        <v>1030</v>
      </c>
      <c r="AD478" s="251" t="s">
        <v>810</v>
      </c>
      <c r="AE478" s="252">
        <v>8344451558</v>
      </c>
      <c r="AF478" s="251" t="s">
        <v>1323</v>
      </c>
      <c r="AG478" s="251" t="s">
        <v>776</v>
      </c>
      <c r="AH478" s="251" t="s">
        <v>730</v>
      </c>
      <c r="AI478" s="243" t="s">
        <v>151</v>
      </c>
      <c r="AJ478" s="258" cm="1">
        <f t="array" aca="1" ref="AJ478" ca="1">DATE(YEAR(FECH.CONS[FECHA DE CONSULTA:]),MONTH(BDD[[#This Row],[FECHA NAC]]),DAY(BDD[[#This Row],[FECHA NAC]]))</f>
        <v>44711</v>
      </c>
      <c r="AK478" s="243">
        <v>9</v>
      </c>
      <c r="AL478" s="261" t="s">
        <v>312</v>
      </c>
      <c r="AM478" s="251" t="s">
        <v>1548</v>
      </c>
      <c r="AN478" s="251" t="s">
        <v>1551</v>
      </c>
      <c r="AO478" s="245">
        <v>98</v>
      </c>
      <c r="AP478" s="251">
        <f ca="1">INT((TODAY()-BDD[[#This Row],[FECHA NAC]])/365)</f>
        <v>37</v>
      </c>
      <c r="AQ478" s="251">
        <v>0</v>
      </c>
      <c r="AR478" s="251">
        <f ca="1">IF(BDD[[#This Row],[ANTIG]]=0,0,1)</f>
        <v>1</v>
      </c>
      <c r="AS478" s="251"/>
      <c r="AT478" s="251"/>
      <c r="AU478" s="251"/>
      <c r="AV478" s="251"/>
      <c r="AW478" s="251"/>
      <c r="AX478" s="251"/>
      <c r="AY478" s="251"/>
      <c r="AZ478" s="251">
        <f t="shared" ca="1" si="33"/>
        <v>815</v>
      </c>
    </row>
    <row r="479" spans="2:52" x14ac:dyDescent="0.25">
      <c r="B479" s="243">
        <v>714</v>
      </c>
      <c r="C479" s="251" t="s">
        <v>204</v>
      </c>
      <c r="D479" s="263">
        <v>7445</v>
      </c>
      <c r="E479" s="252">
        <f>(BDD[[#This Row],[SUE MENS]]/30)</f>
        <v>248.16666666666666</v>
      </c>
      <c r="F479" s="252">
        <f>BDD[[#This Row],[SUE MENS]]/2</f>
        <v>3722.5</v>
      </c>
      <c r="G479" s="320">
        <v>44358</v>
      </c>
      <c r="H479" s="243">
        <f ca="1">INT(_xlfn.DAYS(TODAY(),BDD[[#This Row],[FECHA ING.]])/365)</f>
        <v>1</v>
      </c>
      <c r="I479" s="251" t="str">
        <f>VLOOKUP(J479,TABLAS!$B$3:$G$49,2,FALSE)</f>
        <v>AUDITORÍA</v>
      </c>
      <c r="J479" s="198" t="s">
        <v>735</v>
      </c>
      <c r="K479" s="251" t="s">
        <v>778</v>
      </c>
      <c r="L479" s="251" t="s">
        <v>763</v>
      </c>
      <c r="M479" s="251"/>
      <c r="N479" s="244" t="s">
        <v>1853</v>
      </c>
      <c r="O479" s="251" t="str">
        <f>IFERROR(VLOOKUP(BDD[[#This Row],[SUBDPTO]],TABLAS!$B$4:$D$36,3,0)," ")</f>
        <v>MARCO AURELIO URBINO</v>
      </c>
      <c r="P479" s="258"/>
      <c r="Q479" s="264"/>
      <c r="R479" s="244"/>
      <c r="S479" s="251"/>
      <c r="T479" s="251" t="s">
        <v>811</v>
      </c>
      <c r="U479" s="243">
        <f ca="1">VLOOKUP(BDD[[#This Row],[ANTIG]],DIASXANT18[#All],2)</f>
        <v>10</v>
      </c>
      <c r="V479" s="256">
        <f t="shared" si="35"/>
        <v>0.5</v>
      </c>
      <c r="W479" s="243">
        <f ca="1">BDD[[#This Row],[D.VAC.]]*BDD[[#This Row],[% P.V.]]</f>
        <v>5</v>
      </c>
      <c r="X479" s="243">
        <v>30</v>
      </c>
      <c r="Y479" s="257">
        <f ca="1">(365+BDD[[#This Row],[D.PAG.V.]]+BDD[[#This Row],[D.AG.]])/365</f>
        <v>1.095890410958904</v>
      </c>
      <c r="Z479" s="243">
        <f ca="1">BDD[[#This Row],[SUE DIA]]*BDD[[#This Row],[FACTOR SDI]]</f>
        <v>271.96347031963467</v>
      </c>
      <c r="AA479" s="243">
        <f>BDD[[#This Row],[SUE DIA]]/9</f>
        <v>27.574074074074073</v>
      </c>
      <c r="AB479" s="251">
        <v>30767</v>
      </c>
      <c r="AC479" s="251" t="s">
        <v>980</v>
      </c>
      <c r="AD479" s="251" t="s">
        <v>810</v>
      </c>
      <c r="AE479" s="252">
        <v>8604542730</v>
      </c>
      <c r="AF479" s="251" t="s">
        <v>1219</v>
      </c>
      <c r="AG479" s="251" t="s">
        <v>774</v>
      </c>
      <c r="AH479" s="251" t="s">
        <v>730</v>
      </c>
      <c r="AI479" s="243" t="s">
        <v>151</v>
      </c>
      <c r="AJ479" s="258" cm="1">
        <f t="array" aca="1" ref="AJ479" ca="1">DATE(YEAR(FECH.CONS[FECHA DE CONSULTA:]),MONTH(BDD[[#This Row],[FECHA NAC]]),DAY(BDD[[#This Row],[FECHA NAC]]))</f>
        <v>44646</v>
      </c>
      <c r="AK479" s="243">
        <v>10</v>
      </c>
      <c r="AL479" s="261" t="s">
        <v>314</v>
      </c>
      <c r="AM479" s="251" t="s">
        <v>1537</v>
      </c>
      <c r="AN479" s="251" t="s">
        <v>1551</v>
      </c>
      <c r="AO479" s="245">
        <v>93</v>
      </c>
      <c r="AP479" s="251">
        <f ca="1">INT((TODAY()-BDD[[#This Row],[FECHA NAC]])/365)</f>
        <v>38</v>
      </c>
      <c r="AQ479" s="251">
        <v>3</v>
      </c>
      <c r="AR479" s="251">
        <f ca="1">IF(BDD[[#This Row],[ANTIG]]=0,0,1)</f>
        <v>1</v>
      </c>
      <c r="AS479" s="251"/>
      <c r="AT479" s="251"/>
      <c r="AU479" s="251"/>
      <c r="AV479" s="251"/>
      <c r="AW479" s="251"/>
      <c r="AX479" s="251"/>
      <c r="AY479" s="251"/>
      <c r="AZ479" s="251">
        <f t="shared" ca="1" si="33"/>
        <v>407</v>
      </c>
    </row>
    <row r="480" spans="2:52" x14ac:dyDescent="0.25">
      <c r="B480" s="243">
        <v>715</v>
      </c>
      <c r="C480" s="251" t="s">
        <v>1667</v>
      </c>
      <c r="D480" s="252">
        <v>27150</v>
      </c>
      <c r="E480" s="252">
        <f>(BDD[[#This Row],[SUE MENS]]/30)</f>
        <v>905</v>
      </c>
      <c r="F480" s="252">
        <f>BDD[[#This Row],[SUE MENS]]/2</f>
        <v>13575</v>
      </c>
      <c r="G480" s="320">
        <v>44361</v>
      </c>
      <c r="H480" s="243">
        <f ca="1">INT(_xlfn.DAYS(TODAY(),BDD[[#This Row],[FECHA ING.]])/365)</f>
        <v>1</v>
      </c>
      <c r="I480" s="251" t="str">
        <f>VLOOKUP(J480,TABLAS!$B$3:$G$49,2,FALSE)</f>
        <v>FINANZAS</v>
      </c>
      <c r="J480" s="198" t="s">
        <v>748</v>
      </c>
      <c r="K480" s="244" t="s">
        <v>761</v>
      </c>
      <c r="L480" s="251" t="s">
        <v>763</v>
      </c>
      <c r="M480" s="251">
        <v>1018</v>
      </c>
      <c r="N480" s="244" t="s">
        <v>2154</v>
      </c>
      <c r="O480" s="251" t="str">
        <f>IFERROR(VLOOKUP(BDD[[#This Row],[SUBDPTO]],TABLAS!$B$4:$D$36,3,0)," ")</f>
        <v>MARIANO ALDEBARÁN</v>
      </c>
      <c r="P480" s="258">
        <f>BDD[[#This Row],[FECHA ING.]]+1500</f>
        <v>45861</v>
      </c>
      <c r="Q480" s="264">
        <v>19390</v>
      </c>
      <c r="R480" s="251" t="s">
        <v>736</v>
      </c>
      <c r="S480" s="251"/>
      <c r="T480" s="251" t="s">
        <v>811</v>
      </c>
      <c r="U480" s="243">
        <f ca="1">VLOOKUP(BDD[[#This Row],[ANTIG]],DIASXANT18[#All],2)</f>
        <v>10</v>
      </c>
      <c r="V480" s="256">
        <f t="shared" si="35"/>
        <v>0.5</v>
      </c>
      <c r="W480" s="243">
        <f ca="1">BDD[[#This Row],[D.VAC.]]*BDD[[#This Row],[% P.V.]]</f>
        <v>5</v>
      </c>
      <c r="X480" s="243">
        <v>30</v>
      </c>
      <c r="Y480" s="257">
        <f ca="1">(365+BDD[[#This Row],[D.PAG.V.]]+BDD[[#This Row],[D.AG.]])/365</f>
        <v>1.095890410958904</v>
      </c>
      <c r="Z480" s="243">
        <f ca="1">BDD[[#This Row],[SUE DIA]]*BDD[[#This Row],[FACTOR SDI]]</f>
        <v>991.78082191780811</v>
      </c>
      <c r="AA480" s="243">
        <f>BDD[[#This Row],[SUE DIA]]/9</f>
        <v>100.55555555555556</v>
      </c>
      <c r="AB480" s="251">
        <v>29522</v>
      </c>
      <c r="AC480" s="251" t="s">
        <v>893</v>
      </c>
      <c r="AD480" s="251" t="s">
        <v>786</v>
      </c>
      <c r="AE480" s="252">
        <v>8397024355</v>
      </c>
      <c r="AF480" s="251" t="s">
        <v>1197</v>
      </c>
      <c r="AG480" s="251" t="s">
        <v>776</v>
      </c>
      <c r="AH480" s="251" t="s">
        <v>1555</v>
      </c>
      <c r="AI480" s="243" t="s">
        <v>151</v>
      </c>
      <c r="AJ480" s="258" cm="1">
        <f t="array" aca="1" ref="AJ480" ca="1">DATE(YEAR(FECH.CONS[FECHA DE CONSULTA:]),MONTH(BDD[[#This Row],[FECHA NAC]]),DAY(BDD[[#This Row],[FECHA NAC]]))</f>
        <v>44862</v>
      </c>
      <c r="AK480" s="243"/>
      <c r="AL480" s="251" t="s">
        <v>311</v>
      </c>
      <c r="AM480" s="251" t="s">
        <v>1533</v>
      </c>
      <c r="AN480" s="251" t="s">
        <v>1551</v>
      </c>
      <c r="AO480" s="245">
        <v>96</v>
      </c>
      <c r="AP480" s="251">
        <f ca="1">INT((TODAY()-BDD[[#This Row],[FECHA NAC]])/365)</f>
        <v>41</v>
      </c>
      <c r="AQ480" s="251">
        <v>3</v>
      </c>
      <c r="AR480" s="251">
        <f ca="1">IF(BDD[[#This Row],[ANTIG]]=0,0,1)</f>
        <v>1</v>
      </c>
      <c r="AS480" s="251"/>
      <c r="AT480" s="251"/>
      <c r="AU480" s="251"/>
      <c r="AV480" s="251"/>
      <c r="AW480" s="251"/>
      <c r="AX480" s="251"/>
      <c r="AY480" s="251"/>
      <c r="AZ480" s="251">
        <f t="shared" ca="1" si="33"/>
        <v>277</v>
      </c>
    </row>
    <row r="481" spans="2:52" x14ac:dyDescent="0.25">
      <c r="B481" s="243">
        <v>716</v>
      </c>
      <c r="C481" s="259" t="s">
        <v>587</v>
      </c>
      <c r="D481" s="252">
        <v>9450</v>
      </c>
      <c r="E481" s="252">
        <f>(BDD[[#This Row],[SUE MENS]]/30)</f>
        <v>315</v>
      </c>
      <c r="F481" s="252">
        <f>BDD[[#This Row],[SUE MENS]]/2</f>
        <v>4725</v>
      </c>
      <c r="G481" s="320">
        <f ca="1">TODAY()-365</f>
        <v>44395</v>
      </c>
      <c r="H481" s="243">
        <f ca="1">INT(_xlfn.DAYS(TODAY(),BDD[[#This Row],[FECHA ING.]])/365)</f>
        <v>1</v>
      </c>
      <c r="I481" s="251" t="str">
        <f>VLOOKUP(J481,TABLAS!$B$3:$G$49,2,FALSE)</f>
        <v>DIV INGENRIA</v>
      </c>
      <c r="J481" s="198" t="s">
        <v>756</v>
      </c>
      <c r="K481" s="251" t="s">
        <v>778</v>
      </c>
      <c r="L481" s="251" t="s">
        <v>763</v>
      </c>
      <c r="M481" s="251"/>
      <c r="N481" s="253" t="s">
        <v>1962</v>
      </c>
      <c r="O481" s="251" t="str">
        <f>IFERROR(VLOOKUP(BDD[[#This Row],[SUBDPTO]],TABLAS!$B$4:$D$36,3,0)," ")</f>
        <v>DIEGO HERRERA GIRÓN</v>
      </c>
      <c r="P481" s="258">
        <v>43513</v>
      </c>
      <c r="Q481" s="254">
        <v>5422.4000000000005</v>
      </c>
      <c r="R481" s="255" t="s">
        <v>743</v>
      </c>
      <c r="S481" s="251"/>
      <c r="T481" s="251" t="s">
        <v>811</v>
      </c>
      <c r="U481" s="243">
        <f ca="1">VLOOKUP(BDD[[#This Row],[ANTIG]],DIASXANT18[#All],2)</f>
        <v>10</v>
      </c>
      <c r="V481" s="256">
        <f t="shared" si="35"/>
        <v>0.5</v>
      </c>
      <c r="W481" s="243">
        <f ca="1">BDD[[#This Row],[D.VAC.]]*BDD[[#This Row],[% P.V.]]</f>
        <v>5</v>
      </c>
      <c r="X481" s="243">
        <v>30</v>
      </c>
      <c r="Y481" s="257">
        <f ca="1">(365+BDD[[#This Row],[D.PAG.V.]]+BDD[[#This Row],[D.AG.]])/365</f>
        <v>1.095890410958904</v>
      </c>
      <c r="Z481" s="243">
        <f ca="1">BDD[[#This Row],[SUE DIA]]*BDD[[#This Row],[FACTOR SDI]]</f>
        <v>345.20547945205476</v>
      </c>
      <c r="AA481" s="243">
        <f>BDD[[#This Row],[SUE DIA]]/9</f>
        <v>35</v>
      </c>
      <c r="AB481" s="251">
        <v>31292</v>
      </c>
      <c r="AC481" s="251" t="s">
        <v>887</v>
      </c>
      <c r="AD481" s="251" t="s">
        <v>809</v>
      </c>
      <c r="AE481" s="260">
        <v>2166411395</v>
      </c>
      <c r="AF481" s="251" t="s">
        <v>1447</v>
      </c>
      <c r="AG481" s="251" t="s">
        <v>773</v>
      </c>
      <c r="AH481" s="251" t="s">
        <v>730</v>
      </c>
      <c r="AI481" s="243" t="s">
        <v>151</v>
      </c>
      <c r="AJ481" s="258" cm="1">
        <f t="array" aca="1" ref="AJ481" ca="1">DATE(YEAR(FECH.CONS[FECHA DE CONSULTA:]),MONTH(BDD[[#This Row],[FECHA NAC]]),DAY(BDD[[#This Row],[FECHA NAC]]))</f>
        <v>44806</v>
      </c>
      <c r="AK481" s="243">
        <v>9</v>
      </c>
      <c r="AL481" s="261" t="s">
        <v>311</v>
      </c>
      <c r="AM481" s="251" t="s">
        <v>1546</v>
      </c>
      <c r="AN481" s="251" t="s">
        <v>1551</v>
      </c>
      <c r="AO481" s="245">
        <v>97</v>
      </c>
      <c r="AP481" s="251">
        <f ca="1">INT((TODAY()-BDD[[#This Row],[FECHA NAC]])/365)</f>
        <v>36</v>
      </c>
      <c r="AQ481" s="251">
        <v>3</v>
      </c>
      <c r="AR481" s="251">
        <f ca="1">IF(BDD[[#This Row],[ANTIG]]=0,0,1)</f>
        <v>1</v>
      </c>
      <c r="AS481" s="251"/>
      <c r="AT481" s="251"/>
      <c r="AU481" s="251"/>
      <c r="AV481" s="251"/>
      <c r="AW481" s="251"/>
      <c r="AX481" s="251"/>
      <c r="AY481" s="251"/>
      <c r="AZ481" s="251">
        <f t="shared" ca="1" si="33"/>
        <v>83</v>
      </c>
    </row>
    <row r="482" spans="2:52" x14ac:dyDescent="0.25">
      <c r="B482" s="243">
        <v>717</v>
      </c>
      <c r="C482" s="251" t="s">
        <v>409</v>
      </c>
      <c r="D482" s="252">
        <v>9450</v>
      </c>
      <c r="E482" s="252">
        <f>(BDD[[#This Row],[SUE MENS]]/30)</f>
        <v>315</v>
      </c>
      <c r="F482" s="252">
        <f>BDD[[#This Row],[SUE MENS]]/2</f>
        <v>4725</v>
      </c>
      <c r="G482" s="320">
        <v>44437</v>
      </c>
      <c r="H482" s="243">
        <f ca="1">INT(_xlfn.DAYS(TODAY(),BDD[[#This Row],[FECHA ING.]])/365)</f>
        <v>0</v>
      </c>
      <c r="I482" s="251" t="str">
        <f>VLOOKUP(J482,TABLAS!$B$3:$G$49,2,FALSE)</f>
        <v>AUDITORÍA</v>
      </c>
      <c r="J482" s="198" t="s">
        <v>734</v>
      </c>
      <c r="K482" s="251" t="s">
        <v>778</v>
      </c>
      <c r="L482" s="251" t="s">
        <v>763</v>
      </c>
      <c r="M482" s="251"/>
      <c r="N482" s="244" t="s">
        <v>2117</v>
      </c>
      <c r="O482" s="251" t="str">
        <f>IFERROR(VLOOKUP(BDD[[#This Row],[SUBDPTO]],TABLAS!$B$4:$D$36,3,0)," ")</f>
        <v>MARCO AURELIO URBINO</v>
      </c>
      <c r="P482" s="258">
        <v>42969</v>
      </c>
      <c r="Q482" s="254">
        <v>5088</v>
      </c>
      <c r="R482" s="255" t="s">
        <v>746</v>
      </c>
      <c r="S482" s="251"/>
      <c r="T482" s="251" t="s">
        <v>811</v>
      </c>
      <c r="U482" s="243">
        <f ca="1">VLOOKUP(BDD[[#This Row],[ANTIG]],DIASXANT18[#All],2)</f>
        <v>6</v>
      </c>
      <c r="V482" s="256">
        <f t="shared" si="35"/>
        <v>0.5</v>
      </c>
      <c r="W482" s="243">
        <f ca="1">BDD[[#This Row],[D.VAC.]]*BDD[[#This Row],[% P.V.]]</f>
        <v>3</v>
      </c>
      <c r="X482" s="243">
        <v>30</v>
      </c>
      <c r="Y482" s="257">
        <f ca="1">(365+BDD[[#This Row],[D.PAG.V.]]+BDD[[#This Row],[D.AG.]])/365</f>
        <v>1.0904109589041096</v>
      </c>
      <c r="Z482" s="243">
        <f ca="1">BDD[[#This Row],[SUE DIA]]*BDD[[#This Row],[FACTOR SDI]]</f>
        <v>343.47945205479454</v>
      </c>
      <c r="AA482" s="243">
        <f>BDD[[#This Row],[SUE DIA]]/9</f>
        <v>35</v>
      </c>
      <c r="AB482" s="251">
        <v>29546</v>
      </c>
      <c r="AC482" s="251" t="s">
        <v>976</v>
      </c>
      <c r="AD482" s="251" t="s">
        <v>787</v>
      </c>
      <c r="AE482" s="252">
        <v>8495588393</v>
      </c>
      <c r="AF482" s="251" t="s">
        <v>1239</v>
      </c>
      <c r="AG482" s="251" t="s">
        <v>774</v>
      </c>
      <c r="AH482" s="251" t="s">
        <v>1555</v>
      </c>
      <c r="AI482" s="243" t="s">
        <v>151</v>
      </c>
      <c r="AJ482" s="258" cm="1">
        <f t="array" aca="1" ref="AJ482" ca="1">DATE(YEAR(FECH.CONS[FECHA DE CONSULTA:]),MONTH(BDD[[#This Row],[FECHA NAC]]),DAY(BDD[[#This Row],[FECHA NAC]]))</f>
        <v>44886</v>
      </c>
      <c r="AK482" s="243"/>
      <c r="AL482" s="251" t="s">
        <v>311</v>
      </c>
      <c r="AM482" s="251" t="s">
        <v>1540</v>
      </c>
      <c r="AN482" s="251" t="s">
        <v>1551</v>
      </c>
      <c r="AO482" s="245">
        <v>41</v>
      </c>
      <c r="AP482" s="251">
        <f ca="1">INT((TODAY()-BDD[[#This Row],[FECHA NAC]])/365)</f>
        <v>41</v>
      </c>
      <c r="AQ482" s="251">
        <v>3</v>
      </c>
      <c r="AR482" s="251">
        <f ca="1">IF(BDD[[#This Row],[ANTIG]]=0,0,1)</f>
        <v>0</v>
      </c>
      <c r="AS482" s="251"/>
      <c r="AT482" s="251"/>
      <c r="AU482" s="251"/>
      <c r="AV482" s="251"/>
      <c r="AW482" s="251"/>
      <c r="AX482" s="251"/>
      <c r="AY482" s="251"/>
      <c r="AZ482" s="251">
        <f t="shared" ca="1" si="33"/>
        <v>919</v>
      </c>
    </row>
    <row r="483" spans="2:52" x14ac:dyDescent="0.25">
      <c r="B483" s="246">
        <v>719</v>
      </c>
      <c r="C483" s="244" t="s">
        <v>1569</v>
      </c>
      <c r="D483" s="244">
        <v>6778</v>
      </c>
      <c r="E483" s="244">
        <f>(BDD[[#This Row],[SUE MENS]]/30)</f>
        <v>225.93333333333334</v>
      </c>
      <c r="F483" s="244">
        <f>BDD[[#This Row],[SUE MENS]]/2</f>
        <v>3389</v>
      </c>
      <c r="G483" s="320">
        <v>44451</v>
      </c>
      <c r="H483" s="244">
        <f ca="1">INT(_xlfn.DAYS(TODAY(),BDD[[#This Row],[FECHA ING.]])/365)</f>
        <v>0</v>
      </c>
      <c r="I483" s="251" t="str">
        <f>VLOOKUP(J483,TABLAS!$B$3:$G$49,2,FALSE)</f>
        <v>DIRECCIÓN</v>
      </c>
      <c r="J483" s="244" t="s">
        <v>745</v>
      </c>
      <c r="K483" s="244" t="s">
        <v>778</v>
      </c>
      <c r="L483" s="244" t="s">
        <v>763</v>
      </c>
      <c r="M483" s="244">
        <v>0</v>
      </c>
      <c r="N483" s="253" t="s">
        <v>1829</v>
      </c>
      <c r="O483" s="244" t="str">
        <f>IFERROR(VLOOKUP(BDD[[#This Row],[SUBDPTO]],TABLAS!$B$4:$D$36,3,0)," ")</f>
        <v>MARIANA RODRÍGUEZ GUTIERREZ</v>
      </c>
      <c r="P483" s="268"/>
      <c r="Q483" s="244"/>
      <c r="R483" s="244"/>
      <c r="S483" s="244"/>
      <c r="T483" s="244" t="s">
        <v>811</v>
      </c>
      <c r="U483" s="265">
        <f ca="1">VLOOKUP(BDD[[#This Row],[ANTIG]],DIASXANT18[#All],2)</f>
        <v>6</v>
      </c>
      <c r="V483" s="266">
        <v>0.25</v>
      </c>
      <c r="W483" s="265">
        <f ca="1">BDD[[#This Row],[D.VAC.]]*BDD[[#This Row],[% P.V.]]</f>
        <v>1.5</v>
      </c>
      <c r="X483" s="265">
        <v>15</v>
      </c>
      <c r="Y483" s="267">
        <f ca="1">(365+BDD[[#This Row],[D.PAG.V.]]+BDD[[#This Row],[D.AG.]])/365</f>
        <v>1.0452054794520549</v>
      </c>
      <c r="Z483" s="265">
        <f ca="1">BDD[[#This Row],[SUE DIA]]*BDD[[#This Row],[FACTOR SDI]]</f>
        <v>236.1467579908676</v>
      </c>
      <c r="AA483" s="265">
        <f>BDD[[#This Row],[SUE DIA]]/9</f>
        <v>25.103703703703705</v>
      </c>
      <c r="AB483" s="244">
        <v>34365</v>
      </c>
      <c r="AC483" s="244" t="s">
        <v>1614</v>
      </c>
      <c r="AD483" s="244" t="s">
        <v>786</v>
      </c>
      <c r="AE483" s="244">
        <v>8119125987</v>
      </c>
      <c r="AF483" s="244" t="s">
        <v>1567</v>
      </c>
      <c r="AG483" s="244" t="s">
        <v>774</v>
      </c>
      <c r="AH483" s="244" t="s">
        <v>864</v>
      </c>
      <c r="AI483" s="244" t="s">
        <v>152</v>
      </c>
      <c r="AJ483" s="268" cm="1">
        <f t="array" aca="1" ref="AJ483" ca="1">DATE(YEAR(FECH.CONS[FECHA DE CONSULTA:]),MONTH(BDD[[#This Row],[FECHA NAC]]),DAY(BDD[[#This Row],[FECHA NAC]]))</f>
        <v>44592</v>
      </c>
      <c r="AK483" s="244">
        <v>6</v>
      </c>
      <c r="AL483" s="244" t="s">
        <v>311</v>
      </c>
      <c r="AM483" s="244" t="s">
        <v>1568</v>
      </c>
      <c r="AN483" s="244">
        <v>0</v>
      </c>
      <c r="AO483" s="244">
        <v>20</v>
      </c>
      <c r="AP483" s="244">
        <f ca="1">INT((TODAY()-BDD[[#This Row],[FECHA NAC]])/365)</f>
        <v>28</v>
      </c>
      <c r="AQ483" s="244">
        <v>2</v>
      </c>
      <c r="AR483" s="244">
        <f ca="1">IF(BDD[[#This Row],[ANTIG]]=0,0,1)</f>
        <v>0</v>
      </c>
      <c r="AS483" s="244"/>
      <c r="AT483" s="244"/>
      <c r="AU483" s="244"/>
      <c r="AV483" s="244"/>
      <c r="AW483" s="244"/>
      <c r="AX483" s="244"/>
      <c r="AY483" s="244"/>
      <c r="AZ483" s="244">
        <f t="shared" ca="1" si="33"/>
        <v>289</v>
      </c>
    </row>
    <row r="484" spans="2:52" x14ac:dyDescent="0.25">
      <c r="B484" s="243">
        <v>720</v>
      </c>
      <c r="C484" s="259" t="s">
        <v>560</v>
      </c>
      <c r="D484" s="263">
        <v>10350</v>
      </c>
      <c r="E484" s="252">
        <f>(BDD[[#This Row],[SUE MENS]]/30)</f>
        <v>345</v>
      </c>
      <c r="F484" s="252">
        <f>BDD[[#This Row],[SUE MENS]]/2</f>
        <v>5175</v>
      </c>
      <c r="G484" s="320">
        <v>44452</v>
      </c>
      <c r="H484" s="243">
        <f ca="1">INT(_xlfn.DAYS(TODAY(),BDD[[#This Row],[FECHA ING.]])/365)</f>
        <v>0</v>
      </c>
      <c r="I484" s="251" t="str">
        <f>VLOOKUP(J484,TABLAS!$B$3:$G$49,2,FALSE)</f>
        <v>FINANZAS</v>
      </c>
      <c r="J484" s="198" t="s">
        <v>748</v>
      </c>
      <c r="K484" s="251" t="s">
        <v>778</v>
      </c>
      <c r="L484" s="251" t="s">
        <v>763</v>
      </c>
      <c r="M484" s="251"/>
      <c r="N484" s="253" t="s">
        <v>2021</v>
      </c>
      <c r="O484" s="251" t="str">
        <f>IFERROR(VLOOKUP(BDD[[#This Row],[SUBDPTO]],TABLAS!$B$4:$D$36,3,0)," ")</f>
        <v>MARIANO ALDEBARÁN</v>
      </c>
      <c r="P484" s="258">
        <v>42064</v>
      </c>
      <c r="Q484" s="254">
        <v>5088</v>
      </c>
      <c r="R484" s="255" t="s">
        <v>737</v>
      </c>
      <c r="S484" s="255" t="s">
        <v>738</v>
      </c>
      <c r="T484" s="251" t="s">
        <v>301</v>
      </c>
      <c r="U484" s="243">
        <f ca="1">VLOOKUP(BDD[[#This Row],[ANTIG]],DIASXANT18[#All],2)</f>
        <v>6</v>
      </c>
      <c r="V484" s="256">
        <f t="shared" ref="V484:V498" si="36">100/200</f>
        <v>0.5</v>
      </c>
      <c r="W484" s="243">
        <f ca="1">BDD[[#This Row],[D.VAC.]]*BDD[[#This Row],[% P.V.]]</f>
        <v>3</v>
      </c>
      <c r="X484" s="243">
        <v>30</v>
      </c>
      <c r="Y484" s="257">
        <f ca="1">(365+BDD[[#This Row],[D.PAG.V.]]+BDD[[#This Row],[D.AG.]])/365</f>
        <v>1.0904109589041096</v>
      </c>
      <c r="Z484" s="243">
        <f ca="1">BDD[[#This Row],[SUE DIA]]*BDD[[#This Row],[FACTOR SDI]]</f>
        <v>376.1917808219178</v>
      </c>
      <c r="AA484" s="243">
        <f>BDD[[#This Row],[SUE DIA]]/9</f>
        <v>38.333333333333336</v>
      </c>
      <c r="AB484" s="251">
        <v>31695</v>
      </c>
      <c r="AC484" s="251" t="s">
        <v>1061</v>
      </c>
      <c r="AD484" s="251" t="s">
        <v>789</v>
      </c>
      <c r="AE484" s="260">
        <v>8210339109</v>
      </c>
      <c r="AF484" s="251" t="s">
        <v>1424</v>
      </c>
      <c r="AG484" s="251" t="s">
        <v>776</v>
      </c>
      <c r="AH484" s="251" t="s">
        <v>726</v>
      </c>
      <c r="AI484" s="243" t="s">
        <v>151</v>
      </c>
      <c r="AJ484" s="258" cm="1">
        <f t="array" aca="1" ref="AJ484" ca="1">DATE(YEAR(FECH.CONS[FECHA DE CONSULTA:]),MONTH(BDD[[#This Row],[FECHA NAC]]),DAY(BDD[[#This Row],[FECHA NAC]]))</f>
        <v>44844</v>
      </c>
      <c r="AK484" s="243">
        <v>5</v>
      </c>
      <c r="AL484" s="261" t="s">
        <v>311</v>
      </c>
      <c r="AM484" s="251" t="s">
        <v>1537</v>
      </c>
      <c r="AN484" s="251" t="s">
        <v>1551</v>
      </c>
      <c r="AO484" s="245">
        <v>61</v>
      </c>
      <c r="AP484" s="251">
        <f ca="1">INT((TODAY()-BDD[[#This Row],[FECHA NAC]])/365)</f>
        <v>35</v>
      </c>
      <c r="AQ484" s="251">
        <v>2</v>
      </c>
      <c r="AR484" s="251">
        <f ca="1">IF(BDD[[#This Row],[ANTIG]]=0,0,1)</f>
        <v>0</v>
      </c>
      <c r="AS484" s="251"/>
      <c r="AT484" s="251"/>
      <c r="AU484" s="251"/>
      <c r="AV484" s="251"/>
      <c r="AW484" s="251"/>
      <c r="AX484" s="251"/>
      <c r="AY484" s="251"/>
      <c r="AZ484" s="251">
        <f t="shared" ca="1" si="33"/>
        <v>569</v>
      </c>
    </row>
    <row r="485" spans="2:52" x14ac:dyDescent="0.25">
      <c r="B485" s="243">
        <v>721</v>
      </c>
      <c r="C485" s="259" t="s">
        <v>589</v>
      </c>
      <c r="D485" s="252">
        <v>9541</v>
      </c>
      <c r="E485" s="252">
        <f>(BDD[[#This Row],[SUE MENS]]/30)</f>
        <v>318.03333333333336</v>
      </c>
      <c r="F485" s="252">
        <f>BDD[[#This Row],[SUE MENS]]/2</f>
        <v>4770.5</v>
      </c>
      <c r="G485" s="322">
        <v>44452</v>
      </c>
      <c r="H485" s="243">
        <f ca="1">INT(_xlfn.DAYS(TODAY(),BDD[[#This Row],[FECHA ING.]])/365)</f>
        <v>0</v>
      </c>
      <c r="I485" s="251" t="str">
        <f>VLOOKUP(J485,TABLAS!$B$3:$G$49,2,FALSE)</f>
        <v>CONTRATOS</v>
      </c>
      <c r="J485" s="198" t="s">
        <v>738</v>
      </c>
      <c r="K485" s="251" t="s">
        <v>778</v>
      </c>
      <c r="L485" s="251" t="s">
        <v>763</v>
      </c>
      <c r="M485" s="251"/>
      <c r="N485" s="253" t="s">
        <v>1898</v>
      </c>
      <c r="O485" s="251" t="str">
        <f>IFERROR(VLOOKUP(BDD[[#This Row],[SUBDPTO]],TABLAS!$B$4:$D$36,3,0)," ")</f>
        <v>IDALIA GARCÍA ESCRIVÁ</v>
      </c>
      <c r="P485" s="258">
        <v>42461</v>
      </c>
      <c r="Q485" s="254">
        <v>5956</v>
      </c>
      <c r="R485" s="255" t="s">
        <v>756</v>
      </c>
      <c r="S485" s="255" t="s">
        <v>756</v>
      </c>
      <c r="T485" s="251" t="s">
        <v>301</v>
      </c>
      <c r="U485" s="243">
        <f ca="1">VLOOKUP(BDD[[#This Row],[ANTIG]],DIASXANT18[#All],2)</f>
        <v>6</v>
      </c>
      <c r="V485" s="256">
        <f t="shared" si="36"/>
        <v>0.5</v>
      </c>
      <c r="W485" s="243">
        <f ca="1">BDD[[#This Row],[D.VAC.]]*BDD[[#This Row],[% P.V.]]</f>
        <v>3</v>
      </c>
      <c r="X485" s="243">
        <v>30</v>
      </c>
      <c r="Y485" s="257">
        <f ca="1">(365+BDD[[#This Row],[D.PAG.V.]]+BDD[[#This Row],[D.AG.]])/365</f>
        <v>1.0904109589041096</v>
      </c>
      <c r="Z485" s="243">
        <f ca="1">BDD[[#This Row],[SUE DIA]]*BDD[[#This Row],[FACTOR SDI]]</f>
        <v>346.78703196347033</v>
      </c>
      <c r="AA485" s="243">
        <f>BDD[[#This Row],[SUE DIA]]/9</f>
        <v>35.337037037037042</v>
      </c>
      <c r="AB485" s="251">
        <v>32593</v>
      </c>
      <c r="AC485" s="251" t="s">
        <v>958</v>
      </c>
      <c r="AD485" s="251" t="s">
        <v>790</v>
      </c>
      <c r="AE485" s="260">
        <v>3044191428</v>
      </c>
      <c r="AF485" s="251" t="s">
        <v>1449</v>
      </c>
      <c r="AG485" s="251" t="s">
        <v>776</v>
      </c>
      <c r="AH485" s="251" t="s">
        <v>1555</v>
      </c>
      <c r="AI485" s="243" t="s">
        <v>152</v>
      </c>
      <c r="AJ485" s="258" cm="1">
        <f t="array" aca="1" ref="AJ485" ca="1">DATE(YEAR(FECH.CONS[FECHA DE CONSULTA:]),MONTH(BDD[[#This Row],[FECHA NAC]]),DAY(BDD[[#This Row],[FECHA NAC]]))</f>
        <v>44646</v>
      </c>
      <c r="AK485" s="243"/>
      <c r="AL485" s="261" t="s">
        <v>327</v>
      </c>
      <c r="AM485" s="251" t="s">
        <v>1541</v>
      </c>
      <c r="AN485" s="251" t="s">
        <v>1551</v>
      </c>
      <c r="AO485" s="245">
        <v>64</v>
      </c>
      <c r="AP485" s="251">
        <f ca="1">INT((TODAY()-BDD[[#This Row],[FECHA NAC]])/365)</f>
        <v>33</v>
      </c>
      <c r="AQ485" s="251">
        <v>1</v>
      </c>
      <c r="AR485" s="251">
        <f ca="1">IF(BDD[[#This Row],[ANTIG]]=0,0,1)</f>
        <v>0</v>
      </c>
      <c r="AS485" s="251"/>
      <c r="AT485" s="251"/>
      <c r="AU485" s="251"/>
      <c r="AV485" s="251"/>
      <c r="AW485" s="251"/>
      <c r="AX485" s="251"/>
      <c r="AY485" s="251"/>
      <c r="AZ485" s="251">
        <f t="shared" ca="1" si="33"/>
        <v>933</v>
      </c>
    </row>
    <row r="486" spans="2:52" x14ac:dyDescent="0.25">
      <c r="B486" s="243">
        <v>722</v>
      </c>
      <c r="C486" s="251" t="s">
        <v>229</v>
      </c>
      <c r="D486" s="263">
        <v>7445</v>
      </c>
      <c r="E486" s="252">
        <f>(BDD[[#This Row],[SUE MENS]]/30)</f>
        <v>248.16666666666666</v>
      </c>
      <c r="F486" s="252">
        <f>BDD[[#This Row],[SUE MENS]]/2</f>
        <v>3722.5</v>
      </c>
      <c r="G486" s="320">
        <v>44468</v>
      </c>
      <c r="H486" s="243">
        <f ca="1">INT(_xlfn.DAYS(TODAY(),BDD[[#This Row],[FECHA ING.]])/365)</f>
        <v>0</v>
      </c>
      <c r="I486" s="251" t="str">
        <f>VLOOKUP(J486,TABLAS!$B$3:$G$49,2,FALSE)</f>
        <v>AUDITORÍA</v>
      </c>
      <c r="J486" s="198" t="s">
        <v>736</v>
      </c>
      <c r="K486" s="251" t="s">
        <v>778</v>
      </c>
      <c r="L486" s="251" t="s">
        <v>763</v>
      </c>
      <c r="M486" s="251"/>
      <c r="N486" s="244" t="s">
        <v>1844</v>
      </c>
      <c r="O486" s="251" t="str">
        <f>IFERROR(VLOOKUP(BDD[[#This Row],[SUBDPTO]],TABLAS!$B$4:$D$36,3,0)," ")</f>
        <v>MARCO AURELIO URBINO</v>
      </c>
      <c r="P486" s="258"/>
      <c r="Q486" s="264"/>
      <c r="R486" s="244"/>
      <c r="S486" s="251"/>
      <c r="T486" s="251" t="s">
        <v>811</v>
      </c>
      <c r="U486" s="243">
        <f ca="1">VLOOKUP(BDD[[#This Row],[ANTIG]],DIASXANT18[#All],2)</f>
        <v>6</v>
      </c>
      <c r="V486" s="256">
        <f t="shared" si="36"/>
        <v>0.5</v>
      </c>
      <c r="W486" s="243">
        <f ca="1">BDD[[#This Row],[D.VAC.]]*BDD[[#This Row],[% P.V.]]</f>
        <v>3</v>
      </c>
      <c r="X486" s="243">
        <v>30</v>
      </c>
      <c r="Y486" s="257">
        <f ca="1">(365+BDD[[#This Row],[D.PAG.V.]]+BDD[[#This Row],[D.AG.]])/365</f>
        <v>1.0904109589041096</v>
      </c>
      <c r="Z486" s="243">
        <f ca="1">BDD[[#This Row],[SUE DIA]]*BDD[[#This Row],[FACTOR SDI]]</f>
        <v>270.6036529680365</v>
      </c>
      <c r="AA486" s="243">
        <f>BDD[[#This Row],[SUE DIA]]/9</f>
        <v>27.574074074074073</v>
      </c>
      <c r="AB486" s="251">
        <v>35881</v>
      </c>
      <c r="AC486" s="251" t="s">
        <v>1005</v>
      </c>
      <c r="AD486" s="251" t="s">
        <v>810</v>
      </c>
      <c r="AE486" s="252">
        <v>6889661742</v>
      </c>
      <c r="AF486" s="251" t="s">
        <v>1255</v>
      </c>
      <c r="AG486" s="251" t="s">
        <v>776</v>
      </c>
      <c r="AH486" s="251" t="s">
        <v>730</v>
      </c>
      <c r="AI486" s="243" t="s">
        <v>151</v>
      </c>
      <c r="AJ486" s="258" cm="1">
        <f t="array" aca="1" ref="AJ486" ca="1">DATE(YEAR(FECH.CONS[FECHA DE CONSULTA:]),MONTH(BDD[[#This Row],[FECHA NAC]]),DAY(BDD[[#This Row],[FECHA NAC]]))</f>
        <v>44647</v>
      </c>
      <c r="AK486" s="243">
        <v>10</v>
      </c>
      <c r="AL486" s="261" t="s">
        <v>316</v>
      </c>
      <c r="AM486" s="251" t="s">
        <v>1544</v>
      </c>
      <c r="AN486" s="251" t="s">
        <v>1551</v>
      </c>
      <c r="AO486" s="245">
        <v>55</v>
      </c>
      <c r="AP486" s="251">
        <f ca="1">INT((TODAY()-BDD[[#This Row],[FECHA NAC]])/365)</f>
        <v>24</v>
      </c>
      <c r="AQ486" s="251">
        <v>1</v>
      </c>
      <c r="AR486" s="251">
        <f ca="1">IF(BDD[[#This Row],[ANTIG]]=0,0,1)</f>
        <v>0</v>
      </c>
      <c r="AS486" s="251"/>
      <c r="AT486" s="251"/>
      <c r="AU486" s="251"/>
      <c r="AV486" s="251"/>
      <c r="AW486" s="251"/>
      <c r="AX486" s="251"/>
      <c r="AY486" s="251"/>
      <c r="AZ486" s="251">
        <f t="shared" ca="1" si="33"/>
        <v>155</v>
      </c>
    </row>
    <row r="487" spans="2:52" x14ac:dyDescent="0.25">
      <c r="B487" s="243">
        <v>723</v>
      </c>
      <c r="C487" s="251" t="s">
        <v>209</v>
      </c>
      <c r="D487" s="263">
        <v>7445</v>
      </c>
      <c r="E487" s="252">
        <f>(BDD[[#This Row],[SUE MENS]]/30)</f>
        <v>248.16666666666666</v>
      </c>
      <c r="F487" s="252">
        <f>BDD[[#This Row],[SUE MENS]]/2</f>
        <v>3722.5</v>
      </c>
      <c r="G487" s="320">
        <v>44472</v>
      </c>
      <c r="H487" s="243">
        <f ca="1">INT(_xlfn.DAYS(TODAY(),BDD[[#This Row],[FECHA ING.]])/365)</f>
        <v>0</v>
      </c>
      <c r="I487" s="251" t="str">
        <f>VLOOKUP(J487,TABLAS!$B$3:$G$49,2,FALSE)</f>
        <v>CPTAL HUMANO</v>
      </c>
      <c r="J487" s="198" t="s">
        <v>758</v>
      </c>
      <c r="K487" s="251" t="s">
        <v>778</v>
      </c>
      <c r="L487" s="251" t="s">
        <v>763</v>
      </c>
      <c r="M487" s="251"/>
      <c r="N487" s="244" t="s">
        <v>1977</v>
      </c>
      <c r="O487" s="251" t="str">
        <f>IFERROR(VLOOKUP(BDD[[#This Row],[SUBDPTO]],TABLAS!$B$4:$D$36,3,0)," ")</f>
        <v>EMMA DARIELA GARCÍA LORCA</v>
      </c>
      <c r="P487" s="258"/>
      <c r="Q487" s="264"/>
      <c r="R487" s="244"/>
      <c r="S487" s="251"/>
      <c r="T487" s="251" t="s">
        <v>301</v>
      </c>
      <c r="U487" s="243">
        <f ca="1">VLOOKUP(BDD[[#This Row],[ANTIG]],DIASXANT18[#All],2)</f>
        <v>6</v>
      </c>
      <c r="V487" s="256">
        <f t="shared" si="36"/>
        <v>0.5</v>
      </c>
      <c r="W487" s="243">
        <f ca="1">BDD[[#This Row],[D.VAC.]]*BDD[[#This Row],[% P.V.]]</f>
        <v>3</v>
      </c>
      <c r="X487" s="243">
        <v>30</v>
      </c>
      <c r="Y487" s="257">
        <f ca="1">(365+BDD[[#This Row],[D.PAG.V.]]+BDD[[#This Row],[D.AG.]])/365</f>
        <v>1.0904109589041096</v>
      </c>
      <c r="Z487" s="243">
        <f ca="1">BDD[[#This Row],[SUE DIA]]*BDD[[#This Row],[FACTOR SDI]]</f>
        <v>270.6036529680365</v>
      </c>
      <c r="AA487" s="243">
        <f>BDD[[#This Row],[SUE DIA]]/9</f>
        <v>27.574074074074073</v>
      </c>
      <c r="AB487" s="251">
        <v>29874</v>
      </c>
      <c r="AC487" s="251" t="s">
        <v>983</v>
      </c>
      <c r="AD487" s="251" t="s">
        <v>787</v>
      </c>
      <c r="AE487" s="252">
        <v>8190963530</v>
      </c>
      <c r="AF487" s="251" t="s">
        <v>1225</v>
      </c>
      <c r="AG487" s="251" t="s">
        <v>776</v>
      </c>
      <c r="AH487" s="251" t="s">
        <v>730</v>
      </c>
      <c r="AI487" s="243" t="s">
        <v>151</v>
      </c>
      <c r="AJ487" s="258" cm="1">
        <f t="array" aca="1" ref="AJ487" ca="1">DATE(YEAR(FECH.CONS[FECHA DE CONSULTA:]),MONTH(BDD[[#This Row],[FECHA NAC]]),DAY(BDD[[#This Row],[FECHA NAC]]))</f>
        <v>44849</v>
      </c>
      <c r="AK487" s="243">
        <v>10</v>
      </c>
      <c r="AL487" s="261" t="s">
        <v>311</v>
      </c>
      <c r="AM487" s="251" t="s">
        <v>1535</v>
      </c>
      <c r="AN487" s="251" t="s">
        <v>1551</v>
      </c>
      <c r="AO487" s="245">
        <v>48</v>
      </c>
      <c r="AP487" s="251">
        <f ca="1">INT((TODAY()-BDD[[#This Row],[FECHA NAC]])/365)</f>
        <v>40</v>
      </c>
      <c r="AQ487" s="251">
        <v>2</v>
      </c>
      <c r="AR487" s="251">
        <f ca="1">IF(BDD[[#This Row],[ANTIG]]=0,0,1)</f>
        <v>0</v>
      </c>
      <c r="AS487" s="251"/>
      <c r="AT487" s="251"/>
      <c r="AU487" s="251"/>
      <c r="AV487" s="251"/>
      <c r="AW487" s="251"/>
      <c r="AX487" s="251"/>
      <c r="AY487" s="251"/>
      <c r="AZ487" s="251">
        <f t="shared" ca="1" si="33"/>
        <v>68</v>
      </c>
    </row>
    <row r="488" spans="2:52" x14ac:dyDescent="0.25">
      <c r="B488" s="243">
        <v>724</v>
      </c>
      <c r="C488" s="251" t="s">
        <v>431</v>
      </c>
      <c r="D488" s="252">
        <v>7950</v>
      </c>
      <c r="E488" s="252">
        <f>(BDD[[#This Row],[SUE MENS]]/30)</f>
        <v>265</v>
      </c>
      <c r="F488" s="252">
        <f>BDD[[#This Row],[SUE MENS]]/2</f>
        <v>3975</v>
      </c>
      <c r="G488" s="322">
        <v>44480</v>
      </c>
      <c r="H488" s="243">
        <f ca="1">INT(_xlfn.DAYS(TODAY(),BDD[[#This Row],[FECHA ING.]])/365)</f>
        <v>0</v>
      </c>
      <c r="I488" s="251" t="str">
        <f>VLOOKUP(J488,TABLAS!$B$3:$G$49,2,FALSE)</f>
        <v>DIRECCIÓN</v>
      </c>
      <c r="J488" s="198" t="s">
        <v>759</v>
      </c>
      <c r="K488" s="251" t="s">
        <v>778</v>
      </c>
      <c r="L488" s="251" t="s">
        <v>763</v>
      </c>
      <c r="M488" s="251"/>
      <c r="N488" s="244" t="s">
        <v>2198</v>
      </c>
      <c r="O488" s="251" t="str">
        <f>IFERROR(VLOOKUP(BDD[[#This Row],[SUBDPTO]],TABLAS!$B$4:$D$36,3,0)," ")</f>
        <v>MARIANA RODRÍGUEZ GUTIERREZ</v>
      </c>
      <c r="P488" s="258">
        <v>44229</v>
      </c>
      <c r="Q488" s="264" t="e">
        <f>#REF!*0.8</f>
        <v>#REF!</v>
      </c>
      <c r="R488" s="255" t="s">
        <v>734</v>
      </c>
      <c r="S488" s="251"/>
      <c r="T488" s="251" t="s">
        <v>301</v>
      </c>
      <c r="U488" s="243">
        <f ca="1">VLOOKUP(BDD[[#This Row],[ANTIG]],DIASXANT18[#All],2)</f>
        <v>6</v>
      </c>
      <c r="V488" s="256">
        <f t="shared" si="36"/>
        <v>0.5</v>
      </c>
      <c r="W488" s="243">
        <f ca="1">BDD[[#This Row],[D.VAC.]]*BDD[[#This Row],[% P.V.]]</f>
        <v>3</v>
      </c>
      <c r="X488" s="243">
        <v>30</v>
      </c>
      <c r="Y488" s="257">
        <f ca="1">(365+BDD[[#This Row],[D.PAG.V.]]+BDD[[#This Row],[D.AG.]])/365</f>
        <v>1.0904109589041096</v>
      </c>
      <c r="Z488" s="243">
        <f ca="1">BDD[[#This Row],[SUE DIA]]*BDD[[#This Row],[FACTOR SDI]]</f>
        <v>288.95890410958901</v>
      </c>
      <c r="AA488" s="243">
        <f>BDD[[#This Row],[SUE DIA]]/9</f>
        <v>29.444444444444443</v>
      </c>
      <c r="AB488" s="251">
        <v>32120</v>
      </c>
      <c r="AC488" s="251" t="s">
        <v>924</v>
      </c>
      <c r="AD488" s="251" t="s">
        <v>791</v>
      </c>
      <c r="AE488" s="252">
        <v>6339873216</v>
      </c>
      <c r="AF488" s="251" t="s">
        <v>1294</v>
      </c>
      <c r="AG488" s="251" t="s">
        <v>776</v>
      </c>
      <c r="AH488" s="251" t="s">
        <v>730</v>
      </c>
      <c r="AI488" s="243" t="s">
        <v>151</v>
      </c>
      <c r="AJ488" s="258" cm="1">
        <f t="array" aca="1" ref="AJ488" ca="1">DATE(YEAR(FECH.CONS[FECHA DE CONSULTA:]),MONTH(BDD[[#This Row],[FECHA NAC]]),DAY(BDD[[#This Row],[FECHA NAC]]))</f>
        <v>44904</v>
      </c>
      <c r="AK488" s="243">
        <v>10</v>
      </c>
      <c r="AL488" s="251" t="s">
        <v>322</v>
      </c>
      <c r="AM488" s="251" t="s">
        <v>1537</v>
      </c>
      <c r="AN488" s="251" t="s">
        <v>1551</v>
      </c>
      <c r="AO488" s="245">
        <v>65</v>
      </c>
      <c r="AP488" s="251">
        <f ca="1">INT((TODAY()-BDD[[#This Row],[FECHA NAC]])/365)</f>
        <v>34</v>
      </c>
      <c r="AQ488" s="251">
        <v>1</v>
      </c>
      <c r="AR488" s="251">
        <f ca="1">IF(BDD[[#This Row],[ANTIG]]=0,0,1)</f>
        <v>0</v>
      </c>
      <c r="AS488" s="251"/>
      <c r="AT488" s="251"/>
      <c r="AU488" s="251"/>
      <c r="AV488" s="251"/>
      <c r="AW488" s="251"/>
      <c r="AX488" s="251"/>
      <c r="AY488" s="251"/>
      <c r="AZ488" s="251">
        <f t="shared" ca="1" si="33"/>
        <v>714</v>
      </c>
    </row>
    <row r="489" spans="2:52" x14ac:dyDescent="0.25">
      <c r="B489" s="243">
        <v>725</v>
      </c>
      <c r="C489" s="251" t="s">
        <v>218</v>
      </c>
      <c r="D489" s="252">
        <v>9450</v>
      </c>
      <c r="E489" s="252">
        <f>(BDD[[#This Row],[SUE MENS]]/30)</f>
        <v>315</v>
      </c>
      <c r="F489" s="252">
        <f>BDD[[#This Row],[SUE MENS]]/2</f>
        <v>4725</v>
      </c>
      <c r="G489" s="321">
        <v>44481</v>
      </c>
      <c r="H489" s="243">
        <f ca="1">INT(_xlfn.DAYS(TODAY(),BDD[[#This Row],[FECHA ING.]])/365)</f>
        <v>0</v>
      </c>
      <c r="I489" s="251" t="str">
        <f>VLOOKUP(J489,TABLAS!$B$3:$G$49,2,FALSE)</f>
        <v>CONTRATOS</v>
      </c>
      <c r="J489" s="198" t="s">
        <v>738</v>
      </c>
      <c r="K489" s="251" t="s">
        <v>778</v>
      </c>
      <c r="L489" s="251" t="s">
        <v>763</v>
      </c>
      <c r="M489" s="251"/>
      <c r="N489" s="244" t="s">
        <v>2132</v>
      </c>
      <c r="O489" s="251" t="str">
        <f>IFERROR(VLOOKUP(BDD[[#This Row],[SUBDPTO]],TABLAS!$B$4:$D$36,3,0)," ")</f>
        <v>IDALIA GARCÍA ESCRIVÁ</v>
      </c>
      <c r="P489" s="258">
        <v>43809</v>
      </c>
      <c r="Q489" s="254">
        <v>7560</v>
      </c>
      <c r="R489" s="255" t="s">
        <v>745</v>
      </c>
      <c r="S489" s="251"/>
      <c r="T489" s="251" t="s">
        <v>301</v>
      </c>
      <c r="U489" s="243">
        <f ca="1">VLOOKUP(BDD[[#This Row],[ANTIG]],DIASXANT18[#All],2)</f>
        <v>6</v>
      </c>
      <c r="V489" s="256">
        <f t="shared" si="36"/>
        <v>0.5</v>
      </c>
      <c r="W489" s="243">
        <f ca="1">BDD[[#This Row],[D.VAC.]]*BDD[[#This Row],[% P.V.]]</f>
        <v>3</v>
      </c>
      <c r="X489" s="243">
        <v>30</v>
      </c>
      <c r="Y489" s="257">
        <f ca="1">(365+BDD[[#This Row],[D.PAG.V.]]+BDD[[#This Row],[D.AG.]])/365</f>
        <v>1.0904109589041096</v>
      </c>
      <c r="Z489" s="243">
        <f ca="1">BDD[[#This Row],[SUE DIA]]*BDD[[#This Row],[FACTOR SDI]]</f>
        <v>343.47945205479454</v>
      </c>
      <c r="AA489" s="243">
        <f>BDD[[#This Row],[SUE DIA]]/9</f>
        <v>35</v>
      </c>
      <c r="AB489" s="251">
        <v>35921</v>
      </c>
      <c r="AC489" s="251" t="s">
        <v>994</v>
      </c>
      <c r="AD489" s="251" t="s">
        <v>792</v>
      </c>
      <c r="AE489" s="252">
        <v>8400094103</v>
      </c>
      <c r="AF489" s="251" t="s">
        <v>1238</v>
      </c>
      <c r="AG489" s="251" t="s">
        <v>776</v>
      </c>
      <c r="AH489" s="251" t="s">
        <v>1555</v>
      </c>
      <c r="AI489" s="243" t="s">
        <v>151</v>
      </c>
      <c r="AJ489" s="258" cm="1">
        <f t="array" aca="1" ref="AJ489" ca="1">DATE(YEAR(FECH.CONS[FECHA DE CONSULTA:]),MONTH(BDD[[#This Row],[FECHA NAC]]),DAY(BDD[[#This Row],[FECHA NAC]]))</f>
        <v>44687</v>
      </c>
      <c r="AK489" s="243"/>
      <c r="AL489" s="251" t="s">
        <v>311</v>
      </c>
      <c r="AM489" s="251" t="s">
        <v>1544</v>
      </c>
      <c r="AN489" s="251" t="s">
        <v>1551</v>
      </c>
      <c r="AO489" s="245">
        <v>73</v>
      </c>
      <c r="AP489" s="251">
        <f ca="1">INT((TODAY()-BDD[[#This Row],[FECHA NAC]])/365)</f>
        <v>24</v>
      </c>
      <c r="AQ489" s="251">
        <v>0</v>
      </c>
      <c r="AR489" s="251">
        <f ca="1">IF(BDD[[#This Row],[ANTIG]]=0,0,1)</f>
        <v>0</v>
      </c>
      <c r="AS489" s="251"/>
      <c r="AT489" s="251"/>
      <c r="AU489" s="251"/>
      <c r="AV489" s="251"/>
      <c r="AW489" s="251"/>
      <c r="AX489" s="251"/>
      <c r="AY489" s="251"/>
      <c r="AZ489" s="251">
        <f t="shared" ca="1" si="33"/>
        <v>810</v>
      </c>
    </row>
    <row r="490" spans="2:52" x14ac:dyDescent="0.25">
      <c r="B490" s="243">
        <v>726</v>
      </c>
      <c r="C490" s="251" t="s">
        <v>1640</v>
      </c>
      <c r="D490" s="252">
        <v>9541</v>
      </c>
      <c r="E490" s="252">
        <f>(BDD[[#This Row],[SUE MENS]]/30)</f>
        <v>318.03333333333336</v>
      </c>
      <c r="F490" s="252">
        <f>BDD[[#This Row],[SUE MENS]]/2</f>
        <v>4770.5</v>
      </c>
      <c r="G490" s="322">
        <v>44481</v>
      </c>
      <c r="H490" s="243">
        <f ca="1">INT(_xlfn.DAYS(TODAY(),BDD[[#This Row],[FECHA ING.]])/365)</f>
        <v>0</v>
      </c>
      <c r="I490" s="251" t="str">
        <f>VLOOKUP(J490,TABLAS!$B$3:$G$49,2,FALSE)</f>
        <v>CONTRATOS</v>
      </c>
      <c r="J490" s="198" t="s">
        <v>739</v>
      </c>
      <c r="K490" s="251" t="s">
        <v>778</v>
      </c>
      <c r="L490" s="251" t="s">
        <v>763</v>
      </c>
      <c r="M490" s="251"/>
      <c r="N490" s="244" t="s">
        <v>1876</v>
      </c>
      <c r="O490" s="251" t="str">
        <f>IFERROR(VLOOKUP(BDD[[#This Row],[SUBDPTO]],TABLAS!$B$4:$D$36,3,0)," ")</f>
        <v>IDALIA GARCÍA ESCRIVÁ</v>
      </c>
      <c r="P490" s="258">
        <f>BDD[[#This Row],[FECHA ING.]]+1000</f>
        <v>45481</v>
      </c>
      <c r="Q490" s="254">
        <v>5211.5</v>
      </c>
      <c r="R490" s="251" t="s">
        <v>736</v>
      </c>
      <c r="S490" s="251"/>
      <c r="T490" s="251" t="s">
        <v>811</v>
      </c>
      <c r="U490" s="243">
        <f ca="1">VLOOKUP(BDD[[#This Row],[ANTIG]],DIASXANT18[#All],2)</f>
        <v>6</v>
      </c>
      <c r="V490" s="256">
        <f t="shared" si="36"/>
        <v>0.5</v>
      </c>
      <c r="W490" s="243">
        <f ca="1">BDD[[#This Row],[D.VAC.]]*BDD[[#This Row],[% P.V.]]</f>
        <v>3</v>
      </c>
      <c r="X490" s="243">
        <v>30</v>
      </c>
      <c r="Y490" s="257">
        <f ca="1">(365+BDD[[#This Row],[D.PAG.V.]]+BDD[[#This Row],[D.AG.]])/365</f>
        <v>1.0904109589041096</v>
      </c>
      <c r="Z490" s="243">
        <f ca="1">BDD[[#This Row],[SUE DIA]]*BDD[[#This Row],[FACTOR SDI]]</f>
        <v>346.78703196347033</v>
      </c>
      <c r="AA490" s="243">
        <f>BDD[[#This Row],[SUE DIA]]/9</f>
        <v>35.337037037037042</v>
      </c>
      <c r="AB490" s="251">
        <v>30217</v>
      </c>
      <c r="AC490" s="251" t="s">
        <v>987</v>
      </c>
      <c r="AD490" s="251" t="s">
        <v>787</v>
      </c>
      <c r="AE490" s="252">
        <v>8211737856</v>
      </c>
      <c r="AF490" s="251" t="s">
        <v>1229</v>
      </c>
      <c r="AG490" s="251" t="s">
        <v>776</v>
      </c>
      <c r="AH490" s="251" t="s">
        <v>730</v>
      </c>
      <c r="AI490" s="243" t="s">
        <v>151</v>
      </c>
      <c r="AJ490" s="258" cm="1">
        <f t="array" aca="1" ref="AJ490" ca="1">DATE(YEAR(FECH.CONS[FECHA DE CONSULTA:]),MONTH(BDD[[#This Row],[FECHA NAC]]),DAY(BDD[[#This Row],[FECHA NAC]]))</f>
        <v>44827</v>
      </c>
      <c r="AK490" s="243">
        <v>6</v>
      </c>
      <c r="AL490" s="261" t="s">
        <v>311</v>
      </c>
      <c r="AM490" s="251" t="s">
        <v>1546</v>
      </c>
      <c r="AN490" s="251" t="s">
        <v>1551</v>
      </c>
      <c r="AO490" s="245">
        <v>37</v>
      </c>
      <c r="AP490" s="251">
        <f ca="1">INT((TODAY()-BDD[[#This Row],[FECHA NAC]])/365)</f>
        <v>39</v>
      </c>
      <c r="AQ490" s="251">
        <v>3</v>
      </c>
      <c r="AR490" s="251">
        <f ca="1">IF(BDD[[#This Row],[ANTIG]]=0,0,1)</f>
        <v>0</v>
      </c>
      <c r="AS490" s="251"/>
      <c r="AT490" s="251"/>
      <c r="AU490" s="251"/>
      <c r="AV490" s="251"/>
      <c r="AW490" s="251"/>
      <c r="AX490" s="251"/>
      <c r="AY490" s="251"/>
      <c r="AZ490" s="251">
        <f t="shared" ca="1" si="33"/>
        <v>846</v>
      </c>
    </row>
    <row r="491" spans="2:52" x14ac:dyDescent="0.25">
      <c r="B491" s="243">
        <v>728</v>
      </c>
      <c r="C491" s="251" t="s">
        <v>170</v>
      </c>
      <c r="D491" s="252">
        <v>9541</v>
      </c>
      <c r="E491" s="252">
        <f>(BDD[[#This Row],[SUE MENS]]/30)</f>
        <v>318.03333333333336</v>
      </c>
      <c r="F491" s="252">
        <f>BDD[[#This Row],[SUE MENS]]/2</f>
        <v>4770.5</v>
      </c>
      <c r="G491" s="322">
        <v>44481</v>
      </c>
      <c r="H491" s="243">
        <f ca="1">INT(_xlfn.DAYS(TODAY(),BDD[[#This Row],[FECHA ING.]])/365)</f>
        <v>0</v>
      </c>
      <c r="I491" s="251" t="str">
        <f>VLOOKUP(J491,TABLAS!$B$3:$G$49,2,FALSE)</f>
        <v>CONTABILIDAD</v>
      </c>
      <c r="J491" s="198" t="s">
        <v>737</v>
      </c>
      <c r="K491" s="251" t="s">
        <v>778</v>
      </c>
      <c r="L491" s="251" t="s">
        <v>763</v>
      </c>
      <c r="M491" s="251"/>
      <c r="N491" s="244" t="s">
        <v>2102</v>
      </c>
      <c r="O491" s="251" t="str">
        <f>IFERROR(VLOOKUP(BDD[[#This Row],[SUBDPTO]],TABLAS!$B$4:$D$36,3,0)," ")</f>
        <v>IRIE DALÍ ANTARES CORTÉS</v>
      </c>
      <c r="P491" s="258">
        <f>BDD[[#This Row],[FECHA ING.]]+900</f>
        <v>45381</v>
      </c>
      <c r="Q491" s="254">
        <v>5211.5</v>
      </c>
      <c r="R491" s="251" t="s">
        <v>853</v>
      </c>
      <c r="S491" s="251"/>
      <c r="T491" s="251" t="s">
        <v>301</v>
      </c>
      <c r="U491" s="243">
        <f ca="1">VLOOKUP(BDD[[#This Row],[ANTIG]],DIASXANT18[#All],2)</f>
        <v>6</v>
      </c>
      <c r="V491" s="256">
        <f t="shared" si="36"/>
        <v>0.5</v>
      </c>
      <c r="W491" s="243">
        <f ca="1">BDD[[#This Row],[D.VAC.]]*BDD[[#This Row],[% P.V.]]</f>
        <v>3</v>
      </c>
      <c r="X491" s="243">
        <v>30</v>
      </c>
      <c r="Y491" s="257">
        <f ca="1">(365+BDD[[#This Row],[D.PAG.V.]]+BDD[[#This Row],[D.AG.]])/365</f>
        <v>1.0904109589041096</v>
      </c>
      <c r="Z491" s="243">
        <f ca="1">BDD[[#This Row],[SUE DIA]]*BDD[[#This Row],[FACTOR SDI]]</f>
        <v>346.78703196347033</v>
      </c>
      <c r="AA491" s="243">
        <f>BDD[[#This Row],[SUE DIA]]/9</f>
        <v>35.337037037037042</v>
      </c>
      <c r="AB491" s="251">
        <v>32242</v>
      </c>
      <c r="AC491" s="251" t="s">
        <v>902</v>
      </c>
      <c r="AD491" s="251" t="s">
        <v>809</v>
      </c>
      <c r="AE491" s="252">
        <v>8393283932</v>
      </c>
      <c r="AF491" s="251" t="s">
        <v>1177</v>
      </c>
      <c r="AG491" s="251" t="s">
        <v>776</v>
      </c>
      <c r="AH491" s="251" t="s">
        <v>730</v>
      </c>
      <c r="AI491" s="243" t="s">
        <v>151</v>
      </c>
      <c r="AJ491" s="258" cm="1">
        <f t="array" aca="1" ref="AJ491" ca="1">DATE(YEAR(FECH.CONS[FECHA DE CONSULTA:]),MONTH(BDD[[#This Row],[FECHA NAC]]),DAY(BDD[[#This Row],[FECHA NAC]]))</f>
        <v>44660</v>
      </c>
      <c r="AK491" s="243">
        <v>10</v>
      </c>
      <c r="AL491" s="251" t="s">
        <v>311</v>
      </c>
      <c r="AM491" s="251" t="s">
        <v>1541</v>
      </c>
      <c r="AN491" s="251" t="s">
        <v>1551</v>
      </c>
      <c r="AO491" s="245">
        <v>85</v>
      </c>
      <c r="AP491" s="251">
        <f ca="1">INT((TODAY()-BDD[[#This Row],[FECHA NAC]])/365)</f>
        <v>34</v>
      </c>
      <c r="AQ491" s="251">
        <v>0</v>
      </c>
      <c r="AR491" s="251">
        <f ca="1">IF(BDD[[#This Row],[ANTIG]]=0,0,1)</f>
        <v>0</v>
      </c>
      <c r="AS491" s="251"/>
      <c r="AT491" s="251"/>
      <c r="AU491" s="251"/>
      <c r="AV491" s="251"/>
      <c r="AW491" s="251"/>
      <c r="AX491" s="251"/>
      <c r="AY491" s="251"/>
      <c r="AZ491" s="251">
        <f t="shared" ca="1" si="33"/>
        <v>593</v>
      </c>
    </row>
    <row r="492" spans="2:52" x14ac:dyDescent="0.25">
      <c r="B492" s="243">
        <v>730</v>
      </c>
      <c r="C492" s="262" t="s">
        <v>363</v>
      </c>
      <c r="D492" s="252">
        <v>9450</v>
      </c>
      <c r="E492" s="252">
        <f>(BDD[[#This Row],[SUE MENS]]/30)</f>
        <v>315</v>
      </c>
      <c r="F492" s="252">
        <f>BDD[[#This Row],[SUE MENS]]/2</f>
        <v>4725</v>
      </c>
      <c r="G492" s="322">
        <v>44484</v>
      </c>
      <c r="H492" s="243">
        <f ca="1">INT(_xlfn.DAYS(TODAY(),BDD[[#This Row],[FECHA ING.]])/365)</f>
        <v>0</v>
      </c>
      <c r="I492" s="251" t="str">
        <f>VLOOKUP(J492,TABLAS!$B$3:$G$49,2,FALSE)</f>
        <v>DIRECCIÓN</v>
      </c>
      <c r="J492" s="198" t="s">
        <v>746</v>
      </c>
      <c r="K492" s="251" t="s">
        <v>778</v>
      </c>
      <c r="L492" s="251" t="s">
        <v>763</v>
      </c>
      <c r="M492" s="251"/>
      <c r="N492" s="244" t="s">
        <v>1801</v>
      </c>
      <c r="O492" s="251" t="str">
        <f>IFERROR(VLOOKUP(BDD[[#This Row],[SUBDPTO]],TABLAS!$B$4:$D$36,3,0)," ")</f>
        <v>MARIANA RODRÍGUEZ GUTIERREZ</v>
      </c>
      <c r="P492" s="258">
        <v>43855</v>
      </c>
      <c r="Q492" s="254">
        <v>7360</v>
      </c>
      <c r="R492" s="255" t="s">
        <v>743</v>
      </c>
      <c r="S492" s="251"/>
      <c r="T492" s="251" t="s">
        <v>811</v>
      </c>
      <c r="U492" s="243">
        <f ca="1">VLOOKUP(BDD[[#This Row],[ANTIG]],DIASXANT18[#All],2)</f>
        <v>6</v>
      </c>
      <c r="V492" s="256">
        <f t="shared" si="36"/>
        <v>0.5</v>
      </c>
      <c r="W492" s="243">
        <f ca="1">BDD[[#This Row],[D.VAC.]]*BDD[[#This Row],[% P.V.]]</f>
        <v>3</v>
      </c>
      <c r="X492" s="243">
        <v>30</v>
      </c>
      <c r="Y492" s="257">
        <f ca="1">(365+BDD[[#This Row],[D.PAG.V.]]+BDD[[#This Row],[D.AG.]])/365</f>
        <v>1.0904109589041096</v>
      </c>
      <c r="Z492" s="243">
        <f ca="1">BDD[[#This Row],[SUE DIA]]*BDD[[#This Row],[FACTOR SDI]]</f>
        <v>343.47945205479454</v>
      </c>
      <c r="AA492" s="243">
        <f>BDD[[#This Row],[SUE DIA]]/9</f>
        <v>35</v>
      </c>
      <c r="AB492" s="262">
        <v>34033</v>
      </c>
      <c r="AC492" s="251" t="s">
        <v>899</v>
      </c>
      <c r="AD492" s="251" t="s">
        <v>791</v>
      </c>
      <c r="AE492" s="252">
        <v>8461409461</v>
      </c>
      <c r="AF492" s="251" t="s">
        <v>1341</v>
      </c>
      <c r="AG492" s="251" t="s">
        <v>776</v>
      </c>
      <c r="AH492" s="251" t="s">
        <v>726</v>
      </c>
      <c r="AI492" s="243" t="s">
        <v>151</v>
      </c>
      <c r="AJ492" s="258" cm="1">
        <f t="array" aca="1" ref="AJ492" ca="1">DATE(YEAR(FECH.CONS[FECHA DE CONSULTA:]),MONTH(BDD[[#This Row],[FECHA NAC]]),DAY(BDD[[#This Row],[FECHA NAC]]))</f>
        <v>44625</v>
      </c>
      <c r="AK492" s="243">
        <v>9</v>
      </c>
      <c r="AL492" s="261" t="s">
        <v>311</v>
      </c>
      <c r="AM492" s="251" t="s">
        <v>1535</v>
      </c>
      <c r="AN492" s="251" t="s">
        <v>1551</v>
      </c>
      <c r="AO492" s="245">
        <v>54</v>
      </c>
      <c r="AP492" s="251">
        <f ca="1">INT((TODAY()-BDD[[#This Row],[FECHA NAC]])/365)</f>
        <v>29</v>
      </c>
      <c r="AQ492" s="251">
        <v>1</v>
      </c>
      <c r="AR492" s="251">
        <f ca="1">IF(BDD[[#This Row],[ANTIG]]=0,0,1)</f>
        <v>0</v>
      </c>
      <c r="AS492" s="251"/>
      <c r="AT492" s="251"/>
      <c r="AU492" s="251"/>
      <c r="AV492" s="251"/>
      <c r="AW492" s="251"/>
      <c r="AX492" s="251"/>
      <c r="AY492" s="251"/>
      <c r="AZ492" s="251">
        <f t="shared" ca="1" si="33"/>
        <v>575</v>
      </c>
    </row>
    <row r="493" spans="2:52" x14ac:dyDescent="0.25">
      <c r="B493" s="243">
        <v>731</v>
      </c>
      <c r="C493" s="259" t="s">
        <v>642</v>
      </c>
      <c r="D493" s="252">
        <v>8825</v>
      </c>
      <c r="E493" s="252">
        <f>(BDD[[#This Row],[SUE MENS]]/30)</f>
        <v>294.16666666666669</v>
      </c>
      <c r="F493" s="252">
        <f>BDD[[#This Row],[SUE MENS]]/2</f>
        <v>4412.5</v>
      </c>
      <c r="G493" s="322">
        <v>44486</v>
      </c>
      <c r="H493" s="243">
        <f ca="1">INT(_xlfn.DAYS(TODAY(),BDD[[#This Row],[FECHA ING.]])/365)</f>
        <v>0</v>
      </c>
      <c r="I493" s="251" t="str">
        <f>VLOOKUP(J493,TABLAS!$B$3:$G$49,2,FALSE)</f>
        <v>DIV INGENRIA</v>
      </c>
      <c r="J493" s="198" t="s">
        <v>743</v>
      </c>
      <c r="K493" s="251" t="s">
        <v>778</v>
      </c>
      <c r="L493" s="251" t="s">
        <v>763</v>
      </c>
      <c r="M493" s="251"/>
      <c r="N493" s="253" t="s">
        <v>2194</v>
      </c>
      <c r="O493" s="251" t="str">
        <f>IFERROR(VLOOKUP(BDD[[#This Row],[SUBDPTO]],TABLAS!$B$4:$D$36,3,0)," ")</f>
        <v>DIEGO HERRERA GIRÓN</v>
      </c>
      <c r="P493" s="258">
        <v>43440</v>
      </c>
      <c r="Q493" s="254">
        <v>6158.4000000000005</v>
      </c>
      <c r="R493" s="255"/>
      <c r="S493" s="251"/>
      <c r="T493" s="251" t="s">
        <v>811</v>
      </c>
      <c r="U493" s="243">
        <f ca="1">VLOOKUP(BDD[[#This Row],[ANTIG]],DIASXANT18[#All],2)</f>
        <v>6</v>
      </c>
      <c r="V493" s="256">
        <f t="shared" si="36"/>
        <v>0.5</v>
      </c>
      <c r="W493" s="243">
        <f ca="1">BDD[[#This Row],[D.VAC.]]*BDD[[#This Row],[% P.V.]]</f>
        <v>3</v>
      </c>
      <c r="X493" s="243">
        <v>30</v>
      </c>
      <c r="Y493" s="257">
        <f ca="1">(365+BDD[[#This Row],[D.PAG.V.]]+BDD[[#This Row],[D.AG.]])/365</f>
        <v>1.0904109589041096</v>
      </c>
      <c r="Z493" s="243">
        <f ca="1">BDD[[#This Row],[SUE DIA]]*BDD[[#This Row],[FACTOR SDI]]</f>
        <v>320.76255707762556</v>
      </c>
      <c r="AA493" s="243">
        <f>BDD[[#This Row],[SUE DIA]]/9</f>
        <v>32.68518518518519</v>
      </c>
      <c r="AB493" s="251">
        <v>27176</v>
      </c>
      <c r="AC493" s="251" t="s">
        <v>1052</v>
      </c>
      <c r="AD493" s="251" t="s">
        <v>787</v>
      </c>
      <c r="AE493" s="260">
        <v>8199930291</v>
      </c>
      <c r="AF493" s="251" t="s">
        <v>1482</v>
      </c>
      <c r="AG493" s="251" t="s">
        <v>776</v>
      </c>
      <c r="AH493" s="251" t="s">
        <v>1555</v>
      </c>
      <c r="AI493" s="243" t="s">
        <v>151</v>
      </c>
      <c r="AJ493" s="258" cm="1">
        <f t="array" aca="1" ref="AJ493" ca="1">DATE(YEAR(FECH.CONS[FECHA DE CONSULTA:]),MONTH(BDD[[#This Row],[FECHA NAC]]),DAY(BDD[[#This Row],[FECHA NAC]]))</f>
        <v>44708</v>
      </c>
      <c r="AK493" s="243"/>
      <c r="AL493" s="261" t="s">
        <v>311</v>
      </c>
      <c r="AM493" s="251" t="s">
        <v>1538</v>
      </c>
      <c r="AN493" s="251" t="s">
        <v>1551</v>
      </c>
      <c r="AO493" s="245">
        <v>56</v>
      </c>
      <c r="AP493" s="251">
        <f ca="1">INT((TODAY()-BDD[[#This Row],[FECHA NAC]])/365)</f>
        <v>48</v>
      </c>
      <c r="AQ493" s="251">
        <v>0</v>
      </c>
      <c r="AR493" s="251">
        <f ca="1">IF(BDD[[#This Row],[ANTIG]]=0,0,1)</f>
        <v>0</v>
      </c>
      <c r="AS493" s="251"/>
      <c r="AT493" s="251"/>
      <c r="AU493" s="251"/>
      <c r="AV493" s="251"/>
      <c r="AW493" s="251"/>
      <c r="AX493" s="251"/>
      <c r="AY493" s="251"/>
      <c r="AZ493" s="251">
        <f t="shared" ca="1" si="33"/>
        <v>658</v>
      </c>
    </row>
    <row r="494" spans="2:52" x14ac:dyDescent="0.25">
      <c r="B494" s="243">
        <v>733</v>
      </c>
      <c r="C494" s="259" t="s">
        <v>1646</v>
      </c>
      <c r="D494" s="263">
        <v>7445</v>
      </c>
      <c r="E494" s="252">
        <f>(BDD[[#This Row],[SUE MENS]]/30)</f>
        <v>248.16666666666666</v>
      </c>
      <c r="F494" s="252">
        <f>BDD[[#This Row],[SUE MENS]]/2</f>
        <v>3722.5</v>
      </c>
      <c r="G494" s="322">
        <v>44491</v>
      </c>
      <c r="H494" s="243">
        <f ca="1">INT(_xlfn.DAYS(TODAY(),BDD[[#This Row],[FECHA ING.]])/365)</f>
        <v>0</v>
      </c>
      <c r="I494" s="251" t="str">
        <f>VLOOKUP(J494,TABLAS!$B$3:$G$49,2,FALSE)</f>
        <v>CONTRATOS</v>
      </c>
      <c r="J494" s="198" t="s">
        <v>738</v>
      </c>
      <c r="K494" s="251" t="s">
        <v>778</v>
      </c>
      <c r="L494" s="251" t="s">
        <v>763</v>
      </c>
      <c r="M494" s="251"/>
      <c r="N494" s="277" t="s">
        <v>2090</v>
      </c>
      <c r="O494" s="251" t="str">
        <f>IFERROR(VLOOKUP(BDD[[#This Row],[SUBDPTO]],TABLAS!$B$4:$D$36,3,0)," ")</f>
        <v>IDALIA GARCÍA ESCRIVÁ</v>
      </c>
      <c r="P494" s="258"/>
      <c r="Q494" s="264"/>
      <c r="R494" s="244"/>
      <c r="S494" s="251"/>
      <c r="T494" s="251" t="s">
        <v>811</v>
      </c>
      <c r="U494" s="243">
        <f ca="1">VLOOKUP(BDD[[#This Row],[ANTIG]],DIASXANT18[#All],2)</f>
        <v>6</v>
      </c>
      <c r="V494" s="256">
        <f t="shared" si="36"/>
        <v>0.5</v>
      </c>
      <c r="W494" s="243">
        <f ca="1">BDD[[#This Row],[D.VAC.]]*BDD[[#This Row],[% P.V.]]</f>
        <v>3</v>
      </c>
      <c r="X494" s="243">
        <v>30</v>
      </c>
      <c r="Y494" s="257">
        <f ca="1">(365+BDD[[#This Row],[D.PAG.V.]]+BDD[[#This Row],[D.AG.]])/365</f>
        <v>1.0904109589041096</v>
      </c>
      <c r="Z494" s="243">
        <f ca="1">BDD[[#This Row],[SUE DIA]]*BDD[[#This Row],[FACTOR SDI]]</f>
        <v>270.6036529680365</v>
      </c>
      <c r="AA494" s="243">
        <f>BDD[[#This Row],[SUE DIA]]/9</f>
        <v>27.574074074074073</v>
      </c>
      <c r="AB494" s="251">
        <v>29783</v>
      </c>
      <c r="AC494" s="251" t="s">
        <v>1009</v>
      </c>
      <c r="AD494" s="251" t="s">
        <v>792</v>
      </c>
      <c r="AE494" s="260">
        <v>4666548745</v>
      </c>
      <c r="AF494" s="251" t="s">
        <v>1369</v>
      </c>
      <c r="AG494" s="251" t="s">
        <v>774</v>
      </c>
      <c r="AH494" s="251" t="s">
        <v>730</v>
      </c>
      <c r="AI494" s="243" t="s">
        <v>151</v>
      </c>
      <c r="AJ494" s="258" cm="1">
        <f t="array" aca="1" ref="AJ494" ca="1">DATE(YEAR(FECH.CONS[FECHA DE CONSULTA:]),MONTH(BDD[[#This Row],[FECHA NAC]]),DAY(BDD[[#This Row],[FECHA NAC]]))</f>
        <v>44758</v>
      </c>
      <c r="AK494" s="243">
        <v>6</v>
      </c>
      <c r="AL494" s="261" t="s">
        <v>311</v>
      </c>
      <c r="AM494" s="251" t="s">
        <v>1534</v>
      </c>
      <c r="AN494" s="251" t="s">
        <v>1551</v>
      </c>
      <c r="AO494" s="245">
        <v>57</v>
      </c>
      <c r="AP494" s="251">
        <f ca="1">INT((TODAY()-BDD[[#This Row],[FECHA NAC]])/365)</f>
        <v>41</v>
      </c>
      <c r="AQ494" s="251">
        <v>2</v>
      </c>
      <c r="AR494" s="251">
        <f ca="1">IF(BDD[[#This Row],[ANTIG]]=0,0,1)</f>
        <v>0</v>
      </c>
      <c r="AS494" s="251"/>
      <c r="AT494" s="251"/>
      <c r="AU494" s="251"/>
      <c r="AV494" s="251"/>
      <c r="AW494" s="251"/>
      <c r="AX494" s="251"/>
      <c r="AY494" s="251"/>
      <c r="AZ494" s="251">
        <f t="shared" ca="1" si="33"/>
        <v>282</v>
      </c>
    </row>
    <row r="495" spans="2:52" x14ac:dyDescent="0.25">
      <c r="B495" s="243">
        <v>734</v>
      </c>
      <c r="C495" s="259" t="s">
        <v>630</v>
      </c>
      <c r="D495" s="252">
        <v>9541</v>
      </c>
      <c r="E495" s="252">
        <f>(BDD[[#This Row],[SUE MENS]]/30)</f>
        <v>318.03333333333336</v>
      </c>
      <c r="F495" s="252">
        <f>BDD[[#This Row],[SUE MENS]]/2</f>
        <v>4770.5</v>
      </c>
      <c r="G495" s="322">
        <v>44522</v>
      </c>
      <c r="H495" s="243">
        <f ca="1">INT(_xlfn.DAYS(TODAY(),BDD[[#This Row],[FECHA ING.]])/365)</f>
        <v>0</v>
      </c>
      <c r="I495" s="251" t="str">
        <f>VLOOKUP(J495,TABLAS!$B$3:$G$49,2,FALSE)</f>
        <v>DIV INGENRIA</v>
      </c>
      <c r="J495" s="198" t="s">
        <v>743</v>
      </c>
      <c r="K495" s="251" t="s">
        <v>778</v>
      </c>
      <c r="L495" s="251" t="s">
        <v>763</v>
      </c>
      <c r="M495" s="251"/>
      <c r="N495" s="244" t="s">
        <v>2177</v>
      </c>
      <c r="O495" s="251" t="str">
        <f>IFERROR(VLOOKUP(BDD[[#This Row],[SUBDPTO]],TABLAS!$B$4:$D$36,3,0)," ")</f>
        <v>DIEGO HERRERA GIRÓN</v>
      </c>
      <c r="P495" s="258">
        <v>42434</v>
      </c>
      <c r="Q495" s="254">
        <v>5422.4000000000005</v>
      </c>
      <c r="R495" s="255" t="s">
        <v>735</v>
      </c>
      <c r="S495" s="255" t="s">
        <v>759</v>
      </c>
      <c r="T495" s="251" t="s">
        <v>811</v>
      </c>
      <c r="U495" s="243">
        <f ca="1">VLOOKUP(BDD[[#This Row],[ANTIG]],DIASXANT18[#All],2)</f>
        <v>6</v>
      </c>
      <c r="V495" s="256">
        <f t="shared" si="36"/>
        <v>0.5</v>
      </c>
      <c r="W495" s="243">
        <f ca="1">BDD[[#This Row],[D.VAC.]]*BDD[[#This Row],[% P.V.]]</f>
        <v>3</v>
      </c>
      <c r="X495" s="243">
        <v>30</v>
      </c>
      <c r="Y495" s="257">
        <f ca="1">(365+BDD[[#This Row],[D.PAG.V.]]+BDD[[#This Row],[D.AG.]])/365</f>
        <v>1.0904109589041096</v>
      </c>
      <c r="Z495" s="243">
        <f ca="1">BDD[[#This Row],[SUE DIA]]*BDD[[#This Row],[FACTOR SDI]]</f>
        <v>346.78703196347033</v>
      </c>
      <c r="AA495" s="243">
        <f>BDD[[#This Row],[SUE DIA]]/9</f>
        <v>35.337037037037042</v>
      </c>
      <c r="AB495" s="251">
        <v>25851</v>
      </c>
      <c r="AC495" s="251" t="s">
        <v>958</v>
      </c>
      <c r="AD495" s="251" t="s">
        <v>789</v>
      </c>
      <c r="AE495" s="260">
        <v>2166733049</v>
      </c>
      <c r="AF495" s="251" t="s">
        <v>1473</v>
      </c>
      <c r="AG495" s="251" t="s">
        <v>776</v>
      </c>
      <c r="AH495" s="251" t="s">
        <v>730</v>
      </c>
      <c r="AI495" s="243" t="s">
        <v>151</v>
      </c>
      <c r="AJ495" s="258" cm="1">
        <f t="array" aca="1" ref="AJ495" ca="1">DATE(YEAR(FECH.CONS[FECHA DE CONSULTA:]),MONTH(BDD[[#This Row],[FECHA NAC]]),DAY(BDD[[#This Row],[FECHA NAC]]))</f>
        <v>44844</v>
      </c>
      <c r="AK495" s="243">
        <v>10</v>
      </c>
      <c r="AL495" s="261" t="s">
        <v>311</v>
      </c>
      <c r="AM495" s="251" t="s">
        <v>1538</v>
      </c>
      <c r="AN495" s="251" t="s">
        <v>1551</v>
      </c>
      <c r="AO495" s="245">
        <v>48</v>
      </c>
      <c r="AP495" s="251">
        <f ca="1">INT((TODAY()-BDD[[#This Row],[FECHA NAC]])/365)</f>
        <v>51</v>
      </c>
      <c r="AQ495" s="251">
        <v>1</v>
      </c>
      <c r="AR495" s="251">
        <f ca="1">IF(BDD[[#This Row],[ANTIG]]=0,0,1)</f>
        <v>0</v>
      </c>
      <c r="AS495" s="251"/>
      <c r="AT495" s="251"/>
      <c r="AU495" s="251"/>
      <c r="AV495" s="251"/>
      <c r="AW495" s="251"/>
      <c r="AX495" s="251"/>
      <c r="AY495" s="251"/>
      <c r="AZ495" s="251">
        <f t="shared" ca="1" si="33"/>
        <v>398</v>
      </c>
    </row>
    <row r="496" spans="2:52" x14ac:dyDescent="0.25">
      <c r="B496" s="243">
        <v>735</v>
      </c>
      <c r="C496" s="259" t="s">
        <v>687</v>
      </c>
      <c r="D496" s="252">
        <v>7445</v>
      </c>
      <c r="E496" s="252">
        <f>(BDD[[#This Row],[SUE MENS]]/30)</f>
        <v>248.16666666666666</v>
      </c>
      <c r="F496" s="252">
        <f>BDD[[#This Row],[SUE MENS]]/2</f>
        <v>3722.5</v>
      </c>
      <c r="G496" s="322">
        <v>44583</v>
      </c>
      <c r="H496" s="243">
        <f ca="1">INT(_xlfn.DAYS(TODAY(),BDD[[#This Row],[FECHA ING.]])/365)</f>
        <v>0</v>
      </c>
      <c r="I496" s="251" t="str">
        <f>VLOOKUP(J496,TABLAS!$B$3:$G$49,2,FALSE)</f>
        <v>DIV INGENRIA</v>
      </c>
      <c r="J496" s="198" t="s">
        <v>743</v>
      </c>
      <c r="K496" s="251" t="s">
        <v>778</v>
      </c>
      <c r="L496" s="251" t="s">
        <v>763</v>
      </c>
      <c r="M496" s="251"/>
      <c r="N496" s="253" t="s">
        <v>1907</v>
      </c>
      <c r="O496" s="251" t="str">
        <f>IFERROR(VLOOKUP(BDD[[#This Row],[SUBDPTO]],TABLAS!$B$4:$D$36,3,0)," ")</f>
        <v>DIEGO HERRERA GIRÓN</v>
      </c>
      <c r="P496" s="258"/>
      <c r="Q496" s="264"/>
      <c r="R496" s="244"/>
      <c r="S496" s="251"/>
      <c r="T496" s="251" t="s">
        <v>811</v>
      </c>
      <c r="U496" s="243">
        <f ca="1">VLOOKUP(BDD[[#This Row],[ANTIG]],DIASXANT18[#All],2)</f>
        <v>6</v>
      </c>
      <c r="V496" s="256">
        <f t="shared" si="36"/>
        <v>0.5</v>
      </c>
      <c r="W496" s="243">
        <f ca="1">BDD[[#This Row],[D.VAC.]]*BDD[[#This Row],[% P.V.]]</f>
        <v>3</v>
      </c>
      <c r="X496" s="243">
        <v>30</v>
      </c>
      <c r="Y496" s="257">
        <f ca="1">(365+BDD[[#This Row],[D.PAG.V.]]+BDD[[#This Row],[D.AG.]])/365</f>
        <v>1.0904109589041096</v>
      </c>
      <c r="Z496" s="243">
        <f ca="1">BDD[[#This Row],[SUE DIA]]*BDD[[#This Row],[FACTOR SDI]]</f>
        <v>270.6036529680365</v>
      </c>
      <c r="AA496" s="243">
        <f>BDD[[#This Row],[SUE DIA]]/9</f>
        <v>27.574074074074073</v>
      </c>
      <c r="AB496" s="251">
        <v>32130</v>
      </c>
      <c r="AC496" s="251" t="s">
        <v>1024</v>
      </c>
      <c r="AD496" s="251" t="s">
        <v>810</v>
      </c>
      <c r="AE496" s="260">
        <v>8207801192</v>
      </c>
      <c r="AF496" s="251" t="s">
        <v>1509</v>
      </c>
      <c r="AG496" s="251" t="s">
        <v>776</v>
      </c>
      <c r="AH496" s="251" t="s">
        <v>730</v>
      </c>
      <c r="AI496" s="243" t="s">
        <v>151</v>
      </c>
      <c r="AJ496" s="258" cm="1">
        <f t="array" aca="1" ref="AJ496" ca="1">DATE(YEAR(FECH.CONS[FECHA DE CONSULTA:]),MONTH(BDD[[#This Row],[FECHA NAC]]),DAY(BDD[[#This Row],[FECHA NAC]]))</f>
        <v>44914</v>
      </c>
      <c r="AK496" s="243">
        <v>5</v>
      </c>
      <c r="AL496" s="261" t="s">
        <v>311</v>
      </c>
      <c r="AM496" s="251" t="s">
        <v>1538</v>
      </c>
      <c r="AN496" s="251" t="s">
        <v>1551</v>
      </c>
      <c r="AO496" s="245">
        <v>39</v>
      </c>
      <c r="AP496" s="251">
        <f ca="1">INT((TODAY()-BDD[[#This Row],[FECHA NAC]])/365)</f>
        <v>34</v>
      </c>
      <c r="AQ496" s="251">
        <v>3</v>
      </c>
      <c r="AR496" s="251">
        <f ca="1">IF(BDD[[#This Row],[ANTIG]]=0,0,1)</f>
        <v>0</v>
      </c>
      <c r="AS496" s="251"/>
      <c r="AT496" s="251"/>
      <c r="AU496" s="251"/>
      <c r="AV496" s="251"/>
      <c r="AW496" s="251"/>
      <c r="AX496" s="251"/>
      <c r="AY496" s="251"/>
      <c r="AZ496" s="251">
        <f t="shared" ca="1" si="33"/>
        <v>139</v>
      </c>
    </row>
    <row r="497" spans="2:52" x14ac:dyDescent="0.25">
      <c r="B497" s="243">
        <v>736</v>
      </c>
      <c r="C497" s="262" t="s">
        <v>350</v>
      </c>
      <c r="D497" s="252">
        <v>7950</v>
      </c>
      <c r="E497" s="252">
        <f>(BDD[[#This Row],[SUE MENS]]/30)</f>
        <v>265</v>
      </c>
      <c r="F497" s="252">
        <f>BDD[[#This Row],[SUE MENS]]/2</f>
        <v>3975</v>
      </c>
      <c r="G497" s="320">
        <f ca="1">TODAY()-1</f>
        <v>44759</v>
      </c>
      <c r="H497" s="243">
        <f ca="1">INT(_xlfn.DAYS(TODAY(),BDD[[#This Row],[FECHA ING.]])/365)</f>
        <v>0</v>
      </c>
      <c r="I497" s="251" t="str">
        <f>VLOOKUP(J497,TABLAS!$B$3:$G$49,2,FALSE)</f>
        <v>DIV INGENRIA</v>
      </c>
      <c r="J497" s="198" t="s">
        <v>743</v>
      </c>
      <c r="K497" s="251" t="s">
        <v>778</v>
      </c>
      <c r="L497" s="251" t="s">
        <v>763</v>
      </c>
      <c r="M497" s="251"/>
      <c r="N497" s="244" t="s">
        <v>2078</v>
      </c>
      <c r="O497" s="251" t="str">
        <f>IFERROR(VLOOKUP(BDD[[#This Row],[SUBDPTO]],TABLAS!$B$4:$D$36,3,0)," ")</f>
        <v>DIEGO HERRERA GIRÓN</v>
      </c>
      <c r="P497" s="258">
        <v>43312</v>
      </c>
      <c r="Q497" s="254">
        <v>5956</v>
      </c>
      <c r="R497" s="255" t="s">
        <v>768</v>
      </c>
      <c r="S497" s="251"/>
      <c r="T497" s="251" t="s">
        <v>811</v>
      </c>
      <c r="U497" s="243">
        <f ca="1">VLOOKUP(BDD[[#This Row],[ANTIG]],DIASXANT18[#All],2)</f>
        <v>6</v>
      </c>
      <c r="V497" s="256">
        <f t="shared" si="36"/>
        <v>0.5</v>
      </c>
      <c r="W497" s="243">
        <f ca="1">BDD[[#This Row],[D.VAC.]]*BDD[[#This Row],[% P.V.]]</f>
        <v>3</v>
      </c>
      <c r="X497" s="243">
        <v>30</v>
      </c>
      <c r="Y497" s="257">
        <f ca="1">(365+BDD[[#This Row],[D.PAG.V.]]+BDD[[#This Row],[D.AG.]])/365</f>
        <v>1.0904109589041096</v>
      </c>
      <c r="Z497" s="243">
        <f ca="1">BDD[[#This Row],[SUE DIA]]*BDD[[#This Row],[FACTOR SDI]]</f>
        <v>288.95890410958901</v>
      </c>
      <c r="AA497" s="243">
        <f>BDD[[#This Row],[SUE DIA]]/9</f>
        <v>29.444444444444443</v>
      </c>
      <c r="AB497" s="262">
        <v>32757</v>
      </c>
      <c r="AC497" s="251" t="s">
        <v>1030</v>
      </c>
      <c r="AD497" s="251" t="s">
        <v>790</v>
      </c>
      <c r="AE497" s="252">
        <v>8412607084.5</v>
      </c>
      <c r="AF497" s="251" t="s">
        <v>1324</v>
      </c>
      <c r="AG497" s="251" t="s">
        <v>776</v>
      </c>
      <c r="AH497" s="251" t="s">
        <v>730</v>
      </c>
      <c r="AI497" s="243" t="s">
        <v>151</v>
      </c>
      <c r="AJ497" s="258" cm="1">
        <f t="array" aca="1" ref="AJ497" ca="1">DATE(YEAR(FECH.CONS[FECHA DE CONSULTA:]),MONTH(BDD[[#This Row],[FECHA NAC]]),DAY(BDD[[#This Row],[FECHA NAC]]))</f>
        <v>44810</v>
      </c>
      <c r="AK497" s="243">
        <v>10</v>
      </c>
      <c r="AL497" s="251" t="s">
        <v>311</v>
      </c>
      <c r="AM497" s="251" t="s">
        <v>1538</v>
      </c>
      <c r="AN497" s="251" t="s">
        <v>1551</v>
      </c>
      <c r="AO497" s="245">
        <v>83</v>
      </c>
      <c r="AP497" s="251">
        <f ca="1">INT((TODAY()-BDD[[#This Row],[FECHA NAC]])/365)</f>
        <v>32</v>
      </c>
      <c r="AQ497" s="251">
        <v>0</v>
      </c>
      <c r="AR497" s="251">
        <f ca="1">IF(BDD[[#This Row],[ANTIG]]=0,0,1)</f>
        <v>0</v>
      </c>
      <c r="AS497" s="251"/>
      <c r="AT497" s="251"/>
      <c r="AU497" s="251"/>
      <c r="AV497" s="251"/>
      <c r="AW497" s="251"/>
      <c r="AX497" s="251"/>
      <c r="AY497" s="251"/>
      <c r="AZ497" s="251">
        <f t="shared" ca="1" si="33"/>
        <v>526</v>
      </c>
    </row>
    <row r="498" spans="2:52" x14ac:dyDescent="0.25">
      <c r="B498" s="243">
        <v>737</v>
      </c>
      <c r="C498" s="251" t="s">
        <v>1635</v>
      </c>
      <c r="D498" s="252">
        <v>7445</v>
      </c>
      <c r="E498" s="252">
        <f>(BDD[[#This Row],[SUE MENS]]/30)</f>
        <v>248.16666666666666</v>
      </c>
      <c r="F498" s="252">
        <f>BDD[[#This Row],[SUE MENS]]/2</f>
        <v>3722.5</v>
      </c>
      <c r="G498" s="319">
        <f ca="1">TODAY()</f>
        <v>44760</v>
      </c>
      <c r="H498" s="243">
        <f ca="1">INT(_xlfn.DAYS(TODAY(),BDD[[#This Row],[FECHA ING.]])/365)</f>
        <v>0</v>
      </c>
      <c r="I498" s="251" t="str">
        <f>VLOOKUP(J498,TABLAS!$B$3:$G$49,2,FALSE)</f>
        <v>AUDITORÍA</v>
      </c>
      <c r="J498" s="198" t="s">
        <v>734</v>
      </c>
      <c r="K498" s="251" t="s">
        <v>778</v>
      </c>
      <c r="L498" s="251" t="s">
        <v>763</v>
      </c>
      <c r="M498" s="251"/>
      <c r="N498" s="253" t="s">
        <v>2013</v>
      </c>
      <c r="O498" s="251" t="str">
        <f>IFERROR(VLOOKUP(BDD[[#This Row],[SUBDPTO]],TABLAS!$B$4:$D$36,3,0)," ")</f>
        <v>MARCO AURELIO URBINO</v>
      </c>
      <c r="P498" s="258"/>
      <c r="Q498" s="264"/>
      <c r="R498" s="244"/>
      <c r="S498" s="251"/>
      <c r="T498" s="251" t="s">
        <v>811</v>
      </c>
      <c r="U498" s="243">
        <f ca="1">VLOOKUP(BDD[[#This Row],[ANTIG]],DIASXANT18[#All],2)</f>
        <v>6</v>
      </c>
      <c r="V498" s="256">
        <f t="shared" si="36"/>
        <v>0.5</v>
      </c>
      <c r="W498" s="243">
        <f ca="1">BDD[[#This Row],[D.VAC.]]*BDD[[#This Row],[% P.V.]]</f>
        <v>3</v>
      </c>
      <c r="X498" s="243">
        <v>30</v>
      </c>
      <c r="Y498" s="257">
        <f ca="1">(365+BDD[[#This Row],[D.PAG.V.]]+BDD[[#This Row],[D.AG.]])/365</f>
        <v>1.0904109589041096</v>
      </c>
      <c r="Z498" s="243">
        <f ca="1">BDD[[#This Row],[SUE DIA]]*BDD[[#This Row],[FACTOR SDI]]</f>
        <v>270.6036529680365</v>
      </c>
      <c r="AA498" s="243">
        <f>BDD[[#This Row],[SUE DIA]]/9</f>
        <v>27.574074074074073</v>
      </c>
      <c r="AB498" s="251">
        <v>35884</v>
      </c>
      <c r="AC498" s="251" t="s">
        <v>1007</v>
      </c>
      <c r="AD498" s="251" t="s">
        <v>787</v>
      </c>
      <c r="AE498" s="252">
        <v>3354654863</v>
      </c>
      <c r="AF498" s="251" t="s">
        <v>1260</v>
      </c>
      <c r="AG498" s="251" t="s">
        <v>776</v>
      </c>
      <c r="AH498" s="251" t="s">
        <v>730</v>
      </c>
      <c r="AI498" s="243" t="s">
        <v>151</v>
      </c>
      <c r="AJ498" s="258" cm="1">
        <f t="array" aca="1" ref="AJ498" ca="1">DATE(YEAR(FECH.CONS[FECHA DE CONSULTA:]),MONTH(BDD[[#This Row],[FECHA NAC]]),DAY(BDD[[#This Row],[FECHA NAC]]))</f>
        <v>44650</v>
      </c>
      <c r="AK498" s="243">
        <v>10</v>
      </c>
      <c r="AL498" s="261" t="s">
        <v>311</v>
      </c>
      <c r="AM498" s="251" t="s">
        <v>1534</v>
      </c>
      <c r="AN498" s="251" t="s">
        <v>1551</v>
      </c>
      <c r="AO498" s="245">
        <v>61</v>
      </c>
      <c r="AP498" s="251">
        <f ca="1">INT((TODAY()-BDD[[#This Row],[FECHA NAC]])/365)</f>
        <v>24</v>
      </c>
      <c r="AQ498" s="251">
        <v>2</v>
      </c>
      <c r="AR498" s="251">
        <f ca="1">IF(BDD[[#This Row],[ANTIG]]=0,0,1)</f>
        <v>0</v>
      </c>
      <c r="AS498" s="251"/>
      <c r="AT498" s="251"/>
      <c r="AU498" s="251"/>
      <c r="AV498" s="251"/>
      <c r="AW498" s="251"/>
      <c r="AX498" s="251"/>
      <c r="AY498" s="251"/>
      <c r="AZ498" s="251">
        <f t="shared" ca="1" si="33"/>
        <v>182</v>
      </c>
    </row>
    <row r="502" spans="2:52" x14ac:dyDescent="0.25">
      <c r="R502" s="284"/>
      <c r="W502" s="272"/>
      <c r="Y502" s="285"/>
      <c r="AD502" s="282"/>
      <c r="AF502" s="245"/>
      <c r="AI502" s="272"/>
      <c r="AJ502" s="230"/>
      <c r="AK502" s="272"/>
      <c r="AO502" s="272"/>
    </row>
    <row r="503" spans="2:52" x14ac:dyDescent="0.25">
      <c r="R503" s="284"/>
      <c r="W503" s="272"/>
      <c r="Y503" s="285"/>
      <c r="AD503" s="282"/>
      <c r="AF503" s="245"/>
      <c r="AI503" s="272"/>
      <c r="AJ503" s="230"/>
      <c r="AK503" s="272"/>
      <c r="AO503" s="272"/>
    </row>
    <row r="504" spans="2:52" x14ac:dyDescent="0.25">
      <c r="R504" s="284"/>
      <c r="W504" s="272"/>
      <c r="Y504" s="285"/>
      <c r="AD504" s="282"/>
      <c r="AF504" s="245"/>
      <c r="AI504" s="272"/>
      <c r="AJ504" s="230"/>
      <c r="AK504" s="272"/>
      <c r="AO504" s="272"/>
    </row>
    <row r="505" spans="2:52" x14ac:dyDescent="0.25">
      <c r="R505" s="284"/>
      <c r="W505" s="272"/>
      <c r="Y505" s="285"/>
      <c r="AD505" s="282"/>
      <c r="AF505" s="245"/>
      <c r="AI505" s="272"/>
      <c r="AJ505" s="230"/>
      <c r="AK505" s="272"/>
      <c r="AO505" s="272"/>
    </row>
    <row r="506" spans="2:52" x14ac:dyDescent="0.25">
      <c r="R506" s="284"/>
      <c r="W506" s="272"/>
      <c r="Y506" s="285"/>
      <c r="AD506" s="282"/>
      <c r="AF506" s="245"/>
      <c r="AI506" s="272"/>
      <c r="AJ506" s="230"/>
      <c r="AK506" s="272"/>
      <c r="AO506" s="272"/>
    </row>
    <row r="507" spans="2:52" x14ac:dyDescent="0.25">
      <c r="R507" s="284"/>
      <c r="W507" s="272"/>
      <c r="Y507" s="285"/>
      <c r="AD507" s="282"/>
      <c r="AF507" s="245"/>
      <c r="AI507" s="272"/>
      <c r="AJ507" s="230"/>
      <c r="AK507" s="272"/>
      <c r="AO507" s="272"/>
    </row>
    <row r="508" spans="2:52" x14ac:dyDescent="0.25">
      <c r="R508" s="284"/>
      <c r="W508" s="272"/>
      <c r="Y508" s="285"/>
      <c r="AD508" s="282"/>
      <c r="AF508" s="245"/>
      <c r="AI508" s="272"/>
      <c r="AJ508" s="230"/>
      <c r="AK508" s="272"/>
      <c r="AO508" s="272"/>
    </row>
    <row r="509" spans="2:52" x14ac:dyDescent="0.25">
      <c r="R509" s="284"/>
      <c r="W509" s="272"/>
      <c r="Y509" s="285"/>
      <c r="AD509" s="282"/>
      <c r="AF509" s="245"/>
      <c r="AI509" s="272"/>
      <c r="AJ509" s="230"/>
      <c r="AK509" s="272"/>
      <c r="AO509" s="272"/>
    </row>
    <row r="510" spans="2:52" x14ac:dyDescent="0.25">
      <c r="R510" s="284"/>
      <c r="W510" s="272"/>
      <c r="Y510" s="285"/>
      <c r="AD510" s="282"/>
      <c r="AF510" s="245"/>
      <c r="AI510" s="272"/>
      <c r="AJ510" s="230"/>
      <c r="AK510" s="272"/>
      <c r="AO510" s="272"/>
    </row>
    <row r="511" spans="2:52" x14ac:dyDescent="0.25">
      <c r="R511" s="284"/>
      <c r="W511" s="272"/>
      <c r="Y511" s="285"/>
      <c r="AD511" s="282"/>
      <c r="AF511" s="245"/>
      <c r="AI511" s="272"/>
      <c r="AJ511" s="230"/>
      <c r="AK511" s="272"/>
      <c r="AO511" s="272"/>
    </row>
    <row r="512" spans="2:52" x14ac:dyDescent="0.25">
      <c r="R512" s="284"/>
      <c r="W512" s="272"/>
      <c r="Y512" s="285"/>
      <c r="AD512" s="282"/>
      <c r="AF512" s="245"/>
      <c r="AI512" s="272"/>
      <c r="AJ512" s="230"/>
      <c r="AK512" s="272"/>
      <c r="AO512" s="272"/>
    </row>
    <row r="513" spans="18:41" x14ac:dyDescent="0.25">
      <c r="R513" s="284"/>
      <c r="W513" s="272"/>
      <c r="Y513" s="285"/>
      <c r="AD513" s="282"/>
      <c r="AF513" s="245"/>
      <c r="AI513" s="272"/>
      <c r="AJ513" s="230"/>
      <c r="AK513" s="272"/>
      <c r="AO513" s="272"/>
    </row>
    <row r="514" spans="18:41" x14ac:dyDescent="0.25">
      <c r="R514" s="284"/>
      <c r="W514" s="272"/>
      <c r="Y514" s="285"/>
      <c r="AD514" s="282"/>
      <c r="AF514" s="245"/>
      <c r="AI514" s="272"/>
      <c r="AJ514" s="230"/>
      <c r="AK514" s="272"/>
      <c r="AO514" s="272"/>
    </row>
    <row r="515" spans="18:41" x14ac:dyDescent="0.25">
      <c r="R515" s="284"/>
      <c r="W515" s="272"/>
      <c r="Y515" s="285"/>
      <c r="AD515" s="282"/>
      <c r="AF515" s="245"/>
      <c r="AI515" s="272"/>
      <c r="AJ515" s="230"/>
      <c r="AK515" s="272"/>
      <c r="AO515" s="272"/>
    </row>
    <row r="516" spans="18:41" x14ac:dyDescent="0.25">
      <c r="R516" s="284"/>
      <c r="W516" s="272"/>
      <c r="Y516" s="285"/>
      <c r="AD516" s="282"/>
      <c r="AF516" s="245"/>
      <c r="AI516" s="272"/>
      <c r="AJ516" s="230"/>
      <c r="AK516" s="272"/>
      <c r="AO516" s="272"/>
    </row>
    <row r="517" spans="18:41" x14ac:dyDescent="0.25">
      <c r="R517" s="284"/>
      <c r="W517" s="272"/>
      <c r="Y517" s="285"/>
      <c r="AD517" s="282"/>
      <c r="AF517" s="245"/>
      <c r="AI517" s="272"/>
      <c r="AJ517" s="230"/>
      <c r="AK517" s="272"/>
      <c r="AO517" s="272"/>
    </row>
    <row r="518" spans="18:41" x14ac:dyDescent="0.25">
      <c r="R518" s="284"/>
      <c r="W518" s="272"/>
      <c r="Y518" s="285"/>
      <c r="AD518" s="282"/>
      <c r="AF518" s="245"/>
      <c r="AI518" s="272"/>
      <c r="AJ518" s="230"/>
      <c r="AK518" s="272"/>
      <c r="AO518" s="272"/>
    </row>
    <row r="519" spans="18:41" x14ac:dyDescent="0.25">
      <c r="R519" s="284"/>
      <c r="W519" s="272"/>
      <c r="Y519" s="285"/>
      <c r="AD519" s="282"/>
      <c r="AF519" s="245"/>
      <c r="AI519" s="272"/>
      <c r="AJ519" s="230"/>
      <c r="AK519" s="272"/>
      <c r="AO519" s="272"/>
    </row>
    <row r="520" spans="18:41" x14ac:dyDescent="0.25">
      <c r="R520" s="284"/>
      <c r="W520" s="272"/>
      <c r="Y520" s="285"/>
      <c r="AD520" s="282"/>
      <c r="AF520" s="245"/>
      <c r="AI520" s="272"/>
      <c r="AJ520" s="230"/>
      <c r="AK520" s="272"/>
      <c r="AO520" s="272"/>
    </row>
    <row r="521" spans="18:41" x14ac:dyDescent="0.25">
      <c r="R521" s="284"/>
      <c r="W521" s="272"/>
      <c r="Y521" s="285"/>
      <c r="AD521" s="282"/>
      <c r="AF521" s="245"/>
      <c r="AI521" s="272"/>
      <c r="AJ521" s="230"/>
      <c r="AK521" s="272"/>
      <c r="AO521" s="272"/>
    </row>
    <row r="522" spans="18:41" x14ac:dyDescent="0.25">
      <c r="R522" s="284"/>
      <c r="W522" s="272"/>
      <c r="Y522" s="285"/>
      <c r="AD522" s="282"/>
      <c r="AF522" s="245"/>
      <c r="AI522" s="272"/>
      <c r="AJ522" s="230"/>
      <c r="AK522" s="272"/>
      <c r="AO522" s="272"/>
    </row>
    <row r="523" spans="18:41" x14ac:dyDescent="0.25">
      <c r="R523" s="284"/>
      <c r="W523" s="272"/>
      <c r="Y523" s="285"/>
      <c r="AD523" s="282"/>
      <c r="AF523" s="245"/>
      <c r="AI523" s="272"/>
      <c r="AJ523" s="230"/>
      <c r="AK523" s="272"/>
      <c r="AO523" s="272"/>
    </row>
    <row r="524" spans="18:41" x14ac:dyDescent="0.25">
      <c r="R524" s="284"/>
      <c r="W524" s="272"/>
      <c r="Y524" s="285"/>
      <c r="AD524" s="282"/>
      <c r="AF524" s="245"/>
      <c r="AI524" s="272"/>
      <c r="AJ524" s="230"/>
      <c r="AK524" s="272"/>
      <c r="AO524" s="272"/>
    </row>
    <row r="525" spans="18:41" x14ac:dyDescent="0.25">
      <c r="R525" s="284"/>
      <c r="W525" s="272"/>
      <c r="Y525" s="285"/>
      <c r="AD525" s="282"/>
      <c r="AF525" s="245"/>
      <c r="AI525" s="272"/>
      <c r="AJ525" s="230"/>
      <c r="AK525" s="272"/>
      <c r="AO525" s="272"/>
    </row>
    <row r="526" spans="18:41" x14ac:dyDescent="0.25">
      <c r="R526" s="284"/>
      <c r="W526" s="272"/>
      <c r="Y526" s="285"/>
      <c r="AD526" s="282"/>
      <c r="AF526" s="245"/>
      <c r="AI526" s="272"/>
      <c r="AJ526" s="230"/>
      <c r="AK526" s="272"/>
      <c r="AO526" s="272"/>
    </row>
    <row r="527" spans="18:41" x14ac:dyDescent="0.25">
      <c r="R527" s="284"/>
      <c r="W527" s="272"/>
      <c r="Y527" s="285"/>
      <c r="AD527" s="282"/>
      <c r="AF527" s="245"/>
      <c r="AI527" s="272"/>
      <c r="AJ527" s="230"/>
      <c r="AK527" s="272"/>
      <c r="AO527" s="272"/>
    </row>
    <row r="528" spans="18:41" x14ac:dyDescent="0.25">
      <c r="R528" s="284"/>
      <c r="W528" s="272"/>
      <c r="Y528" s="285"/>
      <c r="AD528" s="282"/>
      <c r="AF528" s="245"/>
      <c r="AI528" s="272"/>
      <c r="AJ528" s="230"/>
      <c r="AK528" s="272"/>
      <c r="AO528" s="272"/>
    </row>
    <row r="529" spans="18:41" x14ac:dyDescent="0.25">
      <c r="R529" s="284"/>
      <c r="W529" s="272"/>
      <c r="Y529" s="285"/>
      <c r="AD529" s="282"/>
      <c r="AF529" s="245"/>
      <c r="AI529" s="272"/>
      <c r="AJ529" s="230"/>
      <c r="AK529" s="272"/>
      <c r="AO529" s="272"/>
    </row>
    <row r="530" spans="18:41" x14ac:dyDescent="0.25">
      <c r="R530" s="284"/>
      <c r="W530" s="272"/>
      <c r="Y530" s="285"/>
      <c r="AD530" s="282"/>
      <c r="AF530" s="245"/>
      <c r="AI530" s="272"/>
      <c r="AJ530" s="230"/>
      <c r="AK530" s="272"/>
      <c r="AO530" s="272"/>
    </row>
    <row r="531" spans="18:41" x14ac:dyDescent="0.25">
      <c r="R531" s="284"/>
      <c r="W531" s="272"/>
      <c r="Y531" s="285"/>
      <c r="AD531" s="282"/>
      <c r="AF531" s="245"/>
      <c r="AI531" s="272"/>
      <c r="AJ531" s="230"/>
      <c r="AK531" s="272"/>
      <c r="AO531" s="272"/>
    </row>
    <row r="532" spans="18:41" x14ac:dyDescent="0.25">
      <c r="R532" s="284"/>
      <c r="W532" s="272"/>
      <c r="Y532" s="285"/>
      <c r="AD532" s="282"/>
      <c r="AF532" s="245"/>
      <c r="AI532" s="272"/>
      <c r="AJ532" s="230"/>
      <c r="AK532" s="272"/>
      <c r="AO532" s="272"/>
    </row>
    <row r="533" spans="18:41" x14ac:dyDescent="0.25">
      <c r="R533" s="284"/>
      <c r="W533" s="272"/>
      <c r="Y533" s="285"/>
      <c r="AD533" s="282"/>
      <c r="AF533" s="245"/>
      <c r="AI533" s="272"/>
      <c r="AJ533" s="230"/>
      <c r="AK533" s="272"/>
      <c r="AO533" s="272"/>
    </row>
    <row r="534" spans="18:41" x14ac:dyDescent="0.25">
      <c r="R534" s="284"/>
      <c r="W534" s="272"/>
      <c r="Y534" s="285"/>
      <c r="AD534" s="282"/>
      <c r="AF534" s="245"/>
      <c r="AI534" s="272"/>
      <c r="AJ534" s="230"/>
      <c r="AK534" s="272"/>
      <c r="AO534" s="272"/>
    </row>
    <row r="535" spans="18:41" x14ac:dyDescent="0.25">
      <c r="R535" s="284"/>
      <c r="W535" s="272"/>
      <c r="Y535" s="285"/>
      <c r="AD535" s="282"/>
      <c r="AF535" s="245"/>
      <c r="AI535" s="272"/>
      <c r="AJ535" s="230"/>
      <c r="AK535" s="272"/>
      <c r="AO535" s="272"/>
    </row>
    <row r="536" spans="18:41" x14ac:dyDescent="0.25">
      <c r="R536" s="284"/>
      <c r="W536" s="272"/>
      <c r="Y536" s="285"/>
      <c r="AD536" s="282"/>
      <c r="AF536" s="245"/>
      <c r="AI536" s="272"/>
      <c r="AJ536" s="230"/>
      <c r="AK536" s="272"/>
      <c r="AO536" s="272"/>
    </row>
    <row r="537" spans="18:41" x14ac:dyDescent="0.25">
      <c r="R537" s="284"/>
      <c r="W537" s="272"/>
      <c r="Y537" s="285"/>
      <c r="AD537" s="282"/>
      <c r="AF537" s="245"/>
      <c r="AI537" s="272"/>
      <c r="AJ537" s="230"/>
      <c r="AK537" s="272"/>
      <c r="AO537" s="272"/>
    </row>
    <row r="538" spans="18:41" x14ac:dyDescent="0.25">
      <c r="R538" s="284"/>
      <c r="W538" s="272"/>
      <c r="Y538" s="285"/>
      <c r="AD538" s="282"/>
      <c r="AF538" s="245"/>
      <c r="AI538" s="272"/>
      <c r="AJ538" s="230"/>
      <c r="AK538" s="272"/>
      <c r="AO538" s="272"/>
    </row>
    <row r="539" spans="18:41" x14ac:dyDescent="0.25">
      <c r="R539" s="284"/>
      <c r="W539" s="272"/>
      <c r="Y539" s="285"/>
      <c r="AD539" s="282"/>
      <c r="AF539" s="245"/>
      <c r="AI539" s="272"/>
      <c r="AJ539" s="230"/>
      <c r="AK539" s="272"/>
      <c r="AO539" s="272"/>
    </row>
    <row r="540" spans="18:41" x14ac:dyDescent="0.25">
      <c r="R540" s="284"/>
      <c r="W540" s="272"/>
      <c r="Y540" s="285"/>
      <c r="AD540" s="282"/>
      <c r="AF540" s="245"/>
      <c r="AI540" s="272"/>
      <c r="AJ540" s="230"/>
      <c r="AK540" s="272"/>
      <c r="AO540" s="272"/>
    </row>
    <row r="541" spans="18:41" x14ac:dyDescent="0.25">
      <c r="R541" s="284"/>
      <c r="W541" s="272"/>
      <c r="Y541" s="285"/>
      <c r="AD541" s="282"/>
      <c r="AF541" s="245"/>
      <c r="AI541" s="272"/>
      <c r="AJ541" s="230"/>
      <c r="AK541" s="272"/>
      <c r="AO541" s="272"/>
    </row>
    <row r="542" spans="18:41" x14ac:dyDescent="0.25">
      <c r="R542" s="284"/>
      <c r="W542" s="272"/>
      <c r="Y542" s="285"/>
      <c r="AD542" s="282"/>
      <c r="AF542" s="245"/>
      <c r="AI542" s="272"/>
      <c r="AJ542" s="230"/>
      <c r="AK542" s="272"/>
      <c r="AO542" s="272"/>
    </row>
    <row r="543" spans="18:41" x14ac:dyDescent="0.25">
      <c r="R543" s="284"/>
      <c r="W543" s="272"/>
      <c r="Y543" s="285"/>
      <c r="AD543" s="282"/>
      <c r="AF543" s="245"/>
      <c r="AI543" s="272"/>
      <c r="AJ543" s="230"/>
      <c r="AK543" s="272"/>
      <c r="AO543" s="272"/>
    </row>
    <row r="544" spans="18:41" x14ac:dyDescent="0.25">
      <c r="R544" s="284"/>
      <c r="W544" s="272"/>
      <c r="Y544" s="285"/>
      <c r="AD544" s="282"/>
      <c r="AF544" s="245"/>
      <c r="AI544" s="272"/>
      <c r="AJ544" s="230"/>
      <c r="AK544" s="272"/>
      <c r="AO544" s="272"/>
    </row>
    <row r="607" spans="43:56" x14ac:dyDescent="0.25">
      <c r="AQ607" s="532"/>
      <c r="AR607" s="533"/>
      <c r="AS607" s="533"/>
      <c r="AT607" s="533"/>
      <c r="AU607" s="533"/>
      <c r="AV607" s="533"/>
      <c r="AW607" s="533"/>
      <c r="AX607" s="533"/>
      <c r="AY607" s="533"/>
      <c r="AZ607" s="533"/>
      <c r="BA607" s="533"/>
      <c r="BB607" s="533"/>
      <c r="BC607" s="533"/>
      <c r="BD607" s="534"/>
    </row>
    <row r="608" spans="43:56" x14ac:dyDescent="0.25">
      <c r="AQ608" s="532"/>
      <c r="AR608" s="533"/>
      <c r="AS608" s="533"/>
      <c r="AT608" s="533"/>
      <c r="AU608" s="533"/>
      <c r="AV608" s="533"/>
      <c r="AW608" s="533"/>
      <c r="AX608" s="533"/>
      <c r="AY608" s="533"/>
      <c r="AZ608" s="533"/>
      <c r="BA608" s="533"/>
      <c r="BB608" s="533"/>
      <c r="BC608" s="533"/>
      <c r="BD608" s="534"/>
    </row>
    <row r="610" spans="2:56" x14ac:dyDescent="0.25">
      <c r="AQ610" s="532"/>
      <c r="AR610" s="533"/>
      <c r="AS610" s="533"/>
      <c r="AT610" s="533"/>
      <c r="AU610" s="533"/>
      <c r="AV610" s="533"/>
      <c r="AW610" s="533"/>
      <c r="AX610" s="533"/>
      <c r="AY610" s="533"/>
      <c r="AZ610" s="533"/>
      <c r="BA610" s="533"/>
      <c r="BB610" s="533"/>
      <c r="BC610" s="533"/>
      <c r="BD610" s="534"/>
    </row>
    <row r="613" spans="2:56" ht="45" customHeight="1" x14ac:dyDescent="0.25">
      <c r="B613" s="245">
        <v>728</v>
      </c>
      <c r="D613" s="535"/>
      <c r="E613" s="536"/>
      <c r="F613" s="537"/>
    </row>
  </sheetData>
  <mergeCells count="8">
    <mergeCell ref="AQ610:BD610"/>
    <mergeCell ref="AQ608:BD608"/>
    <mergeCell ref="AQ607:BD607"/>
    <mergeCell ref="D613:F613"/>
    <mergeCell ref="E2:F3"/>
    <mergeCell ref="G2:H3"/>
    <mergeCell ref="L3:M3"/>
    <mergeCell ref="J2:K3"/>
  </mergeCells>
  <phoneticPr fontId="4" type="noConversion"/>
  <dataValidations disablePrompts="1" count="1">
    <dataValidation type="list" allowBlank="1" showInputMessage="1" showErrorMessage="1" sqref="R424 S53:S92 S486:S498 S426:S483 S417:S418 S393:S415 S369:S391 S359:S367 R87 R413 R416 R419 S420:S424 R428 R434 R439 R448 R451:R452 R465 R472 R477 R482 R484:R485 S22:S51 R375 R390 R392 S181:S184 R397 S186:S196 S199:S241 S243:S326 S328:S357 R345 R358 R366 R368 R373" xr:uid="{241B3016-594C-497E-B2B8-91FA13A11538}">
      <formula1>#REF!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2DD15995-DDB6-45D3-BA8F-AE786B5EBEB4}">
            <xm:f>Extendido!$F$2</xm:f>
            <x14:dxf>
              <font>
                <color auto="1"/>
              </font>
              <fill>
                <patternFill>
                  <bgColor theme="2" tint="-9.9948118533890809E-2"/>
                </patternFill>
              </fill>
            </x14:dxf>
          </x14:cfRule>
          <xm:sqref>B22:B498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BB92C-45B5-48D1-95A8-24E8A0EF7FA1}">
  <sheetPr codeName="Hoja14"/>
  <dimension ref="B3:L152"/>
  <sheetViews>
    <sheetView topLeftCell="A97" workbookViewId="0">
      <selection activeCell="E152" sqref="E152"/>
    </sheetView>
  </sheetViews>
  <sheetFormatPr baseColWidth="10" defaultColWidth="11.5703125" defaultRowHeight="15" x14ac:dyDescent="0.25"/>
  <cols>
    <col min="1" max="1" width="11.5703125" style="46"/>
    <col min="2" max="2" width="6.5703125" style="46" customWidth="1"/>
    <col min="3" max="3" width="32.42578125" style="46" customWidth="1"/>
    <col min="4" max="4" width="15.42578125" style="46" customWidth="1"/>
    <col min="5" max="5" width="14.5703125" style="46" customWidth="1"/>
    <col min="6" max="6" width="14.140625" style="46" customWidth="1"/>
    <col min="7" max="7" width="19.28515625" style="46" customWidth="1"/>
    <col min="8" max="8" width="11.7109375" style="46" bestFit="1" customWidth="1"/>
    <col min="9" max="9" width="11.85546875" style="46" customWidth="1"/>
    <col min="10" max="10" width="10.42578125" style="175" customWidth="1"/>
    <col min="11" max="11" width="10.140625" style="46" customWidth="1"/>
    <col min="12" max="12" width="16.85546875" style="46" customWidth="1"/>
    <col min="13" max="16384" width="11.5703125" style="46"/>
  </cols>
  <sheetData>
    <row r="3" spans="2:12" x14ac:dyDescent="0.25">
      <c r="C3" s="46">
        <f>COUNT(BDDBAJAS[NO. EMP])</f>
        <v>143</v>
      </c>
    </row>
    <row r="8" spans="2:12" x14ac:dyDescent="0.25">
      <c r="B8" s="46">
        <v>1</v>
      </c>
      <c r="C8" s="46">
        <v>2</v>
      </c>
      <c r="D8" s="46">
        <v>3</v>
      </c>
      <c r="E8" s="46">
        <v>4</v>
      </c>
      <c r="F8" s="46">
        <v>5</v>
      </c>
      <c r="G8" s="46">
        <v>6</v>
      </c>
      <c r="H8" s="46">
        <v>7</v>
      </c>
      <c r="I8" s="46">
        <v>8</v>
      </c>
      <c r="J8" s="175">
        <v>9</v>
      </c>
      <c r="K8" s="46">
        <v>10</v>
      </c>
      <c r="L8" s="46">
        <v>11</v>
      </c>
    </row>
    <row r="9" spans="2:12" x14ac:dyDescent="0.25">
      <c r="B9" s="46" t="s">
        <v>129</v>
      </c>
      <c r="C9" s="46" t="s">
        <v>53</v>
      </c>
      <c r="D9" s="46" t="s">
        <v>2291</v>
      </c>
      <c r="E9" s="46" t="s">
        <v>54</v>
      </c>
      <c r="F9" s="46" t="s">
        <v>279</v>
      </c>
      <c r="G9" s="46" t="s">
        <v>23</v>
      </c>
      <c r="H9" s="46" t="s">
        <v>87</v>
      </c>
      <c r="I9" s="46" t="s">
        <v>22</v>
      </c>
      <c r="J9" s="175" t="s">
        <v>58</v>
      </c>
      <c r="K9" s="46" t="s">
        <v>280</v>
      </c>
      <c r="L9" s="46" t="s">
        <v>281</v>
      </c>
    </row>
    <row r="10" spans="2:12" x14ac:dyDescent="0.25">
      <c r="B10" s="46">
        <v>106</v>
      </c>
      <c r="C10" s="46" t="s">
        <v>266</v>
      </c>
      <c r="D10" s="317">
        <v>18580</v>
      </c>
      <c r="E10" s="324">
        <v>36139</v>
      </c>
      <c r="F10" s="324">
        <v>43444</v>
      </c>
      <c r="G10" s="42" t="str">
        <f>VLOOKUP(H10,TABLAS!$B$3:$G$49,2,FALSE)</f>
        <v>DIRECCIÓN</v>
      </c>
      <c r="H10" s="198" t="s">
        <v>745</v>
      </c>
      <c r="I10" s="46" t="s">
        <v>73</v>
      </c>
      <c r="J10" s="175">
        <f>INT((BDDBAJAS[[#This Row],[FECHA SAL.]]-BDDBAJAS[[#This Row],[FECHA ING.]])/365)</f>
        <v>20</v>
      </c>
      <c r="K10" s="41" t="s">
        <v>782</v>
      </c>
      <c r="L10" s="46">
        <v>8933461868</v>
      </c>
    </row>
    <row r="11" spans="2:12" x14ac:dyDescent="0.25">
      <c r="B11" s="46">
        <v>129</v>
      </c>
      <c r="C11" s="46" t="s">
        <v>93</v>
      </c>
      <c r="D11" s="317">
        <v>15600</v>
      </c>
      <c r="E11" s="324">
        <v>40477</v>
      </c>
      <c r="F11" s="324">
        <v>42042</v>
      </c>
      <c r="G11" s="42" t="str">
        <f>VLOOKUP(H11,TABLAS!$B$3:$G$49,2,FALSE)</f>
        <v>TECNOLOGÍA</v>
      </c>
      <c r="H11" s="198" t="s">
        <v>751</v>
      </c>
      <c r="I11" s="46" t="s">
        <v>73</v>
      </c>
      <c r="J11" s="175">
        <f>INT((BDDBAJAS[[#This Row],[FECHA SAL.]]-BDDBAJAS[[#This Row],[FECHA ING.]])/365)</f>
        <v>4</v>
      </c>
      <c r="K11" s="41" t="s">
        <v>782</v>
      </c>
      <c r="L11" s="46">
        <v>8417031487</v>
      </c>
    </row>
    <row r="12" spans="2:12" x14ac:dyDescent="0.25">
      <c r="B12" s="46">
        <v>187</v>
      </c>
      <c r="C12" s="46" t="s">
        <v>137</v>
      </c>
      <c r="D12" s="317">
        <v>9540</v>
      </c>
      <c r="E12" s="324">
        <v>40784</v>
      </c>
      <c r="F12" s="324">
        <v>42560</v>
      </c>
      <c r="G12" s="42" t="str">
        <f>VLOOKUP(H12,TABLAS!$B$3:$G$49,2,FALSE)</f>
        <v>DIV INGENRIA</v>
      </c>
      <c r="H12" s="198" t="s">
        <v>756</v>
      </c>
      <c r="I12" s="46" t="s">
        <v>150</v>
      </c>
      <c r="J12" s="175">
        <f>INT((BDDBAJAS[[#This Row],[FECHA SAL.]]-BDDBAJAS[[#This Row],[FECHA ING.]])/365)</f>
        <v>4</v>
      </c>
      <c r="K12" s="41" t="s">
        <v>782</v>
      </c>
      <c r="L12" s="46">
        <v>8281899585</v>
      </c>
    </row>
    <row r="13" spans="2:12" x14ac:dyDescent="0.25">
      <c r="B13" s="46">
        <v>133</v>
      </c>
      <c r="C13" s="46" t="s">
        <v>96</v>
      </c>
      <c r="D13" s="317">
        <v>8825</v>
      </c>
      <c r="E13" s="324">
        <v>42948</v>
      </c>
      <c r="F13" s="324">
        <v>43811</v>
      </c>
      <c r="G13" s="42" t="str">
        <f>VLOOKUP(H13,TABLAS!$B$3:$G$49,2,FALSE)</f>
        <v>DIV INGENRIA</v>
      </c>
      <c r="H13" s="198" t="s">
        <v>744</v>
      </c>
      <c r="I13" s="46" t="s">
        <v>150</v>
      </c>
      <c r="J13" s="175">
        <f>INT((BDDBAJAS[[#This Row],[FECHA SAL.]]-BDDBAJAS[[#This Row],[FECHA ING.]])/365)</f>
        <v>2</v>
      </c>
      <c r="K13" s="41" t="s">
        <v>782</v>
      </c>
      <c r="L13" s="46">
        <v>8901569673</v>
      </c>
    </row>
    <row r="14" spans="2:12" x14ac:dyDescent="0.25">
      <c r="B14" s="46">
        <v>160</v>
      </c>
      <c r="C14" s="46" t="s">
        <v>115</v>
      </c>
      <c r="D14" s="317">
        <v>7445</v>
      </c>
      <c r="E14" s="324">
        <v>42020</v>
      </c>
      <c r="F14" s="324">
        <v>43032</v>
      </c>
      <c r="G14" s="42" t="str">
        <f>VLOOKUP(H14,TABLAS!$B$3:$G$49,2,FALSE)</f>
        <v>FINANZAS</v>
      </c>
      <c r="H14" s="198" t="s">
        <v>747</v>
      </c>
      <c r="I14" s="46" t="s">
        <v>150</v>
      </c>
      <c r="J14" s="175">
        <f>INT((BDDBAJAS[[#This Row],[FECHA SAL.]]-BDDBAJAS[[#This Row],[FECHA ING.]])/365)</f>
        <v>2</v>
      </c>
      <c r="K14" s="41" t="s">
        <v>782</v>
      </c>
      <c r="L14" s="46">
        <v>8890712357</v>
      </c>
    </row>
    <row r="15" spans="2:12" x14ac:dyDescent="0.25">
      <c r="B15" s="46">
        <v>235</v>
      </c>
      <c r="C15" s="46" t="s">
        <v>221</v>
      </c>
      <c r="D15" s="317">
        <v>6778</v>
      </c>
      <c r="E15" s="324">
        <v>40359</v>
      </c>
      <c r="F15" s="324">
        <v>41159</v>
      </c>
      <c r="G15" s="42" t="str">
        <f>VLOOKUP(H15,TABLAS!$B$3:$G$49,2,FALSE)</f>
        <v>DIV ARQUIT</v>
      </c>
      <c r="H15" s="198" t="s">
        <v>740</v>
      </c>
      <c r="I15" s="46" t="s">
        <v>86</v>
      </c>
      <c r="J15" s="175">
        <f>INT((BDDBAJAS[[#This Row],[FECHA SAL.]]-BDDBAJAS[[#This Row],[FECHA ING.]])/365)</f>
        <v>2</v>
      </c>
      <c r="K15" s="41" t="s">
        <v>782</v>
      </c>
      <c r="L15" s="46">
        <v>8655464072</v>
      </c>
    </row>
    <row r="16" spans="2:12" x14ac:dyDescent="0.25">
      <c r="B16" s="44">
        <v>371</v>
      </c>
      <c r="C16" s="176" t="s">
        <v>526</v>
      </c>
      <c r="D16" s="177">
        <v>6778</v>
      </c>
      <c r="E16" s="324">
        <v>41304</v>
      </c>
      <c r="F16" s="324">
        <v>42105</v>
      </c>
      <c r="G16" s="42" t="str">
        <f>VLOOKUP(H16,TABLAS!$B$3:$G$49,2,FALSE)</f>
        <v>DIV INGENRIA</v>
      </c>
      <c r="H16" s="198" t="s">
        <v>743</v>
      </c>
      <c r="I16" s="42" t="s">
        <v>760</v>
      </c>
      <c r="J16" s="44">
        <f>INT((BDDBAJAS[[#This Row],[FECHA SAL.]]-BDDBAJAS[[#This Row],[FECHA ING.]])/365)</f>
        <v>2</v>
      </c>
      <c r="K16" s="41" t="s">
        <v>782</v>
      </c>
      <c r="L16" s="43">
        <v>8196146206.9840403</v>
      </c>
    </row>
    <row r="17" spans="2:12" x14ac:dyDescent="0.25">
      <c r="B17" s="46">
        <v>416</v>
      </c>
      <c r="C17" s="46" t="s">
        <v>250</v>
      </c>
      <c r="D17" s="317">
        <v>5480</v>
      </c>
      <c r="E17" s="324">
        <v>41673</v>
      </c>
      <c r="F17" s="324">
        <v>42474</v>
      </c>
      <c r="G17" s="42" t="str">
        <f>VLOOKUP(H17,TABLAS!$B$3:$G$49,2,FALSE)</f>
        <v>DIV ARQUIT</v>
      </c>
      <c r="H17" s="198" t="s">
        <v>740</v>
      </c>
      <c r="I17" s="46" t="s">
        <v>270</v>
      </c>
      <c r="J17" s="175">
        <f>INT((BDDBAJAS[[#This Row],[FECHA SAL.]]-BDDBAJAS[[#This Row],[FECHA ING.]])/365)</f>
        <v>2</v>
      </c>
      <c r="K17" s="41" t="s">
        <v>782</v>
      </c>
      <c r="L17" s="46">
        <v>8911453995</v>
      </c>
    </row>
    <row r="18" spans="2:12" x14ac:dyDescent="0.25">
      <c r="B18" s="44">
        <v>437</v>
      </c>
      <c r="C18" s="176" t="s">
        <v>515</v>
      </c>
      <c r="D18" s="177">
        <v>9300</v>
      </c>
      <c r="E18" s="324">
        <v>41799</v>
      </c>
      <c r="F18" s="324">
        <v>42598</v>
      </c>
      <c r="G18" s="42" t="str">
        <f>VLOOKUP(H18,TABLAS!$B$3:$G$49,2,FALSE)</f>
        <v>DIV ARQUIT</v>
      </c>
      <c r="H18" s="198" t="s">
        <v>740</v>
      </c>
      <c r="I18" s="42" t="s">
        <v>760</v>
      </c>
      <c r="J18" s="44">
        <f>INT((BDDBAJAS[[#This Row],[FECHA SAL.]]-BDDBAJAS[[#This Row],[FECHA ING.]])/365)</f>
        <v>2</v>
      </c>
      <c r="K18" s="41" t="s">
        <v>782</v>
      </c>
      <c r="L18" s="43">
        <v>8423469120</v>
      </c>
    </row>
    <row r="19" spans="2:12" x14ac:dyDescent="0.25">
      <c r="B19" s="44">
        <v>540</v>
      </c>
      <c r="C19" s="176" t="s">
        <v>499</v>
      </c>
      <c r="D19" s="177">
        <v>7445</v>
      </c>
      <c r="E19" s="324">
        <v>42732</v>
      </c>
      <c r="F19" s="324">
        <v>43535</v>
      </c>
      <c r="G19" s="42" t="str">
        <f>VLOOKUP(H19,TABLAS!$B$3:$G$49,2,FALSE)</f>
        <v>FINANZAS</v>
      </c>
      <c r="H19" s="198" t="s">
        <v>748</v>
      </c>
      <c r="I19" s="42" t="s">
        <v>760</v>
      </c>
      <c r="J19" s="44">
        <f>INT((BDDBAJAS[[#This Row],[FECHA SAL.]]-BDDBAJAS[[#This Row],[FECHA ING.]])/365)</f>
        <v>2</v>
      </c>
      <c r="K19" s="41" t="s">
        <v>782</v>
      </c>
      <c r="L19" s="43">
        <v>9879830853</v>
      </c>
    </row>
    <row r="20" spans="2:12" x14ac:dyDescent="0.25">
      <c r="B20" s="44">
        <v>543</v>
      </c>
      <c r="C20" s="176" t="s">
        <v>460</v>
      </c>
      <c r="D20" s="178">
        <v>6778</v>
      </c>
      <c r="E20" s="324">
        <v>42792</v>
      </c>
      <c r="F20" s="324">
        <v>43592</v>
      </c>
      <c r="G20" s="42" t="str">
        <f>VLOOKUP(H20,TABLAS!$B$3:$G$49,2,FALSE)</f>
        <v>AUDITORÍA</v>
      </c>
      <c r="H20" s="198" t="s">
        <v>734</v>
      </c>
      <c r="I20" s="42" t="s">
        <v>760</v>
      </c>
      <c r="J20" s="44">
        <f>INT((BDDBAJAS[[#This Row],[FECHA SAL.]]-BDDBAJAS[[#This Row],[FECHA ING.]])/365)</f>
        <v>2</v>
      </c>
      <c r="K20" s="41" t="s">
        <v>782</v>
      </c>
      <c r="L20" s="43">
        <v>8884500025</v>
      </c>
    </row>
    <row r="21" spans="2:12" x14ac:dyDescent="0.25">
      <c r="B21" s="44">
        <v>547</v>
      </c>
      <c r="C21" s="176" t="s">
        <v>666</v>
      </c>
      <c r="D21" s="177">
        <v>6360</v>
      </c>
      <c r="E21" s="324">
        <v>42796</v>
      </c>
      <c r="F21" s="324">
        <v>43596</v>
      </c>
      <c r="G21" s="42" t="str">
        <f>VLOOKUP(H21,TABLAS!$B$3:$G$49,2,FALSE)</f>
        <v>DIRECCIÓN</v>
      </c>
      <c r="H21" s="244" t="s">
        <v>745</v>
      </c>
      <c r="I21" s="42" t="s">
        <v>760</v>
      </c>
      <c r="J21" s="44">
        <f>INT((BDDBAJAS[[#This Row],[FECHA SAL.]]-BDDBAJAS[[#This Row],[FECHA ING.]])/365)</f>
        <v>2</v>
      </c>
      <c r="K21" s="41" t="s">
        <v>782</v>
      </c>
      <c r="L21" s="43">
        <v>7634196237</v>
      </c>
    </row>
    <row r="22" spans="2:12" x14ac:dyDescent="0.25">
      <c r="B22" s="44">
        <v>557</v>
      </c>
      <c r="C22" s="176" t="s">
        <v>540</v>
      </c>
      <c r="D22" s="177">
        <v>7445</v>
      </c>
      <c r="E22" s="323">
        <v>42872</v>
      </c>
      <c r="F22" s="323">
        <v>43899</v>
      </c>
      <c r="G22" s="42" t="str">
        <f>VLOOKUP(H22,TABLAS!$B$3:$G$49,2,FALSE)</f>
        <v>AUDITORÍA</v>
      </c>
      <c r="H22" s="198" t="s">
        <v>736</v>
      </c>
      <c r="I22" s="42" t="s">
        <v>760</v>
      </c>
      <c r="J22" s="44">
        <f>INT((BDDBAJAS[[#This Row],[FECHA SAL.]]-BDDBAJAS[[#This Row],[FECHA ING.]])/365)</f>
        <v>2</v>
      </c>
      <c r="K22" s="41" t="s">
        <v>267</v>
      </c>
      <c r="L22" s="43">
        <v>4535987413</v>
      </c>
    </row>
    <row r="23" spans="2:12" x14ac:dyDescent="0.25">
      <c r="B23" s="46">
        <v>148</v>
      </c>
      <c r="C23" s="46" t="s">
        <v>264</v>
      </c>
      <c r="D23" s="317">
        <v>5700</v>
      </c>
      <c r="E23" s="323">
        <v>42238</v>
      </c>
      <c r="F23" s="323">
        <v>42771</v>
      </c>
      <c r="G23" s="42" t="str">
        <f>VLOOKUP(H23,TABLAS!$B$3:$G$49,2,FALSE)</f>
        <v>DIRECCIÓN</v>
      </c>
      <c r="H23" s="198" t="s">
        <v>746</v>
      </c>
      <c r="I23" s="46" t="s">
        <v>270</v>
      </c>
      <c r="J23" s="175">
        <f>INT((BDDBAJAS[[#This Row],[FECHA SAL.]]-BDDBAJAS[[#This Row],[FECHA ING.]])/365)</f>
        <v>1</v>
      </c>
      <c r="K23" s="41" t="s">
        <v>782</v>
      </c>
      <c r="L23" s="46">
        <v>8360299140</v>
      </c>
    </row>
    <row r="24" spans="2:12" x14ac:dyDescent="0.25">
      <c r="B24" s="44">
        <v>201</v>
      </c>
      <c r="C24" s="176" t="s">
        <v>513</v>
      </c>
      <c r="D24" s="177">
        <v>7445</v>
      </c>
      <c r="E24" s="323">
        <v>40259</v>
      </c>
      <c r="F24" s="323">
        <v>40923</v>
      </c>
      <c r="G24" s="42" t="str">
        <f>VLOOKUP(H24,TABLAS!$B$3:$G$49,2,FALSE)</f>
        <v>DIV INGENRIA</v>
      </c>
      <c r="H24" s="198" t="s">
        <v>744</v>
      </c>
      <c r="I24" s="42" t="s">
        <v>760</v>
      </c>
      <c r="J24" s="44">
        <f>INT((BDDBAJAS[[#This Row],[FECHA SAL.]]-BDDBAJAS[[#This Row],[FECHA ING.]])/365)</f>
        <v>1</v>
      </c>
      <c r="K24" s="41" t="s">
        <v>267</v>
      </c>
      <c r="L24" s="43">
        <v>4308519687</v>
      </c>
    </row>
    <row r="25" spans="2:12" x14ac:dyDescent="0.25">
      <c r="B25" s="44">
        <v>204</v>
      </c>
      <c r="C25" s="176" t="s">
        <v>553</v>
      </c>
      <c r="D25" s="178">
        <v>6778</v>
      </c>
      <c r="E25" s="323">
        <v>40274</v>
      </c>
      <c r="F25" s="323">
        <v>40952</v>
      </c>
      <c r="G25" s="42" t="str">
        <f>VLOOKUP(H25,TABLAS!$B$3:$G$49,2,FALSE)</f>
        <v>AUDITORÍA</v>
      </c>
      <c r="H25" s="198" t="s">
        <v>734</v>
      </c>
      <c r="I25" s="46" t="s">
        <v>761</v>
      </c>
      <c r="J25" s="44">
        <f>INT((BDDBAJAS[[#This Row],[FECHA SAL.]]-BDDBAJAS[[#This Row],[FECHA ING.]])/365)</f>
        <v>1</v>
      </c>
      <c r="K25" s="41" t="s">
        <v>783</v>
      </c>
      <c r="L25" s="43">
        <v>6032654874</v>
      </c>
    </row>
    <row r="26" spans="2:12" x14ac:dyDescent="0.25">
      <c r="B26" s="44">
        <v>212</v>
      </c>
      <c r="C26" s="176" t="s">
        <v>601</v>
      </c>
      <c r="D26" s="177">
        <v>6360</v>
      </c>
      <c r="E26" s="323">
        <v>40289</v>
      </c>
      <c r="F26" s="323">
        <v>40953</v>
      </c>
      <c r="G26" s="42" t="str">
        <f>VLOOKUP(H26,TABLAS!$B$3:$G$49,2,FALSE)</f>
        <v>CONTRATOS</v>
      </c>
      <c r="H26" s="198" t="s">
        <v>738</v>
      </c>
      <c r="I26" s="42" t="s">
        <v>760</v>
      </c>
      <c r="J26" s="44">
        <f>INT((BDDBAJAS[[#This Row],[FECHA SAL.]]-BDDBAJAS[[#This Row],[FECHA ING.]])/365)</f>
        <v>1</v>
      </c>
      <c r="K26" s="41" t="s">
        <v>782</v>
      </c>
      <c r="L26" s="43">
        <v>8209596214.4492798</v>
      </c>
    </row>
    <row r="27" spans="2:12" x14ac:dyDescent="0.25">
      <c r="B27" s="44">
        <v>218</v>
      </c>
      <c r="C27" s="176" t="s">
        <v>593</v>
      </c>
      <c r="D27" s="177">
        <v>6360</v>
      </c>
      <c r="E27" s="323">
        <v>40314</v>
      </c>
      <c r="F27" s="323">
        <v>40977</v>
      </c>
      <c r="G27" s="42" t="str">
        <f>VLOOKUP(H27,TABLAS!$B$3:$G$49,2,FALSE)</f>
        <v>TECNOLOGÍA</v>
      </c>
      <c r="H27" s="198" t="s">
        <v>751</v>
      </c>
      <c r="I27" s="42" t="s">
        <v>760</v>
      </c>
      <c r="J27" s="44">
        <f>INT((BDDBAJAS[[#This Row],[FECHA SAL.]]-BDDBAJAS[[#This Row],[FECHA ING.]])/365)</f>
        <v>1</v>
      </c>
      <c r="K27" s="41" t="s">
        <v>783</v>
      </c>
      <c r="L27" s="43">
        <v>7077000271</v>
      </c>
    </row>
    <row r="28" spans="2:12" x14ac:dyDescent="0.25">
      <c r="B28" s="46">
        <v>219</v>
      </c>
      <c r="C28" s="46" t="s">
        <v>146</v>
      </c>
      <c r="D28" s="317">
        <v>4860</v>
      </c>
      <c r="E28" s="323">
        <v>40343</v>
      </c>
      <c r="F28" s="323">
        <v>41008</v>
      </c>
      <c r="G28" s="42" t="str">
        <f>VLOOKUP(H28,TABLAS!$B$3:$G$49,2,FALSE)</f>
        <v>DIV INGENRIA</v>
      </c>
      <c r="H28" s="198" t="s">
        <v>756</v>
      </c>
      <c r="I28" s="46" t="s">
        <v>270</v>
      </c>
      <c r="J28" s="175">
        <f>INT((BDDBAJAS[[#This Row],[FECHA SAL.]]-BDDBAJAS[[#This Row],[FECHA ING.]])/365)</f>
        <v>1</v>
      </c>
      <c r="K28" s="41" t="s">
        <v>782</v>
      </c>
      <c r="L28" s="46">
        <v>8818069651</v>
      </c>
    </row>
    <row r="29" spans="2:12" x14ac:dyDescent="0.25">
      <c r="B29" s="44">
        <v>226</v>
      </c>
      <c r="C29" s="176" t="s">
        <v>508</v>
      </c>
      <c r="D29" s="177">
        <v>8825</v>
      </c>
      <c r="E29" s="323">
        <v>40350</v>
      </c>
      <c r="F29" s="323">
        <v>40806</v>
      </c>
      <c r="G29" s="42" t="str">
        <f>VLOOKUP(H29,TABLAS!$B$3:$G$49,2,FALSE)</f>
        <v>DIV ARQUIT</v>
      </c>
      <c r="H29" s="198" t="s">
        <v>741</v>
      </c>
      <c r="I29" s="42" t="s">
        <v>760</v>
      </c>
      <c r="J29" s="44">
        <f>INT((BDDBAJAS[[#This Row],[FECHA SAL.]]-BDDBAJAS[[#This Row],[FECHA ING.]])/365)</f>
        <v>1</v>
      </c>
      <c r="K29" s="41" t="s">
        <v>782</v>
      </c>
      <c r="L29" s="43">
        <v>8208853319.4724503</v>
      </c>
    </row>
    <row r="30" spans="2:12" x14ac:dyDescent="0.25">
      <c r="B30" s="44">
        <v>230</v>
      </c>
      <c r="C30" s="176" t="s">
        <v>547</v>
      </c>
      <c r="D30" s="177">
        <v>6360</v>
      </c>
      <c r="E30" s="323">
        <v>40354</v>
      </c>
      <c r="F30" s="323">
        <v>41018</v>
      </c>
      <c r="G30" s="42" t="str">
        <f>VLOOKUP(H30,TABLAS!$B$3:$G$49,2,FALSE)</f>
        <v>FINANZAS</v>
      </c>
      <c r="H30" s="198" t="s">
        <v>747</v>
      </c>
      <c r="I30" s="42" t="s">
        <v>760</v>
      </c>
      <c r="J30" s="44">
        <f>INT((BDDBAJAS[[#This Row],[FECHA SAL.]]-BDDBAJAS[[#This Row],[FECHA ING.]])/365)</f>
        <v>1</v>
      </c>
      <c r="K30" s="41" t="s">
        <v>267</v>
      </c>
      <c r="L30" s="43">
        <v>4306543046</v>
      </c>
    </row>
    <row r="31" spans="2:12" x14ac:dyDescent="0.25">
      <c r="B31" s="44">
        <v>234</v>
      </c>
      <c r="C31" s="176" t="s">
        <v>652</v>
      </c>
      <c r="D31" s="177">
        <v>5480</v>
      </c>
      <c r="E31" s="323">
        <v>40359</v>
      </c>
      <c r="F31" s="323">
        <v>41006</v>
      </c>
      <c r="G31" s="42" t="str">
        <f>VLOOKUP(H31,TABLAS!$B$3:$G$49,2,FALSE)</f>
        <v>AUDITORÍA</v>
      </c>
      <c r="H31" s="198" t="s">
        <v>736</v>
      </c>
      <c r="I31" s="42" t="s">
        <v>760</v>
      </c>
      <c r="J31" s="44">
        <f>INT((BDDBAJAS[[#This Row],[FECHA SAL.]]-BDDBAJAS[[#This Row],[FECHA ING.]])/365)</f>
        <v>1</v>
      </c>
      <c r="K31" s="41" t="s">
        <v>267</v>
      </c>
      <c r="L31" s="43">
        <v>5586440210</v>
      </c>
    </row>
    <row r="32" spans="2:12" x14ac:dyDescent="0.25">
      <c r="B32" s="44">
        <v>244</v>
      </c>
      <c r="C32" s="176" t="s">
        <v>595</v>
      </c>
      <c r="D32" s="177">
        <v>6360</v>
      </c>
      <c r="E32" s="323">
        <v>40435</v>
      </c>
      <c r="F32" s="323">
        <v>41098</v>
      </c>
      <c r="G32" s="42" t="str">
        <f>VLOOKUP(H32,TABLAS!$B$3:$G$49,2,FALSE)</f>
        <v>FINANZAS</v>
      </c>
      <c r="H32" s="198" t="s">
        <v>748</v>
      </c>
      <c r="I32" s="42" t="s">
        <v>760</v>
      </c>
      <c r="J32" s="44">
        <f>INT((BDDBAJAS[[#This Row],[FECHA SAL.]]-BDDBAJAS[[#This Row],[FECHA ING.]])/365)</f>
        <v>1</v>
      </c>
      <c r="K32" s="41" t="s">
        <v>267</v>
      </c>
      <c r="L32" s="43">
        <v>5599081172</v>
      </c>
    </row>
    <row r="33" spans="2:12" x14ac:dyDescent="0.25">
      <c r="B33" s="44">
        <v>248</v>
      </c>
      <c r="C33" s="176" t="s">
        <v>624</v>
      </c>
      <c r="D33" s="178">
        <v>8225</v>
      </c>
      <c r="E33" s="323">
        <v>40448</v>
      </c>
      <c r="F33" s="323">
        <v>41113</v>
      </c>
      <c r="G33" s="42" t="str">
        <f>VLOOKUP(H33,TABLAS!$B$3:$G$49,2,FALSE)</f>
        <v>DIV INGENRIA</v>
      </c>
      <c r="H33" s="198" t="s">
        <v>743</v>
      </c>
      <c r="I33" s="42" t="s">
        <v>760</v>
      </c>
      <c r="J33" s="44">
        <f>INT((BDDBAJAS[[#This Row],[FECHA SAL.]]-BDDBAJAS[[#This Row],[FECHA ING.]])/365)</f>
        <v>1</v>
      </c>
      <c r="K33" s="41" t="s">
        <v>782</v>
      </c>
      <c r="L33" s="43">
        <v>9877178596</v>
      </c>
    </row>
    <row r="34" spans="2:12" x14ac:dyDescent="0.25">
      <c r="B34" s="44">
        <v>259</v>
      </c>
      <c r="C34" s="176" t="s">
        <v>686</v>
      </c>
      <c r="D34" s="178">
        <v>7445</v>
      </c>
      <c r="E34" s="323">
        <v>40463</v>
      </c>
      <c r="F34" s="323">
        <v>41127</v>
      </c>
      <c r="G34" s="42" t="str">
        <f>VLOOKUP(H34,TABLAS!$B$3:$G$49,2,FALSE)</f>
        <v>DIV ARQUIT</v>
      </c>
      <c r="H34" s="198" t="s">
        <v>740</v>
      </c>
      <c r="I34" s="42" t="s">
        <v>760</v>
      </c>
      <c r="J34" s="44">
        <f>INT((BDDBAJAS[[#This Row],[FECHA SAL.]]-BDDBAJAS[[#This Row],[FECHA ING.]])/365)</f>
        <v>1</v>
      </c>
      <c r="K34" s="41" t="s">
        <v>782</v>
      </c>
      <c r="L34" s="43">
        <v>8208333467.4724503</v>
      </c>
    </row>
    <row r="35" spans="2:12" x14ac:dyDescent="0.25">
      <c r="B35" s="44">
        <v>261</v>
      </c>
      <c r="C35" s="176" t="s">
        <v>579</v>
      </c>
      <c r="D35" s="178">
        <v>6500</v>
      </c>
      <c r="E35" s="323">
        <v>40600</v>
      </c>
      <c r="F35" s="323">
        <v>41053</v>
      </c>
      <c r="G35" s="42" t="str">
        <f>VLOOKUP(H35,TABLAS!$B$3:$G$49,2,FALSE)</f>
        <v>FINANZAS</v>
      </c>
      <c r="H35" s="198" t="s">
        <v>757</v>
      </c>
      <c r="I35" s="42" t="s">
        <v>760</v>
      </c>
      <c r="J35" s="44">
        <f>INT((BDDBAJAS[[#This Row],[FECHA SAL.]]-BDDBAJAS[[#This Row],[FECHA ING.]])/365)</f>
        <v>1</v>
      </c>
      <c r="K35" s="41" t="s">
        <v>785</v>
      </c>
      <c r="L35" s="43">
        <v>2368295991</v>
      </c>
    </row>
    <row r="36" spans="2:12" x14ac:dyDescent="0.25">
      <c r="B36" s="44">
        <v>287</v>
      </c>
      <c r="C36" s="176" t="s">
        <v>603</v>
      </c>
      <c r="D36" s="178">
        <v>6778</v>
      </c>
      <c r="E36" s="323">
        <v>40615</v>
      </c>
      <c r="F36" s="323">
        <v>41303</v>
      </c>
      <c r="G36" s="42" t="str">
        <f>VLOOKUP(H36,TABLAS!$B$3:$G$49,2,FALSE)</f>
        <v>DIV ARQUIT</v>
      </c>
      <c r="H36" s="198" t="s">
        <v>741</v>
      </c>
      <c r="I36" s="46" t="s">
        <v>761</v>
      </c>
      <c r="J36" s="44">
        <f>INT((BDDBAJAS[[#This Row],[FECHA SAL.]]-BDDBAJAS[[#This Row],[FECHA ING.]])/365)</f>
        <v>1</v>
      </c>
      <c r="K36" s="41" t="s">
        <v>782</v>
      </c>
      <c r="L36" s="43">
        <v>8208531665.4724503</v>
      </c>
    </row>
    <row r="37" spans="2:12" x14ac:dyDescent="0.25">
      <c r="B37" s="44">
        <v>294</v>
      </c>
      <c r="C37" s="176" t="s">
        <v>455</v>
      </c>
      <c r="D37" s="178">
        <v>6778</v>
      </c>
      <c r="E37" s="323">
        <v>40618</v>
      </c>
      <c r="F37" s="323">
        <v>41282</v>
      </c>
      <c r="G37" s="42" t="str">
        <f>VLOOKUP(H37,TABLAS!$B$3:$G$49,2,FALSE)</f>
        <v>DIV INGENRIA</v>
      </c>
      <c r="H37" s="198" t="s">
        <v>743</v>
      </c>
      <c r="I37" s="46" t="s">
        <v>761</v>
      </c>
      <c r="J37" s="44">
        <f>INT((BDDBAJAS[[#This Row],[FECHA SAL.]]-BDDBAJAS[[#This Row],[FECHA ING.]])/365)</f>
        <v>1</v>
      </c>
      <c r="K37" s="41" t="s">
        <v>782</v>
      </c>
      <c r="L37" s="43">
        <v>8354031288</v>
      </c>
    </row>
    <row r="38" spans="2:12" x14ac:dyDescent="0.25">
      <c r="B38" s="44">
        <v>298</v>
      </c>
      <c r="C38" s="176" t="s">
        <v>715</v>
      </c>
      <c r="D38" s="177">
        <v>6360</v>
      </c>
      <c r="E38" s="323">
        <v>40653</v>
      </c>
      <c r="F38" s="323">
        <v>41332</v>
      </c>
      <c r="G38" s="42" t="str">
        <f>VLOOKUP(H38,TABLAS!$B$3:$G$49,2,FALSE)</f>
        <v>AUDITORÍA</v>
      </c>
      <c r="H38" s="198" t="s">
        <v>734</v>
      </c>
      <c r="I38" s="42" t="s">
        <v>760</v>
      </c>
      <c r="J38" s="44">
        <f>INT((BDDBAJAS[[#This Row],[FECHA SAL.]]-BDDBAJAS[[#This Row],[FECHA ING.]])/365)</f>
        <v>1</v>
      </c>
      <c r="K38" s="41" t="s">
        <v>267</v>
      </c>
      <c r="L38" s="43">
        <v>5599204628</v>
      </c>
    </row>
    <row r="39" spans="2:12" x14ac:dyDescent="0.25">
      <c r="B39" s="44">
        <v>303</v>
      </c>
      <c r="C39" s="176" t="s">
        <v>461</v>
      </c>
      <c r="D39" s="178">
        <v>6778</v>
      </c>
      <c r="E39" s="323">
        <v>40748</v>
      </c>
      <c r="F39" s="323">
        <v>41115</v>
      </c>
      <c r="G39" s="42" t="str">
        <f>VLOOKUP(H39,TABLAS!$B$3:$G$49,2,FALSE)</f>
        <v>CPTAL HUMANO</v>
      </c>
      <c r="H39" s="198" t="s">
        <v>758</v>
      </c>
      <c r="I39" s="42" t="s">
        <v>760</v>
      </c>
      <c r="J39" s="44">
        <f>INT((BDDBAJAS[[#This Row],[FECHA SAL.]]-BDDBAJAS[[#This Row],[FECHA ING.]])/365)</f>
        <v>1</v>
      </c>
      <c r="K39" s="41" t="s">
        <v>782</v>
      </c>
      <c r="L39" s="43">
        <v>8385208297</v>
      </c>
    </row>
    <row r="40" spans="2:12" x14ac:dyDescent="0.25">
      <c r="B40" s="44">
        <v>305</v>
      </c>
      <c r="C40" s="176" t="s">
        <v>522</v>
      </c>
      <c r="D40" s="177">
        <v>7445</v>
      </c>
      <c r="E40" s="323">
        <v>40795</v>
      </c>
      <c r="F40" s="323">
        <v>41477</v>
      </c>
      <c r="G40" s="42" t="str">
        <f>VLOOKUP(H40,TABLAS!$B$3:$G$49,2,FALSE)</f>
        <v>DIRECCIÓN</v>
      </c>
      <c r="H40" s="198" t="s">
        <v>746</v>
      </c>
      <c r="I40" s="42" t="s">
        <v>760</v>
      </c>
      <c r="J40" s="44">
        <f>INT((BDDBAJAS[[#This Row],[FECHA SAL.]]-BDDBAJAS[[#This Row],[FECHA ING.]])/365)</f>
        <v>1</v>
      </c>
      <c r="K40" s="41" t="s">
        <v>782</v>
      </c>
      <c r="L40" s="43">
        <v>8198807579.4261103</v>
      </c>
    </row>
    <row r="41" spans="2:12" x14ac:dyDescent="0.25">
      <c r="B41" s="44">
        <v>308</v>
      </c>
      <c r="C41" s="176" t="s">
        <v>683</v>
      </c>
      <c r="D41" s="178">
        <v>6778</v>
      </c>
      <c r="E41" s="323">
        <v>40823</v>
      </c>
      <c r="F41" s="323">
        <v>41549</v>
      </c>
      <c r="G41" s="42" t="str">
        <f>VLOOKUP(H41,TABLAS!$B$3:$G$49,2,FALSE)</f>
        <v>AUDITORÍA</v>
      </c>
      <c r="H41" s="198" t="s">
        <v>736</v>
      </c>
      <c r="I41" s="42" t="s">
        <v>760</v>
      </c>
      <c r="J41" s="44">
        <f>INT((BDDBAJAS[[#This Row],[FECHA SAL.]]-BDDBAJAS[[#This Row],[FECHA ING.]])/365)</f>
        <v>1</v>
      </c>
      <c r="K41" s="41" t="s">
        <v>782</v>
      </c>
      <c r="L41" s="43">
        <v>8210462565.4261103</v>
      </c>
    </row>
    <row r="42" spans="2:12" x14ac:dyDescent="0.25">
      <c r="B42" s="44">
        <v>309</v>
      </c>
      <c r="C42" s="176" t="s">
        <v>445</v>
      </c>
      <c r="D42" s="177">
        <v>6360</v>
      </c>
      <c r="E42" s="323">
        <v>40892</v>
      </c>
      <c r="F42" s="323">
        <v>41344</v>
      </c>
      <c r="G42" s="42" t="str">
        <f>VLOOKUP(H42,TABLAS!$B$3:$G$49,2,FALSE)</f>
        <v>CONTABILIDAD</v>
      </c>
      <c r="H42" s="198" t="s">
        <v>737</v>
      </c>
      <c r="I42" s="42" t="s">
        <v>760</v>
      </c>
      <c r="J42" s="44">
        <f>INT((BDDBAJAS[[#This Row],[FECHA SAL.]]-BDDBAJAS[[#This Row],[FECHA ING.]])/365)</f>
        <v>1</v>
      </c>
      <c r="K42" s="41" t="s">
        <v>783</v>
      </c>
      <c r="L42" s="43">
        <v>6044186404</v>
      </c>
    </row>
    <row r="43" spans="2:12" x14ac:dyDescent="0.25">
      <c r="B43" s="44">
        <v>322</v>
      </c>
      <c r="C43" s="176" t="s">
        <v>552</v>
      </c>
      <c r="D43" s="178">
        <v>6778</v>
      </c>
      <c r="E43" s="323">
        <v>40898</v>
      </c>
      <c r="F43" s="323">
        <v>41564</v>
      </c>
      <c r="G43" s="42" t="str">
        <f>VLOOKUP(H43,TABLAS!$B$3:$G$49,2,FALSE)</f>
        <v>AUDITORÍA</v>
      </c>
      <c r="H43" s="198" t="s">
        <v>735</v>
      </c>
      <c r="I43" s="42" t="s">
        <v>760</v>
      </c>
      <c r="J43" s="44">
        <f>INT((BDDBAJAS[[#This Row],[FECHA SAL.]]-BDDBAJAS[[#This Row],[FECHA ING.]])/365)</f>
        <v>1</v>
      </c>
      <c r="K43" s="41" t="s">
        <v>267</v>
      </c>
      <c r="L43" s="43">
        <v>5065988754</v>
      </c>
    </row>
    <row r="44" spans="2:12" x14ac:dyDescent="0.25">
      <c r="B44" s="44">
        <v>326</v>
      </c>
      <c r="C44" s="176" t="s">
        <v>569</v>
      </c>
      <c r="D44" s="178">
        <v>8225</v>
      </c>
      <c r="E44" s="323">
        <v>40960</v>
      </c>
      <c r="F44" s="323">
        <v>41624</v>
      </c>
      <c r="G44" s="42" t="str">
        <f>VLOOKUP(H44,TABLAS!$B$3:$G$49,2,FALSE)</f>
        <v>FINANZAS</v>
      </c>
      <c r="H44" s="198" t="s">
        <v>748</v>
      </c>
      <c r="I44" s="42" t="s">
        <v>760</v>
      </c>
      <c r="J44" s="44">
        <f>INT((BDDBAJAS[[#This Row],[FECHA SAL.]]-BDDBAJAS[[#This Row],[FECHA ING.]])/365)</f>
        <v>1</v>
      </c>
      <c r="K44" s="41" t="s">
        <v>267</v>
      </c>
      <c r="L44" s="43">
        <v>5596316753</v>
      </c>
    </row>
    <row r="45" spans="2:12" x14ac:dyDescent="0.25">
      <c r="B45" s="44">
        <v>344</v>
      </c>
      <c r="C45" s="176" t="s">
        <v>688</v>
      </c>
      <c r="D45" s="178">
        <v>7445</v>
      </c>
      <c r="E45" s="323">
        <v>41030</v>
      </c>
      <c r="F45" s="323">
        <v>41694</v>
      </c>
      <c r="G45" s="42" t="str">
        <f>VLOOKUP(H45,TABLAS!$B$3:$G$49,2,FALSE)</f>
        <v>DIV INGENRIA</v>
      </c>
      <c r="H45" s="198" t="s">
        <v>743</v>
      </c>
      <c r="I45" s="42" t="s">
        <v>760</v>
      </c>
      <c r="J45" s="44">
        <f>INT((BDDBAJAS[[#This Row],[FECHA SAL.]]-BDDBAJAS[[#This Row],[FECHA ING.]])/365)</f>
        <v>1</v>
      </c>
      <c r="K45" s="41" t="s">
        <v>782</v>
      </c>
      <c r="L45" s="43">
        <v>8207268918.4956198</v>
      </c>
    </row>
    <row r="46" spans="2:12" x14ac:dyDescent="0.25">
      <c r="B46" s="44">
        <v>346</v>
      </c>
      <c r="C46" s="176" t="s">
        <v>474</v>
      </c>
      <c r="D46" s="178">
        <v>8225</v>
      </c>
      <c r="E46" s="323">
        <v>41070</v>
      </c>
      <c r="F46" s="323">
        <v>41734</v>
      </c>
      <c r="G46" s="42" t="str">
        <f>VLOOKUP(H46,TABLAS!$B$3:$G$49,2,FALSE)</f>
        <v>DIV ARQUIT</v>
      </c>
      <c r="H46" s="198" t="s">
        <v>740</v>
      </c>
      <c r="I46" s="42" t="s">
        <v>760</v>
      </c>
      <c r="J46" s="44">
        <f>INT((BDDBAJAS[[#This Row],[FECHA SAL.]]-BDDBAJAS[[#This Row],[FECHA ING.]])/365)</f>
        <v>1</v>
      </c>
      <c r="K46" s="41" t="s">
        <v>782</v>
      </c>
      <c r="L46" s="43">
        <v>8608635954</v>
      </c>
    </row>
    <row r="47" spans="2:12" x14ac:dyDescent="0.25">
      <c r="B47" s="44">
        <v>349</v>
      </c>
      <c r="C47" s="176" t="s">
        <v>452</v>
      </c>
      <c r="D47" s="178">
        <v>6778</v>
      </c>
      <c r="E47" s="323">
        <v>41100</v>
      </c>
      <c r="F47" s="323">
        <v>41764</v>
      </c>
      <c r="G47" s="42" t="str">
        <f>VLOOKUP(H47,TABLAS!$B$3:$G$49,2,FALSE)</f>
        <v>DIRECCIÓN</v>
      </c>
      <c r="H47" s="198" t="s">
        <v>759</v>
      </c>
      <c r="I47" s="42" t="s">
        <v>760</v>
      </c>
      <c r="J47" s="44">
        <f>INT((BDDBAJAS[[#This Row],[FECHA SAL.]]-BDDBAJAS[[#This Row],[FECHA ING.]])/365)</f>
        <v>1</v>
      </c>
      <c r="K47" s="41" t="s">
        <v>784</v>
      </c>
      <c r="L47" s="43">
        <v>3054067971</v>
      </c>
    </row>
    <row r="48" spans="2:12" x14ac:dyDescent="0.25">
      <c r="B48" s="44">
        <v>363</v>
      </c>
      <c r="C48" s="176" t="s">
        <v>463</v>
      </c>
      <c r="D48" s="178">
        <v>7445</v>
      </c>
      <c r="E48" s="323">
        <v>41102</v>
      </c>
      <c r="F48" s="323">
        <v>41766</v>
      </c>
      <c r="G48" s="42" t="str">
        <f>VLOOKUP(H48,TABLAS!$B$3:$G$49,2,FALSE)</f>
        <v>AUDITORÍA</v>
      </c>
      <c r="H48" s="198" t="s">
        <v>735</v>
      </c>
      <c r="I48" s="42" t="s">
        <v>760</v>
      </c>
      <c r="J48" s="44">
        <f>INT((BDDBAJAS[[#This Row],[FECHA SAL.]]-BDDBAJAS[[#This Row],[FECHA ING.]])/365)</f>
        <v>1</v>
      </c>
      <c r="K48" s="41" t="s">
        <v>782</v>
      </c>
      <c r="L48" s="43">
        <v>8284860268</v>
      </c>
    </row>
    <row r="49" spans="2:12" x14ac:dyDescent="0.25">
      <c r="B49" s="44">
        <v>366</v>
      </c>
      <c r="C49" s="176" t="s">
        <v>458</v>
      </c>
      <c r="D49" s="178">
        <v>6778</v>
      </c>
      <c r="E49" s="323">
        <v>41210</v>
      </c>
      <c r="F49" s="323">
        <v>41664</v>
      </c>
      <c r="G49" s="42" t="str">
        <f>VLOOKUP(H49,TABLAS!$B$3:$G$49,2,FALSE)</f>
        <v>DIRECCIÓN</v>
      </c>
      <c r="H49" s="198" t="s">
        <v>745</v>
      </c>
      <c r="I49" s="42" t="s">
        <v>760</v>
      </c>
      <c r="J49" s="44">
        <f>INT((BDDBAJAS[[#This Row],[FECHA SAL.]]-BDDBAJAS[[#This Row],[FECHA ING.]])/365)</f>
        <v>1</v>
      </c>
      <c r="K49" s="41" t="s">
        <v>267</v>
      </c>
      <c r="L49" s="43">
        <v>4545863956</v>
      </c>
    </row>
    <row r="50" spans="2:12" x14ac:dyDescent="0.25">
      <c r="B50" s="44">
        <v>370</v>
      </c>
      <c r="C50" s="176" t="s">
        <v>570</v>
      </c>
      <c r="D50" s="178">
        <v>8225</v>
      </c>
      <c r="E50" s="323">
        <v>41250</v>
      </c>
      <c r="F50" s="323">
        <v>41710</v>
      </c>
      <c r="G50" s="42" t="str">
        <f>VLOOKUP(H50,TABLAS!$B$3:$G$49,2,FALSE)</f>
        <v>DIRECCIÓN</v>
      </c>
      <c r="H50" s="198" t="s">
        <v>746</v>
      </c>
      <c r="I50" s="42" t="s">
        <v>760</v>
      </c>
      <c r="J50" s="44">
        <f>INT((BDDBAJAS[[#This Row],[FECHA SAL.]]-BDDBAJAS[[#This Row],[FECHA ING.]])/365)</f>
        <v>1</v>
      </c>
      <c r="K50" s="41" t="s">
        <v>783</v>
      </c>
      <c r="L50" s="43">
        <v>5694271012.5</v>
      </c>
    </row>
    <row r="51" spans="2:12" x14ac:dyDescent="0.25">
      <c r="B51" s="44">
        <v>374</v>
      </c>
      <c r="C51" s="176" t="s">
        <v>507</v>
      </c>
      <c r="D51" s="177">
        <v>7445</v>
      </c>
      <c r="E51" s="323">
        <v>41311</v>
      </c>
      <c r="F51" s="323">
        <v>41954</v>
      </c>
      <c r="G51" s="42" t="str">
        <f>VLOOKUP(H51,TABLAS!$B$3:$G$49,2,FALSE)</f>
        <v>DIV INGENRIA</v>
      </c>
      <c r="H51" s="198" t="s">
        <v>744</v>
      </c>
      <c r="I51" s="42" t="s">
        <v>760</v>
      </c>
      <c r="J51" s="44">
        <f>INT((BDDBAJAS[[#This Row],[FECHA SAL.]]-BDDBAJAS[[#This Row],[FECHA ING.]])/365)</f>
        <v>1</v>
      </c>
      <c r="K51" s="41" t="s">
        <v>785</v>
      </c>
      <c r="L51" s="43">
        <v>2378815842</v>
      </c>
    </row>
    <row r="52" spans="2:12" x14ac:dyDescent="0.25">
      <c r="B52" s="44">
        <v>379</v>
      </c>
      <c r="C52" s="176" t="s">
        <v>690</v>
      </c>
      <c r="D52" s="178">
        <v>7445</v>
      </c>
      <c r="E52" s="323">
        <v>41377</v>
      </c>
      <c r="F52" s="323">
        <v>42054</v>
      </c>
      <c r="G52" s="42" t="str">
        <f>VLOOKUP(H52,TABLAS!$B$3:$G$49,2,FALSE)</f>
        <v>DIRECCIÓN</v>
      </c>
      <c r="H52" s="198" t="s">
        <v>759</v>
      </c>
      <c r="I52" s="42" t="s">
        <v>760</v>
      </c>
      <c r="J52" s="44">
        <f>INT((BDDBAJAS[[#This Row],[FECHA SAL.]]-BDDBAJAS[[#This Row],[FECHA ING.]])/365)</f>
        <v>1</v>
      </c>
      <c r="K52" s="41" t="s">
        <v>782</v>
      </c>
      <c r="L52" s="43">
        <v>8206204369.5187902</v>
      </c>
    </row>
    <row r="53" spans="2:12" x14ac:dyDescent="0.25">
      <c r="B53" s="46">
        <v>390</v>
      </c>
      <c r="C53" s="46" t="s">
        <v>235</v>
      </c>
      <c r="D53" s="317">
        <v>8200</v>
      </c>
      <c r="E53" s="323">
        <v>41418</v>
      </c>
      <c r="F53" s="323">
        <v>41785</v>
      </c>
      <c r="G53" s="42" t="str">
        <f>VLOOKUP(H53,TABLAS!$B$3:$G$49,2,FALSE)</f>
        <v>DIRECCIÓN</v>
      </c>
      <c r="H53" s="198" t="s">
        <v>759</v>
      </c>
      <c r="I53" s="46" t="s">
        <v>150</v>
      </c>
      <c r="J53" s="175">
        <f>INT((BDDBAJAS[[#This Row],[FECHA SAL.]]-BDDBAJAS[[#This Row],[FECHA ING.]])/365)</f>
        <v>1</v>
      </c>
      <c r="K53" s="41" t="s">
        <v>782</v>
      </c>
      <c r="L53" s="46">
        <v>8432250126</v>
      </c>
    </row>
    <row r="54" spans="2:12" x14ac:dyDescent="0.25">
      <c r="B54" s="44">
        <v>400</v>
      </c>
      <c r="C54" s="176" t="s">
        <v>490</v>
      </c>
      <c r="D54" s="178">
        <v>7698</v>
      </c>
      <c r="E54" s="323">
        <v>41422</v>
      </c>
      <c r="F54" s="323">
        <v>41875</v>
      </c>
      <c r="G54" s="42" t="str">
        <f>VLOOKUP(H54,TABLAS!$B$3:$G$49,2,FALSE)</f>
        <v>AUDITORÍA</v>
      </c>
      <c r="H54" s="198" t="s">
        <v>736</v>
      </c>
      <c r="I54" s="42" t="s">
        <v>760</v>
      </c>
      <c r="J54" s="44">
        <f>INT((BDDBAJAS[[#This Row],[FECHA SAL.]]-BDDBAJAS[[#This Row],[FECHA ING.]])/365)</f>
        <v>1</v>
      </c>
      <c r="K54" s="41" t="s">
        <v>782</v>
      </c>
      <c r="L54" s="43">
        <v>8338665111</v>
      </c>
    </row>
    <row r="55" spans="2:12" x14ac:dyDescent="0.25">
      <c r="B55" s="44">
        <v>406</v>
      </c>
      <c r="C55" s="176" t="s">
        <v>541</v>
      </c>
      <c r="D55" s="177">
        <v>8825</v>
      </c>
      <c r="E55" s="323">
        <v>41563</v>
      </c>
      <c r="F55" s="323">
        <v>42226</v>
      </c>
      <c r="G55" s="42" t="str">
        <f>VLOOKUP(H55,TABLAS!$B$3:$G$49,2,FALSE)</f>
        <v>DIV ARQUIT</v>
      </c>
      <c r="H55" s="198" t="s">
        <v>741</v>
      </c>
      <c r="I55" s="42" t="s">
        <v>760</v>
      </c>
      <c r="J55" s="44">
        <f>INT((BDDBAJAS[[#This Row],[FECHA SAL.]]-BDDBAJAS[[#This Row],[FECHA ING.]])/365)</f>
        <v>1</v>
      </c>
      <c r="K55" s="41" t="s">
        <v>267</v>
      </c>
      <c r="L55" s="43">
        <v>3438798741</v>
      </c>
    </row>
    <row r="56" spans="2:12" x14ac:dyDescent="0.25">
      <c r="B56" s="44">
        <v>409</v>
      </c>
      <c r="C56" s="176" t="s">
        <v>598</v>
      </c>
      <c r="D56" s="177">
        <v>6360</v>
      </c>
      <c r="E56" s="323">
        <v>41574</v>
      </c>
      <c r="F56" s="323">
        <v>42062</v>
      </c>
      <c r="G56" s="42" t="str">
        <f>VLOOKUP(H56,TABLAS!$B$3:$G$49,2,FALSE)</f>
        <v>TECNOLOGÍA</v>
      </c>
      <c r="H56" s="198" t="s">
        <v>751</v>
      </c>
      <c r="I56" s="42" t="s">
        <v>760</v>
      </c>
      <c r="J56" s="44">
        <f>INT((BDDBAJAS[[#This Row],[FECHA SAL.]]-BDDBAJAS[[#This Row],[FECHA ING.]])/365)</f>
        <v>1</v>
      </c>
      <c r="K56" s="41" t="s">
        <v>782</v>
      </c>
      <c r="L56" s="43">
        <v>8211193037.9145298</v>
      </c>
    </row>
    <row r="57" spans="2:12" x14ac:dyDescent="0.25">
      <c r="B57" s="44">
        <v>412</v>
      </c>
      <c r="C57" s="176" t="s">
        <v>514</v>
      </c>
      <c r="D57" s="177">
        <v>6360</v>
      </c>
      <c r="E57" s="323">
        <v>41586</v>
      </c>
      <c r="F57" s="323">
        <v>42046</v>
      </c>
      <c r="G57" s="42" t="str">
        <f>VLOOKUP(H57,TABLAS!$B$3:$G$49,2,FALSE)</f>
        <v>CPTAL HUMANO</v>
      </c>
      <c r="H57" s="198" t="s">
        <v>758</v>
      </c>
      <c r="I57" s="42" t="s">
        <v>760</v>
      </c>
      <c r="J57" s="44">
        <f>INT((BDDBAJAS[[#This Row],[FECHA SAL.]]-BDDBAJAS[[#This Row],[FECHA ING.]])/365)</f>
        <v>1</v>
      </c>
      <c r="K57" s="41" t="s">
        <v>782</v>
      </c>
      <c r="L57" s="43">
        <v>8373353872</v>
      </c>
    </row>
    <row r="58" spans="2:12" x14ac:dyDescent="0.25">
      <c r="B58" s="44">
        <v>419</v>
      </c>
      <c r="C58" s="176" t="s">
        <v>627</v>
      </c>
      <c r="D58" s="178">
        <v>8225</v>
      </c>
      <c r="E58" s="323">
        <v>41734</v>
      </c>
      <c r="F58" s="323">
        <v>42223</v>
      </c>
      <c r="G58" s="42" t="str">
        <f>VLOOKUP(H58,TABLAS!$B$3:$G$49,2,FALSE)</f>
        <v>DIV INGENRIA</v>
      </c>
      <c r="H58" s="198" t="s">
        <v>756</v>
      </c>
      <c r="I58" s="42" t="s">
        <v>760</v>
      </c>
      <c r="J58" s="44">
        <f>INT((BDDBAJAS[[#This Row],[FECHA SAL.]]-BDDBAJAS[[#This Row],[FECHA ING.]])/365)</f>
        <v>1</v>
      </c>
      <c r="K58" s="41" t="s">
        <v>267</v>
      </c>
      <c r="L58" s="43">
        <v>5434963452</v>
      </c>
    </row>
    <row r="59" spans="2:12" x14ac:dyDescent="0.25">
      <c r="B59" s="44">
        <v>429</v>
      </c>
      <c r="C59" s="176" t="s">
        <v>596</v>
      </c>
      <c r="D59" s="177">
        <v>6360</v>
      </c>
      <c r="E59" s="323">
        <v>41759</v>
      </c>
      <c r="F59" s="323">
        <v>42220</v>
      </c>
      <c r="G59" s="42" t="str">
        <f>VLOOKUP(H59,TABLAS!$B$3:$G$49,2,FALSE)</f>
        <v>DIRECCIÓN</v>
      </c>
      <c r="H59" s="198" t="s">
        <v>745</v>
      </c>
      <c r="I59" s="42" t="s">
        <v>760</v>
      </c>
      <c r="J59" s="44">
        <f>INT((BDDBAJAS[[#This Row],[FECHA SAL.]]-BDDBAJAS[[#This Row],[FECHA ING.]])/365)</f>
        <v>1</v>
      </c>
      <c r="K59" s="41" t="s">
        <v>267</v>
      </c>
      <c r="L59" s="43">
        <v>5580515884</v>
      </c>
    </row>
    <row r="60" spans="2:12" x14ac:dyDescent="0.25">
      <c r="B60" s="44">
        <v>440</v>
      </c>
      <c r="C60" s="176" t="s">
        <v>528</v>
      </c>
      <c r="D60" s="177">
        <v>10500</v>
      </c>
      <c r="E60" s="323">
        <v>41875</v>
      </c>
      <c r="F60" s="323">
        <v>42326</v>
      </c>
      <c r="G60" s="42" t="str">
        <f>VLOOKUP(H60,TABLAS!$B$3:$G$49,2,FALSE)</f>
        <v>DIV INGENRIA</v>
      </c>
      <c r="H60" s="198" t="s">
        <v>743</v>
      </c>
      <c r="I60" s="42" t="s">
        <v>760</v>
      </c>
      <c r="J60" s="44">
        <f>INT((BDDBAJAS[[#This Row],[FECHA SAL.]]-BDDBAJAS[[#This Row],[FECHA ING.]])/365)</f>
        <v>1</v>
      </c>
      <c r="K60" s="41" t="s">
        <v>782</v>
      </c>
      <c r="L60" s="43">
        <v>8195081658.0072002</v>
      </c>
    </row>
    <row r="61" spans="2:12" x14ac:dyDescent="0.25">
      <c r="B61" s="44">
        <v>441</v>
      </c>
      <c r="C61" s="176" t="s">
        <v>520</v>
      </c>
      <c r="D61" s="177">
        <v>6360</v>
      </c>
      <c r="E61" s="323">
        <v>41909</v>
      </c>
      <c r="F61" s="323">
        <v>42277</v>
      </c>
      <c r="G61" s="42" t="str">
        <f>VLOOKUP(H61,TABLAS!$B$3:$G$49,2,FALSE)</f>
        <v>TECNOLOGÍA</v>
      </c>
      <c r="H61" s="198" t="s">
        <v>751</v>
      </c>
      <c r="I61" s="42" t="s">
        <v>760</v>
      </c>
      <c r="J61" s="44">
        <f>INT((BDDBAJAS[[#This Row],[FECHA SAL.]]-BDDBAJAS[[#This Row],[FECHA ING.]])/365)</f>
        <v>1</v>
      </c>
      <c r="K61" s="41" t="s">
        <v>782</v>
      </c>
      <c r="L61" s="43">
        <v>8973302908</v>
      </c>
    </row>
    <row r="62" spans="2:12" x14ac:dyDescent="0.25">
      <c r="B62" s="44">
        <v>447</v>
      </c>
      <c r="C62" s="176" t="s">
        <v>606</v>
      </c>
      <c r="D62" s="178">
        <v>6778</v>
      </c>
      <c r="E62" s="323">
        <v>41910</v>
      </c>
      <c r="F62" s="323">
        <v>42587</v>
      </c>
      <c r="G62" s="42" t="str">
        <f>VLOOKUP(H62,TABLAS!$B$3:$G$49,2,FALSE)</f>
        <v>DIRECCIÓN</v>
      </c>
      <c r="H62" s="198" t="s">
        <v>759</v>
      </c>
      <c r="I62" s="42" t="s">
        <v>760</v>
      </c>
      <c r="J62" s="44">
        <f>INT((BDDBAJAS[[#This Row],[FECHA SAL.]]-BDDBAJAS[[#This Row],[FECHA ING.]])/365)</f>
        <v>1</v>
      </c>
      <c r="K62" s="41" t="s">
        <v>782</v>
      </c>
      <c r="L62" s="43">
        <v>8206934842.0072002</v>
      </c>
    </row>
    <row r="63" spans="2:12" x14ac:dyDescent="0.25">
      <c r="B63" s="46">
        <v>453</v>
      </c>
      <c r="C63" s="46" t="s">
        <v>202</v>
      </c>
      <c r="D63" s="317">
        <v>6900</v>
      </c>
      <c r="E63" s="323">
        <v>41926</v>
      </c>
      <c r="F63" s="323">
        <v>42590</v>
      </c>
      <c r="G63" s="42" t="str">
        <f>VLOOKUP(H63,TABLAS!$B$3:$G$49,2,FALSE)</f>
        <v>CPTAL HUMANO</v>
      </c>
      <c r="H63" s="244" t="s">
        <v>767</v>
      </c>
      <c r="I63" s="46" t="s">
        <v>86</v>
      </c>
      <c r="J63" s="175">
        <f>INT((BDDBAJAS[[#This Row],[FECHA SAL.]]-BDDBAJAS[[#This Row],[FECHA ING.]])/365)</f>
        <v>1</v>
      </c>
      <c r="K63" s="41" t="s">
        <v>782</v>
      </c>
      <c r="L63" s="46">
        <v>8397501094</v>
      </c>
    </row>
    <row r="64" spans="2:12" x14ac:dyDescent="0.25">
      <c r="B64" s="44">
        <v>457</v>
      </c>
      <c r="C64" s="176" t="s">
        <v>477</v>
      </c>
      <c r="D64" s="178">
        <v>9500</v>
      </c>
      <c r="E64" s="323">
        <v>41974</v>
      </c>
      <c r="F64" s="323">
        <v>42637</v>
      </c>
      <c r="G64" s="42" t="str">
        <f>VLOOKUP(H64,TABLAS!$B$3:$G$49,2,FALSE)</f>
        <v>DIRECCIÓN</v>
      </c>
      <c r="H64" s="198" t="s">
        <v>746</v>
      </c>
      <c r="I64" s="42" t="s">
        <v>760</v>
      </c>
      <c r="J64" s="44">
        <f>INT((BDDBAJAS[[#This Row],[FECHA SAL.]]-BDDBAJAS[[#This Row],[FECHA ING.]])/365)</f>
        <v>1</v>
      </c>
      <c r="K64" s="41" t="s">
        <v>782</v>
      </c>
      <c r="L64" s="43">
        <v>8988877886</v>
      </c>
    </row>
    <row r="65" spans="2:12" x14ac:dyDescent="0.25">
      <c r="B65" s="44">
        <v>465</v>
      </c>
      <c r="C65" s="176" t="s">
        <v>702</v>
      </c>
      <c r="D65" s="178">
        <v>9500</v>
      </c>
      <c r="E65" s="323">
        <v>42062</v>
      </c>
      <c r="F65" s="323">
        <v>42514</v>
      </c>
      <c r="G65" s="42" t="str">
        <f>VLOOKUP(H65,TABLAS!$B$3:$G$49,2,FALSE)</f>
        <v>AUDITORÍA</v>
      </c>
      <c r="H65" s="198" t="s">
        <v>736</v>
      </c>
      <c r="I65" s="42" t="s">
        <v>760</v>
      </c>
      <c r="J65" s="44">
        <f>INT((BDDBAJAS[[#This Row],[FECHA SAL.]]-BDDBAJAS[[#This Row],[FECHA ING.]])/365)</f>
        <v>1</v>
      </c>
      <c r="K65" s="41" t="s">
        <v>267</v>
      </c>
      <c r="L65" s="43">
        <v>4547642399</v>
      </c>
    </row>
    <row r="66" spans="2:12" x14ac:dyDescent="0.25">
      <c r="B66" s="44">
        <v>471</v>
      </c>
      <c r="C66" s="176" t="s">
        <v>680</v>
      </c>
      <c r="D66" s="177">
        <v>7445</v>
      </c>
      <c r="E66" s="323">
        <v>42116</v>
      </c>
      <c r="F66" s="323">
        <v>42780</v>
      </c>
      <c r="G66" s="42" t="str">
        <f>VLOOKUP(H66,TABLAS!$B$3:$G$49,2,FALSE)</f>
        <v>DIRECCIÓN</v>
      </c>
      <c r="H66" s="198" t="s">
        <v>746</v>
      </c>
      <c r="I66" s="42" t="s">
        <v>760</v>
      </c>
      <c r="J66" s="44">
        <f>INT((BDDBAJAS[[#This Row],[FECHA SAL.]]-BDDBAJAS[[#This Row],[FECHA ING.]])/365)</f>
        <v>1</v>
      </c>
      <c r="K66" s="41" t="s">
        <v>267</v>
      </c>
      <c r="L66" s="43">
        <v>5570639341</v>
      </c>
    </row>
    <row r="67" spans="2:12" x14ac:dyDescent="0.25">
      <c r="B67" s="44">
        <v>480</v>
      </c>
      <c r="C67" s="176" t="s">
        <v>447</v>
      </c>
      <c r="D67" s="177">
        <v>6360</v>
      </c>
      <c r="E67" s="323">
        <v>42134</v>
      </c>
      <c r="F67" s="323">
        <v>42799</v>
      </c>
      <c r="G67" s="42" t="str">
        <f>VLOOKUP(H67,TABLAS!$B$3:$G$49,2,FALSE)</f>
        <v>DIV INGENRIA</v>
      </c>
      <c r="H67" s="198" t="s">
        <v>756</v>
      </c>
      <c r="I67" s="42" t="s">
        <v>760</v>
      </c>
      <c r="J67" s="44">
        <f>INT((BDDBAJAS[[#This Row],[FECHA SAL.]]-BDDBAJAS[[#This Row],[FECHA ING.]])/365)</f>
        <v>1</v>
      </c>
      <c r="K67" s="41" t="s">
        <v>782</v>
      </c>
      <c r="L67" s="43">
        <v>8206568026</v>
      </c>
    </row>
    <row r="68" spans="2:12" x14ac:dyDescent="0.25">
      <c r="B68" s="44">
        <v>481</v>
      </c>
      <c r="C68" s="176" t="s">
        <v>655</v>
      </c>
      <c r="D68" s="177">
        <v>7445</v>
      </c>
      <c r="E68" s="323">
        <v>42175</v>
      </c>
      <c r="F68" s="323">
        <v>42585</v>
      </c>
      <c r="G68" s="42" t="str">
        <f>VLOOKUP(H68,TABLAS!$B$3:$G$49,2,FALSE)</f>
        <v>CONTABILIDAD</v>
      </c>
      <c r="H68" s="198" t="s">
        <v>737</v>
      </c>
      <c r="I68" s="42" t="s">
        <v>760</v>
      </c>
      <c r="J68" s="44">
        <f>INT((BDDBAJAS[[#This Row],[FECHA SAL.]]-BDDBAJAS[[#This Row],[FECHA ING.]])/365)</f>
        <v>1</v>
      </c>
      <c r="K68" s="41" t="s">
        <v>783</v>
      </c>
      <c r="L68" s="43">
        <v>5686583202.5</v>
      </c>
    </row>
    <row r="69" spans="2:12" x14ac:dyDescent="0.25">
      <c r="B69" s="46">
        <v>483</v>
      </c>
      <c r="C69" s="46" t="s">
        <v>212</v>
      </c>
      <c r="D69" s="317">
        <v>6300</v>
      </c>
      <c r="E69" s="323">
        <v>42183</v>
      </c>
      <c r="F69" s="323">
        <v>42763</v>
      </c>
      <c r="G69" s="42" t="str">
        <f>VLOOKUP(H69,TABLAS!$B$3:$G$49,2,FALSE)</f>
        <v>DIV ARQUIT</v>
      </c>
      <c r="H69" s="198" t="s">
        <v>740</v>
      </c>
      <c r="I69" s="46" t="s">
        <v>86</v>
      </c>
      <c r="J69" s="175">
        <f>INT((BDDBAJAS[[#This Row],[FECHA SAL.]]-BDDBAJAS[[#This Row],[FECHA ING.]])/365)</f>
        <v>1</v>
      </c>
      <c r="K69" s="41" t="s">
        <v>782</v>
      </c>
      <c r="L69" s="46">
        <v>8244525311</v>
      </c>
    </row>
    <row r="70" spans="2:12" x14ac:dyDescent="0.25">
      <c r="B70" s="44">
        <v>490</v>
      </c>
      <c r="C70" s="176" t="s">
        <v>700</v>
      </c>
      <c r="D70" s="178">
        <v>8225</v>
      </c>
      <c r="E70" s="323">
        <v>42204</v>
      </c>
      <c r="F70" s="323">
        <v>42656</v>
      </c>
      <c r="G70" s="42" t="str">
        <f>VLOOKUP(H70,TABLAS!$B$3:$G$49,2,FALSE)</f>
        <v>DIRECCIÓN</v>
      </c>
      <c r="H70" s="198" t="s">
        <v>745</v>
      </c>
      <c r="I70" s="42" t="s">
        <v>760</v>
      </c>
      <c r="J70" s="44">
        <f>INT((BDDBAJAS[[#This Row],[FECHA SAL.]]-BDDBAJAS[[#This Row],[FECHA ING.]])/365)</f>
        <v>1</v>
      </c>
      <c r="K70" s="41" t="s">
        <v>783</v>
      </c>
      <c r="L70" s="43">
        <v>6726444516</v>
      </c>
    </row>
    <row r="71" spans="2:12" x14ac:dyDescent="0.25">
      <c r="B71" s="44">
        <v>492</v>
      </c>
      <c r="C71" s="176" t="s">
        <v>529</v>
      </c>
      <c r="D71" s="177">
        <v>6580</v>
      </c>
      <c r="E71" s="323">
        <v>42252</v>
      </c>
      <c r="F71" s="323">
        <v>42826</v>
      </c>
      <c r="G71" s="42" t="str">
        <f>VLOOKUP(H71,TABLAS!$B$3:$G$49,2,FALSE)</f>
        <v>AUDITORÍA</v>
      </c>
      <c r="H71" s="198" t="s">
        <v>736</v>
      </c>
      <c r="I71" s="42" t="s">
        <v>760</v>
      </c>
      <c r="J71" s="44">
        <f>INT((BDDBAJAS[[#This Row],[FECHA SAL.]]-BDDBAJAS[[#This Row],[FECHA ING.]])/365)</f>
        <v>1</v>
      </c>
      <c r="K71" s="41" t="s">
        <v>782</v>
      </c>
      <c r="L71" s="43">
        <v>8194549383.5187902</v>
      </c>
    </row>
    <row r="72" spans="2:12" x14ac:dyDescent="0.25">
      <c r="B72" s="44">
        <v>499</v>
      </c>
      <c r="C72" s="176" t="s">
        <v>710</v>
      </c>
      <c r="D72" s="178">
        <v>8000</v>
      </c>
      <c r="E72" s="323">
        <v>42265</v>
      </c>
      <c r="F72" s="323">
        <v>42928</v>
      </c>
      <c r="G72" s="42" t="str">
        <f>VLOOKUP(H72,TABLAS!$B$3:$G$49,2,FALSE)</f>
        <v>CPTAL HUMANO</v>
      </c>
      <c r="H72" s="198" t="s">
        <v>758</v>
      </c>
      <c r="I72" s="42" t="s">
        <v>760</v>
      </c>
      <c r="J72" s="44">
        <f>INT((BDDBAJAS[[#This Row],[FECHA SAL.]]-BDDBAJAS[[#This Row],[FECHA ING.]])/365)</f>
        <v>1</v>
      </c>
      <c r="K72" s="41" t="s">
        <v>267</v>
      </c>
      <c r="L72" s="43">
        <v>4077153748</v>
      </c>
    </row>
    <row r="73" spans="2:12" x14ac:dyDescent="0.25">
      <c r="B73" s="44">
        <v>505</v>
      </c>
      <c r="C73" s="176" t="s">
        <v>615</v>
      </c>
      <c r="D73" s="178">
        <v>7445</v>
      </c>
      <c r="E73" s="323">
        <v>42331</v>
      </c>
      <c r="F73" s="323">
        <v>42783</v>
      </c>
      <c r="G73" s="42" t="str">
        <f>VLOOKUP(H73,TABLAS!$B$3:$G$49,2,FALSE)</f>
        <v>DIV ARQUIT</v>
      </c>
      <c r="H73" s="198" t="s">
        <v>740</v>
      </c>
      <c r="I73" s="42" t="s">
        <v>760</v>
      </c>
      <c r="J73" s="44">
        <f>INT((BDDBAJAS[[#This Row],[FECHA SAL.]]-BDDBAJAS[[#This Row],[FECHA ING.]])/365)</f>
        <v>1</v>
      </c>
      <c r="K73" s="41" t="s">
        <v>782</v>
      </c>
      <c r="L73" s="43">
        <v>9889707396</v>
      </c>
    </row>
    <row r="74" spans="2:12" x14ac:dyDescent="0.25">
      <c r="B74" s="44">
        <v>506</v>
      </c>
      <c r="C74" s="176" t="s">
        <v>521</v>
      </c>
      <c r="D74" s="177">
        <v>10500</v>
      </c>
      <c r="E74" s="323">
        <v>42419</v>
      </c>
      <c r="F74" s="323">
        <v>42833</v>
      </c>
      <c r="G74" s="42" t="str">
        <f>VLOOKUP(H74,TABLAS!$B$3:$G$49,2,FALSE)</f>
        <v>DIV ARQUIT</v>
      </c>
      <c r="H74" s="198" t="s">
        <v>740</v>
      </c>
      <c r="I74" s="42" t="s">
        <v>760</v>
      </c>
      <c r="J74" s="44">
        <f>INT((BDDBAJAS[[#This Row],[FECHA SAL.]]-BDDBAJAS[[#This Row],[FECHA ING.]])/365)</f>
        <v>1</v>
      </c>
      <c r="K74" s="41" t="s">
        <v>782</v>
      </c>
      <c r="L74" s="43">
        <v>8199339853.9145298</v>
      </c>
    </row>
    <row r="75" spans="2:12" x14ac:dyDescent="0.25">
      <c r="B75" s="44">
        <v>508</v>
      </c>
      <c r="C75" s="176" t="s">
        <v>464</v>
      </c>
      <c r="D75" s="178">
        <v>7445</v>
      </c>
      <c r="E75" s="323">
        <v>42433</v>
      </c>
      <c r="F75" s="323">
        <v>42886</v>
      </c>
      <c r="G75" s="42" t="str">
        <f>VLOOKUP(H75,TABLAS!$B$3:$G$49,2,FALSE)</f>
        <v>CONTABILIDAD</v>
      </c>
      <c r="H75" s="198" t="s">
        <v>737</v>
      </c>
      <c r="I75" s="42" t="s">
        <v>760</v>
      </c>
      <c r="J75" s="44">
        <f>INT((BDDBAJAS[[#This Row],[FECHA SAL.]]-BDDBAJAS[[#This Row],[FECHA ING.]])/365)</f>
        <v>1</v>
      </c>
      <c r="K75" s="41" t="s">
        <v>782</v>
      </c>
      <c r="L75" s="43">
        <v>7994159203.5</v>
      </c>
    </row>
    <row r="76" spans="2:12" x14ac:dyDescent="0.25">
      <c r="B76" s="46">
        <v>512</v>
      </c>
      <c r="C76" s="46" t="s">
        <v>145</v>
      </c>
      <c r="D76" s="317">
        <v>6778</v>
      </c>
      <c r="E76" s="323">
        <v>42464</v>
      </c>
      <c r="F76" s="323">
        <v>43127</v>
      </c>
      <c r="G76" s="42" t="str">
        <f>VLOOKUP(H76,TABLAS!$B$3:$G$49,2,FALSE)</f>
        <v>DIV INGENRIA</v>
      </c>
      <c r="H76" s="198" t="s">
        <v>744</v>
      </c>
      <c r="I76" s="46" t="s">
        <v>86</v>
      </c>
      <c r="J76" s="175">
        <f>INT((BDDBAJAS[[#This Row],[FECHA SAL.]]-BDDBAJAS[[#This Row],[FECHA ING.]])/365)</f>
        <v>1</v>
      </c>
      <c r="K76" s="41" t="s">
        <v>782</v>
      </c>
      <c r="L76" s="46">
        <v>8329299115</v>
      </c>
    </row>
    <row r="77" spans="2:12" x14ac:dyDescent="0.25">
      <c r="B77" s="44">
        <v>515</v>
      </c>
      <c r="C77" s="176" t="s">
        <v>549</v>
      </c>
      <c r="D77" s="177">
        <v>6360</v>
      </c>
      <c r="E77" s="323">
        <v>42480</v>
      </c>
      <c r="F77" s="323">
        <v>43145</v>
      </c>
      <c r="G77" s="42" t="str">
        <f>VLOOKUP(H77,TABLAS!$B$3:$G$49,2,FALSE)</f>
        <v>DIV INGENRIA</v>
      </c>
      <c r="H77" s="198" t="s">
        <v>744</v>
      </c>
      <c r="I77" s="42" t="s">
        <v>760</v>
      </c>
      <c r="J77" s="44">
        <f>INT((BDDBAJAS[[#This Row],[FECHA SAL.]]-BDDBAJAS[[#This Row],[FECHA ING.]])/365)</f>
        <v>1</v>
      </c>
      <c r="K77" s="41" t="s">
        <v>268</v>
      </c>
      <c r="L77" s="43">
        <v>2098322132</v>
      </c>
    </row>
    <row r="78" spans="2:12" x14ac:dyDescent="0.25">
      <c r="B78" s="44">
        <v>534</v>
      </c>
      <c r="C78" s="176" t="s">
        <v>572</v>
      </c>
      <c r="D78" s="178">
        <v>8225</v>
      </c>
      <c r="E78" s="323">
        <v>42595</v>
      </c>
      <c r="F78" s="323">
        <v>43270</v>
      </c>
      <c r="G78" s="42" t="str">
        <f>VLOOKUP(H78,TABLAS!$B$3:$G$49,2,FALSE)</f>
        <v>AUDITORÍA</v>
      </c>
      <c r="H78" s="198" t="s">
        <v>735</v>
      </c>
      <c r="I78" s="42" t="s">
        <v>760</v>
      </c>
      <c r="J78" s="44">
        <f>INT((BDDBAJAS[[#This Row],[FECHA SAL.]]-BDDBAJAS[[#This Row],[FECHA ING.]])/365)</f>
        <v>1</v>
      </c>
      <c r="K78" s="41" t="s">
        <v>783</v>
      </c>
      <c r="L78" s="43">
        <v>5696459745.5</v>
      </c>
    </row>
    <row r="79" spans="2:12" x14ac:dyDescent="0.25">
      <c r="B79" s="44">
        <v>549</v>
      </c>
      <c r="C79" s="176" t="s">
        <v>564</v>
      </c>
      <c r="D79" s="178">
        <v>7445</v>
      </c>
      <c r="E79" s="323">
        <v>42816</v>
      </c>
      <c r="F79" s="323">
        <v>43520</v>
      </c>
      <c r="G79" s="42" t="str">
        <f>VLOOKUP(H79,TABLAS!$B$3:$G$49,2,FALSE)</f>
        <v>FINANZAS</v>
      </c>
      <c r="H79" s="198" t="s">
        <v>748</v>
      </c>
      <c r="I79" s="42" t="s">
        <v>760</v>
      </c>
      <c r="J79" s="44">
        <f>INT((BDDBAJAS[[#This Row],[FECHA SAL.]]-BDDBAJAS[[#This Row],[FECHA ING.]])/365)</f>
        <v>1</v>
      </c>
      <c r="K79" s="41" t="s">
        <v>782</v>
      </c>
      <c r="L79" s="43">
        <v>8206613188.0072002</v>
      </c>
    </row>
    <row r="80" spans="2:12" x14ac:dyDescent="0.25">
      <c r="B80" s="44">
        <v>550</v>
      </c>
      <c r="C80" s="176" t="s">
        <v>600</v>
      </c>
      <c r="D80" s="177">
        <v>6360</v>
      </c>
      <c r="E80" s="323">
        <v>42838</v>
      </c>
      <c r="F80" s="323">
        <v>43247</v>
      </c>
      <c r="G80" s="42" t="str">
        <f>VLOOKUP(H80,TABLAS!$B$3:$G$49,2,FALSE)</f>
        <v>CONTRATOS</v>
      </c>
      <c r="H80" s="198" t="s">
        <v>738</v>
      </c>
      <c r="I80" s="42" t="s">
        <v>760</v>
      </c>
      <c r="J80" s="44">
        <f>INT((BDDBAJAS[[#This Row],[FECHA SAL.]]-BDDBAJAS[[#This Row],[FECHA ING.]])/365)</f>
        <v>1</v>
      </c>
      <c r="K80" s="41" t="s">
        <v>782</v>
      </c>
      <c r="L80" s="43">
        <v>8210128488.9377003</v>
      </c>
    </row>
    <row r="81" spans="2:12" x14ac:dyDescent="0.25">
      <c r="B81" s="44">
        <v>565</v>
      </c>
      <c r="C81" s="176" t="s">
        <v>468</v>
      </c>
      <c r="D81" s="178">
        <v>7445</v>
      </c>
      <c r="E81" s="323">
        <v>42880</v>
      </c>
      <c r="F81" s="323">
        <v>43545</v>
      </c>
      <c r="G81" s="42" t="str">
        <f>VLOOKUP(H81,TABLAS!$B$3:$G$49,2,FALSE)</f>
        <v>CPTAL HUMANO</v>
      </c>
      <c r="H81" s="198" t="s">
        <v>758</v>
      </c>
      <c r="I81" s="42" t="s">
        <v>761</v>
      </c>
      <c r="J81" s="44">
        <f>INT((BDDBAJAS[[#This Row],[FECHA SAL.]]-BDDBAJAS[[#This Row],[FECHA ING.]])/365)</f>
        <v>1</v>
      </c>
      <c r="K81" s="41" t="s">
        <v>784</v>
      </c>
      <c r="L81" s="43">
        <v>3287528159</v>
      </c>
    </row>
    <row r="82" spans="2:12" x14ac:dyDescent="0.25">
      <c r="B82" s="44">
        <v>566</v>
      </c>
      <c r="C82" s="176" t="s">
        <v>491</v>
      </c>
      <c r="D82" s="178">
        <v>7698</v>
      </c>
      <c r="E82" s="323">
        <v>42957</v>
      </c>
      <c r="F82" s="323">
        <v>43595</v>
      </c>
      <c r="G82" s="42" t="str">
        <f>VLOOKUP(H82,TABLAS!$B$3:$G$49,2,FALSE)</f>
        <v>DIRECCIÓN</v>
      </c>
      <c r="H82" s="198" t="s">
        <v>759</v>
      </c>
      <c r="I82" s="42" t="s">
        <v>760</v>
      </c>
      <c r="J82" s="44">
        <f>INT((BDDBAJAS[[#This Row],[FECHA SAL.]]-BDDBAJAS[[#This Row],[FECHA ING.]])/365)</f>
        <v>1</v>
      </c>
      <c r="K82" s="41" t="s">
        <v>267</v>
      </c>
      <c r="L82" s="43">
        <v>4308841341</v>
      </c>
    </row>
    <row r="83" spans="2:12" x14ac:dyDescent="0.25">
      <c r="B83" s="44">
        <v>567</v>
      </c>
      <c r="C83" s="176" t="s">
        <v>662</v>
      </c>
      <c r="D83" s="177">
        <v>7445</v>
      </c>
      <c r="E83" s="323">
        <v>42965</v>
      </c>
      <c r="F83" s="323">
        <v>43673</v>
      </c>
      <c r="G83" s="42" t="str">
        <f>VLOOKUP(H83,TABLAS!$B$3:$G$49,2,FALSE)</f>
        <v>CONTRATOS</v>
      </c>
      <c r="H83" s="198" t="s">
        <v>738</v>
      </c>
      <c r="I83" s="42" t="s">
        <v>760</v>
      </c>
      <c r="J83" s="44">
        <f>INT((BDDBAJAS[[#This Row],[FECHA SAL.]]-BDDBAJAS[[#This Row],[FECHA ING.]])/365)</f>
        <v>1</v>
      </c>
      <c r="K83" s="41" t="s">
        <v>785</v>
      </c>
      <c r="L83" s="43">
        <v>2358419448</v>
      </c>
    </row>
    <row r="84" spans="2:12" x14ac:dyDescent="0.25">
      <c r="B84" s="44">
        <v>570</v>
      </c>
      <c r="C84" s="176" t="s">
        <v>660</v>
      </c>
      <c r="D84" s="177">
        <v>7445</v>
      </c>
      <c r="E84" s="323">
        <v>42968</v>
      </c>
      <c r="F84" s="323">
        <v>43632</v>
      </c>
      <c r="G84" s="42" t="str">
        <f>VLOOKUP(H84,TABLAS!$B$3:$G$49,2,FALSE)</f>
        <v>CONTRATOS</v>
      </c>
      <c r="H84" s="198" t="s">
        <v>739</v>
      </c>
      <c r="I84" s="42" t="s">
        <v>760</v>
      </c>
      <c r="J84" s="44">
        <f>INT((BDDBAJAS[[#This Row],[FECHA SAL.]]-BDDBAJAS[[#This Row],[FECHA ING.]])/365)</f>
        <v>1</v>
      </c>
      <c r="K84" s="41" t="s">
        <v>267</v>
      </c>
      <c r="L84" s="43">
        <v>4537642400</v>
      </c>
    </row>
    <row r="85" spans="2:12" x14ac:dyDescent="0.25">
      <c r="B85" s="44">
        <v>573</v>
      </c>
      <c r="C85" s="176" t="s">
        <v>704</v>
      </c>
      <c r="D85" s="178">
        <v>7698</v>
      </c>
      <c r="E85" s="323">
        <v>43020</v>
      </c>
      <c r="F85" s="323">
        <v>43593</v>
      </c>
      <c r="G85" s="42" t="str">
        <f>VLOOKUP(H85,TABLAS!$B$3:$G$49,2,FALSE)</f>
        <v>CONTABILIDAD</v>
      </c>
      <c r="H85" s="198" t="s">
        <v>737</v>
      </c>
      <c r="I85" s="42" t="s">
        <v>760</v>
      </c>
      <c r="J85" s="44">
        <f>INT((BDDBAJAS[[#This Row],[FECHA SAL.]]-BDDBAJAS[[#This Row],[FECHA ING.]])/365)</f>
        <v>1</v>
      </c>
      <c r="K85" s="41" t="s">
        <v>267</v>
      </c>
      <c r="L85" s="43">
        <v>5434765254</v>
      </c>
    </row>
    <row r="86" spans="2:12" x14ac:dyDescent="0.25">
      <c r="B86" s="44">
        <v>575</v>
      </c>
      <c r="C86" s="176" t="s">
        <v>580</v>
      </c>
      <c r="D86" s="178">
        <v>6500</v>
      </c>
      <c r="E86" s="323">
        <v>43024</v>
      </c>
      <c r="F86" s="323">
        <v>43481</v>
      </c>
      <c r="G86" s="42" t="str">
        <f>VLOOKUP(H86,TABLAS!$B$3:$G$49,2,FALSE)</f>
        <v>DIRECCIÓN</v>
      </c>
      <c r="H86" s="198" t="s">
        <v>746</v>
      </c>
      <c r="I86" s="42" t="s">
        <v>760</v>
      </c>
      <c r="J86" s="44">
        <f>INT((BDDBAJAS[[#This Row],[FECHA SAL.]]-BDDBAJAS[[#This Row],[FECHA ING.]])/365)</f>
        <v>1</v>
      </c>
      <c r="K86" s="41" t="s">
        <v>782</v>
      </c>
      <c r="L86" s="43">
        <v>9180219213</v>
      </c>
    </row>
    <row r="87" spans="2:12" x14ac:dyDescent="0.25">
      <c r="B87" s="44">
        <v>578</v>
      </c>
      <c r="C87" s="176" t="s">
        <v>689</v>
      </c>
      <c r="D87" s="178">
        <v>7445</v>
      </c>
      <c r="E87" s="323">
        <v>43029</v>
      </c>
      <c r="F87" s="323">
        <v>43726</v>
      </c>
      <c r="G87" s="42" t="str">
        <f>VLOOKUP(H87,TABLAS!$B$3:$G$49,2,FALSE)</f>
        <v>DIV INGENRIA</v>
      </c>
      <c r="H87" s="198" t="s">
        <v>743</v>
      </c>
      <c r="I87" s="42" t="s">
        <v>760</v>
      </c>
      <c r="J87" s="44">
        <f>INT((BDDBAJAS[[#This Row],[FECHA SAL.]]-BDDBAJAS[[#This Row],[FECHA ING.]])/365)</f>
        <v>1</v>
      </c>
      <c r="K87" s="41" t="s">
        <v>782</v>
      </c>
      <c r="L87" s="43">
        <v>8206736644.0072002</v>
      </c>
    </row>
    <row r="88" spans="2:12" x14ac:dyDescent="0.25">
      <c r="B88" s="44">
        <v>582</v>
      </c>
      <c r="C88" s="176" t="s">
        <v>476</v>
      </c>
      <c r="D88" s="178">
        <v>8225</v>
      </c>
      <c r="E88" s="323">
        <v>43052</v>
      </c>
      <c r="F88" s="323">
        <v>43509</v>
      </c>
      <c r="G88" s="42" t="str">
        <f>VLOOKUP(H88,TABLAS!$B$3:$G$49,2,FALSE)</f>
        <v>CONTRATOS</v>
      </c>
      <c r="H88" s="198" t="s">
        <v>738</v>
      </c>
      <c r="I88" s="42" t="s">
        <v>760</v>
      </c>
      <c r="J88" s="44">
        <f>INT((BDDBAJAS[[#This Row],[FECHA SAL.]]-BDDBAJAS[[#This Row],[FECHA ING.]])/365)</f>
        <v>1</v>
      </c>
      <c r="K88" s="41" t="s">
        <v>782</v>
      </c>
      <c r="L88" s="43">
        <v>8462570738</v>
      </c>
    </row>
    <row r="89" spans="2:12" x14ac:dyDescent="0.25">
      <c r="B89" s="44">
        <v>583</v>
      </c>
      <c r="C89" s="176" t="s">
        <v>644</v>
      </c>
      <c r="D89" s="178">
        <v>7698</v>
      </c>
      <c r="E89" s="323">
        <v>43090</v>
      </c>
      <c r="F89" s="323">
        <v>43754</v>
      </c>
      <c r="G89" s="42" t="str">
        <f>VLOOKUP(H89,TABLAS!$B$3:$G$49,2,FALSE)</f>
        <v>DIV INGENRIA</v>
      </c>
      <c r="H89" s="198" t="s">
        <v>743</v>
      </c>
      <c r="I89" s="42" t="s">
        <v>760</v>
      </c>
      <c r="J89" s="44">
        <f>INT((BDDBAJAS[[#This Row],[FECHA SAL.]]-BDDBAJAS[[#This Row],[FECHA ING.]])/365)</f>
        <v>1</v>
      </c>
      <c r="K89" s="41" t="s">
        <v>782</v>
      </c>
      <c r="L89" s="43">
        <v>8198333468.4724503</v>
      </c>
    </row>
    <row r="90" spans="2:12" x14ac:dyDescent="0.25">
      <c r="B90" s="44">
        <v>592</v>
      </c>
      <c r="C90" s="176" t="s">
        <v>533</v>
      </c>
      <c r="D90" s="177">
        <v>7445</v>
      </c>
      <c r="E90" s="323">
        <v>43094</v>
      </c>
      <c r="F90" s="323">
        <v>43770</v>
      </c>
      <c r="G90" s="42" t="str">
        <f>VLOOKUP(H90,TABLAS!$B$3:$G$49,2,FALSE)</f>
        <v>DIV INGENRIA</v>
      </c>
      <c r="H90" s="198" t="s">
        <v>743</v>
      </c>
      <c r="I90" s="42" t="s">
        <v>760</v>
      </c>
      <c r="J90" s="44">
        <f>INT((BDDBAJAS[[#This Row],[FECHA SAL.]]-BDDBAJAS[[#This Row],[FECHA ING.]])/365)</f>
        <v>1</v>
      </c>
      <c r="K90" s="41" t="s">
        <v>267</v>
      </c>
      <c r="L90" s="43">
        <v>5584785223</v>
      </c>
    </row>
    <row r="91" spans="2:12" x14ac:dyDescent="0.25">
      <c r="B91" s="44">
        <v>593</v>
      </c>
      <c r="C91" s="176" t="s">
        <v>616</v>
      </c>
      <c r="D91" s="178">
        <v>7445</v>
      </c>
      <c r="E91" s="323">
        <v>43099</v>
      </c>
      <c r="F91" s="323">
        <v>43717</v>
      </c>
      <c r="G91" s="42" t="str">
        <f>VLOOKUP(H91,TABLAS!$B$3:$G$49,2,FALSE)</f>
        <v>DIV INGENRIA</v>
      </c>
      <c r="H91" s="198" t="s">
        <v>743</v>
      </c>
      <c r="I91" s="42" t="s">
        <v>760</v>
      </c>
      <c r="J91" s="44">
        <f>INT((BDDBAJAS[[#This Row],[FECHA SAL.]]-BDDBAJAS[[#This Row],[FECHA ING.]])/365)</f>
        <v>1</v>
      </c>
      <c r="K91" s="41" t="s">
        <v>782</v>
      </c>
      <c r="L91" s="43">
        <v>7877175059</v>
      </c>
    </row>
    <row r="92" spans="2:12" x14ac:dyDescent="0.25">
      <c r="B92" s="46">
        <v>596</v>
      </c>
      <c r="C92" s="46" t="s">
        <v>223</v>
      </c>
      <c r="D92" s="317">
        <v>7700</v>
      </c>
      <c r="E92" s="323">
        <v>43133</v>
      </c>
      <c r="F92" s="323">
        <v>43797</v>
      </c>
      <c r="G92" s="42" t="str">
        <f>VLOOKUP(H92,TABLAS!$B$3:$G$49,2,FALSE)</f>
        <v>DIRECCIÓN</v>
      </c>
      <c r="H92" s="198" t="s">
        <v>746</v>
      </c>
      <c r="I92" s="46" t="s">
        <v>150</v>
      </c>
      <c r="J92" s="175">
        <f>INT((BDDBAJAS[[#This Row],[FECHA SAL.]]-BDDBAJAS[[#This Row],[FECHA ING.]])/365)</f>
        <v>1</v>
      </c>
      <c r="K92" s="41" t="s">
        <v>782</v>
      </c>
      <c r="L92" s="46">
        <v>8334895974</v>
      </c>
    </row>
    <row r="93" spans="2:12" x14ac:dyDescent="0.25">
      <c r="B93" s="46">
        <v>607</v>
      </c>
      <c r="C93" s="46" t="s">
        <v>171</v>
      </c>
      <c r="D93" s="317">
        <v>5480</v>
      </c>
      <c r="E93" s="323">
        <v>43217</v>
      </c>
      <c r="F93" s="323">
        <v>43881</v>
      </c>
      <c r="G93" s="42" t="str">
        <f>VLOOKUP(H93,TABLAS!$B$3:$G$49,2,FALSE)</f>
        <v>DIV INGENRIA</v>
      </c>
      <c r="H93" s="198" t="s">
        <v>744</v>
      </c>
      <c r="I93" s="46" t="s">
        <v>270</v>
      </c>
      <c r="J93" s="175">
        <f>INT((BDDBAJAS[[#This Row],[FECHA SAL.]]-BDDBAJAS[[#This Row],[FECHA ING.]])/365)</f>
        <v>1</v>
      </c>
      <c r="K93" s="41" t="s">
        <v>782</v>
      </c>
      <c r="L93" s="46">
        <v>8780118383</v>
      </c>
    </row>
    <row r="94" spans="2:12" x14ac:dyDescent="0.25">
      <c r="B94" s="44">
        <v>610</v>
      </c>
      <c r="C94" s="176" t="s">
        <v>692</v>
      </c>
      <c r="D94" s="178">
        <v>7445</v>
      </c>
      <c r="E94" s="323">
        <v>43260</v>
      </c>
      <c r="F94" s="323">
        <v>43671</v>
      </c>
      <c r="G94" s="42" t="str">
        <f>VLOOKUP(H94,TABLAS!$B$3:$G$49,2,FALSE)</f>
        <v>DIV INGENRIA</v>
      </c>
      <c r="H94" s="198" t="s">
        <v>744</v>
      </c>
      <c r="I94" s="42" t="s">
        <v>760</v>
      </c>
      <c r="J94" s="44">
        <f>INT((BDDBAJAS[[#This Row],[FECHA SAL.]]-BDDBAJAS[[#This Row],[FECHA ING.]])/365)</f>
        <v>1</v>
      </c>
      <c r="K94" s="41" t="s">
        <v>782</v>
      </c>
      <c r="L94" s="43">
        <v>8205139820.5419598</v>
      </c>
    </row>
    <row r="95" spans="2:12" x14ac:dyDescent="0.25">
      <c r="B95" s="44">
        <v>612</v>
      </c>
      <c r="C95" s="176" t="s">
        <v>674</v>
      </c>
      <c r="D95" s="177">
        <v>7200</v>
      </c>
      <c r="E95" s="323">
        <v>43294</v>
      </c>
      <c r="F95" s="323">
        <v>43734</v>
      </c>
      <c r="G95" s="42" t="str">
        <f>VLOOKUP(H95,TABLAS!$B$3:$G$49,2,FALSE)</f>
        <v>DIRECCIÓN</v>
      </c>
      <c r="H95" s="198" t="s">
        <v>759</v>
      </c>
      <c r="I95" s="42" t="s">
        <v>760</v>
      </c>
      <c r="J95" s="44">
        <f>INT((BDDBAJAS[[#This Row],[FECHA SAL.]]-BDDBAJAS[[#This Row],[FECHA ING.]])/365)</f>
        <v>1</v>
      </c>
      <c r="K95" s="41" t="s">
        <v>267</v>
      </c>
      <c r="L95" s="43">
        <v>4067153749</v>
      </c>
    </row>
    <row r="96" spans="2:12" x14ac:dyDescent="0.25">
      <c r="B96" s="44">
        <v>617</v>
      </c>
      <c r="C96" s="176" t="s">
        <v>629</v>
      </c>
      <c r="D96" s="178">
        <v>8225</v>
      </c>
      <c r="E96" s="323">
        <v>43307</v>
      </c>
      <c r="F96" s="323">
        <v>43758</v>
      </c>
      <c r="G96" s="42" t="str">
        <f>VLOOKUP(H96,TABLAS!$B$3:$G$49,2,FALSE)</f>
        <v>DIV INGENRIA</v>
      </c>
      <c r="H96" s="198" t="s">
        <v>743</v>
      </c>
      <c r="I96" s="46" t="s">
        <v>761</v>
      </c>
      <c r="J96" s="44">
        <f>INT((BDDBAJAS[[#This Row],[FECHA SAL.]]-BDDBAJAS[[#This Row],[FECHA ING.]])/365)</f>
        <v>1</v>
      </c>
      <c r="K96" s="41" t="s">
        <v>784</v>
      </c>
      <c r="L96" s="43">
        <v>3277651616</v>
      </c>
    </row>
    <row r="97" spans="2:12" x14ac:dyDescent="0.25">
      <c r="B97" s="44">
        <v>622</v>
      </c>
      <c r="C97" s="176" t="s">
        <v>485</v>
      </c>
      <c r="D97" s="178">
        <v>7698</v>
      </c>
      <c r="E97" s="323">
        <v>43322</v>
      </c>
      <c r="F97" s="323">
        <v>43986</v>
      </c>
      <c r="G97" s="42" t="str">
        <f>VLOOKUP(H97,TABLAS!$B$3:$G$49,2,FALSE)</f>
        <v>DIV INGENRIA</v>
      </c>
      <c r="H97" s="198" t="s">
        <v>744</v>
      </c>
      <c r="I97" s="42" t="s">
        <v>760</v>
      </c>
      <c r="J97" s="44">
        <f>INT((BDDBAJAS[[#This Row],[FECHA SAL.]]-BDDBAJAS[[#This Row],[FECHA ING.]])/365)</f>
        <v>1</v>
      </c>
      <c r="K97" s="41" t="s">
        <v>782</v>
      </c>
      <c r="L97" s="43">
        <v>8208321044.9840403</v>
      </c>
    </row>
    <row r="98" spans="2:12" x14ac:dyDescent="0.25">
      <c r="B98" s="44">
        <v>624</v>
      </c>
      <c r="C98" s="176" t="s">
        <v>707</v>
      </c>
      <c r="D98" s="178">
        <v>7698</v>
      </c>
      <c r="E98" s="323">
        <v>43455</v>
      </c>
      <c r="F98" s="323">
        <v>44174</v>
      </c>
      <c r="G98" s="42" t="str">
        <f>VLOOKUP(H98,TABLAS!$B$3:$G$49,2,FALSE)</f>
        <v>TECNOLOGÍA</v>
      </c>
      <c r="H98" s="198" t="s">
        <v>751</v>
      </c>
      <c r="I98" s="42" t="s">
        <v>760</v>
      </c>
      <c r="J98" s="44">
        <f>INT((BDDBAJAS[[#This Row],[FECHA SAL.]]-BDDBAJAS[[#This Row],[FECHA ING.]])/365)</f>
        <v>1</v>
      </c>
      <c r="K98" s="41" t="s">
        <v>785</v>
      </c>
      <c r="L98" s="43">
        <v>2166534851</v>
      </c>
    </row>
    <row r="99" spans="2:12" x14ac:dyDescent="0.25">
      <c r="B99" s="44">
        <v>627</v>
      </c>
      <c r="C99" s="176" t="s">
        <v>475</v>
      </c>
      <c r="D99" s="178">
        <v>8225</v>
      </c>
      <c r="E99" s="323">
        <v>43456</v>
      </c>
      <c r="F99" s="323">
        <v>44127</v>
      </c>
      <c r="G99" s="42" t="str">
        <f>VLOOKUP(H99,TABLAS!$B$3:$G$49,2,FALSE)</f>
        <v>CPTAL HUMANO</v>
      </c>
      <c r="H99" s="262" t="s">
        <v>767</v>
      </c>
      <c r="I99" s="42" t="s">
        <v>760</v>
      </c>
      <c r="J99" s="44">
        <f>INT((BDDBAJAS[[#This Row],[FECHA SAL.]]-BDDBAJAS[[#This Row],[FECHA ING.]])/365)</f>
        <v>1</v>
      </c>
      <c r="K99" s="41" t="s">
        <v>783</v>
      </c>
      <c r="L99" s="43">
        <v>7087198468</v>
      </c>
    </row>
    <row r="100" spans="2:12" x14ac:dyDescent="0.25">
      <c r="B100" s="44">
        <v>633</v>
      </c>
      <c r="C100" s="176" t="s">
        <v>562</v>
      </c>
      <c r="D100" s="178">
        <v>7445</v>
      </c>
      <c r="E100" s="323">
        <v>43476</v>
      </c>
      <c r="F100" s="323">
        <v>44141</v>
      </c>
      <c r="G100" s="42" t="str">
        <f>VLOOKUP(H100,TABLAS!$B$3:$G$49,2,FALSE)</f>
        <v>DIRECCIÓN</v>
      </c>
      <c r="H100" s="198" t="s">
        <v>759</v>
      </c>
      <c r="I100" s="42" t="s">
        <v>760</v>
      </c>
      <c r="J100" s="44">
        <f>INT((BDDBAJAS[[#This Row],[FECHA SAL.]]-BDDBAJAS[[#This Row],[FECHA ING.]])/365)</f>
        <v>1</v>
      </c>
      <c r="K100" s="41" t="s">
        <v>782</v>
      </c>
      <c r="L100" s="43">
        <v>8207677736.9840403</v>
      </c>
    </row>
    <row r="101" spans="2:12" x14ac:dyDescent="0.25">
      <c r="B101" s="44">
        <v>637</v>
      </c>
      <c r="C101" s="176" t="s">
        <v>573</v>
      </c>
      <c r="D101" s="178">
        <v>8225</v>
      </c>
      <c r="E101" s="323">
        <v>43603</v>
      </c>
      <c r="F101" s="323">
        <v>44063</v>
      </c>
      <c r="G101" s="42" t="str">
        <f>VLOOKUP(H101,TABLAS!$B$3:$G$49,2,FALSE)</f>
        <v>CONTRATOS</v>
      </c>
      <c r="H101" s="198" t="s">
        <v>739</v>
      </c>
      <c r="I101" s="42" t="s">
        <v>760</v>
      </c>
      <c r="J101" s="44">
        <f>INT((BDDBAJAS[[#This Row],[FECHA SAL.]]-BDDBAJAS[[#This Row],[FECHA ING.]])/365)</f>
        <v>1</v>
      </c>
      <c r="K101" s="41" t="s">
        <v>782</v>
      </c>
      <c r="L101" s="43">
        <v>9889385742</v>
      </c>
    </row>
    <row r="102" spans="2:12" x14ac:dyDescent="0.25">
      <c r="B102" s="46">
        <v>640</v>
      </c>
      <c r="C102" s="46" t="s">
        <v>225</v>
      </c>
      <c r="D102" s="317">
        <v>5900</v>
      </c>
      <c r="E102" s="323">
        <v>43637</v>
      </c>
      <c r="F102" s="323">
        <v>44194</v>
      </c>
      <c r="G102" s="42" t="str">
        <f>VLOOKUP(H102,TABLAS!$B$3:$G$49,2,FALSE)</f>
        <v>DIV ARQUIT</v>
      </c>
      <c r="H102" s="198" t="s">
        <v>741</v>
      </c>
      <c r="I102" s="46" t="s">
        <v>270</v>
      </c>
      <c r="J102" s="175">
        <f>INT((BDDBAJAS[[#This Row],[FECHA SAL.]]-BDDBAJAS[[#This Row],[FECHA ING.]])/365)</f>
        <v>1</v>
      </c>
      <c r="K102" s="41" t="s">
        <v>782</v>
      </c>
      <c r="L102" s="46">
        <v>8790062331</v>
      </c>
    </row>
    <row r="103" spans="2:12" x14ac:dyDescent="0.25">
      <c r="B103" s="44">
        <v>641</v>
      </c>
      <c r="C103" s="176" t="s">
        <v>548</v>
      </c>
      <c r="D103" s="177">
        <v>6360</v>
      </c>
      <c r="E103" s="323">
        <v>43645</v>
      </c>
      <c r="F103" s="323">
        <v>44013</v>
      </c>
      <c r="G103" s="42" t="str">
        <f>VLOOKUP(H103,TABLAS!$B$3:$G$49,2,FALSE)</f>
        <v>AUDITORÍA</v>
      </c>
      <c r="H103" s="198" t="s">
        <v>734</v>
      </c>
      <c r="I103" s="42" t="s">
        <v>760</v>
      </c>
      <c r="J103" s="44">
        <f>INT((BDDBAJAS[[#This Row],[FECHA SAL.]]-BDDBAJAS[[#This Row],[FECHA ING.]])/365)</f>
        <v>1</v>
      </c>
      <c r="K103" s="41" t="s">
        <v>784</v>
      </c>
      <c r="L103" s="43">
        <v>3265798432</v>
      </c>
    </row>
    <row r="104" spans="2:12" x14ac:dyDescent="0.25">
      <c r="B104" s="44">
        <v>645</v>
      </c>
      <c r="C104" s="176" t="s">
        <v>632</v>
      </c>
      <c r="D104" s="178">
        <v>9500</v>
      </c>
      <c r="E104" s="323">
        <v>43658</v>
      </c>
      <c r="F104" s="323">
        <v>44386</v>
      </c>
      <c r="G104" s="42" t="str">
        <f>VLOOKUP(H104,TABLAS!$B$3:$G$49,2,FALSE)</f>
        <v>DIV INGENRIA</v>
      </c>
      <c r="H104" s="198" t="s">
        <v>756</v>
      </c>
      <c r="I104" s="42" t="s">
        <v>760</v>
      </c>
      <c r="J104" s="44">
        <f>INT((BDDBAJAS[[#This Row],[FECHA SAL.]]-BDDBAJAS[[#This Row],[FECHA ING.]])/365)</f>
        <v>1</v>
      </c>
      <c r="K104" s="41" t="s">
        <v>785</v>
      </c>
      <c r="L104" s="43">
        <v>3044513082</v>
      </c>
    </row>
    <row r="105" spans="2:12" x14ac:dyDescent="0.25">
      <c r="B105" s="44">
        <v>655</v>
      </c>
      <c r="C105" s="176" t="s">
        <v>618</v>
      </c>
      <c r="D105" s="178">
        <v>7445</v>
      </c>
      <c r="E105" s="323">
        <v>43691</v>
      </c>
      <c r="F105" s="323">
        <v>44161</v>
      </c>
      <c r="G105" s="42" t="str">
        <f>VLOOKUP(H105,TABLAS!$B$3:$G$49,2,FALSE)</f>
        <v>AUDITORÍA</v>
      </c>
      <c r="H105" s="198" t="s">
        <v>735</v>
      </c>
      <c r="I105" s="42" t="s">
        <v>760</v>
      </c>
      <c r="J105" s="44">
        <f>INT((BDDBAJAS[[#This Row],[FECHA SAL.]]-BDDBAJAS[[#This Row],[FECHA ING.]])/365)</f>
        <v>1</v>
      </c>
      <c r="K105" s="41" t="s">
        <v>267</v>
      </c>
      <c r="L105" s="43">
        <v>5643864731</v>
      </c>
    </row>
    <row r="106" spans="2:12" x14ac:dyDescent="0.25">
      <c r="B106" s="44">
        <v>660</v>
      </c>
      <c r="C106" s="176" t="s">
        <v>539</v>
      </c>
      <c r="D106" s="177">
        <v>10300</v>
      </c>
      <c r="E106" s="323">
        <v>43723</v>
      </c>
      <c r="F106" s="323">
        <v>44296</v>
      </c>
      <c r="G106" s="42" t="str">
        <f>VLOOKUP(H106,TABLAS!$B$3:$G$49,2,FALSE)</f>
        <v>AUDITORÍA</v>
      </c>
      <c r="H106" s="198" t="s">
        <v>734</v>
      </c>
      <c r="I106" s="42" t="s">
        <v>760</v>
      </c>
      <c r="J106" s="44">
        <f>INT((BDDBAJAS[[#This Row],[FECHA SAL.]]-BDDBAJAS[[#This Row],[FECHA ING.]])/365)</f>
        <v>1</v>
      </c>
      <c r="K106" s="41" t="s">
        <v>267</v>
      </c>
      <c r="L106" s="43">
        <v>5632011547</v>
      </c>
    </row>
    <row r="107" spans="2:12" x14ac:dyDescent="0.25">
      <c r="B107" s="44">
        <v>661</v>
      </c>
      <c r="C107" s="176" t="s">
        <v>631</v>
      </c>
      <c r="D107" s="178">
        <v>9500</v>
      </c>
      <c r="E107" s="323">
        <v>43745</v>
      </c>
      <c r="F107" s="323">
        <v>44409</v>
      </c>
      <c r="G107" s="42" t="str">
        <f>VLOOKUP(H107,TABLAS!$B$3:$G$49,2,FALSE)</f>
        <v>CONTRATOS</v>
      </c>
      <c r="H107" s="198" t="s">
        <v>739</v>
      </c>
      <c r="I107" s="42" t="s">
        <v>760</v>
      </c>
      <c r="J107" s="44">
        <f>INT((BDDBAJAS[[#This Row],[FECHA SAL.]]-BDDBAJAS[[#This Row],[FECHA ING.]])/365)</f>
        <v>1</v>
      </c>
      <c r="K107" s="41" t="s">
        <v>268</v>
      </c>
      <c r="L107" s="43">
        <v>2110175316</v>
      </c>
    </row>
    <row r="108" spans="2:12" x14ac:dyDescent="0.25">
      <c r="B108" s="44">
        <v>662</v>
      </c>
      <c r="C108" s="176" t="s">
        <v>637</v>
      </c>
      <c r="D108" s="178">
        <v>9200</v>
      </c>
      <c r="E108" s="323">
        <v>43895</v>
      </c>
      <c r="F108" s="323">
        <v>44305</v>
      </c>
      <c r="G108" s="42" t="str">
        <f>VLOOKUP(H108,TABLAS!$B$3:$G$49,2,FALSE)</f>
        <v>TECNOLOGÍA</v>
      </c>
      <c r="H108" s="198" t="s">
        <v>751</v>
      </c>
      <c r="I108" s="42" t="s">
        <v>760</v>
      </c>
      <c r="J108" s="44">
        <f>INT((BDDBAJAS[[#This Row],[FECHA SAL.]]-BDDBAJAS[[#This Row],[FECHA ING.]])/365)</f>
        <v>1</v>
      </c>
      <c r="K108" s="41" t="s">
        <v>267</v>
      </c>
      <c r="L108" s="43">
        <v>5599402826</v>
      </c>
    </row>
    <row r="109" spans="2:12" x14ac:dyDescent="0.25">
      <c r="B109" s="44">
        <v>668</v>
      </c>
      <c r="C109" s="176" t="s">
        <v>706</v>
      </c>
      <c r="D109" s="178">
        <v>7698</v>
      </c>
      <c r="E109" s="323">
        <v>43936</v>
      </c>
      <c r="F109" s="323">
        <v>44474</v>
      </c>
      <c r="G109" s="42" t="str">
        <f>VLOOKUP(H109,TABLAS!$B$3:$G$49,2,FALSE)</f>
        <v>CPTAL HUMANO</v>
      </c>
      <c r="H109" s="198" t="s">
        <v>768</v>
      </c>
      <c r="I109" s="42" t="s">
        <v>760</v>
      </c>
      <c r="J109" s="44">
        <f>INT((BDDBAJAS[[#This Row],[FECHA SAL.]]-BDDBAJAS[[#This Row],[FECHA ING.]])/365)</f>
        <v>1</v>
      </c>
      <c r="K109" s="41" t="s">
        <v>784</v>
      </c>
      <c r="L109" s="43">
        <v>3277453418</v>
      </c>
    </row>
    <row r="110" spans="2:12" x14ac:dyDescent="0.25">
      <c r="B110" s="46">
        <v>136</v>
      </c>
      <c r="C110" s="46" t="s">
        <v>128</v>
      </c>
      <c r="D110" s="317">
        <v>8825</v>
      </c>
      <c r="E110" s="323">
        <v>43971</v>
      </c>
      <c r="F110" s="323">
        <v>44027</v>
      </c>
      <c r="G110" s="42" t="str">
        <f>VLOOKUP(H110,TABLAS!$B$3:$G$49,2,FALSE)</f>
        <v>TECNOLOGÍA</v>
      </c>
      <c r="H110" s="198" t="s">
        <v>750</v>
      </c>
      <c r="I110" s="46" t="s">
        <v>150</v>
      </c>
      <c r="J110" s="175">
        <f>INT((BDDBAJAS[[#This Row],[FECHA SAL.]]-BDDBAJAS[[#This Row],[FECHA ING.]])/365)</f>
        <v>0</v>
      </c>
      <c r="K110" s="41" t="s">
        <v>782</v>
      </c>
      <c r="L110" s="46">
        <v>8826498955</v>
      </c>
    </row>
    <row r="111" spans="2:12" x14ac:dyDescent="0.25">
      <c r="B111" s="46">
        <v>157</v>
      </c>
      <c r="C111" s="46" t="s">
        <v>116</v>
      </c>
      <c r="D111" s="317">
        <v>5700</v>
      </c>
      <c r="E111" s="323">
        <v>43831</v>
      </c>
      <c r="F111" s="323">
        <v>43899</v>
      </c>
      <c r="G111" s="42" t="str">
        <f>VLOOKUP(H111,TABLAS!$B$3:$G$49,2,FALSE)</f>
        <v>DIV INGENRIA</v>
      </c>
      <c r="H111" s="198" t="s">
        <v>756</v>
      </c>
      <c r="I111" s="46" t="s">
        <v>270</v>
      </c>
      <c r="J111" s="175">
        <f>INT((BDDBAJAS[[#This Row],[FECHA SAL.]]-BDDBAJAS[[#This Row],[FECHA ING.]])/365)</f>
        <v>0</v>
      </c>
      <c r="K111" s="41" t="s">
        <v>782</v>
      </c>
      <c r="L111" s="46">
        <v>8906968313</v>
      </c>
    </row>
    <row r="112" spans="2:12" x14ac:dyDescent="0.25">
      <c r="B112" s="46">
        <v>164</v>
      </c>
      <c r="C112" s="46" t="s">
        <v>111</v>
      </c>
      <c r="D112" s="317">
        <v>9540</v>
      </c>
      <c r="E112" s="323">
        <v>43833</v>
      </c>
      <c r="F112" s="323">
        <v>43925</v>
      </c>
      <c r="G112" s="42" t="str">
        <f>VLOOKUP(H112,TABLAS!$B$3:$G$49,2,FALSE)</f>
        <v>DIV ARQUIT</v>
      </c>
      <c r="H112" s="198" t="s">
        <v>740</v>
      </c>
      <c r="I112" s="46" t="s">
        <v>150</v>
      </c>
      <c r="J112" s="175">
        <f>INT((BDDBAJAS[[#This Row],[FECHA SAL.]]-BDDBAJAS[[#This Row],[FECHA ING.]])/365)</f>
        <v>0</v>
      </c>
      <c r="K112" s="41" t="s">
        <v>782</v>
      </c>
      <c r="L112" s="46">
        <v>8906562621</v>
      </c>
    </row>
    <row r="113" spans="2:12" x14ac:dyDescent="0.25">
      <c r="B113" s="46">
        <v>173</v>
      </c>
      <c r="C113" s="46" t="s">
        <v>103</v>
      </c>
      <c r="D113" s="317">
        <v>6778</v>
      </c>
      <c r="E113" s="323">
        <v>42667</v>
      </c>
      <c r="F113" s="323">
        <v>42810</v>
      </c>
      <c r="G113" s="42" t="str">
        <f>VLOOKUP(H113,TABLAS!$B$3:$G$49,2,FALSE)</f>
        <v>DIRECCIÓN</v>
      </c>
      <c r="H113" s="198" t="s">
        <v>759</v>
      </c>
      <c r="I113" s="46" t="s">
        <v>86</v>
      </c>
      <c r="J113" s="175">
        <f>INT((BDDBAJAS[[#This Row],[FECHA SAL.]]-BDDBAJAS[[#This Row],[FECHA ING.]])/365)</f>
        <v>0</v>
      </c>
      <c r="K113" s="41" t="s">
        <v>782</v>
      </c>
      <c r="L113" s="46">
        <v>8286340317</v>
      </c>
    </row>
    <row r="114" spans="2:12" x14ac:dyDescent="0.25">
      <c r="B114" s="46">
        <v>176</v>
      </c>
      <c r="C114" s="46" t="s">
        <v>131</v>
      </c>
      <c r="D114" s="317">
        <v>8825</v>
      </c>
      <c r="E114" s="323">
        <v>43070</v>
      </c>
      <c r="F114" s="323">
        <v>43305</v>
      </c>
      <c r="G114" s="42" t="str">
        <f>VLOOKUP(H114,TABLAS!$B$3:$G$49,2,FALSE)</f>
        <v>CONTABILIDAD</v>
      </c>
      <c r="H114" s="198" t="s">
        <v>737</v>
      </c>
      <c r="I114" s="46" t="s">
        <v>150</v>
      </c>
      <c r="J114" s="175">
        <f>INT((BDDBAJAS[[#This Row],[FECHA SAL.]]-BDDBAJAS[[#This Row],[FECHA ING.]])/365)</f>
        <v>0</v>
      </c>
      <c r="K114" s="41" t="s">
        <v>782</v>
      </c>
      <c r="L114" s="46">
        <v>8254199095</v>
      </c>
    </row>
    <row r="115" spans="2:12" x14ac:dyDescent="0.25">
      <c r="B115" s="46">
        <v>181</v>
      </c>
      <c r="C115" s="46" t="s">
        <v>148</v>
      </c>
      <c r="D115" s="317">
        <v>4860</v>
      </c>
      <c r="E115" s="323">
        <v>41255</v>
      </c>
      <c r="F115" s="323">
        <v>41597</v>
      </c>
      <c r="G115" s="42" t="str">
        <f>VLOOKUP(H115,TABLAS!$B$3:$G$49,2,FALSE)</f>
        <v>CPTAL HUMANO</v>
      </c>
      <c r="H115" s="244" t="s">
        <v>767</v>
      </c>
      <c r="I115" s="46" t="s">
        <v>270</v>
      </c>
      <c r="J115" s="175">
        <f>INT((BDDBAJAS[[#This Row],[FECHA SAL.]]-BDDBAJAS[[#This Row],[FECHA ING.]])/365)</f>
        <v>0</v>
      </c>
      <c r="K115" s="41" t="s">
        <v>782</v>
      </c>
      <c r="L115" s="46">
        <v>8861299139</v>
      </c>
    </row>
    <row r="116" spans="2:12" x14ac:dyDescent="0.25">
      <c r="B116" s="44">
        <v>210</v>
      </c>
      <c r="C116" s="176" t="s">
        <v>713</v>
      </c>
      <c r="D116" s="178">
        <v>7698</v>
      </c>
      <c r="E116" s="323">
        <v>40287</v>
      </c>
      <c r="F116" s="323">
        <v>40462</v>
      </c>
      <c r="G116" s="42" t="str">
        <f>VLOOKUP(H116,TABLAS!$B$3:$G$49,2,FALSE)</f>
        <v>DIRECCIÓN</v>
      </c>
      <c r="H116" s="198" t="s">
        <v>759</v>
      </c>
      <c r="I116" s="42" t="s">
        <v>760</v>
      </c>
      <c r="J116" s="44">
        <f>INT((BDDBAJAS[[#This Row],[FECHA SAL.]]-BDDBAJAS[[#This Row],[FECHA ING.]])/365)</f>
        <v>0</v>
      </c>
      <c r="K116" s="41" t="s">
        <v>783</v>
      </c>
      <c r="L116" s="43">
        <v>7077123727</v>
      </c>
    </row>
    <row r="117" spans="2:12" x14ac:dyDescent="0.25">
      <c r="B117" s="44">
        <v>263</v>
      </c>
      <c r="C117" s="176" t="s">
        <v>663</v>
      </c>
      <c r="D117" s="177">
        <v>4860</v>
      </c>
      <c r="E117" s="323">
        <v>40611</v>
      </c>
      <c r="F117" s="323">
        <v>40858</v>
      </c>
      <c r="G117" s="42" t="str">
        <f>VLOOKUP(H117,TABLAS!$B$3:$G$49,2,FALSE)</f>
        <v>TECNOLOGÍA</v>
      </c>
      <c r="H117" s="198" t="s">
        <v>751</v>
      </c>
      <c r="I117" s="42" t="s">
        <v>760</v>
      </c>
      <c r="J117" s="44">
        <f>INT((BDDBAJAS[[#This Row],[FECHA SAL.]]-BDDBAJAS[[#This Row],[FECHA ING.]])/365)</f>
        <v>0</v>
      </c>
      <c r="K117" s="41" t="s">
        <v>782</v>
      </c>
      <c r="L117" s="43">
        <v>9170342670</v>
      </c>
    </row>
    <row r="118" spans="2:12" x14ac:dyDescent="0.25">
      <c r="B118" s="44">
        <v>301</v>
      </c>
      <c r="C118" s="176" t="s">
        <v>653</v>
      </c>
      <c r="D118" s="177">
        <v>8825</v>
      </c>
      <c r="E118" s="323">
        <v>40729</v>
      </c>
      <c r="F118" s="323">
        <v>40994</v>
      </c>
      <c r="G118" s="42" t="str">
        <f>VLOOKUP(H118,TABLAS!$B$3:$G$49,2,FALSE)</f>
        <v>FINANZAS</v>
      </c>
      <c r="H118" s="198" t="s">
        <v>747</v>
      </c>
      <c r="I118" s="42" t="s">
        <v>760</v>
      </c>
      <c r="J118" s="44">
        <f>INT((BDDBAJAS[[#This Row],[FECHA SAL.]]-BDDBAJAS[[#This Row],[FECHA ING.]])/365)</f>
        <v>0</v>
      </c>
      <c r="K118" s="41" t="s">
        <v>783</v>
      </c>
      <c r="L118" s="43">
        <v>5684394469.5</v>
      </c>
    </row>
    <row r="119" spans="2:12" x14ac:dyDescent="0.25">
      <c r="B119" s="44">
        <v>338</v>
      </c>
      <c r="C119" s="176" t="s">
        <v>673</v>
      </c>
      <c r="D119" s="177">
        <v>7445</v>
      </c>
      <c r="E119" s="323">
        <v>40981</v>
      </c>
      <c r="F119" s="323">
        <v>41150</v>
      </c>
      <c r="G119" s="42" t="str">
        <f>VLOOKUP(H119,TABLAS!$B$3:$G$49,2,FALSE)</f>
        <v>DIV ARQUIT</v>
      </c>
      <c r="H119" s="198" t="s">
        <v>741</v>
      </c>
      <c r="I119" s="42" t="s">
        <v>760</v>
      </c>
      <c r="J119" s="44">
        <f>INT((BDDBAJAS[[#This Row],[FECHA SAL.]]-BDDBAJAS[[#This Row],[FECHA ING.]])/365)</f>
        <v>0</v>
      </c>
      <c r="K119" s="41" t="s">
        <v>785</v>
      </c>
      <c r="L119" s="43">
        <v>3034314885</v>
      </c>
    </row>
    <row r="120" spans="2:12" x14ac:dyDescent="0.25">
      <c r="B120" s="44">
        <v>375</v>
      </c>
      <c r="C120" s="176" t="s">
        <v>492</v>
      </c>
      <c r="D120" s="178">
        <v>7698</v>
      </c>
      <c r="E120" s="323">
        <v>41330</v>
      </c>
      <c r="F120" s="323">
        <v>41678</v>
      </c>
      <c r="G120" s="42" t="str">
        <f>VLOOKUP(H120,TABLAS!$B$3:$G$49,2,FALSE)</f>
        <v>CONTABILIDAD</v>
      </c>
      <c r="H120" s="198" t="s">
        <v>737</v>
      </c>
      <c r="I120" s="42" t="s">
        <v>760</v>
      </c>
      <c r="J120" s="44">
        <f>INT((BDDBAJAS[[#This Row],[FECHA SAL.]]-BDDBAJAS[[#This Row],[FECHA ING.]])/365)</f>
        <v>0</v>
      </c>
      <c r="K120" s="41" t="s">
        <v>783</v>
      </c>
      <c r="L120" s="43">
        <v>5684716123.5</v>
      </c>
    </row>
    <row r="121" spans="2:12" x14ac:dyDescent="0.25">
      <c r="B121" s="44">
        <v>376</v>
      </c>
      <c r="C121" s="176" t="s">
        <v>604</v>
      </c>
      <c r="D121" s="178">
        <v>6778</v>
      </c>
      <c r="E121" s="323">
        <v>41331</v>
      </c>
      <c r="F121" s="323">
        <v>41576</v>
      </c>
      <c r="G121" s="42" t="str">
        <f>VLOOKUP(H121,TABLAS!$B$3:$G$49,2,FALSE)</f>
        <v>CONTABILIDAD</v>
      </c>
      <c r="H121" s="198" t="s">
        <v>737</v>
      </c>
      <c r="I121" s="42" t="s">
        <v>760</v>
      </c>
      <c r="J121" s="44">
        <f>INT((BDDBAJAS[[#This Row],[FECHA SAL.]]-BDDBAJAS[[#This Row],[FECHA ING.]])/365)</f>
        <v>0</v>
      </c>
      <c r="K121" s="41" t="s">
        <v>782</v>
      </c>
      <c r="L121" s="43">
        <v>8207999390.9840403</v>
      </c>
    </row>
    <row r="122" spans="2:12" x14ac:dyDescent="0.25">
      <c r="B122" s="44">
        <v>380</v>
      </c>
      <c r="C122" s="176" t="s">
        <v>611</v>
      </c>
      <c r="D122" s="178">
        <v>6778</v>
      </c>
      <c r="E122" s="323">
        <v>41396</v>
      </c>
      <c r="F122" s="323">
        <v>41638</v>
      </c>
      <c r="G122" s="42" t="str">
        <f>VLOOKUP(H122,TABLAS!$B$3:$G$49,2,FALSE)</f>
        <v>DIV INGENRIA</v>
      </c>
      <c r="H122" s="198" t="s">
        <v>756</v>
      </c>
      <c r="I122" s="42" t="s">
        <v>760</v>
      </c>
      <c r="J122" s="44">
        <f>INT((BDDBAJAS[[#This Row],[FECHA SAL.]]-BDDBAJAS[[#This Row],[FECHA ING.]])/365)</f>
        <v>0</v>
      </c>
      <c r="K122" s="41" t="s">
        <v>267</v>
      </c>
      <c r="L122" s="43">
        <v>5596638407</v>
      </c>
    </row>
    <row r="123" spans="2:12" x14ac:dyDescent="0.25">
      <c r="B123" s="44">
        <v>381</v>
      </c>
      <c r="C123" s="176" t="s">
        <v>471</v>
      </c>
      <c r="D123" s="178">
        <v>8225</v>
      </c>
      <c r="E123" s="323">
        <v>41411</v>
      </c>
      <c r="F123" s="323">
        <v>41587</v>
      </c>
      <c r="G123" s="42" t="str">
        <f>VLOOKUP(H123,TABLAS!$B$3:$G$49,2,FALSE)</f>
        <v>FINANZAS</v>
      </c>
      <c r="H123" s="198" t="s">
        <v>757</v>
      </c>
      <c r="I123" s="42" t="s">
        <v>760</v>
      </c>
      <c r="J123" s="44">
        <f>INT((BDDBAJAS[[#This Row],[FECHA SAL.]]-BDDBAJAS[[#This Row],[FECHA ING.]])/365)</f>
        <v>0</v>
      </c>
      <c r="K123" s="41" t="s">
        <v>782</v>
      </c>
      <c r="L123" s="43">
        <v>8359989291</v>
      </c>
    </row>
    <row r="124" spans="2:12" x14ac:dyDescent="0.25">
      <c r="B124" s="44">
        <v>417</v>
      </c>
      <c r="C124" s="176" t="s">
        <v>530</v>
      </c>
      <c r="D124" s="177">
        <v>7800</v>
      </c>
      <c r="E124" s="323">
        <v>41732</v>
      </c>
      <c r="F124" s="323">
        <v>41998</v>
      </c>
      <c r="G124" s="42" t="str">
        <f>VLOOKUP(H124,TABLAS!$B$3:$G$49,2,FALSE)</f>
        <v>AUDITORÍA</v>
      </c>
      <c r="H124" s="198" t="s">
        <v>735</v>
      </c>
      <c r="I124" s="42" t="s">
        <v>760</v>
      </c>
      <c r="J124" s="44">
        <f>INT((BDDBAJAS[[#This Row],[FECHA SAL.]]-BDDBAJAS[[#This Row],[FECHA ING.]])/365)</f>
        <v>0</v>
      </c>
      <c r="K124" s="41" t="s">
        <v>782</v>
      </c>
      <c r="L124" s="43">
        <v>8194017109.0303698</v>
      </c>
    </row>
    <row r="125" spans="2:12" x14ac:dyDescent="0.25">
      <c r="B125" s="44">
        <v>423</v>
      </c>
      <c r="C125" s="176" t="s">
        <v>665</v>
      </c>
      <c r="D125" s="177">
        <v>7445</v>
      </c>
      <c r="E125" s="323">
        <v>41751</v>
      </c>
      <c r="F125" s="323">
        <v>42099</v>
      </c>
      <c r="G125" s="42" t="str">
        <f>VLOOKUP(H125,TABLAS!$B$3:$G$49,2,FALSE)</f>
        <v>DIV INGENRIA</v>
      </c>
      <c r="H125" s="198" t="s">
        <v>743</v>
      </c>
      <c r="I125" s="46" t="s">
        <v>761</v>
      </c>
      <c r="J125" s="44">
        <f>INT((BDDBAJAS[[#This Row],[FECHA SAL.]]-BDDBAJAS[[#This Row],[FECHA ING.]])/365)</f>
        <v>0</v>
      </c>
      <c r="K125" s="41" t="s">
        <v>782</v>
      </c>
      <c r="L125" s="43">
        <v>9866980399</v>
      </c>
    </row>
    <row r="126" spans="2:12" x14ac:dyDescent="0.25">
      <c r="B126" s="44">
        <v>454</v>
      </c>
      <c r="C126" s="176" t="s">
        <v>656</v>
      </c>
      <c r="D126" s="177">
        <v>9540</v>
      </c>
      <c r="E126" s="323">
        <v>41928</v>
      </c>
      <c r="F126" s="323">
        <v>42103</v>
      </c>
      <c r="G126" s="42" t="str">
        <f>VLOOKUP(H126,TABLAS!$B$3:$G$49,2,FALSE)</f>
        <v>TECNOLOGÍA</v>
      </c>
      <c r="H126" s="198" t="s">
        <v>750</v>
      </c>
      <c r="I126" s="42" t="s">
        <v>760</v>
      </c>
      <c r="J126" s="44">
        <f>INT((BDDBAJAS[[#This Row],[FECHA SAL.]]-BDDBAJAS[[#This Row],[FECHA ING.]])/365)</f>
        <v>0</v>
      </c>
      <c r="K126" s="41" t="s">
        <v>782</v>
      </c>
      <c r="L126" s="43">
        <v>9879509199</v>
      </c>
    </row>
    <row r="127" spans="2:12" x14ac:dyDescent="0.25">
      <c r="B127" s="44">
        <v>459</v>
      </c>
      <c r="C127" s="176" t="s">
        <v>681</v>
      </c>
      <c r="D127" s="178">
        <v>6778</v>
      </c>
      <c r="E127" s="323">
        <v>42040</v>
      </c>
      <c r="F127" s="323">
        <v>42389</v>
      </c>
      <c r="G127" s="42" t="str">
        <f>VLOOKUP(H127,TABLAS!$B$3:$G$49,2,FALSE)</f>
        <v>DIV INGENRIA</v>
      </c>
      <c r="H127" s="198" t="s">
        <v>744</v>
      </c>
      <c r="I127" s="42" t="s">
        <v>760</v>
      </c>
      <c r="J127" s="44">
        <f>INT((BDDBAJAS[[#This Row],[FECHA SAL.]]-BDDBAJAS[[#This Row],[FECHA ING.]])/365)</f>
        <v>0</v>
      </c>
      <c r="K127" s="41" t="s">
        <v>267</v>
      </c>
      <c r="L127" s="43">
        <v>5599792150</v>
      </c>
    </row>
    <row r="128" spans="2:12" x14ac:dyDescent="0.25">
      <c r="B128" s="44">
        <v>539</v>
      </c>
      <c r="C128" s="176" t="s">
        <v>693</v>
      </c>
      <c r="D128" s="178">
        <v>7445</v>
      </c>
      <c r="E128" s="323">
        <v>42651</v>
      </c>
      <c r="F128" s="323">
        <v>42980</v>
      </c>
      <c r="G128" s="42" t="str">
        <f>VLOOKUP(H128,TABLAS!$B$3:$G$49,2,FALSE)</f>
        <v>AUDITORÍA</v>
      </c>
      <c r="H128" s="198" t="s">
        <v>735</v>
      </c>
      <c r="I128" s="42" t="s">
        <v>760</v>
      </c>
      <c r="J128" s="44">
        <f>INT((BDDBAJAS[[#This Row],[FECHA SAL.]]-BDDBAJAS[[#This Row],[FECHA ING.]])/365)</f>
        <v>0</v>
      </c>
      <c r="K128" s="41" t="s">
        <v>782</v>
      </c>
      <c r="L128" s="43">
        <v>8204607546.0535402</v>
      </c>
    </row>
    <row r="129" spans="2:12" x14ac:dyDescent="0.25">
      <c r="B129" s="44">
        <v>542</v>
      </c>
      <c r="C129" s="176" t="s">
        <v>483</v>
      </c>
      <c r="D129" s="178">
        <v>9200</v>
      </c>
      <c r="E129" s="323">
        <v>42775</v>
      </c>
      <c r="F129" s="323">
        <v>43123</v>
      </c>
      <c r="G129" s="42" t="str">
        <f>VLOOKUP(H129,TABLAS!$B$3:$G$49,2,FALSE)</f>
        <v>DIV INGENRIA</v>
      </c>
      <c r="H129" s="198" t="s">
        <v>756</v>
      </c>
      <c r="I129" s="42" t="s">
        <v>760</v>
      </c>
      <c r="J129" s="44">
        <f>INT((BDDBAJAS[[#This Row],[FECHA SAL.]]-BDDBAJAS[[#This Row],[FECHA ING.]])/365)</f>
        <v>0</v>
      </c>
      <c r="K129" s="41" t="s">
        <v>782</v>
      </c>
      <c r="L129" s="43">
        <v>8360310945</v>
      </c>
    </row>
    <row r="130" spans="2:12" x14ac:dyDescent="0.25">
      <c r="B130" s="44">
        <v>600</v>
      </c>
      <c r="C130" s="176" t="s">
        <v>650</v>
      </c>
      <c r="D130" s="177">
        <v>6500</v>
      </c>
      <c r="E130" s="323">
        <v>43203</v>
      </c>
      <c r="F130" s="323">
        <v>43449</v>
      </c>
      <c r="G130" s="42" t="str">
        <f>VLOOKUP(H130,TABLAS!$B$3:$G$49,2,FALSE)</f>
        <v>DIV ARQUIT</v>
      </c>
      <c r="H130" s="198" t="s">
        <v>741</v>
      </c>
      <c r="I130" s="42" t="s">
        <v>760</v>
      </c>
      <c r="J130" s="44">
        <f>INT((BDDBAJAS[[#This Row],[FECHA SAL.]]-BDDBAJAS[[#This Row],[FECHA ING.]])/365)</f>
        <v>0</v>
      </c>
      <c r="K130" s="41" t="s">
        <v>782</v>
      </c>
      <c r="L130" s="43">
        <v>8195139821.5419598</v>
      </c>
    </row>
    <row r="131" spans="2:12" x14ac:dyDescent="0.25">
      <c r="B131" s="44">
        <v>604</v>
      </c>
      <c r="C131" s="176" t="s">
        <v>523</v>
      </c>
      <c r="D131" s="177">
        <v>7445</v>
      </c>
      <c r="E131" s="323">
        <v>43214</v>
      </c>
      <c r="F131" s="323">
        <v>43544</v>
      </c>
      <c r="G131" s="42" t="str">
        <f>VLOOKUP(H131,TABLAS!$B$3:$G$49,2,FALSE)</f>
        <v>CPTAL HUMANO</v>
      </c>
      <c r="H131" s="198" t="s">
        <v>758</v>
      </c>
      <c r="I131" s="42" t="s">
        <v>760</v>
      </c>
      <c r="J131" s="44">
        <f>INT((BDDBAJAS[[#This Row],[FECHA SAL.]]-BDDBAJAS[[#This Row],[FECHA ING.]])/365)</f>
        <v>0</v>
      </c>
      <c r="K131" s="41" t="s">
        <v>782</v>
      </c>
      <c r="L131" s="43">
        <v>8198275304.9377003</v>
      </c>
    </row>
    <row r="132" spans="2:12" x14ac:dyDescent="0.25">
      <c r="B132" s="44">
        <v>620</v>
      </c>
      <c r="C132" s="176" t="s">
        <v>479</v>
      </c>
      <c r="D132" s="178">
        <v>9500</v>
      </c>
      <c r="E132" s="323">
        <v>43322</v>
      </c>
      <c r="F132" s="323">
        <v>43636</v>
      </c>
      <c r="G132" s="42" t="str">
        <f>VLOOKUP(H132,TABLAS!$B$3:$G$49,2,FALSE)</f>
        <v>DIRECCIÓN</v>
      </c>
      <c r="H132" s="198" t="s">
        <v>759</v>
      </c>
      <c r="I132" s="42" t="s">
        <v>760</v>
      </c>
      <c r="J132" s="44">
        <f>INT((BDDBAJAS[[#This Row],[FECHA SAL.]]-BDDBAJAS[[#This Row],[FECHA ING.]])/365)</f>
        <v>0</v>
      </c>
      <c r="K132" s="41" t="s">
        <v>782</v>
      </c>
      <c r="L132" s="43">
        <v>8226489730.0072002</v>
      </c>
    </row>
    <row r="133" spans="2:12" x14ac:dyDescent="0.25">
      <c r="B133" s="44">
        <v>623</v>
      </c>
      <c r="C133" s="176" t="s">
        <v>682</v>
      </c>
      <c r="D133" s="178">
        <v>6778</v>
      </c>
      <c r="E133" s="323">
        <v>43342</v>
      </c>
      <c r="F133" s="323">
        <v>43525</v>
      </c>
      <c r="G133" s="42" t="str">
        <f>VLOOKUP(H133,TABLAS!$B$3:$G$49,2,FALSE)</f>
        <v>DIV ARQUIT</v>
      </c>
      <c r="H133" s="198" t="s">
        <v>741</v>
      </c>
      <c r="I133" s="42" t="s">
        <v>760</v>
      </c>
      <c r="J133" s="44">
        <f>INT((BDDBAJAS[[#This Row],[FECHA SAL.]]-BDDBAJAS[[#This Row],[FECHA ING.]])/365)</f>
        <v>0</v>
      </c>
      <c r="K133" s="41" t="s">
        <v>782</v>
      </c>
      <c r="L133" s="43">
        <v>8210994839.9145298</v>
      </c>
    </row>
    <row r="134" spans="2:12" x14ac:dyDescent="0.25">
      <c r="B134" s="44">
        <v>630</v>
      </c>
      <c r="C134" s="176" t="s">
        <v>532</v>
      </c>
      <c r="D134" s="177">
        <v>8900</v>
      </c>
      <c r="E134" s="323">
        <v>43473</v>
      </c>
      <c r="F134" s="323">
        <v>43664</v>
      </c>
      <c r="G134" s="42" t="str">
        <f>VLOOKUP(H134,TABLAS!$B$3:$G$49,2,FALSE)</f>
        <v>CONTRATOS</v>
      </c>
      <c r="H134" s="198" t="s">
        <v>739</v>
      </c>
      <c r="I134" s="42" t="s">
        <v>760</v>
      </c>
      <c r="J134" s="44">
        <f>INT((BDDBAJAS[[#This Row],[FECHA SAL.]]-BDDBAJAS[[#This Row],[FECHA ING.]])/365)</f>
        <v>0</v>
      </c>
      <c r="K134" s="41" t="s">
        <v>782</v>
      </c>
      <c r="L134" s="43">
        <v>8192952560.0535402</v>
      </c>
    </row>
    <row r="135" spans="2:12" x14ac:dyDescent="0.25">
      <c r="B135" s="44">
        <v>646</v>
      </c>
      <c r="C135" s="176" t="s">
        <v>478</v>
      </c>
      <c r="D135" s="178">
        <v>9500</v>
      </c>
      <c r="E135" s="323">
        <v>43672</v>
      </c>
      <c r="F135" s="323">
        <v>43950</v>
      </c>
      <c r="G135" s="42" t="str">
        <f>VLOOKUP(H135,TABLAS!$B$3:$G$49,2,FALSE)</f>
        <v>DIV ARQUIT</v>
      </c>
      <c r="H135" s="198" t="s">
        <v>740</v>
      </c>
      <c r="I135" s="46" t="s">
        <v>761</v>
      </c>
      <c r="J135" s="44">
        <f>INT((BDDBAJAS[[#This Row],[FECHA SAL.]]-BDDBAJAS[[#This Row],[FECHA ING.]])/365)</f>
        <v>0</v>
      </c>
      <c r="K135" s="41" t="s">
        <v>782</v>
      </c>
      <c r="L135" s="43">
        <v>8218729862.4724503</v>
      </c>
    </row>
    <row r="136" spans="2:12" x14ac:dyDescent="0.25">
      <c r="B136" s="44">
        <v>656</v>
      </c>
      <c r="C136" s="176" t="s">
        <v>716</v>
      </c>
      <c r="D136" s="177">
        <v>7445</v>
      </c>
      <c r="E136" s="323">
        <v>43695</v>
      </c>
      <c r="F136" s="323">
        <v>44022</v>
      </c>
      <c r="G136" s="42" t="str">
        <f>VLOOKUP(H136,TABLAS!$B$3:$G$49,2,FALSE)</f>
        <v>DIRECCIÓN</v>
      </c>
      <c r="H136" s="198" t="s">
        <v>745</v>
      </c>
      <c r="I136" s="42" t="s">
        <v>760</v>
      </c>
      <c r="J136" s="44">
        <f>INT((BDDBAJAS[[#This Row],[FECHA SAL.]]-BDDBAJAS[[#This Row],[FECHA ING.]])/365)</f>
        <v>0</v>
      </c>
      <c r="K136" s="41" t="s">
        <v>267</v>
      </c>
      <c r="L136" s="43">
        <v>5580639340</v>
      </c>
    </row>
    <row r="137" spans="2:12" x14ac:dyDescent="0.25">
      <c r="B137" s="44">
        <v>672</v>
      </c>
      <c r="C137" s="176" t="s">
        <v>701</v>
      </c>
      <c r="D137" s="178">
        <v>8225</v>
      </c>
      <c r="E137" s="323">
        <v>43960</v>
      </c>
      <c r="F137" s="323">
        <v>44224</v>
      </c>
      <c r="G137" s="42" t="str">
        <f>VLOOKUP(H137,TABLAS!$B$3:$G$49,2,FALSE)</f>
        <v>DIV INGENRIA</v>
      </c>
      <c r="H137" s="198" t="s">
        <v>743</v>
      </c>
      <c r="I137" s="46" t="s">
        <v>761</v>
      </c>
      <c r="J137" s="44">
        <f>INT((BDDBAJAS[[#This Row],[FECHA SAL.]]-BDDBAJAS[[#This Row],[FECHA ING.]])/365)</f>
        <v>0</v>
      </c>
      <c r="K137" s="41" t="s">
        <v>267</v>
      </c>
      <c r="L137" s="43">
        <v>5643666533</v>
      </c>
    </row>
    <row r="138" spans="2:12" x14ac:dyDescent="0.25">
      <c r="B138" s="44">
        <v>676</v>
      </c>
      <c r="C138" s="176" t="s">
        <v>605</v>
      </c>
      <c r="D138" s="178">
        <v>6778</v>
      </c>
      <c r="E138" s="323">
        <v>43970</v>
      </c>
      <c r="F138" s="323">
        <v>44290</v>
      </c>
      <c r="G138" s="42" t="str">
        <f>VLOOKUP(H138,TABLAS!$B$3:$G$49,2,FALSE)</f>
        <v>AUDITORÍA</v>
      </c>
      <c r="H138" s="198" t="s">
        <v>734</v>
      </c>
      <c r="I138" s="46" t="s">
        <v>761</v>
      </c>
      <c r="J138" s="44">
        <f>INT((BDDBAJAS[[#This Row],[FECHA SAL.]]-BDDBAJAS[[#This Row],[FECHA ING.]])/365)</f>
        <v>0</v>
      </c>
      <c r="K138" s="41" t="s">
        <v>782</v>
      </c>
      <c r="L138" s="43">
        <v>8207467116.4956198</v>
      </c>
    </row>
    <row r="139" spans="2:12" x14ac:dyDescent="0.25">
      <c r="B139" s="44">
        <v>681</v>
      </c>
      <c r="C139" s="176" t="s">
        <v>511</v>
      </c>
      <c r="D139" s="177">
        <v>9540</v>
      </c>
      <c r="E139" s="323">
        <v>43998</v>
      </c>
      <c r="F139" s="323">
        <v>44190</v>
      </c>
      <c r="G139" s="42" t="str">
        <f>VLOOKUP(H139,TABLAS!$B$3:$G$49,2,FALSE)</f>
        <v>AUDITORÍA</v>
      </c>
      <c r="H139" s="198" t="s">
        <v>736</v>
      </c>
      <c r="I139" s="42" t="s">
        <v>760</v>
      </c>
      <c r="J139" s="44">
        <f>INT((BDDBAJAS[[#This Row],[FECHA SAL.]]-BDDBAJAS[[#This Row],[FECHA ING.]])/365)</f>
        <v>0</v>
      </c>
      <c r="K139" s="41" t="s">
        <v>782</v>
      </c>
      <c r="L139" s="43">
        <v>8501259761</v>
      </c>
    </row>
    <row r="140" spans="2:12" x14ac:dyDescent="0.25">
      <c r="B140" s="44">
        <v>685</v>
      </c>
      <c r="C140" s="176" t="s">
        <v>675</v>
      </c>
      <c r="D140" s="177">
        <v>4860</v>
      </c>
      <c r="E140" s="323">
        <v>44048</v>
      </c>
      <c r="F140" s="323">
        <v>44287</v>
      </c>
      <c r="G140" s="42" t="str">
        <f>VLOOKUP(H140,TABLAS!$B$3:$G$49,2,FALSE)</f>
        <v>AUDITORÍA</v>
      </c>
      <c r="H140" s="198" t="s">
        <v>736</v>
      </c>
      <c r="I140" s="42" t="s">
        <v>760</v>
      </c>
      <c r="J140" s="44">
        <f>INT((BDDBAJAS[[#This Row],[FECHA SAL.]]-BDDBAJAS[[#This Row],[FECHA ING.]])/365)</f>
        <v>0</v>
      </c>
      <c r="K140" s="41" t="s">
        <v>267</v>
      </c>
      <c r="L140" s="43">
        <v>5067643741</v>
      </c>
    </row>
    <row r="141" spans="2:12" x14ac:dyDescent="0.25">
      <c r="B141" s="44">
        <v>686</v>
      </c>
      <c r="C141" s="176" t="s">
        <v>500</v>
      </c>
      <c r="D141" s="177">
        <v>8200</v>
      </c>
      <c r="E141" s="323">
        <v>44158</v>
      </c>
      <c r="F141" s="323">
        <v>44328</v>
      </c>
      <c r="G141" s="42" t="str">
        <f>VLOOKUP(H141,TABLAS!$B$3:$G$49,2,FALSE)</f>
        <v>CONTRATOS</v>
      </c>
      <c r="H141" s="198" t="s">
        <v>738</v>
      </c>
      <c r="I141" s="42" t="s">
        <v>760</v>
      </c>
      <c r="J141" s="44">
        <f>INT((BDDBAJAS[[#This Row],[FECHA SAL.]]-BDDBAJAS[[#This Row],[FECHA ING.]])/365)</f>
        <v>0</v>
      </c>
      <c r="K141" s="41" t="s">
        <v>785</v>
      </c>
      <c r="L141" s="43">
        <v>2166856505</v>
      </c>
    </row>
    <row r="142" spans="2:12" x14ac:dyDescent="0.25">
      <c r="B142" s="44">
        <v>687</v>
      </c>
      <c r="C142" s="176" t="s">
        <v>712</v>
      </c>
      <c r="D142" s="178">
        <v>7698</v>
      </c>
      <c r="E142" s="323">
        <v>44175</v>
      </c>
      <c r="F142" s="323">
        <v>44440</v>
      </c>
      <c r="G142" s="42" t="str">
        <f>VLOOKUP(H142,TABLAS!$B$3:$G$49,2,FALSE)</f>
        <v>CPTAL HUMANO</v>
      </c>
      <c r="H142" s="198" t="s">
        <v>768</v>
      </c>
      <c r="I142" s="42" t="s">
        <v>760</v>
      </c>
      <c r="J142" s="44">
        <f>INT((BDDBAJAS[[#This Row],[FECHA SAL.]]-BDDBAJAS[[#This Row],[FECHA ING.]])/365)</f>
        <v>0</v>
      </c>
      <c r="K142" s="41" t="s">
        <v>783</v>
      </c>
      <c r="L142" s="43">
        <v>6044309860</v>
      </c>
    </row>
    <row r="143" spans="2:12" x14ac:dyDescent="0.25">
      <c r="B143" s="44">
        <v>696</v>
      </c>
      <c r="C143" s="176" t="s">
        <v>711</v>
      </c>
      <c r="D143" s="178">
        <v>7698</v>
      </c>
      <c r="E143" s="323">
        <v>44179</v>
      </c>
      <c r="F143" s="323">
        <v>44469</v>
      </c>
      <c r="G143" s="42" t="str">
        <f>VLOOKUP(H143,TABLAS!$B$3:$G$49,2,FALSE)</f>
        <v>DIV INGENRIA</v>
      </c>
      <c r="H143" s="198" t="s">
        <v>743</v>
      </c>
      <c r="I143" s="42" t="s">
        <v>760</v>
      </c>
      <c r="J143" s="44">
        <f>INT((BDDBAJAS[[#This Row],[FECHA SAL.]]-BDDBAJAS[[#This Row],[FECHA ING.]])/365)</f>
        <v>0</v>
      </c>
      <c r="K143" s="41" t="s">
        <v>267</v>
      </c>
      <c r="L143" s="43">
        <v>5077643740</v>
      </c>
    </row>
    <row r="144" spans="2:12" x14ac:dyDescent="0.25">
      <c r="B144" s="44">
        <v>698</v>
      </c>
      <c r="C144" s="176" t="s">
        <v>456</v>
      </c>
      <c r="D144" s="178">
        <v>6778</v>
      </c>
      <c r="E144" s="323">
        <v>44185</v>
      </c>
      <c r="F144" s="323">
        <v>44309</v>
      </c>
      <c r="G144" s="42" t="str">
        <f>VLOOKUP(H144,TABLAS!$B$3:$G$49,2,FALSE)</f>
        <v>AUDITORÍA</v>
      </c>
      <c r="H144" s="198" t="s">
        <v>734</v>
      </c>
      <c r="I144" s="42" t="s">
        <v>760</v>
      </c>
      <c r="J144" s="44">
        <f>INT((BDDBAJAS[[#This Row],[FECHA SAL.]]-BDDBAJAS[[#This Row],[FECHA ING.]])/365)</f>
        <v>0</v>
      </c>
      <c r="K144" s="41" t="s">
        <v>267</v>
      </c>
      <c r="L144" s="43">
        <v>5609668693</v>
      </c>
    </row>
    <row r="145" spans="2:12" x14ac:dyDescent="0.25">
      <c r="B145" s="44">
        <v>699</v>
      </c>
      <c r="C145" s="176" t="s">
        <v>465</v>
      </c>
      <c r="D145" s="178">
        <v>7445</v>
      </c>
      <c r="E145" s="323">
        <v>44249</v>
      </c>
      <c r="F145" s="323">
        <v>44337</v>
      </c>
      <c r="G145" s="42" t="str">
        <f>VLOOKUP(H145,TABLAS!$B$3:$G$49,2,FALSE)</f>
        <v>AUDITORÍA</v>
      </c>
      <c r="H145" s="198" t="s">
        <v>736</v>
      </c>
      <c r="I145" s="42" t="s">
        <v>760</v>
      </c>
      <c r="J145" s="44">
        <f>INT((BDDBAJAS[[#This Row],[FECHA SAL.]]-BDDBAJAS[[#This Row],[FECHA ING.]])/365)</f>
        <v>0</v>
      </c>
      <c r="K145" s="41" t="s">
        <v>782</v>
      </c>
      <c r="L145" s="43">
        <v>8214007472</v>
      </c>
    </row>
    <row r="146" spans="2:12" x14ac:dyDescent="0.25">
      <c r="B146" s="46">
        <v>700</v>
      </c>
      <c r="C146" s="46" t="s">
        <v>183</v>
      </c>
      <c r="D146" s="317">
        <v>8825</v>
      </c>
      <c r="E146" s="323">
        <v>44258</v>
      </c>
      <c r="F146" s="323">
        <v>44270</v>
      </c>
      <c r="G146" s="42" t="str">
        <f>VLOOKUP(H146,TABLAS!$B$3:$G$49,2,FALSE)</f>
        <v>AUDITORÍA</v>
      </c>
      <c r="H146" s="198" t="s">
        <v>736</v>
      </c>
      <c r="I146" s="46" t="s">
        <v>150</v>
      </c>
      <c r="J146" s="175">
        <f>INT((BDDBAJAS[[#This Row],[FECHA SAL.]]-BDDBAJAS[[#This Row],[FECHA ING.]])/365)</f>
        <v>0</v>
      </c>
      <c r="K146" s="41" t="s">
        <v>782</v>
      </c>
      <c r="L146" s="46">
        <v>8823567056</v>
      </c>
    </row>
    <row r="147" spans="2:12" x14ac:dyDescent="0.25">
      <c r="B147" s="44">
        <v>706</v>
      </c>
      <c r="C147" s="176" t="s">
        <v>505</v>
      </c>
      <c r="D147" s="177">
        <v>6778</v>
      </c>
      <c r="E147" s="323">
        <v>44275</v>
      </c>
      <c r="F147" s="323">
        <v>44344</v>
      </c>
      <c r="G147" s="42" t="str">
        <f>VLOOKUP(H147,TABLAS!$B$3:$G$49,2,FALSE)</f>
        <v>CONTRATOS</v>
      </c>
      <c r="H147" s="198" t="s">
        <v>738</v>
      </c>
      <c r="I147" s="42" t="s">
        <v>760</v>
      </c>
      <c r="J147" s="44">
        <f>INT((BDDBAJAS[[#This Row],[FECHA SAL.]]-BDDBAJAS[[#This Row],[FECHA ING.]])/365)</f>
        <v>0</v>
      </c>
      <c r="K147" s="41" t="s">
        <v>782</v>
      </c>
      <c r="L147" s="43">
        <v>7942955889.5</v>
      </c>
    </row>
    <row r="148" spans="2:12" x14ac:dyDescent="0.25">
      <c r="B148" s="44">
        <v>707</v>
      </c>
      <c r="C148" s="176" t="s">
        <v>669</v>
      </c>
      <c r="D148" s="177">
        <v>7200</v>
      </c>
      <c r="E148" s="323">
        <v>44306</v>
      </c>
      <c r="F148" s="323">
        <v>44402</v>
      </c>
      <c r="G148" s="42" t="str">
        <f>VLOOKUP(H148,TABLAS!$B$3:$G$49,2,FALSE)</f>
        <v>AUDITORÍA</v>
      </c>
      <c r="H148" s="198" t="s">
        <v>736</v>
      </c>
      <c r="I148" s="42" t="s">
        <v>760</v>
      </c>
      <c r="J148" s="44">
        <f>INT((BDDBAJAS[[#This Row],[FECHA SAL.]]-BDDBAJAS[[#This Row],[FECHA ING.]])/365)</f>
        <v>0</v>
      </c>
      <c r="K148" s="41" t="s">
        <v>267</v>
      </c>
      <c r="L148" s="43">
        <v>4308198033</v>
      </c>
    </row>
    <row r="149" spans="2:12" x14ac:dyDescent="0.25">
      <c r="B149" s="44">
        <v>718</v>
      </c>
      <c r="C149" s="176" t="s">
        <v>448</v>
      </c>
      <c r="D149" s="177">
        <v>6360</v>
      </c>
      <c r="E149" s="323">
        <v>44307</v>
      </c>
      <c r="F149" s="323">
        <v>44391</v>
      </c>
      <c r="G149" s="42" t="str">
        <f>VLOOKUP(H149,TABLAS!$B$3:$G$49,2,FALSE)</f>
        <v>CONTRATOS</v>
      </c>
      <c r="H149" s="198" t="s">
        <v>738</v>
      </c>
      <c r="I149" s="42" t="s">
        <v>760</v>
      </c>
      <c r="J149" s="44">
        <f>INT((BDDBAJAS[[#This Row],[FECHA SAL.]]-BDDBAJAS[[#This Row],[FECHA ING.]])/365)</f>
        <v>0</v>
      </c>
      <c r="K149" s="41" t="s">
        <v>785</v>
      </c>
      <c r="L149" s="43">
        <v>2176733048</v>
      </c>
    </row>
    <row r="150" spans="2:12" x14ac:dyDescent="0.25">
      <c r="B150" s="44">
        <v>727</v>
      </c>
      <c r="C150" s="176" t="s">
        <v>444</v>
      </c>
      <c r="D150" s="177">
        <v>6360</v>
      </c>
      <c r="E150" s="323">
        <v>44314</v>
      </c>
      <c r="F150" s="323">
        <v>44402</v>
      </c>
      <c r="G150" s="42" t="str">
        <f>VLOOKUP(H150,TABLAS!$B$3:$G$49,2,FALSE)</f>
        <v>AUDITORÍA</v>
      </c>
      <c r="H150" s="198" t="s">
        <v>736</v>
      </c>
      <c r="I150" s="46" t="s">
        <v>762</v>
      </c>
      <c r="J150" s="44">
        <f>INT((BDDBAJAS[[#This Row],[FECHA SAL.]]-BDDBAJAS[[#This Row],[FECHA ING.]])/365)</f>
        <v>0</v>
      </c>
      <c r="K150" s="41" t="s">
        <v>782</v>
      </c>
      <c r="L150" s="43">
        <v>8741070433</v>
      </c>
    </row>
    <row r="151" spans="2:12" x14ac:dyDescent="0.25">
      <c r="B151" s="44">
        <v>729</v>
      </c>
      <c r="C151" s="176" t="s">
        <v>551</v>
      </c>
      <c r="D151" s="178">
        <v>6778</v>
      </c>
      <c r="E151" s="323">
        <v>44356</v>
      </c>
      <c r="F151" s="323">
        <v>44461</v>
      </c>
      <c r="G151" s="42" t="str">
        <f>VLOOKUP(H151,TABLAS!$B$3:$G$49,2,FALSE)</f>
        <v>CONTRATOS</v>
      </c>
      <c r="H151" s="198" t="s">
        <v>738</v>
      </c>
      <c r="I151" s="42" t="s">
        <v>760</v>
      </c>
      <c r="J151" s="44">
        <f>INT((BDDBAJAS[[#This Row],[FECHA SAL.]]-BDDBAJAS[[#This Row],[FECHA ING.]])/365)</f>
        <v>0</v>
      </c>
      <c r="K151" s="41" t="s">
        <v>267</v>
      </c>
      <c r="L151" s="43">
        <v>4065498762</v>
      </c>
    </row>
    <row r="152" spans="2:12" x14ac:dyDescent="0.25">
      <c r="B152" s="44">
        <v>732</v>
      </c>
      <c r="C152" s="176" t="s">
        <v>473</v>
      </c>
      <c r="D152" s="178">
        <v>8225</v>
      </c>
      <c r="E152" s="323">
        <v>44474</v>
      </c>
      <c r="F152" s="323">
        <v>44475</v>
      </c>
      <c r="G152" s="42" t="str">
        <f>VLOOKUP(H152,TABLAS!$B$3:$G$49,2,FALSE)</f>
        <v>DIV ARQUIT</v>
      </c>
      <c r="H152" s="45" t="s">
        <v>740</v>
      </c>
      <c r="I152" s="42" t="s">
        <v>760</v>
      </c>
      <c r="J152" s="44">
        <f>INT((BDDBAJAS[[#This Row],[FECHA SAL.]]-BDDBAJAS[[#This Row],[FECHA ING.]])/365)</f>
        <v>0</v>
      </c>
      <c r="K152" s="41" t="s">
        <v>782</v>
      </c>
      <c r="L152" s="43">
        <v>8694214006</v>
      </c>
    </row>
  </sheetData>
  <phoneticPr fontId="4" type="noConversion"/>
  <conditionalFormatting sqref="B33:C152 L33:L152">
    <cfRule type="expression" dxfId="15" priority="11">
      <formula>ROW()=CELL("fila")</formula>
    </cfRule>
  </conditionalFormatting>
  <conditionalFormatting sqref="D85:D138">
    <cfRule type="expression" dxfId="14" priority="9">
      <formula>ROW()=CELL("fila")</formula>
    </cfRule>
  </conditionalFormatting>
  <conditionalFormatting sqref="E33:F152">
    <cfRule type="expression" dxfId="13" priority="1">
      <formula>ROW()=CELL("fila")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DDF53-A0F7-4C09-9D2A-C2BEF187E2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</vt:i4>
      </vt:variant>
    </vt:vector>
  </HeadingPairs>
  <TitlesOfParts>
    <vt:vector size="13" baseType="lpstr">
      <vt:lpstr>Inicio</vt:lpstr>
      <vt:lpstr>Extendido</vt:lpstr>
      <vt:lpstr>Nómina</vt:lpstr>
      <vt:lpstr>Documentos</vt:lpstr>
      <vt:lpstr>TABLAS</vt:lpstr>
      <vt:lpstr>TABLAS PARA REPORTES</vt:lpstr>
      <vt:lpstr>Reportes</vt:lpstr>
      <vt:lpstr>BDD</vt:lpstr>
      <vt:lpstr>BDD BAJAS</vt:lpstr>
      <vt:lpstr>TABLAS!aver</vt:lpstr>
      <vt:lpstr>aver</vt:lpstr>
      <vt:lpstr>TABLAS!FECH.CONS.</vt:lpstr>
      <vt:lpstr>FECH.CONS.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cp:lastPrinted>2020-09-08T04:24:56Z</cp:lastPrinted>
  <dcterms:created xsi:type="dcterms:W3CDTF">2019-10-22T12:29:33Z</dcterms:created>
  <dcterms:modified xsi:type="dcterms:W3CDTF">2022-07-18T15:25:00Z</dcterms:modified>
</cp:coreProperties>
</file>