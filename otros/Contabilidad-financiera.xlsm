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jercicios terminados\"/>
    </mc:Choice>
  </mc:AlternateContent>
  <xr:revisionPtr revIDLastSave="0" documentId="13_ncr:1_{67F452AA-CC25-4066-9E73-E120AF0ABC06}" xr6:coauthVersionLast="45" xr6:coauthVersionMax="45" xr10:uidLastSave="{00000000-0000-0000-0000-000000000000}"/>
  <bookViews>
    <workbookView xWindow="-120" yWindow="-120" windowWidth="20730" windowHeight="11160" tabRatio="752" firstSheet="1" activeTab="4" xr2:uid="{B3E63296-6BF1-49F2-B293-B8E5D1DC7160}"/>
  </bookViews>
  <sheets>
    <sheet name="Asientos de diario" sheetId="1" state="hidden" r:id="rId1"/>
    <sheet name="Esquema de mayor" sheetId="5" r:id="rId2"/>
    <sheet name="Ajustes" sheetId="8" r:id="rId3"/>
    <sheet name="Pérdidas y ganancias" sheetId="10" r:id="rId4"/>
    <sheet name="Balanza de comprobación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5" i="3" l="1"/>
  <c r="H31" i="5" l="1"/>
  <c r="I31" i="5"/>
  <c r="L31" i="5"/>
  <c r="M31" i="5"/>
  <c r="P31" i="5"/>
  <c r="Q31" i="5"/>
  <c r="T31" i="5"/>
  <c r="U31" i="5"/>
  <c r="X31" i="5"/>
  <c r="Y31" i="5"/>
  <c r="E31" i="5"/>
  <c r="D3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F5" i="3"/>
  <c r="F6" i="3"/>
  <c r="F7" i="3"/>
  <c r="F8" i="3"/>
  <c r="F9" i="3"/>
  <c r="F10" i="3"/>
  <c r="H121" i="5"/>
  <c r="I121" i="5"/>
  <c r="L121" i="5"/>
  <c r="M121" i="5"/>
  <c r="P121" i="5"/>
  <c r="Q121" i="5"/>
  <c r="T121" i="5"/>
  <c r="U121" i="5"/>
  <c r="X121" i="5"/>
  <c r="Y121" i="5"/>
  <c r="E121" i="5"/>
  <c r="D121" i="5"/>
  <c r="H106" i="5"/>
  <c r="I106" i="5"/>
  <c r="L106" i="5"/>
  <c r="M106" i="5"/>
  <c r="P106" i="5"/>
  <c r="Q106" i="5"/>
  <c r="T106" i="5"/>
  <c r="U106" i="5"/>
  <c r="X106" i="5"/>
  <c r="Y106" i="5"/>
  <c r="E106" i="5"/>
  <c r="D106" i="5"/>
  <c r="H91" i="5"/>
  <c r="I91" i="5"/>
  <c r="L91" i="5"/>
  <c r="M91" i="5"/>
  <c r="P91" i="5"/>
  <c r="Q91" i="5"/>
  <c r="T91" i="5"/>
  <c r="U91" i="5"/>
  <c r="X91" i="5"/>
  <c r="Y91" i="5"/>
  <c r="E91" i="5"/>
  <c r="D91" i="5"/>
  <c r="H76" i="5"/>
  <c r="I76" i="5"/>
  <c r="L76" i="5"/>
  <c r="M76" i="5"/>
  <c r="P76" i="5"/>
  <c r="Q76" i="5"/>
  <c r="T76" i="5"/>
  <c r="U76" i="5"/>
  <c r="X76" i="5"/>
  <c r="Y76" i="5"/>
  <c r="E76" i="5"/>
  <c r="D76" i="5"/>
  <c r="H61" i="5"/>
  <c r="I61" i="5"/>
  <c r="L61" i="5"/>
  <c r="M61" i="5"/>
  <c r="P61" i="5"/>
  <c r="Q61" i="5"/>
  <c r="T61" i="5"/>
  <c r="U61" i="5"/>
  <c r="X61" i="5"/>
  <c r="Y61" i="5"/>
  <c r="E61" i="5"/>
  <c r="D61" i="5"/>
  <c r="H46" i="5"/>
  <c r="I46" i="5"/>
  <c r="L46" i="5"/>
  <c r="M46" i="5"/>
  <c r="P46" i="5"/>
  <c r="Q46" i="5"/>
  <c r="T46" i="5"/>
  <c r="U46" i="5"/>
  <c r="X46" i="5"/>
  <c r="Y46" i="5"/>
  <c r="E46" i="5"/>
  <c r="D46" i="5"/>
  <c r="L16" i="5"/>
  <c r="M16" i="5"/>
  <c r="P16" i="5"/>
  <c r="Q16" i="5"/>
  <c r="T16" i="5"/>
  <c r="U16" i="5"/>
  <c r="X16" i="5"/>
  <c r="Y16" i="5"/>
  <c r="I16" i="5"/>
  <c r="H16" i="5"/>
  <c r="E16" i="5"/>
  <c r="D16" i="5"/>
  <c r="T32" i="10" l="1"/>
  <c r="S32" i="10"/>
  <c r="O32" i="10"/>
  <c r="N32" i="10"/>
  <c r="J32" i="10"/>
  <c r="I32" i="10"/>
  <c r="E32" i="10"/>
  <c r="D32" i="10"/>
  <c r="T16" i="10"/>
  <c r="S16" i="10"/>
  <c r="O16" i="10"/>
  <c r="N16" i="10"/>
  <c r="J16" i="10"/>
  <c r="E39" i="3"/>
  <c r="E38" i="3"/>
  <c r="E37" i="3"/>
  <c r="E36" i="3"/>
  <c r="E35" i="3"/>
  <c r="E34" i="3"/>
  <c r="E32" i="3"/>
  <c r="E31" i="3"/>
  <c r="E30" i="3"/>
  <c r="E28" i="3"/>
  <c r="E29" i="3"/>
  <c r="E27" i="3"/>
  <c r="E26" i="3"/>
  <c r="E25" i="3"/>
  <c r="E11" i="3"/>
  <c r="E10" i="3"/>
  <c r="E9" i="3"/>
  <c r="E8" i="3"/>
  <c r="E7" i="3"/>
  <c r="E6" i="3"/>
  <c r="E5" i="3"/>
  <c r="E16" i="10"/>
  <c r="D16" i="10"/>
  <c r="D1" i="5" l="1"/>
  <c r="G77" i="3" l="1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5" i="3"/>
  <c r="J106" i="3"/>
  <c r="J107" i="3"/>
  <c r="J108" i="3"/>
  <c r="J109" i="3"/>
  <c r="J110" i="3"/>
  <c r="J76" i="3"/>
  <c r="G54" i="3" l="1"/>
  <c r="F54" i="3"/>
  <c r="AG45" i="5"/>
  <c r="X79" i="8"/>
  <c r="T79" i="8"/>
  <c r="P79" i="8"/>
  <c r="E48" i="3"/>
  <c r="J119" i="3" s="1"/>
  <c r="E47" i="3"/>
  <c r="J118" i="3" s="1"/>
  <c r="E46" i="3"/>
  <c r="J117" i="3" s="1"/>
  <c r="E45" i="3"/>
  <c r="J116" i="3" s="1"/>
  <c r="E44" i="3"/>
  <c r="J115" i="3" s="1"/>
  <c r="E43" i="3"/>
  <c r="J114" i="3" s="1"/>
  <c r="E42" i="3"/>
  <c r="J113" i="3" s="1"/>
  <c r="E41" i="3"/>
  <c r="J112" i="3" s="1"/>
  <c r="E40" i="3"/>
  <c r="J111" i="3" s="1"/>
  <c r="D94" i="8"/>
  <c r="H109" i="8"/>
  <c r="D109" i="8"/>
  <c r="X94" i="8"/>
  <c r="T94" i="8"/>
  <c r="P94" i="8"/>
  <c r="L94" i="8"/>
  <c r="T64" i="8"/>
  <c r="E33" i="3"/>
  <c r="H34" i="8"/>
  <c r="F3" i="3"/>
  <c r="J104" i="3" l="1"/>
  <c r="F57" i="3"/>
  <c r="F56" i="3" s="1"/>
  <c r="E50" i="3"/>
  <c r="J121" i="3" s="1"/>
  <c r="X109" i="8"/>
  <c r="E52" i="3"/>
  <c r="J123" i="3" s="1"/>
  <c r="E51" i="3"/>
  <c r="J122" i="3" s="1"/>
  <c r="P109" i="8"/>
  <c r="T109" i="8"/>
  <c r="L109" i="8"/>
  <c r="E49" i="3"/>
  <c r="J120" i="3" s="1"/>
  <c r="Y121" i="8" l="1"/>
  <c r="X121" i="8"/>
  <c r="U121" i="8"/>
  <c r="AI50" i="8" s="1"/>
  <c r="T121" i="8"/>
  <c r="Q121" i="8"/>
  <c r="P121" i="8"/>
  <c r="AH49" i="8" s="1"/>
  <c r="M121" i="8"/>
  <c r="AI48" i="8" s="1"/>
  <c r="L121" i="8"/>
  <c r="AH48" i="8" s="1"/>
  <c r="I121" i="8"/>
  <c r="H121" i="8"/>
  <c r="AH47" i="8" s="1"/>
  <c r="E121" i="8"/>
  <c r="AI46" i="8" s="1"/>
  <c r="D121" i="8"/>
  <c r="AH46" i="8" s="1"/>
  <c r="Y106" i="8"/>
  <c r="X106" i="8"/>
  <c r="U106" i="8"/>
  <c r="AI44" i="8" s="1"/>
  <c r="T106" i="8"/>
  <c r="Q106" i="8"/>
  <c r="P106" i="8"/>
  <c r="M106" i="8"/>
  <c r="AI42" i="8" s="1"/>
  <c r="L106" i="8"/>
  <c r="AH42" i="8" s="1"/>
  <c r="I106" i="8"/>
  <c r="H106" i="8"/>
  <c r="E106" i="8"/>
  <c r="AI40" i="8" s="1"/>
  <c r="D106" i="8"/>
  <c r="Y91" i="8"/>
  <c r="X91" i="8"/>
  <c r="U91" i="8"/>
  <c r="AI38" i="8" s="1"/>
  <c r="T91" i="8"/>
  <c r="Q91" i="8"/>
  <c r="P91" i="8"/>
  <c r="AH37" i="8" s="1"/>
  <c r="M91" i="8"/>
  <c r="AI36" i="8" s="1"/>
  <c r="L91" i="8"/>
  <c r="AH36" i="8" s="1"/>
  <c r="I91" i="8"/>
  <c r="H91" i="8"/>
  <c r="E91" i="8"/>
  <c r="AI34" i="8" s="1"/>
  <c r="D91" i="8"/>
  <c r="Y76" i="8"/>
  <c r="X76" i="8"/>
  <c r="U76" i="8"/>
  <c r="AI32" i="8" s="1"/>
  <c r="T76" i="8"/>
  <c r="Q76" i="8"/>
  <c r="P76" i="8"/>
  <c r="M76" i="8"/>
  <c r="AI30" i="8" s="1"/>
  <c r="L76" i="8"/>
  <c r="I76" i="8"/>
  <c r="H76" i="8"/>
  <c r="E76" i="8"/>
  <c r="AI28" i="8" s="1"/>
  <c r="D76" i="8"/>
  <c r="Y61" i="8"/>
  <c r="X61" i="8"/>
  <c r="U61" i="8"/>
  <c r="AI26" i="8" s="1"/>
  <c r="T61" i="8"/>
  <c r="Q61" i="8"/>
  <c r="P61" i="8"/>
  <c r="AH25" i="8" s="1"/>
  <c r="M61" i="8"/>
  <c r="AI24" i="8" s="1"/>
  <c r="L61" i="8"/>
  <c r="AH24" i="8" s="1"/>
  <c r="I61" i="8"/>
  <c r="H61" i="8"/>
  <c r="E61" i="8"/>
  <c r="AI22" i="8" s="1"/>
  <c r="D61" i="8"/>
  <c r="AI51" i="8"/>
  <c r="AH51" i="8"/>
  <c r="AG51" i="8"/>
  <c r="AH50" i="8"/>
  <c r="AG50" i="8"/>
  <c r="AI49" i="8"/>
  <c r="AG49" i="8"/>
  <c r="AG48" i="8"/>
  <c r="AI47" i="8"/>
  <c r="AG47" i="8"/>
  <c r="AG46" i="8"/>
  <c r="Y46" i="8"/>
  <c r="X46" i="8"/>
  <c r="AH21" i="8" s="1"/>
  <c r="U46" i="8"/>
  <c r="AI20" i="8" s="1"/>
  <c r="T46" i="8"/>
  <c r="AH20" i="8" s="1"/>
  <c r="Q46" i="8"/>
  <c r="P46" i="8"/>
  <c r="M46" i="8"/>
  <c r="AI18" i="8" s="1"/>
  <c r="L46" i="8"/>
  <c r="I46" i="8"/>
  <c r="H46" i="8"/>
  <c r="AH17" i="8" s="1"/>
  <c r="E46" i="8"/>
  <c r="AI16" i="8" s="1"/>
  <c r="D46" i="8"/>
  <c r="AH16" i="8" s="1"/>
  <c r="AI45" i="8"/>
  <c r="AH45" i="8"/>
  <c r="AG45" i="8"/>
  <c r="AH44" i="8"/>
  <c r="AG44" i="8"/>
  <c r="AI43" i="8"/>
  <c r="AH43" i="8"/>
  <c r="AG43" i="8"/>
  <c r="AG42" i="8"/>
  <c r="AI41" i="8"/>
  <c r="AH41" i="8"/>
  <c r="AG41" i="8"/>
  <c r="AH40" i="8"/>
  <c r="AG40" i="8"/>
  <c r="AI39" i="8"/>
  <c r="AH39" i="8"/>
  <c r="AG39" i="8"/>
  <c r="AH38" i="8"/>
  <c r="AG38" i="8"/>
  <c r="AI37" i="8"/>
  <c r="AG37" i="8"/>
  <c r="AG36" i="8"/>
  <c r="AI35" i="8"/>
  <c r="AH35" i="8"/>
  <c r="AG35" i="8"/>
  <c r="AH34" i="8"/>
  <c r="AG34" i="8"/>
  <c r="AI33" i="8"/>
  <c r="AH33" i="8"/>
  <c r="AG33" i="8"/>
  <c r="AH32" i="8"/>
  <c r="AG32" i="8"/>
  <c r="AI31" i="8"/>
  <c r="AH31" i="8"/>
  <c r="AG31" i="8"/>
  <c r="Y31" i="8"/>
  <c r="AI15" i="8" s="1"/>
  <c r="X31" i="8"/>
  <c r="AH15" i="8" s="1"/>
  <c r="U31" i="8"/>
  <c r="AI14" i="8" s="1"/>
  <c r="T31" i="8"/>
  <c r="Q31" i="8"/>
  <c r="AI13" i="8" s="1"/>
  <c r="P31" i="8"/>
  <c r="AH13" i="8" s="1"/>
  <c r="M31" i="8"/>
  <c r="AI12" i="8" s="1"/>
  <c r="L31" i="8"/>
  <c r="I31" i="8"/>
  <c r="AI11" i="8" s="1"/>
  <c r="H31" i="8"/>
  <c r="AH11" i="8" s="1"/>
  <c r="E31" i="8"/>
  <c r="AI10" i="8" s="1"/>
  <c r="D31" i="8"/>
  <c r="AH10" i="8" s="1"/>
  <c r="AH30" i="8"/>
  <c r="AG30" i="8"/>
  <c r="AI29" i="8"/>
  <c r="AH29" i="8"/>
  <c r="AG29" i="8"/>
  <c r="AH28" i="8"/>
  <c r="AG28" i="8"/>
  <c r="AI27" i="8"/>
  <c r="AH27" i="8"/>
  <c r="AG27" i="8"/>
  <c r="AH26" i="8"/>
  <c r="AG26" i="8"/>
  <c r="AI25" i="8"/>
  <c r="AG25" i="8"/>
  <c r="AG24" i="8"/>
  <c r="AI23" i="8"/>
  <c r="AH23" i="8"/>
  <c r="L24" i="3" s="1"/>
  <c r="AG23" i="8"/>
  <c r="AH22" i="8"/>
  <c r="AG22" i="8"/>
  <c r="AI21" i="8"/>
  <c r="AG21" i="8"/>
  <c r="AG20" i="8"/>
  <c r="AI19" i="8"/>
  <c r="AH19" i="8"/>
  <c r="AG19" i="8"/>
  <c r="AH18" i="8"/>
  <c r="AG18" i="8"/>
  <c r="AI17" i="8"/>
  <c r="M18" i="3" s="1"/>
  <c r="AG17" i="8"/>
  <c r="AG16" i="8"/>
  <c r="Y16" i="8"/>
  <c r="AI9" i="8" s="1"/>
  <c r="X16" i="8"/>
  <c r="AH9" i="8" s="1"/>
  <c r="U16" i="8"/>
  <c r="AI8" i="8" s="1"/>
  <c r="T16" i="8"/>
  <c r="AH8" i="8" s="1"/>
  <c r="Q16" i="8"/>
  <c r="P16" i="8"/>
  <c r="AH7" i="8" s="1"/>
  <c r="M16" i="8"/>
  <c r="AI6" i="8" s="1"/>
  <c r="L16" i="8"/>
  <c r="AH6" i="8" s="1"/>
  <c r="I16" i="8"/>
  <c r="AI5" i="8" s="1"/>
  <c r="H16" i="8"/>
  <c r="AH5" i="8" s="1"/>
  <c r="L6" i="3" s="1"/>
  <c r="E16" i="8"/>
  <c r="AI4" i="8" s="1"/>
  <c r="D16" i="8"/>
  <c r="AH4" i="8" s="1"/>
  <c r="L5" i="3" s="1"/>
  <c r="AG15" i="8"/>
  <c r="AH14" i="8"/>
  <c r="AG14" i="8"/>
  <c r="AG13" i="8"/>
  <c r="AH12" i="8"/>
  <c r="AG12" i="8"/>
  <c r="AG11" i="8"/>
  <c r="AG10" i="8"/>
  <c r="AG9" i="8"/>
  <c r="AG8" i="8"/>
  <c r="AI7" i="8"/>
  <c r="AG7" i="8"/>
  <c r="AG6" i="8"/>
  <c r="AG5" i="8"/>
  <c r="AG4" i="8"/>
  <c r="M12" i="3" l="1"/>
  <c r="L12" i="3"/>
  <c r="L15" i="3"/>
  <c r="L19" i="3"/>
  <c r="L20" i="3"/>
  <c r="M22" i="3"/>
  <c r="L23" i="3"/>
  <c r="M26" i="3"/>
  <c r="L27" i="3"/>
  <c r="L28" i="3"/>
  <c r="M30" i="3"/>
  <c r="L31" i="3"/>
  <c r="M13" i="3"/>
  <c r="M14" i="3"/>
  <c r="M15" i="3"/>
  <c r="M16" i="3"/>
  <c r="L32" i="3"/>
  <c r="L36" i="3"/>
  <c r="L17" i="3"/>
  <c r="L21" i="3"/>
  <c r="L22" i="3"/>
  <c r="L25" i="3"/>
  <c r="L26" i="3"/>
  <c r="L37" i="3"/>
  <c r="L13" i="3"/>
  <c r="M5" i="3"/>
  <c r="M6" i="3"/>
  <c r="M9" i="3"/>
  <c r="M10" i="3"/>
  <c r="M24" i="3"/>
  <c r="M28" i="3"/>
  <c r="L29" i="3"/>
  <c r="L30" i="3"/>
  <c r="L11" i="3"/>
  <c r="L14" i="3"/>
  <c r="L16" i="3"/>
  <c r="M32" i="3"/>
  <c r="M36" i="3"/>
  <c r="M17" i="3"/>
  <c r="M21" i="3"/>
  <c r="M23" i="3"/>
  <c r="M25" i="3"/>
  <c r="M27" i="3"/>
  <c r="M29" i="3"/>
  <c r="M31" i="3"/>
  <c r="M37" i="3"/>
  <c r="M38" i="3"/>
  <c r="L9" i="3"/>
  <c r="L10" i="3"/>
  <c r="M11" i="3"/>
  <c r="L8" i="3"/>
  <c r="M42" i="3"/>
  <c r="L41" i="3"/>
  <c r="L42" i="3"/>
  <c r="M41" i="3"/>
  <c r="M48" i="3"/>
  <c r="L48" i="3"/>
  <c r="L46" i="3"/>
  <c r="M46" i="3"/>
  <c r="L47" i="3"/>
  <c r="M45" i="3"/>
  <c r="M47" i="3"/>
  <c r="L39" i="3"/>
  <c r="L40" i="3"/>
  <c r="M44" i="3"/>
  <c r="L43" i="3"/>
  <c r="L44" i="3"/>
  <c r="M43" i="3"/>
  <c r="L38" i="3"/>
  <c r="M40" i="3"/>
  <c r="M39" i="3"/>
  <c r="M34" i="3"/>
  <c r="L35" i="3"/>
  <c r="L33" i="3"/>
  <c r="L34" i="3"/>
  <c r="M33" i="3"/>
  <c r="M35" i="3"/>
  <c r="L18" i="3"/>
  <c r="M20" i="3"/>
  <c r="M19" i="3"/>
  <c r="M7" i="3"/>
  <c r="M8" i="3"/>
  <c r="L7" i="3"/>
  <c r="M51" i="3"/>
  <c r="M52" i="3"/>
  <c r="L51" i="3"/>
  <c r="L52" i="3"/>
  <c r="M50" i="3"/>
  <c r="L50" i="3"/>
  <c r="P54" i="3"/>
  <c r="Q54" i="3"/>
  <c r="R54" i="3"/>
  <c r="S54" i="3"/>
  <c r="AG30" i="5" l="1"/>
  <c r="AI50" i="5"/>
  <c r="AH50" i="5"/>
  <c r="AI49" i="5"/>
  <c r="AH49" i="5"/>
  <c r="AI51" i="5"/>
  <c r="AH51" i="5"/>
  <c r="AG51" i="5"/>
  <c r="AG50" i="5"/>
  <c r="AG49" i="5"/>
  <c r="AG48" i="5"/>
  <c r="AG47" i="5"/>
  <c r="AG46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I52" i="3" l="1"/>
  <c r="H52" i="3"/>
  <c r="I51" i="3"/>
  <c r="H51" i="3"/>
  <c r="I50" i="3"/>
  <c r="H50" i="3"/>
  <c r="M49" i="3"/>
  <c r="L49" i="3"/>
  <c r="AI48" i="5"/>
  <c r="I49" i="3" s="1"/>
  <c r="AH48" i="5"/>
  <c r="H49" i="3" s="1"/>
  <c r="AI47" i="5"/>
  <c r="I48" i="3" s="1"/>
  <c r="AH47" i="5"/>
  <c r="H48" i="3" s="1"/>
  <c r="AI46" i="5"/>
  <c r="I47" i="3" s="1"/>
  <c r="AH46" i="5"/>
  <c r="H47" i="3" s="1"/>
  <c r="AI45" i="5"/>
  <c r="I46" i="3" s="1"/>
  <c r="AH45" i="5"/>
  <c r="H46" i="3" s="1"/>
  <c r="AI44" i="5"/>
  <c r="I45" i="3" s="1"/>
  <c r="AH44" i="5"/>
  <c r="H45" i="3" s="1"/>
  <c r="AI43" i="5"/>
  <c r="I44" i="3" s="1"/>
  <c r="AH43" i="5"/>
  <c r="H44" i="3" s="1"/>
  <c r="AI42" i="5"/>
  <c r="I43" i="3" s="1"/>
  <c r="AH42" i="5"/>
  <c r="H43" i="3" s="1"/>
  <c r="AI41" i="5"/>
  <c r="I42" i="3" s="1"/>
  <c r="AH41" i="5"/>
  <c r="H42" i="3" s="1"/>
  <c r="AI40" i="5"/>
  <c r="I41" i="3" s="1"/>
  <c r="AH40" i="5"/>
  <c r="H41" i="3" s="1"/>
  <c r="AI39" i="5"/>
  <c r="I40" i="3" s="1"/>
  <c r="AH39" i="5"/>
  <c r="H40" i="3" s="1"/>
  <c r="AI38" i="5"/>
  <c r="I39" i="3" s="1"/>
  <c r="AH38" i="5"/>
  <c r="H39" i="3" s="1"/>
  <c r="AI37" i="5"/>
  <c r="I38" i="3" s="1"/>
  <c r="AH37" i="5"/>
  <c r="H38" i="3" s="1"/>
  <c r="AI36" i="5"/>
  <c r="I37" i="3" s="1"/>
  <c r="AH36" i="5"/>
  <c r="H37" i="3" s="1"/>
  <c r="AI35" i="5"/>
  <c r="I36" i="3" s="1"/>
  <c r="AH35" i="5"/>
  <c r="H36" i="3" s="1"/>
  <c r="AI34" i="5"/>
  <c r="AH34" i="5"/>
  <c r="H35" i="3" s="1"/>
  <c r="AI33" i="5"/>
  <c r="I34" i="3" s="1"/>
  <c r="AH33" i="5"/>
  <c r="H34" i="3" s="1"/>
  <c r="AI32" i="5"/>
  <c r="I33" i="3" s="1"/>
  <c r="AH32" i="5"/>
  <c r="H33" i="3" s="1"/>
  <c r="AI31" i="5"/>
  <c r="I32" i="3" s="1"/>
  <c r="AH31" i="5"/>
  <c r="H32" i="3" s="1"/>
  <c r="AI30" i="5"/>
  <c r="I31" i="3" s="1"/>
  <c r="AH30" i="5"/>
  <c r="H31" i="3" s="1"/>
  <c r="AI29" i="5"/>
  <c r="I30" i="3" s="1"/>
  <c r="AH29" i="5"/>
  <c r="H30" i="3" s="1"/>
  <c r="AI28" i="5"/>
  <c r="I29" i="3" s="1"/>
  <c r="AH28" i="5"/>
  <c r="H29" i="3" s="1"/>
  <c r="AI27" i="5"/>
  <c r="I28" i="3" s="1"/>
  <c r="AH27" i="5"/>
  <c r="H28" i="3" s="1"/>
  <c r="AI26" i="5"/>
  <c r="I27" i="3" s="1"/>
  <c r="AH26" i="5"/>
  <c r="H27" i="3" s="1"/>
  <c r="AI25" i="5"/>
  <c r="I26" i="3" s="1"/>
  <c r="AH25" i="5"/>
  <c r="H26" i="3" s="1"/>
  <c r="AI24" i="5"/>
  <c r="I25" i="3" s="1"/>
  <c r="AH24" i="5"/>
  <c r="H25" i="3" s="1"/>
  <c r="AI23" i="5"/>
  <c r="I24" i="3" s="1"/>
  <c r="AH23" i="5"/>
  <c r="H24" i="3" s="1"/>
  <c r="AI22" i="5"/>
  <c r="I23" i="3" s="1"/>
  <c r="AH22" i="5"/>
  <c r="H23" i="3" s="1"/>
  <c r="AI21" i="5"/>
  <c r="I22" i="3" s="1"/>
  <c r="AH21" i="5"/>
  <c r="H22" i="3" s="1"/>
  <c r="AI20" i="5"/>
  <c r="I21" i="3" s="1"/>
  <c r="AH20" i="5"/>
  <c r="H21" i="3" s="1"/>
  <c r="AI19" i="5"/>
  <c r="I20" i="3" s="1"/>
  <c r="AH19" i="5"/>
  <c r="H20" i="3" s="1"/>
  <c r="AI18" i="5"/>
  <c r="I19" i="3" s="1"/>
  <c r="AH18" i="5"/>
  <c r="H19" i="3" s="1"/>
  <c r="AI17" i="5"/>
  <c r="I18" i="3" s="1"/>
  <c r="AH17" i="5"/>
  <c r="H18" i="3" s="1"/>
  <c r="AI16" i="5"/>
  <c r="I17" i="3" s="1"/>
  <c r="AH16" i="5"/>
  <c r="H17" i="3" s="1"/>
  <c r="AI15" i="5"/>
  <c r="I16" i="3" s="1"/>
  <c r="AH15" i="5"/>
  <c r="H16" i="3" s="1"/>
  <c r="AI14" i="5"/>
  <c r="I15" i="3" s="1"/>
  <c r="AH14" i="5"/>
  <c r="H15" i="3" s="1"/>
  <c r="AI13" i="5"/>
  <c r="I14" i="3" s="1"/>
  <c r="AH13" i="5"/>
  <c r="H14" i="3" s="1"/>
  <c r="AI12" i="5"/>
  <c r="I13" i="3" s="1"/>
  <c r="AH12" i="5"/>
  <c r="H13" i="3" s="1"/>
  <c r="AI11" i="5"/>
  <c r="I12" i="3" s="1"/>
  <c r="AH11" i="5"/>
  <c r="H12" i="3" s="1"/>
  <c r="AI10" i="5"/>
  <c r="I11" i="3" s="1"/>
  <c r="AH10" i="5"/>
  <c r="H11" i="3" s="1"/>
  <c r="AI9" i="5"/>
  <c r="I10" i="3" s="1"/>
  <c r="AH9" i="5"/>
  <c r="H10" i="3" s="1"/>
  <c r="AI8" i="5"/>
  <c r="I9" i="3" s="1"/>
  <c r="AH8" i="5"/>
  <c r="H9" i="3" s="1"/>
  <c r="AI7" i="5"/>
  <c r="AH7" i="5"/>
  <c r="AI6" i="5"/>
  <c r="I7" i="3" s="1"/>
  <c r="AI5" i="5"/>
  <c r="I6" i="3" s="1"/>
  <c r="AH5" i="5"/>
  <c r="H6" i="3" s="1"/>
  <c r="AI4" i="5"/>
  <c r="AH4" i="5"/>
  <c r="H5" i="3" s="1"/>
  <c r="H104" i="3" l="1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10" i="3"/>
  <c r="H109" i="3"/>
  <c r="H108" i="3"/>
  <c r="H107" i="3"/>
  <c r="H106" i="3"/>
  <c r="H105" i="3"/>
  <c r="H103" i="3"/>
  <c r="H102" i="3"/>
  <c r="H101" i="3"/>
  <c r="H100" i="3"/>
  <c r="H99" i="3"/>
  <c r="H93" i="3"/>
  <c r="H94" i="3"/>
  <c r="H95" i="3"/>
  <c r="H96" i="3"/>
  <c r="H97" i="3"/>
  <c r="H98" i="3"/>
  <c r="H91" i="3"/>
  <c r="H92" i="3"/>
  <c r="H77" i="3"/>
  <c r="H80" i="3"/>
  <c r="H81" i="3"/>
  <c r="H82" i="3"/>
  <c r="H83" i="3"/>
  <c r="H84" i="3"/>
  <c r="H85" i="3"/>
  <c r="H86" i="3"/>
  <c r="H87" i="3"/>
  <c r="H88" i="3"/>
  <c r="H89" i="3"/>
  <c r="H90" i="3"/>
  <c r="I8" i="3"/>
  <c r="L54" i="3"/>
  <c r="I5" i="3"/>
  <c r="H76" i="3" s="1"/>
  <c r="AH6" i="5"/>
  <c r="H8" i="3" s="1"/>
  <c r="K123" i="3" l="1"/>
  <c r="K52" i="3" s="1"/>
  <c r="I123" i="3"/>
  <c r="K122" i="3"/>
  <c r="K51" i="3" s="1"/>
  <c r="I122" i="3"/>
  <c r="K121" i="3"/>
  <c r="K50" i="3" s="1"/>
  <c r="I121" i="3"/>
  <c r="K120" i="3"/>
  <c r="K49" i="3" s="1"/>
  <c r="I120" i="3"/>
  <c r="J49" i="3" s="1"/>
  <c r="K119" i="3"/>
  <c r="K48" i="3" s="1"/>
  <c r="I119" i="3"/>
  <c r="K118" i="3"/>
  <c r="K47" i="3" s="1"/>
  <c r="I118" i="3"/>
  <c r="K117" i="3"/>
  <c r="K46" i="3" s="1"/>
  <c r="I117" i="3"/>
  <c r="K116" i="3"/>
  <c r="K45" i="3" s="1"/>
  <c r="I116" i="3"/>
  <c r="J45" i="3" s="1"/>
  <c r="K115" i="3"/>
  <c r="K44" i="3" s="1"/>
  <c r="I115" i="3"/>
  <c r="J44" i="3" s="1"/>
  <c r="K114" i="3"/>
  <c r="K43" i="3" s="1"/>
  <c r="I114" i="3"/>
  <c r="J43" i="3" s="1"/>
  <c r="K113" i="3"/>
  <c r="K42" i="3" s="1"/>
  <c r="I113" i="3"/>
  <c r="J42" i="3" s="1"/>
  <c r="K112" i="3"/>
  <c r="K41" i="3" s="1"/>
  <c r="I112" i="3"/>
  <c r="J41" i="3" s="1"/>
  <c r="K111" i="3"/>
  <c r="K40" i="3" s="1"/>
  <c r="I111" i="3"/>
  <c r="J40" i="3" s="1"/>
  <c r="K104" i="3"/>
  <c r="K33" i="3" s="1"/>
  <c r="I104" i="3"/>
  <c r="J33" i="3" s="1"/>
  <c r="I110" i="3"/>
  <c r="J39" i="3" s="1"/>
  <c r="K110" i="3"/>
  <c r="K39" i="3" s="1"/>
  <c r="K109" i="3"/>
  <c r="K38" i="3" s="1"/>
  <c r="I109" i="3"/>
  <c r="J38" i="3" s="1"/>
  <c r="I108" i="3"/>
  <c r="J37" i="3" s="1"/>
  <c r="K108" i="3"/>
  <c r="K37" i="3" s="1"/>
  <c r="K107" i="3"/>
  <c r="K36" i="3" s="1"/>
  <c r="I107" i="3"/>
  <c r="J36" i="3" s="1"/>
  <c r="K106" i="3"/>
  <c r="K35" i="3" s="1"/>
  <c r="I106" i="3"/>
  <c r="J35" i="3" s="1"/>
  <c r="K105" i="3"/>
  <c r="K34" i="3" s="1"/>
  <c r="I105" i="3"/>
  <c r="J34" i="3" s="1"/>
  <c r="K103" i="3"/>
  <c r="K32" i="3" s="1"/>
  <c r="I103" i="3"/>
  <c r="J32" i="3" s="1"/>
  <c r="K102" i="3"/>
  <c r="K31" i="3" s="1"/>
  <c r="I102" i="3"/>
  <c r="J31" i="3" s="1"/>
  <c r="K101" i="3"/>
  <c r="K30" i="3" s="1"/>
  <c r="I101" i="3"/>
  <c r="J30" i="3" s="1"/>
  <c r="K100" i="3"/>
  <c r="K29" i="3" s="1"/>
  <c r="I100" i="3"/>
  <c r="J29" i="3" s="1"/>
  <c r="K99" i="3"/>
  <c r="K28" i="3" s="1"/>
  <c r="I99" i="3"/>
  <c r="J28" i="3" s="1"/>
  <c r="I98" i="3"/>
  <c r="J27" i="3" s="1"/>
  <c r="K98" i="3"/>
  <c r="K27" i="3" s="1"/>
  <c r="K97" i="3"/>
  <c r="K26" i="3" s="1"/>
  <c r="I97" i="3"/>
  <c r="J26" i="3" s="1"/>
  <c r="I96" i="3"/>
  <c r="J25" i="3" s="1"/>
  <c r="K96" i="3"/>
  <c r="K25" i="3" s="1"/>
  <c r="K95" i="3"/>
  <c r="K24" i="3" s="1"/>
  <c r="I95" i="3"/>
  <c r="J24" i="3" s="1"/>
  <c r="I94" i="3"/>
  <c r="J23" i="3" s="1"/>
  <c r="K94" i="3"/>
  <c r="K23" i="3" s="1"/>
  <c r="K93" i="3"/>
  <c r="K22" i="3" s="1"/>
  <c r="I93" i="3"/>
  <c r="J22" i="3" s="1"/>
  <c r="K90" i="3"/>
  <c r="K19" i="3" s="1"/>
  <c r="I90" i="3"/>
  <c r="J19" i="3" s="1"/>
  <c r="K88" i="3"/>
  <c r="K17" i="3" s="1"/>
  <c r="I88" i="3"/>
  <c r="J17" i="3" s="1"/>
  <c r="K86" i="3"/>
  <c r="K15" i="3" s="1"/>
  <c r="I86" i="3"/>
  <c r="J15" i="3" s="1"/>
  <c r="K84" i="3"/>
  <c r="K13" i="3" s="1"/>
  <c r="I84" i="3"/>
  <c r="J13" i="3" s="1"/>
  <c r="K89" i="3"/>
  <c r="K18" i="3" s="1"/>
  <c r="I89" i="3"/>
  <c r="J18" i="3" s="1"/>
  <c r="K87" i="3"/>
  <c r="K16" i="3" s="1"/>
  <c r="I87" i="3"/>
  <c r="J16" i="3" s="1"/>
  <c r="K85" i="3"/>
  <c r="K14" i="3" s="1"/>
  <c r="I85" i="3"/>
  <c r="J14" i="3" s="1"/>
  <c r="K92" i="3"/>
  <c r="K21" i="3" s="1"/>
  <c r="I92" i="3"/>
  <c r="J21" i="3" s="1"/>
  <c r="K91" i="3"/>
  <c r="K20" i="3" s="1"/>
  <c r="I91" i="3"/>
  <c r="J20" i="3" s="1"/>
  <c r="I83" i="3"/>
  <c r="J12" i="3" s="1"/>
  <c r="K83" i="3"/>
  <c r="K12" i="3" s="1"/>
  <c r="K82" i="3"/>
  <c r="K11" i="3" s="1"/>
  <c r="I82" i="3"/>
  <c r="J11" i="3" s="1"/>
  <c r="K76" i="3"/>
  <c r="K5" i="3" s="1"/>
  <c r="I76" i="3"/>
  <c r="J5" i="3" s="1"/>
  <c r="K81" i="3"/>
  <c r="K10" i="3" s="1"/>
  <c r="I81" i="3"/>
  <c r="J10" i="3" s="1"/>
  <c r="K77" i="3"/>
  <c r="K6" i="3" s="1"/>
  <c r="I77" i="3"/>
  <c r="J6" i="3" s="1"/>
  <c r="K80" i="3"/>
  <c r="K9" i="3" s="1"/>
  <c r="I80" i="3"/>
  <c r="J9" i="3" s="1"/>
  <c r="H79" i="3"/>
  <c r="I54" i="3"/>
  <c r="H7" i="3"/>
  <c r="M54" i="3"/>
  <c r="C123" i="8" s="1"/>
  <c r="M120" i="3" l="1"/>
  <c r="N120" i="3" s="1"/>
  <c r="N49" i="3" s="1"/>
  <c r="J46" i="3"/>
  <c r="O117" i="3" s="1"/>
  <c r="J47" i="3"/>
  <c r="M118" i="3" s="1"/>
  <c r="J48" i="3"/>
  <c r="M119" i="3" s="1"/>
  <c r="J50" i="3"/>
  <c r="M121" i="3" s="1"/>
  <c r="J51" i="3"/>
  <c r="M122" i="3" s="1"/>
  <c r="J52" i="3"/>
  <c r="M123" i="3" s="1"/>
  <c r="M116" i="3"/>
  <c r="N116" i="3" s="1"/>
  <c r="N45" i="3" s="1"/>
  <c r="O107" i="3"/>
  <c r="M108" i="3"/>
  <c r="N108" i="3" s="1"/>
  <c r="N37" i="3" s="1"/>
  <c r="M109" i="3"/>
  <c r="N109" i="3" s="1"/>
  <c r="N38" i="3" s="1"/>
  <c r="M110" i="3"/>
  <c r="N110" i="3" s="1"/>
  <c r="N39" i="3" s="1"/>
  <c r="L111" i="3"/>
  <c r="M112" i="3"/>
  <c r="N112" i="3" s="1"/>
  <c r="N41" i="3" s="1"/>
  <c r="I5" i="10" s="1"/>
  <c r="I16" i="10" s="1"/>
  <c r="M113" i="3"/>
  <c r="N113" i="3" s="1"/>
  <c r="N42" i="3" s="1"/>
  <c r="O114" i="3"/>
  <c r="M115" i="3"/>
  <c r="N115" i="3" s="1"/>
  <c r="N44" i="3" s="1"/>
  <c r="M102" i="3"/>
  <c r="P102" i="3" s="1"/>
  <c r="O31" i="3" s="1"/>
  <c r="M105" i="3"/>
  <c r="P105" i="3" s="1"/>
  <c r="O34" i="3" s="1"/>
  <c r="L106" i="3"/>
  <c r="M104" i="3"/>
  <c r="P104" i="3" s="1"/>
  <c r="O33" i="3" s="1"/>
  <c r="M101" i="3"/>
  <c r="N101" i="3" s="1"/>
  <c r="N30" i="3" s="1"/>
  <c r="O91" i="3"/>
  <c r="L115" i="3"/>
  <c r="L114" i="3"/>
  <c r="L113" i="3"/>
  <c r="M114" i="3"/>
  <c r="N114" i="3" s="1"/>
  <c r="N43" i="3" s="1"/>
  <c r="L109" i="3"/>
  <c r="M111" i="3"/>
  <c r="N111" i="3" s="1"/>
  <c r="N40" i="3" s="1"/>
  <c r="O110" i="3"/>
  <c r="O111" i="3"/>
  <c r="O113" i="3"/>
  <c r="L107" i="3"/>
  <c r="M107" i="3"/>
  <c r="N107" i="3" s="1"/>
  <c r="N36" i="3" s="1"/>
  <c r="O115" i="3"/>
  <c r="P116" i="3"/>
  <c r="O45" i="3" s="1"/>
  <c r="P120" i="3"/>
  <c r="O49" i="3" s="1"/>
  <c r="L91" i="3"/>
  <c r="M87" i="3"/>
  <c r="N87" i="3" s="1"/>
  <c r="N16" i="3" s="1"/>
  <c r="M93" i="3"/>
  <c r="N93" i="3" s="1"/>
  <c r="N22" i="3" s="1"/>
  <c r="M94" i="3"/>
  <c r="P94" i="3" s="1"/>
  <c r="O23" i="3" s="1"/>
  <c r="M106" i="3"/>
  <c r="P106" i="3" s="1"/>
  <c r="O35" i="3" s="1"/>
  <c r="L110" i="3"/>
  <c r="O109" i="3"/>
  <c r="O106" i="3"/>
  <c r="M103" i="3"/>
  <c r="L102" i="3"/>
  <c r="M99" i="3"/>
  <c r="N99" i="3" s="1"/>
  <c r="N28" i="3" s="1"/>
  <c r="M100" i="3"/>
  <c r="M97" i="3"/>
  <c r="P97" i="3" s="1"/>
  <c r="O26" i="3" s="1"/>
  <c r="L93" i="3"/>
  <c r="M92" i="3"/>
  <c r="N92" i="3" s="1"/>
  <c r="N21" i="3" s="1"/>
  <c r="O94" i="3"/>
  <c r="O93" i="3"/>
  <c r="M95" i="3"/>
  <c r="P95" i="3" s="1"/>
  <c r="O24" i="3" s="1"/>
  <c r="M96" i="3"/>
  <c r="N96" i="3" s="1"/>
  <c r="N25" i="3" s="1"/>
  <c r="M98" i="3"/>
  <c r="N98" i="3" s="1"/>
  <c r="N27" i="3" s="1"/>
  <c r="L95" i="3"/>
  <c r="M85" i="3"/>
  <c r="N85" i="3" s="1"/>
  <c r="N14" i="3" s="1"/>
  <c r="M88" i="3"/>
  <c r="N88" i="3" s="1"/>
  <c r="N17" i="3" s="1"/>
  <c r="M91" i="3"/>
  <c r="N91" i="3" s="1"/>
  <c r="N20" i="3" s="1"/>
  <c r="M89" i="3"/>
  <c r="N89" i="3" s="1"/>
  <c r="N18" i="3" s="1"/>
  <c r="M84" i="3"/>
  <c r="P84" i="3" s="1"/>
  <c r="O13" i="3" s="1"/>
  <c r="M86" i="3"/>
  <c r="N86" i="3" s="1"/>
  <c r="N15" i="3" s="1"/>
  <c r="P85" i="3"/>
  <c r="P88" i="3"/>
  <c r="O17" i="3" s="1"/>
  <c r="M90" i="3"/>
  <c r="L90" i="3"/>
  <c r="M83" i="3"/>
  <c r="L83" i="3"/>
  <c r="M82" i="3"/>
  <c r="M77" i="3"/>
  <c r="P77" i="3" s="1"/>
  <c r="O6" i="3" s="1"/>
  <c r="M80" i="3"/>
  <c r="M81" i="3"/>
  <c r="H78" i="3"/>
  <c r="K79" i="3"/>
  <c r="K8" i="3" s="1"/>
  <c r="I79" i="3"/>
  <c r="J8" i="3" s="1"/>
  <c r="M76" i="3"/>
  <c r="L99" i="3"/>
  <c r="L103" i="3"/>
  <c r="O103" i="3"/>
  <c r="L89" i="3"/>
  <c r="O98" i="3"/>
  <c r="L97" i="3"/>
  <c r="O97" i="3"/>
  <c r="O85" i="3"/>
  <c r="L85" i="3"/>
  <c r="L101" i="3"/>
  <c r="O101" i="3"/>
  <c r="H54" i="3"/>
  <c r="L98" i="3"/>
  <c r="O102" i="3"/>
  <c r="O83" i="3"/>
  <c r="O95" i="3"/>
  <c r="L94" i="3"/>
  <c r="O99" i="3"/>
  <c r="L77" i="3"/>
  <c r="O105" i="3"/>
  <c r="O89" i="3"/>
  <c r="O90" i="3"/>
  <c r="O82" i="3"/>
  <c r="L105" i="3"/>
  <c r="L82" i="3"/>
  <c r="L121" i="3"/>
  <c r="L87" i="3"/>
  <c r="L84" i="3"/>
  <c r="O84" i="3"/>
  <c r="O77" i="3"/>
  <c r="O86" i="3"/>
  <c r="L76" i="3"/>
  <c r="O76" i="3"/>
  <c r="O81" i="3"/>
  <c r="L92" i="3"/>
  <c r="O92" i="3"/>
  <c r="O87" i="3"/>
  <c r="L86" i="3"/>
  <c r="L81" i="3"/>
  <c r="L88" i="3"/>
  <c r="R57" i="3"/>
  <c r="R56" i="3" s="1"/>
  <c r="P57" i="3"/>
  <c r="P56" i="3" s="1"/>
  <c r="L57" i="3"/>
  <c r="L56" i="3" s="1"/>
  <c r="Q32" i="1"/>
  <c r="P32" i="1"/>
  <c r="Q26" i="1"/>
  <c r="P26" i="1"/>
  <c r="Q20" i="1"/>
  <c r="P20" i="1"/>
  <c r="Q14" i="1"/>
  <c r="P14" i="1"/>
  <c r="Q8" i="1"/>
  <c r="P8" i="1"/>
  <c r="L32" i="1"/>
  <c r="K32" i="1"/>
  <c r="L26" i="1"/>
  <c r="K26" i="1"/>
  <c r="L20" i="1"/>
  <c r="K20" i="1"/>
  <c r="L14" i="1"/>
  <c r="K14" i="1"/>
  <c r="L8" i="1"/>
  <c r="K8" i="1"/>
  <c r="G32" i="1"/>
  <c r="F32" i="1"/>
  <c r="G26" i="1"/>
  <c r="F26" i="1"/>
  <c r="G20" i="1"/>
  <c r="F20" i="1"/>
  <c r="G14" i="1"/>
  <c r="F14" i="1"/>
  <c r="G8" i="1"/>
  <c r="F8" i="1"/>
  <c r="P99" i="3" l="1"/>
  <c r="O28" i="3" s="1"/>
  <c r="O122" i="3"/>
  <c r="P108" i="3"/>
  <c r="O37" i="3" s="1"/>
  <c r="L123" i="3"/>
  <c r="P114" i="3"/>
  <c r="O43" i="3" s="1"/>
  <c r="T43" i="3" s="1"/>
  <c r="N123" i="3"/>
  <c r="N52" i="3" s="1"/>
  <c r="P123" i="3"/>
  <c r="O52" i="3" s="1"/>
  <c r="N121" i="3"/>
  <c r="N50" i="3" s="1"/>
  <c r="P121" i="3"/>
  <c r="O50" i="3" s="1"/>
  <c r="P118" i="3"/>
  <c r="O47" i="3" s="1"/>
  <c r="N118" i="3"/>
  <c r="N47" i="3" s="1"/>
  <c r="N122" i="3"/>
  <c r="N51" i="3" s="1"/>
  <c r="P122" i="3"/>
  <c r="O51" i="3" s="1"/>
  <c r="N119" i="3"/>
  <c r="N48" i="3" s="1"/>
  <c r="P119" i="3"/>
  <c r="O48" i="3" s="1"/>
  <c r="L122" i="3"/>
  <c r="O121" i="3"/>
  <c r="O123" i="3"/>
  <c r="L119" i="3"/>
  <c r="O119" i="3"/>
  <c r="L117" i="3"/>
  <c r="M117" i="3"/>
  <c r="O118" i="3"/>
  <c r="L118" i="3"/>
  <c r="O14" i="3"/>
  <c r="T14" i="3" s="1"/>
  <c r="P110" i="3"/>
  <c r="O39" i="3" s="1"/>
  <c r="T39" i="3" s="1"/>
  <c r="P112" i="3"/>
  <c r="O41" i="3" s="1"/>
  <c r="N106" i="3"/>
  <c r="N35" i="3" s="1"/>
  <c r="T35" i="3" s="1"/>
  <c r="P109" i="3"/>
  <c r="O38" i="3" s="1"/>
  <c r="P113" i="3"/>
  <c r="P101" i="3"/>
  <c r="O30" i="3" s="1"/>
  <c r="N102" i="3"/>
  <c r="P115" i="3"/>
  <c r="O44" i="3" s="1"/>
  <c r="P107" i="3"/>
  <c r="N105" i="3"/>
  <c r="N34" i="3" s="1"/>
  <c r="N104" i="3"/>
  <c r="N33" i="3" s="1"/>
  <c r="T38" i="3"/>
  <c r="P111" i="3"/>
  <c r="O40" i="3" s="1"/>
  <c r="T44" i="3"/>
  <c r="T40" i="3"/>
  <c r="P93" i="3"/>
  <c r="N94" i="3"/>
  <c r="N23" i="3" s="1"/>
  <c r="P92" i="3"/>
  <c r="O21" i="3" s="1"/>
  <c r="P86" i="3"/>
  <c r="O15" i="3" s="1"/>
  <c r="P89" i="3"/>
  <c r="O18" i="3" s="1"/>
  <c r="P87" i="3"/>
  <c r="O16" i="3" s="1"/>
  <c r="N97" i="3"/>
  <c r="N26" i="3" s="1"/>
  <c r="N84" i="3"/>
  <c r="N13" i="3" s="1"/>
  <c r="P103" i="3"/>
  <c r="O32" i="3" s="1"/>
  <c r="N103" i="3"/>
  <c r="N32" i="3" s="1"/>
  <c r="P100" i="3"/>
  <c r="O29" i="3" s="1"/>
  <c r="N100" i="3"/>
  <c r="N29" i="3" s="1"/>
  <c r="P98" i="3"/>
  <c r="O27" i="3" s="1"/>
  <c r="N95" i="3"/>
  <c r="P96" i="3"/>
  <c r="O25" i="3" s="1"/>
  <c r="P91" i="3"/>
  <c r="P90" i="3"/>
  <c r="O19" i="3" s="1"/>
  <c r="N90" i="3"/>
  <c r="N19" i="3" s="1"/>
  <c r="N83" i="3"/>
  <c r="N12" i="3" s="1"/>
  <c r="P83" i="3"/>
  <c r="O12" i="3" s="1"/>
  <c r="N77" i="3"/>
  <c r="N6" i="3" s="1"/>
  <c r="P82" i="3"/>
  <c r="O11" i="3" s="1"/>
  <c r="N82" i="3"/>
  <c r="N11" i="3" s="1"/>
  <c r="O79" i="3"/>
  <c r="L79" i="3"/>
  <c r="P81" i="3"/>
  <c r="O10" i="3" s="1"/>
  <c r="N81" i="3"/>
  <c r="N10" i="3" s="1"/>
  <c r="P80" i="3"/>
  <c r="O9" i="3" s="1"/>
  <c r="N80" i="3"/>
  <c r="N9" i="3" s="1"/>
  <c r="P76" i="3"/>
  <c r="O5" i="3" s="1"/>
  <c r="N76" i="3"/>
  <c r="N5" i="3" s="1"/>
  <c r="K78" i="3"/>
  <c r="K7" i="3" s="1"/>
  <c r="I78" i="3"/>
  <c r="J7" i="3" s="1"/>
  <c r="M79" i="3"/>
  <c r="T28" i="3"/>
  <c r="O120" i="3"/>
  <c r="L120" i="3"/>
  <c r="O80" i="3"/>
  <c r="O116" i="3"/>
  <c r="L116" i="3"/>
  <c r="L100" i="3"/>
  <c r="O100" i="3"/>
  <c r="L108" i="3"/>
  <c r="O108" i="3"/>
  <c r="L112" i="3"/>
  <c r="O112" i="3"/>
  <c r="O88" i="3"/>
  <c r="L96" i="3"/>
  <c r="O96" i="3"/>
  <c r="L104" i="3"/>
  <c r="O104" i="3"/>
  <c r="L80" i="3"/>
  <c r="A4" i="8"/>
  <c r="AA4" i="8"/>
  <c r="T47" i="3" l="1"/>
  <c r="N117" i="3"/>
  <c r="N46" i="3" s="1"/>
  <c r="P117" i="3"/>
  <c r="O46" i="3" s="1"/>
  <c r="O20" i="3"/>
  <c r="T20" i="3" s="1"/>
  <c r="N24" i="3"/>
  <c r="T24" i="3" s="1"/>
  <c r="T12" i="3"/>
  <c r="O22" i="3"/>
  <c r="T22" i="3" s="1"/>
  <c r="O36" i="3"/>
  <c r="T36" i="3" s="1"/>
  <c r="N31" i="3"/>
  <c r="T31" i="3" s="1"/>
  <c r="O42" i="3"/>
  <c r="T42" i="3" s="1"/>
  <c r="T52" i="3"/>
  <c r="T34" i="3"/>
  <c r="T30" i="3"/>
  <c r="T23" i="3"/>
  <c r="M78" i="3"/>
  <c r="N78" i="3" s="1"/>
  <c r="N7" i="3" s="1"/>
  <c r="K54" i="3"/>
  <c r="L78" i="3"/>
  <c r="T51" i="3"/>
  <c r="T50" i="3"/>
  <c r="T48" i="3"/>
  <c r="T32" i="3"/>
  <c r="T26" i="3"/>
  <c r="T13" i="3"/>
  <c r="T17" i="3"/>
  <c r="T15" i="3"/>
  <c r="T21" i="3"/>
  <c r="T18" i="3"/>
  <c r="T27" i="3"/>
  <c r="T19" i="3"/>
  <c r="T16" i="3"/>
  <c r="T11" i="3"/>
  <c r="J54" i="3"/>
  <c r="T10" i="3"/>
  <c r="O78" i="3"/>
  <c r="T6" i="3"/>
  <c r="P79" i="3"/>
  <c r="O8" i="3" s="1"/>
  <c r="N79" i="3"/>
  <c r="N8" i="3" s="1"/>
  <c r="P78" i="3" l="1"/>
  <c r="O7" i="3" s="1"/>
  <c r="T5" i="3" s="1"/>
  <c r="T46" i="3"/>
  <c r="T49" i="3"/>
  <c r="T45" i="3"/>
  <c r="T41" i="3"/>
  <c r="T37" i="3"/>
  <c r="T33" i="3"/>
  <c r="J57" i="3"/>
  <c r="J56" i="3" s="1"/>
  <c r="T29" i="3"/>
  <c r="T25" i="3"/>
  <c r="T9" i="3"/>
  <c r="T8" i="3"/>
  <c r="T7" i="3"/>
  <c r="N54" i="3"/>
  <c r="C123" i="5"/>
  <c r="A4" i="5" s="1"/>
  <c r="H57" i="3"/>
  <c r="H56" i="3" s="1"/>
  <c r="O54" i="3" l="1"/>
  <c r="N57" i="3" s="1"/>
  <c r="N56" i="3" s="1"/>
  <c r="AA4" i="5"/>
</calcChain>
</file>

<file path=xl/sharedStrings.xml><?xml version="1.0" encoding="utf-8"?>
<sst xmlns="http://schemas.openxmlformats.org/spreadsheetml/2006/main" count="172" uniqueCount="92">
  <si>
    <t>Asientos de diario</t>
  </si>
  <si>
    <t>Caja</t>
  </si>
  <si>
    <t>Bancos</t>
  </si>
  <si>
    <t>Cuenta</t>
  </si>
  <si>
    <t>Movimientos</t>
  </si>
  <si>
    <t>Saldos</t>
  </si>
  <si>
    <t>Deudor</t>
  </si>
  <si>
    <t>Acreedor</t>
  </si>
  <si>
    <t>Balanza de comprobación</t>
  </si>
  <si>
    <t>Ajustes</t>
  </si>
  <si>
    <t xml:space="preserve">Cargos </t>
  </si>
  <si>
    <t>Abonos</t>
  </si>
  <si>
    <t>Saldos ajustados</t>
  </si>
  <si>
    <t>Perdidas y ganancias</t>
  </si>
  <si>
    <t>Balance general</t>
  </si>
  <si>
    <t xml:space="preserve">Deudor </t>
  </si>
  <si>
    <t>Debe</t>
  </si>
  <si>
    <t>Haber</t>
  </si>
  <si>
    <t>Activo</t>
  </si>
  <si>
    <t>Pasivo</t>
  </si>
  <si>
    <t>Clientes</t>
  </si>
  <si>
    <t>Documentos por cobrar</t>
  </si>
  <si>
    <t>Deudores diversos</t>
  </si>
  <si>
    <t>Anticipo a proveedores</t>
  </si>
  <si>
    <t>Terrenos</t>
  </si>
  <si>
    <t>Edificios</t>
  </si>
  <si>
    <t>Mobiliario y equipo</t>
  </si>
  <si>
    <t>Equipo de computo electronico</t>
  </si>
  <si>
    <t>Equipo de entrega y reparto</t>
  </si>
  <si>
    <t>Depósitos en garantía</t>
  </si>
  <si>
    <t>Inversiones permanentes</t>
  </si>
  <si>
    <t>Inversiones temporales</t>
  </si>
  <si>
    <t>Gastos de investigación y desarrollo</t>
  </si>
  <si>
    <t>Gastos de organización</t>
  </si>
  <si>
    <t>Gastos de instalación</t>
  </si>
  <si>
    <t>Primas de seguros</t>
  </si>
  <si>
    <t>Rentas pagadas por anticipado</t>
  </si>
  <si>
    <t>IVA pagado</t>
  </si>
  <si>
    <t>IVA acreditable</t>
  </si>
  <si>
    <t>Proveedores</t>
  </si>
  <si>
    <t>Documentos por pagar</t>
  </si>
  <si>
    <t>Acreedores diversos</t>
  </si>
  <si>
    <t>Anticipo de clientes</t>
  </si>
  <si>
    <t>Acreedores hipotecarios</t>
  </si>
  <si>
    <t>Rentas cobradas por anticipado</t>
  </si>
  <si>
    <t>Intereses cobrados por anticipado</t>
  </si>
  <si>
    <t>IVA cobrado</t>
  </si>
  <si>
    <t>IVA por pagar</t>
  </si>
  <si>
    <t>Capital</t>
  </si>
  <si>
    <t>Ventas</t>
  </si>
  <si>
    <t>Devoluciones sobre ventas</t>
  </si>
  <si>
    <t>Descuentos sobre ventas</t>
  </si>
  <si>
    <t>Compras</t>
  </si>
  <si>
    <t>Devoluciones sobre compras</t>
  </si>
  <si>
    <t>Descuentos sobre compras</t>
  </si>
  <si>
    <t>Gastos de ventas</t>
  </si>
  <si>
    <t>Gastos de administración</t>
  </si>
  <si>
    <t>Gastos y productos financieros</t>
  </si>
  <si>
    <t xml:space="preserve">Otros gastos y productos </t>
  </si>
  <si>
    <t>S.I.</t>
  </si>
  <si>
    <t>Intereses pagados por anticipado</t>
  </si>
  <si>
    <t>Costo de venta</t>
  </si>
  <si>
    <t xml:space="preserve">Esquemas de mayor </t>
  </si>
  <si>
    <t>Acreedor2</t>
  </si>
  <si>
    <t>Debe2</t>
  </si>
  <si>
    <t>Haber2</t>
  </si>
  <si>
    <t>_Comprobante_</t>
  </si>
  <si>
    <t>Almacen</t>
  </si>
  <si>
    <t>(Acción irreversible)</t>
  </si>
  <si>
    <t>Charliy Ezequiel</t>
  </si>
  <si>
    <t>FORMULAS</t>
  </si>
  <si>
    <t>Extra 2</t>
  </si>
  <si>
    <t>Extra 1</t>
  </si>
  <si>
    <t>Extra 3</t>
  </si>
  <si>
    <t>Extra 4</t>
  </si>
  <si>
    <t>SALDOS</t>
  </si>
  <si>
    <t>AJUSTADOS</t>
  </si>
  <si>
    <t xml:space="preserve">Saldos iniciales al </t>
  </si>
  <si>
    <t>D</t>
  </si>
  <si>
    <t>H</t>
  </si>
  <si>
    <t>Seguros pagados por anticipado c/p</t>
  </si>
  <si>
    <t>Documentos por pagar l/p</t>
  </si>
  <si>
    <t>Utilidades de ejercicios anteriores</t>
  </si>
  <si>
    <t>Utilidad del ejercicio</t>
  </si>
  <si>
    <t>Costo de ventas</t>
  </si>
  <si>
    <t>Depreciación acumulada de equipo de reparto</t>
  </si>
  <si>
    <t>Depreciación acumulada de mobiliario y equipo</t>
  </si>
  <si>
    <t>Provisión por cuentas incobrables</t>
  </si>
  <si>
    <t>Intereses por pagar</t>
  </si>
  <si>
    <t xml:space="preserve">Perdidadas y ganancias </t>
  </si>
  <si>
    <t>Utilidad del ejercicio actual</t>
  </si>
  <si>
    <t>Depreciación acumulada de edificios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</si>
</sst>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onsolas"/>
      <family val="3"/>
    </font>
    <font>
      <sz val="11"/>
      <color theme="1"/>
      <name val="Consolas"/>
      <family val="3"/>
    </font>
    <font>
      <b/>
      <sz val="9"/>
      <color theme="1"/>
      <name val="Consolas"/>
      <family val="3"/>
    </font>
    <font>
      <b/>
      <sz val="11"/>
      <color theme="1"/>
      <name val="Consolas"/>
      <family val="3"/>
    </font>
    <font>
      <sz val="11"/>
      <color rgb="FFFF0000"/>
      <name val="Consolas"/>
      <family val="3"/>
    </font>
    <font>
      <sz val="10"/>
      <color theme="1"/>
      <name val="Consolas"/>
      <family val="3"/>
    </font>
    <font>
      <sz val="8"/>
      <color theme="1"/>
      <name val="Consolas"/>
      <family val="3"/>
    </font>
    <font>
      <b/>
      <sz val="14"/>
      <color theme="1"/>
      <name val="Consolas"/>
      <family val="3"/>
    </font>
    <font>
      <sz val="11"/>
      <name val="Consolas"/>
      <family val="3"/>
    </font>
    <font>
      <b/>
      <sz val="16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E767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1">
    <xf numFmtId="0" fontId="0" fillId="0" borderId="0" xfId="0"/>
    <xf numFmtId="0" fontId="2" fillId="0" borderId="0" xfId="0" applyFont="1" applyAlignment="1"/>
    <xf numFmtId="44" fontId="0" fillId="0" borderId="1" xfId="1" applyFont="1" applyBorder="1"/>
    <xf numFmtId="0" fontId="0" fillId="0" borderId="1" xfId="0" applyBorder="1" applyAlignment="1"/>
    <xf numFmtId="0" fontId="3" fillId="0" borderId="0" xfId="0" applyFont="1"/>
    <xf numFmtId="0" fontId="4" fillId="0" borderId="0" xfId="0" applyFont="1"/>
    <xf numFmtId="44" fontId="3" fillId="0" borderId="14" xfId="1" applyFont="1" applyBorder="1"/>
    <xf numFmtId="44" fontId="3" fillId="0" borderId="13" xfId="1" applyFont="1" applyBorder="1"/>
    <xf numFmtId="44" fontId="3" fillId="0" borderId="0" xfId="1" applyFont="1"/>
    <xf numFmtId="44" fontId="3" fillId="0" borderId="10" xfId="1" applyFont="1" applyBorder="1"/>
    <xf numFmtId="0" fontId="3" fillId="0" borderId="14" xfId="0" applyFont="1" applyBorder="1"/>
    <xf numFmtId="0" fontId="4" fillId="2" borderId="0" xfId="0" applyFont="1" applyFill="1"/>
    <xf numFmtId="0" fontId="6" fillId="2" borderId="0" xfId="0" applyFont="1" applyFill="1"/>
    <xf numFmtId="0" fontId="6" fillId="0" borderId="0" xfId="0" applyFont="1" applyFill="1" applyBorder="1" applyAlignment="1">
      <alignment horizontal="center"/>
    </xf>
    <xf numFmtId="0" fontId="6" fillId="0" borderId="0" xfId="0" applyFont="1"/>
    <xf numFmtId="0" fontId="4" fillId="3" borderId="0" xfId="0" applyFont="1" applyFill="1"/>
    <xf numFmtId="0" fontId="6" fillId="3" borderId="0" xfId="0" applyFont="1" applyFill="1"/>
    <xf numFmtId="0" fontId="4" fillId="5" borderId="0" xfId="0" applyFont="1" applyFill="1"/>
    <xf numFmtId="0" fontId="6" fillId="4" borderId="0" xfId="0" applyFont="1" applyFill="1"/>
    <xf numFmtId="0" fontId="6" fillId="5" borderId="0" xfId="0" applyFont="1" applyFill="1"/>
    <xf numFmtId="0" fontId="6" fillId="2" borderId="1" xfId="0" applyFont="1" applyFill="1" applyBorder="1"/>
    <xf numFmtId="44" fontId="3" fillId="0" borderId="0" xfId="1" applyFont="1" applyBorder="1"/>
    <xf numFmtId="44" fontId="3" fillId="0" borderId="9" xfId="1" applyFont="1" applyBorder="1"/>
    <xf numFmtId="0" fontId="7" fillId="2" borderId="0" xfId="0" applyFont="1" applyFill="1"/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6" borderId="0" xfId="0" applyFont="1" applyFill="1"/>
    <xf numFmtId="0" fontId="3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vertical="center"/>
    </xf>
    <xf numFmtId="44" fontId="3" fillId="0" borderId="31" xfId="1" applyFont="1" applyBorder="1"/>
    <xf numFmtId="0" fontId="3" fillId="0" borderId="0" xfId="0" applyFont="1" applyBorder="1"/>
    <xf numFmtId="0" fontId="6" fillId="3" borderId="1" xfId="0" applyFont="1" applyFill="1" applyBorder="1"/>
    <xf numFmtId="0" fontId="3" fillId="0" borderId="0" xfId="0" applyFont="1" applyAlignment="1">
      <alignment horizontal="center" vertical="center"/>
    </xf>
    <xf numFmtId="44" fontId="4" fillId="0" borderId="0" xfId="0" applyNumberFormat="1" applyFont="1"/>
    <xf numFmtId="0" fontId="3" fillId="0" borderId="2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4" fillId="0" borderId="0" xfId="0" applyNumberFormat="1" applyFont="1"/>
    <xf numFmtId="44" fontId="4" fillId="0" borderId="0" xfId="0" applyNumberFormat="1" applyFont="1" applyFill="1" applyBorder="1"/>
    <xf numFmtId="44" fontId="4" fillId="0" borderId="0" xfId="1" applyFont="1" applyFill="1" applyBorder="1"/>
    <xf numFmtId="44" fontId="4" fillId="0" borderId="32" xfId="0" applyNumberFormat="1" applyFont="1" applyFill="1" applyBorder="1"/>
    <xf numFmtId="44" fontId="4" fillId="0" borderId="32" xfId="1" applyFont="1" applyFill="1" applyBorder="1"/>
    <xf numFmtId="0" fontId="8" fillId="0" borderId="33" xfId="0" applyFont="1" applyFill="1" applyBorder="1"/>
    <xf numFmtId="0" fontId="3" fillId="6" borderId="34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right"/>
    </xf>
    <xf numFmtId="44" fontId="4" fillId="6" borderId="31" xfId="1" applyFont="1" applyFill="1" applyBorder="1"/>
    <xf numFmtId="44" fontId="4" fillId="0" borderId="10" xfId="0" applyNumberFormat="1" applyFont="1" applyFill="1" applyBorder="1"/>
    <xf numFmtId="44" fontId="4" fillId="6" borderId="35" xfId="1" applyFont="1" applyFill="1" applyBorder="1"/>
    <xf numFmtId="44" fontId="4" fillId="0" borderId="10" xfId="1" applyFont="1" applyFill="1" applyBorder="1"/>
    <xf numFmtId="44" fontId="4" fillId="0" borderId="36" xfId="0" applyNumberFormat="1" applyFont="1" applyFill="1" applyBorder="1"/>
    <xf numFmtId="44" fontId="4" fillId="0" borderId="36" xfId="1" applyFont="1" applyFill="1" applyBorder="1"/>
    <xf numFmtId="0" fontId="3" fillId="0" borderId="0" xfId="0" applyFont="1" applyBorder="1" applyAlignment="1">
      <alignment horizontal="center" vertical="center"/>
    </xf>
    <xf numFmtId="0" fontId="4" fillId="0" borderId="0" xfId="0" applyFont="1" applyBorder="1"/>
    <xf numFmtId="0" fontId="6" fillId="0" borderId="33" xfId="0" applyFont="1" applyBorder="1" applyAlignment="1">
      <alignment horizontal="center"/>
    </xf>
    <xf numFmtId="0" fontId="8" fillId="0" borderId="0" xfId="0" applyFont="1" applyFill="1" applyBorder="1"/>
    <xf numFmtId="44" fontId="4" fillId="0" borderId="0" xfId="1" applyFont="1"/>
    <xf numFmtId="0" fontId="8" fillId="0" borderId="39" xfId="0" applyFont="1" applyFill="1" applyBorder="1"/>
    <xf numFmtId="0" fontId="8" fillId="0" borderId="40" xfId="0" applyFont="1" applyFill="1" applyBorder="1"/>
    <xf numFmtId="44" fontId="8" fillId="0" borderId="40" xfId="0" applyNumberFormat="1" applyFont="1" applyFill="1" applyBorder="1"/>
    <xf numFmtId="0" fontId="6" fillId="0" borderId="1" xfId="0" applyFont="1" applyFill="1" applyBorder="1"/>
    <xf numFmtId="0" fontId="6" fillId="0" borderId="0" xfId="0" applyFont="1" applyFill="1"/>
    <xf numFmtId="44" fontId="3" fillId="0" borderId="14" xfId="1" applyFont="1" applyFill="1" applyBorder="1"/>
    <xf numFmtId="44" fontId="3" fillId="0" borderId="0" xfId="1" applyFont="1" applyFill="1"/>
    <xf numFmtId="44" fontId="3" fillId="0" borderId="10" xfId="1" applyFont="1" applyFill="1" applyBorder="1"/>
    <xf numFmtId="44" fontId="3" fillId="0" borderId="31" xfId="1" applyFont="1" applyFill="1" applyBorder="1"/>
    <xf numFmtId="44" fontId="3" fillId="0" borderId="9" xfId="1" applyFont="1" applyFill="1" applyBorder="1"/>
    <xf numFmtId="44" fontId="3" fillId="0" borderId="0" xfId="1" applyFont="1" applyFill="1" applyBorder="1"/>
    <xf numFmtId="0" fontId="3" fillId="0" borderId="0" xfId="0" applyFont="1" applyFill="1"/>
    <xf numFmtId="0" fontId="3" fillId="0" borderId="0" xfId="0" applyFont="1" applyFill="1" applyBorder="1"/>
    <xf numFmtId="0" fontId="3" fillId="0" borderId="14" xfId="0" applyFont="1" applyFill="1" applyBorder="1"/>
    <xf numFmtId="44" fontId="6" fillId="6" borderId="31" xfId="0" applyNumberFormat="1" applyFont="1" applyFill="1" applyBorder="1" applyAlignment="1">
      <alignment horizontal="right"/>
    </xf>
    <xf numFmtId="44" fontId="4" fillId="0" borderId="38" xfId="1" applyFont="1" applyBorder="1"/>
    <xf numFmtId="44" fontId="4" fillId="0" borderId="9" xfId="1" applyFont="1" applyBorder="1"/>
    <xf numFmtId="44" fontId="4" fillId="0" borderId="41" xfId="1" applyFont="1" applyFill="1" applyBorder="1"/>
    <xf numFmtId="44" fontId="4" fillId="0" borderId="9" xfId="1" applyFont="1" applyFill="1" applyBorder="1"/>
    <xf numFmtId="0" fontId="8" fillId="0" borderId="0" xfId="0" applyFont="1"/>
    <xf numFmtId="44" fontId="3" fillId="0" borderId="12" xfId="1" applyFont="1" applyFill="1" applyBorder="1"/>
    <xf numFmtId="44" fontId="3" fillId="0" borderId="8" xfId="1" applyFont="1" applyFill="1" applyBorder="1"/>
    <xf numFmtId="44" fontId="9" fillId="0" borderId="42" xfId="1" applyFont="1" applyFill="1" applyBorder="1"/>
    <xf numFmtId="44" fontId="9" fillId="0" borderId="12" xfId="1" applyFont="1" applyFill="1" applyBorder="1"/>
    <xf numFmtId="44" fontId="3" fillId="0" borderId="42" xfId="1" applyFont="1" applyFill="1" applyBorder="1"/>
    <xf numFmtId="44" fontId="3" fillId="0" borderId="12" xfId="1" applyFont="1" applyBorder="1"/>
    <xf numFmtId="44" fontId="3" fillId="0" borderId="8" xfId="1" applyFont="1" applyBorder="1"/>
    <xf numFmtId="44" fontId="3" fillId="0" borderId="37" xfId="1" applyFont="1" applyFill="1" applyBorder="1"/>
    <xf numFmtId="44" fontId="3" fillId="0" borderId="38" xfId="1" applyFont="1" applyFill="1" applyBorder="1"/>
    <xf numFmtId="0" fontId="0" fillId="0" borderId="1" xfId="0" applyBorder="1" applyAlignment="1">
      <alignment horizontal="left"/>
    </xf>
    <xf numFmtId="0" fontId="2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165" fontId="8" fillId="0" borderId="31" xfId="0" applyNumberFormat="1" applyFont="1" applyBorder="1" applyAlignment="1">
      <alignment horizontal="center"/>
    </xf>
    <xf numFmtId="0" fontId="6" fillId="0" borderId="8" xfId="0" applyFont="1" applyBorder="1" applyAlignment="1">
      <alignment horizontal="left"/>
    </xf>
    <xf numFmtId="0" fontId="4" fillId="7" borderId="31" xfId="0" applyFont="1" applyFill="1" applyBorder="1" applyAlignment="1">
      <alignment horizont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left"/>
    </xf>
    <xf numFmtId="0" fontId="6" fillId="4" borderId="8" xfId="0" applyFont="1" applyFill="1" applyBorder="1" applyAlignment="1">
      <alignment horizontal="left"/>
    </xf>
    <xf numFmtId="0" fontId="6" fillId="2" borderId="8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left"/>
    </xf>
    <xf numFmtId="0" fontId="6" fillId="2" borderId="15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165" fontId="4" fillId="0" borderId="26" xfId="0" applyNumberFormat="1" applyFont="1" applyBorder="1" applyAlignment="1">
      <alignment horizontal="center"/>
    </xf>
    <xf numFmtId="165" fontId="4" fillId="0" borderId="28" xfId="0" applyNumberFormat="1" applyFont="1" applyBorder="1" applyAlignment="1">
      <alignment horizontal="center"/>
    </xf>
    <xf numFmtId="164" fontId="4" fillId="0" borderId="30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4" fontId="4" fillId="0" borderId="37" xfId="1" applyFont="1" applyBorder="1" applyAlignment="1">
      <alignment horizontal="right"/>
    </xf>
    <xf numFmtId="44" fontId="4" fillId="0" borderId="12" xfId="1" applyFont="1" applyBorder="1" applyAlignment="1">
      <alignment horizontal="right"/>
    </xf>
    <xf numFmtId="44" fontId="4" fillId="0" borderId="11" xfId="1" applyFont="1" applyBorder="1" applyAlignment="1">
      <alignment horizontal="left"/>
    </xf>
    <xf numFmtId="44" fontId="4" fillId="0" borderId="37" xfId="1" applyFont="1" applyBorder="1" applyAlignment="1">
      <alignment horizontal="left"/>
    </xf>
    <xf numFmtId="0" fontId="6" fillId="0" borderId="4" xfId="0" applyFont="1" applyBorder="1" applyAlignment="1">
      <alignment horizontal="center"/>
    </xf>
  </cellXfs>
  <cellStyles count="3">
    <cellStyle name="Moneda" xfId="1" builtinId="4"/>
    <cellStyle name="Moneda 2" xfId="2" xr:uid="{00000000-0005-0000-0000-00002F000000}"/>
    <cellStyle name="Normal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none"/>
        <color auto="1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7C80"/>
      <color rgb="FFFE7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11907</xdr:colOff>
      <xdr:row>1</xdr:row>
      <xdr:rowOff>0</xdr:rowOff>
    </xdr:from>
    <xdr:to>
      <xdr:col>25</xdr:col>
      <xdr:colOff>0</xdr:colOff>
      <xdr:row>1</xdr:row>
      <xdr:rowOff>238125</xdr:rowOff>
    </xdr:to>
    <xdr:sp macro="[0]!Clearcells" textlink="">
      <xdr:nvSpPr>
        <xdr:cNvPr id="4" name="Rectángulo 3">
          <a:extLst>
            <a:ext uri="{FF2B5EF4-FFF2-40B4-BE49-F238E27FC236}">
              <a16:creationId xmlns:a16="http://schemas.microsoft.com/office/drawing/2014/main" id="{5CBD2818-08FB-49E0-BE27-415F30B30015}"/>
            </a:ext>
          </a:extLst>
        </xdr:cNvPr>
        <xdr:cNvSpPr/>
      </xdr:nvSpPr>
      <xdr:spPr>
        <a:xfrm>
          <a:off x="13561220" y="202406"/>
          <a:ext cx="1869280" cy="238125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Consolas" panose="020B0609020204030204" pitchFamily="49" charset="0"/>
            </a:rPr>
            <a:t>Borrar</a:t>
          </a:r>
          <a:r>
            <a:rPr lang="es-MX" sz="1400" baseline="0">
              <a:latin typeface="Consolas" panose="020B0609020204030204" pitchFamily="49" charset="0"/>
            </a:rPr>
            <a:t> contenido</a:t>
          </a:r>
          <a:endParaRPr lang="es-MX" sz="1400">
            <a:latin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</xdr:row>
      <xdr:rowOff>0</xdr:rowOff>
    </xdr:from>
    <xdr:to>
      <xdr:col>24</xdr:col>
      <xdr:colOff>928688</xdr:colOff>
      <xdr:row>1</xdr:row>
      <xdr:rowOff>236424</xdr:rowOff>
    </xdr:to>
    <xdr:sp macro="[0]!Clearcells" textlink="">
      <xdr:nvSpPr>
        <xdr:cNvPr id="3" name="Rectángulo 2">
          <a:extLst>
            <a:ext uri="{FF2B5EF4-FFF2-40B4-BE49-F238E27FC236}">
              <a16:creationId xmlns:a16="http://schemas.microsoft.com/office/drawing/2014/main" id="{B27BA1AD-C865-43A9-9F20-EFB6E0C32413}"/>
            </a:ext>
          </a:extLst>
        </xdr:cNvPr>
        <xdr:cNvSpPr/>
      </xdr:nvSpPr>
      <xdr:spPr>
        <a:xfrm>
          <a:off x="13549313" y="202406"/>
          <a:ext cx="1869281" cy="236424"/>
        </a:xfrm>
        <a:prstGeom prst="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Borrar</a:t>
          </a:r>
          <a:r>
            <a:rPr lang="es-MX" sz="1100" baseline="0"/>
            <a:t> contenido</a:t>
          </a:r>
        </a:p>
        <a:p>
          <a:pPr algn="ctr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F0C5D4-62D0-4A45-9E72-936A53427A26}" name="Tabla1" displayName="Tabla1" ref="E4:T52" totalsRowShown="0" headerRowDxfId="17" tableBorderDxfId="16">
  <autoFilter ref="E4:T52" xr:uid="{80BAD326-09AF-4F9D-857E-5E06EB88597F}"/>
  <tableColumns count="16">
    <tableColumn id="1" xr3:uid="{9AE9009F-E3EA-4581-87F4-04F2730949F0}" name="Cuenta" dataDxfId="15"/>
    <tableColumn id="6" xr3:uid="{E6D21DD3-729F-4817-B040-D3E0BFD05AB5}" name="D" dataDxfId="14" dataCellStyle="Moneda"/>
    <tableColumn id="16" xr3:uid="{EF1DE1D5-C5D7-42E6-A77E-F2483879007C}" name="H" dataDxfId="13" dataCellStyle="Moneda"/>
    <tableColumn id="2" xr3:uid="{6B90A93A-DFD7-42AD-8AAE-66B62B1ECE7E}" name="Debe" dataDxfId="12"/>
    <tableColumn id="3" xr3:uid="{95D65331-8915-4774-BB02-A091439206A8}" name="Haber" dataDxfId="11"/>
    <tableColumn id="4" xr3:uid="{2250842F-93F5-412A-BEFB-0366F262AABE}" name="Deudor" dataDxfId="10">
      <calculatedColumnFormula>I76</calculatedColumnFormula>
    </tableColumn>
    <tableColumn id="5" xr3:uid="{87E0693E-F5F7-4701-ABCF-4C5E59DEDE66}" name="Acreedor" dataDxfId="9">
      <calculatedColumnFormula>K76</calculatedColumnFormula>
    </tableColumn>
    <tableColumn id="7" xr3:uid="{D2CE2283-BC95-4B87-990C-A2D7C7DC7861}" name="Cargos " dataDxfId="8"/>
    <tableColumn id="8" xr3:uid="{5B5A1066-02B5-4204-B3DD-A3C4BE8F7331}" name="Abonos" dataDxfId="7"/>
    <tableColumn id="9" xr3:uid="{35867717-15F2-4026-A20E-077A5AB1354C}" name="Deudor " dataDxfId="6">
      <calculatedColumnFormula>N76</calculatedColumnFormula>
    </tableColumn>
    <tableColumn id="10" xr3:uid="{BB7CF5EE-9804-488B-8B6D-51DB0031F17A}" name="Acreedor2" dataDxfId="5">
      <calculatedColumnFormula>P76</calculatedColumnFormula>
    </tableColumn>
    <tableColumn id="11" xr3:uid="{3AC2988E-B192-403B-B7FC-22594D6EBE74}" name="Debe2" dataDxfId="4"/>
    <tableColumn id="12" xr3:uid="{3B8B8EB9-2C57-4483-B52D-42A3A90C8A91}" name="Haber2" dataDxfId="3"/>
    <tableColumn id="13" xr3:uid="{AF468765-DF54-4F2D-BA3F-CD164F46C2B0}" name="Activo" dataDxfId="2"/>
    <tableColumn id="14" xr3:uid="{805DD68C-C46F-4DB5-94F8-304A191E6C55}" name="Pasivo" dataDxfId="1"/>
    <tableColumn id="15" xr3:uid="{CBBA58B1-406F-4BAE-B972-166900DAEFB4}" name="_Comprobante_" dataDxfId="0">
      <calculatedColumnFormula>SUM(Tabla1[[#This Row],[Debe]:[Pasivo]])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9BF6D-16B9-4836-8673-034743F40DAB}">
  <sheetPr codeName="Hoja1"/>
  <dimension ref="D2:Q32"/>
  <sheetViews>
    <sheetView workbookViewId="0">
      <selection activeCell="D4" sqref="D4:E4"/>
    </sheetView>
  </sheetViews>
  <sheetFormatPr baseColWidth="10" defaultRowHeight="15" x14ac:dyDescent="0.25"/>
  <cols>
    <col min="1" max="3" width="3.42578125" customWidth="1"/>
    <col min="5" max="5" width="11.5703125" customWidth="1"/>
    <col min="6" max="6" width="14.28515625" customWidth="1"/>
    <col min="7" max="7" width="14.42578125" customWidth="1"/>
    <col min="11" max="11" width="14.28515625" customWidth="1"/>
    <col min="12" max="12" width="14.42578125" customWidth="1"/>
    <col min="16" max="16" width="14.28515625" customWidth="1"/>
    <col min="17" max="17" width="14.42578125" customWidth="1"/>
  </cols>
  <sheetData>
    <row r="2" spans="4:17" ht="21" x14ac:dyDescent="0.35">
      <c r="D2" s="95" t="s">
        <v>0</v>
      </c>
      <c r="E2" s="95"/>
      <c r="F2" s="95"/>
      <c r="G2" s="95"/>
      <c r="H2" s="1"/>
      <c r="I2" s="95" t="s">
        <v>0</v>
      </c>
      <c r="J2" s="95"/>
      <c r="K2" s="95"/>
      <c r="L2" s="95"/>
      <c r="N2" s="95" t="s">
        <v>0</v>
      </c>
      <c r="O2" s="95"/>
      <c r="P2" s="95"/>
      <c r="Q2" s="95"/>
    </row>
    <row r="4" spans="4:17" x14ac:dyDescent="0.25">
      <c r="D4" s="94"/>
      <c r="E4" s="94"/>
      <c r="F4" s="2"/>
      <c r="G4" s="2"/>
      <c r="I4" s="94"/>
      <c r="J4" s="94"/>
      <c r="K4" s="2"/>
      <c r="L4" s="2"/>
      <c r="N4" s="94"/>
      <c r="O4" s="94"/>
      <c r="P4" s="2"/>
      <c r="Q4" s="2"/>
    </row>
    <row r="5" spans="4:17" x14ac:dyDescent="0.25">
      <c r="D5" s="94"/>
      <c r="E5" s="94"/>
      <c r="F5" s="2"/>
      <c r="G5" s="2"/>
      <c r="I5" s="94"/>
      <c r="J5" s="94"/>
      <c r="K5" s="2"/>
      <c r="L5" s="2"/>
      <c r="N5" s="94"/>
      <c r="O5" s="94"/>
      <c r="P5" s="2"/>
      <c r="Q5" s="2"/>
    </row>
    <row r="6" spans="4:17" x14ac:dyDescent="0.25">
      <c r="D6" s="94"/>
      <c r="E6" s="94"/>
      <c r="F6" s="2"/>
      <c r="G6" s="2"/>
      <c r="I6" s="94"/>
      <c r="J6" s="94"/>
      <c r="K6" s="2"/>
      <c r="L6" s="2"/>
      <c r="N6" s="94"/>
      <c r="O6" s="94"/>
      <c r="P6" s="2"/>
      <c r="Q6" s="2"/>
    </row>
    <row r="7" spans="4:17" x14ac:dyDescent="0.25">
      <c r="D7" s="94"/>
      <c r="E7" s="94"/>
      <c r="F7" s="2"/>
      <c r="G7" s="2"/>
      <c r="I7" s="94"/>
      <c r="J7" s="94"/>
      <c r="K7" s="2"/>
      <c r="L7" s="2"/>
      <c r="N7" s="94"/>
      <c r="O7" s="94"/>
      <c r="P7" s="2"/>
      <c r="Q7" s="2"/>
    </row>
    <row r="8" spans="4:17" x14ac:dyDescent="0.25">
      <c r="D8" s="3"/>
      <c r="E8" s="3"/>
      <c r="F8" s="2">
        <f>SUM(F4:F7)</f>
        <v>0</v>
      </c>
      <c r="G8" s="2">
        <f>SUM(G4:G7)</f>
        <v>0</v>
      </c>
      <c r="I8" s="3"/>
      <c r="J8" s="3"/>
      <c r="K8" s="2">
        <f>SUM(K4:K7)</f>
        <v>0</v>
      </c>
      <c r="L8" s="2">
        <f>SUM(L4:L7)</f>
        <v>0</v>
      </c>
      <c r="N8" s="3"/>
      <c r="O8" s="3"/>
      <c r="P8" s="2">
        <f>SUM(P4:P7)</f>
        <v>0</v>
      </c>
      <c r="Q8" s="2">
        <f>SUM(Q4:Q7)</f>
        <v>0</v>
      </c>
    </row>
    <row r="10" spans="4:17" x14ac:dyDescent="0.25">
      <c r="D10" s="94"/>
      <c r="E10" s="94"/>
      <c r="F10" s="2"/>
      <c r="G10" s="2"/>
      <c r="I10" s="94"/>
      <c r="J10" s="94"/>
      <c r="K10" s="2"/>
      <c r="L10" s="2"/>
      <c r="N10" s="94"/>
      <c r="O10" s="94"/>
      <c r="P10" s="2"/>
      <c r="Q10" s="2"/>
    </row>
    <row r="11" spans="4:17" x14ac:dyDescent="0.25">
      <c r="D11" s="94"/>
      <c r="E11" s="94"/>
      <c r="F11" s="2"/>
      <c r="G11" s="2"/>
      <c r="I11" s="94"/>
      <c r="J11" s="94"/>
      <c r="K11" s="2"/>
      <c r="L11" s="2"/>
      <c r="N11" s="94"/>
      <c r="O11" s="94"/>
      <c r="P11" s="2"/>
      <c r="Q11" s="2"/>
    </row>
    <row r="12" spans="4:17" x14ac:dyDescent="0.25">
      <c r="D12" s="94"/>
      <c r="E12" s="94"/>
      <c r="F12" s="2"/>
      <c r="G12" s="2"/>
      <c r="I12" s="94"/>
      <c r="J12" s="94"/>
      <c r="K12" s="2"/>
      <c r="L12" s="2"/>
      <c r="N12" s="94"/>
      <c r="O12" s="94"/>
      <c r="P12" s="2"/>
      <c r="Q12" s="2"/>
    </row>
    <row r="13" spans="4:17" x14ac:dyDescent="0.25">
      <c r="D13" s="94"/>
      <c r="E13" s="94"/>
      <c r="F13" s="2"/>
      <c r="G13" s="2"/>
      <c r="I13" s="94"/>
      <c r="J13" s="94"/>
      <c r="K13" s="2"/>
      <c r="L13" s="2"/>
      <c r="N13" s="94"/>
      <c r="O13" s="94"/>
      <c r="P13" s="2"/>
      <c r="Q13" s="2"/>
    </row>
    <row r="14" spans="4:17" x14ac:dyDescent="0.25">
      <c r="D14" s="3"/>
      <c r="E14" s="3"/>
      <c r="F14" s="2">
        <f>SUM(F10:F13)</f>
        <v>0</v>
      </c>
      <c r="G14" s="2">
        <f>SUM(G10:G13)</f>
        <v>0</v>
      </c>
      <c r="I14" s="3"/>
      <c r="J14" s="3"/>
      <c r="K14" s="2">
        <f>SUM(K10:K13)</f>
        <v>0</v>
      </c>
      <c r="L14" s="2">
        <f>SUM(L10:L13)</f>
        <v>0</v>
      </c>
      <c r="N14" s="3"/>
      <c r="O14" s="3"/>
      <c r="P14" s="2">
        <f>SUM(P10:P13)</f>
        <v>0</v>
      </c>
      <c r="Q14" s="2">
        <f>SUM(Q10:Q13)</f>
        <v>0</v>
      </c>
    </row>
    <row r="16" spans="4:17" x14ac:dyDescent="0.25">
      <c r="D16" s="94"/>
      <c r="E16" s="94"/>
      <c r="F16" s="2"/>
      <c r="G16" s="2"/>
      <c r="I16" s="94"/>
      <c r="J16" s="94"/>
      <c r="K16" s="2"/>
      <c r="L16" s="2"/>
      <c r="N16" s="94"/>
      <c r="O16" s="94"/>
      <c r="P16" s="2"/>
      <c r="Q16" s="2"/>
    </row>
    <row r="17" spans="4:17" x14ac:dyDescent="0.25">
      <c r="D17" s="94"/>
      <c r="E17" s="94"/>
      <c r="F17" s="2"/>
      <c r="G17" s="2"/>
      <c r="I17" s="94"/>
      <c r="J17" s="94"/>
      <c r="K17" s="2"/>
      <c r="L17" s="2"/>
      <c r="N17" s="94"/>
      <c r="O17" s="94"/>
      <c r="P17" s="2"/>
      <c r="Q17" s="2"/>
    </row>
    <row r="18" spans="4:17" x14ac:dyDescent="0.25">
      <c r="D18" s="94"/>
      <c r="E18" s="94"/>
      <c r="F18" s="2"/>
      <c r="G18" s="2"/>
      <c r="I18" s="94"/>
      <c r="J18" s="94"/>
      <c r="K18" s="2"/>
      <c r="L18" s="2"/>
      <c r="N18" s="94"/>
      <c r="O18" s="94"/>
      <c r="P18" s="2"/>
      <c r="Q18" s="2"/>
    </row>
    <row r="19" spans="4:17" x14ac:dyDescent="0.25">
      <c r="D19" s="94"/>
      <c r="E19" s="94"/>
      <c r="F19" s="2"/>
      <c r="G19" s="2"/>
      <c r="I19" s="94"/>
      <c r="J19" s="94"/>
      <c r="K19" s="2"/>
      <c r="L19" s="2"/>
      <c r="N19" s="94"/>
      <c r="O19" s="94"/>
      <c r="P19" s="2"/>
      <c r="Q19" s="2"/>
    </row>
    <row r="20" spans="4:17" x14ac:dyDescent="0.25">
      <c r="D20" s="3"/>
      <c r="E20" s="3"/>
      <c r="F20" s="2">
        <f>SUM(F16:F19)</f>
        <v>0</v>
      </c>
      <c r="G20" s="2">
        <f>SUM(G16:G19)</f>
        <v>0</v>
      </c>
      <c r="I20" s="3"/>
      <c r="J20" s="3"/>
      <c r="K20" s="2">
        <f>SUM(K16:K19)</f>
        <v>0</v>
      </c>
      <c r="L20" s="2">
        <f>SUM(L16:L19)</f>
        <v>0</v>
      </c>
      <c r="N20" s="3"/>
      <c r="O20" s="3"/>
      <c r="P20" s="2">
        <f>SUM(P16:P19)</f>
        <v>0</v>
      </c>
      <c r="Q20" s="2">
        <f>SUM(Q16:Q19)</f>
        <v>0</v>
      </c>
    </row>
    <row r="22" spans="4:17" x14ac:dyDescent="0.25">
      <c r="D22" s="94"/>
      <c r="E22" s="94"/>
      <c r="F22" s="2"/>
      <c r="G22" s="2"/>
      <c r="I22" s="94"/>
      <c r="J22" s="94"/>
      <c r="K22" s="2"/>
      <c r="L22" s="2"/>
      <c r="N22" s="94"/>
      <c r="O22" s="94"/>
      <c r="P22" s="2"/>
      <c r="Q22" s="2"/>
    </row>
    <row r="23" spans="4:17" x14ac:dyDescent="0.25">
      <c r="D23" s="94"/>
      <c r="E23" s="94"/>
      <c r="F23" s="2"/>
      <c r="G23" s="2"/>
      <c r="I23" s="94"/>
      <c r="J23" s="94"/>
      <c r="K23" s="2"/>
      <c r="L23" s="2"/>
      <c r="N23" s="94"/>
      <c r="O23" s="94"/>
      <c r="P23" s="2"/>
      <c r="Q23" s="2"/>
    </row>
    <row r="24" spans="4:17" x14ac:dyDescent="0.25">
      <c r="D24" s="94"/>
      <c r="E24" s="94"/>
      <c r="F24" s="2"/>
      <c r="G24" s="2"/>
      <c r="I24" s="94"/>
      <c r="J24" s="94"/>
      <c r="K24" s="2"/>
      <c r="L24" s="2"/>
      <c r="N24" s="94"/>
      <c r="O24" s="94"/>
      <c r="P24" s="2"/>
      <c r="Q24" s="2"/>
    </row>
    <row r="25" spans="4:17" x14ac:dyDescent="0.25">
      <c r="D25" s="94"/>
      <c r="E25" s="94"/>
      <c r="F25" s="2"/>
      <c r="G25" s="2"/>
      <c r="I25" s="94"/>
      <c r="J25" s="94"/>
      <c r="K25" s="2"/>
      <c r="L25" s="2"/>
      <c r="N25" s="94"/>
      <c r="O25" s="94"/>
      <c r="P25" s="2"/>
      <c r="Q25" s="2"/>
    </row>
    <row r="26" spans="4:17" x14ac:dyDescent="0.25">
      <c r="D26" s="3"/>
      <c r="E26" s="3"/>
      <c r="F26" s="2">
        <f>SUM(F22:F25)</f>
        <v>0</v>
      </c>
      <c r="G26" s="2">
        <f>SUM(G22:G25)</f>
        <v>0</v>
      </c>
      <c r="I26" s="3"/>
      <c r="J26" s="3"/>
      <c r="K26" s="2">
        <f>SUM(K22:K25)</f>
        <v>0</v>
      </c>
      <c r="L26" s="2">
        <f>SUM(L22:L25)</f>
        <v>0</v>
      </c>
      <c r="N26" s="3"/>
      <c r="O26" s="3"/>
      <c r="P26" s="2">
        <f>SUM(P22:P25)</f>
        <v>0</v>
      </c>
      <c r="Q26" s="2">
        <f>SUM(Q22:Q25)</f>
        <v>0</v>
      </c>
    </row>
    <row r="28" spans="4:17" x14ac:dyDescent="0.25">
      <c r="D28" s="94"/>
      <c r="E28" s="94"/>
      <c r="F28" s="2"/>
      <c r="G28" s="2"/>
      <c r="I28" s="94"/>
      <c r="J28" s="94"/>
      <c r="K28" s="2"/>
      <c r="L28" s="2"/>
      <c r="N28" s="94"/>
      <c r="O28" s="94"/>
      <c r="P28" s="2"/>
      <c r="Q28" s="2"/>
    </row>
    <row r="29" spans="4:17" x14ac:dyDescent="0.25">
      <c r="D29" s="94"/>
      <c r="E29" s="94"/>
      <c r="F29" s="2"/>
      <c r="G29" s="2"/>
      <c r="I29" s="94"/>
      <c r="J29" s="94"/>
      <c r="K29" s="2"/>
      <c r="L29" s="2"/>
      <c r="N29" s="94"/>
      <c r="O29" s="94"/>
      <c r="P29" s="2"/>
      <c r="Q29" s="2"/>
    </row>
    <row r="30" spans="4:17" x14ac:dyDescent="0.25">
      <c r="D30" s="94"/>
      <c r="E30" s="94"/>
      <c r="F30" s="2"/>
      <c r="G30" s="2"/>
      <c r="I30" s="94"/>
      <c r="J30" s="94"/>
      <c r="K30" s="2"/>
      <c r="L30" s="2"/>
      <c r="N30" s="94"/>
      <c r="O30" s="94"/>
      <c r="P30" s="2"/>
      <c r="Q30" s="2"/>
    </row>
    <row r="31" spans="4:17" x14ac:dyDescent="0.25">
      <c r="D31" s="94"/>
      <c r="E31" s="94"/>
      <c r="F31" s="2"/>
      <c r="G31" s="2"/>
      <c r="I31" s="94"/>
      <c r="J31" s="94"/>
      <c r="K31" s="2"/>
      <c r="L31" s="2"/>
      <c r="N31" s="94"/>
      <c r="O31" s="94"/>
      <c r="P31" s="2"/>
      <c r="Q31" s="2"/>
    </row>
    <row r="32" spans="4:17" x14ac:dyDescent="0.25">
      <c r="D32" s="3"/>
      <c r="E32" s="3"/>
      <c r="F32" s="2">
        <f>SUM(F28:F31)</f>
        <v>0</v>
      </c>
      <c r="G32" s="2">
        <f>SUM(G28:G31)</f>
        <v>0</v>
      </c>
      <c r="I32" s="3"/>
      <c r="J32" s="3"/>
      <c r="K32" s="2">
        <f>SUM(K28:K31)</f>
        <v>0</v>
      </c>
      <c r="L32" s="2">
        <f>SUM(L28:L31)</f>
        <v>0</v>
      </c>
      <c r="N32" s="3"/>
      <c r="O32" s="3"/>
      <c r="P32" s="2">
        <f>SUM(P28:P31)</f>
        <v>0</v>
      </c>
      <c r="Q32" s="2">
        <f>SUM(Q28:Q31)</f>
        <v>0</v>
      </c>
    </row>
  </sheetData>
  <mergeCells count="63">
    <mergeCell ref="I2:L2"/>
    <mergeCell ref="D4:E4"/>
    <mergeCell ref="D5:E5"/>
    <mergeCell ref="D6:E6"/>
    <mergeCell ref="D7:E7"/>
    <mergeCell ref="D2:G2"/>
    <mergeCell ref="D19:E19"/>
    <mergeCell ref="D24:E24"/>
    <mergeCell ref="D25:E25"/>
    <mergeCell ref="D10:E10"/>
    <mergeCell ref="D11:E11"/>
    <mergeCell ref="D12:E12"/>
    <mergeCell ref="D13:E13"/>
    <mergeCell ref="D17:E17"/>
    <mergeCell ref="I22:J22"/>
    <mergeCell ref="D29:E29"/>
    <mergeCell ref="D30:E30"/>
    <mergeCell ref="D31:E31"/>
    <mergeCell ref="I4:J4"/>
    <mergeCell ref="I5:J5"/>
    <mergeCell ref="I6:J6"/>
    <mergeCell ref="I7:J7"/>
    <mergeCell ref="I10:J10"/>
    <mergeCell ref="I11:J11"/>
    <mergeCell ref="I12:J12"/>
    <mergeCell ref="D28:E28"/>
    <mergeCell ref="D16:E16"/>
    <mergeCell ref="D22:E22"/>
    <mergeCell ref="D23:E23"/>
    <mergeCell ref="D18:E18"/>
    <mergeCell ref="I13:J13"/>
    <mergeCell ref="I16:J16"/>
    <mergeCell ref="I17:J17"/>
    <mergeCell ref="I18:J18"/>
    <mergeCell ref="I19:J19"/>
    <mergeCell ref="I31:J31"/>
    <mergeCell ref="N2:Q2"/>
    <mergeCell ref="N4:O4"/>
    <mergeCell ref="N5:O5"/>
    <mergeCell ref="N6:O6"/>
    <mergeCell ref="N7:O7"/>
    <mergeCell ref="N10:O10"/>
    <mergeCell ref="N11:O11"/>
    <mergeCell ref="N12:O12"/>
    <mergeCell ref="N13:O13"/>
    <mergeCell ref="I23:J23"/>
    <mergeCell ref="I24:J24"/>
    <mergeCell ref="I25:J25"/>
    <mergeCell ref="I28:J28"/>
    <mergeCell ref="I29:J29"/>
    <mergeCell ref="I30:J30"/>
    <mergeCell ref="N31:O31"/>
    <mergeCell ref="N16:O16"/>
    <mergeCell ref="N17:O17"/>
    <mergeCell ref="N18:O18"/>
    <mergeCell ref="N19:O19"/>
    <mergeCell ref="N22:O22"/>
    <mergeCell ref="N23:O23"/>
    <mergeCell ref="N24:O24"/>
    <mergeCell ref="N25:O25"/>
    <mergeCell ref="N28:O28"/>
    <mergeCell ref="N29:O29"/>
    <mergeCell ref="N30:O3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0123-E1D0-4BEF-B0A8-EEB56434C833}">
  <sheetPr codeName="Hoja2"/>
  <dimension ref="A1:AI123"/>
  <sheetViews>
    <sheetView zoomScale="70" zoomScaleNormal="70" workbookViewId="0">
      <selection activeCell="L7" sqref="L7"/>
    </sheetView>
  </sheetViews>
  <sheetFormatPr baseColWidth="10" defaultRowHeight="15" x14ac:dyDescent="0.25"/>
  <cols>
    <col min="1" max="3" width="3.42578125" style="5" customWidth="1"/>
    <col min="4" max="5" width="14.140625" style="5" customWidth="1"/>
    <col min="6" max="6" width="7.140625" style="5" customWidth="1"/>
    <col min="7" max="7" width="3.42578125" style="5" customWidth="1"/>
    <col min="8" max="9" width="14.140625" style="5" customWidth="1"/>
    <col min="10" max="10" width="7" style="5" customWidth="1"/>
    <col min="11" max="11" width="3.42578125" style="5" customWidth="1"/>
    <col min="12" max="13" width="14.140625" style="5" customWidth="1"/>
    <col min="14" max="14" width="7" style="5" customWidth="1"/>
    <col min="15" max="15" width="3.42578125" style="5" customWidth="1"/>
    <col min="16" max="17" width="14.140625" style="5" customWidth="1"/>
    <col min="18" max="18" width="7" style="5" customWidth="1"/>
    <col min="19" max="19" width="3.42578125" style="5" customWidth="1"/>
    <col min="20" max="21" width="14.140625" style="5" customWidth="1"/>
    <col min="22" max="22" width="7" style="5" customWidth="1"/>
    <col min="23" max="23" width="3.42578125" style="5" customWidth="1"/>
    <col min="24" max="25" width="14.140625" style="5" customWidth="1"/>
    <col min="26" max="28" width="3.42578125" style="5" customWidth="1"/>
    <col min="29" max="32" width="11.42578125" style="5"/>
    <col min="33" max="33" width="25" style="5" customWidth="1"/>
    <col min="34" max="35" width="19" style="5" customWidth="1"/>
    <col min="36" max="16384" width="11.42578125" style="5"/>
  </cols>
  <sheetData>
    <row r="1" spans="1:35" ht="15.75" thickBot="1" x14ac:dyDescent="0.3">
      <c r="D1" s="106">
        <f ca="1">NOW()</f>
        <v>44138.918558796293</v>
      </c>
      <c r="E1" s="106"/>
      <c r="F1" s="106"/>
      <c r="G1" s="106"/>
      <c r="X1" s="108" t="s">
        <v>68</v>
      </c>
      <c r="Y1" s="108"/>
    </row>
    <row r="2" spans="1:35" ht="21" thickBot="1" x14ac:dyDescent="0.3">
      <c r="D2" s="109" t="s">
        <v>62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1"/>
      <c r="Y2" s="112"/>
    </row>
    <row r="4" spans="1:35" x14ac:dyDescent="0.25">
      <c r="A4" s="96">
        <f>C123</f>
        <v>50000</v>
      </c>
      <c r="C4" s="68">
        <v>1</v>
      </c>
      <c r="D4" s="98" t="s">
        <v>1</v>
      </c>
      <c r="E4" s="98"/>
      <c r="F4" s="13"/>
      <c r="G4" s="68">
        <v>2</v>
      </c>
      <c r="H4" s="98" t="s">
        <v>2</v>
      </c>
      <c r="I4" s="98"/>
      <c r="J4" s="13"/>
      <c r="K4" s="69">
        <v>3</v>
      </c>
      <c r="L4" s="98" t="s">
        <v>20</v>
      </c>
      <c r="M4" s="98"/>
      <c r="N4" s="69"/>
      <c r="O4" s="68">
        <v>4</v>
      </c>
      <c r="P4" s="99" t="s">
        <v>67</v>
      </c>
      <c r="Q4" s="98"/>
      <c r="R4" s="69"/>
      <c r="S4" s="68">
        <v>5</v>
      </c>
      <c r="T4" s="99" t="s">
        <v>21</v>
      </c>
      <c r="U4" s="98"/>
      <c r="V4" s="69"/>
      <c r="W4" s="68">
        <v>6</v>
      </c>
      <c r="X4" s="98" t="s">
        <v>22</v>
      </c>
      <c r="Y4" s="98"/>
      <c r="AA4" s="101">
        <f>C123</f>
        <v>50000</v>
      </c>
      <c r="AG4" s="5" t="str">
        <f>D4</f>
        <v>Caja</v>
      </c>
      <c r="AH4" s="41">
        <f>D16</f>
        <v>5000</v>
      </c>
      <c r="AI4" s="41">
        <f>E16</f>
        <v>0</v>
      </c>
    </row>
    <row r="5" spans="1:35" x14ac:dyDescent="0.25">
      <c r="A5" s="97"/>
      <c r="C5" s="70"/>
      <c r="D5" s="85"/>
      <c r="E5" s="86"/>
      <c r="F5" s="71"/>
      <c r="G5" s="70"/>
      <c r="H5" s="85"/>
      <c r="I5" s="86"/>
      <c r="J5" s="71"/>
      <c r="K5" s="70"/>
      <c r="L5" s="85"/>
      <c r="M5" s="86"/>
      <c r="N5" s="71"/>
      <c r="O5" s="70"/>
      <c r="P5" s="85"/>
      <c r="Q5" s="86"/>
      <c r="R5" s="71"/>
      <c r="S5" s="71"/>
      <c r="T5" s="85"/>
      <c r="U5" s="86"/>
      <c r="V5" s="71"/>
      <c r="W5" s="71"/>
      <c r="X5" s="85"/>
      <c r="Y5" s="86"/>
      <c r="AA5" s="102"/>
      <c r="AG5" s="5" t="str">
        <f>H4</f>
        <v>Bancos</v>
      </c>
      <c r="AH5" s="41">
        <f>H16</f>
        <v>10000</v>
      </c>
      <c r="AI5" s="41">
        <f>I16</f>
        <v>0</v>
      </c>
    </row>
    <row r="6" spans="1:35" x14ac:dyDescent="0.25">
      <c r="A6" s="97"/>
      <c r="C6" s="71"/>
      <c r="D6" s="72">
        <v>5000</v>
      </c>
      <c r="E6" s="71"/>
      <c r="F6" s="71"/>
      <c r="G6" s="71"/>
      <c r="H6" s="72">
        <v>10000</v>
      </c>
      <c r="I6" s="71"/>
      <c r="J6" s="71"/>
      <c r="K6" s="71"/>
      <c r="L6" s="72">
        <v>50000</v>
      </c>
      <c r="M6" s="71"/>
      <c r="N6" s="71"/>
      <c r="O6" s="71"/>
      <c r="P6" s="72"/>
      <c r="Q6" s="71">
        <v>5000</v>
      </c>
      <c r="R6" s="71"/>
      <c r="S6" s="71"/>
      <c r="T6" s="72"/>
      <c r="U6" s="71"/>
      <c r="V6" s="71"/>
      <c r="W6" s="71"/>
      <c r="X6" s="72"/>
      <c r="Y6" s="71">
        <v>10000</v>
      </c>
      <c r="AA6" s="102"/>
      <c r="AG6" s="5" t="str">
        <f>L4</f>
        <v>Clientes</v>
      </c>
      <c r="AH6" s="41">
        <f>L16</f>
        <v>50000</v>
      </c>
      <c r="AI6" s="41">
        <f>M16</f>
        <v>0</v>
      </c>
    </row>
    <row r="7" spans="1:35" x14ac:dyDescent="0.25">
      <c r="A7" s="97"/>
      <c r="C7" s="71"/>
      <c r="D7" s="72"/>
      <c r="E7" s="71"/>
      <c r="F7" s="71"/>
      <c r="G7" s="71"/>
      <c r="H7" s="72"/>
      <c r="I7" s="71"/>
      <c r="J7" s="71"/>
      <c r="K7" s="71"/>
      <c r="L7" s="72"/>
      <c r="M7" s="71"/>
      <c r="N7" s="71"/>
      <c r="O7" s="71"/>
      <c r="P7" s="72"/>
      <c r="Q7" s="71"/>
      <c r="R7" s="71"/>
      <c r="S7" s="71"/>
      <c r="T7" s="72"/>
      <c r="U7" s="71"/>
      <c r="V7" s="71"/>
      <c r="W7" s="71"/>
      <c r="X7" s="72"/>
      <c r="Y7" s="71"/>
      <c r="AA7" s="102"/>
      <c r="AG7" s="5" t="str">
        <f>P4</f>
        <v>Almacen</v>
      </c>
      <c r="AH7" s="41">
        <f>P16</f>
        <v>0</v>
      </c>
      <c r="AI7" s="41">
        <f>Q16</f>
        <v>5000</v>
      </c>
    </row>
    <row r="8" spans="1:35" x14ac:dyDescent="0.25">
      <c r="A8" s="97"/>
      <c r="C8" s="71"/>
      <c r="D8" s="72"/>
      <c r="E8" s="71"/>
      <c r="F8" s="71"/>
      <c r="G8" s="71"/>
      <c r="H8" s="72"/>
      <c r="I8" s="71"/>
      <c r="J8" s="71"/>
      <c r="K8" s="71"/>
      <c r="L8" s="72"/>
      <c r="M8" s="71"/>
      <c r="N8" s="71"/>
      <c r="O8" s="71"/>
      <c r="P8" s="72"/>
      <c r="Q8" s="71"/>
      <c r="R8" s="71"/>
      <c r="S8" s="71"/>
      <c r="T8" s="72"/>
      <c r="U8" s="71"/>
      <c r="V8" s="71"/>
      <c r="W8" s="71"/>
      <c r="X8" s="72"/>
      <c r="Y8" s="71"/>
      <c r="AA8" s="102"/>
      <c r="AG8" s="5" t="str">
        <f>T4</f>
        <v>Documentos por cobrar</v>
      </c>
      <c r="AH8" s="41">
        <f>T16</f>
        <v>0</v>
      </c>
      <c r="AI8" s="41">
        <f>U16</f>
        <v>0</v>
      </c>
    </row>
    <row r="9" spans="1:35" x14ac:dyDescent="0.25">
      <c r="A9" s="97"/>
      <c r="C9" s="71"/>
      <c r="D9" s="72"/>
      <c r="E9" s="71"/>
      <c r="F9" s="71"/>
      <c r="G9" s="71"/>
      <c r="H9" s="72"/>
      <c r="I9" s="71"/>
      <c r="J9" s="71"/>
      <c r="K9" s="71"/>
      <c r="L9" s="72"/>
      <c r="M9" s="71"/>
      <c r="N9" s="71"/>
      <c r="O9" s="71"/>
      <c r="P9" s="72"/>
      <c r="Q9" s="71"/>
      <c r="R9" s="71"/>
      <c r="S9" s="71"/>
      <c r="T9" s="72"/>
      <c r="U9" s="71"/>
      <c r="V9" s="71"/>
      <c r="W9" s="71"/>
      <c r="X9" s="72"/>
      <c r="Y9" s="71"/>
      <c r="AA9" s="102"/>
      <c r="AG9" s="5" t="str">
        <f>X4</f>
        <v>Deudores diversos</v>
      </c>
      <c r="AH9" s="41">
        <f>X16</f>
        <v>0</v>
      </c>
      <c r="AI9" s="41">
        <f>Y16</f>
        <v>10000</v>
      </c>
    </row>
    <row r="10" spans="1:35" x14ac:dyDescent="0.25">
      <c r="A10" s="97"/>
      <c r="C10" s="71"/>
      <c r="D10" s="72"/>
      <c r="E10" s="71"/>
      <c r="F10" s="71"/>
      <c r="G10" s="71"/>
      <c r="H10" s="72"/>
      <c r="I10" s="71"/>
      <c r="J10" s="71"/>
      <c r="K10" s="71"/>
      <c r="L10" s="72"/>
      <c r="M10" s="71"/>
      <c r="N10" s="71"/>
      <c r="O10" s="71"/>
      <c r="P10" s="72"/>
      <c r="Q10" s="71"/>
      <c r="R10" s="71"/>
      <c r="S10" s="71"/>
      <c r="T10" s="72"/>
      <c r="U10" s="71"/>
      <c r="V10" s="71"/>
      <c r="W10" s="71"/>
      <c r="X10" s="72"/>
      <c r="Y10" s="71"/>
      <c r="AA10" s="102"/>
      <c r="AG10" s="5" t="str">
        <f>D19</f>
        <v>Anticipo a proveedores</v>
      </c>
      <c r="AH10" s="41">
        <f>D31</f>
        <v>0</v>
      </c>
      <c r="AI10" s="41">
        <f>E31</f>
        <v>0</v>
      </c>
    </row>
    <row r="11" spans="1:35" x14ac:dyDescent="0.25">
      <c r="A11" s="97"/>
      <c r="C11" s="71"/>
      <c r="D11" s="72"/>
      <c r="E11" s="71"/>
      <c r="F11" s="71"/>
      <c r="G11" s="71"/>
      <c r="H11" s="72"/>
      <c r="I11" s="71"/>
      <c r="J11" s="71"/>
      <c r="K11" s="71"/>
      <c r="L11" s="72"/>
      <c r="M11" s="71"/>
      <c r="N11" s="71"/>
      <c r="O11" s="71"/>
      <c r="P11" s="72"/>
      <c r="Q11" s="71"/>
      <c r="R11" s="71"/>
      <c r="S11" s="71"/>
      <c r="T11" s="72"/>
      <c r="U11" s="71"/>
      <c r="V11" s="71"/>
      <c r="W11" s="71"/>
      <c r="X11" s="72"/>
      <c r="Y11" s="71"/>
      <c r="AA11" s="102"/>
      <c r="AG11" s="5" t="str">
        <f>H19</f>
        <v>Inversiones temporales</v>
      </c>
      <c r="AH11" s="41">
        <f>H31</f>
        <v>0</v>
      </c>
      <c r="AI11" s="41">
        <f>I31</f>
        <v>0</v>
      </c>
    </row>
    <row r="12" spans="1:35" x14ac:dyDescent="0.25">
      <c r="A12" s="97"/>
      <c r="C12" s="71"/>
      <c r="D12" s="72"/>
      <c r="E12" s="71"/>
      <c r="F12" s="71"/>
      <c r="G12" s="71"/>
      <c r="H12" s="72"/>
      <c r="I12" s="71"/>
      <c r="J12" s="71"/>
      <c r="K12" s="71"/>
      <c r="L12" s="72"/>
      <c r="M12" s="71"/>
      <c r="N12" s="71"/>
      <c r="O12" s="71"/>
      <c r="P12" s="72"/>
      <c r="Q12" s="71"/>
      <c r="R12" s="71"/>
      <c r="S12" s="71"/>
      <c r="T12" s="72"/>
      <c r="U12" s="71"/>
      <c r="V12" s="71"/>
      <c r="W12" s="71"/>
      <c r="X12" s="72"/>
      <c r="Y12" s="71"/>
      <c r="AA12" s="102"/>
      <c r="AG12" s="5" t="str">
        <f>L19</f>
        <v>Terrenos</v>
      </c>
      <c r="AH12" s="41">
        <f>L31</f>
        <v>0</v>
      </c>
      <c r="AI12" s="41">
        <f>M31</f>
        <v>0</v>
      </c>
    </row>
    <row r="13" spans="1:35" x14ac:dyDescent="0.25">
      <c r="A13" s="97"/>
      <c r="C13" s="71"/>
      <c r="D13" s="72"/>
      <c r="E13" s="71"/>
      <c r="F13" s="71"/>
      <c r="G13" s="71"/>
      <c r="H13" s="72"/>
      <c r="I13" s="71"/>
      <c r="J13" s="71"/>
      <c r="K13" s="71"/>
      <c r="L13" s="72"/>
      <c r="M13" s="71"/>
      <c r="N13" s="71"/>
      <c r="O13" s="71"/>
      <c r="P13" s="72"/>
      <c r="Q13" s="71"/>
      <c r="R13" s="71"/>
      <c r="S13" s="71"/>
      <c r="T13" s="72"/>
      <c r="U13" s="71"/>
      <c r="V13" s="71"/>
      <c r="W13" s="71"/>
      <c r="X13" s="72"/>
      <c r="Y13" s="71"/>
      <c r="AA13" s="102"/>
      <c r="AG13" s="5" t="str">
        <f>P19</f>
        <v>Edificios</v>
      </c>
      <c r="AH13" s="41">
        <f>P31</f>
        <v>0</v>
      </c>
      <c r="AI13" s="41">
        <f>Q31</f>
        <v>0</v>
      </c>
    </row>
    <row r="14" spans="1:35" x14ac:dyDescent="0.25">
      <c r="A14" s="97"/>
      <c r="C14" s="71"/>
      <c r="D14" s="72"/>
      <c r="E14" s="71"/>
      <c r="F14" s="71"/>
      <c r="G14" s="71"/>
      <c r="H14" s="72"/>
      <c r="I14" s="71"/>
      <c r="J14" s="71"/>
      <c r="K14" s="71"/>
      <c r="L14" s="72"/>
      <c r="M14" s="71"/>
      <c r="N14" s="71"/>
      <c r="O14" s="71"/>
      <c r="P14" s="72"/>
      <c r="Q14" s="71"/>
      <c r="R14" s="71"/>
      <c r="S14" s="71"/>
      <c r="T14" s="72"/>
      <c r="U14" s="71"/>
      <c r="V14" s="71"/>
      <c r="W14" s="71"/>
      <c r="X14" s="72"/>
      <c r="Y14" s="71"/>
      <c r="AA14" s="102"/>
      <c r="AG14" s="5" t="str">
        <f>T19</f>
        <v>Mobiliario y equipo</v>
      </c>
      <c r="AH14" s="41">
        <f>T31</f>
        <v>0</v>
      </c>
      <c r="AI14" s="41">
        <f>U31</f>
        <v>0</v>
      </c>
    </row>
    <row r="15" spans="1:35" ht="15.75" thickBot="1" x14ac:dyDescent="0.3">
      <c r="A15" s="97"/>
      <c r="C15" s="71"/>
      <c r="D15" s="73"/>
      <c r="E15" s="73"/>
      <c r="F15" s="71"/>
      <c r="G15" s="71"/>
      <c r="H15" s="73"/>
      <c r="I15" s="73"/>
      <c r="J15" s="71"/>
      <c r="K15" s="71"/>
      <c r="L15" s="73"/>
      <c r="M15" s="73"/>
      <c r="N15" s="71"/>
      <c r="O15" s="71"/>
      <c r="P15" s="73"/>
      <c r="Q15" s="73"/>
      <c r="R15" s="71"/>
      <c r="S15" s="71"/>
      <c r="T15" s="73"/>
      <c r="U15" s="73"/>
      <c r="V15" s="71"/>
      <c r="W15" s="71"/>
      <c r="X15" s="73"/>
      <c r="Y15" s="73"/>
      <c r="AA15" s="102"/>
      <c r="AG15" s="5" t="str">
        <f>X19</f>
        <v>Equipo de computo electronico</v>
      </c>
      <c r="AH15" s="41">
        <f>X31</f>
        <v>0</v>
      </c>
      <c r="AI15" s="41">
        <f>Y31</f>
        <v>0</v>
      </c>
    </row>
    <row r="16" spans="1:35" x14ac:dyDescent="0.25">
      <c r="A16" s="97"/>
      <c r="C16" s="71"/>
      <c r="D16" s="72">
        <f>SUM(D6:D14)</f>
        <v>5000</v>
      </c>
      <c r="E16" s="74">
        <f>SUM(E6:E14)</f>
        <v>0</v>
      </c>
      <c r="F16" s="75"/>
      <c r="G16" s="75"/>
      <c r="H16" s="72">
        <f>SUM(H6:H14)</f>
        <v>10000</v>
      </c>
      <c r="I16" s="74">
        <f>SUM(I6:I14)</f>
        <v>0</v>
      </c>
      <c r="J16" s="75"/>
      <c r="K16" s="75"/>
      <c r="L16" s="72">
        <f t="shared" ref="L16:M16" si="0">SUM(L6:L14)</f>
        <v>50000</v>
      </c>
      <c r="M16" s="74">
        <f t="shared" si="0"/>
        <v>0</v>
      </c>
      <c r="N16" s="75"/>
      <c r="O16" s="75"/>
      <c r="P16" s="72">
        <f t="shared" ref="P16:Q16" si="1">SUM(P6:P14)</f>
        <v>0</v>
      </c>
      <c r="Q16" s="74">
        <f t="shared" si="1"/>
        <v>5000</v>
      </c>
      <c r="R16" s="75"/>
      <c r="S16" s="75"/>
      <c r="T16" s="72">
        <f t="shared" ref="T16:U16" si="2">SUM(T6:T14)</f>
        <v>0</v>
      </c>
      <c r="U16" s="74">
        <f t="shared" si="2"/>
        <v>0</v>
      </c>
      <c r="V16" s="75"/>
      <c r="W16" s="75"/>
      <c r="X16" s="72">
        <f t="shared" ref="X16:Y16" si="3">SUM(X6:X14)</f>
        <v>0</v>
      </c>
      <c r="Y16" s="74">
        <f t="shared" si="3"/>
        <v>10000</v>
      </c>
      <c r="AA16" s="102"/>
      <c r="AG16" s="5" t="str">
        <f>D34</f>
        <v>Equipo de entrega y reparto</v>
      </c>
      <c r="AH16" s="41">
        <f>D46</f>
        <v>0</v>
      </c>
      <c r="AI16" s="41">
        <f>E46</f>
        <v>0</v>
      </c>
    </row>
    <row r="17" spans="1:35" x14ac:dyDescent="0.25">
      <c r="A17" s="97"/>
      <c r="C17" s="76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AA17" s="102"/>
      <c r="AG17" s="5" t="str">
        <f>H34</f>
        <v>Seguros pagados por anticipado c/p</v>
      </c>
      <c r="AH17" s="41">
        <f>H46</f>
        <v>0</v>
      </c>
      <c r="AI17" s="41">
        <f>I46</f>
        <v>0</v>
      </c>
    </row>
    <row r="18" spans="1:35" x14ac:dyDescent="0.25">
      <c r="A18" s="9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AA18" s="102"/>
      <c r="AG18" s="5" t="str">
        <f>L34</f>
        <v>Inversiones permanentes</v>
      </c>
      <c r="AH18" s="41">
        <f>L46</f>
        <v>0</v>
      </c>
      <c r="AI18" s="41">
        <f>M46</f>
        <v>0</v>
      </c>
    </row>
    <row r="19" spans="1:35" x14ac:dyDescent="0.25">
      <c r="A19" s="97"/>
      <c r="C19" s="68">
        <v>7</v>
      </c>
      <c r="D19" s="98" t="s">
        <v>23</v>
      </c>
      <c r="E19" s="98"/>
      <c r="F19" s="69"/>
      <c r="G19" s="68">
        <v>8</v>
      </c>
      <c r="H19" s="98" t="s">
        <v>31</v>
      </c>
      <c r="I19" s="98"/>
      <c r="J19" s="69"/>
      <c r="K19" s="68">
        <v>9</v>
      </c>
      <c r="L19" s="98" t="s">
        <v>24</v>
      </c>
      <c r="M19" s="98"/>
      <c r="N19" s="69"/>
      <c r="O19" s="68">
        <v>10</v>
      </c>
      <c r="P19" s="98" t="s">
        <v>25</v>
      </c>
      <c r="Q19" s="98"/>
      <c r="R19" s="69"/>
      <c r="S19" s="68">
        <v>11</v>
      </c>
      <c r="T19" s="98" t="s">
        <v>26</v>
      </c>
      <c r="U19" s="98"/>
      <c r="V19" s="69"/>
      <c r="W19" s="68">
        <v>12</v>
      </c>
      <c r="X19" s="100" t="s">
        <v>27</v>
      </c>
      <c r="Y19" s="100"/>
      <c r="AA19" s="102"/>
      <c r="AG19" s="5" t="str">
        <f>P34</f>
        <v>Gastos de investigación y desarrollo</v>
      </c>
      <c r="AH19" s="41">
        <f>P46</f>
        <v>0</v>
      </c>
      <c r="AI19" s="41">
        <f>Q46</f>
        <v>0</v>
      </c>
    </row>
    <row r="20" spans="1:35" x14ac:dyDescent="0.25">
      <c r="A20" s="97"/>
      <c r="C20" s="70"/>
      <c r="D20" s="85"/>
      <c r="E20" s="86"/>
      <c r="F20" s="71"/>
      <c r="G20" s="70"/>
      <c r="H20" s="85"/>
      <c r="I20" s="86"/>
      <c r="J20" s="71"/>
      <c r="K20" s="70"/>
      <c r="L20" s="87"/>
      <c r="M20" s="86"/>
      <c r="N20" s="71"/>
      <c r="O20" s="70"/>
      <c r="P20" s="88"/>
      <c r="Q20" s="86"/>
      <c r="R20" s="71"/>
      <c r="S20" s="70"/>
      <c r="T20" s="85"/>
      <c r="U20" s="86"/>
      <c r="V20" s="71"/>
      <c r="W20" s="70"/>
      <c r="X20" s="85"/>
      <c r="Y20" s="86"/>
      <c r="AA20" s="102"/>
      <c r="AG20" s="5" t="str">
        <f>T34</f>
        <v>Gastos de organización</v>
      </c>
      <c r="AH20" s="41">
        <f>T46</f>
        <v>0</v>
      </c>
      <c r="AI20" s="41">
        <f>U46</f>
        <v>0</v>
      </c>
    </row>
    <row r="21" spans="1:35" x14ac:dyDescent="0.25">
      <c r="A21" s="97"/>
      <c r="C21" s="71"/>
      <c r="D21" s="72"/>
      <c r="E21" s="71"/>
      <c r="F21" s="71"/>
      <c r="G21" s="71"/>
      <c r="H21" s="72"/>
      <c r="I21" s="71"/>
      <c r="J21" s="71"/>
      <c r="K21" s="71"/>
      <c r="L21" s="72"/>
      <c r="M21" s="71"/>
      <c r="N21" s="71"/>
      <c r="O21" s="71"/>
      <c r="P21" s="72"/>
      <c r="Q21" s="71"/>
      <c r="R21" s="71"/>
      <c r="S21" s="71"/>
      <c r="T21" s="72"/>
      <c r="U21" s="71"/>
      <c r="V21" s="71"/>
      <c r="W21" s="71"/>
      <c r="X21" s="72"/>
      <c r="Y21" s="71"/>
      <c r="AA21" s="102"/>
      <c r="AG21" s="5" t="str">
        <f>X34</f>
        <v>Gastos de instalación</v>
      </c>
      <c r="AH21" s="41">
        <f>X46</f>
        <v>0</v>
      </c>
      <c r="AI21" s="41">
        <f>Y46</f>
        <v>0</v>
      </c>
    </row>
    <row r="22" spans="1:35" x14ac:dyDescent="0.25">
      <c r="A22" s="97"/>
      <c r="C22" s="71"/>
      <c r="D22" s="72"/>
      <c r="E22" s="71"/>
      <c r="F22" s="71"/>
      <c r="G22" s="71"/>
      <c r="H22" s="72"/>
      <c r="I22" s="71"/>
      <c r="J22" s="71"/>
      <c r="K22" s="71"/>
      <c r="L22" s="72"/>
      <c r="M22" s="71"/>
      <c r="N22" s="71"/>
      <c r="O22" s="71"/>
      <c r="P22" s="72"/>
      <c r="Q22" s="71"/>
      <c r="R22" s="71"/>
      <c r="S22" s="71"/>
      <c r="T22" s="72"/>
      <c r="U22" s="71"/>
      <c r="V22" s="71"/>
      <c r="W22" s="71"/>
      <c r="X22" s="72"/>
      <c r="Y22" s="71"/>
      <c r="AA22" s="102"/>
      <c r="AG22" s="5" t="str">
        <f>D49</f>
        <v>Primas de seguros</v>
      </c>
      <c r="AH22" s="41">
        <f>D61</f>
        <v>0</v>
      </c>
      <c r="AI22" s="41">
        <f>E61</f>
        <v>0</v>
      </c>
    </row>
    <row r="23" spans="1:35" x14ac:dyDescent="0.25">
      <c r="A23" s="97"/>
      <c r="C23" s="71"/>
      <c r="D23" s="72"/>
      <c r="E23" s="71"/>
      <c r="F23" s="71"/>
      <c r="G23" s="71"/>
      <c r="H23" s="72"/>
      <c r="I23" s="71"/>
      <c r="J23" s="71"/>
      <c r="K23" s="71"/>
      <c r="L23" s="72"/>
      <c r="M23" s="71"/>
      <c r="N23" s="71"/>
      <c r="O23" s="71"/>
      <c r="P23" s="72"/>
      <c r="Q23" s="71"/>
      <c r="R23" s="71"/>
      <c r="S23" s="71"/>
      <c r="T23" s="72"/>
      <c r="U23" s="71"/>
      <c r="V23" s="71"/>
      <c r="W23" s="71"/>
      <c r="X23" s="72"/>
      <c r="Y23" s="71"/>
      <c r="AA23" s="102"/>
      <c r="AG23" s="5" t="str">
        <f>H49</f>
        <v>Rentas pagadas por anticipado</v>
      </c>
      <c r="AH23" s="41">
        <f>H61</f>
        <v>0</v>
      </c>
      <c r="AI23" s="41">
        <f>I61</f>
        <v>0</v>
      </c>
    </row>
    <row r="24" spans="1:35" x14ac:dyDescent="0.25">
      <c r="A24" s="97"/>
      <c r="C24" s="71"/>
      <c r="D24" s="72"/>
      <c r="E24" s="71"/>
      <c r="F24" s="71"/>
      <c r="G24" s="71"/>
      <c r="H24" s="72"/>
      <c r="I24" s="71"/>
      <c r="J24" s="71"/>
      <c r="K24" s="71"/>
      <c r="L24" s="72"/>
      <c r="M24" s="71"/>
      <c r="N24" s="71"/>
      <c r="O24" s="71"/>
      <c r="P24" s="72"/>
      <c r="Q24" s="71"/>
      <c r="R24" s="71"/>
      <c r="S24" s="71"/>
      <c r="T24" s="72"/>
      <c r="U24" s="71"/>
      <c r="V24" s="71"/>
      <c r="W24" s="71"/>
      <c r="X24" s="72"/>
      <c r="Y24" s="71"/>
      <c r="AA24" s="102"/>
      <c r="AG24" s="5" t="str">
        <f>L49</f>
        <v>Intereses pagados por anticipado</v>
      </c>
      <c r="AH24" s="41">
        <f>L61</f>
        <v>0</v>
      </c>
      <c r="AI24" s="41">
        <f>M61</f>
        <v>0</v>
      </c>
    </row>
    <row r="25" spans="1:35" x14ac:dyDescent="0.25">
      <c r="A25" s="97"/>
      <c r="C25" s="71"/>
      <c r="D25" s="72"/>
      <c r="E25" s="71"/>
      <c r="F25" s="71"/>
      <c r="G25" s="71"/>
      <c r="H25" s="72"/>
      <c r="I25" s="71"/>
      <c r="J25" s="71"/>
      <c r="K25" s="71"/>
      <c r="L25" s="72"/>
      <c r="M25" s="71"/>
      <c r="N25" s="71"/>
      <c r="O25" s="71"/>
      <c r="P25" s="72"/>
      <c r="Q25" s="71"/>
      <c r="R25" s="71"/>
      <c r="S25" s="71"/>
      <c r="T25" s="72"/>
      <c r="U25" s="71"/>
      <c r="V25" s="71"/>
      <c r="W25" s="71"/>
      <c r="X25" s="72"/>
      <c r="Y25" s="71"/>
      <c r="AA25" s="102"/>
      <c r="AG25" s="5" t="str">
        <f>P49</f>
        <v>IVA pagado</v>
      </c>
      <c r="AH25" s="41">
        <f>P61</f>
        <v>0</v>
      </c>
      <c r="AI25" s="41">
        <f>Q61</f>
        <v>0</v>
      </c>
    </row>
    <row r="26" spans="1:35" x14ac:dyDescent="0.25">
      <c r="A26" s="97"/>
      <c r="C26" s="71"/>
      <c r="D26" s="72"/>
      <c r="E26" s="71"/>
      <c r="F26" s="71"/>
      <c r="G26" s="71"/>
      <c r="H26" s="72"/>
      <c r="I26" s="71"/>
      <c r="J26" s="71"/>
      <c r="K26" s="71"/>
      <c r="L26" s="72"/>
      <c r="M26" s="71"/>
      <c r="N26" s="71"/>
      <c r="O26" s="71"/>
      <c r="P26" s="72"/>
      <c r="Q26" s="71"/>
      <c r="R26" s="71"/>
      <c r="S26" s="71"/>
      <c r="T26" s="72"/>
      <c r="U26" s="71"/>
      <c r="V26" s="71"/>
      <c r="W26" s="71"/>
      <c r="X26" s="72"/>
      <c r="Y26" s="71"/>
      <c r="AA26" s="102"/>
      <c r="AG26" s="5" t="str">
        <f>T49</f>
        <v>IVA acreditable</v>
      </c>
      <c r="AH26" s="41">
        <f>T61</f>
        <v>0</v>
      </c>
      <c r="AI26" s="41">
        <f>U61</f>
        <v>0</v>
      </c>
    </row>
    <row r="27" spans="1:35" x14ac:dyDescent="0.25">
      <c r="A27" s="97"/>
      <c r="C27" s="71"/>
      <c r="D27" s="72"/>
      <c r="E27" s="71"/>
      <c r="F27" s="71"/>
      <c r="G27" s="71"/>
      <c r="H27" s="72"/>
      <c r="I27" s="71"/>
      <c r="J27" s="71"/>
      <c r="K27" s="71"/>
      <c r="L27" s="72"/>
      <c r="M27" s="71"/>
      <c r="N27" s="71"/>
      <c r="O27" s="71"/>
      <c r="P27" s="72"/>
      <c r="Q27" s="71"/>
      <c r="R27" s="71"/>
      <c r="S27" s="71"/>
      <c r="T27" s="72"/>
      <c r="U27" s="71"/>
      <c r="V27" s="71"/>
      <c r="W27" s="71"/>
      <c r="X27" s="72"/>
      <c r="Y27" s="71"/>
      <c r="AA27" s="102"/>
      <c r="AG27" s="5" t="str">
        <f>X49</f>
        <v>Proveedores</v>
      </c>
      <c r="AH27" s="41">
        <f>X61</f>
        <v>0</v>
      </c>
      <c r="AI27" s="41">
        <f>Y61</f>
        <v>0</v>
      </c>
    </row>
    <row r="28" spans="1:35" x14ac:dyDescent="0.25">
      <c r="A28" s="97"/>
      <c r="C28" s="71"/>
      <c r="D28" s="72"/>
      <c r="E28" s="71"/>
      <c r="F28" s="71"/>
      <c r="G28" s="71"/>
      <c r="H28" s="72"/>
      <c r="I28" s="71"/>
      <c r="J28" s="71"/>
      <c r="K28" s="71"/>
      <c r="L28" s="72"/>
      <c r="M28" s="71"/>
      <c r="N28" s="71"/>
      <c r="O28" s="71"/>
      <c r="P28" s="72"/>
      <c r="Q28" s="71"/>
      <c r="R28" s="71"/>
      <c r="S28" s="71"/>
      <c r="T28" s="72"/>
      <c r="U28" s="71"/>
      <c r="V28" s="71"/>
      <c r="W28" s="71"/>
      <c r="X28" s="72"/>
      <c r="Y28" s="71"/>
      <c r="AA28" s="102"/>
      <c r="AG28" s="41" t="str">
        <f>D64</f>
        <v>Documentos por pagar</v>
      </c>
      <c r="AH28" s="41">
        <f>D76</f>
        <v>0</v>
      </c>
      <c r="AI28" s="41">
        <f>E76</f>
        <v>0</v>
      </c>
    </row>
    <row r="29" spans="1:35" x14ac:dyDescent="0.25">
      <c r="A29" s="97"/>
      <c r="C29" s="71"/>
      <c r="D29" s="72"/>
      <c r="E29" s="71"/>
      <c r="F29" s="71"/>
      <c r="G29" s="71"/>
      <c r="H29" s="72"/>
      <c r="I29" s="71"/>
      <c r="J29" s="71"/>
      <c r="K29" s="71"/>
      <c r="L29" s="72"/>
      <c r="M29" s="71"/>
      <c r="N29" s="71"/>
      <c r="O29" s="71"/>
      <c r="P29" s="72"/>
      <c r="Q29" s="71"/>
      <c r="R29" s="71"/>
      <c r="S29" s="71"/>
      <c r="T29" s="72"/>
      <c r="U29" s="71"/>
      <c r="V29" s="71"/>
      <c r="W29" s="71"/>
      <c r="X29" s="72"/>
      <c r="Y29" s="71"/>
      <c r="AA29" s="102"/>
      <c r="AG29" s="5" t="str">
        <f>H64</f>
        <v>Acreedores diversos</v>
      </c>
      <c r="AH29" s="41">
        <f>H76</f>
        <v>0</v>
      </c>
      <c r="AI29" s="41">
        <f>I76</f>
        <v>0</v>
      </c>
    </row>
    <row r="30" spans="1:35" ht="15.75" thickBot="1" x14ac:dyDescent="0.3">
      <c r="A30" s="97"/>
      <c r="C30" s="71"/>
      <c r="D30" s="73"/>
      <c r="E30" s="73"/>
      <c r="F30" s="71"/>
      <c r="G30" s="71"/>
      <c r="H30" s="73"/>
      <c r="I30" s="73"/>
      <c r="J30" s="71"/>
      <c r="K30" s="71"/>
      <c r="L30" s="73"/>
      <c r="M30" s="73"/>
      <c r="N30" s="71"/>
      <c r="O30" s="71"/>
      <c r="P30" s="73"/>
      <c r="Q30" s="73"/>
      <c r="R30" s="71"/>
      <c r="S30" s="71"/>
      <c r="T30" s="73"/>
      <c r="U30" s="73"/>
      <c r="V30" s="71"/>
      <c r="W30" s="71"/>
      <c r="X30" s="73"/>
      <c r="Y30" s="73"/>
      <c r="AA30" s="102"/>
      <c r="AG30" s="5" t="str">
        <f>L64</f>
        <v>Anticipo de clientes</v>
      </c>
      <c r="AH30" s="41">
        <f>L76</f>
        <v>0</v>
      </c>
      <c r="AI30" s="41">
        <f>M76</f>
        <v>0</v>
      </c>
    </row>
    <row r="31" spans="1:35" x14ac:dyDescent="0.25">
      <c r="A31" s="97"/>
      <c r="C31" s="71"/>
      <c r="D31" s="72">
        <f>SUM(D21:D29)</f>
        <v>0</v>
      </c>
      <c r="E31" s="71">
        <f>SUM(E21:E29)</f>
        <v>0</v>
      </c>
      <c r="F31" s="71"/>
      <c r="G31" s="71"/>
      <c r="H31" s="72">
        <f t="shared" ref="H31:I31" si="4">SUM(H21:H29)</f>
        <v>0</v>
      </c>
      <c r="I31" s="71">
        <f t="shared" si="4"/>
        <v>0</v>
      </c>
      <c r="J31" s="71"/>
      <c r="K31" s="71"/>
      <c r="L31" s="72">
        <f t="shared" ref="L31:M31" si="5">SUM(L21:L29)</f>
        <v>0</v>
      </c>
      <c r="M31" s="71">
        <f t="shared" si="5"/>
        <v>0</v>
      </c>
      <c r="N31" s="71"/>
      <c r="O31" s="71"/>
      <c r="P31" s="72">
        <f t="shared" ref="P31:Q31" si="6">SUM(P21:P29)</f>
        <v>0</v>
      </c>
      <c r="Q31" s="71">
        <f t="shared" si="6"/>
        <v>0</v>
      </c>
      <c r="R31" s="71"/>
      <c r="S31" s="71"/>
      <c r="T31" s="72">
        <f t="shared" ref="T31:U31" si="7">SUM(T21:T29)</f>
        <v>0</v>
      </c>
      <c r="U31" s="71">
        <f t="shared" si="7"/>
        <v>0</v>
      </c>
      <c r="V31" s="71"/>
      <c r="W31" s="71"/>
      <c r="X31" s="72">
        <f t="shared" ref="X31:Y31" si="8">SUM(X21:X29)</f>
        <v>0</v>
      </c>
      <c r="Y31" s="71">
        <f t="shared" si="8"/>
        <v>0</v>
      </c>
      <c r="AA31" s="102"/>
      <c r="AG31" s="5" t="str">
        <f>P64</f>
        <v>Acreedores hipotecarios</v>
      </c>
      <c r="AH31" s="41">
        <f>P76</f>
        <v>0</v>
      </c>
      <c r="AI31" s="41">
        <f>Q76</f>
        <v>0</v>
      </c>
    </row>
    <row r="32" spans="1:35" x14ac:dyDescent="0.25">
      <c r="A32" s="97"/>
      <c r="C32" s="76"/>
      <c r="D32" s="76"/>
      <c r="E32" s="76"/>
      <c r="F32" s="76"/>
      <c r="G32" s="76"/>
      <c r="H32" s="76"/>
      <c r="I32" s="76"/>
      <c r="J32" s="76"/>
      <c r="K32" s="76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6"/>
      <c r="W32" s="76"/>
      <c r="X32" s="76"/>
      <c r="Y32" s="76"/>
      <c r="AA32" s="102"/>
      <c r="AG32" s="5" t="str">
        <f>T64</f>
        <v>Documentos por pagar l/p</v>
      </c>
      <c r="AH32" s="41">
        <f>T76</f>
        <v>0</v>
      </c>
      <c r="AI32" s="41">
        <f>U76</f>
        <v>0</v>
      </c>
    </row>
    <row r="33" spans="1:35" x14ac:dyDescent="0.25">
      <c r="A33" s="9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AA33" s="102"/>
      <c r="AG33" s="5" t="str">
        <f>X64</f>
        <v>Intereses cobrados por anticipado</v>
      </c>
      <c r="AH33" s="41">
        <f>X76</f>
        <v>0</v>
      </c>
      <c r="AI33" s="41">
        <f>Y76</f>
        <v>0</v>
      </c>
    </row>
    <row r="34" spans="1:35" x14ac:dyDescent="0.25">
      <c r="A34" s="97"/>
      <c r="C34" s="68">
        <v>13</v>
      </c>
      <c r="D34" s="100" t="s">
        <v>28</v>
      </c>
      <c r="E34" s="100"/>
      <c r="F34" s="69"/>
      <c r="G34" s="68">
        <v>14</v>
      </c>
      <c r="H34" s="98" t="s">
        <v>80</v>
      </c>
      <c r="I34" s="98"/>
      <c r="J34" s="69"/>
      <c r="K34" s="68">
        <v>15</v>
      </c>
      <c r="L34" s="100" t="s">
        <v>30</v>
      </c>
      <c r="M34" s="100"/>
      <c r="N34" s="69"/>
      <c r="O34" s="68">
        <v>16</v>
      </c>
      <c r="P34" s="100" t="s">
        <v>32</v>
      </c>
      <c r="Q34" s="100"/>
      <c r="R34" s="69"/>
      <c r="S34" s="68">
        <v>17</v>
      </c>
      <c r="T34" s="100" t="s">
        <v>33</v>
      </c>
      <c r="U34" s="100"/>
      <c r="V34" s="69"/>
      <c r="W34" s="68">
        <v>18</v>
      </c>
      <c r="X34" s="98" t="s">
        <v>34</v>
      </c>
      <c r="Y34" s="98"/>
      <c r="AA34" s="102"/>
      <c r="AG34" s="5" t="str">
        <f>D79</f>
        <v>IVA cobrado</v>
      </c>
      <c r="AH34" s="41">
        <f>D91</f>
        <v>0</v>
      </c>
      <c r="AI34" s="41">
        <f>E91</f>
        <v>0</v>
      </c>
    </row>
    <row r="35" spans="1:35" x14ac:dyDescent="0.25">
      <c r="A35" s="97"/>
      <c r="C35" s="70"/>
      <c r="D35" s="85"/>
      <c r="E35" s="86"/>
      <c r="F35" s="71"/>
      <c r="G35" s="70"/>
      <c r="H35" s="85"/>
      <c r="I35" s="86"/>
      <c r="J35" s="71"/>
      <c r="K35" s="70"/>
      <c r="L35" s="85"/>
      <c r="M35" s="92"/>
      <c r="N35" s="71"/>
      <c r="O35" s="70"/>
      <c r="P35" s="85"/>
      <c r="Q35" s="86"/>
      <c r="R35" s="71"/>
      <c r="S35" s="70"/>
      <c r="T35" s="85"/>
      <c r="U35" s="86"/>
      <c r="V35" s="71"/>
      <c r="W35" s="70"/>
      <c r="X35" s="89"/>
      <c r="Y35" s="86"/>
      <c r="AA35" s="102"/>
      <c r="AG35" s="5" t="str">
        <f>H79</f>
        <v>IVA por pagar</v>
      </c>
      <c r="AH35" s="41">
        <f>H91</f>
        <v>0</v>
      </c>
      <c r="AI35" s="41">
        <f>I91</f>
        <v>0</v>
      </c>
    </row>
    <row r="36" spans="1:35" x14ac:dyDescent="0.25">
      <c r="A36" s="97"/>
      <c r="C36" s="71"/>
      <c r="D36" s="72"/>
      <c r="E36" s="71"/>
      <c r="F36" s="71"/>
      <c r="G36" s="71"/>
      <c r="H36" s="72"/>
      <c r="I36" s="71"/>
      <c r="J36" s="71"/>
      <c r="K36" s="71"/>
      <c r="L36" s="72"/>
      <c r="M36" s="75"/>
      <c r="N36" s="71"/>
      <c r="O36" s="71"/>
      <c r="P36" s="72"/>
      <c r="Q36" s="71"/>
      <c r="R36" s="71"/>
      <c r="S36" s="71"/>
      <c r="T36" s="72"/>
      <c r="U36" s="71"/>
      <c r="V36" s="71"/>
      <c r="W36" s="71"/>
      <c r="X36" s="72"/>
      <c r="Y36" s="71"/>
      <c r="AA36" s="102"/>
      <c r="AG36" s="5" t="str">
        <f>L79</f>
        <v>Capital</v>
      </c>
      <c r="AH36" s="41">
        <f>L91</f>
        <v>0</v>
      </c>
      <c r="AI36" s="41">
        <f>M91</f>
        <v>0</v>
      </c>
    </row>
    <row r="37" spans="1:35" x14ac:dyDescent="0.25">
      <c r="A37" s="97"/>
      <c r="C37" s="71"/>
      <c r="D37" s="72"/>
      <c r="E37" s="71"/>
      <c r="F37" s="71"/>
      <c r="G37" s="71"/>
      <c r="H37" s="72"/>
      <c r="I37" s="71"/>
      <c r="J37" s="71"/>
      <c r="K37" s="71"/>
      <c r="L37" s="72"/>
      <c r="M37" s="71"/>
      <c r="N37" s="71"/>
      <c r="O37" s="71"/>
      <c r="P37" s="72"/>
      <c r="Q37" s="71"/>
      <c r="R37" s="71"/>
      <c r="S37" s="71"/>
      <c r="T37" s="72"/>
      <c r="U37" s="71"/>
      <c r="V37" s="71"/>
      <c r="W37" s="71"/>
      <c r="X37" s="72"/>
      <c r="Y37" s="71"/>
      <c r="AA37" s="102"/>
      <c r="AG37" s="5" t="str">
        <f>P79</f>
        <v>Utilidades de ejercicios anteriores</v>
      </c>
      <c r="AH37" s="41">
        <f>P91</f>
        <v>0</v>
      </c>
      <c r="AI37" s="41">
        <f>Q91</f>
        <v>0</v>
      </c>
    </row>
    <row r="38" spans="1:35" x14ac:dyDescent="0.25">
      <c r="A38" s="97"/>
      <c r="C38" s="71"/>
      <c r="D38" s="72"/>
      <c r="E38" s="71"/>
      <c r="F38" s="71"/>
      <c r="G38" s="71"/>
      <c r="H38" s="72"/>
      <c r="I38" s="71"/>
      <c r="J38" s="71"/>
      <c r="K38" s="71"/>
      <c r="L38" s="72"/>
      <c r="M38" s="71"/>
      <c r="N38" s="71"/>
      <c r="O38" s="71"/>
      <c r="P38" s="72"/>
      <c r="Q38" s="71"/>
      <c r="R38" s="71"/>
      <c r="S38" s="71"/>
      <c r="T38" s="72"/>
      <c r="U38" s="71"/>
      <c r="V38" s="71"/>
      <c r="W38" s="71"/>
      <c r="X38" s="72"/>
      <c r="Y38" s="71"/>
      <c r="AA38" s="102"/>
      <c r="AG38" s="5" t="str">
        <f>T79</f>
        <v>Utilidad del ejercicio</v>
      </c>
      <c r="AH38" s="41">
        <f>T91</f>
        <v>0</v>
      </c>
      <c r="AI38" s="41">
        <f>U91</f>
        <v>0</v>
      </c>
    </row>
    <row r="39" spans="1:35" x14ac:dyDescent="0.25">
      <c r="A39" s="97"/>
      <c r="C39" s="71"/>
      <c r="D39" s="72"/>
      <c r="E39" s="71"/>
      <c r="F39" s="71"/>
      <c r="G39" s="71"/>
      <c r="H39" s="72"/>
      <c r="I39" s="71"/>
      <c r="J39" s="71"/>
      <c r="K39" s="71"/>
      <c r="L39" s="72"/>
      <c r="M39" s="71"/>
      <c r="N39" s="71"/>
      <c r="O39" s="71"/>
      <c r="P39" s="72"/>
      <c r="Q39" s="71"/>
      <c r="R39" s="71"/>
      <c r="S39" s="71"/>
      <c r="T39" s="72"/>
      <c r="U39" s="71"/>
      <c r="V39" s="71"/>
      <c r="W39" s="71"/>
      <c r="X39" s="72"/>
      <c r="Y39" s="71"/>
      <c r="AA39" s="102"/>
      <c r="AG39" s="5" t="str">
        <f>X79</f>
        <v>Ventas</v>
      </c>
      <c r="AH39" s="41">
        <f>X91</f>
        <v>0</v>
      </c>
      <c r="AI39" s="41">
        <f>Y91</f>
        <v>0</v>
      </c>
    </row>
    <row r="40" spans="1:35" x14ac:dyDescent="0.25">
      <c r="A40" s="97"/>
      <c r="C40" s="71"/>
      <c r="D40" s="72"/>
      <c r="E40" s="71"/>
      <c r="F40" s="71"/>
      <c r="G40" s="71"/>
      <c r="H40" s="72"/>
      <c r="I40" s="71"/>
      <c r="J40" s="71"/>
      <c r="K40" s="71"/>
      <c r="L40" s="72"/>
      <c r="M40" s="71"/>
      <c r="N40" s="71"/>
      <c r="O40" s="71"/>
      <c r="P40" s="72"/>
      <c r="Q40" s="71"/>
      <c r="R40" s="71"/>
      <c r="S40" s="71"/>
      <c r="T40" s="72"/>
      <c r="U40" s="71"/>
      <c r="V40" s="71"/>
      <c r="W40" s="71"/>
      <c r="X40" s="72"/>
      <c r="Y40" s="71"/>
      <c r="AA40" s="102"/>
      <c r="AG40" s="41" t="str">
        <f>D94</f>
        <v>Costo de ventas</v>
      </c>
      <c r="AH40" s="41">
        <f>D106</f>
        <v>0</v>
      </c>
      <c r="AI40" s="41">
        <f>E106</f>
        <v>0</v>
      </c>
    </row>
    <row r="41" spans="1:35" x14ac:dyDescent="0.25">
      <c r="A41" s="97"/>
      <c r="C41" s="71"/>
      <c r="D41" s="72"/>
      <c r="E41" s="71"/>
      <c r="F41" s="71"/>
      <c r="G41" s="71"/>
      <c r="H41" s="72"/>
      <c r="I41" s="71"/>
      <c r="J41" s="71"/>
      <c r="K41" s="71"/>
      <c r="L41" s="72"/>
      <c r="M41" s="71"/>
      <c r="N41" s="71"/>
      <c r="O41" s="71"/>
      <c r="P41" s="72"/>
      <c r="Q41" s="71"/>
      <c r="R41" s="71"/>
      <c r="S41" s="71"/>
      <c r="T41" s="72"/>
      <c r="U41" s="71"/>
      <c r="V41" s="71"/>
      <c r="W41" s="71"/>
      <c r="X41" s="72"/>
      <c r="Y41" s="71"/>
      <c r="AA41" s="102"/>
      <c r="AG41" s="5" t="str">
        <f>H94</f>
        <v>Devoluciones sobre compras</v>
      </c>
      <c r="AH41" s="41">
        <f>H106</f>
        <v>0</v>
      </c>
      <c r="AI41" s="41">
        <f>I106</f>
        <v>0</v>
      </c>
    </row>
    <row r="42" spans="1:35" x14ac:dyDescent="0.25">
      <c r="A42" s="97"/>
      <c r="C42" s="71"/>
      <c r="D42" s="72"/>
      <c r="E42" s="71"/>
      <c r="F42" s="71"/>
      <c r="G42" s="71"/>
      <c r="H42" s="72"/>
      <c r="I42" s="71"/>
      <c r="J42" s="71"/>
      <c r="K42" s="71"/>
      <c r="L42" s="72"/>
      <c r="M42" s="71"/>
      <c r="N42" s="71"/>
      <c r="O42" s="71"/>
      <c r="P42" s="72"/>
      <c r="Q42" s="71"/>
      <c r="R42" s="71"/>
      <c r="S42" s="71"/>
      <c r="T42" s="72"/>
      <c r="U42" s="71"/>
      <c r="V42" s="71"/>
      <c r="W42" s="71"/>
      <c r="X42" s="72"/>
      <c r="Y42" s="71"/>
      <c r="AA42" s="102"/>
      <c r="AG42" s="5" t="str">
        <f>L94</f>
        <v>Gastos de ventas</v>
      </c>
      <c r="AH42" s="41">
        <f>L106</f>
        <v>0</v>
      </c>
      <c r="AI42" s="41">
        <f>M106</f>
        <v>0</v>
      </c>
    </row>
    <row r="43" spans="1:35" x14ac:dyDescent="0.25">
      <c r="A43" s="97"/>
      <c r="C43" s="71"/>
      <c r="D43" s="72"/>
      <c r="E43" s="71"/>
      <c r="F43" s="71"/>
      <c r="G43" s="71"/>
      <c r="H43" s="72"/>
      <c r="I43" s="71"/>
      <c r="J43" s="71"/>
      <c r="K43" s="71"/>
      <c r="L43" s="72"/>
      <c r="M43" s="71"/>
      <c r="N43" s="71"/>
      <c r="O43" s="71"/>
      <c r="P43" s="72"/>
      <c r="Q43" s="71"/>
      <c r="R43" s="71"/>
      <c r="S43" s="71"/>
      <c r="T43" s="72"/>
      <c r="U43" s="71"/>
      <c r="V43" s="71"/>
      <c r="W43" s="71"/>
      <c r="X43" s="72"/>
      <c r="Y43" s="71"/>
      <c r="AA43" s="102"/>
      <c r="AG43" s="5" t="str">
        <f>P94</f>
        <v>Gastos de administración</v>
      </c>
      <c r="AH43" s="41">
        <f>P106</f>
        <v>0</v>
      </c>
      <c r="AI43" s="41">
        <f>Q106</f>
        <v>0</v>
      </c>
    </row>
    <row r="44" spans="1:35" x14ac:dyDescent="0.25">
      <c r="A44" s="97"/>
      <c r="C44" s="71"/>
      <c r="D44" s="72"/>
      <c r="E44" s="71"/>
      <c r="F44" s="71"/>
      <c r="G44" s="71"/>
      <c r="H44" s="72"/>
      <c r="I44" s="71"/>
      <c r="J44" s="71"/>
      <c r="K44" s="71"/>
      <c r="L44" s="72"/>
      <c r="M44" s="71"/>
      <c r="N44" s="71"/>
      <c r="O44" s="71"/>
      <c r="P44" s="72"/>
      <c r="Q44" s="71"/>
      <c r="R44" s="71"/>
      <c r="S44" s="71"/>
      <c r="T44" s="72"/>
      <c r="U44" s="71"/>
      <c r="V44" s="71"/>
      <c r="W44" s="71"/>
      <c r="X44" s="72"/>
      <c r="Y44" s="71"/>
      <c r="AA44" s="102"/>
      <c r="AG44" s="5" t="str">
        <f>T94</f>
        <v>Gastos y productos financieros</v>
      </c>
      <c r="AH44" s="41">
        <f>T106</f>
        <v>0</v>
      </c>
      <c r="AI44" s="41">
        <f>U106</f>
        <v>0</v>
      </c>
    </row>
    <row r="45" spans="1:35" ht="15.75" thickBot="1" x14ac:dyDescent="0.3">
      <c r="A45" s="97"/>
      <c r="C45" s="71"/>
      <c r="D45" s="73"/>
      <c r="E45" s="73"/>
      <c r="F45" s="71"/>
      <c r="G45" s="71"/>
      <c r="H45" s="73"/>
      <c r="I45" s="73"/>
      <c r="J45" s="71"/>
      <c r="K45" s="71"/>
      <c r="L45" s="73"/>
      <c r="M45" s="73"/>
      <c r="N45" s="71"/>
      <c r="O45" s="71"/>
      <c r="P45" s="73"/>
      <c r="Q45" s="73"/>
      <c r="R45" s="71"/>
      <c r="S45" s="71"/>
      <c r="T45" s="73"/>
      <c r="U45" s="73"/>
      <c r="V45" s="71"/>
      <c r="W45" s="71"/>
      <c r="X45" s="73"/>
      <c r="Y45" s="73"/>
      <c r="AA45" s="102"/>
      <c r="AG45" s="5" t="str">
        <f>X94</f>
        <v>Depreciación acumulada de edificios</v>
      </c>
      <c r="AH45" s="41">
        <f>X106</f>
        <v>0</v>
      </c>
      <c r="AI45" s="41">
        <f>Y106</f>
        <v>0</v>
      </c>
    </row>
    <row r="46" spans="1:35" x14ac:dyDescent="0.25">
      <c r="A46" s="97"/>
      <c r="C46" s="71"/>
      <c r="D46" s="72">
        <f>SUM(D36:D44)</f>
        <v>0</v>
      </c>
      <c r="E46" s="71">
        <f>SUM(E36:E44)</f>
        <v>0</v>
      </c>
      <c r="F46" s="71"/>
      <c r="G46" s="71"/>
      <c r="H46" s="72">
        <f t="shared" ref="H46:I46" si="9">SUM(H36:H44)</f>
        <v>0</v>
      </c>
      <c r="I46" s="71">
        <f t="shared" si="9"/>
        <v>0</v>
      </c>
      <c r="J46" s="71"/>
      <c r="K46" s="71"/>
      <c r="L46" s="72">
        <f t="shared" ref="L46:M46" si="10">SUM(L36:L44)</f>
        <v>0</v>
      </c>
      <c r="M46" s="71">
        <f t="shared" si="10"/>
        <v>0</v>
      </c>
      <c r="N46" s="71"/>
      <c r="O46" s="71"/>
      <c r="P46" s="72">
        <f t="shared" ref="P46:Q46" si="11">SUM(P36:P44)</f>
        <v>0</v>
      </c>
      <c r="Q46" s="71">
        <f t="shared" si="11"/>
        <v>0</v>
      </c>
      <c r="R46" s="71"/>
      <c r="S46" s="71"/>
      <c r="T46" s="72">
        <f t="shared" ref="T46:U46" si="12">SUM(T36:T44)</f>
        <v>0</v>
      </c>
      <c r="U46" s="71">
        <f t="shared" si="12"/>
        <v>0</v>
      </c>
      <c r="V46" s="71"/>
      <c r="W46" s="71"/>
      <c r="X46" s="72">
        <f t="shared" ref="X46:Y46" si="13">SUM(X36:X44)</f>
        <v>0</v>
      </c>
      <c r="Y46" s="71">
        <f t="shared" si="13"/>
        <v>0</v>
      </c>
      <c r="AA46" s="102"/>
      <c r="AG46" s="5" t="str">
        <f>D109</f>
        <v>Depreciación acumulada de equipo de reparto</v>
      </c>
      <c r="AH46" s="41">
        <f>D121</f>
        <v>0</v>
      </c>
      <c r="AI46" s="41">
        <f>E121</f>
        <v>0</v>
      </c>
    </row>
    <row r="47" spans="1:35" x14ac:dyDescent="0.25">
      <c r="A47" s="9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AA47" s="102"/>
      <c r="AG47" s="5" t="str">
        <f>H109</f>
        <v>Depreciación acumulada de mobiliario y equipo</v>
      </c>
      <c r="AH47" s="41">
        <f>H121</f>
        <v>0</v>
      </c>
      <c r="AI47" s="41">
        <f>I121</f>
        <v>0</v>
      </c>
    </row>
    <row r="48" spans="1:35" x14ac:dyDescent="0.25">
      <c r="A48" s="9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AA48" s="102"/>
      <c r="AG48" s="5" t="str">
        <f>L109</f>
        <v>Provisión por cuentas incobrables</v>
      </c>
      <c r="AH48" s="41">
        <f>L121</f>
        <v>0</v>
      </c>
      <c r="AI48" s="41">
        <f>M121</f>
        <v>0</v>
      </c>
    </row>
    <row r="49" spans="1:35" x14ac:dyDescent="0.25">
      <c r="A49" s="97"/>
      <c r="C49" s="69">
        <v>19</v>
      </c>
      <c r="D49" s="98" t="s">
        <v>35</v>
      </c>
      <c r="E49" s="98"/>
      <c r="F49" s="69"/>
      <c r="G49" s="68">
        <v>20</v>
      </c>
      <c r="H49" s="100" t="s">
        <v>36</v>
      </c>
      <c r="I49" s="100"/>
      <c r="J49" s="69"/>
      <c r="K49" s="68">
        <v>21</v>
      </c>
      <c r="L49" s="100" t="s">
        <v>60</v>
      </c>
      <c r="M49" s="100"/>
      <c r="N49" s="69"/>
      <c r="O49" s="68">
        <v>22</v>
      </c>
      <c r="P49" s="98" t="s">
        <v>37</v>
      </c>
      <c r="Q49" s="98"/>
      <c r="R49" s="69"/>
      <c r="S49" s="68">
        <v>23</v>
      </c>
      <c r="T49" s="103" t="s">
        <v>38</v>
      </c>
      <c r="U49" s="104"/>
      <c r="V49" s="69"/>
      <c r="W49" s="68">
        <v>24</v>
      </c>
      <c r="X49" s="98" t="s">
        <v>39</v>
      </c>
      <c r="Y49" s="98"/>
      <c r="AA49" s="102"/>
      <c r="AG49" s="5" t="str">
        <f>P109</f>
        <v>Intereses por pagar</v>
      </c>
      <c r="AH49" s="41">
        <f>P121</f>
        <v>0</v>
      </c>
      <c r="AI49" s="41">
        <f>Q121</f>
        <v>0</v>
      </c>
    </row>
    <row r="50" spans="1:35" x14ac:dyDescent="0.25">
      <c r="A50" s="97"/>
      <c r="C50" s="70"/>
      <c r="D50" s="85"/>
      <c r="E50" s="86"/>
      <c r="F50" s="71"/>
      <c r="G50" s="70"/>
      <c r="H50" s="85"/>
      <c r="I50" s="86"/>
      <c r="J50" s="71"/>
      <c r="K50" s="70"/>
      <c r="L50" s="85"/>
      <c r="M50" s="92"/>
      <c r="N50" s="71"/>
      <c r="O50" s="70"/>
      <c r="P50" s="85"/>
      <c r="Q50" s="86"/>
      <c r="R50" s="71"/>
      <c r="S50" s="70"/>
      <c r="T50" s="85"/>
      <c r="U50" s="92"/>
      <c r="V50" s="71"/>
      <c r="W50" s="70"/>
      <c r="X50" s="85"/>
      <c r="Y50" s="86"/>
      <c r="AA50" s="102"/>
      <c r="AG50" s="5" t="str">
        <f>T109</f>
        <v xml:space="preserve">Perdidadas y ganancias </v>
      </c>
      <c r="AH50" s="41">
        <f>T121</f>
        <v>0</v>
      </c>
      <c r="AI50" s="41">
        <f>U121</f>
        <v>0</v>
      </c>
    </row>
    <row r="51" spans="1:35" x14ac:dyDescent="0.25">
      <c r="A51" s="97"/>
      <c r="C51" s="71"/>
      <c r="D51" s="72"/>
      <c r="E51" s="71"/>
      <c r="F51" s="71"/>
      <c r="G51" s="71"/>
      <c r="H51" s="72"/>
      <c r="I51" s="71"/>
      <c r="J51" s="71"/>
      <c r="K51" s="71"/>
      <c r="L51" s="72"/>
      <c r="M51" s="75"/>
      <c r="N51" s="71"/>
      <c r="O51" s="71"/>
      <c r="P51" s="72"/>
      <c r="Q51" s="71"/>
      <c r="R51" s="71"/>
      <c r="S51" s="71"/>
      <c r="T51" s="72"/>
      <c r="U51" s="75"/>
      <c r="V51" s="71"/>
      <c r="W51" s="71"/>
      <c r="X51" s="72"/>
      <c r="Y51" s="71"/>
      <c r="AA51" s="102"/>
      <c r="AG51" s="5" t="str">
        <f>X109</f>
        <v>Utilidad del ejercicio actual</v>
      </c>
      <c r="AH51" s="41">
        <f>X121</f>
        <v>0</v>
      </c>
      <c r="AI51" s="41">
        <f>Y121</f>
        <v>0</v>
      </c>
    </row>
    <row r="52" spans="1:35" x14ac:dyDescent="0.25">
      <c r="A52" s="97"/>
      <c r="C52" s="71"/>
      <c r="D52" s="72"/>
      <c r="E52" s="71"/>
      <c r="F52" s="71"/>
      <c r="G52" s="71"/>
      <c r="H52" s="72"/>
      <c r="I52" s="71"/>
      <c r="J52" s="71"/>
      <c r="K52" s="71"/>
      <c r="L52" s="72"/>
      <c r="M52" s="71"/>
      <c r="N52" s="71"/>
      <c r="O52" s="71"/>
      <c r="P52" s="72"/>
      <c r="Q52" s="71"/>
      <c r="R52" s="71"/>
      <c r="S52" s="71"/>
      <c r="T52" s="72"/>
      <c r="U52" s="74"/>
      <c r="V52" s="71"/>
      <c r="W52" s="71"/>
      <c r="X52" s="72"/>
      <c r="Y52" s="71"/>
      <c r="AA52" s="102"/>
    </row>
    <row r="53" spans="1:35" x14ac:dyDescent="0.25">
      <c r="A53" s="97"/>
      <c r="C53" s="71"/>
      <c r="D53" s="72"/>
      <c r="E53" s="71"/>
      <c r="F53" s="71"/>
      <c r="G53" s="71"/>
      <c r="H53" s="72"/>
      <c r="I53" s="71"/>
      <c r="J53" s="71"/>
      <c r="K53" s="71"/>
      <c r="L53" s="72"/>
      <c r="M53" s="71"/>
      <c r="N53" s="71"/>
      <c r="O53" s="71"/>
      <c r="P53" s="72"/>
      <c r="Q53" s="71"/>
      <c r="R53" s="71"/>
      <c r="S53" s="71"/>
      <c r="T53" s="72"/>
      <c r="U53" s="71"/>
      <c r="V53" s="71"/>
      <c r="W53" s="71"/>
      <c r="X53" s="72"/>
      <c r="Y53" s="71"/>
      <c r="AA53" s="102"/>
    </row>
    <row r="54" spans="1:35" x14ac:dyDescent="0.25">
      <c r="A54" s="97"/>
      <c r="C54" s="71"/>
      <c r="D54" s="72"/>
      <c r="E54" s="71"/>
      <c r="F54" s="71"/>
      <c r="G54" s="71"/>
      <c r="H54" s="72"/>
      <c r="I54" s="71"/>
      <c r="J54" s="71"/>
      <c r="K54" s="71"/>
      <c r="L54" s="72"/>
      <c r="M54" s="71"/>
      <c r="N54" s="71"/>
      <c r="O54" s="71"/>
      <c r="P54" s="72"/>
      <c r="Q54" s="71"/>
      <c r="R54" s="71"/>
      <c r="S54" s="71"/>
      <c r="T54" s="72"/>
      <c r="U54" s="71"/>
      <c r="V54" s="71"/>
      <c r="W54" s="71"/>
      <c r="X54" s="72"/>
      <c r="Y54" s="71"/>
      <c r="AA54" s="102"/>
    </row>
    <row r="55" spans="1:35" x14ac:dyDescent="0.25">
      <c r="A55" s="97"/>
      <c r="C55" s="71"/>
      <c r="D55" s="72"/>
      <c r="E55" s="71"/>
      <c r="F55" s="71"/>
      <c r="G55" s="71"/>
      <c r="H55" s="72"/>
      <c r="I55" s="71"/>
      <c r="J55" s="71"/>
      <c r="K55" s="71"/>
      <c r="L55" s="72"/>
      <c r="M55" s="71"/>
      <c r="N55" s="71"/>
      <c r="O55" s="71"/>
      <c r="P55" s="72"/>
      <c r="Q55" s="71"/>
      <c r="R55" s="71"/>
      <c r="S55" s="71"/>
      <c r="T55" s="72"/>
      <c r="U55" s="71"/>
      <c r="V55" s="71"/>
      <c r="W55" s="71"/>
      <c r="X55" s="72"/>
      <c r="Y55" s="71"/>
      <c r="AA55" s="102"/>
    </row>
    <row r="56" spans="1:35" x14ac:dyDescent="0.25">
      <c r="A56" s="97"/>
      <c r="C56" s="71"/>
      <c r="D56" s="72"/>
      <c r="E56" s="71"/>
      <c r="F56" s="71"/>
      <c r="G56" s="71"/>
      <c r="H56" s="72"/>
      <c r="I56" s="71"/>
      <c r="J56" s="71"/>
      <c r="K56" s="71"/>
      <c r="L56" s="72"/>
      <c r="M56" s="71"/>
      <c r="N56" s="71"/>
      <c r="O56" s="71"/>
      <c r="P56" s="72"/>
      <c r="Q56" s="71"/>
      <c r="R56" s="71"/>
      <c r="S56" s="71"/>
      <c r="T56" s="72"/>
      <c r="U56" s="71"/>
      <c r="V56" s="71"/>
      <c r="W56" s="71"/>
      <c r="X56" s="72"/>
      <c r="Y56" s="71"/>
      <c r="AA56" s="102"/>
    </row>
    <row r="57" spans="1:35" x14ac:dyDescent="0.25">
      <c r="A57" s="97"/>
      <c r="C57" s="71"/>
      <c r="D57" s="72"/>
      <c r="E57" s="71"/>
      <c r="F57" s="71"/>
      <c r="G57" s="71"/>
      <c r="H57" s="72"/>
      <c r="I57" s="71"/>
      <c r="J57" s="71"/>
      <c r="K57" s="71"/>
      <c r="L57" s="72"/>
      <c r="M57" s="71"/>
      <c r="N57" s="71"/>
      <c r="O57" s="71"/>
      <c r="P57" s="72"/>
      <c r="Q57" s="71"/>
      <c r="R57" s="71"/>
      <c r="S57" s="71"/>
      <c r="T57" s="72"/>
      <c r="U57" s="71"/>
      <c r="V57" s="71"/>
      <c r="W57" s="71"/>
      <c r="X57" s="72"/>
      <c r="Y57" s="71"/>
      <c r="AA57" s="102"/>
    </row>
    <row r="58" spans="1:35" x14ac:dyDescent="0.25">
      <c r="A58" s="97"/>
      <c r="C58" s="71"/>
      <c r="D58" s="72"/>
      <c r="E58" s="71"/>
      <c r="F58" s="71"/>
      <c r="G58" s="71"/>
      <c r="H58" s="72"/>
      <c r="I58" s="71"/>
      <c r="J58" s="71"/>
      <c r="K58" s="71"/>
      <c r="L58" s="72"/>
      <c r="M58" s="71"/>
      <c r="N58" s="71"/>
      <c r="O58" s="71"/>
      <c r="P58" s="72"/>
      <c r="Q58" s="71"/>
      <c r="R58" s="71"/>
      <c r="S58" s="71"/>
      <c r="T58" s="72"/>
      <c r="U58" s="71"/>
      <c r="V58" s="71"/>
      <c r="W58" s="71"/>
      <c r="X58" s="72"/>
      <c r="Y58" s="71"/>
      <c r="AA58" s="102"/>
    </row>
    <row r="59" spans="1:35" x14ac:dyDescent="0.25">
      <c r="A59" s="97"/>
      <c r="C59" s="71"/>
      <c r="D59" s="72"/>
      <c r="E59" s="71"/>
      <c r="F59" s="71"/>
      <c r="G59" s="71"/>
      <c r="H59" s="72"/>
      <c r="I59" s="71"/>
      <c r="J59" s="71"/>
      <c r="K59" s="71"/>
      <c r="L59" s="72"/>
      <c r="M59" s="71"/>
      <c r="N59" s="71"/>
      <c r="O59" s="71"/>
      <c r="P59" s="72"/>
      <c r="Q59" s="71"/>
      <c r="R59" s="71"/>
      <c r="S59" s="71"/>
      <c r="T59" s="72"/>
      <c r="U59" s="71"/>
      <c r="V59" s="71"/>
      <c r="W59" s="71"/>
      <c r="X59" s="72"/>
      <c r="Y59" s="71"/>
      <c r="AA59" s="102"/>
    </row>
    <row r="60" spans="1:35" ht="15.75" thickBot="1" x14ac:dyDescent="0.3">
      <c r="A60" s="97"/>
      <c r="C60" s="71"/>
      <c r="D60" s="73"/>
      <c r="E60" s="73"/>
      <c r="F60" s="71"/>
      <c r="G60" s="71"/>
      <c r="H60" s="73"/>
      <c r="I60" s="73"/>
      <c r="J60" s="71"/>
      <c r="K60" s="71"/>
      <c r="L60" s="73"/>
      <c r="M60" s="73"/>
      <c r="N60" s="71"/>
      <c r="O60" s="71"/>
      <c r="P60" s="73"/>
      <c r="Q60" s="73"/>
      <c r="R60" s="71"/>
      <c r="S60" s="71"/>
      <c r="T60" s="73"/>
      <c r="U60" s="73"/>
      <c r="V60" s="71"/>
      <c r="W60" s="71"/>
      <c r="X60" s="73"/>
      <c r="Y60" s="73"/>
      <c r="AA60" s="102"/>
    </row>
    <row r="61" spans="1:35" x14ac:dyDescent="0.25">
      <c r="A61" s="97"/>
      <c r="C61" s="71"/>
      <c r="D61" s="72">
        <f>SUM(D51:D59)</f>
        <v>0</v>
      </c>
      <c r="E61" s="71">
        <f>SUM(E51:E59)</f>
        <v>0</v>
      </c>
      <c r="F61" s="71"/>
      <c r="G61" s="71"/>
      <c r="H61" s="72">
        <f t="shared" ref="H61:I61" si="14">SUM(H51:H59)</f>
        <v>0</v>
      </c>
      <c r="I61" s="71">
        <f t="shared" si="14"/>
        <v>0</v>
      </c>
      <c r="J61" s="71"/>
      <c r="K61" s="71"/>
      <c r="L61" s="72">
        <f t="shared" ref="L61:M61" si="15">SUM(L51:L59)</f>
        <v>0</v>
      </c>
      <c r="M61" s="71">
        <f t="shared" si="15"/>
        <v>0</v>
      </c>
      <c r="N61" s="71"/>
      <c r="O61" s="71"/>
      <c r="P61" s="72">
        <f t="shared" ref="P61:Q61" si="16">SUM(P51:P59)</f>
        <v>0</v>
      </c>
      <c r="Q61" s="71">
        <f t="shared" si="16"/>
        <v>0</v>
      </c>
      <c r="R61" s="71"/>
      <c r="S61" s="71"/>
      <c r="T61" s="72">
        <f t="shared" ref="T61:U61" si="17">SUM(T51:T59)</f>
        <v>0</v>
      </c>
      <c r="U61" s="71">
        <f t="shared" si="17"/>
        <v>0</v>
      </c>
      <c r="V61" s="71"/>
      <c r="W61" s="71"/>
      <c r="X61" s="72">
        <f t="shared" ref="X61:Y61" si="18">SUM(X51:X59)</f>
        <v>0</v>
      </c>
      <c r="Y61" s="71">
        <f t="shared" si="18"/>
        <v>0</v>
      </c>
      <c r="AA61" s="102"/>
    </row>
    <row r="62" spans="1:35" x14ac:dyDescent="0.25">
      <c r="A62" s="9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AA62" s="102"/>
    </row>
    <row r="63" spans="1:35" x14ac:dyDescent="0.25">
      <c r="A63" s="9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AA63" s="102"/>
    </row>
    <row r="64" spans="1:35" x14ac:dyDescent="0.25">
      <c r="A64" s="97"/>
      <c r="C64" s="68">
        <v>25</v>
      </c>
      <c r="D64" s="98" t="s">
        <v>40</v>
      </c>
      <c r="E64" s="98"/>
      <c r="F64" s="69"/>
      <c r="G64" s="68">
        <v>26</v>
      </c>
      <c r="H64" s="98" t="s">
        <v>41</v>
      </c>
      <c r="I64" s="98"/>
      <c r="J64" s="69"/>
      <c r="K64" s="68">
        <v>27</v>
      </c>
      <c r="L64" s="98" t="s">
        <v>42</v>
      </c>
      <c r="M64" s="98"/>
      <c r="N64" s="69"/>
      <c r="O64" s="68">
        <v>28</v>
      </c>
      <c r="P64" s="100" t="s">
        <v>43</v>
      </c>
      <c r="Q64" s="100"/>
      <c r="R64" s="69"/>
      <c r="S64" s="68">
        <v>29</v>
      </c>
      <c r="T64" s="100" t="s">
        <v>81</v>
      </c>
      <c r="U64" s="100"/>
      <c r="V64" s="69"/>
      <c r="W64" s="68">
        <v>30</v>
      </c>
      <c r="X64" s="100" t="s">
        <v>45</v>
      </c>
      <c r="Y64" s="100"/>
      <c r="AA64" s="102"/>
    </row>
    <row r="65" spans="1:27" x14ac:dyDescent="0.25">
      <c r="A65" s="97"/>
      <c r="C65" s="70"/>
      <c r="D65" s="85"/>
      <c r="E65" s="86"/>
      <c r="F65" s="71"/>
      <c r="G65" s="70"/>
      <c r="H65" s="85"/>
      <c r="I65" s="86"/>
      <c r="J65" s="71"/>
      <c r="K65" s="70"/>
      <c r="L65" s="85"/>
      <c r="M65" s="86"/>
      <c r="N65" s="71"/>
      <c r="O65" s="70"/>
      <c r="P65" s="85"/>
      <c r="Q65" s="86"/>
      <c r="R65" s="71"/>
      <c r="S65" s="70"/>
      <c r="T65" s="85"/>
      <c r="U65" s="86"/>
      <c r="V65" s="71"/>
      <c r="W65" s="70"/>
      <c r="X65" s="85"/>
      <c r="Y65" s="86"/>
      <c r="AA65" s="102"/>
    </row>
    <row r="66" spans="1:27" x14ac:dyDescent="0.25">
      <c r="A66" s="97"/>
      <c r="C66" s="71"/>
      <c r="D66" s="72"/>
      <c r="E66" s="71"/>
      <c r="F66" s="71"/>
      <c r="G66" s="71"/>
      <c r="H66" s="72"/>
      <c r="I66" s="71"/>
      <c r="J66" s="71"/>
      <c r="K66" s="71"/>
      <c r="L66" s="72"/>
      <c r="M66" s="71"/>
      <c r="N66" s="71"/>
      <c r="O66" s="71"/>
      <c r="P66" s="72"/>
      <c r="Q66" s="71"/>
      <c r="R66" s="71"/>
      <c r="S66" s="71"/>
      <c r="T66" s="72"/>
      <c r="U66" s="71"/>
      <c r="V66" s="71"/>
      <c r="W66" s="71"/>
      <c r="X66" s="72"/>
      <c r="Y66" s="71"/>
      <c r="AA66" s="102"/>
    </row>
    <row r="67" spans="1:27" x14ac:dyDescent="0.25">
      <c r="A67" s="97"/>
      <c r="C67" s="71"/>
      <c r="D67" s="72"/>
      <c r="E67" s="71"/>
      <c r="F67" s="71"/>
      <c r="G67" s="71"/>
      <c r="H67" s="72"/>
      <c r="I67" s="71"/>
      <c r="J67" s="71"/>
      <c r="K67" s="71"/>
      <c r="L67" s="72"/>
      <c r="M67" s="71"/>
      <c r="N67" s="71"/>
      <c r="O67" s="71"/>
      <c r="P67" s="72"/>
      <c r="Q67" s="71"/>
      <c r="R67" s="71"/>
      <c r="S67" s="71"/>
      <c r="T67" s="72"/>
      <c r="U67" s="71"/>
      <c r="V67" s="71"/>
      <c r="W67" s="71"/>
      <c r="X67" s="72"/>
      <c r="Y67" s="71"/>
      <c r="AA67" s="102"/>
    </row>
    <row r="68" spans="1:27" x14ac:dyDescent="0.25">
      <c r="A68" s="97"/>
      <c r="C68" s="71"/>
      <c r="D68" s="72"/>
      <c r="E68" s="71"/>
      <c r="F68" s="71"/>
      <c r="G68" s="71"/>
      <c r="H68" s="72"/>
      <c r="I68" s="71"/>
      <c r="J68" s="71"/>
      <c r="K68" s="71"/>
      <c r="L68" s="72"/>
      <c r="M68" s="71"/>
      <c r="N68" s="71"/>
      <c r="O68" s="71"/>
      <c r="P68" s="72"/>
      <c r="Q68" s="71"/>
      <c r="R68" s="71"/>
      <c r="S68" s="71"/>
      <c r="T68" s="72"/>
      <c r="U68" s="71"/>
      <c r="V68" s="71"/>
      <c r="W68" s="71"/>
      <c r="X68" s="72"/>
      <c r="Y68" s="71"/>
      <c r="AA68" s="102"/>
    </row>
    <row r="69" spans="1:27" x14ac:dyDescent="0.25">
      <c r="A69" s="97"/>
      <c r="C69" s="71"/>
      <c r="D69" s="72"/>
      <c r="E69" s="71"/>
      <c r="F69" s="71"/>
      <c r="G69" s="71"/>
      <c r="H69" s="72"/>
      <c r="I69" s="71"/>
      <c r="J69" s="71"/>
      <c r="K69" s="71"/>
      <c r="L69" s="72"/>
      <c r="M69" s="71"/>
      <c r="N69" s="71"/>
      <c r="O69" s="71"/>
      <c r="P69" s="72"/>
      <c r="Q69" s="71"/>
      <c r="R69" s="71"/>
      <c r="S69" s="71"/>
      <c r="T69" s="72"/>
      <c r="U69" s="71"/>
      <c r="V69" s="71"/>
      <c r="W69" s="71"/>
      <c r="X69" s="72"/>
      <c r="Y69" s="71"/>
      <c r="AA69" s="102"/>
    </row>
    <row r="70" spans="1:27" x14ac:dyDescent="0.25">
      <c r="A70" s="97"/>
      <c r="C70" s="71"/>
      <c r="D70" s="72"/>
      <c r="E70" s="71"/>
      <c r="F70" s="71"/>
      <c r="G70" s="71"/>
      <c r="H70" s="72"/>
      <c r="I70" s="71"/>
      <c r="J70" s="71"/>
      <c r="K70" s="71"/>
      <c r="L70" s="72"/>
      <c r="M70" s="71"/>
      <c r="N70" s="71"/>
      <c r="O70" s="71"/>
      <c r="P70" s="72"/>
      <c r="Q70" s="71"/>
      <c r="R70" s="71"/>
      <c r="S70" s="71"/>
      <c r="T70" s="72"/>
      <c r="U70" s="71"/>
      <c r="V70" s="71"/>
      <c r="W70" s="71"/>
      <c r="X70" s="72"/>
      <c r="Y70" s="71"/>
      <c r="AA70" s="102"/>
    </row>
    <row r="71" spans="1:27" x14ac:dyDescent="0.25">
      <c r="A71" s="97"/>
      <c r="C71" s="71"/>
      <c r="D71" s="72"/>
      <c r="E71" s="71"/>
      <c r="F71" s="71"/>
      <c r="G71" s="71"/>
      <c r="H71" s="72"/>
      <c r="I71" s="71"/>
      <c r="J71" s="71"/>
      <c r="K71" s="71"/>
      <c r="L71" s="72"/>
      <c r="M71" s="71"/>
      <c r="N71" s="71"/>
      <c r="O71" s="71"/>
      <c r="P71" s="72"/>
      <c r="Q71" s="71"/>
      <c r="R71" s="71"/>
      <c r="S71" s="71"/>
      <c r="T71" s="72"/>
      <c r="U71" s="71"/>
      <c r="V71" s="71"/>
      <c r="W71" s="71"/>
      <c r="X71" s="72"/>
      <c r="Y71" s="71"/>
      <c r="AA71" s="102"/>
    </row>
    <row r="72" spans="1:27" x14ac:dyDescent="0.25">
      <c r="A72" s="97"/>
      <c r="C72" s="71"/>
      <c r="D72" s="72"/>
      <c r="E72" s="71"/>
      <c r="F72" s="71"/>
      <c r="G72" s="71"/>
      <c r="H72" s="72"/>
      <c r="I72" s="71"/>
      <c r="J72" s="71"/>
      <c r="K72" s="71"/>
      <c r="L72" s="72"/>
      <c r="M72" s="71"/>
      <c r="N72" s="71"/>
      <c r="O72" s="71"/>
      <c r="P72" s="72"/>
      <c r="Q72" s="71"/>
      <c r="R72" s="71"/>
      <c r="S72" s="71"/>
      <c r="T72" s="72"/>
      <c r="U72" s="71"/>
      <c r="V72" s="71"/>
      <c r="W72" s="71"/>
      <c r="X72" s="72"/>
      <c r="Y72" s="71"/>
      <c r="AA72" s="102"/>
    </row>
    <row r="73" spans="1:27" x14ac:dyDescent="0.25">
      <c r="A73" s="97"/>
      <c r="C73" s="71"/>
      <c r="D73" s="72"/>
      <c r="E73" s="71"/>
      <c r="F73" s="71"/>
      <c r="G73" s="71"/>
      <c r="H73" s="72"/>
      <c r="I73" s="71"/>
      <c r="J73" s="71"/>
      <c r="K73" s="71"/>
      <c r="L73" s="72"/>
      <c r="M73" s="71"/>
      <c r="N73" s="71"/>
      <c r="O73" s="71"/>
      <c r="P73" s="72"/>
      <c r="Q73" s="71"/>
      <c r="R73" s="71"/>
      <c r="S73" s="71"/>
      <c r="T73" s="72"/>
      <c r="U73" s="71"/>
      <c r="V73" s="71"/>
      <c r="W73" s="71"/>
      <c r="X73" s="72"/>
      <c r="Y73" s="71"/>
      <c r="AA73" s="102"/>
    </row>
    <row r="74" spans="1:27" x14ac:dyDescent="0.25">
      <c r="A74" s="97"/>
      <c r="C74" s="71"/>
      <c r="D74" s="72"/>
      <c r="E74" s="71"/>
      <c r="F74" s="71"/>
      <c r="G74" s="71"/>
      <c r="H74" s="72"/>
      <c r="I74" s="71"/>
      <c r="J74" s="71"/>
      <c r="K74" s="71"/>
      <c r="L74" s="72"/>
      <c r="M74" s="71"/>
      <c r="N74" s="71"/>
      <c r="O74" s="71"/>
      <c r="P74" s="72"/>
      <c r="Q74" s="71"/>
      <c r="R74" s="71"/>
      <c r="S74" s="71"/>
      <c r="T74" s="72"/>
      <c r="U74" s="71"/>
      <c r="V74" s="71"/>
      <c r="W74" s="71"/>
      <c r="X74" s="72"/>
      <c r="Y74" s="71"/>
      <c r="AA74" s="102"/>
    </row>
    <row r="75" spans="1:27" ht="15.75" thickBot="1" x14ac:dyDescent="0.3">
      <c r="A75" s="97"/>
      <c r="C75" s="71"/>
      <c r="D75" s="73"/>
      <c r="E75" s="73"/>
      <c r="F75" s="71"/>
      <c r="G75" s="71"/>
      <c r="H75" s="73"/>
      <c r="I75" s="73"/>
      <c r="J75" s="71"/>
      <c r="K75" s="71"/>
      <c r="L75" s="73"/>
      <c r="M75" s="73"/>
      <c r="N75" s="71"/>
      <c r="O75" s="71"/>
      <c r="P75" s="73"/>
      <c r="Q75" s="73"/>
      <c r="R75" s="71"/>
      <c r="S75" s="71"/>
      <c r="T75" s="73"/>
      <c r="U75" s="73"/>
      <c r="V75" s="71"/>
      <c r="W75" s="71"/>
      <c r="X75" s="73"/>
      <c r="Y75" s="73"/>
      <c r="AA75" s="102"/>
    </row>
    <row r="76" spans="1:27" x14ac:dyDescent="0.25">
      <c r="A76" s="97"/>
      <c r="C76" s="71"/>
      <c r="D76" s="72">
        <f>SUM(D66:D74)</f>
        <v>0</v>
      </c>
      <c r="E76" s="71">
        <f>SUM(E66:E74)</f>
        <v>0</v>
      </c>
      <c r="F76" s="71"/>
      <c r="G76" s="71"/>
      <c r="H76" s="72">
        <f t="shared" ref="H76:I76" si="19">SUM(H66:H74)</f>
        <v>0</v>
      </c>
      <c r="I76" s="71">
        <f t="shared" si="19"/>
        <v>0</v>
      </c>
      <c r="J76" s="71"/>
      <c r="K76" s="71"/>
      <c r="L76" s="72">
        <f t="shared" ref="L76:M76" si="20">SUM(L66:L74)</f>
        <v>0</v>
      </c>
      <c r="M76" s="71">
        <f t="shared" si="20"/>
        <v>0</v>
      </c>
      <c r="N76" s="71"/>
      <c r="O76" s="71"/>
      <c r="P76" s="72">
        <f t="shared" ref="P76:Q76" si="21">SUM(P66:P74)</f>
        <v>0</v>
      </c>
      <c r="Q76" s="71">
        <f t="shared" si="21"/>
        <v>0</v>
      </c>
      <c r="R76" s="71"/>
      <c r="S76" s="71"/>
      <c r="T76" s="72">
        <f t="shared" ref="T76:U76" si="22">SUM(T66:T74)</f>
        <v>0</v>
      </c>
      <c r="U76" s="71">
        <f t="shared" si="22"/>
        <v>0</v>
      </c>
      <c r="V76" s="71"/>
      <c r="W76" s="71"/>
      <c r="X76" s="72">
        <f t="shared" ref="X76:Y76" si="23">SUM(X66:X74)</f>
        <v>0</v>
      </c>
      <c r="Y76" s="71">
        <f t="shared" si="23"/>
        <v>0</v>
      </c>
      <c r="AA76" s="102"/>
    </row>
    <row r="77" spans="1:27" x14ac:dyDescent="0.25">
      <c r="A77" s="9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AA77" s="102"/>
    </row>
    <row r="78" spans="1:27" x14ac:dyDescent="0.25">
      <c r="A78" s="9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AA78" s="102"/>
    </row>
    <row r="79" spans="1:27" x14ac:dyDescent="0.25">
      <c r="A79" s="97"/>
      <c r="C79" s="69">
        <v>31</v>
      </c>
      <c r="D79" s="100" t="s">
        <v>46</v>
      </c>
      <c r="E79" s="100"/>
      <c r="F79" s="69"/>
      <c r="G79" s="69">
        <v>32</v>
      </c>
      <c r="H79" s="100" t="s">
        <v>47</v>
      </c>
      <c r="I79" s="100"/>
      <c r="J79" s="69"/>
      <c r="K79" s="69">
        <v>33</v>
      </c>
      <c r="L79" s="100" t="s">
        <v>48</v>
      </c>
      <c r="M79" s="100"/>
      <c r="N79" s="69"/>
      <c r="O79" s="69">
        <v>34</v>
      </c>
      <c r="P79" s="100" t="s">
        <v>82</v>
      </c>
      <c r="Q79" s="100"/>
      <c r="R79" s="69"/>
      <c r="S79" s="69">
        <v>35</v>
      </c>
      <c r="T79" s="100" t="s">
        <v>83</v>
      </c>
      <c r="U79" s="100"/>
      <c r="V79" s="69"/>
      <c r="W79" s="69">
        <v>36</v>
      </c>
      <c r="X79" s="100" t="s">
        <v>49</v>
      </c>
      <c r="Y79" s="100"/>
      <c r="AA79" s="102"/>
    </row>
    <row r="80" spans="1:27" x14ac:dyDescent="0.25">
      <c r="A80" s="97"/>
      <c r="C80" s="70"/>
      <c r="D80" s="85"/>
      <c r="E80" s="86"/>
      <c r="F80" s="71"/>
      <c r="G80" s="70"/>
      <c r="H80" s="85"/>
      <c r="I80" s="86"/>
      <c r="J80" s="71"/>
      <c r="K80" s="70"/>
      <c r="L80" s="85"/>
      <c r="M80" s="86"/>
      <c r="N80" s="71"/>
      <c r="O80" s="70"/>
      <c r="P80" s="85"/>
      <c r="Q80" s="86"/>
      <c r="R80" s="71"/>
      <c r="S80" s="70"/>
      <c r="T80" s="85"/>
      <c r="U80" s="86"/>
      <c r="V80" s="71"/>
      <c r="W80" s="70"/>
      <c r="X80" s="85"/>
      <c r="Y80" s="86"/>
      <c r="AA80" s="102"/>
    </row>
    <row r="81" spans="1:27" x14ac:dyDescent="0.25">
      <c r="A81" s="97"/>
      <c r="C81" s="71"/>
      <c r="D81" s="75"/>
      <c r="E81" s="93"/>
      <c r="F81" s="71"/>
      <c r="G81" s="71"/>
      <c r="H81" s="72"/>
      <c r="I81" s="71"/>
      <c r="J81" s="71"/>
      <c r="K81" s="71"/>
      <c r="L81" s="72"/>
      <c r="M81" s="71"/>
      <c r="N81" s="71"/>
      <c r="O81" s="71"/>
      <c r="P81" s="72"/>
      <c r="Q81" s="71"/>
      <c r="R81" s="71"/>
      <c r="S81" s="71"/>
      <c r="T81" s="72"/>
      <c r="U81" s="71"/>
      <c r="V81" s="71"/>
      <c r="W81" s="71"/>
      <c r="X81" s="72"/>
      <c r="Y81" s="71"/>
      <c r="AA81" s="102"/>
    </row>
    <row r="82" spans="1:27" x14ac:dyDescent="0.25">
      <c r="A82" s="97"/>
      <c r="C82" s="71"/>
      <c r="D82" s="72"/>
      <c r="E82" s="71"/>
      <c r="F82" s="71"/>
      <c r="G82" s="71"/>
      <c r="H82" s="72"/>
      <c r="I82" s="71"/>
      <c r="J82" s="71"/>
      <c r="K82" s="71"/>
      <c r="L82" s="72"/>
      <c r="M82" s="71"/>
      <c r="N82" s="71"/>
      <c r="O82" s="71"/>
      <c r="P82" s="72"/>
      <c r="Q82" s="71"/>
      <c r="R82" s="71"/>
      <c r="S82" s="71"/>
      <c r="T82" s="72"/>
      <c r="U82" s="71"/>
      <c r="V82" s="71"/>
      <c r="W82" s="71"/>
      <c r="X82" s="72"/>
      <c r="Y82" s="71"/>
      <c r="AA82" s="102"/>
    </row>
    <row r="83" spans="1:27" x14ac:dyDescent="0.25">
      <c r="A83" s="97"/>
      <c r="C83" s="71"/>
      <c r="D83" s="72"/>
      <c r="E83" s="71"/>
      <c r="F83" s="71"/>
      <c r="G83" s="71"/>
      <c r="H83" s="72"/>
      <c r="I83" s="71"/>
      <c r="J83" s="71"/>
      <c r="K83" s="71"/>
      <c r="L83" s="72"/>
      <c r="M83" s="71"/>
      <c r="N83" s="71"/>
      <c r="O83" s="71"/>
      <c r="P83" s="72"/>
      <c r="Q83" s="71"/>
      <c r="R83" s="71"/>
      <c r="S83" s="71"/>
      <c r="T83" s="72"/>
      <c r="U83" s="71"/>
      <c r="V83" s="71"/>
      <c r="W83" s="71"/>
      <c r="X83" s="72"/>
      <c r="Y83" s="71"/>
      <c r="AA83" s="102"/>
    </row>
    <row r="84" spans="1:27" x14ac:dyDescent="0.25">
      <c r="A84" s="97"/>
      <c r="C84" s="71"/>
      <c r="D84" s="72"/>
      <c r="E84" s="71"/>
      <c r="F84" s="71"/>
      <c r="G84" s="71"/>
      <c r="H84" s="72"/>
      <c r="I84" s="71"/>
      <c r="J84" s="71"/>
      <c r="K84" s="71"/>
      <c r="L84" s="72"/>
      <c r="M84" s="71"/>
      <c r="N84" s="71"/>
      <c r="O84" s="71"/>
      <c r="P84" s="72"/>
      <c r="Q84" s="71"/>
      <c r="R84" s="71"/>
      <c r="S84" s="71"/>
      <c r="T84" s="72"/>
      <c r="U84" s="71"/>
      <c r="V84" s="71"/>
      <c r="W84" s="71"/>
      <c r="X84" s="72"/>
      <c r="Y84" s="71"/>
      <c r="AA84" s="102"/>
    </row>
    <row r="85" spans="1:27" x14ac:dyDescent="0.25">
      <c r="A85" s="97"/>
      <c r="C85" s="71"/>
      <c r="D85" s="72"/>
      <c r="E85" s="71"/>
      <c r="F85" s="71"/>
      <c r="G85" s="71"/>
      <c r="H85" s="72"/>
      <c r="I85" s="71"/>
      <c r="J85" s="71"/>
      <c r="K85" s="71"/>
      <c r="L85" s="72"/>
      <c r="M85" s="71"/>
      <c r="N85" s="71"/>
      <c r="O85" s="71"/>
      <c r="P85" s="72"/>
      <c r="Q85" s="71"/>
      <c r="R85" s="71"/>
      <c r="S85" s="71"/>
      <c r="T85" s="72"/>
      <c r="U85" s="71"/>
      <c r="V85" s="71"/>
      <c r="W85" s="71"/>
      <c r="X85" s="72"/>
      <c r="Y85" s="71"/>
      <c r="AA85" s="102"/>
    </row>
    <row r="86" spans="1:27" x14ac:dyDescent="0.25">
      <c r="A86" s="97"/>
      <c r="C86" s="71"/>
      <c r="D86" s="72"/>
      <c r="E86" s="71"/>
      <c r="F86" s="71"/>
      <c r="G86" s="71"/>
      <c r="H86" s="72"/>
      <c r="I86" s="71"/>
      <c r="J86" s="71"/>
      <c r="K86" s="71"/>
      <c r="L86" s="72"/>
      <c r="M86" s="71"/>
      <c r="N86" s="71"/>
      <c r="O86" s="71"/>
      <c r="P86" s="72"/>
      <c r="Q86" s="71"/>
      <c r="R86" s="71"/>
      <c r="S86" s="71"/>
      <c r="T86" s="72"/>
      <c r="U86" s="71"/>
      <c r="V86" s="71"/>
      <c r="W86" s="71"/>
      <c r="X86" s="72"/>
      <c r="Y86" s="71"/>
      <c r="AA86" s="102"/>
    </row>
    <row r="87" spans="1:27" x14ac:dyDescent="0.25">
      <c r="A87" s="97"/>
      <c r="C87" s="71"/>
      <c r="D87" s="72"/>
      <c r="E87" s="71"/>
      <c r="F87" s="71"/>
      <c r="G87" s="71"/>
      <c r="H87" s="72"/>
      <c r="I87" s="71"/>
      <c r="J87" s="71"/>
      <c r="K87" s="71"/>
      <c r="L87" s="72"/>
      <c r="M87" s="71"/>
      <c r="N87" s="71"/>
      <c r="O87" s="71"/>
      <c r="P87" s="72"/>
      <c r="Q87" s="71"/>
      <c r="R87" s="71"/>
      <c r="S87" s="71"/>
      <c r="T87" s="72"/>
      <c r="U87" s="71"/>
      <c r="V87" s="71"/>
      <c r="W87" s="71"/>
      <c r="X87" s="72"/>
      <c r="Y87" s="71"/>
      <c r="AA87" s="102"/>
    </row>
    <row r="88" spans="1:27" x14ac:dyDescent="0.25">
      <c r="A88" s="97"/>
      <c r="C88" s="71"/>
      <c r="D88" s="72"/>
      <c r="E88" s="71"/>
      <c r="F88" s="71"/>
      <c r="G88" s="71"/>
      <c r="H88" s="72"/>
      <c r="I88" s="71"/>
      <c r="J88" s="71"/>
      <c r="K88" s="71"/>
      <c r="L88" s="72"/>
      <c r="M88" s="71"/>
      <c r="N88" s="71"/>
      <c r="O88" s="71"/>
      <c r="P88" s="72"/>
      <c r="Q88" s="71"/>
      <c r="R88" s="71"/>
      <c r="S88" s="71"/>
      <c r="T88" s="72"/>
      <c r="U88" s="71"/>
      <c r="V88" s="71"/>
      <c r="W88" s="71"/>
      <c r="X88" s="72"/>
      <c r="Y88" s="71"/>
      <c r="AA88" s="102"/>
    </row>
    <row r="89" spans="1:27" x14ac:dyDescent="0.25">
      <c r="A89" s="97"/>
      <c r="C89" s="71"/>
      <c r="D89" s="72"/>
      <c r="E89" s="71"/>
      <c r="F89" s="71"/>
      <c r="G89" s="71"/>
      <c r="H89" s="72"/>
      <c r="I89" s="71"/>
      <c r="J89" s="71"/>
      <c r="K89" s="71"/>
      <c r="L89" s="72"/>
      <c r="M89" s="71"/>
      <c r="N89" s="71"/>
      <c r="O89" s="71"/>
      <c r="P89" s="72"/>
      <c r="Q89" s="71"/>
      <c r="R89" s="71"/>
      <c r="S89" s="71"/>
      <c r="T89" s="72"/>
      <c r="U89" s="71"/>
      <c r="V89" s="71"/>
      <c r="W89" s="71"/>
      <c r="X89" s="72"/>
      <c r="Y89" s="71"/>
      <c r="AA89" s="102"/>
    </row>
    <row r="90" spans="1:27" ht="15.75" thickBot="1" x14ac:dyDescent="0.3">
      <c r="A90" s="97"/>
      <c r="C90" s="71"/>
      <c r="D90" s="73"/>
      <c r="E90" s="73"/>
      <c r="F90" s="71"/>
      <c r="G90" s="71"/>
      <c r="H90" s="73"/>
      <c r="I90" s="73"/>
      <c r="J90" s="71"/>
      <c r="K90" s="71"/>
      <c r="L90" s="73"/>
      <c r="M90" s="73"/>
      <c r="N90" s="71"/>
      <c r="O90" s="71"/>
      <c r="P90" s="73"/>
      <c r="Q90" s="73"/>
      <c r="R90" s="71"/>
      <c r="S90" s="71"/>
      <c r="T90" s="73"/>
      <c r="U90" s="73"/>
      <c r="V90" s="71"/>
      <c r="W90" s="71"/>
      <c r="X90" s="73"/>
      <c r="Y90" s="73"/>
      <c r="AA90" s="102"/>
    </row>
    <row r="91" spans="1:27" x14ac:dyDescent="0.25">
      <c r="A91" s="97"/>
      <c r="C91" s="71"/>
      <c r="D91" s="72">
        <f>SUM(D81:D89)</f>
        <v>0</v>
      </c>
      <c r="E91" s="71">
        <f>SUM(E81:E89)</f>
        <v>0</v>
      </c>
      <c r="F91" s="71"/>
      <c r="G91" s="71"/>
      <c r="H91" s="72">
        <f t="shared" ref="H91:I91" si="24">SUM(H81:H89)</f>
        <v>0</v>
      </c>
      <c r="I91" s="71">
        <f t="shared" si="24"/>
        <v>0</v>
      </c>
      <c r="J91" s="71"/>
      <c r="K91" s="71"/>
      <c r="L91" s="72">
        <f t="shared" ref="L91:M91" si="25">SUM(L81:L89)</f>
        <v>0</v>
      </c>
      <c r="M91" s="71">
        <f t="shared" si="25"/>
        <v>0</v>
      </c>
      <c r="N91" s="71"/>
      <c r="O91" s="71"/>
      <c r="P91" s="72">
        <f t="shared" ref="P91:Q91" si="26">SUM(P81:P89)</f>
        <v>0</v>
      </c>
      <c r="Q91" s="71">
        <f t="shared" si="26"/>
        <v>0</v>
      </c>
      <c r="R91" s="71"/>
      <c r="S91" s="71"/>
      <c r="T91" s="72">
        <f t="shared" ref="T91:U91" si="27">SUM(T81:T89)</f>
        <v>0</v>
      </c>
      <c r="U91" s="71">
        <f t="shared" si="27"/>
        <v>0</v>
      </c>
      <c r="V91" s="71"/>
      <c r="W91" s="71"/>
      <c r="X91" s="72">
        <f t="shared" ref="X91:Y91" si="28">SUM(X81:X89)</f>
        <v>0</v>
      </c>
      <c r="Y91" s="71">
        <f t="shared" si="28"/>
        <v>0</v>
      </c>
      <c r="AA91" s="102"/>
    </row>
    <row r="92" spans="1:27" x14ac:dyDescent="0.25">
      <c r="A92" s="9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AA92" s="102"/>
    </row>
    <row r="93" spans="1:27" x14ac:dyDescent="0.25">
      <c r="A93" s="9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AA93" s="102"/>
    </row>
    <row r="94" spans="1:27" x14ac:dyDescent="0.25">
      <c r="A94" s="97"/>
      <c r="C94" s="69">
        <v>37</v>
      </c>
      <c r="D94" s="100" t="s">
        <v>84</v>
      </c>
      <c r="E94" s="100"/>
      <c r="F94" s="69"/>
      <c r="G94" s="69">
        <v>38</v>
      </c>
      <c r="H94" s="100" t="s">
        <v>53</v>
      </c>
      <c r="I94" s="100"/>
      <c r="J94" s="69"/>
      <c r="K94" s="69">
        <v>39</v>
      </c>
      <c r="L94" s="100" t="s">
        <v>55</v>
      </c>
      <c r="M94" s="100"/>
      <c r="N94" s="69"/>
      <c r="O94" s="69">
        <v>40</v>
      </c>
      <c r="P94" s="100" t="s">
        <v>56</v>
      </c>
      <c r="Q94" s="100"/>
      <c r="R94" s="69"/>
      <c r="S94" s="69">
        <v>41</v>
      </c>
      <c r="T94" s="100" t="s">
        <v>57</v>
      </c>
      <c r="U94" s="100"/>
      <c r="V94" s="69"/>
      <c r="W94" s="69">
        <v>42</v>
      </c>
      <c r="X94" s="107" t="s">
        <v>91</v>
      </c>
      <c r="Y94" s="107"/>
      <c r="AA94" s="102"/>
    </row>
    <row r="95" spans="1:27" x14ac:dyDescent="0.25">
      <c r="A95" s="97"/>
      <c r="C95" s="78"/>
      <c r="D95" s="85"/>
      <c r="E95" s="86"/>
      <c r="F95" s="71"/>
      <c r="G95" s="70"/>
      <c r="H95" s="85"/>
      <c r="I95" s="86"/>
      <c r="J95" s="71"/>
      <c r="K95" s="70"/>
      <c r="L95" s="85"/>
      <c r="M95" s="86"/>
      <c r="N95" s="71"/>
      <c r="O95" s="70"/>
      <c r="P95" s="85"/>
      <c r="Q95" s="86"/>
      <c r="R95" s="71"/>
      <c r="S95" s="70"/>
      <c r="T95" s="85"/>
      <c r="U95" s="86"/>
      <c r="V95" s="71"/>
      <c r="W95" s="70"/>
      <c r="X95" s="89"/>
      <c r="Y95" s="86"/>
      <c r="AA95" s="102"/>
    </row>
    <row r="96" spans="1:27" x14ac:dyDescent="0.25">
      <c r="A96" s="97"/>
      <c r="C96" s="76"/>
      <c r="D96" s="72"/>
      <c r="E96" s="71"/>
      <c r="F96" s="71"/>
      <c r="G96" s="71"/>
      <c r="H96" s="72"/>
      <c r="I96" s="71"/>
      <c r="J96" s="71"/>
      <c r="K96" s="71"/>
      <c r="L96" s="72"/>
      <c r="M96" s="71"/>
      <c r="N96" s="71"/>
      <c r="O96" s="71"/>
      <c r="P96" s="72"/>
      <c r="Q96" s="71"/>
      <c r="R96" s="71"/>
      <c r="S96" s="71"/>
      <c r="T96" s="72"/>
      <c r="U96" s="71"/>
      <c r="V96" s="71"/>
      <c r="W96" s="71"/>
      <c r="X96" s="72"/>
      <c r="Y96" s="71"/>
      <c r="AA96" s="102"/>
    </row>
    <row r="97" spans="1:27" x14ac:dyDescent="0.25">
      <c r="A97" s="97"/>
      <c r="C97" s="76"/>
      <c r="D97" s="72"/>
      <c r="E97" s="71"/>
      <c r="F97" s="71"/>
      <c r="G97" s="71"/>
      <c r="H97" s="72"/>
      <c r="I97" s="71"/>
      <c r="J97" s="71"/>
      <c r="K97" s="71"/>
      <c r="L97" s="72"/>
      <c r="M97" s="71"/>
      <c r="N97" s="71"/>
      <c r="O97" s="71"/>
      <c r="P97" s="72"/>
      <c r="Q97" s="71"/>
      <c r="R97" s="71"/>
      <c r="S97" s="71"/>
      <c r="T97" s="72"/>
      <c r="U97" s="71"/>
      <c r="V97" s="71"/>
      <c r="W97" s="71"/>
      <c r="X97" s="72"/>
      <c r="Y97" s="71"/>
      <c r="AA97" s="102"/>
    </row>
    <row r="98" spans="1:27" x14ac:dyDescent="0.25">
      <c r="A98" s="97"/>
      <c r="C98" s="76"/>
      <c r="D98" s="72"/>
      <c r="E98" s="71"/>
      <c r="F98" s="71"/>
      <c r="G98" s="71"/>
      <c r="H98" s="72"/>
      <c r="I98" s="71"/>
      <c r="J98" s="71"/>
      <c r="K98" s="71"/>
      <c r="L98" s="72"/>
      <c r="M98" s="71"/>
      <c r="N98" s="71"/>
      <c r="O98" s="71"/>
      <c r="P98" s="72"/>
      <c r="Q98" s="71"/>
      <c r="R98" s="71"/>
      <c r="S98" s="71"/>
      <c r="T98" s="72"/>
      <c r="U98" s="71"/>
      <c r="V98" s="71"/>
      <c r="W98" s="71"/>
      <c r="X98" s="72"/>
      <c r="Y98" s="71"/>
      <c r="AA98" s="102"/>
    </row>
    <row r="99" spans="1:27" x14ac:dyDescent="0.25">
      <c r="A99" s="97"/>
      <c r="C99" s="76"/>
      <c r="D99" s="72"/>
      <c r="E99" s="71"/>
      <c r="F99" s="71"/>
      <c r="G99" s="71"/>
      <c r="H99" s="72"/>
      <c r="I99" s="71"/>
      <c r="J99" s="71"/>
      <c r="K99" s="71"/>
      <c r="L99" s="72"/>
      <c r="M99" s="71"/>
      <c r="N99" s="71"/>
      <c r="O99" s="71"/>
      <c r="P99" s="72"/>
      <c r="Q99" s="71"/>
      <c r="R99" s="71"/>
      <c r="S99" s="71"/>
      <c r="T99" s="72"/>
      <c r="U99" s="71"/>
      <c r="V99" s="71"/>
      <c r="W99" s="71"/>
      <c r="X99" s="72"/>
      <c r="Y99" s="71"/>
      <c r="AA99" s="102"/>
    </row>
    <row r="100" spans="1:27" x14ac:dyDescent="0.25">
      <c r="A100" s="97"/>
      <c r="C100" s="76"/>
      <c r="D100" s="72"/>
      <c r="E100" s="71"/>
      <c r="F100" s="71"/>
      <c r="G100" s="71"/>
      <c r="H100" s="72"/>
      <c r="I100" s="71"/>
      <c r="J100" s="71"/>
      <c r="K100" s="71"/>
      <c r="L100" s="72"/>
      <c r="M100" s="71"/>
      <c r="N100" s="71"/>
      <c r="O100" s="71"/>
      <c r="P100" s="72"/>
      <c r="Q100" s="71"/>
      <c r="R100" s="71"/>
      <c r="S100" s="71"/>
      <c r="T100" s="72"/>
      <c r="U100" s="71"/>
      <c r="V100" s="71"/>
      <c r="W100" s="71"/>
      <c r="X100" s="72"/>
      <c r="Y100" s="71"/>
      <c r="AA100" s="102"/>
    </row>
    <row r="101" spans="1:27" x14ac:dyDescent="0.25">
      <c r="A101" s="97"/>
      <c r="C101" s="76"/>
      <c r="D101" s="72"/>
      <c r="E101" s="71"/>
      <c r="F101" s="71"/>
      <c r="G101" s="71"/>
      <c r="H101" s="72"/>
      <c r="I101" s="71"/>
      <c r="J101" s="71"/>
      <c r="K101" s="71"/>
      <c r="L101" s="72"/>
      <c r="M101" s="71"/>
      <c r="N101" s="71"/>
      <c r="O101" s="71"/>
      <c r="P101" s="72"/>
      <c r="Q101" s="71"/>
      <c r="R101" s="71"/>
      <c r="S101" s="71"/>
      <c r="T101" s="72"/>
      <c r="U101" s="71"/>
      <c r="V101" s="71"/>
      <c r="W101" s="71"/>
      <c r="X101" s="72"/>
      <c r="Y101" s="71"/>
      <c r="AA101" s="102"/>
    </row>
    <row r="102" spans="1:27" x14ac:dyDescent="0.25">
      <c r="A102" s="97"/>
      <c r="C102" s="76"/>
      <c r="D102" s="72"/>
      <c r="E102" s="71"/>
      <c r="F102" s="71"/>
      <c r="G102" s="71"/>
      <c r="H102" s="72"/>
      <c r="I102" s="71"/>
      <c r="J102" s="71"/>
      <c r="K102" s="71"/>
      <c r="L102" s="72"/>
      <c r="M102" s="71"/>
      <c r="N102" s="71"/>
      <c r="O102" s="71"/>
      <c r="P102" s="72"/>
      <c r="Q102" s="71"/>
      <c r="R102" s="71"/>
      <c r="S102" s="71"/>
      <c r="T102" s="72"/>
      <c r="U102" s="71"/>
      <c r="V102" s="71"/>
      <c r="W102" s="71"/>
      <c r="X102" s="72"/>
      <c r="Y102" s="71"/>
      <c r="AA102" s="102"/>
    </row>
    <row r="103" spans="1:27" x14ac:dyDescent="0.25">
      <c r="A103" s="97"/>
      <c r="C103" s="76"/>
      <c r="D103" s="72"/>
      <c r="E103" s="71"/>
      <c r="F103" s="71"/>
      <c r="G103" s="71"/>
      <c r="H103" s="72"/>
      <c r="I103" s="71"/>
      <c r="J103" s="71"/>
      <c r="K103" s="71"/>
      <c r="L103" s="72"/>
      <c r="M103" s="71"/>
      <c r="N103" s="71"/>
      <c r="O103" s="71"/>
      <c r="P103" s="72"/>
      <c r="Q103" s="71"/>
      <c r="R103" s="71"/>
      <c r="S103" s="71"/>
      <c r="T103" s="72"/>
      <c r="U103" s="71"/>
      <c r="V103" s="71"/>
      <c r="W103" s="71"/>
      <c r="X103" s="72"/>
      <c r="Y103" s="71"/>
      <c r="AA103" s="102"/>
    </row>
    <row r="104" spans="1:27" x14ac:dyDescent="0.25">
      <c r="A104" s="97"/>
      <c r="C104" s="76"/>
      <c r="D104" s="72"/>
      <c r="E104" s="71"/>
      <c r="F104" s="71"/>
      <c r="G104" s="71"/>
      <c r="H104" s="72"/>
      <c r="I104" s="71"/>
      <c r="J104" s="71"/>
      <c r="K104" s="71"/>
      <c r="L104" s="72"/>
      <c r="M104" s="71"/>
      <c r="N104" s="71"/>
      <c r="O104" s="71"/>
      <c r="P104" s="72"/>
      <c r="Q104" s="71"/>
      <c r="R104" s="71"/>
      <c r="S104" s="71"/>
      <c r="T104" s="72"/>
      <c r="U104" s="71"/>
      <c r="V104" s="71"/>
      <c r="W104" s="71"/>
      <c r="X104" s="72"/>
      <c r="Y104" s="71"/>
      <c r="AA104" s="102"/>
    </row>
    <row r="105" spans="1:27" ht="15.75" thickBot="1" x14ac:dyDescent="0.3">
      <c r="A105" s="97"/>
      <c r="C105" s="76"/>
      <c r="D105" s="73"/>
      <c r="E105" s="73"/>
      <c r="F105" s="71"/>
      <c r="G105" s="71"/>
      <c r="H105" s="73"/>
      <c r="I105" s="73"/>
      <c r="J105" s="71"/>
      <c r="K105" s="71"/>
      <c r="L105" s="73"/>
      <c r="M105" s="73"/>
      <c r="N105" s="71"/>
      <c r="O105" s="71"/>
      <c r="P105" s="73"/>
      <c r="Q105" s="73"/>
      <c r="R105" s="71"/>
      <c r="S105" s="71"/>
      <c r="T105" s="73"/>
      <c r="U105" s="73"/>
      <c r="V105" s="71"/>
      <c r="W105" s="71"/>
      <c r="X105" s="73"/>
      <c r="Y105" s="73"/>
      <c r="AA105" s="102"/>
    </row>
    <row r="106" spans="1:27" x14ac:dyDescent="0.25">
      <c r="A106" s="97"/>
      <c r="C106" s="76"/>
      <c r="D106" s="72">
        <f>SUM(D96:D104)</f>
        <v>0</v>
      </c>
      <c r="E106" s="71">
        <f>SUM(E96:E104)</f>
        <v>0</v>
      </c>
      <c r="F106" s="71"/>
      <c r="G106" s="71"/>
      <c r="H106" s="72">
        <f t="shared" ref="H106:I106" si="29">SUM(H96:H104)</f>
        <v>0</v>
      </c>
      <c r="I106" s="71">
        <f t="shared" si="29"/>
        <v>0</v>
      </c>
      <c r="J106" s="71"/>
      <c r="K106" s="71"/>
      <c r="L106" s="72">
        <f t="shared" ref="L106:M106" si="30">SUM(L96:L104)</f>
        <v>0</v>
      </c>
      <c r="M106" s="71">
        <f t="shared" si="30"/>
        <v>0</v>
      </c>
      <c r="N106" s="71"/>
      <c r="O106" s="71"/>
      <c r="P106" s="72">
        <f t="shared" ref="P106:Q106" si="31">SUM(P96:P104)</f>
        <v>0</v>
      </c>
      <c r="Q106" s="71">
        <f t="shared" si="31"/>
        <v>0</v>
      </c>
      <c r="R106" s="71"/>
      <c r="S106" s="71"/>
      <c r="T106" s="72">
        <f t="shared" ref="T106:U106" si="32">SUM(T96:T104)</f>
        <v>0</v>
      </c>
      <c r="U106" s="71">
        <f t="shared" si="32"/>
        <v>0</v>
      </c>
      <c r="V106" s="71"/>
      <c r="W106" s="71"/>
      <c r="X106" s="72">
        <f t="shared" ref="X106:Y106" si="33">SUM(X96:X104)</f>
        <v>0</v>
      </c>
      <c r="Y106" s="71">
        <f t="shared" si="33"/>
        <v>0</v>
      </c>
      <c r="AA106" s="102"/>
    </row>
    <row r="107" spans="1:27" x14ac:dyDescent="0.25">
      <c r="A107" s="9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AA107" s="102"/>
    </row>
    <row r="108" spans="1:27" x14ac:dyDescent="0.25">
      <c r="A108" s="9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AA108" s="102"/>
    </row>
    <row r="109" spans="1:27" x14ac:dyDescent="0.25">
      <c r="A109" s="97"/>
      <c r="C109" s="69">
        <v>43</v>
      </c>
      <c r="D109" s="100" t="s">
        <v>85</v>
      </c>
      <c r="E109" s="100"/>
      <c r="F109" s="69"/>
      <c r="G109" s="69">
        <v>44</v>
      </c>
      <c r="H109" s="98" t="s">
        <v>86</v>
      </c>
      <c r="I109" s="98"/>
      <c r="J109" s="76"/>
      <c r="K109" s="69">
        <v>45</v>
      </c>
      <c r="L109" s="98" t="s">
        <v>87</v>
      </c>
      <c r="M109" s="98"/>
      <c r="N109" s="76"/>
      <c r="O109" s="69">
        <v>46</v>
      </c>
      <c r="P109" s="98" t="s">
        <v>88</v>
      </c>
      <c r="Q109" s="98"/>
      <c r="R109" s="76"/>
      <c r="S109" s="69">
        <v>47</v>
      </c>
      <c r="T109" s="98" t="s">
        <v>89</v>
      </c>
      <c r="U109" s="98"/>
      <c r="V109" s="76"/>
      <c r="W109" s="69">
        <v>48</v>
      </c>
      <c r="X109" s="98" t="s">
        <v>90</v>
      </c>
      <c r="Y109" s="98"/>
      <c r="AA109" s="102"/>
    </row>
    <row r="110" spans="1:27" x14ac:dyDescent="0.25">
      <c r="A110" s="97"/>
      <c r="C110" s="10"/>
      <c r="D110" s="90"/>
      <c r="E110" s="91"/>
      <c r="F110" s="8"/>
      <c r="G110" s="6"/>
      <c r="H110" s="90"/>
      <c r="I110" s="91"/>
      <c r="J110" s="4"/>
      <c r="K110" s="6"/>
      <c r="L110" s="90"/>
      <c r="M110" s="91"/>
      <c r="N110" s="4"/>
      <c r="O110" s="6"/>
      <c r="P110" s="90"/>
      <c r="Q110" s="91"/>
      <c r="R110" s="4"/>
      <c r="S110" s="6"/>
      <c r="T110" s="90"/>
      <c r="U110" s="91"/>
      <c r="V110" s="4"/>
      <c r="W110" s="6"/>
      <c r="X110" s="90"/>
      <c r="Y110" s="91"/>
      <c r="AA110" s="102"/>
    </row>
    <row r="111" spans="1:27" x14ac:dyDescent="0.25">
      <c r="A111" s="97"/>
      <c r="C111" s="4"/>
      <c r="D111" s="9"/>
      <c r="E111" s="8"/>
      <c r="F111" s="8"/>
      <c r="G111" s="8"/>
      <c r="H111" s="9"/>
      <c r="I111" s="8"/>
      <c r="J111" s="4"/>
      <c r="K111" s="8"/>
      <c r="L111" s="9"/>
      <c r="M111" s="8"/>
      <c r="N111" s="4"/>
      <c r="O111" s="8"/>
      <c r="P111" s="9"/>
      <c r="Q111" s="8"/>
      <c r="R111" s="4"/>
      <c r="S111" s="8"/>
      <c r="T111" s="9"/>
      <c r="U111" s="8"/>
      <c r="V111" s="4"/>
      <c r="W111" s="8"/>
      <c r="X111" s="9"/>
      <c r="Y111" s="8"/>
      <c r="AA111" s="102"/>
    </row>
    <row r="112" spans="1:27" x14ac:dyDescent="0.25">
      <c r="A112" s="97"/>
      <c r="C112" s="4"/>
      <c r="D112" s="9"/>
      <c r="E112" s="8"/>
      <c r="F112" s="8"/>
      <c r="G112" s="8"/>
      <c r="H112" s="9"/>
      <c r="I112" s="8"/>
      <c r="J112" s="4"/>
      <c r="K112" s="8"/>
      <c r="L112" s="9"/>
      <c r="M112" s="8"/>
      <c r="N112" s="4"/>
      <c r="O112" s="8"/>
      <c r="P112" s="9"/>
      <c r="Q112" s="8"/>
      <c r="R112" s="4"/>
      <c r="S112" s="8"/>
      <c r="T112" s="9"/>
      <c r="U112" s="8"/>
      <c r="V112" s="4"/>
      <c r="W112" s="8"/>
      <c r="X112" s="9"/>
      <c r="Y112" s="8"/>
      <c r="AA112" s="102"/>
    </row>
    <row r="113" spans="1:27" x14ac:dyDescent="0.25">
      <c r="A113" s="97"/>
      <c r="C113" s="4"/>
      <c r="D113" s="9"/>
      <c r="E113" s="8"/>
      <c r="F113" s="8"/>
      <c r="G113" s="8"/>
      <c r="H113" s="9"/>
      <c r="I113" s="8"/>
      <c r="J113" s="4"/>
      <c r="K113" s="8"/>
      <c r="L113" s="9"/>
      <c r="M113" s="8"/>
      <c r="N113" s="4"/>
      <c r="O113" s="8"/>
      <c r="P113" s="9"/>
      <c r="Q113" s="8"/>
      <c r="R113" s="4"/>
      <c r="S113" s="8"/>
      <c r="T113" s="9"/>
      <c r="U113" s="8"/>
      <c r="V113" s="4"/>
      <c r="W113" s="8"/>
      <c r="X113" s="9"/>
      <c r="Y113" s="8"/>
      <c r="AA113" s="102"/>
    </row>
    <row r="114" spans="1:27" x14ac:dyDescent="0.25">
      <c r="A114" s="97"/>
      <c r="C114" s="4"/>
      <c r="D114" s="9"/>
      <c r="E114" s="8"/>
      <c r="F114" s="8"/>
      <c r="G114" s="8"/>
      <c r="H114" s="9"/>
      <c r="I114" s="8"/>
      <c r="J114" s="4"/>
      <c r="K114" s="8"/>
      <c r="L114" s="9"/>
      <c r="M114" s="8"/>
      <c r="N114" s="4"/>
      <c r="O114" s="8"/>
      <c r="P114" s="9"/>
      <c r="Q114" s="8"/>
      <c r="R114" s="4"/>
      <c r="S114" s="8"/>
      <c r="T114" s="9"/>
      <c r="U114" s="8"/>
      <c r="V114" s="4"/>
      <c r="W114" s="8"/>
      <c r="X114" s="9"/>
      <c r="Y114" s="8"/>
      <c r="AA114" s="102"/>
    </row>
    <row r="115" spans="1:27" x14ac:dyDescent="0.25">
      <c r="A115" s="97"/>
      <c r="C115" s="4"/>
      <c r="D115" s="9"/>
      <c r="E115" s="8"/>
      <c r="F115" s="8"/>
      <c r="G115" s="8"/>
      <c r="H115" s="9"/>
      <c r="I115" s="8"/>
      <c r="J115" s="4"/>
      <c r="K115" s="8"/>
      <c r="L115" s="9"/>
      <c r="M115" s="8"/>
      <c r="N115" s="4"/>
      <c r="O115" s="8"/>
      <c r="P115" s="9"/>
      <c r="Q115" s="8"/>
      <c r="R115" s="4"/>
      <c r="S115" s="8"/>
      <c r="T115" s="9"/>
      <c r="U115" s="8"/>
      <c r="V115" s="4"/>
      <c r="W115" s="8"/>
      <c r="X115" s="9"/>
      <c r="Y115" s="8"/>
      <c r="AA115" s="102"/>
    </row>
    <row r="116" spans="1:27" x14ac:dyDescent="0.25">
      <c r="A116" s="97"/>
      <c r="C116" s="4"/>
      <c r="D116" s="9"/>
      <c r="E116" s="8"/>
      <c r="F116" s="8"/>
      <c r="G116" s="8"/>
      <c r="H116" s="9"/>
      <c r="I116" s="8"/>
      <c r="J116" s="4"/>
      <c r="K116" s="8"/>
      <c r="L116" s="9"/>
      <c r="M116" s="8"/>
      <c r="N116" s="4"/>
      <c r="O116" s="8"/>
      <c r="P116" s="9"/>
      <c r="Q116" s="8"/>
      <c r="R116" s="4"/>
      <c r="S116" s="8"/>
      <c r="T116" s="9"/>
      <c r="U116" s="8"/>
      <c r="V116" s="4"/>
      <c r="W116" s="8"/>
      <c r="X116" s="9"/>
      <c r="Y116" s="8"/>
      <c r="AA116" s="102"/>
    </row>
    <row r="117" spans="1:27" x14ac:dyDescent="0.25">
      <c r="A117" s="97"/>
      <c r="C117" s="4"/>
      <c r="D117" s="9"/>
      <c r="E117" s="8"/>
      <c r="F117" s="8"/>
      <c r="G117" s="8"/>
      <c r="H117" s="9"/>
      <c r="I117" s="8"/>
      <c r="J117" s="4"/>
      <c r="K117" s="8"/>
      <c r="L117" s="9"/>
      <c r="M117" s="8"/>
      <c r="N117" s="4"/>
      <c r="O117" s="8"/>
      <c r="P117" s="9"/>
      <c r="Q117" s="8"/>
      <c r="R117" s="4"/>
      <c r="S117" s="8"/>
      <c r="T117" s="9"/>
      <c r="U117" s="8"/>
      <c r="V117" s="4"/>
      <c r="W117" s="8"/>
      <c r="X117" s="9"/>
      <c r="Y117" s="8"/>
      <c r="AA117" s="102"/>
    </row>
    <row r="118" spans="1:27" x14ac:dyDescent="0.25">
      <c r="A118" s="97"/>
      <c r="C118" s="4"/>
      <c r="D118" s="9"/>
      <c r="E118" s="8"/>
      <c r="F118" s="8"/>
      <c r="G118" s="8"/>
      <c r="H118" s="9"/>
      <c r="I118" s="8"/>
      <c r="J118" s="4"/>
      <c r="K118" s="8"/>
      <c r="L118" s="9"/>
      <c r="M118" s="8"/>
      <c r="N118" s="4"/>
      <c r="O118" s="8"/>
      <c r="P118" s="9"/>
      <c r="Q118" s="8"/>
      <c r="R118" s="4"/>
      <c r="S118" s="8"/>
      <c r="T118" s="9"/>
      <c r="U118" s="8"/>
      <c r="V118" s="4"/>
      <c r="W118" s="8"/>
      <c r="X118" s="9"/>
      <c r="Y118" s="8"/>
      <c r="AA118" s="102"/>
    </row>
    <row r="119" spans="1:27" x14ac:dyDescent="0.25">
      <c r="A119" s="97"/>
      <c r="C119" s="4"/>
      <c r="D119" s="9"/>
      <c r="E119" s="8"/>
      <c r="F119" s="8"/>
      <c r="G119" s="8"/>
      <c r="H119" s="9"/>
      <c r="I119" s="8"/>
      <c r="J119" s="4"/>
      <c r="K119" s="8"/>
      <c r="L119" s="9"/>
      <c r="M119" s="8"/>
      <c r="N119" s="4"/>
      <c r="O119" s="8"/>
      <c r="P119" s="9"/>
      <c r="Q119" s="8"/>
      <c r="R119" s="4"/>
      <c r="S119" s="8"/>
      <c r="T119" s="9"/>
      <c r="U119" s="8"/>
      <c r="V119" s="4"/>
      <c r="W119" s="8"/>
      <c r="X119" s="9"/>
      <c r="Y119" s="8"/>
      <c r="AA119" s="102"/>
    </row>
    <row r="120" spans="1:27" ht="15.75" thickBot="1" x14ac:dyDescent="0.3">
      <c r="A120" s="97"/>
      <c r="C120" s="4"/>
      <c r="D120" s="37"/>
      <c r="E120" s="37"/>
      <c r="F120" s="8"/>
      <c r="G120" s="8"/>
      <c r="H120" s="37"/>
      <c r="I120" s="37"/>
      <c r="J120" s="4"/>
      <c r="K120" s="8"/>
      <c r="L120" s="37"/>
      <c r="M120" s="37"/>
      <c r="N120" s="4"/>
      <c r="O120" s="8"/>
      <c r="P120" s="37"/>
      <c r="Q120" s="37"/>
      <c r="R120" s="4"/>
      <c r="S120" s="8"/>
      <c r="T120" s="37"/>
      <c r="U120" s="37"/>
      <c r="V120" s="4"/>
      <c r="W120" s="8"/>
      <c r="X120" s="37"/>
      <c r="Y120" s="37"/>
      <c r="AA120" s="102"/>
    </row>
    <row r="121" spans="1:27" x14ac:dyDescent="0.25">
      <c r="A121" s="97"/>
      <c r="C121" s="4"/>
      <c r="D121" s="9">
        <f>SUM(D111:D119)</f>
        <v>0</v>
      </c>
      <c r="E121" s="8">
        <f>SUM(E111:E119)</f>
        <v>0</v>
      </c>
      <c r="F121" s="8"/>
      <c r="G121" s="8"/>
      <c r="H121" s="9">
        <f t="shared" ref="H121:I121" si="34">SUM(H111:H119)</f>
        <v>0</v>
      </c>
      <c r="I121" s="8">
        <f t="shared" si="34"/>
        <v>0</v>
      </c>
      <c r="J121" s="8"/>
      <c r="K121" s="8"/>
      <c r="L121" s="9">
        <f t="shared" ref="L121:M121" si="35">SUM(L111:L119)</f>
        <v>0</v>
      </c>
      <c r="M121" s="8">
        <f t="shared" si="35"/>
        <v>0</v>
      </c>
      <c r="N121" s="8"/>
      <c r="O121" s="8"/>
      <c r="P121" s="9">
        <f t="shared" ref="P121:Q121" si="36">SUM(P111:P119)</f>
        <v>0</v>
      </c>
      <c r="Q121" s="8">
        <f t="shared" si="36"/>
        <v>0</v>
      </c>
      <c r="R121" s="8"/>
      <c r="S121" s="8"/>
      <c r="T121" s="9">
        <f t="shared" ref="T121:U121" si="37">SUM(T111:T119)</f>
        <v>0</v>
      </c>
      <c r="U121" s="8">
        <f t="shared" si="37"/>
        <v>0</v>
      </c>
      <c r="V121" s="8"/>
      <c r="W121" s="8"/>
      <c r="X121" s="9">
        <f t="shared" ref="X121:Y121" si="38">SUM(X111:X119)</f>
        <v>0</v>
      </c>
      <c r="Y121" s="8">
        <f t="shared" si="38"/>
        <v>0</v>
      </c>
      <c r="AA121" s="102"/>
    </row>
    <row r="123" spans="1:27" s="36" customFormat="1" ht="29.25" customHeight="1" x14ac:dyDescent="0.25">
      <c r="C123" s="105">
        <f>'Balanza de comprobación'!H54-'Balanza de comprobación'!I54</f>
        <v>50000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</row>
  </sheetData>
  <mergeCells count="55">
    <mergeCell ref="D1:G1"/>
    <mergeCell ref="X94:Y94"/>
    <mergeCell ref="X1:Y1"/>
    <mergeCell ref="D2:W2"/>
    <mergeCell ref="X2:Y2"/>
    <mergeCell ref="T4:U4"/>
    <mergeCell ref="X4:Y4"/>
    <mergeCell ref="T34:U34"/>
    <mergeCell ref="X49:Y49"/>
    <mergeCell ref="T64:U64"/>
    <mergeCell ref="X64:Y64"/>
    <mergeCell ref="D79:E79"/>
    <mergeCell ref="H79:I79"/>
    <mergeCell ref="L79:M79"/>
    <mergeCell ref="P79:Q79"/>
    <mergeCell ref="T79:U79"/>
    <mergeCell ref="X79:Y79"/>
    <mergeCell ref="C123:Y123"/>
    <mergeCell ref="D94:E94"/>
    <mergeCell ref="H94:I94"/>
    <mergeCell ref="L94:M94"/>
    <mergeCell ref="P94:Q94"/>
    <mergeCell ref="T94:U94"/>
    <mergeCell ref="P109:Q109"/>
    <mergeCell ref="T109:U109"/>
    <mergeCell ref="X109:Y109"/>
    <mergeCell ref="D109:E109"/>
    <mergeCell ref="H109:I109"/>
    <mergeCell ref="L109:M109"/>
    <mergeCell ref="AA4:AA121"/>
    <mergeCell ref="D19:E19"/>
    <mergeCell ref="H19:I19"/>
    <mergeCell ref="L19:M19"/>
    <mergeCell ref="P19:Q19"/>
    <mergeCell ref="T19:U19"/>
    <mergeCell ref="X19:Y19"/>
    <mergeCell ref="D34:E34"/>
    <mergeCell ref="H34:I34"/>
    <mergeCell ref="L34:M34"/>
    <mergeCell ref="X34:Y34"/>
    <mergeCell ref="D49:E49"/>
    <mergeCell ref="H49:I49"/>
    <mergeCell ref="L49:M49"/>
    <mergeCell ref="P49:Q49"/>
    <mergeCell ref="T49:U49"/>
    <mergeCell ref="A4:A121"/>
    <mergeCell ref="D4:E4"/>
    <mergeCell ref="H4:I4"/>
    <mergeCell ref="L4:M4"/>
    <mergeCell ref="P4:Q4"/>
    <mergeCell ref="P34:Q34"/>
    <mergeCell ref="D64:E64"/>
    <mergeCell ref="H64:I64"/>
    <mergeCell ref="L64:M64"/>
    <mergeCell ref="P64:Q64"/>
  </mergeCells>
  <conditionalFormatting sqref="C123:Y123">
    <cfRule type="cellIs" dxfId="67" priority="7" operator="greaterThan">
      <formula>0</formula>
    </cfRule>
    <cfRule type="cellIs" dxfId="66" priority="8" operator="lessThan">
      <formula>0</formula>
    </cfRule>
    <cfRule type="cellIs" dxfId="65" priority="9" operator="equal">
      <formula>0</formula>
    </cfRule>
  </conditionalFormatting>
  <conditionalFormatting sqref="A4:A121">
    <cfRule type="cellIs" dxfId="64" priority="4" operator="lessThan">
      <formula>0</formula>
    </cfRule>
    <cfRule type="cellIs" dxfId="63" priority="5" operator="greaterThan">
      <formula>0</formula>
    </cfRule>
    <cfRule type="cellIs" dxfId="62" priority="6" operator="equal">
      <formula>0</formula>
    </cfRule>
  </conditionalFormatting>
  <conditionalFormatting sqref="AA4:AA121">
    <cfRule type="cellIs" dxfId="61" priority="1" operator="equal">
      <formula>0</formula>
    </cfRule>
    <cfRule type="cellIs" dxfId="60" priority="2" operator="lessThan">
      <formula>0</formula>
    </cfRule>
    <cfRule type="cellIs" dxfId="59" priority="3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92FBD-66FA-4265-9FE3-B6987690B03F}">
  <sheetPr codeName="Hoja3"/>
  <dimension ref="A1:AI123"/>
  <sheetViews>
    <sheetView zoomScale="80" zoomScaleNormal="80" workbookViewId="0">
      <selection activeCell="W79" sqref="W79:Y91"/>
    </sheetView>
  </sheetViews>
  <sheetFormatPr baseColWidth="10" defaultRowHeight="15" x14ac:dyDescent="0.25"/>
  <cols>
    <col min="1" max="3" width="3.42578125" style="5" customWidth="1"/>
    <col min="4" max="5" width="14.140625" style="5" customWidth="1"/>
    <col min="6" max="6" width="7.140625" style="5" customWidth="1"/>
    <col min="7" max="7" width="3.42578125" style="5" customWidth="1"/>
    <col min="8" max="9" width="14.140625" style="5" customWidth="1"/>
    <col min="10" max="10" width="7" style="5" customWidth="1"/>
    <col min="11" max="11" width="3.42578125" style="5" customWidth="1"/>
    <col min="12" max="13" width="14.140625" style="5" customWidth="1"/>
    <col min="14" max="14" width="7" style="5" customWidth="1"/>
    <col min="15" max="15" width="3.42578125" style="5" customWidth="1"/>
    <col min="16" max="17" width="14.140625" style="5" customWidth="1"/>
    <col min="18" max="18" width="7" style="5" customWidth="1"/>
    <col min="19" max="19" width="3.42578125" style="5" customWidth="1"/>
    <col min="20" max="21" width="14.140625" style="5" customWidth="1"/>
    <col min="22" max="22" width="7" style="5" customWidth="1"/>
    <col min="23" max="23" width="3.42578125" style="5" customWidth="1"/>
    <col min="24" max="25" width="14.140625" style="5" customWidth="1"/>
    <col min="26" max="28" width="3.42578125" style="5" customWidth="1"/>
    <col min="29" max="33" width="11.42578125" style="5"/>
    <col min="34" max="35" width="19" style="5" customWidth="1"/>
    <col min="36" max="16384" width="11.42578125" style="5"/>
  </cols>
  <sheetData>
    <row r="1" spans="1:35" ht="15.75" thickBot="1" x14ac:dyDescent="0.3">
      <c r="X1" s="108" t="s">
        <v>68</v>
      </c>
      <c r="Y1" s="108"/>
    </row>
    <row r="2" spans="1:35" ht="21" thickBot="1" x14ac:dyDescent="0.3">
      <c r="D2" s="109" t="s">
        <v>9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3"/>
      <c r="Y2" s="112"/>
    </row>
    <row r="4" spans="1:35" x14ac:dyDescent="0.25">
      <c r="A4" s="96">
        <f>C123</f>
        <v>7462.07</v>
      </c>
      <c r="C4" s="20">
        <v>1</v>
      </c>
      <c r="D4" s="119" t="s">
        <v>1</v>
      </c>
      <c r="E4" s="119"/>
      <c r="F4" s="13"/>
      <c r="G4" s="20">
        <v>2</v>
      </c>
      <c r="H4" s="119" t="s">
        <v>2</v>
      </c>
      <c r="I4" s="119"/>
      <c r="J4" s="13"/>
      <c r="K4" s="12">
        <v>3</v>
      </c>
      <c r="L4" s="119" t="s">
        <v>20</v>
      </c>
      <c r="M4" s="119"/>
      <c r="N4" s="14"/>
      <c r="O4" s="20">
        <v>4</v>
      </c>
      <c r="P4" s="121" t="s">
        <v>67</v>
      </c>
      <c r="Q4" s="119"/>
      <c r="R4" s="14"/>
      <c r="S4" s="20">
        <v>5</v>
      </c>
      <c r="T4" s="121" t="s">
        <v>21</v>
      </c>
      <c r="U4" s="119"/>
      <c r="V4" s="14"/>
      <c r="W4" s="20">
        <v>6</v>
      </c>
      <c r="X4" s="119" t="s">
        <v>22</v>
      </c>
      <c r="Y4" s="119"/>
      <c r="AA4" s="101">
        <f>C123</f>
        <v>7462.07</v>
      </c>
      <c r="AG4" s="5" t="str">
        <f>D4</f>
        <v>Caja</v>
      </c>
      <c r="AH4" s="41">
        <f>D16</f>
        <v>0</v>
      </c>
      <c r="AI4" s="41">
        <f>E16</f>
        <v>0</v>
      </c>
    </row>
    <row r="5" spans="1:35" x14ac:dyDescent="0.25">
      <c r="A5" s="97"/>
      <c r="C5" s="6"/>
      <c r="D5" s="7"/>
      <c r="E5" s="8"/>
      <c r="F5" s="8"/>
      <c r="G5" s="6"/>
      <c r="H5" s="7"/>
      <c r="I5" s="8"/>
      <c r="J5" s="8"/>
      <c r="K5" s="6"/>
      <c r="L5" s="7"/>
      <c r="M5" s="8"/>
      <c r="N5" s="8"/>
      <c r="O5" s="6"/>
      <c r="P5" s="7"/>
      <c r="Q5" s="8"/>
      <c r="R5" s="8"/>
      <c r="S5" s="8"/>
      <c r="T5" s="7"/>
      <c r="U5" s="8"/>
      <c r="V5" s="8"/>
      <c r="W5" s="8"/>
      <c r="X5" s="7"/>
      <c r="Y5" s="8"/>
      <c r="AA5" s="102"/>
      <c r="AG5" s="5" t="str">
        <f>H4</f>
        <v>Bancos</v>
      </c>
      <c r="AH5" s="41">
        <f>H16</f>
        <v>0</v>
      </c>
      <c r="AI5" s="41">
        <f>I16</f>
        <v>0</v>
      </c>
    </row>
    <row r="6" spans="1:35" x14ac:dyDescent="0.25">
      <c r="A6" s="97"/>
      <c r="C6" s="8"/>
      <c r="D6" s="9"/>
      <c r="E6" s="8"/>
      <c r="F6" s="8"/>
      <c r="G6" s="8"/>
      <c r="H6" s="9"/>
      <c r="I6" s="8"/>
      <c r="J6" s="8"/>
      <c r="K6" s="8"/>
      <c r="L6" s="9"/>
      <c r="M6" s="8"/>
      <c r="N6" s="8"/>
      <c r="O6" s="8"/>
      <c r="P6" s="9"/>
      <c r="Q6" s="8"/>
      <c r="R6" s="8"/>
      <c r="S6" s="8"/>
      <c r="T6" s="9"/>
      <c r="U6" s="8"/>
      <c r="V6" s="8"/>
      <c r="W6" s="8"/>
      <c r="X6" s="9"/>
      <c r="Y6" s="8"/>
      <c r="AA6" s="102"/>
      <c r="AG6" s="5" t="str">
        <f>L4</f>
        <v>Clientes</v>
      </c>
      <c r="AH6" s="41">
        <f>L16</f>
        <v>0</v>
      </c>
      <c r="AI6" s="41">
        <f>M16</f>
        <v>0</v>
      </c>
    </row>
    <row r="7" spans="1:35" x14ac:dyDescent="0.25">
      <c r="A7" s="97"/>
      <c r="C7" s="8"/>
      <c r="D7" s="9"/>
      <c r="E7" s="8"/>
      <c r="F7" s="8"/>
      <c r="G7" s="8"/>
      <c r="H7" s="9"/>
      <c r="J7" s="8"/>
      <c r="K7" s="8"/>
      <c r="L7" s="9"/>
      <c r="M7" s="8"/>
      <c r="N7" s="8"/>
      <c r="O7" s="8"/>
      <c r="P7" s="9"/>
      <c r="Q7" s="8"/>
      <c r="R7" s="8"/>
      <c r="S7" s="8"/>
      <c r="T7" s="9"/>
      <c r="U7" s="8"/>
      <c r="V7" s="8"/>
      <c r="W7" s="8"/>
      <c r="X7" s="9"/>
      <c r="Y7" s="8"/>
      <c r="AA7" s="102"/>
      <c r="AG7" s="5" t="str">
        <f>P4</f>
        <v>Almacen</v>
      </c>
      <c r="AH7" s="41">
        <f>P16</f>
        <v>0</v>
      </c>
      <c r="AI7" s="41">
        <f>Q16</f>
        <v>0</v>
      </c>
    </row>
    <row r="8" spans="1:35" x14ac:dyDescent="0.25">
      <c r="A8" s="97"/>
      <c r="C8" s="8"/>
      <c r="D8" s="9"/>
      <c r="E8" s="8"/>
      <c r="F8" s="8"/>
      <c r="G8" s="8"/>
      <c r="H8" s="9"/>
      <c r="I8" s="8"/>
      <c r="J8" s="8"/>
      <c r="K8" s="8"/>
      <c r="L8" s="9"/>
      <c r="M8" s="8"/>
      <c r="N8" s="8"/>
      <c r="O8" s="8"/>
      <c r="P8" s="9"/>
      <c r="Q8" s="8"/>
      <c r="R8" s="8"/>
      <c r="S8" s="8"/>
      <c r="T8" s="9"/>
      <c r="U8" s="8"/>
      <c r="V8" s="8"/>
      <c r="W8" s="8"/>
      <c r="X8" s="9"/>
      <c r="Y8" s="8"/>
      <c r="AA8" s="102"/>
      <c r="AG8" s="5" t="str">
        <f>T4</f>
        <v>Documentos por cobrar</v>
      </c>
      <c r="AH8" s="41">
        <f>T16</f>
        <v>0</v>
      </c>
      <c r="AI8" s="41">
        <f>U16</f>
        <v>0</v>
      </c>
    </row>
    <row r="9" spans="1:35" x14ac:dyDescent="0.25">
      <c r="A9" s="97"/>
      <c r="C9" s="8"/>
      <c r="D9" s="9"/>
      <c r="E9" s="8"/>
      <c r="F9" s="8"/>
      <c r="G9" s="8"/>
      <c r="H9" s="9"/>
      <c r="I9" s="8"/>
      <c r="J9" s="8"/>
      <c r="K9" s="8"/>
      <c r="L9" s="9"/>
      <c r="M9" s="8"/>
      <c r="N9" s="8"/>
      <c r="O9" s="8"/>
      <c r="P9" s="9"/>
      <c r="Q9" s="8"/>
      <c r="R9" s="8"/>
      <c r="S9" s="8"/>
      <c r="T9" s="9"/>
      <c r="U9" s="8"/>
      <c r="V9" s="8"/>
      <c r="W9" s="8"/>
      <c r="X9" s="9"/>
      <c r="Y9" s="8"/>
      <c r="AA9" s="102"/>
      <c r="AG9" s="5" t="str">
        <f>X4</f>
        <v>Deudores diversos</v>
      </c>
      <c r="AH9" s="41">
        <f>X16</f>
        <v>0</v>
      </c>
      <c r="AI9" s="41">
        <f>Y16</f>
        <v>0</v>
      </c>
    </row>
    <row r="10" spans="1:35" x14ac:dyDescent="0.25">
      <c r="A10" s="97"/>
      <c r="C10" s="8"/>
      <c r="D10" s="9"/>
      <c r="E10" s="8"/>
      <c r="F10" s="8"/>
      <c r="G10" s="8"/>
      <c r="H10" s="9"/>
      <c r="I10" s="8"/>
      <c r="J10" s="8"/>
      <c r="K10" s="8"/>
      <c r="L10" s="9"/>
      <c r="M10" s="8"/>
      <c r="N10" s="8"/>
      <c r="O10" s="8"/>
      <c r="P10" s="9"/>
      <c r="Q10" s="8"/>
      <c r="R10" s="8"/>
      <c r="S10" s="8"/>
      <c r="T10" s="9"/>
      <c r="U10" s="8"/>
      <c r="V10" s="8"/>
      <c r="W10" s="8"/>
      <c r="X10" s="9"/>
      <c r="Y10" s="8"/>
      <c r="AA10" s="102"/>
      <c r="AG10" s="5" t="str">
        <f>D19</f>
        <v>Anticipo a proveedores</v>
      </c>
      <c r="AH10" s="41">
        <f>D31</f>
        <v>0</v>
      </c>
      <c r="AI10" s="41">
        <f>E31</f>
        <v>0</v>
      </c>
    </row>
    <row r="11" spans="1:35" x14ac:dyDescent="0.25">
      <c r="A11" s="97"/>
      <c r="C11" s="8"/>
      <c r="D11" s="9"/>
      <c r="E11" s="8"/>
      <c r="F11" s="8"/>
      <c r="G11" s="8"/>
      <c r="H11" s="9"/>
      <c r="I11" s="8"/>
      <c r="J11" s="8"/>
      <c r="K11" s="8"/>
      <c r="L11" s="9"/>
      <c r="M11" s="8"/>
      <c r="N11" s="8"/>
      <c r="O11" s="8"/>
      <c r="P11" s="9"/>
      <c r="Q11" s="8"/>
      <c r="R11" s="8"/>
      <c r="S11" s="8"/>
      <c r="T11" s="9"/>
      <c r="U11" s="8"/>
      <c r="V11" s="8"/>
      <c r="W11" s="8"/>
      <c r="X11" s="9"/>
      <c r="Y11" s="8"/>
      <c r="AA11" s="102"/>
      <c r="AG11" s="5" t="str">
        <f>H19</f>
        <v>Inversiones temporales</v>
      </c>
      <c r="AH11" s="41">
        <f>H31</f>
        <v>0</v>
      </c>
      <c r="AI11" s="41">
        <f>I31</f>
        <v>0</v>
      </c>
    </row>
    <row r="12" spans="1:35" x14ac:dyDescent="0.25">
      <c r="A12" s="97"/>
      <c r="C12" s="8"/>
      <c r="D12" s="9"/>
      <c r="E12" s="8"/>
      <c r="F12" s="8"/>
      <c r="G12" s="8"/>
      <c r="H12" s="9"/>
      <c r="I12" s="8"/>
      <c r="J12" s="8"/>
      <c r="K12" s="8"/>
      <c r="L12" s="9"/>
      <c r="M12" s="8"/>
      <c r="N12" s="8"/>
      <c r="O12" s="8"/>
      <c r="P12" s="9"/>
      <c r="Q12" s="8"/>
      <c r="R12" s="8"/>
      <c r="S12" s="8"/>
      <c r="T12" s="9"/>
      <c r="U12" s="8"/>
      <c r="V12" s="8"/>
      <c r="W12" s="8"/>
      <c r="X12" s="9"/>
      <c r="Y12" s="8"/>
      <c r="AA12" s="102"/>
      <c r="AG12" s="5" t="str">
        <f>L19</f>
        <v>Terrenos</v>
      </c>
      <c r="AH12" s="41">
        <f>L31</f>
        <v>0</v>
      </c>
      <c r="AI12" s="41">
        <f>M31</f>
        <v>0</v>
      </c>
    </row>
    <row r="13" spans="1:35" x14ac:dyDescent="0.25">
      <c r="A13" s="97"/>
      <c r="C13" s="8"/>
      <c r="D13" s="9"/>
      <c r="E13" s="8"/>
      <c r="F13" s="8"/>
      <c r="G13" s="8"/>
      <c r="H13" s="9"/>
      <c r="I13" s="8"/>
      <c r="J13" s="8"/>
      <c r="K13" s="8"/>
      <c r="L13" s="9"/>
      <c r="M13" s="8"/>
      <c r="N13" s="8"/>
      <c r="O13" s="8"/>
      <c r="P13" s="9"/>
      <c r="Q13" s="8"/>
      <c r="R13" s="8"/>
      <c r="S13" s="8"/>
      <c r="T13" s="9"/>
      <c r="U13" s="8"/>
      <c r="V13" s="8"/>
      <c r="W13" s="8"/>
      <c r="X13" s="9"/>
      <c r="Y13" s="8"/>
      <c r="AA13" s="102"/>
      <c r="AG13" s="5" t="str">
        <f>P19</f>
        <v>Edificios</v>
      </c>
      <c r="AH13" s="41">
        <f>P31</f>
        <v>0</v>
      </c>
      <c r="AI13" s="41">
        <f>Q31</f>
        <v>0</v>
      </c>
    </row>
    <row r="14" spans="1:35" x14ac:dyDescent="0.25">
      <c r="A14" s="97"/>
      <c r="C14" s="8"/>
      <c r="D14" s="9"/>
      <c r="E14" s="8"/>
      <c r="F14" s="8"/>
      <c r="G14" s="8"/>
      <c r="H14" s="9"/>
      <c r="I14" s="8"/>
      <c r="J14" s="8"/>
      <c r="K14" s="8"/>
      <c r="L14" s="9"/>
      <c r="M14" s="8"/>
      <c r="N14" s="8"/>
      <c r="O14" s="8"/>
      <c r="P14" s="9"/>
      <c r="Q14" s="8"/>
      <c r="R14" s="8"/>
      <c r="S14" s="8"/>
      <c r="T14" s="9"/>
      <c r="U14" s="8"/>
      <c r="V14" s="8"/>
      <c r="W14" s="8"/>
      <c r="X14" s="9"/>
      <c r="Y14" s="8"/>
      <c r="AA14" s="102"/>
      <c r="AG14" s="5" t="str">
        <f>T19</f>
        <v>Mobiliario y equipo</v>
      </c>
      <c r="AH14" s="41">
        <f>T31</f>
        <v>0</v>
      </c>
      <c r="AI14" s="41">
        <f>U31</f>
        <v>0</v>
      </c>
    </row>
    <row r="15" spans="1:35" ht="15.75" thickBot="1" x14ac:dyDescent="0.3">
      <c r="A15" s="97"/>
      <c r="C15" s="8"/>
      <c r="D15" s="37"/>
      <c r="E15" s="37"/>
      <c r="F15" s="8"/>
      <c r="G15" s="8"/>
      <c r="H15" s="37"/>
      <c r="I15" s="37"/>
      <c r="J15" s="8"/>
      <c r="K15" s="8"/>
      <c r="L15" s="37"/>
      <c r="M15" s="37"/>
      <c r="N15" s="8"/>
      <c r="O15" s="8"/>
      <c r="P15" s="37"/>
      <c r="Q15" s="37"/>
      <c r="R15" s="8"/>
      <c r="S15" s="8"/>
      <c r="T15" s="37"/>
      <c r="U15" s="37"/>
      <c r="V15" s="8"/>
      <c r="W15" s="8"/>
      <c r="X15" s="37"/>
      <c r="Y15" s="37"/>
      <c r="AA15" s="102"/>
      <c r="AG15" s="5" t="str">
        <f>X19</f>
        <v>Equipo de computo electronico</v>
      </c>
      <c r="AH15" s="41">
        <f>X31</f>
        <v>0</v>
      </c>
      <c r="AI15" s="41">
        <f>Y31</f>
        <v>0</v>
      </c>
    </row>
    <row r="16" spans="1:35" x14ac:dyDescent="0.25">
      <c r="A16" s="97"/>
      <c r="C16" s="8"/>
      <c r="D16" s="9">
        <f>SUM(D5:D14)</f>
        <v>0</v>
      </c>
      <c r="E16" s="22">
        <f>SUM(E5:E14)</f>
        <v>0</v>
      </c>
      <c r="F16" s="21"/>
      <c r="G16" s="21"/>
      <c r="H16" s="9">
        <f>SUM(H5:H14)</f>
        <v>0</v>
      </c>
      <c r="I16" s="22">
        <f>SUM(I5:I14)</f>
        <v>0</v>
      </c>
      <c r="J16" s="21"/>
      <c r="K16" s="21"/>
      <c r="L16" s="9">
        <f>SUM(L5:L14)</f>
        <v>0</v>
      </c>
      <c r="M16" s="21">
        <f>SUM(M5:M14)</f>
        <v>0</v>
      </c>
      <c r="N16" s="8"/>
      <c r="O16" s="8"/>
      <c r="P16" s="9">
        <f>SUM(P5:P14)</f>
        <v>0</v>
      </c>
      <c r="Q16" s="21">
        <f>SUM(Q5:Q14)</f>
        <v>0</v>
      </c>
      <c r="R16" s="8"/>
      <c r="S16" s="8"/>
      <c r="T16" s="9">
        <f>SUM(T5:T14)</f>
        <v>0</v>
      </c>
      <c r="U16" s="21">
        <f>SUM(U5:U14)</f>
        <v>0</v>
      </c>
      <c r="V16" s="8"/>
      <c r="W16" s="8"/>
      <c r="X16" s="9">
        <f>SUM(X5:X14)</f>
        <v>0</v>
      </c>
      <c r="Y16" s="21">
        <f>SUM(Y5:Y14)</f>
        <v>0</v>
      </c>
      <c r="AA16" s="102"/>
      <c r="AG16" s="5" t="str">
        <f>D34</f>
        <v>Equipo de entrega y reparto</v>
      </c>
      <c r="AH16" s="41">
        <f>D46</f>
        <v>0</v>
      </c>
      <c r="AI16" s="41">
        <f>E46</f>
        <v>0</v>
      </c>
    </row>
    <row r="17" spans="1:35" x14ac:dyDescent="0.25">
      <c r="A17" s="97"/>
      <c r="C17" s="4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AA17" s="102"/>
      <c r="AG17" s="5" t="str">
        <f>H34</f>
        <v>Seguros pagados por anticipado c/p</v>
      </c>
      <c r="AH17" s="41">
        <f>H46</f>
        <v>0</v>
      </c>
      <c r="AI17" s="41">
        <f>I46</f>
        <v>0</v>
      </c>
    </row>
    <row r="18" spans="1:35" x14ac:dyDescent="0.25">
      <c r="A18" s="97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A18" s="102"/>
      <c r="AG18" s="5" t="str">
        <f>L34</f>
        <v>Inversiones permanentes</v>
      </c>
      <c r="AH18" s="41">
        <f>L46</f>
        <v>0</v>
      </c>
      <c r="AI18" s="41">
        <f>M46</f>
        <v>0</v>
      </c>
    </row>
    <row r="19" spans="1:35" x14ac:dyDescent="0.25">
      <c r="A19" s="97"/>
      <c r="C19" s="20">
        <v>7</v>
      </c>
      <c r="D19" s="119" t="s">
        <v>23</v>
      </c>
      <c r="E19" s="119"/>
      <c r="F19" s="14"/>
      <c r="G19" s="20">
        <v>8</v>
      </c>
      <c r="H19" s="119" t="s">
        <v>31</v>
      </c>
      <c r="I19" s="119"/>
      <c r="J19" s="14"/>
      <c r="K19" s="20">
        <v>9</v>
      </c>
      <c r="L19" s="119" t="s">
        <v>24</v>
      </c>
      <c r="M19" s="119"/>
      <c r="N19" s="14"/>
      <c r="O19" s="20">
        <v>10</v>
      </c>
      <c r="P19" s="119" t="s">
        <v>25</v>
      </c>
      <c r="Q19" s="119"/>
      <c r="R19" s="14"/>
      <c r="S19" s="20">
        <v>11</v>
      </c>
      <c r="T19" s="119" t="s">
        <v>26</v>
      </c>
      <c r="U19" s="119"/>
      <c r="V19" s="14"/>
      <c r="W19" s="20">
        <v>12</v>
      </c>
      <c r="X19" s="120" t="s">
        <v>27</v>
      </c>
      <c r="Y19" s="120"/>
      <c r="AA19" s="102"/>
      <c r="AG19" s="5" t="str">
        <f>P34</f>
        <v>Gastos de investigación y desarrollo</v>
      </c>
      <c r="AH19" s="41">
        <f>P46</f>
        <v>0</v>
      </c>
      <c r="AI19" s="41">
        <f>Q46</f>
        <v>0</v>
      </c>
    </row>
    <row r="20" spans="1:35" x14ac:dyDescent="0.25">
      <c r="A20" s="97"/>
      <c r="C20" s="6"/>
      <c r="D20" s="7"/>
      <c r="E20" s="8"/>
      <c r="F20" s="8"/>
      <c r="G20" s="6"/>
      <c r="H20" s="7"/>
      <c r="I20" s="8"/>
      <c r="J20" s="8"/>
      <c r="K20" s="6"/>
      <c r="L20" s="9"/>
      <c r="M20" s="8"/>
      <c r="N20" s="8"/>
      <c r="O20" s="6"/>
      <c r="P20" s="7"/>
      <c r="Q20" s="8"/>
      <c r="R20" s="8"/>
      <c r="S20" s="6"/>
      <c r="T20" s="7"/>
      <c r="U20" s="8"/>
      <c r="V20" s="8"/>
      <c r="W20" s="6"/>
      <c r="X20" s="7"/>
      <c r="Y20" s="8"/>
      <c r="AA20" s="102"/>
      <c r="AG20" s="5" t="str">
        <f>T34</f>
        <v>Gastos de organización</v>
      </c>
      <c r="AH20" s="41">
        <f>T46</f>
        <v>0</v>
      </c>
      <c r="AI20" s="41">
        <f>U46</f>
        <v>0</v>
      </c>
    </row>
    <row r="21" spans="1:35" x14ac:dyDescent="0.25">
      <c r="A21" s="97"/>
      <c r="C21" s="8"/>
      <c r="D21" s="9"/>
      <c r="E21" s="8"/>
      <c r="F21" s="8"/>
      <c r="G21" s="8"/>
      <c r="H21" s="9"/>
      <c r="I21" s="8"/>
      <c r="J21" s="8"/>
      <c r="K21" s="8"/>
      <c r="L21" s="9"/>
      <c r="M21" s="8"/>
      <c r="N21" s="8"/>
      <c r="O21" s="8"/>
      <c r="P21" s="9"/>
      <c r="Q21" s="8"/>
      <c r="R21" s="8"/>
      <c r="S21" s="8"/>
      <c r="T21" s="9"/>
      <c r="U21" s="8"/>
      <c r="V21" s="8"/>
      <c r="W21" s="8"/>
      <c r="X21" s="9"/>
      <c r="Y21" s="8"/>
      <c r="AA21" s="102"/>
      <c r="AG21" s="5" t="str">
        <f>X34</f>
        <v>Gastos de instalación</v>
      </c>
      <c r="AH21" s="41">
        <f>X46</f>
        <v>0</v>
      </c>
      <c r="AI21" s="41">
        <f>Y46</f>
        <v>0</v>
      </c>
    </row>
    <row r="22" spans="1:35" x14ac:dyDescent="0.25">
      <c r="A22" s="97"/>
      <c r="C22" s="8"/>
      <c r="D22" s="9"/>
      <c r="E22" s="8"/>
      <c r="F22" s="8"/>
      <c r="G22" s="8"/>
      <c r="H22" s="9"/>
      <c r="I22" s="8"/>
      <c r="J22" s="8"/>
      <c r="K22" s="8"/>
      <c r="L22" s="9"/>
      <c r="M22" s="8"/>
      <c r="N22" s="8"/>
      <c r="O22" s="8"/>
      <c r="P22" s="9"/>
      <c r="Q22" s="8"/>
      <c r="R22" s="8"/>
      <c r="S22" s="8"/>
      <c r="T22" s="9"/>
      <c r="U22" s="8"/>
      <c r="V22" s="8"/>
      <c r="W22" s="8"/>
      <c r="X22" s="9"/>
      <c r="Y22" s="8"/>
      <c r="AA22" s="102"/>
      <c r="AG22" s="5" t="str">
        <f>D49</f>
        <v>Primas de seguros</v>
      </c>
      <c r="AH22" s="41">
        <f>D61</f>
        <v>0</v>
      </c>
      <c r="AI22" s="41">
        <f>E61</f>
        <v>0</v>
      </c>
    </row>
    <row r="23" spans="1:35" x14ac:dyDescent="0.25">
      <c r="A23" s="97"/>
      <c r="C23" s="8"/>
      <c r="D23" s="9"/>
      <c r="E23" s="8"/>
      <c r="F23" s="8"/>
      <c r="G23" s="8"/>
      <c r="H23" s="9"/>
      <c r="I23" s="8"/>
      <c r="J23" s="8"/>
      <c r="K23" s="8"/>
      <c r="L23" s="9"/>
      <c r="M23" s="8"/>
      <c r="N23" s="8"/>
      <c r="O23" s="8"/>
      <c r="P23" s="9"/>
      <c r="Q23" s="8"/>
      <c r="R23" s="8"/>
      <c r="S23" s="8"/>
      <c r="T23" s="9"/>
      <c r="U23" s="8"/>
      <c r="V23" s="8"/>
      <c r="W23" s="8"/>
      <c r="X23" s="9"/>
      <c r="Y23" s="8"/>
      <c r="AA23" s="102"/>
      <c r="AG23" s="5" t="str">
        <f>H49</f>
        <v>Rentas pagadas por anticipado</v>
      </c>
      <c r="AH23" s="41">
        <f>H61</f>
        <v>0</v>
      </c>
      <c r="AI23" s="41">
        <f>I61</f>
        <v>0</v>
      </c>
    </row>
    <row r="24" spans="1:35" x14ac:dyDescent="0.25">
      <c r="A24" s="97"/>
      <c r="C24" s="8"/>
      <c r="D24" s="9"/>
      <c r="E24" s="8"/>
      <c r="F24" s="8"/>
      <c r="G24" s="8"/>
      <c r="H24" s="9"/>
      <c r="I24" s="8"/>
      <c r="J24" s="8"/>
      <c r="K24" s="8"/>
      <c r="L24" s="9"/>
      <c r="M24" s="8"/>
      <c r="N24" s="8"/>
      <c r="O24" s="8"/>
      <c r="P24" s="9"/>
      <c r="Q24" s="8"/>
      <c r="R24" s="8"/>
      <c r="S24" s="8"/>
      <c r="T24" s="9"/>
      <c r="U24" s="8"/>
      <c r="V24" s="8"/>
      <c r="W24" s="8"/>
      <c r="X24" s="9"/>
      <c r="Y24" s="8"/>
      <c r="AA24" s="102"/>
      <c r="AG24" s="5" t="str">
        <f>L49</f>
        <v>Intereses pagados por anticipado</v>
      </c>
      <c r="AH24" s="41">
        <f>L61</f>
        <v>0</v>
      </c>
      <c r="AI24" s="41">
        <f>M61</f>
        <v>0</v>
      </c>
    </row>
    <row r="25" spans="1:35" x14ac:dyDescent="0.25">
      <c r="A25" s="97"/>
      <c r="C25" s="8"/>
      <c r="D25" s="9"/>
      <c r="E25" s="8"/>
      <c r="F25" s="8"/>
      <c r="G25" s="8"/>
      <c r="H25" s="9"/>
      <c r="I25" s="8"/>
      <c r="J25" s="8"/>
      <c r="K25" s="8"/>
      <c r="L25" s="9"/>
      <c r="M25" s="8"/>
      <c r="N25" s="8"/>
      <c r="O25" s="8"/>
      <c r="P25" s="9"/>
      <c r="Q25" s="8"/>
      <c r="R25" s="8"/>
      <c r="S25" s="8"/>
      <c r="T25" s="9"/>
      <c r="U25" s="8"/>
      <c r="V25" s="8"/>
      <c r="W25" s="8"/>
      <c r="X25" s="9"/>
      <c r="Y25" s="8"/>
      <c r="AA25" s="102"/>
      <c r="AG25" s="5" t="str">
        <f>P49</f>
        <v>IVA pagado</v>
      </c>
      <c r="AH25" s="41">
        <f>P61</f>
        <v>0</v>
      </c>
      <c r="AI25" s="41">
        <f>Q61</f>
        <v>0</v>
      </c>
    </row>
    <row r="26" spans="1:35" x14ac:dyDescent="0.25">
      <c r="A26" s="97"/>
      <c r="C26" s="8"/>
      <c r="D26" s="9"/>
      <c r="E26" s="8"/>
      <c r="F26" s="8"/>
      <c r="G26" s="8"/>
      <c r="H26" s="9"/>
      <c r="I26" s="8"/>
      <c r="J26" s="8"/>
      <c r="K26" s="8"/>
      <c r="L26" s="9"/>
      <c r="M26" s="8"/>
      <c r="N26" s="8"/>
      <c r="O26" s="8"/>
      <c r="P26" s="9"/>
      <c r="Q26" s="8"/>
      <c r="R26" s="8"/>
      <c r="S26" s="8"/>
      <c r="T26" s="9"/>
      <c r="U26" s="8"/>
      <c r="V26" s="8"/>
      <c r="W26" s="8"/>
      <c r="X26" s="9"/>
      <c r="Y26" s="8"/>
      <c r="AA26" s="102"/>
      <c r="AG26" s="5" t="str">
        <f>T49</f>
        <v>IVA acreditable</v>
      </c>
      <c r="AH26" s="41">
        <f>T61</f>
        <v>0</v>
      </c>
      <c r="AI26" s="41">
        <f>U61</f>
        <v>0</v>
      </c>
    </row>
    <row r="27" spans="1:35" x14ac:dyDescent="0.25">
      <c r="A27" s="97"/>
      <c r="C27" s="8"/>
      <c r="D27" s="9"/>
      <c r="E27" s="8"/>
      <c r="F27" s="8"/>
      <c r="G27" s="8"/>
      <c r="H27" s="9"/>
      <c r="I27" s="8"/>
      <c r="J27" s="8"/>
      <c r="K27" s="8"/>
      <c r="L27" s="9"/>
      <c r="M27" s="8"/>
      <c r="N27" s="8"/>
      <c r="O27" s="8"/>
      <c r="P27" s="9"/>
      <c r="Q27" s="8"/>
      <c r="R27" s="8"/>
      <c r="S27" s="8"/>
      <c r="T27" s="9"/>
      <c r="U27" s="8"/>
      <c r="V27" s="8"/>
      <c r="W27" s="8"/>
      <c r="X27" s="9"/>
      <c r="Y27" s="8"/>
      <c r="AA27" s="102"/>
      <c r="AG27" s="5" t="str">
        <f>X49</f>
        <v>Proveedores</v>
      </c>
      <c r="AH27" s="41">
        <f>X61</f>
        <v>0</v>
      </c>
      <c r="AI27" s="41">
        <f>Y61</f>
        <v>0</v>
      </c>
    </row>
    <row r="28" spans="1:35" x14ac:dyDescent="0.25">
      <c r="A28" s="97"/>
      <c r="C28" s="8"/>
      <c r="D28" s="9"/>
      <c r="E28" s="8"/>
      <c r="F28" s="8"/>
      <c r="G28" s="8"/>
      <c r="H28" s="9"/>
      <c r="I28" s="8"/>
      <c r="J28" s="8"/>
      <c r="K28" s="8"/>
      <c r="L28" s="9"/>
      <c r="M28" s="8"/>
      <c r="N28" s="8"/>
      <c r="O28" s="8"/>
      <c r="P28" s="9"/>
      <c r="Q28" s="8"/>
      <c r="R28" s="8"/>
      <c r="S28" s="8"/>
      <c r="T28" s="9"/>
      <c r="U28" s="8"/>
      <c r="V28" s="8"/>
      <c r="W28" s="8"/>
      <c r="X28" s="9"/>
      <c r="Y28" s="8"/>
      <c r="AA28" s="102"/>
      <c r="AG28" s="41" t="str">
        <f>D64</f>
        <v>Documentos por pagar</v>
      </c>
      <c r="AH28" s="41">
        <f>D76</f>
        <v>0</v>
      </c>
      <c r="AI28" s="41">
        <f>E76</f>
        <v>0</v>
      </c>
    </row>
    <row r="29" spans="1:35" x14ac:dyDescent="0.25">
      <c r="A29" s="97"/>
      <c r="C29" s="8"/>
      <c r="D29" s="9"/>
      <c r="E29" s="8"/>
      <c r="F29" s="8"/>
      <c r="G29" s="8"/>
      <c r="H29" s="9"/>
      <c r="I29" s="8"/>
      <c r="J29" s="8"/>
      <c r="K29" s="8"/>
      <c r="L29" s="9"/>
      <c r="M29" s="8"/>
      <c r="N29" s="8"/>
      <c r="O29" s="8"/>
      <c r="P29" s="9"/>
      <c r="Q29" s="8"/>
      <c r="R29" s="8"/>
      <c r="S29" s="8"/>
      <c r="T29" s="9"/>
      <c r="U29" s="8"/>
      <c r="V29" s="8"/>
      <c r="W29" s="8"/>
      <c r="X29" s="9"/>
      <c r="Y29" s="8"/>
      <c r="AA29" s="102"/>
      <c r="AG29" s="5" t="str">
        <f>H64</f>
        <v>Acreedores diversos</v>
      </c>
      <c r="AH29" s="41">
        <f>H76</f>
        <v>0</v>
      </c>
      <c r="AI29" s="41">
        <f>I76</f>
        <v>0</v>
      </c>
    </row>
    <row r="30" spans="1:35" ht="15.75" thickBot="1" x14ac:dyDescent="0.3">
      <c r="A30" s="97"/>
      <c r="C30" s="8"/>
      <c r="D30" s="37"/>
      <c r="E30" s="37"/>
      <c r="F30" s="8"/>
      <c r="G30" s="8"/>
      <c r="H30" s="37"/>
      <c r="I30" s="37"/>
      <c r="J30" s="8"/>
      <c r="K30" s="8"/>
      <c r="L30" s="37"/>
      <c r="M30" s="37"/>
      <c r="N30" s="8"/>
      <c r="O30" s="8"/>
      <c r="P30" s="37"/>
      <c r="Q30" s="37"/>
      <c r="R30" s="8"/>
      <c r="S30" s="8"/>
      <c r="T30" s="37"/>
      <c r="U30" s="37"/>
      <c r="V30" s="8"/>
      <c r="W30" s="8"/>
      <c r="X30" s="37"/>
      <c r="Y30" s="37"/>
      <c r="AA30" s="102"/>
      <c r="AG30" s="5" t="str">
        <f>L64</f>
        <v>Anticipo de clientes</v>
      </c>
      <c r="AH30" s="41">
        <f>L76</f>
        <v>0</v>
      </c>
      <c r="AI30" s="41">
        <f>M76</f>
        <v>0</v>
      </c>
    </row>
    <row r="31" spans="1:35" x14ac:dyDescent="0.25">
      <c r="A31" s="97"/>
      <c r="C31" s="8"/>
      <c r="D31" s="9">
        <f>SUM(D20:D29)</f>
        <v>0</v>
      </c>
      <c r="E31" s="8">
        <f>SUM(E20:E29)</f>
        <v>0</v>
      </c>
      <c r="F31" s="8"/>
      <c r="G31" s="8"/>
      <c r="H31" s="9">
        <f>SUM(H20:H29)</f>
        <v>0</v>
      </c>
      <c r="I31" s="8">
        <f>SUM(I20:I29)</f>
        <v>0</v>
      </c>
      <c r="J31" s="8"/>
      <c r="K31" s="8"/>
      <c r="L31" s="9">
        <f>SUM(L20:L29)</f>
        <v>0</v>
      </c>
      <c r="M31" s="21">
        <f>SUM(M20:M29)</f>
        <v>0</v>
      </c>
      <c r="N31" s="8"/>
      <c r="O31" s="8"/>
      <c r="P31" s="9">
        <f>SUM(P20:P29)</f>
        <v>0</v>
      </c>
      <c r="Q31" s="21">
        <f>SUM(Q20:Q29)</f>
        <v>0</v>
      </c>
      <c r="R31" s="8"/>
      <c r="S31" s="8"/>
      <c r="T31" s="9">
        <f>SUM(T20:T29)</f>
        <v>0</v>
      </c>
      <c r="U31" s="21">
        <f>SUM(U20:U29)</f>
        <v>0</v>
      </c>
      <c r="V31" s="8"/>
      <c r="W31" s="8"/>
      <c r="X31" s="21">
        <f>SUM(X20:X29)</f>
        <v>0</v>
      </c>
      <c r="Y31" s="21">
        <f>SUM(Y20:Y29)</f>
        <v>0</v>
      </c>
      <c r="AA31" s="102"/>
      <c r="AG31" s="5" t="str">
        <f>P64</f>
        <v>Acreedores hipotecarios</v>
      </c>
      <c r="AH31" s="41">
        <f>P76</f>
        <v>0</v>
      </c>
      <c r="AI31" s="41">
        <f>Q76</f>
        <v>0</v>
      </c>
    </row>
    <row r="32" spans="1:35" x14ac:dyDescent="0.25">
      <c r="A32" s="97"/>
      <c r="C32" s="4"/>
      <c r="D32" s="4"/>
      <c r="E32" s="4"/>
      <c r="F32" s="4"/>
      <c r="G32" s="4"/>
      <c r="H32" s="4"/>
      <c r="I32" s="4"/>
      <c r="J32" s="4"/>
      <c r="K32" s="4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4"/>
      <c r="W32" s="4"/>
      <c r="X32" s="4"/>
      <c r="Y32" s="4"/>
      <c r="AA32" s="102"/>
      <c r="AG32" s="5" t="str">
        <f>T64</f>
        <v>Documentos por pagar l/p</v>
      </c>
      <c r="AH32" s="41">
        <f>T76</f>
        <v>0</v>
      </c>
      <c r="AI32" s="41">
        <f>U76</f>
        <v>0</v>
      </c>
    </row>
    <row r="33" spans="1:35" x14ac:dyDescent="0.25">
      <c r="A33" s="97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AA33" s="102"/>
      <c r="AG33" s="5" t="str">
        <f>X64</f>
        <v>Intereses cobrados por anticipado</v>
      </c>
      <c r="AH33" s="41">
        <f>X76</f>
        <v>0</v>
      </c>
      <c r="AI33" s="41">
        <f>Y76</f>
        <v>0</v>
      </c>
    </row>
    <row r="34" spans="1:35" x14ac:dyDescent="0.25">
      <c r="A34" s="97"/>
      <c r="C34" s="20">
        <v>13</v>
      </c>
      <c r="D34" s="120" t="s">
        <v>28</v>
      </c>
      <c r="E34" s="120"/>
      <c r="F34" s="14"/>
      <c r="G34" s="20">
        <v>14</v>
      </c>
      <c r="H34" s="119" t="str">
        <f>'Esquema de mayor'!H34:I34</f>
        <v>Seguros pagados por anticipado c/p</v>
      </c>
      <c r="I34" s="119"/>
      <c r="J34" s="14"/>
      <c r="K34" s="20">
        <v>15</v>
      </c>
      <c r="L34" s="120" t="s">
        <v>30</v>
      </c>
      <c r="M34" s="120"/>
      <c r="N34" s="14"/>
      <c r="O34" s="20">
        <v>16</v>
      </c>
      <c r="P34" s="120" t="s">
        <v>32</v>
      </c>
      <c r="Q34" s="120"/>
      <c r="R34" s="14"/>
      <c r="S34" s="20">
        <v>17</v>
      </c>
      <c r="T34" s="120" t="s">
        <v>33</v>
      </c>
      <c r="U34" s="120"/>
      <c r="V34" s="14"/>
      <c r="W34" s="20">
        <v>18</v>
      </c>
      <c r="X34" s="119" t="s">
        <v>34</v>
      </c>
      <c r="Y34" s="119"/>
      <c r="AA34" s="102"/>
      <c r="AG34" s="5" t="str">
        <f>D79</f>
        <v>IVA cobrado</v>
      </c>
      <c r="AH34" s="41">
        <f>D91</f>
        <v>0</v>
      </c>
      <c r="AI34" s="41">
        <f>E91</f>
        <v>0</v>
      </c>
    </row>
    <row r="35" spans="1:35" x14ac:dyDescent="0.25">
      <c r="A35" s="97"/>
      <c r="C35" s="6"/>
      <c r="D35" s="7"/>
      <c r="E35" s="8"/>
      <c r="F35" s="8"/>
      <c r="G35" s="6"/>
      <c r="H35" s="7"/>
      <c r="I35" s="8"/>
      <c r="J35" s="8"/>
      <c r="K35" s="6"/>
      <c r="L35" s="7"/>
      <c r="M35" s="8"/>
      <c r="N35" s="8"/>
      <c r="O35" s="6"/>
      <c r="P35" s="7"/>
      <c r="Q35" s="8"/>
      <c r="R35" s="8"/>
      <c r="S35" s="6"/>
      <c r="T35" s="7"/>
      <c r="U35" s="8"/>
      <c r="V35" s="8"/>
      <c r="W35" s="6"/>
      <c r="X35" s="7"/>
      <c r="Y35" s="8"/>
      <c r="AA35" s="102"/>
      <c r="AG35" s="5" t="str">
        <f>H79</f>
        <v>IVA por pagar</v>
      </c>
      <c r="AH35" s="41">
        <f>H91</f>
        <v>0</v>
      </c>
      <c r="AI35" s="41">
        <f>I91</f>
        <v>0</v>
      </c>
    </row>
    <row r="36" spans="1:35" x14ac:dyDescent="0.25">
      <c r="A36" s="97"/>
      <c r="C36" s="8"/>
      <c r="D36" s="9"/>
      <c r="E36" s="8"/>
      <c r="F36" s="8"/>
      <c r="G36" s="8"/>
      <c r="H36" s="9"/>
      <c r="I36" s="8"/>
      <c r="J36" s="8"/>
      <c r="K36" s="8"/>
      <c r="L36" s="9"/>
      <c r="M36" s="8"/>
      <c r="N36" s="8"/>
      <c r="O36" s="8"/>
      <c r="P36" s="9"/>
      <c r="Q36" s="8"/>
      <c r="R36" s="8"/>
      <c r="S36" s="8"/>
      <c r="T36" s="9"/>
      <c r="U36" s="8"/>
      <c r="V36" s="8"/>
      <c r="W36" s="8"/>
      <c r="X36" s="9"/>
      <c r="Y36" s="8"/>
      <c r="AA36" s="102"/>
      <c r="AG36" s="5" t="str">
        <f>L79</f>
        <v>Capital</v>
      </c>
      <c r="AH36" s="41">
        <f>L91</f>
        <v>0</v>
      </c>
      <c r="AI36" s="41">
        <f>M91</f>
        <v>0</v>
      </c>
    </row>
    <row r="37" spans="1:35" x14ac:dyDescent="0.25">
      <c r="A37" s="97"/>
      <c r="C37" s="8"/>
      <c r="D37" s="9"/>
      <c r="E37" s="8"/>
      <c r="F37" s="8"/>
      <c r="G37" s="8"/>
      <c r="H37" s="9"/>
      <c r="I37" s="8"/>
      <c r="J37" s="8"/>
      <c r="K37" s="8"/>
      <c r="L37" s="9"/>
      <c r="M37" s="8"/>
      <c r="N37" s="8"/>
      <c r="O37" s="8"/>
      <c r="P37" s="9"/>
      <c r="Q37" s="8"/>
      <c r="R37" s="8"/>
      <c r="S37" s="8"/>
      <c r="T37" s="9"/>
      <c r="U37" s="8"/>
      <c r="V37" s="8"/>
      <c r="W37" s="8"/>
      <c r="X37" s="9"/>
      <c r="Y37" s="8"/>
      <c r="AA37" s="102"/>
      <c r="AG37" s="5" t="str">
        <f>P79</f>
        <v>Utilidades de ejercicios anteriores</v>
      </c>
      <c r="AH37" s="41">
        <f>P91</f>
        <v>0</v>
      </c>
      <c r="AI37" s="41">
        <f>Q91</f>
        <v>0</v>
      </c>
    </row>
    <row r="38" spans="1:35" x14ac:dyDescent="0.25">
      <c r="A38" s="97"/>
      <c r="C38" s="8"/>
      <c r="D38" s="9"/>
      <c r="E38" s="8"/>
      <c r="F38" s="8"/>
      <c r="G38" s="8"/>
      <c r="H38" s="9"/>
      <c r="I38" s="8"/>
      <c r="J38" s="8"/>
      <c r="K38" s="8"/>
      <c r="L38" s="9"/>
      <c r="M38" s="8"/>
      <c r="N38" s="8"/>
      <c r="O38" s="8"/>
      <c r="P38" s="9"/>
      <c r="Q38" s="8"/>
      <c r="R38" s="8"/>
      <c r="S38" s="8"/>
      <c r="T38" s="9"/>
      <c r="U38" s="8"/>
      <c r="V38" s="8"/>
      <c r="W38" s="8"/>
      <c r="X38" s="9"/>
      <c r="Y38" s="8"/>
      <c r="AA38" s="102"/>
      <c r="AG38" s="5" t="str">
        <f>T79</f>
        <v>Utilidad del ejercicio</v>
      </c>
      <c r="AH38" s="41">
        <f>T91</f>
        <v>0</v>
      </c>
      <c r="AI38" s="41">
        <f>U91</f>
        <v>0</v>
      </c>
    </row>
    <row r="39" spans="1:35" x14ac:dyDescent="0.25">
      <c r="A39" s="97"/>
      <c r="C39" s="8"/>
      <c r="D39" s="9"/>
      <c r="E39" s="8"/>
      <c r="F39" s="8"/>
      <c r="G39" s="8"/>
      <c r="H39" s="9"/>
      <c r="I39" s="8"/>
      <c r="J39" s="8"/>
      <c r="K39" s="8"/>
      <c r="L39" s="9"/>
      <c r="M39" s="8"/>
      <c r="N39" s="8"/>
      <c r="O39" s="8"/>
      <c r="P39" s="9"/>
      <c r="Q39" s="8"/>
      <c r="R39" s="8"/>
      <c r="S39" s="8"/>
      <c r="T39" s="9"/>
      <c r="U39" s="8"/>
      <c r="V39" s="8"/>
      <c r="W39" s="8"/>
      <c r="X39" s="9"/>
      <c r="Y39" s="8"/>
      <c r="AA39" s="102"/>
      <c r="AG39" s="5" t="str">
        <f>X79</f>
        <v>Ventas</v>
      </c>
      <c r="AH39" s="41">
        <f>X91</f>
        <v>0</v>
      </c>
      <c r="AI39" s="41">
        <f>Y91</f>
        <v>0</v>
      </c>
    </row>
    <row r="40" spans="1:35" x14ac:dyDescent="0.25">
      <c r="A40" s="97"/>
      <c r="C40" s="8"/>
      <c r="D40" s="9"/>
      <c r="E40" s="8"/>
      <c r="F40" s="8"/>
      <c r="G40" s="8"/>
      <c r="H40" s="9"/>
      <c r="I40" s="8"/>
      <c r="J40" s="8"/>
      <c r="K40" s="8"/>
      <c r="L40" s="9"/>
      <c r="M40" s="8"/>
      <c r="N40" s="8"/>
      <c r="O40" s="8"/>
      <c r="P40" s="9"/>
      <c r="Q40" s="8"/>
      <c r="R40" s="8"/>
      <c r="S40" s="8"/>
      <c r="T40" s="9"/>
      <c r="U40" s="8"/>
      <c r="V40" s="8"/>
      <c r="W40" s="8"/>
      <c r="X40" s="9"/>
      <c r="Y40" s="8"/>
      <c r="AA40" s="102"/>
      <c r="AG40" s="41" t="str">
        <f>D94</f>
        <v>Costo de ventas</v>
      </c>
      <c r="AH40" s="41">
        <f>D106</f>
        <v>0</v>
      </c>
      <c r="AI40" s="41">
        <f>E106</f>
        <v>0</v>
      </c>
    </row>
    <row r="41" spans="1:35" x14ac:dyDescent="0.25">
      <c r="A41" s="97"/>
      <c r="C41" s="8"/>
      <c r="D41" s="9"/>
      <c r="E41" s="8"/>
      <c r="F41" s="8"/>
      <c r="G41" s="8"/>
      <c r="H41" s="9"/>
      <c r="I41" s="8"/>
      <c r="J41" s="8"/>
      <c r="K41" s="8"/>
      <c r="L41" s="9"/>
      <c r="M41" s="8"/>
      <c r="N41" s="8"/>
      <c r="O41" s="8"/>
      <c r="P41" s="9"/>
      <c r="Q41" s="8"/>
      <c r="R41" s="8"/>
      <c r="S41" s="8"/>
      <c r="T41" s="9"/>
      <c r="U41" s="8"/>
      <c r="V41" s="8"/>
      <c r="W41" s="8"/>
      <c r="X41" s="9"/>
      <c r="Y41" s="8"/>
      <c r="AA41" s="102"/>
      <c r="AG41" s="5" t="str">
        <f>H94</f>
        <v>Devoluciones sobre compras</v>
      </c>
      <c r="AH41" s="41">
        <f>H106</f>
        <v>0</v>
      </c>
      <c r="AI41" s="41">
        <f>I106</f>
        <v>0</v>
      </c>
    </row>
    <row r="42" spans="1:35" x14ac:dyDescent="0.25">
      <c r="A42" s="97"/>
      <c r="C42" s="8"/>
      <c r="D42" s="9"/>
      <c r="E42" s="8"/>
      <c r="F42" s="8"/>
      <c r="G42" s="8"/>
      <c r="H42" s="9"/>
      <c r="I42" s="8"/>
      <c r="J42" s="8"/>
      <c r="K42" s="8"/>
      <c r="L42" s="9"/>
      <c r="M42" s="8"/>
      <c r="N42" s="8"/>
      <c r="O42" s="8"/>
      <c r="P42" s="9"/>
      <c r="Q42" s="8"/>
      <c r="R42" s="8"/>
      <c r="S42" s="8"/>
      <c r="T42" s="9"/>
      <c r="U42" s="8"/>
      <c r="V42" s="8"/>
      <c r="W42" s="8"/>
      <c r="X42" s="9"/>
      <c r="Y42" s="8"/>
      <c r="AA42" s="102"/>
      <c r="AG42" s="5" t="str">
        <f>L94</f>
        <v>Gastos de ventas</v>
      </c>
      <c r="AH42" s="41">
        <f>L106</f>
        <v>0</v>
      </c>
      <c r="AI42" s="41">
        <f>M106</f>
        <v>0</v>
      </c>
    </row>
    <row r="43" spans="1:35" x14ac:dyDescent="0.25">
      <c r="A43" s="97"/>
      <c r="C43" s="8"/>
      <c r="D43" s="9"/>
      <c r="E43" s="8"/>
      <c r="F43" s="8"/>
      <c r="G43" s="8"/>
      <c r="H43" s="9"/>
      <c r="I43" s="8"/>
      <c r="J43" s="8"/>
      <c r="K43" s="8"/>
      <c r="L43" s="9"/>
      <c r="M43" s="8"/>
      <c r="N43" s="8"/>
      <c r="O43" s="8"/>
      <c r="P43" s="9"/>
      <c r="Q43" s="8"/>
      <c r="R43" s="8"/>
      <c r="S43" s="8"/>
      <c r="T43" s="9"/>
      <c r="U43" s="8"/>
      <c r="V43" s="8"/>
      <c r="W43" s="8"/>
      <c r="X43" s="9"/>
      <c r="Y43" s="8"/>
      <c r="AA43" s="102"/>
      <c r="AG43" s="5" t="str">
        <f>P94</f>
        <v>Gastos de administración</v>
      </c>
      <c r="AH43" s="41">
        <f>P106</f>
        <v>0</v>
      </c>
      <c r="AI43" s="41">
        <f>Q106</f>
        <v>0</v>
      </c>
    </row>
    <row r="44" spans="1:35" x14ac:dyDescent="0.25">
      <c r="A44" s="97"/>
      <c r="C44" s="8"/>
      <c r="D44" s="9"/>
      <c r="E44" s="8"/>
      <c r="F44" s="8"/>
      <c r="G44" s="8"/>
      <c r="H44" s="9"/>
      <c r="I44" s="8"/>
      <c r="J44" s="8"/>
      <c r="K44" s="8"/>
      <c r="L44" s="9"/>
      <c r="M44" s="8"/>
      <c r="N44" s="8"/>
      <c r="O44" s="8"/>
      <c r="P44" s="9"/>
      <c r="Q44" s="8"/>
      <c r="R44" s="8"/>
      <c r="S44" s="8"/>
      <c r="T44" s="9"/>
      <c r="U44" s="8"/>
      <c r="V44" s="8"/>
      <c r="W44" s="8"/>
      <c r="X44" s="9"/>
      <c r="Y44" s="8"/>
      <c r="AA44" s="102"/>
      <c r="AG44" s="5" t="str">
        <f>T94</f>
        <v>Gastos y productos financieros</v>
      </c>
      <c r="AH44" s="41">
        <f>T106</f>
        <v>0</v>
      </c>
      <c r="AI44" s="41">
        <f>U106</f>
        <v>0</v>
      </c>
    </row>
    <row r="45" spans="1:35" ht="15.75" thickBot="1" x14ac:dyDescent="0.3">
      <c r="A45" s="97"/>
      <c r="C45" s="8"/>
      <c r="D45" s="37"/>
      <c r="E45" s="37"/>
      <c r="F45" s="8"/>
      <c r="G45" s="8"/>
      <c r="H45" s="37"/>
      <c r="I45" s="37"/>
      <c r="J45" s="8"/>
      <c r="K45" s="8"/>
      <c r="L45" s="37"/>
      <c r="M45" s="37"/>
      <c r="N45" s="8"/>
      <c r="O45" s="8"/>
      <c r="P45" s="37"/>
      <c r="Q45" s="37"/>
      <c r="R45" s="8"/>
      <c r="S45" s="8"/>
      <c r="T45" s="37"/>
      <c r="U45" s="37"/>
      <c r="V45" s="8"/>
      <c r="W45" s="8"/>
      <c r="X45" s="37"/>
      <c r="Y45" s="37"/>
      <c r="AA45" s="102"/>
      <c r="AG45" s="5" t="str">
        <f>X94</f>
        <v>Depreciación acumulada de edificios</v>
      </c>
      <c r="AH45" s="41">
        <f>X106</f>
        <v>0</v>
      </c>
      <c r="AI45" s="41">
        <f>Y106</f>
        <v>0</v>
      </c>
    </row>
    <row r="46" spans="1:35" x14ac:dyDescent="0.25">
      <c r="A46" s="97"/>
      <c r="C46" s="8"/>
      <c r="D46" s="9">
        <f>SUM(D35:D44)</f>
        <v>0</v>
      </c>
      <c r="E46" s="8">
        <f>SUM(E35:E44)</f>
        <v>0</v>
      </c>
      <c r="F46" s="8"/>
      <c r="G46" s="8"/>
      <c r="H46" s="9">
        <f>SUM(H35:H44)</f>
        <v>0</v>
      </c>
      <c r="I46" s="8">
        <f>SUM(I35:I44)</f>
        <v>0</v>
      </c>
      <c r="J46" s="8"/>
      <c r="K46" s="8"/>
      <c r="L46" s="9">
        <f>SUM(L35:L44)</f>
        <v>0</v>
      </c>
      <c r="M46" s="8">
        <f>SUM(M35:M44)</f>
        <v>0</v>
      </c>
      <c r="N46" s="8"/>
      <c r="O46" s="8"/>
      <c r="P46" s="9">
        <f>SUM(P35:P44)</f>
        <v>0</v>
      </c>
      <c r="Q46" s="8">
        <f>SUM(Q35:Q44)</f>
        <v>0</v>
      </c>
      <c r="R46" s="8"/>
      <c r="S46" s="8"/>
      <c r="T46" s="9">
        <f>SUM(T35:T44)</f>
        <v>0</v>
      </c>
      <c r="U46" s="8">
        <f>SUM(U35:U44)</f>
        <v>0</v>
      </c>
      <c r="V46" s="8"/>
      <c r="W46" s="8"/>
      <c r="X46" s="9">
        <f>SUM(X35:X44)</f>
        <v>0</v>
      </c>
      <c r="Y46" s="8">
        <f>SUM(Y35:Y44)</f>
        <v>0</v>
      </c>
      <c r="AA46" s="102"/>
      <c r="AG46" s="5" t="str">
        <f>D109</f>
        <v>Depreciación acumulada de equipo de reparto</v>
      </c>
      <c r="AH46" s="41">
        <f>D121</f>
        <v>0</v>
      </c>
      <c r="AI46" s="41">
        <f>E121</f>
        <v>0</v>
      </c>
    </row>
    <row r="47" spans="1:35" x14ac:dyDescent="0.25">
      <c r="A47" s="97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AA47" s="102"/>
      <c r="AG47" s="5" t="str">
        <f>H109</f>
        <v>Depreciación acumulada de mobiliario y equipo</v>
      </c>
      <c r="AH47" s="41">
        <f>H121</f>
        <v>0</v>
      </c>
      <c r="AI47" s="41">
        <f>I121</f>
        <v>0</v>
      </c>
    </row>
    <row r="48" spans="1:35" x14ac:dyDescent="0.25">
      <c r="A48" s="97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AA48" s="102"/>
      <c r="AG48" s="5" t="str">
        <f>L109</f>
        <v>Provisión por cuentas incobrables</v>
      </c>
      <c r="AH48" s="41">
        <f>L121</f>
        <v>0</v>
      </c>
      <c r="AI48" s="41">
        <f>M121</f>
        <v>0</v>
      </c>
    </row>
    <row r="49" spans="1:35" x14ac:dyDescent="0.25">
      <c r="A49" s="97"/>
      <c r="C49" s="12">
        <v>19</v>
      </c>
      <c r="D49" s="119" t="s">
        <v>35</v>
      </c>
      <c r="E49" s="119"/>
      <c r="F49" s="14"/>
      <c r="G49" s="20">
        <v>20</v>
      </c>
      <c r="H49" s="120" t="s">
        <v>36</v>
      </c>
      <c r="I49" s="120"/>
      <c r="J49" s="14"/>
      <c r="K49" s="20">
        <v>21</v>
      </c>
      <c r="L49" s="120" t="s">
        <v>60</v>
      </c>
      <c r="M49" s="120"/>
      <c r="N49" s="14"/>
      <c r="O49" s="20">
        <v>22</v>
      </c>
      <c r="P49" s="119" t="s">
        <v>37</v>
      </c>
      <c r="Q49" s="119"/>
      <c r="R49" s="14"/>
      <c r="S49" s="20">
        <v>23</v>
      </c>
      <c r="T49" s="123" t="s">
        <v>38</v>
      </c>
      <c r="U49" s="124"/>
      <c r="V49" s="14"/>
      <c r="W49" s="39">
        <v>24</v>
      </c>
      <c r="X49" s="122" t="s">
        <v>39</v>
      </c>
      <c r="Y49" s="122"/>
      <c r="AA49" s="102"/>
      <c r="AG49" s="5" t="str">
        <f>P109</f>
        <v>Intereses por pagar</v>
      </c>
      <c r="AH49" s="41">
        <f>P121</f>
        <v>0</v>
      </c>
      <c r="AI49" s="41">
        <f>Q121</f>
        <v>0</v>
      </c>
    </row>
    <row r="50" spans="1:35" x14ac:dyDescent="0.25">
      <c r="A50" s="97"/>
      <c r="C50" s="6"/>
      <c r="D50" s="7"/>
      <c r="E50" s="8"/>
      <c r="F50" s="8"/>
      <c r="G50" s="6"/>
      <c r="H50" s="7"/>
      <c r="I50" s="8"/>
      <c r="J50" s="8"/>
      <c r="K50" s="6"/>
      <c r="L50" s="7"/>
      <c r="M50" s="8"/>
      <c r="N50" s="8"/>
      <c r="O50" s="6"/>
      <c r="P50" s="7"/>
      <c r="Q50" s="8"/>
      <c r="R50" s="8"/>
      <c r="S50" s="6"/>
      <c r="T50" s="7"/>
      <c r="U50" s="8"/>
      <c r="V50" s="8"/>
      <c r="W50" s="6"/>
      <c r="X50" s="7"/>
      <c r="Y50" s="8"/>
      <c r="AA50" s="102"/>
      <c r="AG50" s="5" t="str">
        <f>T109</f>
        <v xml:space="preserve">Perdidadas y ganancias </v>
      </c>
      <c r="AH50" s="41">
        <f>T121</f>
        <v>0</v>
      </c>
      <c r="AI50" s="41">
        <f>U121</f>
        <v>0</v>
      </c>
    </row>
    <row r="51" spans="1:35" x14ac:dyDescent="0.25">
      <c r="A51" s="97"/>
      <c r="C51" s="8"/>
      <c r="D51" s="9"/>
      <c r="E51" s="8"/>
      <c r="F51" s="8"/>
      <c r="G51" s="8"/>
      <c r="H51" s="9"/>
      <c r="I51" s="8"/>
      <c r="J51" s="8"/>
      <c r="K51" s="8"/>
      <c r="L51" s="9"/>
      <c r="M51" s="8"/>
      <c r="N51" s="8"/>
      <c r="O51" s="8"/>
      <c r="P51" s="9"/>
      <c r="Q51" s="8"/>
      <c r="R51" s="8"/>
      <c r="S51" s="8"/>
      <c r="T51" s="9"/>
      <c r="U51" s="8"/>
      <c r="V51" s="8"/>
      <c r="W51" s="8"/>
      <c r="X51" s="9"/>
      <c r="Y51" s="8"/>
      <c r="AA51" s="102"/>
      <c r="AG51" s="5" t="str">
        <f>X109</f>
        <v>Utilidad del ejercicio actual</v>
      </c>
      <c r="AH51" s="41">
        <f>X121</f>
        <v>0</v>
      </c>
      <c r="AI51" s="41">
        <f>Y121</f>
        <v>0</v>
      </c>
    </row>
    <row r="52" spans="1:35" x14ac:dyDescent="0.25">
      <c r="A52" s="97"/>
      <c r="C52" s="8"/>
      <c r="D52" s="9"/>
      <c r="E52" s="8"/>
      <c r="F52" s="8"/>
      <c r="G52" s="8"/>
      <c r="H52" s="9"/>
      <c r="I52" s="8"/>
      <c r="J52" s="8"/>
      <c r="K52" s="8"/>
      <c r="L52" s="9"/>
      <c r="M52" s="8"/>
      <c r="N52" s="8"/>
      <c r="O52" s="8"/>
      <c r="P52" s="9"/>
      <c r="Q52" s="8"/>
      <c r="R52" s="8"/>
      <c r="S52" s="8"/>
      <c r="T52" s="9"/>
      <c r="U52" s="8"/>
      <c r="V52" s="8"/>
      <c r="W52" s="8"/>
      <c r="X52" s="9"/>
      <c r="Y52" s="8"/>
      <c r="AA52" s="102"/>
    </row>
    <row r="53" spans="1:35" x14ac:dyDescent="0.25">
      <c r="A53" s="97"/>
      <c r="C53" s="8"/>
      <c r="D53" s="9"/>
      <c r="E53" s="8"/>
      <c r="F53" s="8"/>
      <c r="G53" s="8"/>
      <c r="H53" s="9"/>
      <c r="I53" s="8"/>
      <c r="J53" s="8"/>
      <c r="K53" s="8"/>
      <c r="L53" s="9"/>
      <c r="M53" s="8"/>
      <c r="N53" s="8"/>
      <c r="O53" s="8"/>
      <c r="P53" s="9"/>
      <c r="Q53" s="8"/>
      <c r="R53" s="8"/>
      <c r="S53" s="8"/>
      <c r="T53" s="9"/>
      <c r="U53" s="8"/>
      <c r="V53" s="8"/>
      <c r="W53" s="8"/>
      <c r="X53" s="9"/>
      <c r="Y53" s="8"/>
      <c r="AA53" s="102"/>
    </row>
    <row r="54" spans="1:35" x14ac:dyDescent="0.25">
      <c r="A54" s="97"/>
      <c r="C54" s="8"/>
      <c r="D54" s="9"/>
      <c r="E54" s="8"/>
      <c r="F54" s="8"/>
      <c r="G54" s="8"/>
      <c r="H54" s="9"/>
      <c r="I54" s="8"/>
      <c r="J54" s="8"/>
      <c r="K54" s="8"/>
      <c r="L54" s="9"/>
      <c r="M54" s="8"/>
      <c r="N54" s="8"/>
      <c r="O54" s="8"/>
      <c r="P54" s="9"/>
      <c r="Q54" s="8"/>
      <c r="R54" s="8"/>
      <c r="S54" s="8"/>
      <c r="T54" s="9"/>
      <c r="U54" s="8"/>
      <c r="V54" s="8"/>
      <c r="W54" s="8"/>
      <c r="X54" s="9"/>
      <c r="Y54" s="8"/>
      <c r="AA54" s="102"/>
    </row>
    <row r="55" spans="1:35" x14ac:dyDescent="0.25">
      <c r="A55" s="97"/>
      <c r="C55" s="8"/>
      <c r="D55" s="9"/>
      <c r="E55" s="8"/>
      <c r="F55" s="8"/>
      <c r="G55" s="8"/>
      <c r="H55" s="9"/>
      <c r="I55" s="8"/>
      <c r="J55" s="8"/>
      <c r="K55" s="8"/>
      <c r="L55" s="9"/>
      <c r="M55" s="8"/>
      <c r="N55" s="8"/>
      <c r="O55" s="8"/>
      <c r="P55" s="9"/>
      <c r="Q55" s="8"/>
      <c r="R55" s="8"/>
      <c r="S55" s="8"/>
      <c r="T55" s="9"/>
      <c r="U55" s="8"/>
      <c r="V55" s="8"/>
      <c r="W55" s="8"/>
      <c r="X55" s="9"/>
      <c r="Y55" s="8"/>
      <c r="AA55" s="102"/>
    </row>
    <row r="56" spans="1:35" x14ac:dyDescent="0.25">
      <c r="A56" s="97"/>
      <c r="C56" s="8"/>
      <c r="D56" s="9"/>
      <c r="E56" s="8"/>
      <c r="F56" s="8"/>
      <c r="G56" s="8"/>
      <c r="H56" s="9"/>
      <c r="I56" s="8"/>
      <c r="J56" s="8"/>
      <c r="K56" s="8"/>
      <c r="L56" s="9"/>
      <c r="M56" s="8"/>
      <c r="N56" s="8"/>
      <c r="O56" s="8"/>
      <c r="P56" s="9"/>
      <c r="Q56" s="8"/>
      <c r="R56" s="8"/>
      <c r="S56" s="8"/>
      <c r="T56" s="9"/>
      <c r="U56" s="8"/>
      <c r="V56" s="8"/>
      <c r="W56" s="8"/>
      <c r="X56" s="9"/>
      <c r="Y56" s="8"/>
      <c r="AA56" s="102"/>
    </row>
    <row r="57" spans="1:35" x14ac:dyDescent="0.25">
      <c r="A57" s="97"/>
      <c r="C57" s="8"/>
      <c r="D57" s="9"/>
      <c r="E57" s="8"/>
      <c r="F57" s="8"/>
      <c r="G57" s="8"/>
      <c r="H57" s="9"/>
      <c r="I57" s="8"/>
      <c r="J57" s="8"/>
      <c r="K57" s="8"/>
      <c r="L57" s="9"/>
      <c r="M57" s="8"/>
      <c r="N57" s="8"/>
      <c r="O57" s="8"/>
      <c r="P57" s="9"/>
      <c r="Q57" s="8"/>
      <c r="R57" s="8"/>
      <c r="S57" s="8"/>
      <c r="T57" s="9"/>
      <c r="U57" s="8"/>
      <c r="V57" s="8"/>
      <c r="W57" s="8"/>
      <c r="X57" s="9"/>
      <c r="Y57" s="8"/>
      <c r="AA57" s="102"/>
    </row>
    <row r="58" spans="1:35" x14ac:dyDescent="0.25">
      <c r="A58" s="97"/>
      <c r="C58" s="8"/>
      <c r="D58" s="9"/>
      <c r="E58" s="8"/>
      <c r="F58" s="8"/>
      <c r="G58" s="8"/>
      <c r="H58" s="9"/>
      <c r="I58" s="8"/>
      <c r="J58" s="8"/>
      <c r="K58" s="8"/>
      <c r="L58" s="9"/>
      <c r="M58" s="8"/>
      <c r="N58" s="8"/>
      <c r="O58" s="8"/>
      <c r="P58" s="9"/>
      <c r="Q58" s="8"/>
      <c r="R58" s="8"/>
      <c r="S58" s="8"/>
      <c r="T58" s="9"/>
      <c r="U58" s="8"/>
      <c r="V58" s="8"/>
      <c r="W58" s="8"/>
      <c r="X58" s="9"/>
      <c r="Y58" s="8"/>
      <c r="AA58" s="102"/>
    </row>
    <row r="59" spans="1:35" x14ac:dyDescent="0.25">
      <c r="A59" s="97"/>
      <c r="C59" s="8"/>
      <c r="D59" s="9"/>
      <c r="E59" s="8"/>
      <c r="F59" s="8"/>
      <c r="G59" s="8"/>
      <c r="H59" s="9"/>
      <c r="I59" s="8"/>
      <c r="J59" s="8"/>
      <c r="K59" s="8"/>
      <c r="L59" s="9"/>
      <c r="M59" s="8"/>
      <c r="N59" s="8"/>
      <c r="O59" s="8"/>
      <c r="P59" s="9"/>
      <c r="Q59" s="8"/>
      <c r="R59" s="8"/>
      <c r="S59" s="8"/>
      <c r="T59" s="9"/>
      <c r="U59" s="8"/>
      <c r="V59" s="8"/>
      <c r="W59" s="8"/>
      <c r="X59" s="9"/>
      <c r="Y59" s="8"/>
      <c r="AA59" s="102"/>
    </row>
    <row r="60" spans="1:35" ht="15.75" thickBot="1" x14ac:dyDescent="0.3">
      <c r="A60" s="97"/>
      <c r="C60" s="8"/>
      <c r="D60" s="37"/>
      <c r="E60" s="37"/>
      <c r="F60" s="8"/>
      <c r="G60" s="8"/>
      <c r="H60" s="37"/>
      <c r="I60" s="37"/>
      <c r="J60" s="8"/>
      <c r="K60" s="8"/>
      <c r="L60" s="37"/>
      <c r="M60" s="37"/>
      <c r="N60" s="8"/>
      <c r="O60" s="8"/>
      <c r="P60" s="37"/>
      <c r="Q60" s="37"/>
      <c r="R60" s="8"/>
      <c r="S60" s="8"/>
      <c r="T60" s="37"/>
      <c r="U60" s="37"/>
      <c r="V60" s="8"/>
      <c r="W60" s="8"/>
      <c r="X60" s="37"/>
      <c r="Y60" s="37"/>
      <c r="AA60" s="102"/>
    </row>
    <row r="61" spans="1:35" x14ac:dyDescent="0.25">
      <c r="A61" s="97"/>
      <c r="C61" s="8"/>
      <c r="D61" s="9">
        <f>SUM(D50:D59)</f>
        <v>0</v>
      </c>
      <c r="E61" s="8">
        <f>SUM(E50:E59)</f>
        <v>0</v>
      </c>
      <c r="F61" s="8"/>
      <c r="G61" s="8"/>
      <c r="H61" s="9">
        <f>SUM(H50:H59)</f>
        <v>0</v>
      </c>
      <c r="I61" s="8">
        <f>SUM(I50:I59)</f>
        <v>0</v>
      </c>
      <c r="J61" s="8"/>
      <c r="K61" s="8"/>
      <c r="L61" s="9">
        <f>SUM(L50:L59)</f>
        <v>0</v>
      </c>
      <c r="M61" s="8">
        <f>SUM(M50:M59)</f>
        <v>0</v>
      </c>
      <c r="N61" s="8"/>
      <c r="O61" s="8"/>
      <c r="P61" s="9">
        <f>SUM(P50:P59)</f>
        <v>0</v>
      </c>
      <c r="Q61" s="8">
        <f>SUM(Q50:Q59)</f>
        <v>0</v>
      </c>
      <c r="R61" s="8"/>
      <c r="S61" s="8"/>
      <c r="T61" s="9">
        <f>SUM(T50:T59)</f>
        <v>0</v>
      </c>
      <c r="U61" s="8">
        <f>SUM(U50:U59)</f>
        <v>0</v>
      </c>
      <c r="V61" s="8"/>
      <c r="W61" s="8"/>
      <c r="X61" s="9">
        <f>SUM(X50:X59)</f>
        <v>0</v>
      </c>
      <c r="Y61" s="8">
        <f>SUM(Y50:Y59)</f>
        <v>0</v>
      </c>
      <c r="AA61" s="102"/>
    </row>
    <row r="62" spans="1:35" x14ac:dyDescent="0.25">
      <c r="A62" s="97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AA62" s="102"/>
    </row>
    <row r="63" spans="1:35" x14ac:dyDescent="0.25">
      <c r="A63" s="97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AA63" s="102"/>
    </row>
    <row r="64" spans="1:35" x14ac:dyDescent="0.25">
      <c r="A64" s="97"/>
      <c r="C64" s="39">
        <v>25</v>
      </c>
      <c r="D64" s="122" t="s">
        <v>40</v>
      </c>
      <c r="E64" s="122"/>
      <c r="F64" s="14"/>
      <c r="G64" s="39">
        <v>26</v>
      </c>
      <c r="H64" s="122" t="s">
        <v>41</v>
      </c>
      <c r="I64" s="122"/>
      <c r="J64" s="14"/>
      <c r="K64" s="39">
        <v>27</v>
      </c>
      <c r="L64" s="122" t="s">
        <v>42</v>
      </c>
      <c r="M64" s="122"/>
      <c r="N64" s="14"/>
      <c r="O64" s="39">
        <v>28</v>
      </c>
      <c r="P64" s="117" t="s">
        <v>43</v>
      </c>
      <c r="Q64" s="117"/>
      <c r="R64" s="14"/>
      <c r="S64" s="39">
        <v>29</v>
      </c>
      <c r="T64" s="117" t="str">
        <f>'Esquema de mayor'!T64:U64</f>
        <v>Documentos por pagar l/p</v>
      </c>
      <c r="U64" s="117"/>
      <c r="V64" s="14"/>
      <c r="W64" s="39">
        <v>30</v>
      </c>
      <c r="X64" s="117" t="s">
        <v>45</v>
      </c>
      <c r="Y64" s="117"/>
      <c r="AA64" s="102"/>
    </row>
    <row r="65" spans="1:27" x14ac:dyDescent="0.25">
      <c r="A65" s="97"/>
      <c r="C65" s="6"/>
      <c r="D65" s="7"/>
      <c r="E65" s="8"/>
      <c r="F65" s="8"/>
      <c r="G65" s="6"/>
      <c r="H65" s="7"/>
      <c r="I65" s="8"/>
      <c r="J65" s="8"/>
      <c r="K65" s="6"/>
      <c r="L65" s="7"/>
      <c r="M65" s="8"/>
      <c r="N65" s="8"/>
      <c r="O65" s="6"/>
      <c r="P65" s="7"/>
      <c r="Q65" s="8"/>
      <c r="R65" s="8"/>
      <c r="S65" s="6"/>
      <c r="T65" s="7"/>
      <c r="U65" s="8"/>
      <c r="V65" s="8"/>
      <c r="W65" s="6"/>
      <c r="X65" s="7"/>
      <c r="Y65" s="8"/>
      <c r="AA65" s="102"/>
    </row>
    <row r="66" spans="1:27" x14ac:dyDescent="0.25">
      <c r="A66" s="97"/>
      <c r="C66" s="8"/>
      <c r="D66" s="9"/>
      <c r="E66" s="8"/>
      <c r="F66" s="8"/>
      <c r="G66" s="8"/>
      <c r="H66" s="9"/>
      <c r="I66" s="8"/>
      <c r="J66" s="8"/>
      <c r="K66" s="8"/>
      <c r="L66" s="9"/>
      <c r="M66" s="8"/>
      <c r="N66" s="8"/>
      <c r="O66" s="8"/>
      <c r="P66" s="9"/>
      <c r="Q66" s="8"/>
      <c r="R66" s="8"/>
      <c r="S66" s="8"/>
      <c r="T66" s="9"/>
      <c r="U66" s="8"/>
      <c r="V66" s="8"/>
      <c r="W66" s="8"/>
      <c r="X66" s="9"/>
      <c r="Y66" s="8"/>
      <c r="AA66" s="102"/>
    </row>
    <row r="67" spans="1:27" x14ac:dyDescent="0.25">
      <c r="A67" s="97"/>
      <c r="C67" s="8"/>
      <c r="D67" s="9"/>
      <c r="E67" s="8"/>
      <c r="F67" s="8"/>
      <c r="G67" s="8"/>
      <c r="H67" s="9"/>
      <c r="I67" s="8"/>
      <c r="J67" s="8"/>
      <c r="K67" s="8"/>
      <c r="L67" s="9"/>
      <c r="M67" s="8"/>
      <c r="N67" s="8"/>
      <c r="O67" s="8"/>
      <c r="P67" s="9"/>
      <c r="Q67" s="8"/>
      <c r="R67" s="8"/>
      <c r="S67" s="8"/>
      <c r="T67" s="9"/>
      <c r="U67" s="8"/>
      <c r="V67" s="8"/>
      <c r="W67" s="8"/>
      <c r="X67" s="9"/>
      <c r="Y67" s="8"/>
      <c r="AA67" s="102"/>
    </row>
    <row r="68" spans="1:27" x14ac:dyDescent="0.25">
      <c r="A68" s="97"/>
      <c r="C68" s="8"/>
      <c r="D68" s="9"/>
      <c r="E68" s="8"/>
      <c r="F68" s="8"/>
      <c r="G68" s="8"/>
      <c r="H68" s="9"/>
      <c r="I68" s="8"/>
      <c r="J68" s="8"/>
      <c r="K68" s="8"/>
      <c r="L68" s="9"/>
      <c r="M68" s="8"/>
      <c r="N68" s="8"/>
      <c r="O68" s="8"/>
      <c r="P68" s="9"/>
      <c r="Q68" s="8"/>
      <c r="R68" s="8"/>
      <c r="S68" s="8"/>
      <c r="T68" s="9"/>
      <c r="U68" s="8"/>
      <c r="V68" s="8"/>
      <c r="W68" s="8"/>
      <c r="X68" s="9"/>
      <c r="Y68" s="8"/>
      <c r="AA68" s="102"/>
    </row>
    <row r="69" spans="1:27" x14ac:dyDescent="0.25">
      <c r="A69" s="97"/>
      <c r="C69" s="8"/>
      <c r="D69" s="9"/>
      <c r="E69" s="8"/>
      <c r="F69" s="8"/>
      <c r="G69" s="8"/>
      <c r="H69" s="9"/>
      <c r="I69" s="8"/>
      <c r="J69" s="8"/>
      <c r="K69" s="8"/>
      <c r="L69" s="9"/>
      <c r="M69" s="8"/>
      <c r="N69" s="8"/>
      <c r="O69" s="8"/>
      <c r="P69" s="9"/>
      <c r="Q69" s="8"/>
      <c r="R69" s="8"/>
      <c r="S69" s="8"/>
      <c r="T69" s="9"/>
      <c r="U69" s="8"/>
      <c r="V69" s="8"/>
      <c r="W69" s="8"/>
      <c r="X69" s="9"/>
      <c r="Y69" s="8"/>
      <c r="AA69" s="102"/>
    </row>
    <row r="70" spans="1:27" x14ac:dyDescent="0.25">
      <c r="A70" s="97"/>
      <c r="C70" s="8"/>
      <c r="D70" s="9"/>
      <c r="E70" s="8"/>
      <c r="F70" s="8"/>
      <c r="G70" s="8"/>
      <c r="H70" s="9"/>
      <c r="I70" s="8"/>
      <c r="J70" s="8"/>
      <c r="K70" s="8"/>
      <c r="L70" s="9"/>
      <c r="M70" s="8"/>
      <c r="N70" s="8"/>
      <c r="O70" s="8"/>
      <c r="P70" s="9"/>
      <c r="Q70" s="8"/>
      <c r="R70" s="8"/>
      <c r="S70" s="8"/>
      <c r="T70" s="9"/>
      <c r="U70" s="8"/>
      <c r="V70" s="8"/>
      <c r="W70" s="8"/>
      <c r="X70" s="9"/>
      <c r="Y70" s="8"/>
      <c r="AA70" s="102"/>
    </row>
    <row r="71" spans="1:27" x14ac:dyDescent="0.25">
      <c r="A71" s="97"/>
      <c r="C71" s="8"/>
      <c r="D71" s="9"/>
      <c r="E71" s="8"/>
      <c r="F71" s="8"/>
      <c r="G71" s="8"/>
      <c r="H71" s="9"/>
      <c r="I71" s="8"/>
      <c r="J71" s="8"/>
      <c r="K71" s="8"/>
      <c r="L71" s="9"/>
      <c r="M71" s="8"/>
      <c r="N71" s="8"/>
      <c r="O71" s="8"/>
      <c r="P71" s="9"/>
      <c r="Q71" s="8"/>
      <c r="R71" s="8"/>
      <c r="S71" s="8"/>
      <c r="T71" s="9"/>
      <c r="U71" s="8"/>
      <c r="V71" s="8"/>
      <c r="W71" s="8"/>
      <c r="X71" s="9"/>
      <c r="Y71" s="8"/>
      <c r="AA71" s="102"/>
    </row>
    <row r="72" spans="1:27" x14ac:dyDescent="0.25">
      <c r="A72" s="97"/>
      <c r="C72" s="8"/>
      <c r="D72" s="9"/>
      <c r="E72" s="8"/>
      <c r="F72" s="8"/>
      <c r="G72" s="8"/>
      <c r="H72" s="9"/>
      <c r="I72" s="8"/>
      <c r="J72" s="8"/>
      <c r="K72" s="8"/>
      <c r="L72" s="9"/>
      <c r="M72" s="8"/>
      <c r="N72" s="8"/>
      <c r="O72" s="8"/>
      <c r="P72" s="9"/>
      <c r="Q72" s="8"/>
      <c r="R72" s="8"/>
      <c r="S72" s="8"/>
      <c r="T72" s="9"/>
      <c r="U72" s="8"/>
      <c r="V72" s="8"/>
      <c r="W72" s="8"/>
      <c r="X72" s="9"/>
      <c r="Y72" s="8"/>
      <c r="AA72" s="102"/>
    </row>
    <row r="73" spans="1:27" x14ac:dyDescent="0.25">
      <c r="A73" s="97"/>
      <c r="C73" s="8"/>
      <c r="D73" s="9"/>
      <c r="E73" s="8"/>
      <c r="F73" s="8"/>
      <c r="G73" s="8"/>
      <c r="H73" s="9"/>
      <c r="I73" s="8"/>
      <c r="J73" s="8"/>
      <c r="K73" s="8"/>
      <c r="L73" s="9"/>
      <c r="M73" s="8"/>
      <c r="N73" s="8"/>
      <c r="O73" s="8"/>
      <c r="P73" s="9"/>
      <c r="Q73" s="8"/>
      <c r="R73" s="8"/>
      <c r="S73" s="8"/>
      <c r="T73" s="9"/>
      <c r="U73" s="8"/>
      <c r="V73" s="8"/>
      <c r="W73" s="8"/>
      <c r="X73" s="9"/>
      <c r="Y73" s="8"/>
      <c r="AA73" s="102"/>
    </row>
    <row r="74" spans="1:27" x14ac:dyDescent="0.25">
      <c r="A74" s="97"/>
      <c r="C74" s="8"/>
      <c r="D74" s="9"/>
      <c r="E74" s="8"/>
      <c r="F74" s="8"/>
      <c r="G74" s="8"/>
      <c r="H74" s="9"/>
      <c r="I74" s="8"/>
      <c r="J74" s="8"/>
      <c r="K74" s="8"/>
      <c r="L74" s="9"/>
      <c r="M74" s="8"/>
      <c r="N74" s="8"/>
      <c r="O74" s="8"/>
      <c r="P74" s="9"/>
      <c r="Q74" s="8"/>
      <c r="R74" s="8"/>
      <c r="S74" s="8"/>
      <c r="T74" s="9"/>
      <c r="U74" s="8"/>
      <c r="V74" s="8"/>
      <c r="W74" s="8"/>
      <c r="X74" s="9"/>
      <c r="Y74" s="8"/>
      <c r="AA74" s="102"/>
    </row>
    <row r="75" spans="1:27" ht="15.75" thickBot="1" x14ac:dyDescent="0.3">
      <c r="A75" s="97"/>
      <c r="C75" s="8"/>
      <c r="D75" s="37"/>
      <c r="E75" s="37"/>
      <c r="F75" s="8"/>
      <c r="G75" s="8"/>
      <c r="H75" s="37"/>
      <c r="I75" s="37"/>
      <c r="J75" s="8"/>
      <c r="K75" s="8"/>
      <c r="L75" s="37"/>
      <c r="M75" s="37"/>
      <c r="N75" s="8"/>
      <c r="O75" s="8"/>
      <c r="P75" s="37"/>
      <c r="Q75" s="37"/>
      <c r="R75" s="8"/>
      <c r="S75" s="8"/>
      <c r="T75" s="37"/>
      <c r="U75" s="37"/>
      <c r="V75" s="8"/>
      <c r="W75" s="8"/>
      <c r="X75" s="37"/>
      <c r="Y75" s="37"/>
      <c r="AA75" s="102"/>
    </row>
    <row r="76" spans="1:27" x14ac:dyDescent="0.25">
      <c r="A76" s="97"/>
      <c r="C76" s="8"/>
      <c r="D76" s="9">
        <f>SUM(D65:D74)</f>
        <v>0</v>
      </c>
      <c r="E76" s="8">
        <f>SUM(E65:E74)</f>
        <v>0</v>
      </c>
      <c r="F76" s="8"/>
      <c r="G76" s="8"/>
      <c r="H76" s="9">
        <f>SUM(H65:H74)</f>
        <v>0</v>
      </c>
      <c r="I76" s="8">
        <f>SUM(I65:I74)</f>
        <v>0</v>
      </c>
      <c r="J76" s="8"/>
      <c r="K76" s="8"/>
      <c r="L76" s="9">
        <f>SUM(L65:L74)</f>
        <v>0</v>
      </c>
      <c r="M76" s="8">
        <f>SUM(M65:M74)</f>
        <v>0</v>
      </c>
      <c r="N76" s="8"/>
      <c r="O76" s="8"/>
      <c r="P76" s="9">
        <f>SUM(P65:P74)</f>
        <v>0</v>
      </c>
      <c r="Q76" s="8">
        <f>SUM(Q65:Q74)</f>
        <v>0</v>
      </c>
      <c r="R76" s="8"/>
      <c r="S76" s="8"/>
      <c r="T76" s="9">
        <f>SUM(T65:T74)</f>
        <v>0</v>
      </c>
      <c r="U76" s="8">
        <f>SUM(U65:U74)</f>
        <v>0</v>
      </c>
      <c r="V76" s="8"/>
      <c r="W76" s="8"/>
      <c r="X76" s="9">
        <f>SUM(X65:X74)</f>
        <v>0</v>
      </c>
      <c r="Y76" s="8">
        <f>SUM(Y65:Y74)</f>
        <v>0</v>
      </c>
      <c r="AA76" s="102"/>
    </row>
    <row r="77" spans="1:27" x14ac:dyDescent="0.25">
      <c r="A77" s="97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AA77" s="102"/>
    </row>
    <row r="78" spans="1:27" x14ac:dyDescent="0.25">
      <c r="A78" s="97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AA78" s="102"/>
    </row>
    <row r="79" spans="1:27" x14ac:dyDescent="0.25">
      <c r="A79" s="97"/>
      <c r="C79" s="16">
        <v>31</v>
      </c>
      <c r="D79" s="117" t="s">
        <v>46</v>
      </c>
      <c r="E79" s="117"/>
      <c r="F79" s="14"/>
      <c r="G79" s="16">
        <v>32</v>
      </c>
      <c r="H79" s="117" t="s">
        <v>47</v>
      </c>
      <c r="I79" s="117"/>
      <c r="J79" s="14"/>
      <c r="K79" s="18">
        <v>33</v>
      </c>
      <c r="L79" s="118" t="s">
        <v>48</v>
      </c>
      <c r="M79" s="118"/>
      <c r="N79" s="14"/>
      <c r="O79" s="19">
        <v>34</v>
      </c>
      <c r="P79" s="114" t="str">
        <f>'Esquema de mayor'!P79:Q79</f>
        <v>Utilidades de ejercicios anteriores</v>
      </c>
      <c r="Q79" s="114"/>
      <c r="R79" s="14"/>
      <c r="S79" s="19">
        <v>35</v>
      </c>
      <c r="T79" s="114" t="str">
        <f>'Esquema de mayor'!T79:U79</f>
        <v>Utilidad del ejercicio</v>
      </c>
      <c r="U79" s="114"/>
      <c r="V79" s="14"/>
      <c r="W79" s="19">
        <v>36</v>
      </c>
      <c r="X79" s="114" t="str">
        <f>'Esquema de mayor'!X79:Y79</f>
        <v>Ventas</v>
      </c>
      <c r="Y79" s="114"/>
      <c r="AA79" s="102"/>
    </row>
    <row r="80" spans="1:27" x14ac:dyDescent="0.25">
      <c r="A80" s="97"/>
      <c r="C80" s="6"/>
      <c r="D80" s="7"/>
      <c r="E80" s="8"/>
      <c r="F80" s="8"/>
      <c r="G80" s="6"/>
      <c r="H80" s="7"/>
      <c r="I80" s="8"/>
      <c r="J80" s="8"/>
      <c r="K80" s="6"/>
      <c r="L80" s="7"/>
      <c r="M80" s="8"/>
      <c r="N80" s="8"/>
      <c r="O80" s="6"/>
      <c r="P80" s="7"/>
      <c r="Q80" s="8"/>
      <c r="R80" s="8"/>
      <c r="S80" s="6"/>
      <c r="T80" s="7"/>
      <c r="U80" s="8"/>
      <c r="V80" s="8"/>
      <c r="W80" s="6"/>
      <c r="X80" s="7"/>
      <c r="Y80" s="8"/>
      <c r="AA80" s="102"/>
    </row>
    <row r="81" spans="1:27" x14ac:dyDescent="0.25">
      <c r="A81" s="97"/>
      <c r="C81" s="8"/>
      <c r="D81" s="9"/>
      <c r="E81" s="8"/>
      <c r="F81" s="8"/>
      <c r="G81" s="8"/>
      <c r="H81" s="9"/>
      <c r="I81" s="8"/>
      <c r="J81" s="8"/>
      <c r="K81" s="8"/>
      <c r="L81" s="9"/>
      <c r="M81" s="8"/>
      <c r="N81" s="8"/>
      <c r="O81" s="8"/>
      <c r="P81" s="9"/>
      <c r="Q81" s="8"/>
      <c r="R81" s="8"/>
      <c r="S81" s="8"/>
      <c r="T81" s="9"/>
      <c r="U81" s="8"/>
      <c r="V81" s="8"/>
      <c r="W81" s="8"/>
      <c r="X81" s="9"/>
      <c r="Y81" s="8"/>
      <c r="AA81" s="102"/>
    </row>
    <row r="82" spans="1:27" x14ac:dyDescent="0.25">
      <c r="A82" s="97"/>
      <c r="C82" s="8"/>
      <c r="D82" s="9"/>
      <c r="E82" s="8"/>
      <c r="F82" s="8"/>
      <c r="G82" s="8"/>
      <c r="H82" s="9"/>
      <c r="I82" s="8"/>
      <c r="J82" s="8"/>
      <c r="K82" s="8"/>
      <c r="L82" s="9"/>
      <c r="M82" s="8"/>
      <c r="N82" s="8"/>
      <c r="O82" s="8"/>
      <c r="P82" s="9"/>
      <c r="Q82" s="8"/>
      <c r="R82" s="8"/>
      <c r="S82" s="8"/>
      <c r="T82" s="9"/>
      <c r="U82" s="8"/>
      <c r="V82" s="8"/>
      <c r="W82" s="8"/>
      <c r="X82" s="9"/>
      <c r="Y82" s="8"/>
      <c r="AA82" s="102"/>
    </row>
    <row r="83" spans="1:27" x14ac:dyDescent="0.25">
      <c r="A83" s="97"/>
      <c r="C83" s="8"/>
      <c r="D83" s="9"/>
      <c r="E83" s="8"/>
      <c r="F83" s="8"/>
      <c r="G83" s="8"/>
      <c r="H83" s="9"/>
      <c r="I83" s="8"/>
      <c r="J83" s="8"/>
      <c r="K83" s="8"/>
      <c r="L83" s="9"/>
      <c r="M83" s="8"/>
      <c r="N83" s="8"/>
      <c r="O83" s="8"/>
      <c r="P83" s="9"/>
      <c r="Q83" s="8"/>
      <c r="R83" s="8"/>
      <c r="S83" s="8"/>
      <c r="T83" s="9"/>
      <c r="U83" s="8"/>
      <c r="V83" s="8"/>
      <c r="W83" s="8"/>
      <c r="X83" s="9"/>
      <c r="Y83" s="8"/>
      <c r="AA83" s="102"/>
    </row>
    <row r="84" spans="1:27" x14ac:dyDescent="0.25">
      <c r="A84" s="97"/>
      <c r="C84" s="8"/>
      <c r="D84" s="9"/>
      <c r="E84" s="8"/>
      <c r="F84" s="8"/>
      <c r="G84" s="8"/>
      <c r="H84" s="9"/>
      <c r="I84" s="8"/>
      <c r="J84" s="8"/>
      <c r="K84" s="8"/>
      <c r="L84" s="9"/>
      <c r="M84" s="8"/>
      <c r="N84" s="8"/>
      <c r="O84" s="8"/>
      <c r="P84" s="9"/>
      <c r="Q84" s="8"/>
      <c r="R84" s="8"/>
      <c r="S84" s="8"/>
      <c r="T84" s="9"/>
      <c r="U84" s="8"/>
      <c r="V84" s="8"/>
      <c r="W84" s="8"/>
      <c r="X84" s="9"/>
      <c r="Y84" s="8"/>
      <c r="AA84" s="102"/>
    </row>
    <row r="85" spans="1:27" x14ac:dyDescent="0.25">
      <c r="A85" s="97"/>
      <c r="C85" s="8"/>
      <c r="D85" s="9"/>
      <c r="E85" s="8"/>
      <c r="F85" s="8"/>
      <c r="G85" s="8"/>
      <c r="H85" s="9"/>
      <c r="I85" s="8"/>
      <c r="J85" s="8"/>
      <c r="K85" s="8"/>
      <c r="L85" s="9"/>
      <c r="M85" s="8"/>
      <c r="N85" s="8"/>
      <c r="O85" s="8"/>
      <c r="P85" s="9"/>
      <c r="Q85" s="8"/>
      <c r="R85" s="8"/>
      <c r="S85" s="8"/>
      <c r="T85" s="9"/>
      <c r="U85" s="8"/>
      <c r="V85" s="8"/>
      <c r="W85" s="8"/>
      <c r="X85" s="9"/>
      <c r="Y85" s="8"/>
      <c r="AA85" s="102"/>
    </row>
    <row r="86" spans="1:27" x14ac:dyDescent="0.25">
      <c r="A86" s="97"/>
      <c r="C86" s="8"/>
      <c r="D86" s="9"/>
      <c r="E86" s="8"/>
      <c r="F86" s="8"/>
      <c r="G86" s="8"/>
      <c r="H86" s="9"/>
      <c r="I86" s="8"/>
      <c r="J86" s="8"/>
      <c r="K86" s="8"/>
      <c r="L86" s="9"/>
      <c r="M86" s="8"/>
      <c r="N86" s="8"/>
      <c r="O86" s="8"/>
      <c r="P86" s="9"/>
      <c r="Q86" s="8"/>
      <c r="R86" s="8"/>
      <c r="S86" s="8"/>
      <c r="T86" s="9"/>
      <c r="U86" s="8"/>
      <c r="V86" s="8"/>
      <c r="W86" s="8"/>
      <c r="X86" s="9"/>
      <c r="Y86" s="8"/>
      <c r="AA86" s="102"/>
    </row>
    <row r="87" spans="1:27" x14ac:dyDescent="0.25">
      <c r="A87" s="97"/>
      <c r="C87" s="8"/>
      <c r="D87" s="9"/>
      <c r="E87" s="8"/>
      <c r="F87" s="8"/>
      <c r="G87" s="8"/>
      <c r="H87" s="9"/>
      <c r="I87" s="8"/>
      <c r="J87" s="8"/>
      <c r="K87" s="8"/>
      <c r="L87" s="9"/>
      <c r="M87" s="8"/>
      <c r="N87" s="8"/>
      <c r="O87" s="8"/>
      <c r="P87" s="9"/>
      <c r="Q87" s="8"/>
      <c r="R87" s="8"/>
      <c r="S87" s="8"/>
      <c r="T87" s="9"/>
      <c r="U87" s="8"/>
      <c r="V87" s="8"/>
      <c r="W87" s="8"/>
      <c r="X87" s="9"/>
      <c r="Y87" s="8"/>
      <c r="AA87" s="102"/>
    </row>
    <row r="88" spans="1:27" x14ac:dyDescent="0.25">
      <c r="A88" s="97"/>
      <c r="C88" s="8"/>
      <c r="D88" s="9"/>
      <c r="E88" s="8"/>
      <c r="F88" s="8"/>
      <c r="G88" s="8"/>
      <c r="H88" s="9"/>
      <c r="I88" s="8"/>
      <c r="J88" s="8"/>
      <c r="K88" s="8"/>
      <c r="L88" s="9"/>
      <c r="M88" s="8"/>
      <c r="N88" s="8"/>
      <c r="O88" s="8"/>
      <c r="P88" s="9"/>
      <c r="Q88" s="8"/>
      <c r="R88" s="8"/>
      <c r="S88" s="8"/>
      <c r="T88" s="9"/>
      <c r="U88" s="8"/>
      <c r="V88" s="8"/>
      <c r="W88" s="8"/>
      <c r="X88" s="9"/>
      <c r="Y88" s="8"/>
      <c r="AA88" s="102"/>
    </row>
    <row r="89" spans="1:27" x14ac:dyDescent="0.25">
      <c r="A89" s="97"/>
      <c r="C89" s="8"/>
      <c r="D89" s="9"/>
      <c r="E89" s="8"/>
      <c r="F89" s="8"/>
      <c r="G89" s="8"/>
      <c r="H89" s="9"/>
      <c r="I89" s="8"/>
      <c r="J89" s="8"/>
      <c r="K89" s="8"/>
      <c r="L89" s="9"/>
      <c r="M89" s="8"/>
      <c r="N89" s="8"/>
      <c r="O89" s="8"/>
      <c r="P89" s="9"/>
      <c r="Q89" s="8"/>
      <c r="R89" s="8"/>
      <c r="S89" s="8"/>
      <c r="T89" s="9"/>
      <c r="U89" s="8"/>
      <c r="V89" s="8"/>
      <c r="W89" s="8"/>
      <c r="X89" s="9"/>
      <c r="Y89" s="8"/>
      <c r="AA89" s="102"/>
    </row>
    <row r="90" spans="1:27" ht="15.75" thickBot="1" x14ac:dyDescent="0.3">
      <c r="A90" s="97"/>
      <c r="C90" s="8"/>
      <c r="D90" s="37"/>
      <c r="E90" s="37"/>
      <c r="F90" s="8"/>
      <c r="G90" s="8"/>
      <c r="H90" s="37"/>
      <c r="I90" s="37"/>
      <c r="J90" s="8"/>
      <c r="K90" s="8"/>
      <c r="L90" s="37"/>
      <c r="M90" s="37"/>
      <c r="N90" s="8"/>
      <c r="O90" s="8"/>
      <c r="P90" s="37"/>
      <c r="Q90" s="37"/>
      <c r="R90" s="8"/>
      <c r="S90" s="8"/>
      <c r="T90" s="37"/>
      <c r="U90" s="37"/>
      <c r="V90" s="8"/>
      <c r="W90" s="8"/>
      <c r="X90" s="37"/>
      <c r="Y90" s="37"/>
      <c r="AA90" s="102"/>
    </row>
    <row r="91" spans="1:27" x14ac:dyDescent="0.25">
      <c r="A91" s="97"/>
      <c r="C91" s="8"/>
      <c r="D91" s="9">
        <f>SUM(D80:D89)</f>
        <v>0</v>
      </c>
      <c r="E91" s="8">
        <f>SUM(E80:E89)</f>
        <v>0</v>
      </c>
      <c r="F91" s="8"/>
      <c r="G91" s="8"/>
      <c r="H91" s="9">
        <f>SUM(H80:H89)</f>
        <v>0</v>
      </c>
      <c r="I91" s="8">
        <f>SUM(I80:I89)</f>
        <v>0</v>
      </c>
      <c r="J91" s="8"/>
      <c r="K91" s="8"/>
      <c r="L91" s="9">
        <f>SUM(L80:L89)</f>
        <v>0</v>
      </c>
      <c r="M91" s="8">
        <f>SUM(M80:M89)</f>
        <v>0</v>
      </c>
      <c r="N91" s="8"/>
      <c r="O91" s="8"/>
      <c r="P91" s="9">
        <f>SUM(P80:P89)</f>
        <v>0</v>
      </c>
      <c r="Q91" s="8">
        <f>SUM(Q80:Q89)</f>
        <v>0</v>
      </c>
      <c r="R91" s="8"/>
      <c r="S91" s="8"/>
      <c r="T91" s="9">
        <f>SUM(T80:T89)</f>
        <v>0</v>
      </c>
      <c r="U91" s="8">
        <f>SUM(U80:U89)</f>
        <v>0</v>
      </c>
      <c r="V91" s="8"/>
      <c r="W91" s="8"/>
      <c r="X91" s="9">
        <f>SUM(X80:X89)</f>
        <v>0</v>
      </c>
      <c r="Y91" s="8">
        <f>SUM(Y80:Y89)</f>
        <v>0</v>
      </c>
      <c r="AA91" s="102"/>
    </row>
    <row r="92" spans="1:27" x14ac:dyDescent="0.25">
      <c r="A92" s="97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AA92" s="102"/>
    </row>
    <row r="93" spans="1:27" x14ac:dyDescent="0.25">
      <c r="A93" s="97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AA93" s="102"/>
    </row>
    <row r="94" spans="1:27" x14ac:dyDescent="0.25">
      <c r="A94" s="97"/>
      <c r="C94" s="19">
        <v>37</v>
      </c>
      <c r="D94" s="114" t="str">
        <f>'Esquema de mayor'!D94:E94</f>
        <v>Costo de ventas</v>
      </c>
      <c r="E94" s="114"/>
      <c r="F94" s="14"/>
      <c r="G94" s="19">
        <v>38</v>
      </c>
      <c r="H94" s="114" t="s">
        <v>53</v>
      </c>
      <c r="I94" s="114"/>
      <c r="J94" s="14"/>
      <c r="K94" s="19">
        <v>39</v>
      </c>
      <c r="L94" s="114" t="str">
        <f>'Esquema de mayor'!L94:M94</f>
        <v>Gastos de ventas</v>
      </c>
      <c r="M94" s="114"/>
      <c r="N94" s="14"/>
      <c r="O94" s="19">
        <v>40</v>
      </c>
      <c r="P94" s="114" t="str">
        <f>'Esquema de mayor'!P94:Q94</f>
        <v>Gastos de administración</v>
      </c>
      <c r="Q94" s="114"/>
      <c r="R94" s="14"/>
      <c r="S94" s="19">
        <v>41</v>
      </c>
      <c r="T94" s="114" t="str">
        <f>'Esquema de mayor'!T94:U94</f>
        <v>Gastos y productos financieros</v>
      </c>
      <c r="U94" s="114"/>
      <c r="V94" s="14"/>
      <c r="W94" s="19">
        <v>42</v>
      </c>
      <c r="X94" s="114" t="str">
        <f>'Esquema de mayor'!X94:Y94</f>
        <v>Depreciación acumulada de edificios</v>
      </c>
      <c r="Y94" s="114"/>
      <c r="AA94" s="102"/>
    </row>
    <row r="95" spans="1:27" x14ac:dyDescent="0.25">
      <c r="A95" s="97"/>
      <c r="C95" s="10"/>
      <c r="D95" s="7"/>
      <c r="E95" s="8"/>
      <c r="F95" s="8"/>
      <c r="G95" s="6"/>
      <c r="H95" s="7"/>
      <c r="I95" s="8"/>
      <c r="J95" s="8"/>
      <c r="K95" s="6"/>
      <c r="L95" s="7"/>
      <c r="M95" s="8"/>
      <c r="N95" s="8"/>
      <c r="O95" s="6"/>
      <c r="P95" s="7"/>
      <c r="Q95" s="8"/>
      <c r="R95" s="8"/>
      <c r="S95" s="6"/>
      <c r="T95" s="7"/>
      <c r="U95" s="8"/>
      <c r="V95" s="8"/>
      <c r="W95" s="6"/>
      <c r="X95" s="7"/>
      <c r="Y95" s="8"/>
      <c r="AA95" s="102"/>
    </row>
    <row r="96" spans="1:27" x14ac:dyDescent="0.25">
      <c r="A96" s="97"/>
      <c r="C96" s="4"/>
      <c r="D96" s="9"/>
      <c r="E96" s="8"/>
      <c r="F96" s="8"/>
      <c r="G96" s="8"/>
      <c r="H96" s="9"/>
      <c r="I96" s="8"/>
      <c r="J96" s="8"/>
      <c r="K96" s="8"/>
      <c r="L96" s="9"/>
      <c r="M96" s="8"/>
      <c r="N96" s="8"/>
      <c r="O96" s="8"/>
      <c r="P96" s="9"/>
      <c r="Q96" s="8"/>
      <c r="R96" s="8"/>
      <c r="S96" s="8"/>
      <c r="T96" s="9"/>
      <c r="U96" s="8"/>
      <c r="V96" s="8"/>
      <c r="W96" s="8"/>
      <c r="X96" s="9"/>
      <c r="Y96" s="8"/>
      <c r="AA96" s="102"/>
    </row>
    <row r="97" spans="1:27" x14ac:dyDescent="0.25">
      <c r="A97" s="97"/>
      <c r="C97" s="4"/>
      <c r="D97" s="9"/>
      <c r="E97" s="8"/>
      <c r="F97" s="8"/>
      <c r="G97" s="8"/>
      <c r="H97" s="9"/>
      <c r="I97" s="8"/>
      <c r="J97" s="8"/>
      <c r="K97" s="8"/>
      <c r="L97" s="9"/>
      <c r="M97" s="8"/>
      <c r="N97" s="8"/>
      <c r="O97" s="8"/>
      <c r="P97" s="9"/>
      <c r="Q97" s="8"/>
      <c r="R97" s="8"/>
      <c r="S97" s="8"/>
      <c r="T97" s="9"/>
      <c r="U97" s="8"/>
      <c r="V97" s="8"/>
      <c r="W97" s="8"/>
      <c r="X97" s="9"/>
      <c r="Y97" s="8"/>
      <c r="AA97" s="102"/>
    </row>
    <row r="98" spans="1:27" x14ac:dyDescent="0.25">
      <c r="A98" s="97"/>
      <c r="C98" s="4"/>
      <c r="D98" s="9"/>
      <c r="E98" s="8"/>
      <c r="F98" s="8"/>
      <c r="G98" s="8"/>
      <c r="H98" s="9"/>
      <c r="I98" s="8"/>
      <c r="J98" s="8"/>
      <c r="K98" s="8"/>
      <c r="L98" s="9"/>
      <c r="M98" s="8"/>
      <c r="N98" s="8"/>
      <c r="O98" s="8"/>
      <c r="P98" s="9"/>
      <c r="Q98" s="8"/>
      <c r="R98" s="8"/>
      <c r="S98" s="8"/>
      <c r="T98" s="9"/>
      <c r="U98" s="8"/>
      <c r="V98" s="8"/>
      <c r="W98" s="8"/>
      <c r="X98" s="9"/>
      <c r="Y98" s="8"/>
      <c r="AA98" s="102"/>
    </row>
    <row r="99" spans="1:27" x14ac:dyDescent="0.25">
      <c r="A99" s="97"/>
      <c r="C99" s="4"/>
      <c r="D99" s="9"/>
      <c r="E99" s="8"/>
      <c r="F99" s="8"/>
      <c r="G99" s="8"/>
      <c r="H99" s="9"/>
      <c r="I99" s="8"/>
      <c r="J99" s="8"/>
      <c r="K99" s="8"/>
      <c r="L99" s="9"/>
      <c r="M99" s="8"/>
      <c r="N99" s="8"/>
      <c r="O99" s="8"/>
      <c r="P99" s="9"/>
      <c r="Q99" s="8"/>
      <c r="R99" s="8"/>
      <c r="S99" s="8"/>
      <c r="T99" s="9"/>
      <c r="U99" s="8"/>
      <c r="V99" s="8"/>
      <c r="W99" s="8"/>
      <c r="X99" s="9"/>
      <c r="Y99" s="8"/>
      <c r="AA99" s="102"/>
    </row>
    <row r="100" spans="1:27" x14ac:dyDescent="0.25">
      <c r="A100" s="97"/>
      <c r="C100" s="4"/>
      <c r="D100" s="9"/>
      <c r="E100" s="8"/>
      <c r="F100" s="8"/>
      <c r="G100" s="8"/>
      <c r="H100" s="9"/>
      <c r="I100" s="8"/>
      <c r="J100" s="8"/>
      <c r="K100" s="8"/>
      <c r="L100" s="9"/>
      <c r="M100" s="8"/>
      <c r="N100" s="8"/>
      <c r="O100" s="8"/>
      <c r="P100" s="9"/>
      <c r="Q100" s="8"/>
      <c r="R100" s="8"/>
      <c r="S100" s="8"/>
      <c r="T100" s="9"/>
      <c r="U100" s="8"/>
      <c r="V100" s="8"/>
      <c r="W100" s="8"/>
      <c r="X100" s="9"/>
      <c r="Y100" s="8"/>
      <c r="AA100" s="102"/>
    </row>
    <row r="101" spans="1:27" x14ac:dyDescent="0.25">
      <c r="A101" s="97"/>
      <c r="C101" s="4"/>
      <c r="D101" s="9"/>
      <c r="E101" s="8"/>
      <c r="F101" s="8"/>
      <c r="G101" s="8"/>
      <c r="H101" s="9"/>
      <c r="I101" s="8"/>
      <c r="J101" s="8"/>
      <c r="K101" s="8"/>
      <c r="L101" s="9"/>
      <c r="M101" s="8"/>
      <c r="N101" s="8"/>
      <c r="O101" s="8"/>
      <c r="P101" s="9"/>
      <c r="Q101" s="8"/>
      <c r="R101" s="8"/>
      <c r="S101" s="8"/>
      <c r="T101" s="9"/>
      <c r="U101" s="8"/>
      <c r="V101" s="8"/>
      <c r="W101" s="8"/>
      <c r="X101" s="9"/>
      <c r="Y101" s="8"/>
      <c r="AA101" s="102"/>
    </row>
    <row r="102" spans="1:27" x14ac:dyDescent="0.25">
      <c r="A102" s="97"/>
      <c r="C102" s="4"/>
      <c r="D102" s="9"/>
      <c r="E102" s="8"/>
      <c r="F102" s="8"/>
      <c r="G102" s="8"/>
      <c r="H102" s="9"/>
      <c r="I102" s="8"/>
      <c r="J102" s="8"/>
      <c r="K102" s="8"/>
      <c r="L102" s="9"/>
      <c r="M102" s="8"/>
      <c r="N102" s="8"/>
      <c r="O102" s="8"/>
      <c r="P102" s="9"/>
      <c r="Q102" s="8"/>
      <c r="R102" s="8"/>
      <c r="S102" s="8"/>
      <c r="T102" s="9"/>
      <c r="U102" s="8"/>
      <c r="V102" s="8"/>
      <c r="W102" s="8"/>
      <c r="X102" s="9"/>
      <c r="Y102" s="8"/>
      <c r="AA102" s="102"/>
    </row>
    <row r="103" spans="1:27" x14ac:dyDescent="0.25">
      <c r="A103" s="97"/>
      <c r="C103" s="4"/>
      <c r="D103" s="9"/>
      <c r="E103" s="8"/>
      <c r="F103" s="8"/>
      <c r="G103" s="8"/>
      <c r="H103" s="9"/>
      <c r="I103" s="8"/>
      <c r="J103" s="8"/>
      <c r="K103" s="8"/>
      <c r="L103" s="9"/>
      <c r="M103" s="8"/>
      <c r="N103" s="8"/>
      <c r="O103" s="8"/>
      <c r="P103" s="9"/>
      <c r="Q103" s="8"/>
      <c r="R103" s="8"/>
      <c r="S103" s="8"/>
      <c r="T103" s="9"/>
      <c r="U103" s="8"/>
      <c r="V103" s="8"/>
      <c r="W103" s="8"/>
      <c r="X103" s="9"/>
      <c r="Y103" s="8"/>
      <c r="AA103" s="102"/>
    </row>
    <row r="104" spans="1:27" x14ac:dyDescent="0.25">
      <c r="A104" s="97"/>
      <c r="C104" s="4"/>
      <c r="D104" s="9"/>
      <c r="E104" s="8"/>
      <c r="F104" s="8"/>
      <c r="G104" s="8"/>
      <c r="H104" s="9"/>
      <c r="I104" s="8"/>
      <c r="J104" s="8"/>
      <c r="K104" s="8"/>
      <c r="L104" s="9"/>
      <c r="M104" s="8"/>
      <c r="N104" s="8"/>
      <c r="O104" s="8"/>
      <c r="P104" s="9"/>
      <c r="Q104" s="8"/>
      <c r="R104" s="8"/>
      <c r="S104" s="8"/>
      <c r="T104" s="9"/>
      <c r="U104" s="8"/>
      <c r="V104" s="8"/>
      <c r="W104" s="8"/>
      <c r="X104" s="9"/>
      <c r="Y104" s="8"/>
      <c r="AA104" s="102"/>
    </row>
    <row r="105" spans="1:27" ht="15.75" thickBot="1" x14ac:dyDescent="0.3">
      <c r="A105" s="97"/>
      <c r="C105" s="4"/>
      <c r="D105" s="37"/>
      <c r="E105" s="37"/>
      <c r="F105" s="8"/>
      <c r="G105" s="8"/>
      <c r="H105" s="37"/>
      <c r="I105" s="37"/>
      <c r="J105" s="8"/>
      <c r="K105" s="8"/>
      <c r="L105" s="37"/>
      <c r="M105" s="37"/>
      <c r="N105" s="8"/>
      <c r="O105" s="8"/>
      <c r="P105" s="37"/>
      <c r="Q105" s="37"/>
      <c r="R105" s="8"/>
      <c r="S105" s="8"/>
      <c r="T105" s="37"/>
      <c r="U105" s="37"/>
      <c r="V105" s="8"/>
      <c r="W105" s="8"/>
      <c r="X105" s="37"/>
      <c r="Y105" s="37"/>
      <c r="AA105" s="102"/>
    </row>
    <row r="106" spans="1:27" x14ac:dyDescent="0.25">
      <c r="A106" s="97"/>
      <c r="C106" s="4"/>
      <c r="D106" s="9">
        <f>SUM(D95:D104)</f>
        <v>0</v>
      </c>
      <c r="E106" s="8">
        <f>SUM(E95:E104)</f>
        <v>0</v>
      </c>
      <c r="F106" s="8"/>
      <c r="G106" s="8"/>
      <c r="H106" s="9">
        <f>SUM(H95:H104)</f>
        <v>0</v>
      </c>
      <c r="I106" s="8">
        <f>SUM(I95:I104)</f>
        <v>0</v>
      </c>
      <c r="J106" s="8"/>
      <c r="K106" s="8"/>
      <c r="L106" s="9">
        <f>SUM(L95:L104)</f>
        <v>0</v>
      </c>
      <c r="M106" s="8">
        <f>SUM(M95:M104)</f>
        <v>0</v>
      </c>
      <c r="N106" s="8"/>
      <c r="O106" s="8"/>
      <c r="P106" s="9">
        <f>SUM(P95:P104)</f>
        <v>0</v>
      </c>
      <c r="Q106" s="8">
        <f>SUM(Q95:Q104)</f>
        <v>0</v>
      </c>
      <c r="R106" s="8"/>
      <c r="S106" s="8"/>
      <c r="T106" s="9">
        <f>SUM(T95:T104)</f>
        <v>0</v>
      </c>
      <c r="U106" s="8">
        <f>SUM(U95:U104)</f>
        <v>0</v>
      </c>
      <c r="V106" s="8"/>
      <c r="W106" s="8"/>
      <c r="X106" s="9">
        <f>SUM(X95:X104)</f>
        <v>0</v>
      </c>
      <c r="Y106" s="8">
        <f>SUM(Y95:Y104)</f>
        <v>0</v>
      </c>
      <c r="AA106" s="102"/>
    </row>
    <row r="107" spans="1:27" x14ac:dyDescent="0.25">
      <c r="A107" s="97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AA107" s="102"/>
    </row>
    <row r="108" spans="1:27" x14ac:dyDescent="0.25">
      <c r="A108" s="97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AA108" s="102"/>
    </row>
    <row r="109" spans="1:27" x14ac:dyDescent="0.25">
      <c r="A109" s="97"/>
      <c r="C109" s="19">
        <v>43</v>
      </c>
      <c r="D109" s="114" t="str">
        <f>'Esquema de mayor'!D109:E109</f>
        <v>Depreciación acumulada de equipo de reparto</v>
      </c>
      <c r="E109" s="114"/>
      <c r="F109" s="14"/>
      <c r="G109" s="19">
        <v>44</v>
      </c>
      <c r="H109" s="115" t="str">
        <f>'Esquema de mayor'!H109:I109</f>
        <v>Depreciación acumulada de mobiliario y equipo</v>
      </c>
      <c r="I109" s="115"/>
      <c r="J109" s="4"/>
      <c r="K109" s="30">
        <v>45</v>
      </c>
      <c r="L109" s="116" t="str">
        <f>'Esquema de mayor'!L109</f>
        <v>Provisión por cuentas incobrables</v>
      </c>
      <c r="M109" s="116"/>
      <c r="N109" s="4"/>
      <c r="O109" s="30">
        <v>46</v>
      </c>
      <c r="P109" s="116" t="str">
        <f>'Esquema de mayor'!P109</f>
        <v>Intereses por pagar</v>
      </c>
      <c r="Q109" s="116"/>
      <c r="R109" s="4"/>
      <c r="S109" s="30">
        <v>47</v>
      </c>
      <c r="T109" s="116" t="str">
        <f>'Esquema de mayor'!T109</f>
        <v xml:space="preserve">Perdidadas y ganancias </v>
      </c>
      <c r="U109" s="116"/>
      <c r="V109" s="4"/>
      <c r="W109" s="30">
        <v>48</v>
      </c>
      <c r="X109" s="116" t="str">
        <f>'Esquema de mayor'!X109</f>
        <v>Utilidad del ejercicio actual</v>
      </c>
      <c r="Y109" s="116"/>
      <c r="AA109" s="102"/>
    </row>
    <row r="110" spans="1:27" x14ac:dyDescent="0.25">
      <c r="A110" s="97"/>
      <c r="C110" s="10"/>
      <c r="D110" s="7"/>
      <c r="E110" s="8"/>
      <c r="F110" s="8"/>
      <c r="G110" s="6"/>
      <c r="H110" s="7"/>
      <c r="I110" s="8"/>
      <c r="J110" s="4"/>
      <c r="K110" s="6"/>
      <c r="L110" s="7"/>
      <c r="M110" s="8"/>
      <c r="N110" s="4"/>
      <c r="O110" s="6"/>
      <c r="P110" s="7"/>
      <c r="Q110" s="8"/>
      <c r="R110" s="4"/>
      <c r="S110" s="6"/>
      <c r="T110" s="7"/>
      <c r="U110" s="8"/>
      <c r="V110" s="4"/>
      <c r="W110" s="6"/>
      <c r="X110" s="7"/>
      <c r="Y110" s="8"/>
      <c r="AA110" s="102"/>
    </row>
    <row r="111" spans="1:27" x14ac:dyDescent="0.25">
      <c r="A111" s="97"/>
      <c r="C111" s="4"/>
      <c r="D111" s="9"/>
      <c r="E111" s="8"/>
      <c r="F111" s="8"/>
      <c r="G111" s="8"/>
      <c r="H111" s="9"/>
      <c r="I111" s="8"/>
      <c r="J111" s="4"/>
      <c r="K111" s="8"/>
      <c r="L111" s="9"/>
      <c r="M111" s="8"/>
      <c r="N111" s="4"/>
      <c r="O111" s="8"/>
      <c r="P111" s="9"/>
      <c r="Q111" s="8"/>
      <c r="R111" s="4"/>
      <c r="S111" s="8"/>
      <c r="T111" s="9"/>
      <c r="U111" s="8"/>
      <c r="V111" s="4"/>
      <c r="W111" s="8"/>
      <c r="X111" s="9"/>
      <c r="Y111" s="8"/>
      <c r="AA111" s="102"/>
    </row>
    <row r="112" spans="1:27" x14ac:dyDescent="0.25">
      <c r="A112" s="97"/>
      <c r="C112" s="4"/>
      <c r="D112" s="9"/>
      <c r="E112" s="8"/>
      <c r="F112" s="8"/>
      <c r="G112" s="8"/>
      <c r="H112" s="9"/>
      <c r="I112" s="8"/>
      <c r="J112" s="4"/>
      <c r="K112" s="8"/>
      <c r="L112" s="9"/>
      <c r="M112" s="8"/>
      <c r="N112" s="4"/>
      <c r="O112" s="8"/>
      <c r="P112" s="9"/>
      <c r="Q112" s="8"/>
      <c r="R112" s="4"/>
      <c r="S112" s="8"/>
      <c r="T112" s="9"/>
      <c r="U112" s="8"/>
      <c r="V112" s="4"/>
      <c r="W112" s="8"/>
      <c r="X112" s="9"/>
      <c r="Y112" s="8"/>
      <c r="AA112" s="102"/>
    </row>
    <row r="113" spans="1:27" x14ac:dyDescent="0.25">
      <c r="A113" s="97"/>
      <c r="C113" s="4"/>
      <c r="D113" s="9"/>
      <c r="E113" s="8"/>
      <c r="F113" s="8"/>
      <c r="G113" s="8"/>
      <c r="H113" s="9"/>
      <c r="I113" s="8"/>
      <c r="J113" s="4"/>
      <c r="K113" s="8"/>
      <c r="L113" s="9"/>
      <c r="M113" s="8"/>
      <c r="N113" s="4"/>
      <c r="O113" s="8"/>
      <c r="P113" s="9"/>
      <c r="Q113" s="8"/>
      <c r="R113" s="4"/>
      <c r="S113" s="8"/>
      <c r="T113" s="9"/>
      <c r="U113" s="8"/>
      <c r="V113" s="4"/>
      <c r="W113" s="8"/>
      <c r="X113" s="9"/>
      <c r="Y113" s="8"/>
      <c r="AA113" s="102"/>
    </row>
    <row r="114" spans="1:27" x14ac:dyDescent="0.25">
      <c r="A114" s="97"/>
      <c r="C114" s="4"/>
      <c r="D114" s="9"/>
      <c r="E114" s="8"/>
      <c r="F114" s="8"/>
      <c r="G114" s="8"/>
      <c r="H114" s="9"/>
      <c r="I114" s="8"/>
      <c r="J114" s="4"/>
      <c r="K114" s="8"/>
      <c r="L114" s="9"/>
      <c r="M114" s="8"/>
      <c r="N114" s="4"/>
      <c r="O114" s="8"/>
      <c r="P114" s="9"/>
      <c r="Q114" s="8"/>
      <c r="R114" s="4"/>
      <c r="S114" s="8"/>
      <c r="T114" s="9"/>
      <c r="U114" s="8"/>
      <c r="V114" s="4"/>
      <c r="W114" s="8"/>
      <c r="X114" s="9"/>
      <c r="Y114" s="8"/>
      <c r="AA114" s="102"/>
    </row>
    <row r="115" spans="1:27" x14ac:dyDescent="0.25">
      <c r="A115" s="97"/>
      <c r="C115" s="4"/>
      <c r="D115" s="9"/>
      <c r="E115" s="8"/>
      <c r="F115" s="8"/>
      <c r="G115" s="8"/>
      <c r="H115" s="9"/>
      <c r="I115" s="8"/>
      <c r="J115" s="4"/>
      <c r="K115" s="8"/>
      <c r="L115" s="9"/>
      <c r="M115" s="8"/>
      <c r="N115" s="4"/>
      <c r="O115" s="8"/>
      <c r="P115" s="9"/>
      <c r="Q115" s="8"/>
      <c r="R115" s="4"/>
      <c r="S115" s="8"/>
      <c r="T115" s="9"/>
      <c r="U115" s="8"/>
      <c r="V115" s="4"/>
      <c r="W115" s="8"/>
      <c r="X115" s="9"/>
      <c r="Y115" s="8"/>
      <c r="AA115" s="102"/>
    </row>
    <row r="116" spans="1:27" x14ac:dyDescent="0.25">
      <c r="A116" s="97"/>
      <c r="C116" s="4"/>
      <c r="D116" s="9"/>
      <c r="E116" s="8"/>
      <c r="F116" s="8"/>
      <c r="G116" s="8"/>
      <c r="H116" s="9"/>
      <c r="I116" s="8"/>
      <c r="J116" s="4"/>
      <c r="K116" s="8"/>
      <c r="L116" s="9"/>
      <c r="M116" s="8"/>
      <c r="N116" s="4"/>
      <c r="O116" s="8"/>
      <c r="P116" s="9"/>
      <c r="Q116" s="8"/>
      <c r="R116" s="4"/>
      <c r="S116" s="8"/>
      <c r="T116" s="9"/>
      <c r="U116" s="8"/>
      <c r="V116" s="4"/>
      <c r="W116" s="8"/>
      <c r="X116" s="9"/>
      <c r="Y116" s="8"/>
      <c r="AA116" s="102"/>
    </row>
    <row r="117" spans="1:27" x14ac:dyDescent="0.25">
      <c r="A117" s="97"/>
      <c r="C117" s="4"/>
      <c r="D117" s="9"/>
      <c r="E117" s="8"/>
      <c r="F117" s="8"/>
      <c r="G117" s="8"/>
      <c r="H117" s="9"/>
      <c r="I117" s="8"/>
      <c r="J117" s="4"/>
      <c r="K117" s="8"/>
      <c r="L117" s="9"/>
      <c r="M117" s="8"/>
      <c r="N117" s="4"/>
      <c r="O117" s="8"/>
      <c r="P117" s="9"/>
      <c r="Q117" s="8"/>
      <c r="R117" s="4"/>
      <c r="S117" s="8"/>
      <c r="T117" s="9"/>
      <c r="U117" s="8"/>
      <c r="V117" s="4"/>
      <c r="W117" s="8"/>
      <c r="X117" s="9"/>
      <c r="Y117" s="8"/>
      <c r="AA117" s="102"/>
    </row>
    <row r="118" spans="1:27" x14ac:dyDescent="0.25">
      <c r="A118" s="97"/>
      <c r="C118" s="4"/>
      <c r="D118" s="9"/>
      <c r="E118" s="8"/>
      <c r="F118" s="8"/>
      <c r="G118" s="8"/>
      <c r="H118" s="9"/>
      <c r="I118" s="8"/>
      <c r="J118" s="4"/>
      <c r="K118" s="8"/>
      <c r="L118" s="9"/>
      <c r="M118" s="8"/>
      <c r="N118" s="4"/>
      <c r="O118" s="8"/>
      <c r="P118" s="9"/>
      <c r="Q118" s="8"/>
      <c r="R118" s="4"/>
      <c r="S118" s="8"/>
      <c r="T118" s="9"/>
      <c r="U118" s="8"/>
      <c r="V118" s="4"/>
      <c r="W118" s="8"/>
      <c r="X118" s="9"/>
      <c r="Y118" s="8"/>
      <c r="AA118" s="102"/>
    </row>
    <row r="119" spans="1:27" x14ac:dyDescent="0.25">
      <c r="A119" s="97"/>
      <c r="C119" s="4"/>
      <c r="D119" s="9"/>
      <c r="E119" s="8"/>
      <c r="F119" s="8"/>
      <c r="G119" s="8"/>
      <c r="H119" s="9"/>
      <c r="I119" s="8"/>
      <c r="J119" s="4"/>
      <c r="K119" s="8"/>
      <c r="L119" s="9"/>
      <c r="M119" s="8"/>
      <c r="N119" s="4"/>
      <c r="O119" s="8"/>
      <c r="P119" s="9"/>
      <c r="Q119" s="8"/>
      <c r="R119" s="4"/>
      <c r="S119" s="8"/>
      <c r="T119" s="9"/>
      <c r="U119" s="8"/>
      <c r="V119" s="4"/>
      <c r="W119" s="8"/>
      <c r="X119" s="9"/>
      <c r="Y119" s="8"/>
      <c r="AA119" s="102"/>
    </row>
    <row r="120" spans="1:27" ht="15.75" thickBot="1" x14ac:dyDescent="0.3">
      <c r="A120" s="97"/>
      <c r="C120" s="4"/>
      <c r="D120" s="37"/>
      <c r="E120" s="37"/>
      <c r="F120" s="8"/>
      <c r="G120" s="8"/>
      <c r="H120" s="37"/>
      <c r="I120" s="37"/>
      <c r="J120" s="4"/>
      <c r="K120" s="8"/>
      <c r="L120" s="37"/>
      <c r="M120" s="37"/>
      <c r="N120" s="4"/>
      <c r="O120" s="8"/>
      <c r="P120" s="37"/>
      <c r="Q120" s="37"/>
      <c r="R120" s="4"/>
      <c r="S120" s="8"/>
      <c r="T120" s="37"/>
      <c r="U120" s="37"/>
      <c r="V120" s="4"/>
      <c r="W120" s="8"/>
      <c r="X120" s="37"/>
      <c r="Y120" s="37"/>
      <c r="AA120" s="102"/>
    </row>
    <row r="121" spans="1:27" x14ac:dyDescent="0.25">
      <c r="A121" s="97"/>
      <c r="C121" s="4"/>
      <c r="D121" s="9">
        <f>SUM(D110:D119)</f>
        <v>0</v>
      </c>
      <c r="E121" s="8">
        <f>SUM(E110:E119)</f>
        <v>0</v>
      </c>
      <c r="F121" s="8"/>
      <c r="G121" s="8"/>
      <c r="H121" s="9">
        <f>SUM(H110:H119)</f>
        <v>0</v>
      </c>
      <c r="I121" s="8">
        <f>SUM(I110:I119)</f>
        <v>0</v>
      </c>
      <c r="J121" s="4"/>
      <c r="K121" s="8"/>
      <c r="L121" s="9">
        <f>SUM(L110:L119)</f>
        <v>0</v>
      </c>
      <c r="M121" s="8">
        <f>SUM(M110:M119)</f>
        <v>0</v>
      </c>
      <c r="N121" s="4"/>
      <c r="O121" s="8"/>
      <c r="P121" s="9">
        <f>SUM(P110:P119)</f>
        <v>0</v>
      </c>
      <c r="Q121" s="8">
        <f>SUM(Q110:Q119)</f>
        <v>0</v>
      </c>
      <c r="R121" s="4"/>
      <c r="S121" s="8"/>
      <c r="T121" s="9">
        <f>SUM(T110:T119)</f>
        <v>0</v>
      </c>
      <c r="U121" s="8">
        <f>SUM(U110:U119)</f>
        <v>0</v>
      </c>
      <c r="V121" s="4"/>
      <c r="W121" s="8"/>
      <c r="X121" s="9">
        <f>SUM(X110:X119)</f>
        <v>0</v>
      </c>
      <c r="Y121" s="8">
        <f>SUM(Y110:Y119)</f>
        <v>0</v>
      </c>
      <c r="AA121" s="102"/>
    </row>
    <row r="123" spans="1:27" s="36" customFormat="1" ht="29.25" customHeight="1" x14ac:dyDescent="0.25">
      <c r="C123" s="105">
        <f>'Balanza de comprobación'!L54-'Balanza de comprobación'!M54</f>
        <v>7462.07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</row>
  </sheetData>
  <mergeCells count="54">
    <mergeCell ref="T4:U4"/>
    <mergeCell ref="X4:Y4"/>
    <mergeCell ref="P34:Q34"/>
    <mergeCell ref="T34:U34"/>
    <mergeCell ref="T49:U49"/>
    <mergeCell ref="X49:Y49"/>
    <mergeCell ref="A4:A121"/>
    <mergeCell ref="D4:E4"/>
    <mergeCell ref="H4:I4"/>
    <mergeCell ref="L4:M4"/>
    <mergeCell ref="P4:Q4"/>
    <mergeCell ref="D64:E64"/>
    <mergeCell ref="H64:I64"/>
    <mergeCell ref="L64:M64"/>
    <mergeCell ref="P64:Q64"/>
    <mergeCell ref="AA4:AA121"/>
    <mergeCell ref="D19:E19"/>
    <mergeCell ref="H19:I19"/>
    <mergeCell ref="L19:M19"/>
    <mergeCell ref="P19:Q19"/>
    <mergeCell ref="T19:U19"/>
    <mergeCell ref="X19:Y19"/>
    <mergeCell ref="D34:E34"/>
    <mergeCell ref="H34:I34"/>
    <mergeCell ref="L34:M34"/>
    <mergeCell ref="X64:Y64"/>
    <mergeCell ref="X34:Y34"/>
    <mergeCell ref="D49:E49"/>
    <mergeCell ref="H49:I49"/>
    <mergeCell ref="L49:M49"/>
    <mergeCell ref="P49:Q49"/>
    <mergeCell ref="T79:U79"/>
    <mergeCell ref="X79:Y79"/>
    <mergeCell ref="D94:E94"/>
    <mergeCell ref="H94:I94"/>
    <mergeCell ref="L94:M94"/>
    <mergeCell ref="P94:Q94"/>
    <mergeCell ref="T94:U94"/>
    <mergeCell ref="X1:Y1"/>
    <mergeCell ref="D2:W2"/>
    <mergeCell ref="X2:Y2"/>
    <mergeCell ref="C123:Y123"/>
    <mergeCell ref="D109:E109"/>
    <mergeCell ref="H109:I109"/>
    <mergeCell ref="L109:M109"/>
    <mergeCell ref="P109:Q109"/>
    <mergeCell ref="T109:U109"/>
    <mergeCell ref="X109:Y109"/>
    <mergeCell ref="T64:U64"/>
    <mergeCell ref="X94:Y94"/>
    <mergeCell ref="D79:E79"/>
    <mergeCell ref="H79:I79"/>
    <mergeCell ref="L79:M79"/>
    <mergeCell ref="P79:Q79"/>
  </mergeCells>
  <conditionalFormatting sqref="C123:Y123">
    <cfRule type="cellIs" dxfId="58" priority="7" operator="greaterThan">
      <formula>0</formula>
    </cfRule>
    <cfRule type="cellIs" dxfId="57" priority="8" operator="lessThan">
      <formula>0</formula>
    </cfRule>
    <cfRule type="cellIs" dxfId="56" priority="9" operator="equal">
      <formula>0</formula>
    </cfRule>
  </conditionalFormatting>
  <conditionalFormatting sqref="A4:A121">
    <cfRule type="cellIs" dxfId="55" priority="4" operator="lessThan">
      <formula>0</formula>
    </cfRule>
    <cfRule type="cellIs" dxfId="54" priority="5" operator="greaterThan">
      <formula>0</formula>
    </cfRule>
    <cfRule type="cellIs" dxfId="53" priority="6" operator="equal">
      <formula>0</formula>
    </cfRule>
  </conditionalFormatting>
  <conditionalFormatting sqref="AA4:AA121">
    <cfRule type="cellIs" dxfId="52" priority="1" operator="equal">
      <formula>0</formula>
    </cfRule>
    <cfRule type="cellIs" dxfId="51" priority="2" operator="lessThan">
      <formula>0</formula>
    </cfRule>
    <cfRule type="cellIs" dxfId="50" priority="3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A699-0361-496A-88CB-84ADF6FD839D}">
  <dimension ref="C4:T32"/>
  <sheetViews>
    <sheetView zoomScale="80" zoomScaleNormal="80" workbookViewId="0">
      <selection activeCell="I6" sqref="I6"/>
    </sheetView>
  </sheetViews>
  <sheetFormatPr baseColWidth="10" defaultRowHeight="15" x14ac:dyDescent="0.25"/>
  <cols>
    <col min="1" max="2" width="3" customWidth="1"/>
    <col min="3" max="3" width="4.140625" customWidth="1"/>
    <col min="4" max="4" width="14.140625" customWidth="1"/>
    <col min="5" max="5" width="14.42578125" customWidth="1"/>
    <col min="8" max="8" width="4.140625" customWidth="1"/>
    <col min="9" max="9" width="14.140625" customWidth="1"/>
    <col min="10" max="10" width="14.42578125" customWidth="1"/>
    <col min="13" max="13" width="4.140625" customWidth="1"/>
    <col min="14" max="14" width="14.140625" customWidth="1"/>
    <col min="15" max="15" width="14.42578125" customWidth="1"/>
    <col min="18" max="18" width="4.140625" customWidth="1"/>
    <col min="19" max="19" width="14.140625" customWidth="1"/>
    <col min="20" max="20" width="14.42578125" customWidth="1"/>
  </cols>
  <sheetData>
    <row r="4" spans="3:20" x14ac:dyDescent="0.25">
      <c r="C4" s="19">
        <v>36</v>
      </c>
      <c r="D4" s="114" t="s">
        <v>49</v>
      </c>
      <c r="E4" s="114"/>
      <c r="H4" s="19">
        <v>36</v>
      </c>
      <c r="I4" s="114" t="s">
        <v>84</v>
      </c>
      <c r="J4" s="114"/>
      <c r="M4" s="19">
        <v>36</v>
      </c>
      <c r="N4" s="114" t="s">
        <v>49</v>
      </c>
      <c r="O4" s="114"/>
      <c r="R4" s="19">
        <v>36</v>
      </c>
      <c r="S4" s="114" t="s">
        <v>49</v>
      </c>
      <c r="T4" s="114"/>
    </row>
    <row r="5" spans="3:20" x14ac:dyDescent="0.25">
      <c r="C5" s="6"/>
      <c r="D5" s="7">
        <v>78000</v>
      </c>
      <c r="E5" s="8"/>
      <c r="H5" s="6"/>
      <c r="I5" s="7">
        <f>VLOOKUP(I4,Tabla1[[Cuenta]:[Acreedor2]],10,FALSE)</f>
        <v>0</v>
      </c>
      <c r="J5" s="8"/>
      <c r="M5" s="6"/>
      <c r="N5" s="7">
        <v>78000</v>
      </c>
      <c r="O5" s="8"/>
      <c r="R5" s="6"/>
      <c r="S5" s="7">
        <v>78000</v>
      </c>
      <c r="T5" s="8"/>
    </row>
    <row r="6" spans="3:20" x14ac:dyDescent="0.25">
      <c r="C6" s="8"/>
      <c r="D6" s="9"/>
      <c r="E6" s="8"/>
      <c r="H6" s="8"/>
      <c r="I6" s="9"/>
      <c r="J6" s="8"/>
      <c r="M6" s="8"/>
      <c r="N6" s="9"/>
      <c r="O6" s="8"/>
      <c r="R6" s="8"/>
      <c r="S6" s="9"/>
      <c r="T6" s="8"/>
    </row>
    <row r="7" spans="3:20" x14ac:dyDescent="0.25">
      <c r="C7" s="8"/>
      <c r="D7" s="9"/>
      <c r="E7" s="8"/>
      <c r="H7" s="8"/>
      <c r="I7" s="9"/>
      <c r="J7" s="8"/>
      <c r="M7" s="8"/>
      <c r="N7" s="9"/>
      <c r="O7" s="8"/>
      <c r="R7" s="8"/>
      <c r="S7" s="9"/>
      <c r="T7" s="8"/>
    </row>
    <row r="8" spans="3:20" x14ac:dyDescent="0.25">
      <c r="C8" s="8"/>
      <c r="D8" s="9"/>
      <c r="E8" s="8"/>
      <c r="H8" s="8"/>
      <c r="I8" s="9"/>
      <c r="J8" s="8"/>
      <c r="M8" s="8"/>
      <c r="N8" s="9"/>
      <c r="O8" s="8"/>
      <c r="R8" s="8"/>
      <c r="S8" s="9"/>
      <c r="T8" s="8"/>
    </row>
    <row r="9" spans="3:20" x14ac:dyDescent="0.25">
      <c r="C9" s="8"/>
      <c r="D9" s="9"/>
      <c r="E9" s="8"/>
      <c r="H9" s="8"/>
      <c r="I9" s="9"/>
      <c r="J9" s="8"/>
      <c r="M9" s="8"/>
      <c r="N9" s="9"/>
      <c r="O9" s="8"/>
      <c r="R9" s="8"/>
      <c r="S9" s="9"/>
      <c r="T9" s="8"/>
    </row>
    <row r="10" spans="3:20" x14ac:dyDescent="0.25">
      <c r="C10" s="8"/>
      <c r="D10" s="9"/>
      <c r="E10" s="8"/>
      <c r="H10" s="8"/>
      <c r="I10" s="9"/>
      <c r="J10" s="8"/>
      <c r="M10" s="8"/>
      <c r="N10" s="9"/>
      <c r="O10" s="8"/>
      <c r="R10" s="8"/>
      <c r="S10" s="9"/>
      <c r="T10" s="8"/>
    </row>
    <row r="11" spans="3:20" x14ac:dyDescent="0.25">
      <c r="C11" s="8"/>
      <c r="D11" s="9"/>
      <c r="E11" s="8"/>
      <c r="H11" s="8"/>
      <c r="I11" s="9"/>
      <c r="J11" s="8"/>
      <c r="M11" s="8"/>
      <c r="N11" s="9"/>
      <c r="O11" s="8"/>
      <c r="R11" s="8"/>
      <c r="S11" s="9"/>
      <c r="T11" s="8"/>
    </row>
    <row r="12" spans="3:20" x14ac:dyDescent="0.25">
      <c r="C12" s="8"/>
      <c r="D12" s="9"/>
      <c r="E12" s="8"/>
      <c r="H12" s="8"/>
      <c r="I12" s="9"/>
      <c r="J12" s="8"/>
      <c r="M12" s="8"/>
      <c r="N12" s="9"/>
      <c r="O12" s="8"/>
      <c r="R12" s="8"/>
      <c r="S12" s="9"/>
      <c r="T12" s="8"/>
    </row>
    <row r="13" spans="3:20" x14ac:dyDescent="0.25">
      <c r="C13" s="8"/>
      <c r="D13" s="9"/>
      <c r="E13" s="8"/>
      <c r="H13" s="8"/>
      <c r="I13" s="9"/>
      <c r="J13" s="8"/>
      <c r="M13" s="8"/>
      <c r="N13" s="9"/>
      <c r="O13" s="8"/>
      <c r="R13" s="8"/>
      <c r="S13" s="9"/>
      <c r="T13" s="8"/>
    </row>
    <row r="14" spans="3:20" x14ac:dyDescent="0.25">
      <c r="C14" s="8"/>
      <c r="D14" s="9"/>
      <c r="E14" s="8"/>
      <c r="H14" s="8"/>
      <c r="I14" s="9"/>
      <c r="J14" s="8"/>
      <c r="M14" s="8"/>
      <c r="N14" s="9"/>
      <c r="O14" s="8"/>
      <c r="R14" s="8"/>
      <c r="S14" s="9"/>
      <c r="T14" s="8"/>
    </row>
    <row r="15" spans="3:20" ht="15.75" thickBot="1" x14ac:dyDescent="0.3">
      <c r="C15" s="8"/>
      <c r="D15" s="37"/>
      <c r="E15" s="37"/>
      <c r="H15" s="8"/>
      <c r="I15" s="37"/>
      <c r="J15" s="37"/>
      <c r="M15" s="8"/>
      <c r="N15" s="37"/>
      <c r="O15" s="37"/>
      <c r="R15" s="8"/>
      <c r="S15" s="37"/>
      <c r="T15" s="37"/>
    </row>
    <row r="16" spans="3:20" x14ac:dyDescent="0.25">
      <c r="C16" s="8"/>
      <c r="D16" s="9">
        <f>SUM(D5:D14)</f>
        <v>78000</v>
      </c>
      <c r="E16" s="8">
        <f>SUM(E5:E14)</f>
        <v>0</v>
      </c>
      <c r="H16" s="8"/>
      <c r="I16" s="9">
        <f>SUM(I5:I14)</f>
        <v>0</v>
      </c>
      <c r="J16" s="8">
        <f>SUM(J5:J14)</f>
        <v>0</v>
      </c>
      <c r="M16" s="8"/>
      <c r="N16" s="9">
        <f>SUM(N5:N14)</f>
        <v>78000</v>
      </c>
      <c r="O16" s="8">
        <f>SUM(O5:O14)</f>
        <v>0</v>
      </c>
      <c r="R16" s="8"/>
      <c r="S16" s="9">
        <f>SUM(S5:S14)</f>
        <v>78000</v>
      </c>
      <c r="T16" s="8">
        <f>SUM(T5:T14)</f>
        <v>0</v>
      </c>
    </row>
    <row r="20" spans="3:20" x14ac:dyDescent="0.25">
      <c r="C20" s="19">
        <v>36</v>
      </c>
      <c r="D20" s="114" t="s">
        <v>49</v>
      </c>
      <c r="E20" s="114"/>
      <c r="H20" s="19">
        <v>36</v>
      </c>
      <c r="I20" s="114" t="s">
        <v>49</v>
      </c>
      <c r="J20" s="114"/>
      <c r="M20" s="19">
        <v>36</v>
      </c>
      <c r="N20" s="114" t="s">
        <v>49</v>
      </c>
      <c r="O20" s="114"/>
      <c r="R20" s="19">
        <v>36</v>
      </c>
      <c r="S20" s="114" t="s">
        <v>49</v>
      </c>
      <c r="T20" s="114"/>
    </row>
    <row r="21" spans="3:20" x14ac:dyDescent="0.25">
      <c r="C21" s="6"/>
      <c r="D21" s="7">
        <v>78000</v>
      </c>
      <c r="E21" s="8"/>
      <c r="H21" s="6"/>
      <c r="I21" s="7">
        <v>78000</v>
      </c>
      <c r="J21" s="8"/>
      <c r="M21" s="6"/>
      <c r="N21" s="7">
        <v>78000</v>
      </c>
      <c r="O21" s="8"/>
      <c r="R21" s="6"/>
      <c r="S21" s="7">
        <v>78000</v>
      </c>
      <c r="T21" s="8"/>
    </row>
    <row r="22" spans="3:20" x14ac:dyDescent="0.25">
      <c r="C22" s="8"/>
      <c r="D22" s="9"/>
      <c r="E22" s="8"/>
      <c r="H22" s="8"/>
      <c r="I22" s="9"/>
      <c r="J22" s="8"/>
      <c r="M22" s="8"/>
      <c r="N22" s="9"/>
      <c r="O22" s="8"/>
      <c r="R22" s="8"/>
      <c r="S22" s="9"/>
      <c r="T22" s="8"/>
    </row>
    <row r="23" spans="3:20" x14ac:dyDescent="0.25">
      <c r="C23" s="8"/>
      <c r="D23" s="9"/>
      <c r="E23" s="8"/>
      <c r="H23" s="8"/>
      <c r="I23" s="9"/>
      <c r="J23" s="8"/>
      <c r="M23" s="8"/>
      <c r="N23" s="9"/>
      <c r="O23" s="8"/>
      <c r="R23" s="8"/>
      <c r="S23" s="9"/>
      <c r="T23" s="8"/>
    </row>
    <row r="24" spans="3:20" x14ac:dyDescent="0.25">
      <c r="C24" s="8"/>
      <c r="D24" s="9"/>
      <c r="E24" s="8"/>
      <c r="H24" s="8"/>
      <c r="I24" s="9"/>
      <c r="J24" s="8"/>
      <c r="M24" s="8"/>
      <c r="N24" s="9"/>
      <c r="O24" s="8"/>
      <c r="R24" s="8"/>
      <c r="S24" s="9"/>
      <c r="T24" s="8"/>
    </row>
    <row r="25" spans="3:20" x14ac:dyDescent="0.25">
      <c r="C25" s="8"/>
      <c r="D25" s="9"/>
      <c r="E25" s="8"/>
      <c r="H25" s="8"/>
      <c r="I25" s="9"/>
      <c r="J25" s="8"/>
      <c r="M25" s="8"/>
      <c r="N25" s="9"/>
      <c r="O25" s="8"/>
      <c r="R25" s="8"/>
      <c r="S25" s="9"/>
      <c r="T25" s="8"/>
    </row>
    <row r="26" spans="3:20" x14ac:dyDescent="0.25">
      <c r="C26" s="8"/>
      <c r="D26" s="9"/>
      <c r="E26" s="8"/>
      <c r="H26" s="8"/>
      <c r="I26" s="9"/>
      <c r="J26" s="8"/>
      <c r="M26" s="8"/>
      <c r="N26" s="9"/>
      <c r="O26" s="8"/>
      <c r="R26" s="8"/>
      <c r="S26" s="9"/>
      <c r="T26" s="8"/>
    </row>
    <row r="27" spans="3:20" x14ac:dyDescent="0.25">
      <c r="C27" s="8"/>
      <c r="D27" s="9"/>
      <c r="E27" s="8"/>
      <c r="H27" s="8"/>
      <c r="I27" s="9"/>
      <c r="J27" s="8"/>
      <c r="M27" s="8"/>
      <c r="N27" s="9"/>
      <c r="O27" s="8"/>
      <c r="R27" s="8"/>
      <c r="S27" s="9"/>
      <c r="T27" s="8"/>
    </row>
    <row r="28" spans="3:20" x14ac:dyDescent="0.25">
      <c r="C28" s="8"/>
      <c r="D28" s="9"/>
      <c r="E28" s="8"/>
      <c r="H28" s="8"/>
      <c r="I28" s="9"/>
      <c r="J28" s="8"/>
      <c r="M28" s="8"/>
      <c r="N28" s="9"/>
      <c r="O28" s="8"/>
      <c r="R28" s="8"/>
      <c r="S28" s="9"/>
      <c r="T28" s="8"/>
    </row>
    <row r="29" spans="3:20" x14ac:dyDescent="0.25">
      <c r="C29" s="8"/>
      <c r="D29" s="9"/>
      <c r="E29" s="8"/>
      <c r="H29" s="8"/>
      <c r="I29" s="9"/>
      <c r="J29" s="8"/>
      <c r="M29" s="8"/>
      <c r="N29" s="9"/>
      <c r="O29" s="8"/>
      <c r="R29" s="8"/>
      <c r="S29" s="9"/>
      <c r="T29" s="8"/>
    </row>
    <row r="30" spans="3:20" x14ac:dyDescent="0.25">
      <c r="C30" s="8"/>
      <c r="D30" s="9"/>
      <c r="E30" s="8"/>
      <c r="H30" s="8"/>
      <c r="I30" s="9"/>
      <c r="J30" s="8"/>
      <c r="M30" s="8"/>
      <c r="N30" s="9"/>
      <c r="O30" s="8"/>
      <c r="R30" s="8"/>
      <c r="S30" s="9"/>
      <c r="T30" s="8"/>
    </row>
    <row r="31" spans="3:20" ht="15.75" thickBot="1" x14ac:dyDescent="0.3">
      <c r="C31" s="8"/>
      <c r="D31" s="37"/>
      <c r="E31" s="37"/>
      <c r="H31" s="8"/>
      <c r="I31" s="37"/>
      <c r="J31" s="37"/>
      <c r="M31" s="8"/>
      <c r="N31" s="37"/>
      <c r="O31" s="37"/>
      <c r="R31" s="8"/>
      <c r="S31" s="37"/>
      <c r="T31" s="37"/>
    </row>
    <row r="32" spans="3:20" x14ac:dyDescent="0.25">
      <c r="C32" s="8"/>
      <c r="D32" s="9">
        <f>SUM(D21:D30)</f>
        <v>78000</v>
      </c>
      <c r="E32" s="8">
        <f>SUM(E21:E30)</f>
        <v>0</v>
      </c>
      <c r="H32" s="8"/>
      <c r="I32" s="9">
        <f>SUM(I21:I30)</f>
        <v>78000</v>
      </c>
      <c r="J32" s="8">
        <f>SUM(J21:J30)</f>
        <v>0</v>
      </c>
      <c r="M32" s="8"/>
      <c r="N32" s="9">
        <f>SUM(N21:N30)</f>
        <v>78000</v>
      </c>
      <c r="O32" s="8">
        <f>SUM(O21:O30)</f>
        <v>0</v>
      </c>
      <c r="R32" s="8"/>
      <c r="S32" s="9">
        <f>SUM(S21:S30)</f>
        <v>78000</v>
      </c>
      <c r="T32" s="8">
        <f>SUM(T21:T30)</f>
        <v>0</v>
      </c>
    </row>
  </sheetData>
  <mergeCells count="8">
    <mergeCell ref="D4:E4"/>
    <mergeCell ref="I4:J4"/>
    <mergeCell ref="N4:O4"/>
    <mergeCell ref="S4:T4"/>
    <mergeCell ref="D20:E20"/>
    <mergeCell ref="I20:J20"/>
    <mergeCell ref="N20:O20"/>
    <mergeCell ref="S20:T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A92C8-C314-4739-BEBD-3061AEDA5E0C}">
  <sheetPr codeName="Hoja4"/>
  <dimension ref="B1:AC126"/>
  <sheetViews>
    <sheetView tabSelected="1" topLeftCell="F1" zoomScale="62" zoomScaleNormal="80" workbookViewId="0">
      <pane ySplit="4" topLeftCell="A5" activePane="bottomLeft" state="frozen"/>
      <selection pane="bottomLeft" activeCell="N7" sqref="N7"/>
    </sheetView>
  </sheetViews>
  <sheetFormatPr baseColWidth="10" defaultRowHeight="15" x14ac:dyDescent="0.25"/>
  <cols>
    <col min="1" max="1" width="3.42578125" style="5" customWidth="1"/>
    <col min="2" max="3" width="2" style="5" customWidth="1"/>
    <col min="4" max="4" width="3.42578125" style="31" customWidth="1"/>
    <col min="5" max="5" width="29.42578125" style="5" customWidth="1"/>
    <col min="6" max="19" width="20" style="5" customWidth="1"/>
    <col min="20" max="20" width="9.5703125" style="5" hidden="1" customWidth="1"/>
    <col min="21" max="16384" width="11.42578125" style="5"/>
  </cols>
  <sheetData>
    <row r="1" spans="2:29" ht="15.75" thickBot="1" x14ac:dyDescent="0.3"/>
    <row r="2" spans="2:29" ht="15.75" thickBot="1" x14ac:dyDescent="0.3">
      <c r="D2" s="126"/>
      <c r="E2" s="128"/>
      <c r="F2" s="137" t="s">
        <v>77</v>
      </c>
      <c r="G2" s="138"/>
      <c r="H2" s="130" t="s">
        <v>8</v>
      </c>
      <c r="I2" s="131"/>
      <c r="J2" s="131"/>
      <c r="K2" s="132"/>
      <c r="L2" s="135" t="s">
        <v>9</v>
      </c>
      <c r="M2" s="136"/>
      <c r="N2" s="135" t="s">
        <v>12</v>
      </c>
      <c r="O2" s="136"/>
      <c r="P2" s="135" t="s">
        <v>13</v>
      </c>
      <c r="Q2" s="136"/>
      <c r="R2" s="143" t="s">
        <v>14</v>
      </c>
      <c r="S2" s="136"/>
    </row>
    <row r="3" spans="2:29" ht="15.75" customHeight="1" thickBot="1" x14ac:dyDescent="0.3">
      <c r="D3" s="126"/>
      <c r="E3" s="129"/>
      <c r="F3" s="139">
        <f ca="1">'Esquema de mayor'!D1</f>
        <v>44138.918558796293</v>
      </c>
      <c r="G3" s="140"/>
      <c r="H3" s="135" t="s">
        <v>4</v>
      </c>
      <c r="I3" s="136"/>
      <c r="J3" s="135" t="s">
        <v>5</v>
      </c>
      <c r="K3" s="136"/>
      <c r="L3" s="150"/>
      <c r="M3" s="145"/>
      <c r="N3" s="150"/>
      <c r="O3" s="145"/>
      <c r="P3" s="150"/>
      <c r="Q3" s="145"/>
      <c r="R3" s="144"/>
      <c r="S3" s="145"/>
    </row>
    <row r="4" spans="2:29" ht="15.75" thickBot="1" x14ac:dyDescent="0.3">
      <c r="D4" s="127"/>
      <c r="E4" s="29" t="s">
        <v>3</v>
      </c>
      <c r="F4" s="62" t="s">
        <v>78</v>
      </c>
      <c r="G4" s="62" t="s">
        <v>79</v>
      </c>
      <c r="H4" s="24" t="s">
        <v>16</v>
      </c>
      <c r="I4" s="25" t="s">
        <v>17</v>
      </c>
      <c r="J4" s="24" t="s">
        <v>6</v>
      </c>
      <c r="K4" s="25" t="s">
        <v>7</v>
      </c>
      <c r="L4" s="26" t="s">
        <v>10</v>
      </c>
      <c r="M4" s="27" t="s">
        <v>11</v>
      </c>
      <c r="N4" s="26" t="s">
        <v>15</v>
      </c>
      <c r="O4" s="27" t="s">
        <v>63</v>
      </c>
      <c r="P4" s="26" t="s">
        <v>64</v>
      </c>
      <c r="Q4" s="27" t="s">
        <v>65</v>
      </c>
      <c r="R4" s="28" t="s">
        <v>18</v>
      </c>
      <c r="S4" s="27" t="s">
        <v>19</v>
      </c>
      <c r="T4" s="45" t="s">
        <v>66</v>
      </c>
      <c r="AA4" s="102"/>
      <c r="AB4" s="102"/>
      <c r="AC4" s="102"/>
    </row>
    <row r="5" spans="2:29" x14ac:dyDescent="0.25">
      <c r="B5" s="23"/>
      <c r="D5" s="43">
        <v>1</v>
      </c>
      <c r="E5" s="65" t="str">
        <f>'Esquema de mayor'!D4</f>
        <v>Caja</v>
      </c>
      <c r="F5" s="82">
        <f>'Esquema de mayor'!D5</f>
        <v>0</v>
      </c>
      <c r="G5" s="82">
        <f>'Esquema de mayor'!E5</f>
        <v>0</v>
      </c>
      <c r="H5" s="49">
        <f>VLOOKUP(E5,'Esquema de mayor'!AG4:AI51,2,FALSE)</f>
        <v>5000</v>
      </c>
      <c r="I5" s="58">
        <f>VLOOKUP(E5,'Esquema de mayor'!AG4:AI51,3,FALSE)</f>
        <v>0</v>
      </c>
      <c r="J5" s="50">
        <f t="shared" ref="J5:J52" si="0">I76</f>
        <v>5000</v>
      </c>
      <c r="K5" s="59">
        <f t="shared" ref="K5:K52" si="1">K76</f>
        <v>0</v>
      </c>
      <c r="L5" s="50">
        <f>VLOOKUP(E5,Ajustes!AG4:AI51,2,FALSE)</f>
        <v>0</v>
      </c>
      <c r="M5" s="59">
        <f>VLOOKUP(E5,Ajustes!AG4:AI51,3,FALSE)</f>
        <v>0</v>
      </c>
      <c r="N5" s="50">
        <f t="shared" ref="N5:N52" si="2">N76</f>
        <v>5000</v>
      </c>
      <c r="O5" s="59">
        <f t="shared" ref="O5:O52" si="3">P76</f>
        <v>0</v>
      </c>
      <c r="P5" s="50"/>
      <c r="Q5" s="59"/>
      <c r="R5" s="50"/>
      <c r="S5" s="59"/>
      <c r="T5" s="5">
        <f>SUM(Tabla1[[D]:[Pasivo]])</f>
        <v>254924.14</v>
      </c>
    </row>
    <row r="6" spans="2:29" x14ac:dyDescent="0.25">
      <c r="B6" s="23"/>
      <c r="D6" s="42">
        <v>2</v>
      </c>
      <c r="E6" s="66" t="str">
        <f>'Esquema de mayor'!H4</f>
        <v>Bancos</v>
      </c>
      <c r="F6" s="83">
        <f>'Esquema de mayor'!H5</f>
        <v>0</v>
      </c>
      <c r="G6" s="83">
        <f>'Esquema de mayor'!I5</f>
        <v>0</v>
      </c>
      <c r="H6" s="47">
        <f>VLOOKUP(E6,'Esquema de mayor'!AG4:AI51,2,FALSE)</f>
        <v>10000</v>
      </c>
      <c r="I6" s="55">
        <f>VLOOKUP(E6,'Esquema de mayor'!AG4:AI51,3,FALSE)</f>
        <v>0</v>
      </c>
      <c r="J6" s="48">
        <f t="shared" si="0"/>
        <v>10000</v>
      </c>
      <c r="K6" s="57">
        <f t="shared" si="1"/>
        <v>0</v>
      </c>
      <c r="L6" s="48">
        <f>VLOOKUP(E6,Ajustes!AG4:AI51,2,FALSE)</f>
        <v>0</v>
      </c>
      <c r="M6" s="57">
        <f>VLOOKUP(E6,Ajustes!AG4:AI51,3,FALSE)</f>
        <v>0</v>
      </c>
      <c r="N6" s="48">
        <f t="shared" si="2"/>
        <v>10000</v>
      </c>
      <c r="O6" s="57">
        <f t="shared" si="3"/>
        <v>0</v>
      </c>
      <c r="P6" s="48"/>
      <c r="Q6" s="57"/>
      <c r="R6" s="48"/>
      <c r="S6" s="57"/>
      <c r="T6" s="5">
        <f>SUM(Tabla1[[#This Row],[Debe]:[Pasivo]])</f>
        <v>30000</v>
      </c>
    </row>
    <row r="7" spans="2:29" x14ac:dyDescent="0.25">
      <c r="B7" s="23"/>
      <c r="D7" s="42">
        <v>3</v>
      </c>
      <c r="E7" s="66" t="str">
        <f>'Esquema de mayor'!L4</f>
        <v>Clientes</v>
      </c>
      <c r="F7" s="83">
        <f>'Esquema de mayor'!L5</f>
        <v>0</v>
      </c>
      <c r="G7" s="83">
        <f>'Esquema de mayor'!M5</f>
        <v>0</v>
      </c>
      <c r="H7" s="47">
        <f>VLOOKUP(E7,'Esquema de mayor'!AG5:AI52,2,FALSE)</f>
        <v>50000</v>
      </c>
      <c r="I7" s="55">
        <f>VLOOKUP(E7,'Esquema de mayor'!AG5:AI52,3,FALSE)</f>
        <v>0</v>
      </c>
      <c r="J7" s="48">
        <f t="shared" si="0"/>
        <v>50000</v>
      </c>
      <c r="K7" s="57">
        <f t="shared" si="1"/>
        <v>0</v>
      </c>
      <c r="L7" s="48">
        <f>VLOOKUP(E7,Ajustes!AG4:AI51,2,FALSE)</f>
        <v>0</v>
      </c>
      <c r="M7" s="57">
        <f>VLOOKUP(E7,Ajustes!AG4:AI51,3,FALSE)</f>
        <v>0</v>
      </c>
      <c r="N7" s="48">
        <f t="shared" si="2"/>
        <v>50000</v>
      </c>
      <c r="O7" s="57">
        <f t="shared" si="3"/>
        <v>0</v>
      </c>
      <c r="P7" s="48"/>
      <c r="Q7" s="57"/>
      <c r="R7" s="48"/>
      <c r="S7" s="57"/>
      <c r="T7" s="5">
        <f>SUM(Tabla1[[#This Row],[Debe]:[Pasivo]])</f>
        <v>150000</v>
      </c>
    </row>
    <row r="8" spans="2:29" x14ac:dyDescent="0.25">
      <c r="B8" s="23"/>
      <c r="D8" s="42">
        <v>4</v>
      </c>
      <c r="E8" s="66" t="str">
        <f>'Esquema de mayor'!P4</f>
        <v>Almacen</v>
      </c>
      <c r="F8" s="83">
        <f>'Esquema de mayor'!P5</f>
        <v>0</v>
      </c>
      <c r="G8" s="83">
        <f>'Esquema de mayor'!Q5</f>
        <v>0</v>
      </c>
      <c r="H8" s="47">
        <f>VLOOKUP(E8,'Esquema de mayor'!AG6:AI53,2,FALSE)</f>
        <v>0</v>
      </c>
      <c r="I8" s="55">
        <f>VLOOKUP(E8,'Esquema de mayor'!AG6:AI53,3,FALSE)</f>
        <v>5000</v>
      </c>
      <c r="J8" s="48">
        <f t="shared" si="0"/>
        <v>0</v>
      </c>
      <c r="K8" s="57">
        <f t="shared" si="1"/>
        <v>5000</v>
      </c>
      <c r="L8" s="48">
        <f>VLOOKUP(E8,Ajustes!AG4:AI51,2,FALSE)</f>
        <v>0</v>
      </c>
      <c r="M8" s="57">
        <f>VLOOKUP(E8,Ajustes!AG4:AI51,3,FALSE)</f>
        <v>0</v>
      </c>
      <c r="N8" s="48">
        <f t="shared" si="2"/>
        <v>0</v>
      </c>
      <c r="O8" s="57">
        <f t="shared" si="3"/>
        <v>5000</v>
      </c>
      <c r="P8" s="48"/>
      <c r="Q8" s="57"/>
      <c r="R8" s="48"/>
      <c r="S8" s="57"/>
      <c r="T8" s="5">
        <f>SUM(Tabla1[[#This Row],[Debe]:[Pasivo]])</f>
        <v>15000</v>
      </c>
    </row>
    <row r="9" spans="2:29" x14ac:dyDescent="0.25">
      <c r="B9" s="23"/>
      <c r="D9" s="42">
        <v>5</v>
      </c>
      <c r="E9" s="66" t="str">
        <f>'Esquema de mayor'!T4</f>
        <v>Documentos por cobrar</v>
      </c>
      <c r="F9" s="83">
        <f>'Esquema de mayor'!T5</f>
        <v>0</v>
      </c>
      <c r="G9" s="83">
        <f>'Esquema de mayor'!U5</f>
        <v>0</v>
      </c>
      <c r="H9" s="47">
        <f>VLOOKUP(E9,'Esquema de mayor'!AG7:AI54,2,FALSE)</f>
        <v>0</v>
      </c>
      <c r="I9" s="55">
        <f>VLOOKUP(E9,'Esquema de mayor'!AG7:AI54,3,FALSE)</f>
        <v>0</v>
      </c>
      <c r="J9" s="48">
        <f t="shared" si="0"/>
        <v>0</v>
      </c>
      <c r="K9" s="57">
        <f t="shared" si="1"/>
        <v>0</v>
      </c>
      <c r="L9" s="48">
        <f>VLOOKUP(E9,Ajustes!AG7:AI54,2,FALSE)</f>
        <v>0</v>
      </c>
      <c r="M9" s="57">
        <f>VLOOKUP(E9,Ajustes!AG7:AI54,3,FALSE)</f>
        <v>0</v>
      </c>
      <c r="N9" s="48">
        <f t="shared" si="2"/>
        <v>0</v>
      </c>
      <c r="O9" s="57">
        <f t="shared" si="3"/>
        <v>0</v>
      </c>
      <c r="P9" s="48"/>
      <c r="Q9" s="57"/>
      <c r="R9" s="48"/>
      <c r="S9" s="57"/>
      <c r="T9" s="5">
        <f>SUM(Tabla1[[#This Row],[Debe]:[Pasivo]])</f>
        <v>0</v>
      </c>
    </row>
    <row r="10" spans="2:29" x14ac:dyDescent="0.25">
      <c r="B10" s="23"/>
      <c r="D10" s="42">
        <v>6</v>
      </c>
      <c r="E10" s="66" t="str">
        <f>'Esquema de mayor'!X4</f>
        <v>Deudores diversos</v>
      </c>
      <c r="F10" s="83">
        <f>'Esquema de mayor'!X5</f>
        <v>0</v>
      </c>
      <c r="G10" s="83">
        <f>'Esquema de mayor'!Y5</f>
        <v>0</v>
      </c>
      <c r="H10" s="47">
        <f>VLOOKUP(E10,'Esquema de mayor'!AG8:AI55,2,FALSE)</f>
        <v>0</v>
      </c>
      <c r="I10" s="55">
        <f>VLOOKUP(E10,'Esquema de mayor'!AG8:AI55,3,FALSE)</f>
        <v>10000</v>
      </c>
      <c r="J10" s="48">
        <f t="shared" si="0"/>
        <v>0</v>
      </c>
      <c r="K10" s="57">
        <f t="shared" si="1"/>
        <v>10000</v>
      </c>
      <c r="L10" s="48">
        <f>VLOOKUP(E10,Ajustes!AG7:AI54,2,FALSE)</f>
        <v>0</v>
      </c>
      <c r="M10" s="57">
        <f>VLOOKUP(E10,Ajustes!AG7:AI54,3,FALSE)</f>
        <v>0</v>
      </c>
      <c r="N10" s="48">
        <f t="shared" si="2"/>
        <v>0</v>
      </c>
      <c r="O10" s="57">
        <f t="shared" si="3"/>
        <v>10000</v>
      </c>
      <c r="P10" s="48"/>
      <c r="Q10" s="57"/>
      <c r="R10" s="48"/>
      <c r="S10" s="57"/>
      <c r="T10" s="5">
        <f>SUM(Tabla1[[#This Row],[Debe]:[Pasivo]])</f>
        <v>30000</v>
      </c>
    </row>
    <row r="11" spans="2:29" x14ac:dyDescent="0.25">
      <c r="B11" s="23"/>
      <c r="D11" s="42">
        <v>7</v>
      </c>
      <c r="E11" s="66" t="str">
        <f>'Esquema de mayor'!D19</f>
        <v>Anticipo a proveedores</v>
      </c>
      <c r="F11" s="83">
        <f>'Esquema de mayor'!D20</f>
        <v>0</v>
      </c>
      <c r="G11" s="83">
        <f>'Esquema de mayor'!E20</f>
        <v>0</v>
      </c>
      <c r="H11" s="47">
        <f>VLOOKUP(E11,'Esquema de mayor'!AG9:AI56,2,FALSE)</f>
        <v>0</v>
      </c>
      <c r="I11" s="55">
        <f>VLOOKUP(E11,'Esquema de mayor'!AG9:AI56,3,FALSE)</f>
        <v>0</v>
      </c>
      <c r="J11" s="48">
        <f t="shared" si="0"/>
        <v>0</v>
      </c>
      <c r="K11" s="57">
        <f t="shared" si="1"/>
        <v>0</v>
      </c>
      <c r="L11" s="48">
        <f>VLOOKUP(E11,Ajustes!AG7:AI54,2,FALSE)</f>
        <v>0</v>
      </c>
      <c r="M11" s="57">
        <f>VLOOKUP(E11,Ajustes!AG7:AI54,3,FALSE)</f>
        <v>0</v>
      </c>
      <c r="N11" s="48">
        <f t="shared" si="2"/>
        <v>0</v>
      </c>
      <c r="O11" s="57">
        <f t="shared" si="3"/>
        <v>0</v>
      </c>
      <c r="P11" s="48"/>
      <c r="Q11" s="57"/>
      <c r="R11" s="48"/>
      <c r="S11" s="57"/>
      <c r="T11" s="5">
        <f>SUM(Tabla1[[#This Row],[Debe]:[Pasivo]])</f>
        <v>0</v>
      </c>
    </row>
    <row r="12" spans="2:29" x14ac:dyDescent="0.25">
      <c r="B12" s="23"/>
      <c r="D12" s="42">
        <v>8</v>
      </c>
      <c r="E12" s="66" t="str">
        <f>'Esquema de mayor'!H19</f>
        <v>Inversiones temporales</v>
      </c>
      <c r="F12" s="83">
        <f>'Esquema de mayor'!H20</f>
        <v>0</v>
      </c>
      <c r="G12" s="83">
        <f>'Esquema de mayor'!I20</f>
        <v>0</v>
      </c>
      <c r="H12" s="47">
        <f>VLOOKUP(E12,'Esquema de mayor'!AG10:AI57,2,FALSE)</f>
        <v>0</v>
      </c>
      <c r="I12" s="55">
        <f>VLOOKUP(E12,'Esquema de mayor'!AG10:AI57,3,FALSE)</f>
        <v>0</v>
      </c>
      <c r="J12" s="48">
        <f t="shared" si="0"/>
        <v>0</v>
      </c>
      <c r="K12" s="57">
        <f t="shared" si="1"/>
        <v>0</v>
      </c>
      <c r="L12" s="48">
        <f>VLOOKUP(E12,Ajustes!AG10:AI57,2,FALSE)</f>
        <v>0</v>
      </c>
      <c r="M12" s="57">
        <f>VLOOKUP(E12,Ajustes!AG10:AI57,3,FALSE)</f>
        <v>0</v>
      </c>
      <c r="N12" s="48">
        <f t="shared" si="2"/>
        <v>0</v>
      </c>
      <c r="O12" s="57">
        <f t="shared" si="3"/>
        <v>0</v>
      </c>
      <c r="P12" s="48"/>
      <c r="Q12" s="57"/>
      <c r="R12" s="48"/>
      <c r="S12" s="57"/>
      <c r="T12" s="5">
        <f>SUM(Tabla1[[#This Row],[Debe]:[Pasivo]])</f>
        <v>0</v>
      </c>
    </row>
    <row r="13" spans="2:29" x14ac:dyDescent="0.25">
      <c r="B13" s="23"/>
      <c r="D13" s="42">
        <v>9</v>
      </c>
      <c r="E13" s="66" t="str">
        <f>'Esquema de mayor'!L19</f>
        <v>Terrenos</v>
      </c>
      <c r="F13" s="83">
        <f>'Esquema de mayor'!L20</f>
        <v>0</v>
      </c>
      <c r="G13" s="83">
        <f>'Esquema de mayor'!M20</f>
        <v>0</v>
      </c>
      <c r="H13" s="47">
        <f>VLOOKUP(E13,'Esquema de mayor'!AG11:AI58,2,FALSE)</f>
        <v>0</v>
      </c>
      <c r="I13" s="55">
        <f>VLOOKUP(E13,'Esquema de mayor'!AG11:AI58,3,FALSE)</f>
        <v>0</v>
      </c>
      <c r="J13" s="48">
        <f t="shared" si="0"/>
        <v>0</v>
      </c>
      <c r="K13" s="57">
        <f t="shared" si="1"/>
        <v>0</v>
      </c>
      <c r="L13" s="48">
        <f>VLOOKUP(E13,Ajustes!AG10:AI57,2,FALSE)</f>
        <v>0</v>
      </c>
      <c r="M13" s="57">
        <f>VLOOKUP(E13,Ajustes!AG10:AI57,3,FALSE)</f>
        <v>0</v>
      </c>
      <c r="N13" s="48">
        <f t="shared" si="2"/>
        <v>0</v>
      </c>
      <c r="O13" s="57">
        <f t="shared" si="3"/>
        <v>0</v>
      </c>
      <c r="P13" s="48"/>
      <c r="Q13" s="57"/>
      <c r="R13" s="48"/>
      <c r="S13" s="57"/>
      <c r="T13" s="5">
        <f>SUM(Tabla1[[#This Row],[Debe]:[Pasivo]])</f>
        <v>0</v>
      </c>
    </row>
    <row r="14" spans="2:29" x14ac:dyDescent="0.25">
      <c r="B14" s="23"/>
      <c r="D14" s="42">
        <v>10</v>
      </c>
      <c r="E14" s="66" t="str">
        <f>'Esquema de mayor'!P19</f>
        <v>Edificios</v>
      </c>
      <c r="F14" s="83">
        <f>'Esquema de mayor'!P20</f>
        <v>0</v>
      </c>
      <c r="G14" s="83">
        <f>'Esquema de mayor'!Q20</f>
        <v>0</v>
      </c>
      <c r="H14" s="47">
        <f>VLOOKUP(E14,'Esquema de mayor'!AG12:AI59,2,FALSE)</f>
        <v>0</v>
      </c>
      <c r="I14" s="55">
        <f>VLOOKUP(E14,'Esquema de mayor'!AG12:AI59,3,FALSE)</f>
        <v>0</v>
      </c>
      <c r="J14" s="48">
        <f t="shared" si="0"/>
        <v>0</v>
      </c>
      <c r="K14" s="57">
        <f t="shared" si="1"/>
        <v>0</v>
      </c>
      <c r="L14" s="48">
        <f>VLOOKUP(E14,Ajustes!AG10:AI57,2,FALSE)</f>
        <v>0</v>
      </c>
      <c r="M14" s="57">
        <f>VLOOKUP(E14,Ajustes!AG10:AI57,3,FALSE)</f>
        <v>0</v>
      </c>
      <c r="N14" s="48">
        <f t="shared" si="2"/>
        <v>0</v>
      </c>
      <c r="O14" s="57">
        <f t="shared" si="3"/>
        <v>0</v>
      </c>
      <c r="P14" s="48"/>
      <c r="Q14" s="57"/>
      <c r="R14" s="48"/>
      <c r="S14" s="57"/>
      <c r="T14" s="5">
        <f>SUM(Tabla1[[#This Row],[Debe]:[Pasivo]])</f>
        <v>0</v>
      </c>
    </row>
    <row r="15" spans="2:29" x14ac:dyDescent="0.25">
      <c r="B15" s="23"/>
      <c r="D15" s="42">
        <v>11</v>
      </c>
      <c r="E15" s="66" t="str">
        <f>'Esquema de mayor'!T19</f>
        <v>Mobiliario y equipo</v>
      </c>
      <c r="F15" s="83">
        <f>'Esquema de mayor'!T20</f>
        <v>0</v>
      </c>
      <c r="G15" s="83">
        <f>'Esquema de mayor'!U20</f>
        <v>0</v>
      </c>
      <c r="H15" s="47">
        <f>VLOOKUP(E15,'Esquema de mayor'!AG13:AI60,2,FALSE)</f>
        <v>0</v>
      </c>
      <c r="I15" s="55">
        <f>VLOOKUP(E15,'Esquema de mayor'!AG13:AI60,3,FALSE)</f>
        <v>0</v>
      </c>
      <c r="J15" s="48">
        <f t="shared" si="0"/>
        <v>0</v>
      </c>
      <c r="K15" s="57">
        <f t="shared" si="1"/>
        <v>0</v>
      </c>
      <c r="L15" s="48">
        <f>VLOOKUP(E15,Ajustes!AG13:AI60,2,FALSE)</f>
        <v>0</v>
      </c>
      <c r="M15" s="57">
        <f>VLOOKUP(E15,Ajustes!AG13:AI60,3,FALSE)</f>
        <v>0</v>
      </c>
      <c r="N15" s="48">
        <f t="shared" si="2"/>
        <v>0</v>
      </c>
      <c r="O15" s="57">
        <f t="shared" si="3"/>
        <v>0</v>
      </c>
      <c r="P15" s="48"/>
      <c r="Q15" s="57"/>
      <c r="R15" s="48"/>
      <c r="S15" s="57"/>
      <c r="T15" s="5">
        <f>SUM(Tabla1[[#This Row],[Debe]:[Pasivo]])</f>
        <v>0</v>
      </c>
    </row>
    <row r="16" spans="2:29" x14ac:dyDescent="0.25">
      <c r="B16" s="32"/>
      <c r="D16" s="42">
        <v>12</v>
      </c>
      <c r="E16" s="66" t="str">
        <f>'Esquema de mayor'!X19</f>
        <v>Equipo de computo electronico</v>
      </c>
      <c r="F16" s="83">
        <f>'Esquema de mayor'!X20</f>
        <v>0</v>
      </c>
      <c r="G16" s="83">
        <f>'Esquema de mayor'!Y20</f>
        <v>0</v>
      </c>
      <c r="H16" s="47">
        <f>VLOOKUP(E16,'Esquema de mayor'!AG14:AI61,2,FALSE)</f>
        <v>0</v>
      </c>
      <c r="I16" s="55">
        <f>VLOOKUP(E16,'Esquema de mayor'!AG14:AI61,3,FALSE)</f>
        <v>0</v>
      </c>
      <c r="J16" s="48">
        <f t="shared" si="0"/>
        <v>0</v>
      </c>
      <c r="K16" s="57">
        <f t="shared" si="1"/>
        <v>0</v>
      </c>
      <c r="L16" s="48">
        <f>VLOOKUP(E16,Ajustes!AG13:AI60,2,FALSE)</f>
        <v>0</v>
      </c>
      <c r="M16" s="57">
        <f>VLOOKUP(E16,Ajustes!AG13:AI60,3,FALSE)</f>
        <v>0</v>
      </c>
      <c r="N16" s="48">
        <f t="shared" si="2"/>
        <v>0</v>
      </c>
      <c r="O16" s="57">
        <f t="shared" si="3"/>
        <v>0</v>
      </c>
      <c r="P16" s="48"/>
      <c r="Q16" s="57"/>
      <c r="R16" s="48"/>
      <c r="S16" s="57"/>
      <c r="T16" s="5">
        <f>SUM(Tabla1[[#This Row],[Debe]:[Pasivo]])</f>
        <v>0</v>
      </c>
    </row>
    <row r="17" spans="2:20" x14ac:dyDescent="0.25">
      <c r="B17" s="23"/>
      <c r="D17" s="42">
        <v>13</v>
      </c>
      <c r="E17" s="66" t="str">
        <f>'Esquema de mayor'!D34</f>
        <v>Equipo de entrega y reparto</v>
      </c>
      <c r="F17" s="83">
        <f>'Esquema de mayor'!D35</f>
        <v>0</v>
      </c>
      <c r="G17" s="83">
        <f>'Esquema de mayor'!E35</f>
        <v>0</v>
      </c>
      <c r="H17" s="47">
        <f>VLOOKUP(E17,'Esquema de mayor'!AG15:AI62,2,FALSE)</f>
        <v>0</v>
      </c>
      <c r="I17" s="55">
        <f>VLOOKUP(E17,'Esquema de mayor'!AG15:AI62,3,FALSE)</f>
        <v>0</v>
      </c>
      <c r="J17" s="48">
        <f t="shared" si="0"/>
        <v>0</v>
      </c>
      <c r="K17" s="57">
        <f t="shared" si="1"/>
        <v>0</v>
      </c>
      <c r="L17" s="48">
        <f>VLOOKUP(E17,Ajustes!AG13:AI60,2,FALSE)</f>
        <v>0</v>
      </c>
      <c r="M17" s="57">
        <f>VLOOKUP(E17,Ajustes!AG13:AI60,3,FALSE)</f>
        <v>0</v>
      </c>
      <c r="N17" s="48">
        <f t="shared" si="2"/>
        <v>0</v>
      </c>
      <c r="O17" s="57">
        <f t="shared" si="3"/>
        <v>0</v>
      </c>
      <c r="P17" s="48"/>
      <c r="Q17" s="57"/>
      <c r="R17" s="48"/>
      <c r="S17" s="57"/>
      <c r="T17" s="5">
        <f>SUM(Tabla1[[#This Row],[Debe]:[Pasivo]])</f>
        <v>0</v>
      </c>
    </row>
    <row r="18" spans="2:20" x14ac:dyDescent="0.25">
      <c r="B18" s="23"/>
      <c r="D18" s="42">
        <v>14</v>
      </c>
      <c r="E18" s="66" t="str">
        <f>'Esquema de mayor'!H34</f>
        <v>Seguros pagados por anticipado c/p</v>
      </c>
      <c r="F18" s="83">
        <f>'Esquema de mayor'!H35</f>
        <v>0</v>
      </c>
      <c r="G18" s="83">
        <f>'Esquema de mayor'!I35</f>
        <v>0</v>
      </c>
      <c r="H18" s="47">
        <f>VLOOKUP(E18,'Esquema de mayor'!AG16:AI63,2,FALSE)</f>
        <v>0</v>
      </c>
      <c r="I18" s="55">
        <f>VLOOKUP(E18,'Esquema de mayor'!AG16:AI63,3,FALSE)</f>
        <v>0</v>
      </c>
      <c r="J18" s="48">
        <f t="shared" si="0"/>
        <v>0</v>
      </c>
      <c r="K18" s="57">
        <f t="shared" si="1"/>
        <v>0</v>
      </c>
      <c r="L18" s="48">
        <f>VLOOKUP(E18,Ajustes!AG16:AI63,2,FALSE)</f>
        <v>0</v>
      </c>
      <c r="M18" s="57">
        <f>VLOOKUP(E18,Ajustes!AG16:AI63,3,FALSE)</f>
        <v>0</v>
      </c>
      <c r="N18" s="48">
        <f t="shared" si="2"/>
        <v>0</v>
      </c>
      <c r="O18" s="57">
        <f t="shared" si="3"/>
        <v>0</v>
      </c>
      <c r="P18" s="48"/>
      <c r="Q18" s="57"/>
      <c r="R18" s="48"/>
      <c r="S18" s="57"/>
      <c r="T18" s="5">
        <f>SUM(Tabla1[[#This Row],[Debe]:[Pasivo]])</f>
        <v>0</v>
      </c>
    </row>
    <row r="19" spans="2:20" x14ac:dyDescent="0.25">
      <c r="B19" s="32"/>
      <c r="D19" s="42">
        <v>15</v>
      </c>
      <c r="E19" s="66" t="str">
        <f>'Esquema de mayor'!L34</f>
        <v>Inversiones permanentes</v>
      </c>
      <c r="F19" s="83">
        <f>'Esquema de mayor'!L35</f>
        <v>0</v>
      </c>
      <c r="G19" s="83">
        <f>'Esquema de mayor'!M35</f>
        <v>0</v>
      </c>
      <c r="H19" s="47">
        <f>VLOOKUP(E19,'Esquema de mayor'!AG17:AI64,2,FALSE)</f>
        <v>0</v>
      </c>
      <c r="I19" s="55">
        <f>VLOOKUP(E19,'Esquema de mayor'!AG17:AI64,3,FALSE)</f>
        <v>0</v>
      </c>
      <c r="J19" s="48">
        <f t="shared" si="0"/>
        <v>0</v>
      </c>
      <c r="K19" s="57">
        <f t="shared" si="1"/>
        <v>0</v>
      </c>
      <c r="L19" s="48">
        <f>VLOOKUP(E19,Ajustes!AG16:AI63,2,FALSE)</f>
        <v>0</v>
      </c>
      <c r="M19" s="57">
        <f>VLOOKUP(E19,Ajustes!AG16:AI63,3,FALSE)</f>
        <v>0</v>
      </c>
      <c r="N19" s="48">
        <f t="shared" si="2"/>
        <v>0</v>
      </c>
      <c r="O19" s="57">
        <f t="shared" si="3"/>
        <v>0</v>
      </c>
      <c r="P19" s="48"/>
      <c r="Q19" s="57"/>
      <c r="R19" s="48"/>
      <c r="S19" s="57"/>
      <c r="T19" s="5">
        <f>SUM(Tabla1[[#This Row],[Debe]:[Pasivo]])</f>
        <v>0</v>
      </c>
    </row>
    <row r="20" spans="2:20" x14ac:dyDescent="0.25">
      <c r="B20" s="23"/>
      <c r="D20" s="42">
        <v>16</v>
      </c>
      <c r="E20" s="66" t="str">
        <f>'Esquema de mayor'!P34</f>
        <v>Gastos de investigación y desarrollo</v>
      </c>
      <c r="F20" s="83">
        <f>'Esquema de mayor'!P35</f>
        <v>0</v>
      </c>
      <c r="G20" s="83">
        <f>'Esquema de mayor'!Q35</f>
        <v>0</v>
      </c>
      <c r="H20" s="47">
        <f>VLOOKUP(E20,'Esquema de mayor'!AG18:AI65,2,FALSE)</f>
        <v>0</v>
      </c>
      <c r="I20" s="55">
        <f>VLOOKUP(E20,'Esquema de mayor'!AG18:AI65,3,FALSE)</f>
        <v>0</v>
      </c>
      <c r="J20" s="48">
        <f t="shared" si="0"/>
        <v>0</v>
      </c>
      <c r="K20" s="57">
        <f t="shared" si="1"/>
        <v>0</v>
      </c>
      <c r="L20" s="48">
        <f>VLOOKUP(E20,Ajustes!AG16:AI63,2,FALSE)</f>
        <v>0</v>
      </c>
      <c r="M20" s="57">
        <f>VLOOKUP(E20,Ajustes!AG16:AI63,3,FALSE)</f>
        <v>0</v>
      </c>
      <c r="N20" s="48">
        <f t="shared" si="2"/>
        <v>0</v>
      </c>
      <c r="O20" s="57">
        <f t="shared" si="3"/>
        <v>0</v>
      </c>
      <c r="P20" s="48"/>
      <c r="Q20" s="57"/>
      <c r="R20" s="48"/>
      <c r="S20" s="57"/>
      <c r="T20" s="5">
        <f>SUM(Tabla1[[#This Row],[Debe]:[Pasivo]])</f>
        <v>0</v>
      </c>
    </row>
    <row r="21" spans="2:20" x14ac:dyDescent="0.25">
      <c r="B21" s="23"/>
      <c r="D21" s="42">
        <v>17</v>
      </c>
      <c r="E21" s="67" t="str">
        <f>'Esquema de mayor'!T34</f>
        <v>Gastos de organización</v>
      </c>
      <c r="F21" s="83">
        <f>'Esquema de mayor'!T35</f>
        <v>0</v>
      </c>
      <c r="G21" s="83">
        <f>'Esquema de mayor'!U35</f>
        <v>0</v>
      </c>
      <c r="H21" s="47">
        <f>VLOOKUP(E21,'Esquema de mayor'!AG19:AI66,2,FALSE)</f>
        <v>0</v>
      </c>
      <c r="I21" s="55">
        <f>VLOOKUP(E21,'Esquema de mayor'!AG19:AI66,3,FALSE)</f>
        <v>0</v>
      </c>
      <c r="J21" s="48">
        <f t="shared" si="0"/>
        <v>0</v>
      </c>
      <c r="K21" s="57">
        <f t="shared" si="1"/>
        <v>0</v>
      </c>
      <c r="L21" s="48">
        <f>VLOOKUP(E21,Ajustes!AG19:AI66,2,FALSE)</f>
        <v>0</v>
      </c>
      <c r="M21" s="57">
        <f>VLOOKUP(E21,Ajustes!AG19:AI66,3,FALSE)</f>
        <v>0</v>
      </c>
      <c r="N21" s="48">
        <f t="shared" si="2"/>
        <v>0</v>
      </c>
      <c r="O21" s="57">
        <f t="shared" si="3"/>
        <v>0</v>
      </c>
      <c r="P21" s="48"/>
      <c r="Q21" s="57"/>
      <c r="R21" s="48"/>
      <c r="S21" s="57"/>
      <c r="T21" s="5">
        <f>SUM(Tabla1[[#This Row],[Debe]:[Pasivo]])</f>
        <v>0</v>
      </c>
    </row>
    <row r="22" spans="2:20" x14ac:dyDescent="0.25">
      <c r="B22" s="23"/>
      <c r="D22" s="42">
        <v>18</v>
      </c>
      <c r="E22" s="66" t="str">
        <f>'Esquema de mayor'!X34</f>
        <v>Gastos de instalación</v>
      </c>
      <c r="F22" s="83">
        <f>'Esquema de mayor'!X35</f>
        <v>0</v>
      </c>
      <c r="G22" s="83">
        <f>'Esquema de mayor'!Y35</f>
        <v>0</v>
      </c>
      <c r="H22" s="47">
        <f>VLOOKUP(E22,'Esquema de mayor'!AG20:AI67,2,FALSE)</f>
        <v>0</v>
      </c>
      <c r="I22" s="55">
        <f>VLOOKUP(E22,'Esquema de mayor'!AG20:AI67,3,FALSE)</f>
        <v>0</v>
      </c>
      <c r="J22" s="48">
        <f t="shared" si="0"/>
        <v>0</v>
      </c>
      <c r="K22" s="57">
        <f t="shared" si="1"/>
        <v>0</v>
      </c>
      <c r="L22" s="48">
        <f>VLOOKUP(E22,Ajustes!AG19:AI66,2,FALSE)</f>
        <v>0</v>
      </c>
      <c r="M22" s="57">
        <f>VLOOKUP(E22,Ajustes!AG19:AI66,3,FALSE)</f>
        <v>0</v>
      </c>
      <c r="N22" s="48">
        <f t="shared" si="2"/>
        <v>0</v>
      </c>
      <c r="O22" s="57">
        <f t="shared" si="3"/>
        <v>0</v>
      </c>
      <c r="P22" s="48"/>
      <c r="Q22" s="57"/>
      <c r="R22" s="48"/>
      <c r="S22" s="57"/>
      <c r="T22" s="5">
        <f>SUM(Tabla1[[#This Row],[Debe]:[Pasivo]])</f>
        <v>0</v>
      </c>
    </row>
    <row r="23" spans="2:20" x14ac:dyDescent="0.25">
      <c r="B23" s="23"/>
      <c r="D23" s="42">
        <v>19</v>
      </c>
      <c r="E23" s="66" t="str">
        <f>'Esquema de mayor'!D49</f>
        <v>Primas de seguros</v>
      </c>
      <c r="F23" s="83">
        <f>'Esquema de mayor'!D50</f>
        <v>0</v>
      </c>
      <c r="G23" s="83">
        <f>'Esquema de mayor'!E50</f>
        <v>0</v>
      </c>
      <c r="H23" s="47">
        <f>VLOOKUP(E23,'Esquema de mayor'!AG21:AI68,2,FALSE)</f>
        <v>0</v>
      </c>
      <c r="I23" s="55">
        <f>VLOOKUP(E23,'Esquema de mayor'!AG21:AI68,3,FALSE)</f>
        <v>0</v>
      </c>
      <c r="J23" s="48">
        <f t="shared" si="0"/>
        <v>0</v>
      </c>
      <c r="K23" s="57">
        <f t="shared" si="1"/>
        <v>0</v>
      </c>
      <c r="L23" s="48">
        <f>VLOOKUP(E23,Ajustes!AG19:AI66,2,FALSE)</f>
        <v>0</v>
      </c>
      <c r="M23" s="57">
        <f>VLOOKUP(E23,Ajustes!AG19:AI66,3,FALSE)</f>
        <v>0</v>
      </c>
      <c r="N23" s="48">
        <f t="shared" si="2"/>
        <v>0</v>
      </c>
      <c r="O23" s="57">
        <f t="shared" si="3"/>
        <v>0</v>
      </c>
      <c r="P23" s="48"/>
      <c r="Q23" s="57"/>
      <c r="R23" s="48"/>
      <c r="S23" s="57"/>
      <c r="T23" s="5">
        <f>SUM(Tabla1[[#This Row],[Debe]:[Pasivo]])</f>
        <v>0</v>
      </c>
    </row>
    <row r="24" spans="2:20" x14ac:dyDescent="0.25">
      <c r="B24" s="23"/>
      <c r="D24" s="42">
        <v>20</v>
      </c>
      <c r="E24" s="66" t="str">
        <f>'Esquema de mayor'!H49</f>
        <v>Rentas pagadas por anticipado</v>
      </c>
      <c r="F24" s="83">
        <f>'Esquema de mayor'!H50</f>
        <v>0</v>
      </c>
      <c r="G24" s="83">
        <f>'Esquema de mayor'!I50</f>
        <v>0</v>
      </c>
      <c r="H24" s="47">
        <f>VLOOKUP(E24,'Esquema de mayor'!AG22:AI69,2,FALSE)</f>
        <v>0</v>
      </c>
      <c r="I24" s="55">
        <f>VLOOKUP(E24,'Esquema de mayor'!AG22:AI69,3,FALSE)</f>
        <v>0</v>
      </c>
      <c r="J24" s="48">
        <f t="shared" si="0"/>
        <v>0</v>
      </c>
      <c r="K24" s="57">
        <f t="shared" si="1"/>
        <v>0</v>
      </c>
      <c r="L24" s="48">
        <f>VLOOKUP(E24,Ajustes!AG22:AI69,2,FALSE)</f>
        <v>0</v>
      </c>
      <c r="M24" s="57">
        <f>VLOOKUP(E24,Ajustes!AG22:AI69,3,FALSE)</f>
        <v>0</v>
      </c>
      <c r="N24" s="48">
        <f t="shared" si="2"/>
        <v>0</v>
      </c>
      <c r="O24" s="57">
        <f t="shared" si="3"/>
        <v>0</v>
      </c>
      <c r="P24" s="48"/>
      <c r="Q24" s="57"/>
      <c r="R24" s="48"/>
      <c r="S24" s="57"/>
      <c r="T24" s="5">
        <f>SUM(Tabla1[[#This Row],[Debe]:[Pasivo]])</f>
        <v>0</v>
      </c>
    </row>
    <row r="25" spans="2:20" x14ac:dyDescent="0.25">
      <c r="B25" s="23"/>
      <c r="D25" s="42">
        <v>21</v>
      </c>
      <c r="E25" s="66" t="str">
        <f>'Esquema de mayor'!L49</f>
        <v>Intereses pagados por anticipado</v>
      </c>
      <c r="F25" s="83">
        <f>'Esquema de mayor'!L50</f>
        <v>0</v>
      </c>
      <c r="G25" s="83">
        <f>'Esquema de mayor'!M50</f>
        <v>0</v>
      </c>
      <c r="H25" s="47">
        <f>VLOOKUP(E25,'Esquema de mayor'!AG23:AI70,2,FALSE)</f>
        <v>0</v>
      </c>
      <c r="I25" s="55">
        <f>VLOOKUP(E25,'Esquema de mayor'!AG23:AI70,3,FALSE)</f>
        <v>0</v>
      </c>
      <c r="J25" s="48">
        <f t="shared" si="0"/>
        <v>0</v>
      </c>
      <c r="K25" s="57">
        <f t="shared" si="1"/>
        <v>0</v>
      </c>
      <c r="L25" s="48">
        <f>VLOOKUP(E25,Ajustes!AG22:AI69,2,FALSE)</f>
        <v>0</v>
      </c>
      <c r="M25" s="57">
        <f>VLOOKUP(E25,Ajustes!AG22:AI69,3,FALSE)</f>
        <v>0</v>
      </c>
      <c r="N25" s="48">
        <f t="shared" si="2"/>
        <v>0</v>
      </c>
      <c r="O25" s="57">
        <f t="shared" si="3"/>
        <v>0</v>
      </c>
      <c r="P25" s="48"/>
      <c r="Q25" s="57"/>
      <c r="R25" s="48"/>
      <c r="S25" s="57"/>
      <c r="T25" s="5">
        <f>SUM(Tabla1[[#This Row],[Debe]:[Pasivo]])</f>
        <v>0</v>
      </c>
    </row>
    <row r="26" spans="2:20" x14ac:dyDescent="0.25">
      <c r="B26" s="11"/>
      <c r="D26" s="42">
        <v>22</v>
      </c>
      <c r="E26" s="66" t="str">
        <f>'Esquema de mayor'!P49</f>
        <v>IVA pagado</v>
      </c>
      <c r="F26" s="83">
        <f>'Esquema de mayor'!P50</f>
        <v>0</v>
      </c>
      <c r="G26" s="83">
        <f>'Esquema de mayor'!Q50</f>
        <v>0</v>
      </c>
      <c r="H26" s="47">
        <f>VLOOKUP(E26,'Esquema de mayor'!AG24:AI71,2,FALSE)</f>
        <v>0</v>
      </c>
      <c r="I26" s="55">
        <f>VLOOKUP(E26,'Esquema de mayor'!AG24:AI71,3,FALSE)</f>
        <v>0</v>
      </c>
      <c r="J26" s="48">
        <f t="shared" si="0"/>
        <v>0</v>
      </c>
      <c r="K26" s="57">
        <f t="shared" si="1"/>
        <v>0</v>
      </c>
      <c r="L26" s="48">
        <f>VLOOKUP(E26,Ajustes!AG22:AI69,2,FALSE)</f>
        <v>0</v>
      </c>
      <c r="M26" s="57">
        <f>VLOOKUP(E26,Ajustes!AG22:AI69,3,FALSE)</f>
        <v>0</v>
      </c>
      <c r="N26" s="48">
        <f t="shared" si="2"/>
        <v>0</v>
      </c>
      <c r="O26" s="57">
        <f t="shared" si="3"/>
        <v>0</v>
      </c>
      <c r="P26" s="48"/>
      <c r="Q26" s="57"/>
      <c r="R26" s="48"/>
      <c r="S26" s="57"/>
      <c r="T26" s="5">
        <f>SUM(Tabla1[[#This Row],[Debe]:[Pasivo]])</f>
        <v>0</v>
      </c>
    </row>
    <row r="27" spans="2:20" x14ac:dyDescent="0.25">
      <c r="B27" s="11"/>
      <c r="D27" s="42">
        <v>23</v>
      </c>
      <c r="E27" s="66" t="str">
        <f>'Esquema de mayor'!T49</f>
        <v>IVA acreditable</v>
      </c>
      <c r="F27" s="83">
        <f>'Esquema de mayor'!T50</f>
        <v>0</v>
      </c>
      <c r="G27" s="83">
        <f>'Esquema de mayor'!U50</f>
        <v>0</v>
      </c>
      <c r="H27" s="47">
        <f>VLOOKUP(E27,'Esquema de mayor'!AG25:AI72,2,FALSE)</f>
        <v>0</v>
      </c>
      <c r="I27" s="55">
        <f>VLOOKUP(E27,'Esquema de mayor'!AG25:AI72,3,FALSE)</f>
        <v>0</v>
      </c>
      <c r="J27" s="48">
        <f t="shared" si="0"/>
        <v>0</v>
      </c>
      <c r="K27" s="57">
        <f t="shared" si="1"/>
        <v>0</v>
      </c>
      <c r="L27" s="48">
        <f>VLOOKUP(E27,Ajustes!AG25:AI72,2,FALSE)</f>
        <v>0</v>
      </c>
      <c r="M27" s="57">
        <f>VLOOKUP(E27,Ajustes!AG25:AI72,3,FALSE)</f>
        <v>0</v>
      </c>
      <c r="N27" s="48">
        <f t="shared" si="2"/>
        <v>0</v>
      </c>
      <c r="O27" s="57">
        <f t="shared" si="3"/>
        <v>0</v>
      </c>
      <c r="P27" s="48"/>
      <c r="Q27" s="57"/>
      <c r="R27" s="48"/>
      <c r="S27" s="57"/>
      <c r="T27" s="5">
        <f>SUM(Tabla1[[#This Row],[Debe]:[Pasivo]])</f>
        <v>0</v>
      </c>
    </row>
    <row r="28" spans="2:20" x14ac:dyDescent="0.25">
      <c r="B28" s="15"/>
      <c r="D28" s="42">
        <v>24</v>
      </c>
      <c r="E28" s="66" t="str">
        <f>'Esquema de mayor'!X49</f>
        <v>Proveedores</v>
      </c>
      <c r="F28" s="83">
        <f>'Esquema de mayor'!X50</f>
        <v>0</v>
      </c>
      <c r="G28" s="83">
        <f>'Esquema de mayor'!Y50</f>
        <v>0</v>
      </c>
      <c r="H28" s="47">
        <f>VLOOKUP(E28,'Esquema de mayor'!AG26:AI73,2,FALSE)</f>
        <v>0</v>
      </c>
      <c r="I28" s="55">
        <f>VLOOKUP(E28,'Esquema de mayor'!AG26:AI73,3,FALSE)</f>
        <v>0</v>
      </c>
      <c r="J28" s="48">
        <f t="shared" si="0"/>
        <v>0</v>
      </c>
      <c r="K28" s="57">
        <f t="shared" si="1"/>
        <v>0</v>
      </c>
      <c r="L28" s="48">
        <f>VLOOKUP(E28,Ajustes!AG25:AI72,2,FALSE)</f>
        <v>0</v>
      </c>
      <c r="M28" s="57">
        <f>VLOOKUP(E28,Ajustes!AG25:AI72,3,FALSE)</f>
        <v>0</v>
      </c>
      <c r="N28" s="48">
        <f t="shared" si="2"/>
        <v>0</v>
      </c>
      <c r="O28" s="57">
        <f t="shared" si="3"/>
        <v>0</v>
      </c>
      <c r="P28" s="48"/>
      <c r="Q28" s="57"/>
      <c r="R28" s="48"/>
      <c r="S28" s="57"/>
      <c r="T28" s="5">
        <f>SUM(Tabla1[[#This Row],[Debe]:[Pasivo]])</f>
        <v>0</v>
      </c>
    </row>
    <row r="29" spans="2:20" x14ac:dyDescent="0.25">
      <c r="B29" s="15"/>
      <c r="D29" s="42">
        <v>25</v>
      </c>
      <c r="E29" s="66" t="str">
        <f>'Esquema de mayor'!D64</f>
        <v>Documentos por pagar</v>
      </c>
      <c r="F29" s="83">
        <f>'Esquema de mayor'!D65</f>
        <v>0</v>
      </c>
      <c r="G29" s="83">
        <f>'Esquema de mayor'!E65</f>
        <v>0</v>
      </c>
      <c r="H29" s="47">
        <f>VLOOKUP(E29,'Esquema de mayor'!AG27:AI74,2,FALSE)</f>
        <v>0</v>
      </c>
      <c r="I29" s="55">
        <f>VLOOKUP(E29,'Esquema de mayor'!AG27:AI74,3,FALSE)</f>
        <v>0</v>
      </c>
      <c r="J29" s="48">
        <f t="shared" si="0"/>
        <v>0</v>
      </c>
      <c r="K29" s="57">
        <f t="shared" si="1"/>
        <v>0</v>
      </c>
      <c r="L29" s="48">
        <f>VLOOKUP(E29,Ajustes!AG25:AI72,2,FALSE)</f>
        <v>0</v>
      </c>
      <c r="M29" s="57">
        <f>VLOOKUP(E29,Ajustes!AG25:AI72,3,FALSE)</f>
        <v>0</v>
      </c>
      <c r="N29" s="48">
        <f t="shared" si="2"/>
        <v>0</v>
      </c>
      <c r="O29" s="57">
        <f t="shared" si="3"/>
        <v>0</v>
      </c>
      <c r="P29" s="48"/>
      <c r="Q29" s="57"/>
      <c r="R29" s="48"/>
      <c r="S29" s="57"/>
      <c r="T29" s="5">
        <f>SUM(Tabla1[[#This Row],[Debe]:[Pasivo]])</f>
        <v>0</v>
      </c>
    </row>
    <row r="30" spans="2:20" x14ac:dyDescent="0.25">
      <c r="B30" s="15"/>
      <c r="D30" s="42">
        <v>26</v>
      </c>
      <c r="E30" s="66" t="str">
        <f>'Esquema de mayor'!H64</f>
        <v>Acreedores diversos</v>
      </c>
      <c r="F30" s="83">
        <f>'Esquema de mayor'!H65</f>
        <v>0</v>
      </c>
      <c r="G30" s="83">
        <f>'Esquema de mayor'!I65</f>
        <v>0</v>
      </c>
      <c r="H30" s="47">
        <f>VLOOKUP(E30,'Esquema de mayor'!AG28:AI75,2,FALSE)</f>
        <v>0</v>
      </c>
      <c r="I30" s="55">
        <f>VLOOKUP(E30,'Esquema de mayor'!AG28:AI75,3,FALSE)</f>
        <v>0</v>
      </c>
      <c r="J30" s="48">
        <f t="shared" si="0"/>
        <v>0</v>
      </c>
      <c r="K30" s="57">
        <f t="shared" si="1"/>
        <v>0</v>
      </c>
      <c r="L30" s="48">
        <f>VLOOKUP(E30,Ajustes!AG28:AI75,2,FALSE)</f>
        <v>0</v>
      </c>
      <c r="M30" s="57">
        <f>VLOOKUP(E30,Ajustes!AG28:AI75,3,FALSE)</f>
        <v>0</v>
      </c>
      <c r="N30" s="48">
        <f t="shared" si="2"/>
        <v>0</v>
      </c>
      <c r="O30" s="57">
        <f t="shared" si="3"/>
        <v>0</v>
      </c>
      <c r="P30" s="48"/>
      <c r="Q30" s="57"/>
      <c r="R30" s="48"/>
      <c r="S30" s="57"/>
      <c r="T30" s="5">
        <f>SUM(Tabla1[[#This Row],[Debe]:[Pasivo]])</f>
        <v>0</v>
      </c>
    </row>
    <row r="31" spans="2:20" x14ac:dyDescent="0.25">
      <c r="B31" s="15"/>
      <c r="D31" s="42">
        <v>27</v>
      </c>
      <c r="E31" s="66" t="str">
        <f>'Esquema de mayor'!L64</f>
        <v>Anticipo de clientes</v>
      </c>
      <c r="F31" s="83">
        <f>'Esquema de mayor'!L65</f>
        <v>0</v>
      </c>
      <c r="G31" s="83">
        <f>'Esquema de mayor'!M65</f>
        <v>0</v>
      </c>
      <c r="H31" s="47">
        <f>VLOOKUP(E31,'Esquema de mayor'!AG29:AI76,2,FALSE)</f>
        <v>0</v>
      </c>
      <c r="I31" s="55">
        <f>VLOOKUP(E31,'Esquema de mayor'!AG29:AI76,3,FALSE)</f>
        <v>0</v>
      </c>
      <c r="J31" s="48">
        <f t="shared" si="0"/>
        <v>0</v>
      </c>
      <c r="K31" s="57">
        <f t="shared" si="1"/>
        <v>0</v>
      </c>
      <c r="L31" s="48">
        <f>VLOOKUP(E31,Ajustes!AG28:AI75,2,FALSE)</f>
        <v>0</v>
      </c>
      <c r="M31" s="57">
        <f>VLOOKUP(E31,Ajustes!AG28:AI75,3,FALSE)</f>
        <v>0</v>
      </c>
      <c r="N31" s="48">
        <f t="shared" si="2"/>
        <v>0</v>
      </c>
      <c r="O31" s="57">
        <f t="shared" si="3"/>
        <v>0</v>
      </c>
      <c r="P31" s="48"/>
      <c r="Q31" s="57"/>
      <c r="R31" s="48"/>
      <c r="S31" s="57"/>
      <c r="T31" s="5">
        <f>SUM(Tabla1[[#This Row],[Debe]:[Pasivo]])</f>
        <v>0</v>
      </c>
    </row>
    <row r="32" spans="2:20" x14ac:dyDescent="0.25">
      <c r="B32" s="33"/>
      <c r="D32" s="42">
        <v>28</v>
      </c>
      <c r="E32" s="66" t="str">
        <f>'Esquema de mayor'!P64</f>
        <v>Acreedores hipotecarios</v>
      </c>
      <c r="F32" s="83">
        <f>'Esquema de mayor'!P65</f>
        <v>0</v>
      </c>
      <c r="G32" s="83">
        <f>'Esquema de mayor'!Q65</f>
        <v>0</v>
      </c>
      <c r="H32" s="47">
        <f>VLOOKUP(E32,'Esquema de mayor'!AG30:AI77,2,FALSE)</f>
        <v>0</v>
      </c>
      <c r="I32" s="55">
        <f>VLOOKUP(E32,'Esquema de mayor'!AG30:AI77,3,FALSE)</f>
        <v>0</v>
      </c>
      <c r="J32" s="48">
        <f t="shared" si="0"/>
        <v>0</v>
      </c>
      <c r="K32" s="57">
        <f t="shared" si="1"/>
        <v>0</v>
      </c>
      <c r="L32" s="48">
        <f>VLOOKUP(E32,Ajustes!AG28:AI75,2,FALSE)</f>
        <v>0</v>
      </c>
      <c r="M32" s="57">
        <f>VLOOKUP(E32,Ajustes!AG28:AI75,3,FALSE)</f>
        <v>0</v>
      </c>
      <c r="N32" s="48">
        <f t="shared" si="2"/>
        <v>0</v>
      </c>
      <c r="O32" s="57">
        <f t="shared" si="3"/>
        <v>0</v>
      </c>
      <c r="P32" s="48"/>
      <c r="Q32" s="57"/>
      <c r="R32" s="48"/>
      <c r="S32" s="57"/>
      <c r="T32" s="5">
        <f>SUM(Tabla1[[#This Row],[Debe]:[Pasivo]])</f>
        <v>0</v>
      </c>
    </row>
    <row r="33" spans="2:20" x14ac:dyDescent="0.25">
      <c r="B33" s="15"/>
      <c r="D33" s="42">
        <v>29</v>
      </c>
      <c r="E33" s="66" t="str">
        <f>'Esquema de mayor'!T64</f>
        <v>Documentos por pagar l/p</v>
      </c>
      <c r="F33" s="83">
        <f>'Esquema de mayor'!T65</f>
        <v>0</v>
      </c>
      <c r="G33" s="83">
        <f>'Esquema de mayor'!U65</f>
        <v>0</v>
      </c>
      <c r="H33" s="47">
        <f>VLOOKUP(E33,'Esquema de mayor'!AG31:AI78,2,FALSE)</f>
        <v>0</v>
      </c>
      <c r="I33" s="55">
        <f>VLOOKUP(E33,'Esquema de mayor'!AG31:AI78,3,FALSE)</f>
        <v>0</v>
      </c>
      <c r="J33" s="48">
        <f t="shared" si="0"/>
        <v>0</v>
      </c>
      <c r="K33" s="57">
        <f t="shared" si="1"/>
        <v>0</v>
      </c>
      <c r="L33" s="48">
        <f>VLOOKUP(E33,Ajustes!AG31:AI78,2,FALSE)</f>
        <v>0</v>
      </c>
      <c r="M33" s="57">
        <f>VLOOKUP(E33,Ajustes!AG31:AI78,3,FALSE)</f>
        <v>0</v>
      </c>
      <c r="N33" s="48">
        <f t="shared" si="2"/>
        <v>0</v>
      </c>
      <c r="O33" s="57">
        <f t="shared" si="3"/>
        <v>0</v>
      </c>
      <c r="P33" s="48"/>
      <c r="Q33" s="57"/>
      <c r="R33" s="48"/>
      <c r="S33" s="57"/>
      <c r="T33" s="5">
        <f>SUM(Tabla1[[#This Row],[Debe]:[Pasivo]])</f>
        <v>0</v>
      </c>
    </row>
    <row r="34" spans="2:20" x14ac:dyDescent="0.25">
      <c r="B34" s="15"/>
      <c r="D34" s="42">
        <v>30</v>
      </c>
      <c r="E34" s="66" t="str">
        <f>'Esquema de mayor'!X64</f>
        <v>Intereses cobrados por anticipado</v>
      </c>
      <c r="F34" s="83">
        <f>'Esquema de mayor'!X65</f>
        <v>0</v>
      </c>
      <c r="G34" s="83">
        <f>'Esquema de mayor'!Y65</f>
        <v>0</v>
      </c>
      <c r="H34" s="47">
        <f>VLOOKUP(E34,'Esquema de mayor'!AG32:AI79,2,FALSE)</f>
        <v>0</v>
      </c>
      <c r="I34" s="55">
        <f>VLOOKUP(E34,'Esquema de mayor'!AG32:AI79,3,FALSE)</f>
        <v>0</v>
      </c>
      <c r="J34" s="48">
        <f t="shared" si="0"/>
        <v>0</v>
      </c>
      <c r="K34" s="57">
        <f t="shared" si="1"/>
        <v>0</v>
      </c>
      <c r="L34" s="48">
        <f>VLOOKUP(E34,Ajustes!AG31:AI78,2,FALSE)</f>
        <v>0</v>
      </c>
      <c r="M34" s="57">
        <f>VLOOKUP(E34,Ajustes!AG31:AI78,3,FALSE)</f>
        <v>0</v>
      </c>
      <c r="N34" s="48">
        <f t="shared" si="2"/>
        <v>0</v>
      </c>
      <c r="O34" s="57">
        <f t="shared" si="3"/>
        <v>0</v>
      </c>
      <c r="P34" s="48"/>
      <c r="Q34" s="57"/>
      <c r="R34" s="48"/>
      <c r="S34" s="57"/>
      <c r="T34" s="5">
        <f>SUM(Tabla1[[#This Row],[Debe]:[Pasivo]])</f>
        <v>0</v>
      </c>
    </row>
    <row r="35" spans="2:20" x14ac:dyDescent="0.25">
      <c r="B35" s="15"/>
      <c r="D35" s="42">
        <v>31</v>
      </c>
      <c r="E35" s="66" t="str">
        <f>'Esquema de mayor'!D79</f>
        <v>IVA cobrado</v>
      </c>
      <c r="F35" s="83">
        <f>'Esquema de mayor'!D80</f>
        <v>0</v>
      </c>
      <c r="G35" s="83">
        <f>'Esquema de mayor'!E80</f>
        <v>0</v>
      </c>
      <c r="H35" s="47">
        <f>VLOOKUP(E35,'Esquema de mayor'!AG33:AI80,2,FALSE)</f>
        <v>0</v>
      </c>
      <c r="I35" s="55">
        <f>VLOOKUP(E35,'Esquema de mayor'!AG33:AI80,3,FALSE)</f>
        <v>0</v>
      </c>
      <c r="J35" s="48">
        <f t="shared" si="0"/>
        <v>0</v>
      </c>
      <c r="K35" s="57">
        <f t="shared" si="1"/>
        <v>0</v>
      </c>
      <c r="L35" s="48">
        <f>VLOOKUP(E35,Ajustes!AG31:AI78,2,FALSE)</f>
        <v>0</v>
      </c>
      <c r="M35" s="57">
        <f>VLOOKUP(E35,Ajustes!AG31:AI78,3,FALSE)</f>
        <v>0</v>
      </c>
      <c r="N35" s="48">
        <f t="shared" si="2"/>
        <v>0</v>
      </c>
      <c r="O35" s="57">
        <f t="shared" si="3"/>
        <v>0</v>
      </c>
      <c r="P35" s="48"/>
      <c r="Q35" s="57"/>
      <c r="R35" s="48"/>
      <c r="S35" s="57"/>
      <c r="T35" s="5">
        <f>SUM(Tabla1[[#This Row],[Debe]:[Pasivo]])</f>
        <v>0</v>
      </c>
    </row>
    <row r="36" spans="2:20" x14ac:dyDescent="0.25">
      <c r="B36" s="15"/>
      <c r="D36" s="42">
        <v>32</v>
      </c>
      <c r="E36" s="66" t="str">
        <f>'Esquema de mayor'!H79</f>
        <v>IVA por pagar</v>
      </c>
      <c r="F36" s="83">
        <f>'Esquema de mayor'!H80</f>
        <v>0</v>
      </c>
      <c r="G36" s="83">
        <f>'Esquema de mayor'!I80</f>
        <v>0</v>
      </c>
      <c r="H36" s="47">
        <f>VLOOKUP(E36,'Esquema de mayor'!AG34:AI81,2,FALSE)</f>
        <v>0</v>
      </c>
      <c r="I36" s="55">
        <f>VLOOKUP(E36,'Esquema de mayor'!AG34:AI81,3,FALSE)</f>
        <v>0</v>
      </c>
      <c r="J36" s="48">
        <f t="shared" si="0"/>
        <v>0</v>
      </c>
      <c r="K36" s="57">
        <f t="shared" si="1"/>
        <v>0</v>
      </c>
      <c r="L36" s="48">
        <f>VLOOKUP(E36,Ajustes!AG34:AI81,2,FALSE)</f>
        <v>0</v>
      </c>
      <c r="M36" s="57">
        <f>VLOOKUP(E36,Ajustes!AG34:AI81,3,FALSE)</f>
        <v>0</v>
      </c>
      <c r="N36" s="48">
        <f t="shared" si="2"/>
        <v>0</v>
      </c>
      <c r="O36" s="57">
        <f t="shared" si="3"/>
        <v>0</v>
      </c>
      <c r="P36" s="48"/>
      <c r="Q36" s="57"/>
      <c r="R36" s="48"/>
      <c r="S36" s="57"/>
      <c r="T36" s="5">
        <f>SUM(Tabla1[[#This Row],[Debe]:[Pasivo]])</f>
        <v>0</v>
      </c>
    </row>
    <row r="37" spans="2:20" x14ac:dyDescent="0.25">
      <c r="B37" s="35"/>
      <c r="D37" s="42">
        <v>33</v>
      </c>
      <c r="E37" s="66" t="str">
        <f>'Esquema de mayor'!L79</f>
        <v>Capital</v>
      </c>
      <c r="F37" s="83">
        <f>'Esquema de mayor'!L80</f>
        <v>0</v>
      </c>
      <c r="G37" s="83">
        <f>'Esquema de mayor'!M80</f>
        <v>0</v>
      </c>
      <c r="H37" s="47">
        <f>VLOOKUP(E37,'Esquema de mayor'!AG35:AI82,2,FALSE)</f>
        <v>0</v>
      </c>
      <c r="I37" s="55">
        <f>VLOOKUP(E37,'Esquema de mayor'!AG35:AI82,3,FALSE)</f>
        <v>0</v>
      </c>
      <c r="J37" s="48">
        <f t="shared" si="0"/>
        <v>0</v>
      </c>
      <c r="K37" s="57">
        <f t="shared" si="1"/>
        <v>0</v>
      </c>
      <c r="L37" s="48">
        <f>VLOOKUP(E37,Ajustes!AG34:AI81,2,FALSE)</f>
        <v>0</v>
      </c>
      <c r="M37" s="57">
        <f>VLOOKUP(E37,Ajustes!AG34:AI81,3,FALSE)</f>
        <v>0</v>
      </c>
      <c r="N37" s="48">
        <f t="shared" si="2"/>
        <v>0</v>
      </c>
      <c r="O37" s="57">
        <f t="shared" si="3"/>
        <v>0</v>
      </c>
      <c r="P37" s="48"/>
      <c r="Q37" s="57"/>
      <c r="R37" s="48"/>
      <c r="S37" s="57"/>
      <c r="T37" s="5">
        <f>SUM(Tabla1[[#This Row],[Debe]:[Pasivo]])</f>
        <v>0</v>
      </c>
    </row>
    <row r="38" spans="2:20" x14ac:dyDescent="0.25">
      <c r="B38" s="17"/>
      <c r="D38" s="42">
        <v>34</v>
      </c>
      <c r="E38" s="66" t="str">
        <f>'Esquema de mayor'!P79</f>
        <v>Utilidades de ejercicios anteriores</v>
      </c>
      <c r="F38" s="83">
        <f>'Esquema de mayor'!P80</f>
        <v>0</v>
      </c>
      <c r="G38" s="83">
        <f>'Esquema de mayor'!Q80</f>
        <v>0</v>
      </c>
      <c r="H38" s="47">
        <f>VLOOKUP(E38,'Esquema de mayor'!AG36:AI83,2,FALSE)</f>
        <v>0</v>
      </c>
      <c r="I38" s="55">
        <f>VLOOKUP(E38,'Esquema de mayor'!AG36:AI83,3,FALSE)</f>
        <v>0</v>
      </c>
      <c r="J38" s="48">
        <f t="shared" si="0"/>
        <v>0</v>
      </c>
      <c r="K38" s="57">
        <f t="shared" si="1"/>
        <v>0</v>
      </c>
      <c r="L38" s="48">
        <f>VLOOKUP(E38,Ajustes!AG34:AI81,2,FALSE)</f>
        <v>0</v>
      </c>
      <c r="M38" s="57">
        <f>VLOOKUP(E38,Ajustes!AG34:AI81,3,FALSE)</f>
        <v>0</v>
      </c>
      <c r="N38" s="48">
        <f t="shared" si="2"/>
        <v>0</v>
      </c>
      <c r="O38" s="57">
        <f t="shared" si="3"/>
        <v>0</v>
      </c>
      <c r="P38" s="48"/>
      <c r="Q38" s="57"/>
      <c r="R38" s="48"/>
      <c r="S38" s="57"/>
      <c r="T38" s="5">
        <f>SUM(Tabla1[[#This Row],[Debe]:[Pasivo]])</f>
        <v>0</v>
      </c>
    </row>
    <row r="39" spans="2:20" x14ac:dyDescent="0.25">
      <c r="B39" s="17"/>
      <c r="D39" s="42">
        <v>35</v>
      </c>
      <c r="E39" s="66" t="str">
        <f>'Esquema de mayor'!T79</f>
        <v>Utilidad del ejercicio</v>
      </c>
      <c r="F39" s="83">
        <f>'Esquema de mayor'!T80</f>
        <v>0</v>
      </c>
      <c r="G39" s="83">
        <f>'Esquema de mayor'!U80</f>
        <v>0</v>
      </c>
      <c r="H39" s="47">
        <f>VLOOKUP(E39,'Esquema de mayor'!AG37:AI84,2,FALSE)</f>
        <v>0</v>
      </c>
      <c r="I39" s="55">
        <f>VLOOKUP(E39,'Esquema de mayor'!AG37:AI84,3,FALSE)</f>
        <v>0</v>
      </c>
      <c r="J39" s="48">
        <f t="shared" si="0"/>
        <v>0</v>
      </c>
      <c r="K39" s="57">
        <f t="shared" si="1"/>
        <v>0</v>
      </c>
      <c r="L39" s="48">
        <f>VLOOKUP(E39,Ajustes!AG37:AI84,2,FALSE)</f>
        <v>0</v>
      </c>
      <c r="M39" s="57">
        <f>VLOOKUP(E39,Ajustes!AG37:AI84,3,FALSE)</f>
        <v>0</v>
      </c>
      <c r="N39" s="48">
        <f t="shared" si="2"/>
        <v>0</v>
      </c>
      <c r="O39" s="57">
        <f t="shared" si="3"/>
        <v>0</v>
      </c>
      <c r="P39" s="48"/>
      <c r="Q39" s="57"/>
      <c r="R39" s="48"/>
      <c r="S39" s="57"/>
      <c r="T39" s="5">
        <f>SUM(Tabla1[[#This Row],[Debe]:[Pasivo]])</f>
        <v>0</v>
      </c>
    </row>
    <row r="40" spans="2:20" x14ac:dyDescent="0.25">
      <c r="B40" s="17"/>
      <c r="D40" s="42">
        <v>36</v>
      </c>
      <c r="E40" s="66" t="str">
        <f>'Esquema de mayor'!X79</f>
        <v>Ventas</v>
      </c>
      <c r="F40" s="83">
        <f>'Esquema de mayor'!X80</f>
        <v>0</v>
      </c>
      <c r="G40" s="83">
        <f>'Esquema de mayor'!Y80</f>
        <v>0</v>
      </c>
      <c r="H40" s="47">
        <f>VLOOKUP(E40,'Esquema de mayor'!AG38:AI85,2,FALSE)</f>
        <v>0</v>
      </c>
      <c r="I40" s="55">
        <f>VLOOKUP(E40,'Esquema de mayor'!AG38:AI85,3,FALSE)</f>
        <v>0</v>
      </c>
      <c r="J40" s="48">
        <f t="shared" si="0"/>
        <v>0</v>
      </c>
      <c r="K40" s="57">
        <f t="shared" si="1"/>
        <v>0</v>
      </c>
      <c r="L40" s="48">
        <f>VLOOKUP(E40,Ajustes!AG37:AI84,2,FALSE)</f>
        <v>0</v>
      </c>
      <c r="M40" s="57">
        <f>VLOOKUP(E40,Ajustes!AG37:AI84,3,FALSE)</f>
        <v>0</v>
      </c>
      <c r="N40" s="48">
        <f t="shared" si="2"/>
        <v>0</v>
      </c>
      <c r="O40" s="57">
        <f t="shared" si="3"/>
        <v>0</v>
      </c>
      <c r="P40" s="48"/>
      <c r="Q40" s="57"/>
      <c r="R40" s="48"/>
      <c r="S40" s="57"/>
      <c r="T40" s="5">
        <f>SUM(Tabla1[[#This Row],[Debe]:[Pasivo]])</f>
        <v>0</v>
      </c>
    </row>
    <row r="41" spans="2:20" x14ac:dyDescent="0.25">
      <c r="B41" s="17"/>
      <c r="D41" s="42">
        <v>37</v>
      </c>
      <c r="E41" s="66" t="str">
        <f>'Esquema de mayor'!D94</f>
        <v>Costo de ventas</v>
      </c>
      <c r="F41" s="83">
        <f>'Esquema de mayor'!D95</f>
        <v>0</v>
      </c>
      <c r="G41" s="83">
        <f>'Esquema de mayor'!E95</f>
        <v>0</v>
      </c>
      <c r="H41" s="47">
        <f>VLOOKUP(E41,'Esquema de mayor'!AG39:AI86,2,FALSE)</f>
        <v>0</v>
      </c>
      <c r="I41" s="55">
        <f>VLOOKUP(E41,'Esquema de mayor'!AG39:AI86,3,FALSE)</f>
        <v>0</v>
      </c>
      <c r="J41" s="48">
        <f t="shared" si="0"/>
        <v>0</v>
      </c>
      <c r="K41" s="57">
        <f t="shared" si="1"/>
        <v>0</v>
      </c>
      <c r="L41" s="48">
        <f>VLOOKUP(E41,Ajustes!AG37:AI84,2,FALSE)</f>
        <v>0</v>
      </c>
      <c r="M41" s="57">
        <f>VLOOKUP(E41,Ajustes!AG37:AI84,3,FALSE)</f>
        <v>0</v>
      </c>
      <c r="N41" s="48">
        <f t="shared" si="2"/>
        <v>0</v>
      </c>
      <c r="O41" s="57">
        <f t="shared" si="3"/>
        <v>0</v>
      </c>
      <c r="P41" s="48"/>
      <c r="Q41" s="57"/>
      <c r="R41" s="48"/>
      <c r="S41" s="57"/>
      <c r="T41" s="5">
        <f>SUM(Tabla1[[#This Row],[Debe]:[Pasivo]])</f>
        <v>0</v>
      </c>
    </row>
    <row r="42" spans="2:20" x14ac:dyDescent="0.25">
      <c r="B42" s="17"/>
      <c r="D42" s="42">
        <v>38</v>
      </c>
      <c r="E42" s="66" t="str">
        <f>'Esquema de mayor'!H94</f>
        <v>Devoluciones sobre compras</v>
      </c>
      <c r="F42" s="83">
        <f>'Esquema de mayor'!H95</f>
        <v>0</v>
      </c>
      <c r="G42" s="83">
        <f>'Esquema de mayor'!I95</f>
        <v>0</v>
      </c>
      <c r="H42" s="47">
        <f>VLOOKUP(E42,'Esquema de mayor'!AG40:AI87,2,FALSE)</f>
        <v>0</v>
      </c>
      <c r="I42" s="55">
        <f>VLOOKUP(E42,'Esquema de mayor'!AG40:AI87,3,FALSE)</f>
        <v>0</v>
      </c>
      <c r="J42" s="48">
        <f t="shared" si="0"/>
        <v>0</v>
      </c>
      <c r="K42" s="57">
        <f t="shared" si="1"/>
        <v>0</v>
      </c>
      <c r="L42" s="48">
        <f>VLOOKUP(E42,Ajustes!AG40:AI87,2,FALSE)</f>
        <v>0</v>
      </c>
      <c r="M42" s="57">
        <f>VLOOKUP(E42,Ajustes!AG40:AI87,3,FALSE)</f>
        <v>0</v>
      </c>
      <c r="N42" s="48">
        <f t="shared" si="2"/>
        <v>0</v>
      </c>
      <c r="O42" s="57">
        <f t="shared" si="3"/>
        <v>0</v>
      </c>
      <c r="P42" s="48"/>
      <c r="Q42" s="57"/>
      <c r="R42" s="48"/>
      <c r="S42" s="57"/>
      <c r="T42" s="5">
        <f>SUM(Tabla1[[#This Row],[Debe]:[Pasivo]])</f>
        <v>0</v>
      </c>
    </row>
    <row r="43" spans="2:20" x14ac:dyDescent="0.25">
      <c r="B43" s="34"/>
      <c r="D43" s="42">
        <v>39</v>
      </c>
      <c r="E43" s="66" t="str">
        <f>'Esquema de mayor'!L94</f>
        <v>Gastos de ventas</v>
      </c>
      <c r="F43" s="83">
        <f>'Esquema de mayor'!L95</f>
        <v>0</v>
      </c>
      <c r="G43" s="83">
        <f>'Esquema de mayor'!M95</f>
        <v>0</v>
      </c>
      <c r="H43" s="47">
        <f>VLOOKUP(E43,'Esquema de mayor'!AG41:AI88,2,FALSE)</f>
        <v>0</v>
      </c>
      <c r="I43" s="55">
        <f>VLOOKUP(E43,'Esquema de mayor'!AG41:AI88,3,FALSE)</f>
        <v>0</v>
      </c>
      <c r="J43" s="48">
        <f t="shared" si="0"/>
        <v>0</v>
      </c>
      <c r="K43" s="57">
        <f t="shared" si="1"/>
        <v>0</v>
      </c>
      <c r="L43" s="48">
        <f>VLOOKUP(E43,Ajustes!AG40:AI87,2,FALSE)</f>
        <v>0</v>
      </c>
      <c r="M43" s="57">
        <f>VLOOKUP(E43,Ajustes!AG40:AI87,3,FALSE)</f>
        <v>0</v>
      </c>
      <c r="N43" s="48">
        <f t="shared" si="2"/>
        <v>0</v>
      </c>
      <c r="O43" s="57">
        <f t="shared" si="3"/>
        <v>0</v>
      </c>
      <c r="P43" s="48"/>
      <c r="Q43" s="57"/>
      <c r="R43" s="48"/>
      <c r="S43" s="57"/>
      <c r="T43" s="5">
        <f>SUM(Tabla1[[#This Row],[Debe]:[Pasivo]])</f>
        <v>0</v>
      </c>
    </row>
    <row r="44" spans="2:20" x14ac:dyDescent="0.25">
      <c r="B44" s="17"/>
      <c r="D44" s="42">
        <v>40</v>
      </c>
      <c r="E44" s="66" t="str">
        <f>'Esquema de mayor'!P94</f>
        <v>Gastos de administración</v>
      </c>
      <c r="F44" s="83">
        <f>'Esquema de mayor'!P95</f>
        <v>0</v>
      </c>
      <c r="G44" s="83">
        <f>'Esquema de mayor'!Q95</f>
        <v>0</v>
      </c>
      <c r="H44" s="47">
        <f>VLOOKUP(E44,'Esquema de mayor'!AG42:AI89,2,FALSE)</f>
        <v>0</v>
      </c>
      <c r="I44" s="55">
        <f>VLOOKUP(E44,'Esquema de mayor'!AG42:AI89,3,FALSE)</f>
        <v>0</v>
      </c>
      <c r="J44" s="48">
        <f t="shared" si="0"/>
        <v>0</v>
      </c>
      <c r="K44" s="57">
        <f t="shared" si="1"/>
        <v>0</v>
      </c>
      <c r="L44" s="48">
        <f>VLOOKUP(E44,Ajustes!AG40:AI87,2,FALSE)</f>
        <v>0</v>
      </c>
      <c r="M44" s="57">
        <f>VLOOKUP(E44,Ajustes!AG40:AI87,3,FALSE)</f>
        <v>0</v>
      </c>
      <c r="N44" s="48">
        <f t="shared" si="2"/>
        <v>0</v>
      </c>
      <c r="O44" s="57">
        <f t="shared" si="3"/>
        <v>0</v>
      </c>
      <c r="P44" s="48"/>
      <c r="Q44" s="57"/>
      <c r="R44" s="48"/>
      <c r="S44" s="57"/>
      <c r="T44" s="5">
        <f>SUM(Tabla1[[#This Row],[Debe]:[Pasivo]])</f>
        <v>0</v>
      </c>
    </row>
    <row r="45" spans="2:20" x14ac:dyDescent="0.25">
      <c r="B45" s="17"/>
      <c r="D45" s="42">
        <v>41</v>
      </c>
      <c r="E45" s="66" t="str">
        <f>'Esquema de mayor'!T94</f>
        <v>Gastos y productos financieros</v>
      </c>
      <c r="F45" s="83">
        <f>'Esquema de mayor'!T95</f>
        <v>0</v>
      </c>
      <c r="G45" s="83">
        <f>'Esquema de mayor'!U95</f>
        <v>0</v>
      </c>
      <c r="H45" s="47">
        <f>VLOOKUP(E45,'Esquema de mayor'!AG43:AI90,2,FALSE)</f>
        <v>0</v>
      </c>
      <c r="I45" s="55">
        <f>VLOOKUP(E45,'Esquema de mayor'!AG43:AI90,3,FALSE)</f>
        <v>0</v>
      </c>
      <c r="J45" s="48">
        <f t="shared" si="0"/>
        <v>0</v>
      </c>
      <c r="K45" s="57">
        <f t="shared" si="1"/>
        <v>0</v>
      </c>
      <c r="L45" s="48">
        <v>7462.07</v>
      </c>
      <c r="M45" s="57">
        <f>VLOOKUP(E45,Ajustes!AG43:AI90,3,FALSE)</f>
        <v>0</v>
      </c>
      <c r="N45" s="48">
        <f t="shared" si="2"/>
        <v>7462.07</v>
      </c>
      <c r="O45" s="57">
        <f t="shared" si="3"/>
        <v>0</v>
      </c>
      <c r="P45" s="48"/>
      <c r="Q45" s="57"/>
      <c r="R45" s="48"/>
      <c r="S45" s="57"/>
      <c r="T45" s="5">
        <f>SUM(Tabla1[[#This Row],[Debe]:[Pasivo]])</f>
        <v>14924.14</v>
      </c>
    </row>
    <row r="46" spans="2:20" x14ac:dyDescent="0.25">
      <c r="B46" s="17"/>
      <c r="D46" s="42">
        <v>42</v>
      </c>
      <c r="E46" s="66" t="str">
        <f>'Esquema de mayor'!X94</f>
        <v>Depreciación acumulada de edificios</v>
      </c>
      <c r="F46" s="83">
        <f>'Esquema de mayor'!X95</f>
        <v>0</v>
      </c>
      <c r="G46" s="83">
        <f>'Esquema de mayor'!Y95</f>
        <v>0</v>
      </c>
      <c r="H46" s="47">
        <f>VLOOKUP(E46,'Esquema de mayor'!AG44:AI91,2,FALSE)</f>
        <v>0</v>
      </c>
      <c r="I46" s="55">
        <f>VLOOKUP(E46,'Esquema de mayor'!AG44:AI91,3,FALSE)</f>
        <v>0</v>
      </c>
      <c r="J46" s="48">
        <f t="shared" si="0"/>
        <v>0</v>
      </c>
      <c r="K46" s="57">
        <f t="shared" si="1"/>
        <v>0</v>
      </c>
      <c r="L46" s="48">
        <f>VLOOKUP(E46,Ajustes!AG43:AI90,2,FALSE)</f>
        <v>0</v>
      </c>
      <c r="M46" s="57">
        <f>VLOOKUP(E46,Ajustes!AG43:AI90,3,FALSE)</f>
        <v>0</v>
      </c>
      <c r="N46" s="48">
        <f t="shared" si="2"/>
        <v>0</v>
      </c>
      <c r="O46" s="57">
        <f t="shared" si="3"/>
        <v>0</v>
      </c>
      <c r="P46" s="48"/>
      <c r="Q46" s="57"/>
      <c r="R46" s="48"/>
      <c r="S46" s="57"/>
      <c r="T46" s="5">
        <f>SUM(Tabla1[[#This Row],[Debe]:[Pasivo]])</f>
        <v>0</v>
      </c>
    </row>
    <row r="47" spans="2:20" x14ac:dyDescent="0.25">
      <c r="B47" s="17"/>
      <c r="D47" s="42">
        <v>43</v>
      </c>
      <c r="E47" s="66" t="str">
        <f>'Esquema de mayor'!D109</f>
        <v>Depreciación acumulada de equipo de reparto</v>
      </c>
      <c r="F47" s="83">
        <f>'Esquema de mayor'!D110</f>
        <v>0</v>
      </c>
      <c r="G47" s="83">
        <f>'Esquema de mayor'!E110</f>
        <v>0</v>
      </c>
      <c r="H47" s="47">
        <f>VLOOKUP(E47,'Esquema de mayor'!AG45:AI92,2,FALSE)</f>
        <v>0</v>
      </c>
      <c r="I47" s="55">
        <f>VLOOKUP(E47,'Esquema de mayor'!AG45:AI92,3,FALSE)</f>
        <v>0</v>
      </c>
      <c r="J47" s="48">
        <f t="shared" si="0"/>
        <v>0</v>
      </c>
      <c r="K47" s="57">
        <f t="shared" si="1"/>
        <v>0</v>
      </c>
      <c r="L47" s="48">
        <f>VLOOKUP(E47,Ajustes!AG43:AI90,2,FALSE)</f>
        <v>0</v>
      </c>
      <c r="M47" s="57">
        <f>VLOOKUP(E47,Ajustes!AG43:AI90,3,FALSE)</f>
        <v>0</v>
      </c>
      <c r="N47" s="48">
        <f t="shared" si="2"/>
        <v>0</v>
      </c>
      <c r="O47" s="57">
        <f t="shared" si="3"/>
        <v>0</v>
      </c>
      <c r="P47" s="48"/>
      <c r="Q47" s="57"/>
      <c r="R47" s="48"/>
      <c r="S47" s="57"/>
      <c r="T47" s="5">
        <f>SUM(Tabla1[[#This Row],[Debe]:[Pasivo]])</f>
        <v>0</v>
      </c>
    </row>
    <row r="48" spans="2:20" x14ac:dyDescent="0.25">
      <c r="B48" s="17"/>
      <c r="D48" s="44">
        <v>44</v>
      </c>
      <c r="E48" s="66" t="str">
        <f>'Esquema de mayor'!H109</f>
        <v>Depreciación acumulada de mobiliario y equipo</v>
      </c>
      <c r="F48" s="83">
        <f>'Esquema de mayor'!H110</f>
        <v>0</v>
      </c>
      <c r="G48" s="83">
        <f>'Esquema de mayor'!I110</f>
        <v>0</v>
      </c>
      <c r="H48" s="47">
        <f>VLOOKUP(E48,'Esquema de mayor'!AG46:AI93,2,FALSE)</f>
        <v>0</v>
      </c>
      <c r="I48" s="55">
        <f>VLOOKUP(E48,'Esquema de mayor'!AG46:AI93,3,FALSE)</f>
        <v>0</v>
      </c>
      <c r="J48" s="48">
        <f t="shared" si="0"/>
        <v>0</v>
      </c>
      <c r="K48" s="57">
        <f t="shared" si="1"/>
        <v>0</v>
      </c>
      <c r="L48" s="48">
        <f>VLOOKUP(E48,Ajustes!AG46:AI93,2,FALSE)</f>
        <v>0</v>
      </c>
      <c r="M48" s="57">
        <f>VLOOKUP(E48,Ajustes!AG46:AI93,3,FALSE)</f>
        <v>0</v>
      </c>
      <c r="N48" s="48">
        <f t="shared" si="2"/>
        <v>0</v>
      </c>
      <c r="O48" s="57">
        <f t="shared" si="3"/>
        <v>0</v>
      </c>
      <c r="P48" s="48"/>
      <c r="Q48" s="57"/>
      <c r="R48" s="48"/>
      <c r="S48" s="57"/>
      <c r="T48" s="5">
        <f>SUM(Tabla1[[#This Row],[Debe]:[Pasivo]])</f>
        <v>0</v>
      </c>
    </row>
    <row r="49" spans="2:20" x14ac:dyDescent="0.25">
      <c r="B49" s="17"/>
      <c r="D49" s="44">
        <v>45</v>
      </c>
      <c r="E49" s="66" t="str">
        <f>'Esquema de mayor'!L109</f>
        <v>Provisión por cuentas incobrables</v>
      </c>
      <c r="F49" s="83">
        <f>'Esquema de mayor'!L110</f>
        <v>0</v>
      </c>
      <c r="G49" s="83">
        <f>'Esquema de mayor'!M110</f>
        <v>0</v>
      </c>
      <c r="H49" s="47">
        <f>VLOOKUP(E49,'Esquema de mayor'!AG47:AI94,2,FALSE)</f>
        <v>0</v>
      </c>
      <c r="I49" s="55">
        <f>VLOOKUP(E49,'Esquema de mayor'!AG47:AI94,3,FALSE)</f>
        <v>0</v>
      </c>
      <c r="J49" s="48">
        <f t="shared" si="0"/>
        <v>0</v>
      </c>
      <c r="K49" s="57">
        <f t="shared" si="1"/>
        <v>0</v>
      </c>
      <c r="L49" s="48">
        <f>VLOOKUP(E49,Ajustes!AG46:AI93,2,FALSE)</f>
        <v>0</v>
      </c>
      <c r="M49" s="57">
        <f>VLOOKUP(E49,Ajustes!AG46:AI93,3,FALSE)</f>
        <v>0</v>
      </c>
      <c r="N49" s="48">
        <f t="shared" si="2"/>
        <v>0</v>
      </c>
      <c r="O49" s="57">
        <f t="shared" si="3"/>
        <v>0</v>
      </c>
      <c r="P49" s="48"/>
      <c r="Q49" s="57"/>
      <c r="R49" s="48"/>
      <c r="S49" s="57"/>
      <c r="T49" s="5">
        <f>SUM(Tabla1[[#This Row],[Debe]:[Pasivo]])</f>
        <v>0</v>
      </c>
    </row>
    <row r="50" spans="2:20" x14ac:dyDescent="0.25">
      <c r="B50" s="17"/>
      <c r="D50" s="42">
        <v>46</v>
      </c>
      <c r="E50" s="67" t="str">
        <f>'Esquema de mayor'!P109</f>
        <v>Intereses por pagar</v>
      </c>
      <c r="F50" s="83">
        <f>'Esquema de mayor'!P110</f>
        <v>0</v>
      </c>
      <c r="G50" s="83">
        <f>'Esquema de mayor'!Q110</f>
        <v>0</v>
      </c>
      <c r="H50" s="47">
        <f>VLOOKUP(E50,'Esquema de mayor'!AG48:AI95,2,FALSE)</f>
        <v>0</v>
      </c>
      <c r="I50" s="55">
        <f>VLOOKUP(E50,'Esquema de mayor'!AG48:AI95,3,FALSE)</f>
        <v>0</v>
      </c>
      <c r="J50" s="48">
        <f t="shared" si="0"/>
        <v>0</v>
      </c>
      <c r="K50" s="57">
        <f t="shared" si="1"/>
        <v>0</v>
      </c>
      <c r="L50" s="48">
        <f>VLOOKUP(E50,Ajustes!AG46:AI93,2,FALSE)</f>
        <v>0</v>
      </c>
      <c r="M50" s="57">
        <f>VLOOKUP(E50,Ajustes!AG46:AI93,3,FALSE)</f>
        <v>0</v>
      </c>
      <c r="N50" s="48">
        <f t="shared" si="2"/>
        <v>0</v>
      </c>
      <c r="O50" s="57">
        <f t="shared" si="3"/>
        <v>0</v>
      </c>
      <c r="P50" s="48"/>
      <c r="Q50" s="57"/>
      <c r="R50" s="48"/>
      <c r="S50" s="57"/>
      <c r="T50" s="5">
        <f>SUM(Tabla1[[#This Row],[Debe]:[Pasivo]])</f>
        <v>0</v>
      </c>
    </row>
    <row r="51" spans="2:20" x14ac:dyDescent="0.25">
      <c r="B51" s="17"/>
      <c r="D51" s="42">
        <v>47</v>
      </c>
      <c r="E51" s="66" t="str">
        <f>'Esquema de mayor'!T109</f>
        <v xml:space="preserve">Perdidadas y ganancias </v>
      </c>
      <c r="F51" s="83">
        <f>'Esquema de mayor'!T110</f>
        <v>0</v>
      </c>
      <c r="G51" s="83">
        <f>'Esquema de mayor'!U110</f>
        <v>0</v>
      </c>
      <c r="H51" s="47">
        <f>VLOOKUP(E51,'Esquema de mayor'!AG49:AI96,2,FALSE)</f>
        <v>0</v>
      </c>
      <c r="I51" s="55">
        <f>VLOOKUP(E51,'Esquema de mayor'!AG49:AI96,3,FALSE)</f>
        <v>0</v>
      </c>
      <c r="J51" s="48">
        <f t="shared" si="0"/>
        <v>0</v>
      </c>
      <c r="K51" s="57">
        <f t="shared" si="1"/>
        <v>0</v>
      </c>
      <c r="L51" s="48">
        <f>VLOOKUP(E51,Ajustes!AG49:AI96,2,FALSE)</f>
        <v>0</v>
      </c>
      <c r="M51" s="57">
        <f>VLOOKUP(E51,Ajustes!AG49:AI96,3,FALSE)</f>
        <v>0</v>
      </c>
      <c r="N51" s="48">
        <f t="shared" si="2"/>
        <v>0</v>
      </c>
      <c r="O51" s="57">
        <f t="shared" si="3"/>
        <v>0</v>
      </c>
      <c r="P51" s="48"/>
      <c r="Q51" s="57"/>
      <c r="R51" s="48"/>
      <c r="S51" s="57"/>
      <c r="T51" s="5">
        <f>SUM(Tabla1[[#This Row],[Debe]:[Pasivo]])</f>
        <v>0</v>
      </c>
    </row>
    <row r="52" spans="2:20" x14ac:dyDescent="0.25">
      <c r="B52" s="17"/>
      <c r="D52" s="44">
        <v>48</v>
      </c>
      <c r="E52" s="66" t="str">
        <f>'Esquema de mayor'!X109</f>
        <v>Utilidad del ejercicio actual</v>
      </c>
      <c r="F52" s="83">
        <f>'Esquema de mayor'!X110</f>
        <v>0</v>
      </c>
      <c r="G52" s="83">
        <f>'Esquema de mayor'!Y110</f>
        <v>0</v>
      </c>
      <c r="H52" s="47">
        <f>VLOOKUP(E52,'Esquema de mayor'!AG50:AI97,2,FALSE)</f>
        <v>0</v>
      </c>
      <c r="I52" s="55">
        <f>VLOOKUP(E52,'Esquema de mayor'!AG50:AI97,3,FALSE)</f>
        <v>0</v>
      </c>
      <c r="J52" s="48">
        <f t="shared" si="0"/>
        <v>0</v>
      </c>
      <c r="K52" s="57">
        <f t="shared" si="1"/>
        <v>0</v>
      </c>
      <c r="L52" s="48">
        <f>VLOOKUP(E52,Ajustes!AG49:AI96,2,FALSE)</f>
        <v>0</v>
      </c>
      <c r="M52" s="57">
        <f>VLOOKUP(E52,Ajustes!AG49:AI96,3,FALSE)</f>
        <v>0</v>
      </c>
      <c r="N52" s="48">
        <f t="shared" si="2"/>
        <v>0</v>
      </c>
      <c r="O52" s="57">
        <f t="shared" si="3"/>
        <v>0</v>
      </c>
      <c r="P52" s="48"/>
      <c r="Q52" s="57"/>
      <c r="R52" s="48"/>
      <c r="S52" s="57"/>
      <c r="T52" s="5">
        <f>SUM(Tabla1[[#This Row],[Debe]:[Pasivo]])</f>
        <v>0</v>
      </c>
    </row>
    <row r="53" spans="2:20" x14ac:dyDescent="0.25">
      <c r="B53" s="17"/>
      <c r="D53" s="44"/>
      <c r="E53" s="51"/>
      <c r="F53" s="63"/>
      <c r="G53" s="63"/>
      <c r="H53" s="47"/>
      <c r="I53" s="55"/>
      <c r="J53" s="48"/>
      <c r="K53" s="57"/>
      <c r="L53" s="48"/>
      <c r="M53" s="57"/>
      <c r="N53" s="48"/>
      <c r="O53" s="57"/>
      <c r="P53" s="48"/>
      <c r="Q53" s="57"/>
      <c r="R53" s="48"/>
      <c r="S53" s="57"/>
      <c r="T53" s="46"/>
    </row>
    <row r="54" spans="2:20" ht="15.75" thickBot="1" x14ac:dyDescent="0.3">
      <c r="D54" s="52"/>
      <c r="E54" s="53" t="s">
        <v>59</v>
      </c>
      <c r="F54" s="79">
        <f>SUM(Tabla1[D])</f>
        <v>0</v>
      </c>
      <c r="G54" s="79">
        <f>SUM(Tabla1[H])</f>
        <v>0</v>
      </c>
      <c r="H54" s="54">
        <f>SUM(Tabla1[Debe])</f>
        <v>65000</v>
      </c>
      <c r="I54" s="56">
        <f>SUM(Tabla1[Haber])</f>
        <v>15000</v>
      </c>
      <c r="J54" s="54">
        <f t="shared" ref="J54:S54" si="4">SUM(J5:J52)</f>
        <v>65000</v>
      </c>
      <c r="K54" s="56">
        <f t="shared" si="4"/>
        <v>15000</v>
      </c>
      <c r="L54" s="54">
        <f t="shared" si="4"/>
        <v>7462.07</v>
      </c>
      <c r="M54" s="56">
        <f t="shared" si="4"/>
        <v>0</v>
      </c>
      <c r="N54" s="54">
        <f>SUM(N5:N52)</f>
        <v>72462.070000000007</v>
      </c>
      <c r="O54" s="56">
        <f>SUM(O5:O52)</f>
        <v>15000</v>
      </c>
      <c r="P54" s="54">
        <f t="shared" si="4"/>
        <v>0</v>
      </c>
      <c r="Q54" s="56">
        <f t="shared" si="4"/>
        <v>0</v>
      </c>
      <c r="R54" s="54">
        <f t="shared" si="4"/>
        <v>0</v>
      </c>
      <c r="S54" s="56">
        <f t="shared" si="4"/>
        <v>0</v>
      </c>
    </row>
    <row r="55" spans="2:20" ht="15.75" thickBot="1" x14ac:dyDescent="0.3">
      <c r="D55" s="40"/>
    </row>
    <row r="56" spans="2:20" x14ac:dyDescent="0.25">
      <c r="D56" s="40"/>
      <c r="F56" s="133" t="str">
        <f>IF(F57=0,"CUADRA","NO CUADRA, COMPA")</f>
        <v>CUADRA</v>
      </c>
      <c r="G56" s="134"/>
      <c r="H56" s="133" t="str">
        <f>IF(H57=0,"CUADRA","NO CUADRA, COMPA")</f>
        <v>NO CUADRA, COMPA</v>
      </c>
      <c r="I56" s="134"/>
      <c r="J56" s="133" t="str">
        <f>IF(J57=0,"CUADRA","NO CUADRA, COMPA")</f>
        <v>NO CUADRA, COMPA</v>
      </c>
      <c r="K56" s="134"/>
      <c r="L56" s="133" t="str">
        <f>IF(L57=0,"CUADRA","NO CUADRA, COMPA")</f>
        <v>NO CUADRA, COMPA</v>
      </c>
      <c r="M56" s="134"/>
      <c r="N56" s="133" t="str">
        <f>IF(N57=0,"CUADRA","NO CUADRA, COMPA")</f>
        <v>NO CUADRA, COMPA</v>
      </c>
      <c r="O56" s="134"/>
      <c r="P56" s="133" t="str">
        <f>IF(P57=0,"CUADRA","NO CUADRA, COMPA")</f>
        <v>CUADRA</v>
      </c>
      <c r="Q56" s="134"/>
      <c r="R56" s="133" t="str">
        <f>IF(R57=0,"CUADRA","NO CUADRA, COMPA")</f>
        <v>CUADRA</v>
      </c>
      <c r="S56" s="134"/>
    </row>
    <row r="57" spans="2:20" ht="15.75" thickBot="1" x14ac:dyDescent="0.3">
      <c r="D57" s="40"/>
      <c r="F57" s="141">
        <f>F54-G54</f>
        <v>0</v>
      </c>
      <c r="G57" s="142"/>
      <c r="H57" s="141">
        <f>H54-I54</f>
        <v>50000</v>
      </c>
      <c r="I57" s="142"/>
      <c r="J57" s="141">
        <f>J54-K54</f>
        <v>50000</v>
      </c>
      <c r="K57" s="142"/>
      <c r="L57" s="141">
        <f>L54-M54</f>
        <v>7462.07</v>
      </c>
      <c r="M57" s="142"/>
      <c r="N57" s="141">
        <f>N54-O54</f>
        <v>57462.070000000007</v>
      </c>
      <c r="O57" s="142"/>
      <c r="P57" s="141">
        <f>P54-Q54</f>
        <v>0</v>
      </c>
      <c r="Q57" s="142"/>
      <c r="R57" s="141">
        <f>R54-S54</f>
        <v>0</v>
      </c>
      <c r="S57" s="142"/>
    </row>
    <row r="61" spans="2:20" x14ac:dyDescent="0.25">
      <c r="S61" s="84" t="s">
        <v>69</v>
      </c>
    </row>
    <row r="73" spans="4:21" x14ac:dyDescent="0.25">
      <c r="D73" s="60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</row>
    <row r="74" spans="4:21" x14ac:dyDescent="0.25">
      <c r="D74" s="125" t="s">
        <v>70</v>
      </c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</row>
    <row r="75" spans="4:21" x14ac:dyDescent="0.25">
      <c r="F75" s="64"/>
      <c r="G75" s="64"/>
      <c r="H75" s="64"/>
      <c r="I75" s="64"/>
      <c r="J75" s="64"/>
      <c r="K75" s="64"/>
      <c r="L75" s="146" t="s">
        <v>75</v>
      </c>
      <c r="M75" s="146"/>
      <c r="N75" s="147"/>
      <c r="O75" s="148" t="s">
        <v>76</v>
      </c>
      <c r="P75" s="149"/>
      <c r="Q75" s="149"/>
      <c r="R75" s="64"/>
    </row>
    <row r="76" spans="4:21" x14ac:dyDescent="0.25">
      <c r="F76" s="64" t="s">
        <v>1</v>
      </c>
      <c r="G76" s="80">
        <f>SUM(F5:G5)</f>
        <v>0</v>
      </c>
      <c r="H76" s="64">
        <f>F5+H5-G5-I5</f>
        <v>5000</v>
      </c>
      <c r="I76" s="64">
        <f>IF(H76&gt;0,H76,0)</f>
        <v>5000</v>
      </c>
      <c r="J76" s="64">
        <f>SUM(E5:F5)</f>
        <v>0</v>
      </c>
      <c r="K76" s="64">
        <f>IF(H76&lt;0,-(H76),0)</f>
        <v>0</v>
      </c>
      <c r="L76" s="80">
        <f>SUM(J5:K5)</f>
        <v>5000</v>
      </c>
      <c r="M76" s="64">
        <f>J5+L5-K5-M5</f>
        <v>5000</v>
      </c>
      <c r="N76" s="64">
        <f>IF(M76&gt;0,M76,0)</f>
        <v>5000</v>
      </c>
      <c r="O76" s="64">
        <f>SUM(J5:K5)</f>
        <v>5000</v>
      </c>
      <c r="P76" s="64">
        <f>IF(M76&lt;0,-(M76),0)</f>
        <v>0</v>
      </c>
      <c r="Q76" s="64"/>
      <c r="R76" s="64"/>
    </row>
    <row r="77" spans="4:21" x14ac:dyDescent="0.25">
      <c r="F77" s="64" t="s">
        <v>2</v>
      </c>
      <c r="G77" s="80">
        <f t="shared" ref="G77:G123" si="5">SUM(F6:G6)</f>
        <v>0</v>
      </c>
      <c r="H77" s="64">
        <f t="shared" ref="H77:H123" si="6">F6+H6-G6-I6</f>
        <v>10000</v>
      </c>
      <c r="I77" s="64">
        <f t="shared" ref="I77:I123" si="7">IF(H77&gt;0,H77,0)</f>
        <v>10000</v>
      </c>
      <c r="J77" s="64">
        <f t="shared" ref="J77:J123" si="8">SUM(E6:F6)</f>
        <v>0</v>
      </c>
      <c r="K77" s="64">
        <f t="shared" ref="K77:K123" si="9">IF(H77&lt;0,-(H77),0)</f>
        <v>0</v>
      </c>
      <c r="L77" s="81">
        <f>SUM(J6:K6)</f>
        <v>10000</v>
      </c>
      <c r="M77" s="64">
        <f t="shared" ref="M77:M123" si="10">J6+L6-K6-M6</f>
        <v>10000</v>
      </c>
      <c r="N77" s="64">
        <f t="shared" ref="N77:N123" si="11">IF(M77&gt;0,M77,0)</f>
        <v>10000</v>
      </c>
      <c r="O77" s="64">
        <f>SUM(J6:K6)</f>
        <v>10000</v>
      </c>
      <c r="P77" s="64">
        <f t="shared" ref="P77:P123" si="12">IF(M77&lt;0,-(M77),0)</f>
        <v>0</v>
      </c>
      <c r="Q77" s="64"/>
      <c r="R77" s="64"/>
    </row>
    <row r="78" spans="4:21" x14ac:dyDescent="0.25">
      <c r="F78" s="64" t="s">
        <v>67</v>
      </c>
      <c r="G78" s="80">
        <f t="shared" si="5"/>
        <v>0</v>
      </c>
      <c r="H78" s="64">
        <f t="shared" si="6"/>
        <v>50000</v>
      </c>
      <c r="I78" s="64">
        <f t="shared" si="7"/>
        <v>50000</v>
      </c>
      <c r="J78" s="64">
        <f t="shared" si="8"/>
        <v>0</v>
      </c>
      <c r="K78" s="64">
        <f t="shared" si="9"/>
        <v>0</v>
      </c>
      <c r="L78" s="81">
        <f t="shared" ref="L78:L123" si="13">SUM(J7:K7)</f>
        <v>50000</v>
      </c>
      <c r="M78" s="64">
        <f t="shared" si="10"/>
        <v>50000</v>
      </c>
      <c r="N78" s="64">
        <f t="shared" si="11"/>
        <v>50000</v>
      </c>
      <c r="O78" s="64">
        <f>SUM(J7:K7)</f>
        <v>50000</v>
      </c>
      <c r="P78" s="64">
        <f t="shared" si="12"/>
        <v>0</v>
      </c>
      <c r="Q78" s="64"/>
      <c r="R78" s="64"/>
    </row>
    <row r="79" spans="4:21" x14ac:dyDescent="0.25">
      <c r="F79" s="64" t="s">
        <v>20</v>
      </c>
      <c r="G79" s="80">
        <f t="shared" si="5"/>
        <v>0</v>
      </c>
      <c r="H79" s="64">
        <f t="shared" si="6"/>
        <v>-5000</v>
      </c>
      <c r="I79" s="64">
        <f t="shared" si="7"/>
        <v>0</v>
      </c>
      <c r="J79" s="64">
        <f t="shared" si="8"/>
        <v>0</v>
      </c>
      <c r="K79" s="64">
        <f t="shared" si="9"/>
        <v>5000</v>
      </c>
      <c r="L79" s="81">
        <f t="shared" si="13"/>
        <v>5000</v>
      </c>
      <c r="M79" s="64">
        <f t="shared" si="10"/>
        <v>-5000</v>
      </c>
      <c r="N79" s="64">
        <f t="shared" si="11"/>
        <v>0</v>
      </c>
      <c r="O79" s="64">
        <f>SUM(J8:K8)</f>
        <v>5000</v>
      </c>
      <c r="P79" s="64">
        <f t="shared" si="12"/>
        <v>5000</v>
      </c>
      <c r="Q79" s="64"/>
      <c r="R79" s="64"/>
    </row>
    <row r="80" spans="4:21" x14ac:dyDescent="0.25">
      <c r="F80" s="64" t="s">
        <v>21</v>
      </c>
      <c r="G80" s="80">
        <f t="shared" si="5"/>
        <v>0</v>
      </c>
      <c r="H80" s="64">
        <f t="shared" si="6"/>
        <v>0</v>
      </c>
      <c r="I80" s="64">
        <f t="shared" si="7"/>
        <v>0</v>
      </c>
      <c r="J80" s="64">
        <f t="shared" si="8"/>
        <v>0</v>
      </c>
      <c r="K80" s="64">
        <f t="shared" si="9"/>
        <v>0</v>
      </c>
      <c r="L80" s="81">
        <f t="shared" si="13"/>
        <v>0</v>
      </c>
      <c r="M80" s="64">
        <f t="shared" si="10"/>
        <v>0</v>
      </c>
      <c r="N80" s="64">
        <f t="shared" si="11"/>
        <v>0</v>
      </c>
      <c r="O80" s="64">
        <f t="shared" ref="O80:O123" si="14">SUM(J9:K9)</f>
        <v>0</v>
      </c>
      <c r="P80" s="64">
        <f t="shared" si="12"/>
        <v>0</v>
      </c>
      <c r="Q80" s="64"/>
      <c r="R80" s="64"/>
    </row>
    <row r="81" spans="6:18" x14ac:dyDescent="0.25">
      <c r="F81" s="64" t="s">
        <v>22</v>
      </c>
      <c r="G81" s="80">
        <f t="shared" si="5"/>
        <v>0</v>
      </c>
      <c r="H81" s="64">
        <f t="shared" si="6"/>
        <v>-10000</v>
      </c>
      <c r="I81" s="64">
        <f t="shared" si="7"/>
        <v>0</v>
      </c>
      <c r="J81" s="64">
        <f t="shared" si="8"/>
        <v>0</v>
      </c>
      <c r="K81" s="64">
        <f t="shared" si="9"/>
        <v>10000</v>
      </c>
      <c r="L81" s="81">
        <f t="shared" si="13"/>
        <v>10000</v>
      </c>
      <c r="M81" s="64">
        <f t="shared" si="10"/>
        <v>-10000</v>
      </c>
      <c r="N81" s="64">
        <f t="shared" si="11"/>
        <v>0</v>
      </c>
      <c r="O81" s="64">
        <f t="shared" si="14"/>
        <v>10000</v>
      </c>
      <c r="P81" s="64">
        <f t="shared" si="12"/>
        <v>10000</v>
      </c>
      <c r="Q81" s="64"/>
      <c r="R81" s="64"/>
    </row>
    <row r="82" spans="6:18" x14ac:dyDescent="0.25">
      <c r="F82" s="64" t="s">
        <v>23</v>
      </c>
      <c r="G82" s="80">
        <f t="shared" si="5"/>
        <v>0</v>
      </c>
      <c r="H82" s="64">
        <f t="shared" si="6"/>
        <v>0</v>
      </c>
      <c r="I82" s="64">
        <f t="shared" si="7"/>
        <v>0</v>
      </c>
      <c r="J82" s="64">
        <f t="shared" si="8"/>
        <v>0</v>
      </c>
      <c r="K82" s="64">
        <f t="shared" si="9"/>
        <v>0</v>
      </c>
      <c r="L82" s="81">
        <f t="shared" si="13"/>
        <v>0</v>
      </c>
      <c r="M82" s="64">
        <f t="shared" si="10"/>
        <v>0</v>
      </c>
      <c r="N82" s="64">
        <f t="shared" si="11"/>
        <v>0</v>
      </c>
      <c r="O82" s="64">
        <f t="shared" si="14"/>
        <v>0</v>
      </c>
      <c r="P82" s="64">
        <f t="shared" si="12"/>
        <v>0</v>
      </c>
      <c r="Q82" s="64"/>
      <c r="R82" s="64"/>
    </row>
    <row r="83" spans="6:18" x14ac:dyDescent="0.25">
      <c r="F83" s="64" t="s">
        <v>31</v>
      </c>
      <c r="G83" s="80">
        <f t="shared" si="5"/>
        <v>0</v>
      </c>
      <c r="H83" s="64">
        <f t="shared" si="6"/>
        <v>0</v>
      </c>
      <c r="I83" s="64">
        <f t="shared" si="7"/>
        <v>0</v>
      </c>
      <c r="J83" s="64">
        <f t="shared" si="8"/>
        <v>0</v>
      </c>
      <c r="K83" s="64">
        <f t="shared" si="9"/>
        <v>0</v>
      </c>
      <c r="L83" s="81">
        <f t="shared" si="13"/>
        <v>0</v>
      </c>
      <c r="M83" s="64">
        <f t="shared" si="10"/>
        <v>0</v>
      </c>
      <c r="N83" s="64">
        <f t="shared" si="11"/>
        <v>0</v>
      </c>
      <c r="O83" s="64">
        <f t="shared" si="14"/>
        <v>0</v>
      </c>
      <c r="P83" s="64">
        <f t="shared" si="12"/>
        <v>0</v>
      </c>
      <c r="Q83" s="64"/>
      <c r="R83" s="64"/>
    </row>
    <row r="84" spans="6:18" x14ac:dyDescent="0.25">
      <c r="F84" s="64" t="s">
        <v>24</v>
      </c>
      <c r="G84" s="80">
        <f t="shared" si="5"/>
        <v>0</v>
      </c>
      <c r="H84" s="64">
        <f t="shared" si="6"/>
        <v>0</v>
      </c>
      <c r="I84" s="64">
        <f t="shared" si="7"/>
        <v>0</v>
      </c>
      <c r="J84" s="64">
        <f t="shared" si="8"/>
        <v>0</v>
      </c>
      <c r="K84" s="64">
        <f t="shared" si="9"/>
        <v>0</v>
      </c>
      <c r="L84" s="81">
        <f t="shared" si="13"/>
        <v>0</v>
      </c>
      <c r="M84" s="64">
        <f t="shared" si="10"/>
        <v>0</v>
      </c>
      <c r="N84" s="64">
        <f t="shared" si="11"/>
        <v>0</v>
      </c>
      <c r="O84" s="64">
        <f t="shared" si="14"/>
        <v>0</v>
      </c>
      <c r="P84" s="64">
        <f t="shared" si="12"/>
        <v>0</v>
      </c>
      <c r="Q84" s="64"/>
      <c r="R84" s="64"/>
    </row>
    <row r="85" spans="6:18" x14ac:dyDescent="0.25">
      <c r="F85" s="64" t="s">
        <v>25</v>
      </c>
      <c r="G85" s="80">
        <f t="shared" si="5"/>
        <v>0</v>
      </c>
      <c r="H85" s="64">
        <f t="shared" si="6"/>
        <v>0</v>
      </c>
      <c r="I85" s="64">
        <f t="shared" si="7"/>
        <v>0</v>
      </c>
      <c r="J85" s="64">
        <f t="shared" si="8"/>
        <v>0</v>
      </c>
      <c r="K85" s="64">
        <f t="shared" si="9"/>
        <v>0</v>
      </c>
      <c r="L85" s="81">
        <f t="shared" si="13"/>
        <v>0</v>
      </c>
      <c r="M85" s="64">
        <f t="shared" si="10"/>
        <v>0</v>
      </c>
      <c r="N85" s="64">
        <f t="shared" si="11"/>
        <v>0</v>
      </c>
      <c r="O85" s="64">
        <f t="shared" si="14"/>
        <v>0</v>
      </c>
      <c r="P85" s="64">
        <f t="shared" si="12"/>
        <v>0</v>
      </c>
      <c r="Q85" s="64"/>
      <c r="R85" s="64"/>
    </row>
    <row r="86" spans="6:18" x14ac:dyDescent="0.25">
      <c r="F86" s="64" t="s">
        <v>26</v>
      </c>
      <c r="G86" s="80">
        <f t="shared" si="5"/>
        <v>0</v>
      </c>
      <c r="H86" s="64">
        <f t="shared" si="6"/>
        <v>0</v>
      </c>
      <c r="I86" s="64">
        <f t="shared" si="7"/>
        <v>0</v>
      </c>
      <c r="J86" s="64">
        <f t="shared" si="8"/>
        <v>0</v>
      </c>
      <c r="K86" s="64">
        <f t="shared" si="9"/>
        <v>0</v>
      </c>
      <c r="L86" s="81">
        <f t="shared" si="13"/>
        <v>0</v>
      </c>
      <c r="M86" s="64">
        <f t="shared" si="10"/>
        <v>0</v>
      </c>
      <c r="N86" s="64">
        <f t="shared" si="11"/>
        <v>0</v>
      </c>
      <c r="O86" s="64">
        <f t="shared" si="14"/>
        <v>0</v>
      </c>
      <c r="P86" s="64">
        <f t="shared" si="12"/>
        <v>0</v>
      </c>
      <c r="Q86" s="64"/>
      <c r="R86" s="64"/>
    </row>
    <row r="87" spans="6:18" x14ac:dyDescent="0.25">
      <c r="F87" s="64" t="s">
        <v>27</v>
      </c>
      <c r="G87" s="80">
        <f t="shared" si="5"/>
        <v>0</v>
      </c>
      <c r="H87" s="64">
        <f t="shared" si="6"/>
        <v>0</v>
      </c>
      <c r="I87" s="64">
        <f t="shared" si="7"/>
        <v>0</v>
      </c>
      <c r="J87" s="64">
        <f t="shared" si="8"/>
        <v>0</v>
      </c>
      <c r="K87" s="64">
        <f t="shared" si="9"/>
        <v>0</v>
      </c>
      <c r="L87" s="81">
        <f t="shared" si="13"/>
        <v>0</v>
      </c>
      <c r="M87" s="64">
        <f t="shared" si="10"/>
        <v>0</v>
      </c>
      <c r="N87" s="64">
        <f t="shared" si="11"/>
        <v>0</v>
      </c>
      <c r="O87" s="64">
        <f t="shared" si="14"/>
        <v>0</v>
      </c>
      <c r="P87" s="64">
        <f t="shared" si="12"/>
        <v>0</v>
      </c>
      <c r="Q87" s="64"/>
      <c r="R87" s="64"/>
    </row>
    <row r="88" spans="6:18" x14ac:dyDescent="0.25">
      <c r="F88" s="64" t="s">
        <v>28</v>
      </c>
      <c r="G88" s="80">
        <f t="shared" si="5"/>
        <v>0</v>
      </c>
      <c r="H88" s="64">
        <f t="shared" si="6"/>
        <v>0</v>
      </c>
      <c r="I88" s="64">
        <f t="shared" si="7"/>
        <v>0</v>
      </c>
      <c r="J88" s="64">
        <f t="shared" si="8"/>
        <v>0</v>
      </c>
      <c r="K88" s="64">
        <f t="shared" si="9"/>
        <v>0</v>
      </c>
      <c r="L88" s="81">
        <f t="shared" si="13"/>
        <v>0</v>
      </c>
      <c r="M88" s="64">
        <f t="shared" si="10"/>
        <v>0</v>
      </c>
      <c r="N88" s="64">
        <f t="shared" si="11"/>
        <v>0</v>
      </c>
      <c r="O88" s="64">
        <f t="shared" si="14"/>
        <v>0</v>
      </c>
      <c r="P88" s="64">
        <f t="shared" si="12"/>
        <v>0</v>
      </c>
      <c r="Q88" s="64"/>
      <c r="R88" s="64"/>
    </row>
    <row r="89" spans="6:18" x14ac:dyDescent="0.25">
      <c r="F89" s="64" t="s">
        <v>29</v>
      </c>
      <c r="G89" s="80">
        <f t="shared" si="5"/>
        <v>0</v>
      </c>
      <c r="H89" s="64">
        <f t="shared" si="6"/>
        <v>0</v>
      </c>
      <c r="I89" s="64">
        <f t="shared" si="7"/>
        <v>0</v>
      </c>
      <c r="J89" s="64">
        <f t="shared" si="8"/>
        <v>0</v>
      </c>
      <c r="K89" s="64">
        <f t="shared" si="9"/>
        <v>0</v>
      </c>
      <c r="L89" s="81">
        <f t="shared" si="13"/>
        <v>0</v>
      </c>
      <c r="M89" s="64">
        <f t="shared" si="10"/>
        <v>0</v>
      </c>
      <c r="N89" s="64">
        <f t="shared" si="11"/>
        <v>0</v>
      </c>
      <c r="O89" s="64">
        <f t="shared" si="14"/>
        <v>0</v>
      </c>
      <c r="P89" s="64">
        <f t="shared" si="12"/>
        <v>0</v>
      </c>
      <c r="Q89" s="64"/>
      <c r="R89" s="64"/>
    </row>
    <row r="90" spans="6:18" x14ac:dyDescent="0.25">
      <c r="F90" s="64" t="s">
        <v>30</v>
      </c>
      <c r="G90" s="80">
        <f t="shared" si="5"/>
        <v>0</v>
      </c>
      <c r="H90" s="64">
        <f t="shared" si="6"/>
        <v>0</v>
      </c>
      <c r="I90" s="64">
        <f t="shared" si="7"/>
        <v>0</v>
      </c>
      <c r="J90" s="64">
        <f t="shared" si="8"/>
        <v>0</v>
      </c>
      <c r="K90" s="64">
        <f t="shared" si="9"/>
        <v>0</v>
      </c>
      <c r="L90" s="81">
        <f t="shared" si="13"/>
        <v>0</v>
      </c>
      <c r="M90" s="64">
        <f t="shared" si="10"/>
        <v>0</v>
      </c>
      <c r="N90" s="64">
        <f t="shared" si="11"/>
        <v>0</v>
      </c>
      <c r="O90" s="64">
        <f t="shared" si="14"/>
        <v>0</v>
      </c>
      <c r="P90" s="64">
        <f t="shared" si="12"/>
        <v>0</v>
      </c>
      <c r="Q90" s="64"/>
      <c r="R90" s="64"/>
    </row>
    <row r="91" spans="6:18" x14ac:dyDescent="0.25">
      <c r="F91" s="64" t="s">
        <v>32</v>
      </c>
      <c r="G91" s="80">
        <f t="shared" si="5"/>
        <v>0</v>
      </c>
      <c r="H91" s="64">
        <f t="shared" si="6"/>
        <v>0</v>
      </c>
      <c r="I91" s="64">
        <f t="shared" si="7"/>
        <v>0</v>
      </c>
      <c r="J91" s="64">
        <f t="shared" si="8"/>
        <v>0</v>
      </c>
      <c r="K91" s="64">
        <f t="shared" si="9"/>
        <v>0</v>
      </c>
      <c r="L91" s="81">
        <f t="shared" si="13"/>
        <v>0</v>
      </c>
      <c r="M91" s="64">
        <f t="shared" si="10"/>
        <v>0</v>
      </c>
      <c r="N91" s="64">
        <f t="shared" si="11"/>
        <v>0</v>
      </c>
      <c r="O91" s="64">
        <f t="shared" si="14"/>
        <v>0</v>
      </c>
      <c r="P91" s="64">
        <f t="shared" si="12"/>
        <v>0</v>
      </c>
      <c r="Q91" s="64"/>
      <c r="R91" s="64"/>
    </row>
    <row r="92" spans="6:18" x14ac:dyDescent="0.25">
      <c r="F92" s="64" t="s">
        <v>33</v>
      </c>
      <c r="G92" s="80">
        <f t="shared" si="5"/>
        <v>0</v>
      </c>
      <c r="H92" s="64">
        <f t="shared" si="6"/>
        <v>0</v>
      </c>
      <c r="I92" s="64">
        <f t="shared" si="7"/>
        <v>0</v>
      </c>
      <c r="J92" s="64">
        <f t="shared" si="8"/>
        <v>0</v>
      </c>
      <c r="K92" s="64">
        <f t="shared" si="9"/>
        <v>0</v>
      </c>
      <c r="L92" s="81">
        <f t="shared" si="13"/>
        <v>0</v>
      </c>
      <c r="M92" s="64">
        <f t="shared" si="10"/>
        <v>0</v>
      </c>
      <c r="N92" s="64">
        <f t="shared" si="11"/>
        <v>0</v>
      </c>
      <c r="O92" s="64">
        <f t="shared" si="14"/>
        <v>0</v>
      </c>
      <c r="P92" s="64">
        <f t="shared" si="12"/>
        <v>0</v>
      </c>
      <c r="Q92" s="64"/>
      <c r="R92" s="64"/>
    </row>
    <row r="93" spans="6:18" x14ac:dyDescent="0.25">
      <c r="F93" s="64" t="s">
        <v>34</v>
      </c>
      <c r="G93" s="80">
        <f t="shared" si="5"/>
        <v>0</v>
      </c>
      <c r="H93" s="64">
        <f t="shared" si="6"/>
        <v>0</v>
      </c>
      <c r="I93" s="64">
        <f t="shared" si="7"/>
        <v>0</v>
      </c>
      <c r="J93" s="64">
        <f t="shared" si="8"/>
        <v>0</v>
      </c>
      <c r="K93" s="64">
        <f t="shared" si="9"/>
        <v>0</v>
      </c>
      <c r="L93" s="81">
        <f t="shared" si="13"/>
        <v>0</v>
      </c>
      <c r="M93" s="64">
        <f t="shared" si="10"/>
        <v>0</v>
      </c>
      <c r="N93" s="64">
        <f t="shared" si="11"/>
        <v>0</v>
      </c>
      <c r="O93" s="64">
        <f t="shared" si="14"/>
        <v>0</v>
      </c>
      <c r="P93" s="64">
        <f t="shared" si="12"/>
        <v>0</v>
      </c>
      <c r="Q93" s="64"/>
      <c r="R93" s="64"/>
    </row>
    <row r="94" spans="6:18" x14ac:dyDescent="0.25">
      <c r="F94" s="64" t="s">
        <v>35</v>
      </c>
      <c r="G94" s="80">
        <f t="shared" si="5"/>
        <v>0</v>
      </c>
      <c r="H94" s="64">
        <f t="shared" si="6"/>
        <v>0</v>
      </c>
      <c r="I94" s="64">
        <f t="shared" si="7"/>
        <v>0</v>
      </c>
      <c r="J94" s="64">
        <f t="shared" si="8"/>
        <v>0</v>
      </c>
      <c r="K94" s="64">
        <f t="shared" si="9"/>
        <v>0</v>
      </c>
      <c r="L94" s="81">
        <f t="shared" si="13"/>
        <v>0</v>
      </c>
      <c r="M94" s="64">
        <f t="shared" si="10"/>
        <v>0</v>
      </c>
      <c r="N94" s="64">
        <f t="shared" si="11"/>
        <v>0</v>
      </c>
      <c r="O94" s="64">
        <f t="shared" si="14"/>
        <v>0</v>
      </c>
      <c r="P94" s="64">
        <f t="shared" si="12"/>
        <v>0</v>
      </c>
      <c r="Q94" s="64"/>
      <c r="R94" s="64"/>
    </row>
    <row r="95" spans="6:18" x14ac:dyDescent="0.25">
      <c r="F95" s="64" t="s">
        <v>36</v>
      </c>
      <c r="G95" s="80">
        <f t="shared" si="5"/>
        <v>0</v>
      </c>
      <c r="H95" s="64">
        <f t="shared" si="6"/>
        <v>0</v>
      </c>
      <c r="I95" s="64">
        <f t="shared" si="7"/>
        <v>0</v>
      </c>
      <c r="J95" s="64">
        <f t="shared" si="8"/>
        <v>0</v>
      </c>
      <c r="K95" s="64">
        <f t="shared" si="9"/>
        <v>0</v>
      </c>
      <c r="L95" s="81">
        <f t="shared" si="13"/>
        <v>0</v>
      </c>
      <c r="M95" s="64">
        <f t="shared" si="10"/>
        <v>0</v>
      </c>
      <c r="N95" s="64">
        <f t="shared" si="11"/>
        <v>0</v>
      </c>
      <c r="O95" s="64">
        <f t="shared" si="14"/>
        <v>0</v>
      </c>
      <c r="P95" s="64">
        <f t="shared" si="12"/>
        <v>0</v>
      </c>
      <c r="Q95" s="64"/>
      <c r="R95" s="64"/>
    </row>
    <row r="96" spans="6:18" x14ac:dyDescent="0.25">
      <c r="F96" s="64" t="s">
        <v>60</v>
      </c>
      <c r="G96" s="80">
        <f t="shared" si="5"/>
        <v>0</v>
      </c>
      <c r="H96" s="64">
        <f t="shared" si="6"/>
        <v>0</v>
      </c>
      <c r="I96" s="64">
        <f t="shared" si="7"/>
        <v>0</v>
      </c>
      <c r="J96" s="64">
        <f t="shared" si="8"/>
        <v>0</v>
      </c>
      <c r="K96" s="64">
        <f t="shared" si="9"/>
        <v>0</v>
      </c>
      <c r="L96" s="81">
        <f t="shared" si="13"/>
        <v>0</v>
      </c>
      <c r="M96" s="64">
        <f t="shared" si="10"/>
        <v>0</v>
      </c>
      <c r="N96" s="64">
        <f t="shared" si="11"/>
        <v>0</v>
      </c>
      <c r="O96" s="64">
        <f t="shared" si="14"/>
        <v>0</v>
      </c>
      <c r="P96" s="64">
        <f t="shared" si="12"/>
        <v>0</v>
      </c>
      <c r="Q96" s="64"/>
      <c r="R96" s="64"/>
    </row>
    <row r="97" spans="6:18" x14ac:dyDescent="0.25">
      <c r="F97" s="64" t="s">
        <v>37</v>
      </c>
      <c r="G97" s="80">
        <f t="shared" si="5"/>
        <v>0</v>
      </c>
      <c r="H97" s="64">
        <f t="shared" si="6"/>
        <v>0</v>
      </c>
      <c r="I97" s="64">
        <f t="shared" si="7"/>
        <v>0</v>
      </c>
      <c r="J97" s="64">
        <f t="shared" si="8"/>
        <v>0</v>
      </c>
      <c r="K97" s="64">
        <f t="shared" si="9"/>
        <v>0</v>
      </c>
      <c r="L97" s="81">
        <f t="shared" si="13"/>
        <v>0</v>
      </c>
      <c r="M97" s="64">
        <f t="shared" si="10"/>
        <v>0</v>
      </c>
      <c r="N97" s="64">
        <f t="shared" si="11"/>
        <v>0</v>
      </c>
      <c r="O97" s="64">
        <f t="shared" si="14"/>
        <v>0</v>
      </c>
      <c r="P97" s="64">
        <f t="shared" si="12"/>
        <v>0</v>
      </c>
      <c r="Q97" s="64"/>
      <c r="R97" s="64"/>
    </row>
    <row r="98" spans="6:18" x14ac:dyDescent="0.25">
      <c r="F98" s="64" t="s">
        <v>38</v>
      </c>
      <c r="G98" s="80">
        <f t="shared" si="5"/>
        <v>0</v>
      </c>
      <c r="H98" s="64">
        <f t="shared" si="6"/>
        <v>0</v>
      </c>
      <c r="I98" s="64">
        <f t="shared" si="7"/>
        <v>0</v>
      </c>
      <c r="J98" s="64">
        <f t="shared" si="8"/>
        <v>0</v>
      </c>
      <c r="K98" s="64">
        <f t="shared" si="9"/>
        <v>0</v>
      </c>
      <c r="L98" s="81">
        <f t="shared" si="13"/>
        <v>0</v>
      </c>
      <c r="M98" s="64">
        <f t="shared" si="10"/>
        <v>0</v>
      </c>
      <c r="N98" s="64">
        <f t="shared" si="11"/>
        <v>0</v>
      </c>
      <c r="O98" s="64">
        <f t="shared" si="14"/>
        <v>0</v>
      </c>
      <c r="P98" s="64">
        <f t="shared" si="12"/>
        <v>0</v>
      </c>
      <c r="Q98" s="64"/>
      <c r="R98" s="64"/>
    </row>
    <row r="99" spans="6:18" x14ac:dyDescent="0.25">
      <c r="F99" s="64" t="s">
        <v>39</v>
      </c>
      <c r="G99" s="80">
        <f t="shared" si="5"/>
        <v>0</v>
      </c>
      <c r="H99" s="64">
        <f t="shared" si="6"/>
        <v>0</v>
      </c>
      <c r="I99" s="64">
        <f t="shared" si="7"/>
        <v>0</v>
      </c>
      <c r="J99" s="64">
        <f t="shared" si="8"/>
        <v>0</v>
      </c>
      <c r="K99" s="64">
        <f t="shared" si="9"/>
        <v>0</v>
      </c>
      <c r="L99" s="81">
        <f t="shared" si="13"/>
        <v>0</v>
      </c>
      <c r="M99" s="64">
        <f t="shared" si="10"/>
        <v>0</v>
      </c>
      <c r="N99" s="64">
        <f t="shared" si="11"/>
        <v>0</v>
      </c>
      <c r="O99" s="64">
        <f t="shared" si="14"/>
        <v>0</v>
      </c>
      <c r="P99" s="64">
        <f t="shared" si="12"/>
        <v>0</v>
      </c>
      <c r="Q99" s="64"/>
      <c r="R99" s="64"/>
    </row>
    <row r="100" spans="6:18" x14ac:dyDescent="0.25">
      <c r="F100" s="64" t="s">
        <v>40</v>
      </c>
      <c r="G100" s="80">
        <f t="shared" si="5"/>
        <v>0</v>
      </c>
      <c r="H100" s="64">
        <f t="shared" si="6"/>
        <v>0</v>
      </c>
      <c r="I100" s="64">
        <f t="shared" si="7"/>
        <v>0</v>
      </c>
      <c r="J100" s="64">
        <f t="shared" si="8"/>
        <v>0</v>
      </c>
      <c r="K100" s="64">
        <f t="shared" si="9"/>
        <v>0</v>
      </c>
      <c r="L100" s="81">
        <f t="shared" si="13"/>
        <v>0</v>
      </c>
      <c r="M100" s="64">
        <f t="shared" si="10"/>
        <v>0</v>
      </c>
      <c r="N100" s="64">
        <f t="shared" si="11"/>
        <v>0</v>
      </c>
      <c r="O100" s="64">
        <f t="shared" si="14"/>
        <v>0</v>
      </c>
      <c r="P100" s="64">
        <f t="shared" si="12"/>
        <v>0</v>
      </c>
      <c r="Q100" s="64"/>
      <c r="R100" s="64"/>
    </row>
    <row r="101" spans="6:18" x14ac:dyDescent="0.25">
      <c r="F101" s="64" t="s">
        <v>41</v>
      </c>
      <c r="G101" s="80">
        <f t="shared" si="5"/>
        <v>0</v>
      </c>
      <c r="H101" s="64">
        <f t="shared" si="6"/>
        <v>0</v>
      </c>
      <c r="I101" s="64">
        <f t="shared" si="7"/>
        <v>0</v>
      </c>
      <c r="J101" s="64">
        <f t="shared" si="8"/>
        <v>0</v>
      </c>
      <c r="K101" s="64">
        <f t="shared" si="9"/>
        <v>0</v>
      </c>
      <c r="L101" s="81">
        <f t="shared" si="13"/>
        <v>0</v>
      </c>
      <c r="M101" s="64">
        <f t="shared" si="10"/>
        <v>0</v>
      </c>
      <c r="N101" s="64">
        <f t="shared" si="11"/>
        <v>0</v>
      </c>
      <c r="O101" s="64">
        <f t="shared" si="14"/>
        <v>0</v>
      </c>
      <c r="P101" s="64">
        <f t="shared" si="12"/>
        <v>0</v>
      </c>
      <c r="Q101" s="64"/>
      <c r="R101" s="64"/>
    </row>
    <row r="102" spans="6:18" x14ac:dyDescent="0.25">
      <c r="F102" s="64" t="s">
        <v>42</v>
      </c>
      <c r="G102" s="80">
        <f t="shared" si="5"/>
        <v>0</v>
      </c>
      <c r="H102" s="64">
        <f t="shared" si="6"/>
        <v>0</v>
      </c>
      <c r="I102" s="64">
        <f t="shared" si="7"/>
        <v>0</v>
      </c>
      <c r="J102" s="64">
        <f t="shared" si="8"/>
        <v>0</v>
      </c>
      <c r="K102" s="64">
        <f t="shared" si="9"/>
        <v>0</v>
      </c>
      <c r="L102" s="81">
        <f t="shared" si="13"/>
        <v>0</v>
      </c>
      <c r="M102" s="64">
        <f t="shared" si="10"/>
        <v>0</v>
      </c>
      <c r="N102" s="64">
        <f t="shared" si="11"/>
        <v>0</v>
      </c>
      <c r="O102" s="64">
        <f t="shared" si="14"/>
        <v>0</v>
      </c>
      <c r="P102" s="64">
        <f t="shared" si="12"/>
        <v>0</v>
      </c>
      <c r="Q102" s="64"/>
      <c r="R102" s="64"/>
    </row>
    <row r="103" spans="6:18" x14ac:dyDescent="0.25">
      <c r="F103" s="64" t="s">
        <v>43</v>
      </c>
      <c r="G103" s="80">
        <f t="shared" si="5"/>
        <v>0</v>
      </c>
      <c r="H103" s="64">
        <f t="shared" si="6"/>
        <v>0</v>
      </c>
      <c r="I103" s="64">
        <f t="shared" si="7"/>
        <v>0</v>
      </c>
      <c r="J103" s="64">
        <f t="shared" si="8"/>
        <v>0</v>
      </c>
      <c r="K103" s="64">
        <f t="shared" si="9"/>
        <v>0</v>
      </c>
      <c r="L103" s="81">
        <f t="shared" si="13"/>
        <v>0</v>
      </c>
      <c r="M103" s="64">
        <f t="shared" si="10"/>
        <v>0</v>
      </c>
      <c r="N103" s="64">
        <f t="shared" si="11"/>
        <v>0</v>
      </c>
      <c r="O103" s="64">
        <f t="shared" si="14"/>
        <v>0</v>
      </c>
      <c r="P103" s="64">
        <f t="shared" si="12"/>
        <v>0</v>
      </c>
      <c r="Q103" s="64"/>
      <c r="R103" s="64"/>
    </row>
    <row r="104" spans="6:18" x14ac:dyDescent="0.25">
      <c r="F104" s="64" t="s">
        <v>44</v>
      </c>
      <c r="G104" s="80">
        <f t="shared" si="5"/>
        <v>0</v>
      </c>
      <c r="H104" s="64">
        <f t="shared" si="6"/>
        <v>0</v>
      </c>
      <c r="I104" s="64">
        <f t="shared" si="7"/>
        <v>0</v>
      </c>
      <c r="J104" s="64">
        <f t="shared" si="8"/>
        <v>0</v>
      </c>
      <c r="K104" s="64">
        <f t="shared" si="9"/>
        <v>0</v>
      </c>
      <c r="L104" s="81">
        <f t="shared" si="13"/>
        <v>0</v>
      </c>
      <c r="M104" s="64">
        <f t="shared" si="10"/>
        <v>0</v>
      </c>
      <c r="N104" s="64">
        <f t="shared" si="11"/>
        <v>0</v>
      </c>
      <c r="O104" s="64">
        <f t="shared" si="14"/>
        <v>0</v>
      </c>
      <c r="P104" s="64">
        <f t="shared" si="12"/>
        <v>0</v>
      </c>
      <c r="Q104" s="64"/>
      <c r="R104" s="64"/>
    </row>
    <row r="105" spans="6:18" x14ac:dyDescent="0.25">
      <c r="F105" s="64" t="s">
        <v>45</v>
      </c>
      <c r="G105" s="80">
        <f t="shared" si="5"/>
        <v>0</v>
      </c>
      <c r="H105" s="64">
        <f t="shared" si="6"/>
        <v>0</v>
      </c>
      <c r="I105" s="64">
        <f t="shared" si="7"/>
        <v>0</v>
      </c>
      <c r="J105" s="64">
        <f t="shared" si="8"/>
        <v>0</v>
      </c>
      <c r="K105" s="64">
        <f t="shared" si="9"/>
        <v>0</v>
      </c>
      <c r="L105" s="81">
        <f t="shared" si="13"/>
        <v>0</v>
      </c>
      <c r="M105" s="64">
        <f t="shared" si="10"/>
        <v>0</v>
      </c>
      <c r="N105" s="64">
        <f t="shared" si="11"/>
        <v>0</v>
      </c>
      <c r="O105" s="64">
        <f t="shared" si="14"/>
        <v>0</v>
      </c>
      <c r="P105" s="64">
        <f t="shared" si="12"/>
        <v>0</v>
      </c>
      <c r="Q105" s="64"/>
      <c r="R105" s="64"/>
    </row>
    <row r="106" spans="6:18" x14ac:dyDescent="0.25">
      <c r="F106" s="64" t="s">
        <v>46</v>
      </c>
      <c r="G106" s="80">
        <f t="shared" si="5"/>
        <v>0</v>
      </c>
      <c r="H106" s="64">
        <f t="shared" si="6"/>
        <v>0</v>
      </c>
      <c r="I106" s="64">
        <f t="shared" si="7"/>
        <v>0</v>
      </c>
      <c r="J106" s="64">
        <f t="shared" si="8"/>
        <v>0</v>
      </c>
      <c r="K106" s="64">
        <f t="shared" si="9"/>
        <v>0</v>
      </c>
      <c r="L106" s="81">
        <f t="shared" si="13"/>
        <v>0</v>
      </c>
      <c r="M106" s="64">
        <f t="shared" si="10"/>
        <v>0</v>
      </c>
      <c r="N106" s="64">
        <f t="shared" si="11"/>
        <v>0</v>
      </c>
      <c r="O106" s="64">
        <f t="shared" si="14"/>
        <v>0</v>
      </c>
      <c r="P106" s="64">
        <f t="shared" si="12"/>
        <v>0</v>
      </c>
      <c r="Q106" s="64"/>
      <c r="R106" s="64"/>
    </row>
    <row r="107" spans="6:18" x14ac:dyDescent="0.25">
      <c r="F107" s="64" t="s">
        <v>47</v>
      </c>
      <c r="G107" s="80">
        <f t="shared" si="5"/>
        <v>0</v>
      </c>
      <c r="H107" s="64">
        <f t="shared" si="6"/>
        <v>0</v>
      </c>
      <c r="I107" s="64">
        <f t="shared" si="7"/>
        <v>0</v>
      </c>
      <c r="J107" s="64">
        <f t="shared" si="8"/>
        <v>0</v>
      </c>
      <c r="K107" s="64">
        <f t="shared" si="9"/>
        <v>0</v>
      </c>
      <c r="L107" s="81">
        <f t="shared" si="13"/>
        <v>0</v>
      </c>
      <c r="M107" s="64">
        <f t="shared" si="10"/>
        <v>0</v>
      </c>
      <c r="N107" s="64">
        <f t="shared" si="11"/>
        <v>0</v>
      </c>
      <c r="O107" s="64">
        <f t="shared" si="14"/>
        <v>0</v>
      </c>
      <c r="P107" s="64">
        <f t="shared" si="12"/>
        <v>0</v>
      </c>
      <c r="Q107" s="64"/>
      <c r="R107" s="64"/>
    </row>
    <row r="108" spans="6:18" x14ac:dyDescent="0.25">
      <c r="F108" s="64" t="s">
        <v>48</v>
      </c>
      <c r="G108" s="80">
        <f t="shared" si="5"/>
        <v>0</v>
      </c>
      <c r="H108" s="64">
        <f t="shared" si="6"/>
        <v>0</v>
      </c>
      <c r="I108" s="64">
        <f t="shared" si="7"/>
        <v>0</v>
      </c>
      <c r="J108" s="64">
        <f t="shared" si="8"/>
        <v>0</v>
      </c>
      <c r="K108" s="64">
        <f t="shared" si="9"/>
        <v>0</v>
      </c>
      <c r="L108" s="81">
        <f t="shared" si="13"/>
        <v>0</v>
      </c>
      <c r="M108" s="64">
        <f t="shared" si="10"/>
        <v>0</v>
      </c>
      <c r="N108" s="64">
        <f t="shared" si="11"/>
        <v>0</v>
      </c>
      <c r="O108" s="64">
        <f t="shared" si="14"/>
        <v>0</v>
      </c>
      <c r="P108" s="64">
        <f t="shared" si="12"/>
        <v>0</v>
      </c>
      <c r="Q108" s="64"/>
      <c r="R108" s="64"/>
    </row>
    <row r="109" spans="6:18" x14ac:dyDescent="0.25">
      <c r="F109" s="64" t="s">
        <v>49</v>
      </c>
      <c r="G109" s="80">
        <f t="shared" si="5"/>
        <v>0</v>
      </c>
      <c r="H109" s="64">
        <f t="shared" si="6"/>
        <v>0</v>
      </c>
      <c r="I109" s="64">
        <f t="shared" si="7"/>
        <v>0</v>
      </c>
      <c r="J109" s="64">
        <f t="shared" si="8"/>
        <v>0</v>
      </c>
      <c r="K109" s="64">
        <f t="shared" si="9"/>
        <v>0</v>
      </c>
      <c r="L109" s="81">
        <f t="shared" si="13"/>
        <v>0</v>
      </c>
      <c r="M109" s="64">
        <f t="shared" si="10"/>
        <v>0</v>
      </c>
      <c r="N109" s="64">
        <f t="shared" si="11"/>
        <v>0</v>
      </c>
      <c r="O109" s="64">
        <f t="shared" si="14"/>
        <v>0</v>
      </c>
      <c r="P109" s="64">
        <f t="shared" si="12"/>
        <v>0</v>
      </c>
      <c r="Q109" s="64"/>
      <c r="R109" s="64"/>
    </row>
    <row r="110" spans="6:18" x14ac:dyDescent="0.25">
      <c r="F110" s="64" t="s">
        <v>50</v>
      </c>
      <c r="G110" s="80">
        <f t="shared" si="5"/>
        <v>0</v>
      </c>
      <c r="H110" s="64">
        <f t="shared" si="6"/>
        <v>0</v>
      </c>
      <c r="I110" s="64">
        <f t="shared" si="7"/>
        <v>0</v>
      </c>
      <c r="J110" s="64">
        <f t="shared" si="8"/>
        <v>0</v>
      </c>
      <c r="K110" s="64">
        <f t="shared" si="9"/>
        <v>0</v>
      </c>
      <c r="L110" s="81">
        <f t="shared" si="13"/>
        <v>0</v>
      </c>
      <c r="M110" s="64">
        <f t="shared" si="10"/>
        <v>0</v>
      </c>
      <c r="N110" s="64">
        <f t="shared" si="11"/>
        <v>0</v>
      </c>
      <c r="O110" s="64">
        <f t="shared" si="14"/>
        <v>0</v>
      </c>
      <c r="P110" s="64">
        <f t="shared" si="12"/>
        <v>0</v>
      </c>
      <c r="Q110" s="64"/>
      <c r="R110" s="64"/>
    </row>
    <row r="111" spans="6:18" x14ac:dyDescent="0.25">
      <c r="F111" s="64" t="s">
        <v>51</v>
      </c>
      <c r="G111" s="80">
        <f t="shared" si="5"/>
        <v>0</v>
      </c>
      <c r="H111" s="64">
        <f t="shared" si="6"/>
        <v>0</v>
      </c>
      <c r="I111" s="64">
        <f t="shared" si="7"/>
        <v>0</v>
      </c>
      <c r="J111" s="64">
        <f t="shared" si="8"/>
        <v>0</v>
      </c>
      <c r="K111" s="64">
        <f t="shared" si="9"/>
        <v>0</v>
      </c>
      <c r="L111" s="81">
        <f t="shared" si="13"/>
        <v>0</v>
      </c>
      <c r="M111" s="64">
        <f t="shared" si="10"/>
        <v>0</v>
      </c>
      <c r="N111" s="64">
        <f t="shared" si="11"/>
        <v>0</v>
      </c>
      <c r="O111" s="64">
        <f t="shared" si="14"/>
        <v>0</v>
      </c>
      <c r="P111" s="64">
        <f t="shared" si="12"/>
        <v>0</v>
      </c>
      <c r="Q111" s="64"/>
      <c r="R111" s="64"/>
    </row>
    <row r="112" spans="6:18" x14ac:dyDescent="0.25">
      <c r="F112" s="64" t="s">
        <v>52</v>
      </c>
      <c r="G112" s="80">
        <f t="shared" si="5"/>
        <v>0</v>
      </c>
      <c r="H112" s="64">
        <f t="shared" si="6"/>
        <v>0</v>
      </c>
      <c r="I112" s="64">
        <f t="shared" si="7"/>
        <v>0</v>
      </c>
      <c r="J112" s="64">
        <f t="shared" si="8"/>
        <v>0</v>
      </c>
      <c r="K112" s="64">
        <f t="shared" si="9"/>
        <v>0</v>
      </c>
      <c r="L112" s="81">
        <f t="shared" si="13"/>
        <v>0</v>
      </c>
      <c r="M112" s="64">
        <f t="shared" si="10"/>
        <v>0</v>
      </c>
      <c r="N112" s="64">
        <f t="shared" si="11"/>
        <v>0</v>
      </c>
      <c r="O112" s="64">
        <f t="shared" si="14"/>
        <v>0</v>
      </c>
      <c r="P112" s="64">
        <f t="shared" si="12"/>
        <v>0</v>
      </c>
      <c r="Q112" s="64"/>
      <c r="R112" s="64"/>
    </row>
    <row r="113" spans="6:18" x14ac:dyDescent="0.25">
      <c r="F113" s="64" t="s">
        <v>53</v>
      </c>
      <c r="G113" s="80">
        <f t="shared" si="5"/>
        <v>0</v>
      </c>
      <c r="H113" s="64">
        <f t="shared" si="6"/>
        <v>0</v>
      </c>
      <c r="I113" s="64">
        <f t="shared" si="7"/>
        <v>0</v>
      </c>
      <c r="J113" s="64">
        <f t="shared" si="8"/>
        <v>0</v>
      </c>
      <c r="K113" s="64">
        <f t="shared" si="9"/>
        <v>0</v>
      </c>
      <c r="L113" s="81">
        <f t="shared" si="13"/>
        <v>0</v>
      </c>
      <c r="M113" s="64">
        <f t="shared" si="10"/>
        <v>0</v>
      </c>
      <c r="N113" s="64">
        <f t="shared" si="11"/>
        <v>0</v>
      </c>
      <c r="O113" s="64">
        <f t="shared" si="14"/>
        <v>0</v>
      </c>
      <c r="P113" s="64">
        <f t="shared" si="12"/>
        <v>0</v>
      </c>
      <c r="Q113" s="64"/>
      <c r="R113" s="64"/>
    </row>
    <row r="114" spans="6:18" x14ac:dyDescent="0.25">
      <c r="F114" s="64" t="s">
        <v>54</v>
      </c>
      <c r="G114" s="80">
        <f t="shared" si="5"/>
        <v>0</v>
      </c>
      <c r="H114" s="64">
        <f t="shared" si="6"/>
        <v>0</v>
      </c>
      <c r="I114" s="64">
        <f t="shared" si="7"/>
        <v>0</v>
      </c>
      <c r="J114" s="64">
        <f t="shared" si="8"/>
        <v>0</v>
      </c>
      <c r="K114" s="64">
        <f t="shared" si="9"/>
        <v>0</v>
      </c>
      <c r="L114" s="81">
        <f t="shared" si="13"/>
        <v>0</v>
      </c>
      <c r="M114" s="64">
        <f t="shared" si="10"/>
        <v>0</v>
      </c>
      <c r="N114" s="64">
        <f t="shared" si="11"/>
        <v>0</v>
      </c>
      <c r="O114" s="64">
        <f t="shared" si="14"/>
        <v>0</v>
      </c>
      <c r="P114" s="64">
        <f t="shared" si="12"/>
        <v>0</v>
      </c>
      <c r="Q114" s="64"/>
      <c r="R114" s="64"/>
    </row>
    <row r="115" spans="6:18" x14ac:dyDescent="0.25">
      <c r="F115" s="64" t="s">
        <v>55</v>
      </c>
      <c r="G115" s="80">
        <f t="shared" si="5"/>
        <v>0</v>
      </c>
      <c r="H115" s="64">
        <f t="shared" si="6"/>
        <v>0</v>
      </c>
      <c r="I115" s="64">
        <f t="shared" si="7"/>
        <v>0</v>
      </c>
      <c r="J115" s="64">
        <f t="shared" si="8"/>
        <v>0</v>
      </c>
      <c r="K115" s="64">
        <f t="shared" si="9"/>
        <v>0</v>
      </c>
      <c r="L115" s="81">
        <f t="shared" si="13"/>
        <v>0</v>
      </c>
      <c r="M115" s="64">
        <f t="shared" si="10"/>
        <v>0</v>
      </c>
      <c r="N115" s="64">
        <f t="shared" si="11"/>
        <v>0</v>
      </c>
      <c r="O115" s="64">
        <f t="shared" si="14"/>
        <v>0</v>
      </c>
      <c r="P115" s="64">
        <f t="shared" si="12"/>
        <v>0</v>
      </c>
      <c r="Q115" s="64"/>
      <c r="R115" s="64"/>
    </row>
    <row r="116" spans="6:18" x14ac:dyDescent="0.25">
      <c r="F116" s="64" t="s">
        <v>56</v>
      </c>
      <c r="G116" s="80">
        <f t="shared" si="5"/>
        <v>0</v>
      </c>
      <c r="H116" s="64">
        <f t="shared" si="6"/>
        <v>0</v>
      </c>
      <c r="I116" s="64">
        <f t="shared" si="7"/>
        <v>0</v>
      </c>
      <c r="J116" s="64">
        <f t="shared" si="8"/>
        <v>0</v>
      </c>
      <c r="K116" s="64">
        <f t="shared" si="9"/>
        <v>0</v>
      </c>
      <c r="L116" s="81">
        <f t="shared" si="13"/>
        <v>0</v>
      </c>
      <c r="M116" s="64">
        <f t="shared" si="10"/>
        <v>7462.07</v>
      </c>
      <c r="N116" s="64">
        <f t="shared" si="11"/>
        <v>7462.07</v>
      </c>
      <c r="O116" s="64">
        <f t="shared" si="14"/>
        <v>0</v>
      </c>
      <c r="P116" s="64">
        <f t="shared" si="12"/>
        <v>0</v>
      </c>
      <c r="Q116" s="64"/>
      <c r="R116" s="64"/>
    </row>
    <row r="117" spans="6:18" x14ac:dyDescent="0.25">
      <c r="F117" s="64" t="s">
        <v>57</v>
      </c>
      <c r="G117" s="80">
        <f t="shared" si="5"/>
        <v>0</v>
      </c>
      <c r="H117" s="64">
        <f t="shared" si="6"/>
        <v>0</v>
      </c>
      <c r="I117" s="64">
        <f t="shared" si="7"/>
        <v>0</v>
      </c>
      <c r="J117" s="64">
        <f t="shared" si="8"/>
        <v>0</v>
      </c>
      <c r="K117" s="64">
        <f t="shared" si="9"/>
        <v>0</v>
      </c>
      <c r="L117" s="81">
        <f t="shared" si="13"/>
        <v>0</v>
      </c>
      <c r="M117" s="64">
        <f t="shared" si="10"/>
        <v>0</v>
      </c>
      <c r="N117" s="64">
        <f t="shared" si="11"/>
        <v>0</v>
      </c>
      <c r="O117" s="64">
        <f t="shared" si="14"/>
        <v>0</v>
      </c>
      <c r="P117" s="64">
        <f t="shared" si="12"/>
        <v>0</v>
      </c>
      <c r="Q117" s="64"/>
      <c r="R117" s="64"/>
    </row>
    <row r="118" spans="6:18" x14ac:dyDescent="0.25">
      <c r="F118" s="64" t="s">
        <v>58</v>
      </c>
      <c r="G118" s="80">
        <f t="shared" si="5"/>
        <v>0</v>
      </c>
      <c r="H118" s="64">
        <f t="shared" si="6"/>
        <v>0</v>
      </c>
      <c r="I118" s="64">
        <f t="shared" si="7"/>
        <v>0</v>
      </c>
      <c r="J118" s="64">
        <f t="shared" si="8"/>
        <v>0</v>
      </c>
      <c r="K118" s="64">
        <f t="shared" si="9"/>
        <v>0</v>
      </c>
      <c r="L118" s="81">
        <f t="shared" si="13"/>
        <v>0</v>
      </c>
      <c r="M118" s="64">
        <f t="shared" si="10"/>
        <v>0</v>
      </c>
      <c r="N118" s="64">
        <f t="shared" si="11"/>
        <v>0</v>
      </c>
      <c r="O118" s="64">
        <f t="shared" si="14"/>
        <v>0</v>
      </c>
      <c r="P118" s="64">
        <f t="shared" si="12"/>
        <v>0</v>
      </c>
      <c r="Q118" s="64"/>
      <c r="R118" s="64"/>
    </row>
    <row r="119" spans="6:18" x14ac:dyDescent="0.25">
      <c r="F119" s="64" t="s">
        <v>61</v>
      </c>
      <c r="G119" s="80">
        <f t="shared" si="5"/>
        <v>0</v>
      </c>
      <c r="H119" s="64">
        <f t="shared" si="6"/>
        <v>0</v>
      </c>
      <c r="I119" s="64">
        <f t="shared" si="7"/>
        <v>0</v>
      </c>
      <c r="J119" s="64">
        <f t="shared" si="8"/>
        <v>0</v>
      </c>
      <c r="K119" s="64">
        <f t="shared" si="9"/>
        <v>0</v>
      </c>
      <c r="L119" s="81">
        <f t="shared" si="13"/>
        <v>0</v>
      </c>
      <c r="M119" s="64">
        <f t="shared" si="10"/>
        <v>0</v>
      </c>
      <c r="N119" s="64">
        <f t="shared" si="11"/>
        <v>0</v>
      </c>
      <c r="O119" s="64">
        <f t="shared" si="14"/>
        <v>0</v>
      </c>
      <c r="P119" s="64">
        <f t="shared" si="12"/>
        <v>0</v>
      </c>
      <c r="Q119" s="64"/>
      <c r="R119" s="64"/>
    </row>
    <row r="120" spans="6:18" x14ac:dyDescent="0.25">
      <c r="F120" s="64" t="s">
        <v>72</v>
      </c>
      <c r="G120" s="80">
        <f t="shared" si="5"/>
        <v>0</v>
      </c>
      <c r="H120" s="64">
        <f t="shared" si="6"/>
        <v>0</v>
      </c>
      <c r="I120" s="64">
        <f t="shared" si="7"/>
        <v>0</v>
      </c>
      <c r="J120" s="64">
        <f t="shared" si="8"/>
        <v>0</v>
      </c>
      <c r="K120" s="64">
        <f t="shared" si="9"/>
        <v>0</v>
      </c>
      <c r="L120" s="81">
        <f t="shared" si="13"/>
        <v>0</v>
      </c>
      <c r="M120" s="64">
        <f t="shared" si="10"/>
        <v>0</v>
      </c>
      <c r="N120" s="64">
        <f t="shared" si="11"/>
        <v>0</v>
      </c>
      <c r="O120" s="64">
        <f t="shared" si="14"/>
        <v>0</v>
      </c>
      <c r="P120" s="64">
        <f t="shared" si="12"/>
        <v>0</v>
      </c>
      <c r="Q120" s="64"/>
      <c r="R120" s="64"/>
    </row>
    <row r="121" spans="6:18" x14ac:dyDescent="0.25">
      <c r="F121" s="64" t="s">
        <v>71</v>
      </c>
      <c r="G121" s="80">
        <f t="shared" si="5"/>
        <v>0</v>
      </c>
      <c r="H121" s="64">
        <f t="shared" si="6"/>
        <v>0</v>
      </c>
      <c r="I121" s="64">
        <f t="shared" si="7"/>
        <v>0</v>
      </c>
      <c r="J121" s="64">
        <f t="shared" si="8"/>
        <v>0</v>
      </c>
      <c r="K121" s="64">
        <f t="shared" si="9"/>
        <v>0</v>
      </c>
      <c r="L121" s="81">
        <f t="shared" si="13"/>
        <v>0</v>
      </c>
      <c r="M121" s="64">
        <f t="shared" si="10"/>
        <v>0</v>
      </c>
      <c r="N121" s="64">
        <f t="shared" si="11"/>
        <v>0</v>
      </c>
      <c r="O121" s="64">
        <f t="shared" si="14"/>
        <v>0</v>
      </c>
      <c r="P121" s="64">
        <f t="shared" si="12"/>
        <v>0</v>
      </c>
      <c r="Q121" s="64"/>
      <c r="R121" s="64"/>
    </row>
    <row r="122" spans="6:18" x14ac:dyDescent="0.25">
      <c r="F122" s="64" t="s">
        <v>73</v>
      </c>
      <c r="G122" s="80">
        <f t="shared" si="5"/>
        <v>0</v>
      </c>
      <c r="H122" s="64">
        <f t="shared" si="6"/>
        <v>0</v>
      </c>
      <c r="I122" s="64">
        <f t="shared" si="7"/>
        <v>0</v>
      </c>
      <c r="J122" s="64">
        <f t="shared" si="8"/>
        <v>0</v>
      </c>
      <c r="K122" s="64">
        <f t="shared" si="9"/>
        <v>0</v>
      </c>
      <c r="L122" s="81">
        <f t="shared" si="13"/>
        <v>0</v>
      </c>
      <c r="M122" s="64">
        <f t="shared" si="10"/>
        <v>0</v>
      </c>
      <c r="N122" s="64">
        <f t="shared" si="11"/>
        <v>0</v>
      </c>
      <c r="O122" s="64">
        <f t="shared" si="14"/>
        <v>0</v>
      </c>
      <c r="P122" s="64">
        <f t="shared" si="12"/>
        <v>0</v>
      </c>
      <c r="Q122" s="64"/>
      <c r="R122" s="64"/>
    </row>
    <row r="123" spans="6:18" x14ac:dyDescent="0.25">
      <c r="F123" s="64" t="s">
        <v>74</v>
      </c>
      <c r="G123" s="80">
        <f t="shared" si="5"/>
        <v>0</v>
      </c>
      <c r="H123" s="64">
        <f t="shared" si="6"/>
        <v>0</v>
      </c>
      <c r="I123" s="64">
        <f t="shared" si="7"/>
        <v>0</v>
      </c>
      <c r="J123" s="64">
        <f t="shared" si="8"/>
        <v>0</v>
      </c>
      <c r="K123" s="64">
        <f t="shared" si="9"/>
        <v>0</v>
      </c>
      <c r="L123" s="81">
        <f t="shared" si="13"/>
        <v>0</v>
      </c>
      <c r="M123" s="64">
        <f t="shared" si="10"/>
        <v>0</v>
      </c>
      <c r="N123" s="64">
        <f t="shared" si="11"/>
        <v>0</v>
      </c>
      <c r="O123" s="64">
        <f t="shared" si="14"/>
        <v>0</v>
      </c>
      <c r="P123" s="64">
        <f t="shared" si="12"/>
        <v>0</v>
      </c>
      <c r="Q123" s="64"/>
      <c r="R123" s="64"/>
    </row>
    <row r="124" spans="6:18" x14ac:dyDescent="0.25">
      <c r="K124" s="64"/>
    </row>
    <row r="125" spans="6:18" x14ac:dyDescent="0.25">
      <c r="K125" s="64"/>
    </row>
    <row r="126" spans="6:18" x14ac:dyDescent="0.25">
      <c r="K126" s="64"/>
    </row>
  </sheetData>
  <mergeCells count="33">
    <mergeCell ref="H57:I57"/>
    <mergeCell ref="H56:I56"/>
    <mergeCell ref="J56:K56"/>
    <mergeCell ref="J57:K57"/>
    <mergeCell ref="H3:I3"/>
    <mergeCell ref="J3:K3"/>
    <mergeCell ref="AA4:AC4"/>
    <mergeCell ref="L57:M57"/>
    <mergeCell ref="L75:N75"/>
    <mergeCell ref="O75:Q75"/>
    <mergeCell ref="L3:M3"/>
    <mergeCell ref="N57:O57"/>
    <mergeCell ref="P56:Q56"/>
    <mergeCell ref="P57:Q57"/>
    <mergeCell ref="N3:O3"/>
    <mergeCell ref="P3:Q3"/>
    <mergeCell ref="N56:O56"/>
    <mergeCell ref="D74:U74"/>
    <mergeCell ref="D2:D4"/>
    <mergeCell ref="E2:E3"/>
    <mergeCell ref="H2:K2"/>
    <mergeCell ref="R56:S56"/>
    <mergeCell ref="L2:M2"/>
    <mergeCell ref="N2:O2"/>
    <mergeCell ref="P2:Q2"/>
    <mergeCell ref="F2:G2"/>
    <mergeCell ref="F3:G3"/>
    <mergeCell ref="F57:G57"/>
    <mergeCell ref="F56:G56"/>
    <mergeCell ref="L56:M56"/>
    <mergeCell ref="R57:S57"/>
    <mergeCell ref="R2:S2"/>
    <mergeCell ref="R3:S3"/>
  </mergeCells>
  <conditionalFormatting sqref="F57:I57">
    <cfRule type="cellIs" dxfId="49" priority="32" operator="lessThan">
      <formula>0</formula>
    </cfRule>
    <cfRule type="cellIs" dxfId="48" priority="33" operator="greaterThan">
      <formula>0</formula>
    </cfRule>
    <cfRule type="cellIs" dxfId="47" priority="34" operator="equal">
      <formula>0</formula>
    </cfRule>
  </conditionalFormatting>
  <conditionalFormatting sqref="H56:I56">
    <cfRule type="containsText" dxfId="46" priority="28" operator="containsText" text="NO CUADRA, COMPA">
      <formula>NOT(ISERROR(SEARCH("NO CUADRA, COMPA",H56)))</formula>
    </cfRule>
    <cfRule type="cellIs" dxfId="45" priority="31" operator="equal">
      <formula>"CUADRA"</formula>
    </cfRule>
  </conditionalFormatting>
  <conditionalFormatting sqref="J57:K57">
    <cfRule type="cellIs" dxfId="44" priority="25" operator="lessThan">
      <formula>0</formula>
    </cfRule>
    <cfRule type="cellIs" dxfId="43" priority="26" operator="greaterThan">
      <formula>0</formula>
    </cfRule>
    <cfRule type="cellIs" dxfId="42" priority="27" operator="equal">
      <formula>0</formula>
    </cfRule>
  </conditionalFormatting>
  <conditionalFormatting sqref="J56:K56">
    <cfRule type="containsText" dxfId="41" priority="23" operator="containsText" text="NO CUADRA, COMPA">
      <formula>NOT(ISERROR(SEARCH("NO CUADRA, COMPA",J56)))</formula>
    </cfRule>
    <cfRule type="cellIs" dxfId="40" priority="24" operator="equal">
      <formula>"CUADRA"</formula>
    </cfRule>
  </conditionalFormatting>
  <conditionalFormatting sqref="L57:M57">
    <cfRule type="cellIs" dxfId="39" priority="20" operator="lessThan">
      <formula>0</formula>
    </cfRule>
    <cfRule type="cellIs" dxfId="38" priority="21" operator="greaterThan">
      <formula>0</formula>
    </cfRule>
    <cfRule type="cellIs" dxfId="37" priority="22" operator="equal">
      <formula>0</formula>
    </cfRule>
  </conditionalFormatting>
  <conditionalFormatting sqref="L56:M56">
    <cfRule type="containsText" dxfId="36" priority="18" operator="containsText" text="NO CUADRA, COMPA">
      <formula>NOT(ISERROR(SEARCH("NO CUADRA, COMPA",L56)))</formula>
    </cfRule>
    <cfRule type="cellIs" dxfId="35" priority="19" operator="equal">
      <formula>"CUADRA"</formula>
    </cfRule>
  </conditionalFormatting>
  <conditionalFormatting sqref="N57:O57">
    <cfRule type="cellIs" dxfId="34" priority="15" operator="lessThan">
      <formula>0</formula>
    </cfRule>
    <cfRule type="cellIs" dxfId="33" priority="16" operator="greaterThan">
      <formula>0</formula>
    </cfRule>
    <cfRule type="cellIs" dxfId="32" priority="17" operator="equal">
      <formula>0</formula>
    </cfRule>
  </conditionalFormatting>
  <conditionalFormatting sqref="N56:O56">
    <cfRule type="containsText" dxfId="31" priority="13" operator="containsText" text="NO CUADRA, COMPA">
      <formula>NOT(ISERROR(SEARCH("NO CUADRA, COMPA",N56)))</formula>
    </cfRule>
    <cfRule type="cellIs" dxfId="30" priority="14" operator="equal">
      <formula>"CUADRA"</formula>
    </cfRule>
  </conditionalFormatting>
  <conditionalFormatting sqref="P57:Q57">
    <cfRule type="cellIs" dxfId="29" priority="10" operator="lessThan">
      <formula>0</formula>
    </cfRule>
    <cfRule type="cellIs" dxfId="28" priority="11" operator="greaterThan">
      <formula>0</formula>
    </cfRule>
    <cfRule type="cellIs" dxfId="27" priority="12" operator="equal">
      <formula>0</formula>
    </cfRule>
  </conditionalFormatting>
  <conditionalFormatting sqref="P56:Q56">
    <cfRule type="containsText" dxfId="26" priority="8" operator="containsText" text="NO CUADRA, COMPA">
      <formula>NOT(ISERROR(SEARCH("NO CUADRA, COMPA",P56)))</formula>
    </cfRule>
    <cfRule type="cellIs" dxfId="25" priority="9" operator="equal">
      <formula>"CUADRA"</formula>
    </cfRule>
  </conditionalFormatting>
  <conditionalFormatting sqref="R57:S57">
    <cfRule type="cellIs" dxfId="24" priority="5" operator="lessThan">
      <formula>0</formula>
    </cfRule>
    <cfRule type="cellIs" dxfId="23" priority="6" operator="greaterThan">
      <formula>0</formula>
    </cfRule>
    <cfRule type="cellIs" dxfId="22" priority="7" operator="equal">
      <formula>0</formula>
    </cfRule>
  </conditionalFormatting>
  <conditionalFormatting sqref="R56:S56">
    <cfRule type="containsText" dxfId="21" priority="3" operator="containsText" text="NO CUADRA, COMPA">
      <formula>NOT(ISERROR(SEARCH("NO CUADRA, COMPA",R56)))</formula>
    </cfRule>
    <cfRule type="cellIs" dxfId="20" priority="4" operator="equal">
      <formula>"CUADRA"</formula>
    </cfRule>
  </conditionalFormatting>
  <conditionalFormatting sqref="F56:G56">
    <cfRule type="containsText" dxfId="19" priority="1" operator="containsText" text="NO CUADRA, COMPA">
      <formula>NOT(ISERROR(SEARCH("NO CUADRA, COMPA",F56)))</formula>
    </cfRule>
    <cfRule type="cellIs" dxfId="18" priority="2" operator="equal">
      <formula>"CUADRA"</formula>
    </cfRule>
  </conditionalFormatting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Asientos de diario</vt:lpstr>
      <vt:lpstr>Esquema de mayor</vt:lpstr>
      <vt:lpstr>Ajustes</vt:lpstr>
      <vt:lpstr>Pérdidas y ganancias</vt:lpstr>
      <vt:lpstr>Balanza de comprobación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dcterms:created xsi:type="dcterms:W3CDTF">2018-09-26T03:21:28Z</dcterms:created>
  <dcterms:modified xsi:type="dcterms:W3CDTF">2020-11-04T04:41:00Z</dcterms:modified>
</cp:coreProperties>
</file>